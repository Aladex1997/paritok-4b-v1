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Document Recon" sheetId="3" state="visible" r:id="rId3"/>
    <sheet xmlns:r="http://schemas.openxmlformats.org/officeDocument/2006/relationships" name="Skip Audit" sheetId="4" state="visible" r:id="rId4"/>
    <sheet xmlns:r="http://schemas.openxmlformats.org/officeDocument/2006/relationships" name="Amendment Audit" sheetId="5" state="visible" r:id="rId5"/>
    <sheet xmlns:r="http://schemas.openxmlformats.org/officeDocument/2006/relationships" name="Billing Reconciliation" sheetId="6" state="visible" r:id="rId6"/>
    <sheet xmlns:r="http://schemas.openxmlformats.org/officeDocument/2006/relationships" name="Aging &amp; Collections" sheetId="7" state="visible" r:id="rId7"/>
    <sheet xmlns:r="http://schemas.openxmlformats.org/officeDocument/2006/relationships" name="Methodology" sheetId="8" state="visible" r:id="rId8"/>
    <sheet xmlns:r="http://schemas.openxmlformats.org/officeDocument/2006/relationships" name="Applicants" sheetId="9" state="hidden" r:id="rId9"/>
    <sheet xmlns:r="http://schemas.openxmlformats.org/officeDocument/2006/relationships" name="Offers" sheetId="10" state="hidden" r:id="rId10"/>
    <sheet xmlns:r="http://schemas.openxmlformats.org/officeDocument/2006/relationships" name="All Skips" sheetId="11" state="hidden" r:id="rId11"/>
    <sheet xmlns:r="http://schemas.openxmlformats.org/officeDocument/2006/relationships" name="Inventory" sheetId="12" state="hidden" r:id="rId12"/>
    <sheet xmlns:r="http://schemas.openxmlformats.org/officeDocument/2006/relationships" name="Billing Aug" sheetId="13" state="hidden" r:id="rId13"/>
    <sheet xmlns:r="http://schemas.openxmlformats.org/officeDocument/2006/relationships" name="Skip Docs" sheetId="14" state="hidden" r:id="rId14"/>
    <sheet xmlns:r="http://schemas.openxmlformats.org/officeDocument/2006/relationships" name="Cert Docs" sheetId="15" state="hidden" r:id="rId15"/>
  </sheets>
  <definedNames>
    <definedName name="_xlnm.Print_Area" localSheetId="0">'Summary'!$A$1:$L$30</definedName>
    <definedName name="_xlnm.Print_Titles" localSheetId="1">'Queue Exceptions'!14:14</definedName>
    <definedName name="_xlnm.Print_Area" localSheetId="1">'Queue Exceptions'!$A$1:$H$34</definedName>
    <definedName name="_xlnm.Print_Area" localSheetId="2">'Document Recon'!$A$1:$M$17</definedName>
    <definedName name="_xlnm._FilterDatabase" localSheetId="3" hidden="1">'Skip Audit'!$A$4:$S$313</definedName>
    <definedName name="_xlnm.Print_Area" localSheetId="3">'Skip Audit'!$A$1:$L$30</definedName>
    <definedName name="_xlnm.Print_Area" localSheetId="4">'Amendment Audit'!$A$1:$L$30</definedName>
    <definedName name="_xlnm.Print_Area" localSheetId="5">'Billing Reconciliation'!$A$1:$M$30</definedName>
    <definedName name="_xlnm.Print_Area" localSheetId="6">'Aging &amp; Collections'!$A$1:$M$30</definedName>
    <definedName name="_xlnm.Print_Area" localSheetId="7">'Methodology'!$A$1:$E$28</definedName>
    <definedName name="_xlnm._FilterDatabase" localSheetId="8" hidden="1">'Applicants'!$A$1:$F$2911</definedName>
    <definedName name="_xlnm._FilterDatabase" localSheetId="9" hidden="1">'Offers'!$A$1:$J$1487</definedName>
    <definedName name="_xlnm._FilterDatabase" localSheetId="10" hidden="1">'All Skips'!$A$1:$L$413</definedName>
    <definedName name="_xlnm._FilterDatabase" localSheetId="11" hidden="1">'Inventory'!$A$1:$H$1181</definedName>
    <definedName name="_xlnm._FilterDatabase" localSheetId="12" hidden="1">'Billing Aug'!$A$1:$J$770</definedName>
    <definedName name="_xlnm._FilterDatabase" localSheetId="13" hidden="1">'Skip Docs'!$A$1:$H$7</definedName>
    <definedName name="_xlnm._FilterDatabase" localSheetId="14" hidden="1">'Cert Docs'!$A$1:$J$3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mm d, yyyy"/>
    <numFmt numFmtId="166" formatCode="$0.00"/>
    <numFmt numFmtId="167" formatCode="0.0"/>
    <numFmt numFmtId="168" formatCode="$#,##0.00;[Red]-$#,##0.00"/>
    <numFmt numFmtId="169" formatCode="$#,##0.00"/>
  </numFmts>
  <fonts count="17">
    <font>
      <name val="Calibri"/>
      <family val="2"/>
      <color theme="1"/>
      <sz val="11"/>
      <scheme val="minor"/>
    </font>
    <font>
      <name val="Liberation Sans"/>
      <b val="1"/>
      <color rgb="00FFFFFF"/>
      <sz val="8"/>
    </font>
    <font>
      <name val="Liberation Sans"/>
      <b val="1"/>
      <color rgb="00FFFFFF"/>
      <sz val="18"/>
    </font>
    <font>
      <name val="Liberation Sans"/>
      <i val="1"/>
      <color rgb="005B6874"/>
      <sz val="9"/>
    </font>
    <font>
      <name val="Liberation Sans"/>
      <b val="1"/>
      <color rgb="00FFFFFF"/>
      <sz val="11"/>
    </font>
    <font>
      <name val="Liberation Sans"/>
      <b val="1"/>
      <color rgb="00B42318"/>
      <sz val="8"/>
    </font>
    <font>
      <name val="Liberation Sans"/>
      <b val="1"/>
      <color rgb="00B42318"/>
      <sz val="24"/>
    </font>
    <font>
      <name val="Liberation Sans"/>
      <b val="1"/>
      <color rgb="00D97706"/>
      <sz val="8"/>
    </font>
    <font>
      <name val="Liberation Sans"/>
      <b val="1"/>
      <color rgb="00D97706"/>
      <sz val="24"/>
    </font>
    <font>
      <name val="Liberation Sans"/>
      <b val="1"/>
      <color rgb="0017324D"/>
      <sz val="8"/>
    </font>
    <font>
      <name val="Liberation Sans"/>
      <b val="1"/>
      <color rgb="0017324D"/>
      <sz val="24"/>
    </font>
    <font>
      <name val="Liberation Sans"/>
      <b val="1"/>
      <color rgb="00197278"/>
      <sz val="8"/>
    </font>
    <font>
      <name val="Liberation Sans"/>
      <b val="1"/>
      <color rgb="00197278"/>
      <sz val="24"/>
    </font>
    <font>
      <name val="Liberation Sans"/>
      <b val="1"/>
      <color rgb="00197278"/>
      <sz val="15"/>
    </font>
    <font>
      <name val="Liberation Sans"/>
      <b val="1"/>
      <color rgb="00B42318"/>
    </font>
    <font>
      <name val="Liberation Sans"/>
      <b val="1"/>
      <color rgb="00197278"/>
    </font>
    <font>
      <name val="Liberation Sans"/>
      <color rgb="001F2933"/>
      <sz val="8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4E6272"/>
      </patternFill>
    </fill>
    <fill>
      <patternFill patternType="solid">
        <fgColor rgb="00197278"/>
      </patternFill>
    </fill>
    <fill>
      <patternFill patternType="solid">
        <fgColor rgb="00D97706"/>
      </patternFill>
    </fill>
    <fill>
      <patternFill patternType="solid">
        <fgColor rgb="00FDE2E0"/>
      </patternFill>
    </fill>
    <fill>
      <patternFill patternType="solid">
        <fgColor rgb="00FCE8CC"/>
      </patternFill>
    </fill>
    <fill>
      <patternFill patternType="solid">
        <fgColor rgb="00E8EFF5"/>
      </patternFill>
    </fill>
    <fill>
      <patternFill patternType="solid">
        <fgColor rgb="00DCEEEE"/>
      </patternFill>
    </fill>
  </fills>
  <borders count="2">
    <border>
      <left/>
      <right/>
      <top/>
      <bottom/>
      <diagonal/>
    </border>
    <border>
      <bottom style="thin">
        <color rgb="00CBD5D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6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wrapText="1"/>
    </xf>
    <xf numFmtId="0" fontId="0" fillId="3" borderId="0" pivotButton="0" quotePrefix="0" xfId="0"/>
    <xf numFmtId="168" fontId="16" fillId="0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16" fillId="7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165" fontId="16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16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7" fontId="16" fillId="0" borderId="0" applyAlignment="1" pivotButton="0" quotePrefix="0" xfId="0">
      <alignment vertical="top" wrapText="1"/>
    </xf>
    <xf numFmtId="169" fontId="1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/>
    </xf>
    <xf numFmtId="165" fontId="16" fillId="0" borderId="0" applyAlignment="1" pivotButton="0" quotePrefix="0" xfId="0">
      <alignment vertical="top"/>
    </xf>
    <xf numFmtId="167" fontId="16" fillId="0" borderId="0" applyAlignment="1" pivotButton="0" quotePrefix="0" xfId="0">
      <alignment vertical="top"/>
    </xf>
    <xf numFmtId="1" fontId="16" fillId="0" borderId="0" applyAlignment="1" pivotButton="0" quotePrefix="0" xfId="0">
      <alignment vertical="top"/>
    </xf>
    <xf numFmtId="168" fontId="16" fillId="0" borderId="0" applyAlignment="1" pivotButton="0" quotePrefix="0" xfId="0">
      <alignment vertical="top"/>
    </xf>
    <xf numFmtId="166" fontId="16" fillId="0" borderId="0" applyAlignment="1" pivotButton="0" quotePrefix="0" xfId="0">
      <alignment vertical="top" wrapText="1"/>
    </xf>
    <xf numFmtId="164" fontId="16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FDE2E0"/>
        </patternFill>
      </fill>
    </dxf>
    <dxf>
      <fill>
        <patternFill patternType="solid">
          <fgColor rgb="00FCE8CC"/>
        </patternFill>
      </fill>
    </dxf>
    <dxf>
      <fill>
        <patternFill patternType="solid">
          <fgColor rgb="00E1F1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PrioritySummaryTable" displayName="PrioritySummaryTable" ref="A5:H10" headerRowCount="1">
  <autoFilter ref="A5:H10"/>
  <tableColumns count="8">
    <tableColumn id="1" name="Priority"/>
    <tableColumn id="2" name="Exception Class"/>
    <tableColumn id="3" name="Formula Count"/>
    <tableColumn id="4" name="Board Significance"/>
    <tableColumn id="5" name="Complete Detail"/>
    <tableColumn id="6" name="Basis"/>
    <tableColumn id="7" name="Owner"/>
    <tableColumn id="8" name="Proposed Dis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amedExceptionsTable" displayName="NamedExceptionsTable" ref="A14:H73" headerRowCount="1">
  <autoFilter ref="A14:H73"/>
  <tableColumns count="8">
    <tableColumn id="1" name="Type"/>
    <tableColumn id="2" name="Record ID"/>
    <tableColumn id="3" name="Subject"/>
    <tableColumn id="4" name="Date"/>
    <tableColumn id="5" name="Related Record"/>
    <tableColumn id="6" name="Priority"/>
    <tableColumn id="7" name="Dollar Variance"/>
    <tableColumn id="8" name="Find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kipDocumentReconTable" displayName="SkipDocumentReconTable" ref="A5:M11" headerRowCount="1">
  <autoFilter ref="A5:M11"/>
  <tableColumns count="13">
    <tableColumn id="1" name="Filename"/>
    <tableColumn id="2" name="Applicant ID"/>
    <tableColumn id="3" name="PDF Work Date"/>
    <tableColumn id="4" name="PDF Slip"/>
    <tableColumn id="5" name="PDF Reason"/>
    <tableColumn id="6" name="Pages"/>
    <tableColumn id="7" name="Contains Support"/>
    <tableColumn id="8" name="Logged Slip (same applicant/date)"/>
    <tableColumn id="9" name="Exact Skip Match"/>
    <tableColumn id="10" name="Exact Offer Match"/>
    <tableColumn id="11" name="In Audit Window"/>
    <tableColumn id="12" name="Reconciled"/>
    <tableColumn id="13" name="Find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ertificateReconTable" displayName="CertificateReconTable" ref="A15:M17" headerRowCount="1">
  <autoFilter ref="A15:M17"/>
  <tableColumns count="13">
    <tableColumn id="1" name="Filename"/>
    <tableColumn id="2" name="Applicant ID"/>
    <tableColumn id="3" name="Certificate"/>
    <tableColumn id="4" name="Certificate Date"/>
    <tableColumn id="5" name="Measured LOA"/>
    <tableColumn id="6" name="Signed"/>
    <tableColumn id="7" name="Certificate Slip"/>
    <tableColumn id="8" name="Inventory Class"/>
    <tableColumn id="9" name="Current Inventory Tenant"/>
    <tableColumn id="10" name="Billable Feet"/>
    <tableColumn id="11" name="Illustrative Base Charge"/>
    <tableColumn id="12" name="Matching LOA Amendment"/>
    <tableColumn id="13" name="Finding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SkipAuditTable" displayName="SkipAuditTable" ref="A4:S313" headerRowCount="1">
  <autoFilter ref="A4:S313"/>
  <tableColumns count="19">
    <tableColumn id="1" name="Priority"/>
    <tableColumn id="2" name="Contemporaneous Proof"/>
    <tableColumn id="3" name="Skip ID"/>
    <tableColumn id="4" name="Offer ID"/>
    <tableColumn id="5" name="Skip Date"/>
    <tableColumn id="6" name="Applicant ID"/>
    <tableColumn id="7" name="Applicant Name"/>
    <tableColumn id="8" name="Slip ID"/>
    <tableColumn id="9" name="Basin"/>
    <tableColumn id="10" name="Reason Code"/>
    <tableColumn id="11" name="Review Date"/>
    <tableColumn id="12" name="PDF Present"/>
    <tableColumn id="13" name="PDF Contains Support"/>
    <tableColumn id="14" name="Review Timing"/>
    <tableColumn id="15" name="Offer Reconciled"/>
    <tableColumn id="16" name="Document Reconciled"/>
    <tableColumn id="17" name="Metadata Attached"/>
    <tableColumn id="18" name="Disposition"/>
    <tableColumn id="19" name="Find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mendmentAuditTable" displayName="AmendmentAuditTable" ref="A4:O204" headerRowCount="1">
  <autoFilter ref="A4:O204"/>
  <tableColumns count="15">
    <tableColumn id="1" name="Priority"/>
    <tableColumn id="2" name="Amendment ID"/>
    <tableColumn id="3" name="Amendment Date"/>
    <tableColumn id="4" name="Applicant ID"/>
    <tableColumn id="5" name="Applicant Name"/>
    <tableColumn id="6" name="Old LOA"/>
    <tableColumn id="7" name="New LOA"/>
    <tableColumn id="8" name="Source Document Label"/>
    <tableColumn id="9" name="Certificate PDF Present"/>
    <tableColumn id="10" name="Valid Support Match"/>
    <tableColumn id="11" name="Downstream Skip Count"/>
    <tableColumn id="12" name="First Downstream Skip"/>
    <tableColumn id="13" name="Finding"/>
    <tableColumn id="14" name="Counter Log"/>
    <tableColumn id="15" name="Workst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illingReconTable" displayName="BillingReconTable" ref="A4:Q1090" headerRowCount="1">
  <autoFilter ref="A4:Q1090"/>
  <tableColumns count="17">
    <tableColumn id="1" name="Slip ID"/>
    <tableColumn id="2" name="Basin"/>
    <tableColumn id="3" name="Covered/Open"/>
    <tableColumn id="4" name="Status"/>
    <tableColumn id="5" name="Tenant ID"/>
    <tableColumn id="6" name="Tenant Name"/>
    <tableColumn id="7" name="Slip Feet"/>
    <tableColumn id="8" name="Vessel LOA"/>
    <tableColumn id="9" name="Billable Feet"/>
    <tableColumn id="10" name="Rate / Foot-Month"/>
    <tableColumn id="11" name="Expected Base Charge"/>
    <tableColumn id="12" name="Actual Base Charge"/>
    <tableColumn id="13" name="Variance (Actual-Expected)"/>
    <tableColumn id="14" name="Transaction Count"/>
    <tableColumn id="15" name="Billed Feet"/>
    <tableColumn id="16" name="Transaction Arithmetic Variance"/>
    <tableColumn id="17" name="Status / Find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gingAuditTable" displayName="AgingAuditTable" ref="A4:V264" headerRowCount="1">
  <autoFilter ref="A4:V264"/>
  <tableColumns count="22">
    <tableColumn id="1" name="Account ID"/>
    <tableColumn id="2" name="Tenant"/>
    <tableColumn id="3" name="Source Slip ID"/>
    <tableColumn id="4" name="Basin"/>
    <tableColumn id="5" name="Rate Class"/>
    <tableColumn id="6" name="Current"/>
    <tableColumn id="7" name="31-60"/>
    <tableColumn id="8" name="61-90"/>
    <tableColumn id="9" name="91-120"/>
    <tableColumn id="10" name="120+"/>
    <tableColumn id="11" name="Reported Total Due"/>
    <tableColumn id="12" name="Last Payment"/>
    <tableColumn id="13" name="Payment Status"/>
    <tableColumn id="14" name="Embedded Slip ID"/>
    <tableColumn id="15" name="Slip ID Match"/>
    <tableColumn id="16" name="Inventory Status"/>
    <tableColumn id="17" name="Calculated Total Due"/>
    <tableColumn id="18" name="Arithmetic Variance"/>
    <tableColumn id="19" name="91+ Balance"/>
    <tableColumn id="20" name="Target Delinquent"/>
    <tableColumn id="21" name="Collection Candidate"/>
    <tableColumn id="22" name="Prior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ethodTable" displayName="MethodTable" ref="A4:E14" headerRowCount="1">
  <autoFilter ref="A4:E14"/>
  <tableColumns count="5">
    <tableColumn id="1" name="Parameter"/>
    <tableColumn id="2" name="Value"/>
    <tableColumn id="3" name="Authority / basis"/>
    <tableColumn id="4" name="Use"/>
    <tableColumn id="5" name="Cavea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ourceRegisterTable" displayName="SourceRegisterTable" ref="A18:C28" headerRowCount="1">
  <autoFilter ref="A18:C28"/>
  <tableColumns count="3">
    <tableColumn id="1" name="Source class"/>
    <tableColumn id="2" name="Named file / section"/>
    <tableColumn id="3" name="Audit use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ApplicantsTable" displayName="ApplicantsTable" ref="A1:F2911" headerRowCount="1">
  <autoFilter ref="A1:F2911"/>
  <tableColumns count="6">
    <tableColumn id="1" name="applicant_id"/>
    <tableColumn id="2" name="last_name"/>
    <tableColumn id="3" name="first_name"/>
    <tableColumn id="4" name="status"/>
    <tableColumn id="5" name="loa_ft"/>
    <tableColumn id="6" name="beam_f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OffersTable" displayName="OffersTable" ref="A1:J1487" headerRowCount="1">
  <autoFilter ref="A1:J1487"/>
  <tableColumns count="10">
    <tableColumn id="1" name="offer_id"/>
    <tableColumn id="2" name="offer_date"/>
    <tableColumn id="3" name="applicant_id"/>
    <tableColumn id="4" name="rank_at_offer"/>
    <tableColumn id="5" name="slip_id"/>
    <tableColumn id="6" name="basin"/>
    <tableColumn id="7" name="slip_size_ft"/>
    <tableColumn id="8" name="covered"/>
    <tableColumn id="9" name="outcome"/>
    <tableColumn id="10" name="skip_reason_cod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llSkipsTable" displayName="AllSkipsTable" ref="A1:L413" headerRowCount="1">
  <autoFilter ref="A1:L413"/>
  <tableColumns count="12">
    <tableColumn id="1" name="skip_id"/>
    <tableColumn id="2" name="offer_id"/>
    <tableColumn id="3" name="skip_date"/>
    <tableColumn id="4" name="applicant_id"/>
    <tableColumn id="5" name="rank_at_offer"/>
    <tableColumn id="6" name="slip_id"/>
    <tableColumn id="7" name="basin"/>
    <tableColumn id="8" name="slip_size_ft"/>
    <tableColumn id="9" name="reason_code"/>
    <tableColumn id="10" name="documentation_attached"/>
    <tableColumn id="11" name="review_date"/>
    <tableColumn id="12" name="disposi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nventoryTable" displayName="InventoryTable" ref="A1:H1181" headerRowCount="1">
  <autoFilter ref="A1:H1181"/>
  <tableColumns count="8">
    <tableColumn id="1" name="slip_id"/>
    <tableColumn id="2" name="basin"/>
    <tableColumn id="3" name="covered"/>
    <tableColumn id="4" name="slip_size_ft"/>
    <tableColumn id="5" name="status"/>
    <tableColumn id="6" name="tenant_id"/>
    <tableColumn id="7" name="tenant_name"/>
    <tableColumn id="8" name="vessel_loa_f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BillingAugTable" displayName="BillingAugTable" ref="A1:J770" headerRowCount="1">
  <autoFilter ref="A1:J770"/>
  <tableColumns count="10">
    <tableColumn id="1" name="txn_id"/>
    <tableColumn id="2" name="account_id"/>
    <tableColumn id="3" name="applicant_id"/>
    <tableColumn id="4" name="slip_id"/>
    <tableColumn id="5" name="basin"/>
    <tableColumn id="6" name="length_ft_billed"/>
    <tableColumn id="7" name="months_billed"/>
    <tableColumn id="8" name="foot_months"/>
    <tableColumn id="9" name="rate_per_foot_month"/>
    <tableColumn id="10" name="amou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kipDocsTable" displayName="SkipDocsTable" ref="A1:H7" headerRowCount="1">
  <autoFilter ref="A1:H7"/>
  <tableColumns count="8">
    <tableColumn id="1" name="applicant_id"/>
    <tableColumn id="2" name="filename"/>
    <tableColumn id="3" name="pdf_work_date"/>
    <tableColumn id="4" name="pdf_slip_id"/>
    <tableColumn id="5" name="pdf_reason_code"/>
    <tableColumn id="6" name="pages"/>
    <tableColumn id="7" name="contains_support"/>
    <tableColumn id="8" name="content_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CertDocsTable" displayName="CertDocsTable" ref="A1:J3" headerRowCount="1">
  <autoFilter ref="A1:J3"/>
  <tableColumns count="10">
    <tableColumn id="1" name="applicant_id"/>
    <tableColumn id="2" name="filename"/>
    <tableColumn id="3" name="certificate_no"/>
    <tableColumn id="4" name="certificate_date"/>
    <tableColumn id="5" name="measured_loa"/>
    <tableColumn id="6" name="measured_beam"/>
    <tableColumn id="7" name="draft"/>
    <tableColumn id="8" name="signed"/>
    <tableColumn id="9" name="certificate_slip_id"/>
    <tableColumn id="10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Chaldale Harbor Moorage Audit</t>
        </is>
      </c>
    </row>
    <row r="2" ht="28" customHeight="1">
      <c r="A2" s="2" t="inlineStr">
        <is>
          <t>Board review edition | Audit date: Friday, August 7, 2026 | Dollar reconciliation is base moorage before tax, electricity, and surcharges.</t>
        </is>
      </c>
    </row>
    <row r="3"/>
    <row r="4">
      <c r="A4" s="3" t="inlineStr">
        <is>
          <t>PRIORITY 1</t>
        </is>
      </c>
      <c r="D4" s="4" t="inlineStr">
        <is>
          <t>PRIORITY 2</t>
        </is>
      </c>
      <c r="G4" s="5" t="inlineStr">
        <is>
          <t>PRIORITY 3</t>
        </is>
      </c>
      <c r="J4" s="6" t="inlineStr">
        <is>
          <t>COLLECTION CANDIDATES</t>
        </is>
      </c>
    </row>
    <row r="5">
      <c r="A5" s="7">
        <f>COUNTIF('Skip Audit'!$A$5:$A$313,"Priority 1")+COUNTIF('Amendment Audit'!$A$5:$A$204,"Priority 1")</f>
        <v/>
      </c>
      <c r="D5" s="8">
        <f>COUNTIF('Skip Audit'!$A$5:$A$313,"Priority 2")+COUNTIF('Amendment Audit'!$A$5:$A$204,"Priority 2")</f>
        <v/>
      </c>
      <c r="G5" s="9">
        <f>COUNTIF('Aging &amp; Collections'!$V$5:$V$264,"Priority 3")</f>
        <v/>
      </c>
      <c r="J5" s="10">
        <f>COUNTIF('Aging &amp; Collections'!$U$5:$U$264,"YES")</f>
        <v/>
      </c>
    </row>
    <row r="6"/>
    <row r="7"/>
    <row r="8" ht="22" customHeight="1">
      <c r="A8" s="11" t="inlineStr">
        <is>
          <t>Board Decision Dashboard</t>
        </is>
      </c>
    </row>
    <row r="9">
      <c r="A9" s="12" t="inlineStr">
        <is>
          <t>Decision Area</t>
        </is>
      </c>
      <c r="B9" s="13" t="n"/>
      <c r="C9" s="12" t="inlineStr">
        <is>
          <t>Formula Result</t>
        </is>
      </c>
      <c r="D9" s="13" t="n"/>
      <c r="E9" s="12" t="inlineStr">
        <is>
          <t>Basis</t>
        </is>
      </c>
      <c r="F9" s="13" t="n"/>
      <c r="G9" s="13" t="n"/>
      <c r="H9" s="12" t="inlineStr">
        <is>
          <t>Recommended Board Direction</t>
        </is>
      </c>
      <c r="I9" s="13" t="n"/>
      <c r="J9" s="13" t="n"/>
      <c r="K9" s="13" t="n"/>
      <c r="L9" s="13" t="n"/>
    </row>
    <row r="10" ht="43" customHeight="1">
      <c r="A10" s="14" t="inlineStr">
        <is>
          <t>Collection</t>
        </is>
      </c>
      <c r="C10" s="15">
        <f>COUNTIF('Aging &amp; Collections'!$U$5:$U$264,"YES")</f>
        <v/>
      </c>
      <c r="E10" s="14" t="inlineStr">
        <is>
          <t>Occupied accounts with a nonzero 91-120 or 120+ bucket and no row arithmetic error.</t>
        </is>
      </c>
      <c r="H10" s="14" t="inlineStr">
        <is>
          <t>Authorize collection review for the listed six accounts; validate required notice and payment-plan status before action.</t>
        </is>
      </c>
    </row>
    <row r="11" ht="43" customHeight="1">
      <c r="A11" s="14" t="inlineStr">
        <is>
          <t>Queue integrity</t>
        </is>
      </c>
      <c r="C11" s="15">
        <f>COUNTIF('Skip Audit'!$B$5:$B$313,"YES")</f>
        <v/>
      </c>
      <c r="E11" s="14" t="inlineStr">
        <is>
          <t>Verified contemporaneous skip packets under the user-specified strict test.</t>
        </is>
      </c>
      <c r="H11" s="14" t="inlineStr">
        <is>
          <t>Treat the supplied record as insufficient to sustain audited skips; prioritize 15 unsupported LOA amendments followed by skips.</t>
        </is>
      </c>
    </row>
    <row r="12" ht="43" customHeight="1">
      <c r="A12" s="14" t="inlineStr">
        <is>
          <t>Billing completeness</t>
        </is>
      </c>
      <c r="C12" s="15">
        <f>COUNTIF('Billing Reconciliation'!$Q$5:$Q$1090,"NO AUG TRANSACTION IN SUPPLIED EXTRACT")</f>
        <v/>
      </c>
      <c r="E12" s="14" t="inlineStr">
        <is>
          <t>Occupied slips without an August 1 monthly-moorage row in the supplied extract.</t>
        </is>
      </c>
      <c r="H12" s="14" t="inlineStr">
        <is>
          <t>Re-extract billing before posting adjustments or treating the apparent shortfall as customer delinquency.</t>
        </is>
      </c>
    </row>
    <row r="13" ht="43" customHeight="1">
      <c r="A13" s="14" t="inlineStr">
        <is>
          <t>Aging control</t>
        </is>
      </c>
      <c r="C13" s="15">
        <f>COUNTIF('Aging &amp; Collections'!$V$5:$V$264,"Priority 3")</f>
        <v/>
      </c>
      <c r="E13" s="14" t="inlineStr">
        <is>
          <t>Rows where reported total_due differs from the formula sum of aging buckets.</t>
        </is>
      </c>
      <c r="H13" s="14" t="inlineStr">
        <is>
          <t>Correct the aging subledger before using total_due as a collection demand.</t>
        </is>
      </c>
    </row>
    <row r="14"/>
    <row r="15" ht="22" customHeight="1">
      <c r="A15" s="16" t="inlineStr">
        <is>
          <t>Formula Reconciliations</t>
        </is>
      </c>
    </row>
    <row r="16">
      <c r="A16" s="17" t="inlineStr">
        <is>
          <t>Area</t>
        </is>
      </c>
      <c r="B16" s="18" t="n"/>
      <c r="C16" s="17" t="inlineStr">
        <is>
          <t>Metric</t>
        </is>
      </c>
      <c r="D16" s="18" t="n"/>
      <c r="E16" s="17" t="inlineStr">
        <is>
          <t>Formula Result</t>
        </is>
      </c>
      <c r="F16" s="18" t="n"/>
      <c r="G16" s="18" t="n"/>
      <c r="H16" s="17" t="inlineStr">
        <is>
          <t>Arithmetic / source basis</t>
        </is>
      </c>
      <c r="I16" s="18" t="n"/>
      <c r="J16" s="18" t="n"/>
      <c r="K16" s="18" t="n"/>
      <c r="L16" s="18" t="n"/>
    </row>
    <row r="17" ht="30" customHeight="1">
      <c r="A17" s="14" t="inlineStr">
        <is>
          <t>Skips</t>
        </is>
      </c>
      <c r="C17" s="14" t="inlineStr">
        <is>
          <t>Events in audit window</t>
        </is>
      </c>
      <c r="E17" s="14">
        <f>ROWS('Skip Audit'!$C$5:$C$313)</f>
        <v/>
      </c>
      <c r="H17" s="14" t="inlineStr">
        <is>
          <t>skip_events_2022_2026.csv; skip_date filter</t>
        </is>
      </c>
    </row>
    <row r="18" ht="30" customHeight="1">
      <c r="A18" s="14" t="inlineStr">
        <is>
          <t>Skips</t>
        </is>
      </c>
      <c r="C18" s="14" t="inlineStr">
        <is>
          <t>No supplied PDF</t>
        </is>
      </c>
      <c r="E18" s="14">
        <f>COUNTIF('Skip Audit'!$L$5:$L$313,"NO")</f>
        <v/>
      </c>
      <c r="H18" s="14" t="inlineStr">
        <is>
          <t>Strict supplied-file test</t>
        </is>
      </c>
    </row>
    <row r="19" ht="30" customHeight="1">
      <c r="A19" s="14" t="inlineStr">
        <is>
          <t>Skips</t>
        </is>
      </c>
      <c r="C19" s="14" t="inlineStr">
        <is>
          <t>Verified contemporaneous proof</t>
        </is>
      </c>
      <c r="E19" s="14">
        <f>COUNTIF('Skip Audit'!$B$5:$B$313,"YES")</f>
        <v/>
      </c>
      <c r="H19" s="14" t="inlineStr">
        <is>
          <t>PDF + support + timely review + document/event + offer/event match</t>
        </is>
      </c>
    </row>
    <row r="20" ht="30" customHeight="1">
      <c r="A20" s="14" t="inlineStr">
        <is>
          <t>LOA amendments</t>
        </is>
      </c>
      <c r="C20" s="14" t="inlineStr">
        <is>
          <t>Unsubstantiated</t>
        </is>
      </c>
      <c r="E20" s="14">
        <f>COUNTIF('Amendment Audit'!$J$5:$J$204,"NO")</f>
        <v/>
      </c>
      <c r="H20" s="14" t="inlineStr">
        <is>
          <t>200 scoped rows less valid supplied support</t>
        </is>
      </c>
    </row>
    <row r="21" ht="30" customHeight="1">
      <c r="A21" s="14" t="inlineStr">
        <is>
          <t>LOA amendments</t>
        </is>
      </c>
      <c r="C21" s="14" t="inlineStr">
        <is>
          <t>Unsubstantiated with downstream skip</t>
        </is>
      </c>
      <c r="E21" s="14">
        <f>COUNTIFS('Amendment Audit'!$J$5:$J$204,"NO",'Amendment Audit'!$K$5:$K$204,"&gt;0")</f>
        <v/>
      </c>
      <c r="H21" s="14" t="inlineStr">
        <is>
          <t>Resolution 2022-06 s.4.3 + skip_events join</t>
        </is>
      </c>
    </row>
    <row r="22" ht="30" customHeight="1">
      <c r="A22" s="14" t="inlineStr">
        <is>
          <t>Billing</t>
        </is>
      </c>
      <c r="C22" s="14" t="inlineStr">
        <is>
          <t>Expected base charges</t>
        </is>
      </c>
      <c r="E22" s="19">
        <f>SUM('Billing Reconciliation'!$K$5:$K$1090)</f>
        <v/>
      </c>
      <c r="H22" s="14" t="inlineStr">
        <is>
          <t>SUM billable feet x covered/open rate</t>
        </is>
      </c>
    </row>
    <row r="23" ht="30" customHeight="1">
      <c r="A23" s="14" t="inlineStr">
        <is>
          <t>Billing</t>
        </is>
      </c>
      <c r="C23" s="14" t="inlineStr">
        <is>
          <t>Actual base charges</t>
        </is>
      </c>
      <c r="E23" s="19">
        <f>SUM('Billing Reconciliation'!$L$5:$L$1090)</f>
        <v/>
      </c>
      <c r="H23" s="14" t="inlineStr">
        <is>
          <t>SUM August 1 monthly-moorage amount</t>
        </is>
      </c>
    </row>
    <row r="24" ht="30" customHeight="1">
      <c r="A24" s="14" t="inlineStr">
        <is>
          <t>Billing</t>
        </is>
      </c>
      <c r="C24" s="14" t="inlineStr">
        <is>
          <t>Variance (actual - expected)</t>
        </is>
      </c>
      <c r="E24" s="19">
        <f>SUM('Billing Reconciliation'!$M$5:$M$1090)</f>
        <v/>
      </c>
      <c r="H24" s="14" t="inlineStr">
        <is>
          <t>Actual less expected; missing transaction rows contribute zero actual</t>
        </is>
      </c>
    </row>
    <row r="25" ht="30" customHeight="1">
      <c r="A25" s="14" t="inlineStr">
        <is>
          <t>Aging</t>
        </is>
      </c>
      <c r="C25" s="14" t="inlineStr">
        <is>
          <t>91-120 balance</t>
        </is>
      </c>
      <c r="E25" s="19">
        <f>SUM('Aging &amp; Collections'!$I$5:$I$264)</f>
        <v/>
      </c>
      <c r="H25" s="14" t="inlineStr">
        <is>
          <t>AR_Aging days_90 column (captioned 91-120 in source Summary)</t>
        </is>
      </c>
    </row>
    <row r="26" ht="30" customHeight="1">
      <c r="A26" s="14" t="inlineStr">
        <is>
          <t>Aging</t>
        </is>
      </c>
      <c r="C26" s="14" t="inlineStr">
        <is>
          <t>120+ balance</t>
        </is>
      </c>
      <c r="E26" s="19">
        <f>SUM('Aging &amp; Collections'!$J$5:$J$264)</f>
        <v/>
      </c>
      <c r="H26" s="14" t="inlineStr">
        <is>
          <t>AR_Aging days_120_plus column</t>
        </is>
      </c>
    </row>
    <row r="27" ht="30" customHeight="1">
      <c r="A27" s="14" t="inlineStr">
        <is>
          <t>Aging</t>
        </is>
      </c>
      <c r="C27" s="14" t="inlineStr">
        <is>
          <t>Collection candidates total due</t>
        </is>
      </c>
      <c r="E27" s="19">
        <f>SUMIFS('Aging &amp; Collections'!$K$5:$K$264,'Aging &amp; Collections'!$U$5:$U$264,"YES")</f>
        <v/>
      </c>
      <c r="H27" s="14" t="inlineStr">
        <is>
          <t>Reported total_due for six arithmetic-clean, occupied target accounts</t>
        </is>
      </c>
    </row>
    <row r="28" ht="30" customHeight="1">
      <c r="A28" s="14" t="inlineStr">
        <is>
          <t>Aging</t>
        </is>
      </c>
      <c r="C28" s="14" t="inlineStr">
        <is>
          <t>Net total_due error</t>
        </is>
      </c>
      <c r="E28" s="19">
        <f>SUM('Aging &amp; Collections'!$R$5:$R$264)</f>
        <v/>
      </c>
      <c r="H28" s="14" t="inlineStr">
        <is>
          <t>SUM(reported total_due - calculated bucket total)</t>
        </is>
      </c>
    </row>
    <row r="29"/>
    <row r="30" ht="30" customHeight="1">
      <c r="A30" s="20" t="inlineStr">
        <is>
          <t>Interpretive limit</t>
        </is>
      </c>
      <c r="B30" s="21" t="inlineStr">
        <is>
          <t>The 317 missing August transaction rows are an extract gap, not proof of nonbilling. The supplied certificates do not map to current tenants, so inventory vessel_loa_ft is the available current-occupant LOA proxy.</t>
        </is>
      </c>
    </row>
    <row r="31"/>
    <row r="32"/>
    <row r="33">
      <c r="A33" s="22" t="inlineStr">
        <is>
          <t>Workbook navigation</t>
        </is>
      </c>
      <c r="B33" s="23" t="inlineStr">
        <is>
          <t>Use Queue Exceptions for priority counts and named records; Document Recon for the eight supplied PDFs; Skip Audit and Amendment Audit for complete queue populations; Billing Reconciliation for all occupied slips; Aging &amp; Collections for collection candidates and subledger errors; Methodology for authority and source paths.</t>
        </is>
      </c>
    </row>
    <row r="34"/>
  </sheetData>
  <mergeCells count="86"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  <mergeCell ref="A8:L8"/>
    <mergeCell ref="A9:B9"/>
    <mergeCell ref="C9:D9"/>
    <mergeCell ref="E9:G9"/>
    <mergeCell ref="H9:L9"/>
    <mergeCell ref="A10:B10"/>
    <mergeCell ref="C10:D10"/>
    <mergeCell ref="E10:G10"/>
    <mergeCell ref="H10:L10"/>
    <mergeCell ref="A11:B11"/>
    <mergeCell ref="C11:D11"/>
    <mergeCell ref="E11:G11"/>
    <mergeCell ref="H11:L11"/>
    <mergeCell ref="A12:B12"/>
    <mergeCell ref="C12:D12"/>
    <mergeCell ref="E12:G12"/>
    <mergeCell ref="H12:L12"/>
    <mergeCell ref="A13:B13"/>
    <mergeCell ref="C13:D13"/>
    <mergeCell ref="E13:G13"/>
    <mergeCell ref="H13:L13"/>
    <mergeCell ref="A15:L15"/>
    <mergeCell ref="A16:B16"/>
    <mergeCell ref="C16:D16"/>
    <mergeCell ref="E16:G16"/>
    <mergeCell ref="H16:L16"/>
    <mergeCell ref="A17:B17"/>
    <mergeCell ref="C17:D17"/>
    <mergeCell ref="E17:G17"/>
    <mergeCell ref="H17:L17"/>
    <mergeCell ref="A18:B18"/>
    <mergeCell ref="C18:D18"/>
    <mergeCell ref="E18:G18"/>
    <mergeCell ref="H18:L18"/>
    <mergeCell ref="A19:B19"/>
    <mergeCell ref="C19:D19"/>
    <mergeCell ref="E19:G19"/>
    <mergeCell ref="H19:L19"/>
    <mergeCell ref="A20:B20"/>
    <mergeCell ref="C20:D20"/>
    <mergeCell ref="E20:G20"/>
    <mergeCell ref="H20:L20"/>
    <mergeCell ref="A21:B21"/>
    <mergeCell ref="C21:D21"/>
    <mergeCell ref="E21:G21"/>
    <mergeCell ref="H21:L21"/>
    <mergeCell ref="A22:B22"/>
    <mergeCell ref="C22:D22"/>
    <mergeCell ref="E22:G22"/>
    <mergeCell ref="H22:L22"/>
    <mergeCell ref="A23:B23"/>
    <mergeCell ref="C23:D23"/>
    <mergeCell ref="E23:G23"/>
    <mergeCell ref="H23:L23"/>
    <mergeCell ref="A24:B24"/>
    <mergeCell ref="C24:D24"/>
    <mergeCell ref="E24:G24"/>
    <mergeCell ref="H24:L24"/>
    <mergeCell ref="A25:B25"/>
    <mergeCell ref="C25:D25"/>
    <mergeCell ref="E25:G25"/>
    <mergeCell ref="H25:L25"/>
    <mergeCell ref="A26:B26"/>
    <mergeCell ref="C26:D26"/>
    <mergeCell ref="E26:G26"/>
    <mergeCell ref="H26:L26"/>
    <mergeCell ref="A27:B27"/>
    <mergeCell ref="C27:D27"/>
    <mergeCell ref="E27:G27"/>
    <mergeCell ref="H27:L27"/>
    <mergeCell ref="A28:B28"/>
    <mergeCell ref="C28:D28"/>
    <mergeCell ref="E28:G28"/>
    <mergeCell ref="H28:L28"/>
    <mergeCell ref="B30:L30"/>
    <mergeCell ref="B33:L34"/>
  </mergeCells>
  <pageMargins left="0.25" right="0.25" top="0.35" bottom="0.4" header="0.5" footer="0.5"/>
  <pageSetup orientation="landscape" paperSize="5" fitToHeight="1" fitToWidth="1"/>
  <headerFooter>
    <oddHeader/>
    <oddFooter>&amp;CChaldale Harbor Moorage Audit | August 7, 2026&amp;RPage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3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2" customWidth="1" min="3" max="3"/>
    <col width="13" customWidth="1" min="4" max="4"/>
    <col width="18" customWidth="1" min="5" max="5"/>
    <col width="12" customWidth="1" min="6" max="6"/>
    <col width="16" customWidth="1" min="7" max="7"/>
    <col width="55" customWidth="1" min="8" max="8"/>
  </cols>
  <sheetData>
    <row r="1" ht="30" customHeight="1">
      <c r="A1" s="1" t="inlineStr">
        <is>
          <t>Queue Exceptions Requiring Board Attention</t>
        </is>
      </c>
    </row>
    <row r="2" ht="28" customHeight="1">
      <c r="A2" s="2" t="inlineStr">
        <is>
          <t>Priority totals are formulas over the Skip Audit, Amendment Audit, and Aging &amp; Collections sheets. Complete populations remain filterable on those sheets.</t>
        </is>
      </c>
    </row>
    <row r="3"/>
    <row r="4" ht="22" customHeight="1">
      <c r="A4" s="11" t="inlineStr">
        <is>
          <t>Priority Summary</t>
        </is>
      </c>
    </row>
    <row r="5" ht="30" customHeight="1">
      <c r="A5" s="24" t="inlineStr">
        <is>
          <t>Priority</t>
        </is>
      </c>
      <c r="B5" s="24" t="inlineStr">
        <is>
          <t>Exception Class</t>
        </is>
      </c>
      <c r="C5" s="24" t="inlineStr">
        <is>
          <t>Formula Count</t>
        </is>
      </c>
      <c r="D5" s="24" t="inlineStr">
        <is>
          <t>Board Significance</t>
        </is>
      </c>
      <c r="E5" s="24" t="inlineStr">
        <is>
          <t>Complete Detail</t>
        </is>
      </c>
      <c r="F5" s="24" t="inlineStr">
        <is>
          <t>Basis</t>
        </is>
      </c>
      <c r="G5" s="24" t="inlineStr">
        <is>
          <t>Owner</t>
        </is>
      </c>
      <c r="H5" s="24" t="inlineStr">
        <is>
          <t>Proposed Disposition</t>
        </is>
      </c>
    </row>
    <row r="6">
      <c r="A6" s="23" t="inlineStr">
        <is>
          <t>Priority 1</t>
        </is>
      </c>
      <c r="B6" s="23" t="inlineStr">
        <is>
          <t>Skips with no supplied supporting record</t>
        </is>
      </c>
      <c r="C6" s="23">
        <f>COUNTIF('Skip Audit'!$A$5:$A$313,"Priority 1")</f>
        <v/>
      </c>
      <c r="D6" s="23" t="inlineStr">
        <is>
          <t>Departure from rank order lacks supplied support.</t>
        </is>
      </c>
      <c r="E6" s="23" t="inlineStr">
        <is>
          <t>Skip Audit</t>
        </is>
      </c>
      <c r="F6" s="23" t="inlineStr">
        <is>
          <t>User priority rule; Standing Order 15-3 ss.3.2-3.3</t>
        </is>
      </c>
      <c r="G6" s="23" t="inlineStr">
        <is>
          <t>Harbormaster / Clerk</t>
        </is>
      </c>
      <c r="H6" s="23" t="inlineStr">
        <is>
          <t>Hold reliance; reconstruct only if Board-authorized evidence exists.</t>
        </is>
      </c>
    </row>
    <row r="7">
      <c r="A7" s="23" t="inlineStr">
        <is>
          <t>Priority 1</t>
        </is>
      </c>
      <c r="B7" s="23" t="inlineStr">
        <is>
          <t>Unsubstantiated LOA amendments with downstream skips</t>
        </is>
      </c>
      <c r="C7" s="23">
        <f>COUNTIFS('Amendment Audit'!$A$5:$A$204,"Priority 1")</f>
        <v/>
      </c>
      <c r="D7" s="23" t="inlineStr">
        <is>
          <t>Unsupported LOA may have affected later skip decisions.</t>
        </is>
      </c>
      <c r="E7" s="23" t="inlineStr">
        <is>
          <t>Amendment Audit</t>
        </is>
      </c>
      <c r="F7" s="23" t="inlineStr">
        <is>
          <t>Resolution 2022-06 s.4.3</t>
        </is>
      </c>
      <c r="G7" s="23" t="inlineStr">
        <is>
          <t>Harbormaster</t>
        </is>
      </c>
      <c r="H7" s="23" t="inlineStr">
        <is>
          <t>Legal/records review before further reliance.</t>
        </is>
      </c>
    </row>
    <row r="8">
      <c r="A8" s="23" t="inlineStr">
        <is>
          <t>Priority 2</t>
        </is>
      </c>
      <c r="B8" s="23" t="inlineStr">
        <is>
          <t>Supported packets assembled after skip date</t>
        </is>
      </c>
      <c r="C8" s="23">
        <f>COUNTIF('Skip Audit'!$A$5:$A$313,"Priority 2")</f>
        <v/>
      </c>
      <c r="D8" s="23" t="inlineStr">
        <is>
          <t>Packet has content but misses contemporaneous timing standard.</t>
        </is>
      </c>
      <c r="E8" s="23" t="inlineStr">
        <is>
          <t>Skip Audit</t>
        </is>
      </c>
      <c r="F8" s="23" t="inlineStr">
        <is>
          <t>User priority rule; Appeal 2018-3 IV-A</t>
        </is>
      </c>
      <c r="G8" s="23" t="inlineStr">
        <is>
          <t>Harbormaster / Clerk</t>
        </is>
      </c>
      <c r="H8" s="23" t="inlineStr">
        <is>
          <t>Board review; do not treat as verified contemporaneous proof.</t>
        </is>
      </c>
    </row>
    <row r="9">
      <c r="A9" s="23" t="inlineStr">
        <is>
          <t>Priority 2</t>
        </is>
      </c>
      <c r="B9" s="23" t="inlineStr">
        <is>
          <t>Unsubstantiated LOA amendments without downstream skips</t>
        </is>
      </c>
      <c r="C9" s="23">
        <f>COUNTIFS('Amendment Audit'!$A$5:$A$204,"Priority 2")</f>
        <v/>
      </c>
      <c r="D9" s="23" t="inlineStr">
        <is>
          <t>No supplied independent measurement file.</t>
        </is>
      </c>
      <c r="E9" s="23" t="inlineStr">
        <is>
          <t>Amendment Audit</t>
        </is>
      </c>
      <c r="F9" s="23" t="inlineStr">
        <is>
          <t>Resolution 2022-06 s.4.3</t>
        </is>
      </c>
      <c r="G9" s="23" t="inlineStr">
        <is>
          <t>Records Officer</t>
        </is>
      </c>
      <c r="H9" s="23" t="inlineStr">
        <is>
          <t>Obtain support or flag amendment against future use.</t>
        </is>
      </c>
    </row>
    <row r="10">
      <c r="A10" s="23" t="inlineStr">
        <is>
          <t>Priority 3</t>
        </is>
      </c>
      <c r="B10" s="23" t="inlineStr">
        <is>
          <t>Aging subledger arithmetic errors</t>
        </is>
      </c>
      <c r="C10" s="23">
        <f>COUNTIF('Aging &amp; Collections'!$V$5:$V$264,"Priority 3")</f>
        <v/>
      </c>
      <c r="D10" s="23" t="inlineStr">
        <is>
          <t>Reported total_due does not equal bucket sum.</t>
        </is>
      </c>
      <c r="E10" s="23" t="inlineStr">
        <is>
          <t>Aging &amp; Collections</t>
        </is>
      </c>
      <c r="F10" s="23" t="inlineStr">
        <is>
          <t>User priority rule; formula reconciliation</t>
        </is>
      </c>
      <c r="G10" s="23" t="inlineStr">
        <is>
          <t>Finance</t>
        </is>
      </c>
      <c r="H10" s="23" t="inlineStr">
        <is>
          <t>Correct subledger before collection based on total_due.</t>
        </is>
      </c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</row>
    <row r="13" ht="22" customHeight="1">
      <c r="A13" s="26" t="inlineStr">
        <is>
          <t>Named Record-Level Exceptions</t>
        </is>
      </c>
      <c r="B13" s="25" t="n"/>
      <c r="C13" s="25" t="n"/>
      <c r="D13" s="25" t="n"/>
      <c r="E13" s="25" t="n"/>
      <c r="F13" s="25" t="n"/>
      <c r="G13" s="25" t="n"/>
      <c r="H13" s="25" t="n"/>
    </row>
    <row r="14" ht="30" customHeight="1">
      <c r="A14" s="27" t="inlineStr">
        <is>
          <t>Type</t>
        </is>
      </c>
      <c r="B14" s="27" t="inlineStr">
        <is>
          <t>Record ID</t>
        </is>
      </c>
      <c r="C14" s="27" t="inlineStr">
        <is>
          <t>Subject</t>
        </is>
      </c>
      <c r="D14" s="27" t="inlineStr">
        <is>
          <t>Date</t>
        </is>
      </c>
      <c r="E14" s="27" t="inlineStr">
        <is>
          <t>Related Record</t>
        </is>
      </c>
      <c r="F14" s="27" t="inlineStr">
        <is>
          <t>Priority</t>
        </is>
      </c>
      <c r="G14" s="27" t="inlineStr">
        <is>
          <t>Dollar Variance</t>
        </is>
      </c>
      <c r="H14" s="27" t="inlineStr">
        <is>
          <t>Finding</t>
        </is>
      </c>
    </row>
    <row r="15">
      <c r="A15" s="23" t="inlineStr">
        <is>
          <t>Skip packet</t>
        </is>
      </c>
      <c r="B15" s="23">
        <f>'Skip Audit'!C309</f>
        <v/>
      </c>
      <c r="C15" s="23">
        <f>'Skip Audit'!F309</f>
        <v/>
      </c>
      <c r="D15" s="28">
        <f>'Skip Audit'!E309</f>
        <v/>
      </c>
      <c r="E15" s="23">
        <f>'Skip Audit'!D309</f>
        <v/>
      </c>
      <c r="F15" s="23">
        <f>'Skip Audit'!A309</f>
        <v/>
      </c>
      <c r="G15" s="29" t="n"/>
      <c r="H15" s="23">
        <f>'Skip Audit'!S309</f>
        <v/>
      </c>
    </row>
    <row r="16">
      <c r="A16" s="23" t="inlineStr">
        <is>
          <t>Skip packet</t>
        </is>
      </c>
      <c r="B16" s="23">
        <f>'Skip Audit'!C312</f>
        <v/>
      </c>
      <c r="C16" s="23">
        <f>'Skip Audit'!F312</f>
        <v/>
      </c>
      <c r="D16" s="28">
        <f>'Skip Audit'!E312</f>
        <v/>
      </c>
      <c r="E16" s="23">
        <f>'Skip Audit'!D312</f>
        <v/>
      </c>
      <c r="F16" s="23">
        <f>'Skip Audit'!A312</f>
        <v/>
      </c>
      <c r="G16" s="29" t="n"/>
      <c r="H16" s="23">
        <f>'Skip Audit'!S312</f>
        <v/>
      </c>
    </row>
    <row r="17">
      <c r="A17" s="23" t="inlineStr">
        <is>
          <t>Skip packet</t>
        </is>
      </c>
      <c r="B17" s="23">
        <f>'Skip Audit'!C310</f>
        <v/>
      </c>
      <c r="C17" s="23">
        <f>'Skip Audit'!F310</f>
        <v/>
      </c>
      <c r="D17" s="28">
        <f>'Skip Audit'!E310</f>
        <v/>
      </c>
      <c r="E17" s="23">
        <f>'Skip Audit'!D310</f>
        <v/>
      </c>
      <c r="F17" s="23">
        <f>'Skip Audit'!A310</f>
        <v/>
      </c>
      <c r="G17" s="29" t="n"/>
      <c r="H17" s="23">
        <f>'Skip Audit'!S310</f>
        <v/>
      </c>
    </row>
    <row r="18">
      <c r="A18" s="23" t="inlineStr">
        <is>
          <t>Skip packet</t>
        </is>
      </c>
      <c r="B18" s="23">
        <f>'Skip Audit'!C313</f>
        <v/>
      </c>
      <c r="C18" s="23">
        <f>'Skip Audit'!F313</f>
        <v/>
      </c>
      <c r="D18" s="28">
        <f>'Skip Audit'!E313</f>
        <v/>
      </c>
      <c r="E18" s="23">
        <f>'Skip Audit'!D313</f>
        <v/>
      </c>
      <c r="F18" s="23">
        <f>'Skip Audit'!A313</f>
        <v/>
      </c>
      <c r="G18" s="29" t="n"/>
      <c r="H18" s="23">
        <f>'Skip Audit'!S313</f>
        <v/>
      </c>
    </row>
    <row r="19">
      <c r="A19" s="23" t="inlineStr">
        <is>
          <t>Skip packet</t>
        </is>
      </c>
      <c r="B19" s="23">
        <f>'Skip Audit'!C311</f>
        <v/>
      </c>
      <c r="C19" s="23">
        <f>'Skip Audit'!F311</f>
        <v/>
      </c>
      <c r="D19" s="28">
        <f>'Skip Audit'!E311</f>
        <v/>
      </c>
      <c r="E19" s="23">
        <f>'Skip Audit'!D311</f>
        <v/>
      </c>
      <c r="F19" s="23">
        <f>'Skip Audit'!A311</f>
        <v/>
      </c>
      <c r="G19" s="29" t="n"/>
      <c r="H19" s="23">
        <f>'Skip Audit'!S311</f>
        <v/>
      </c>
    </row>
    <row r="20">
      <c r="A20" s="23" t="inlineStr">
        <is>
          <t>LOA amendment</t>
        </is>
      </c>
      <c r="B20" s="23">
        <f>'Amendment Audit'!B7</f>
        <v/>
      </c>
      <c r="C20" s="23">
        <f>'Amendment Audit'!D7</f>
        <v/>
      </c>
      <c r="D20" s="28">
        <f>'Amendment Audit'!C7</f>
        <v/>
      </c>
      <c r="E20" s="23">
        <f>'Amendment Audit'!L7</f>
        <v/>
      </c>
      <c r="F20" s="23">
        <f>'Amendment Audit'!A7</f>
        <v/>
      </c>
      <c r="G20" s="29" t="n"/>
      <c r="H20" s="23">
        <f>'Amendment Audit'!M7</f>
        <v/>
      </c>
    </row>
    <row r="21">
      <c r="A21" s="23" t="inlineStr">
        <is>
          <t>LOA amendment</t>
        </is>
      </c>
      <c r="B21" s="23">
        <f>'Amendment Audit'!B14</f>
        <v/>
      </c>
      <c r="C21" s="23">
        <f>'Amendment Audit'!D14</f>
        <v/>
      </c>
      <c r="D21" s="28">
        <f>'Amendment Audit'!C14</f>
        <v/>
      </c>
      <c r="E21" s="23">
        <f>'Amendment Audit'!L14</f>
        <v/>
      </c>
      <c r="F21" s="23">
        <f>'Amendment Audit'!A14</f>
        <v/>
      </c>
      <c r="G21" s="29" t="n"/>
      <c r="H21" s="23">
        <f>'Amendment Audit'!M14</f>
        <v/>
      </c>
    </row>
    <row r="22">
      <c r="A22" s="23" t="inlineStr">
        <is>
          <t>LOA amendment</t>
        </is>
      </c>
      <c r="B22" s="23">
        <f>'Amendment Audit'!B16</f>
        <v/>
      </c>
      <c r="C22" s="23">
        <f>'Amendment Audit'!D16</f>
        <v/>
      </c>
      <c r="D22" s="28">
        <f>'Amendment Audit'!C16</f>
        <v/>
      </c>
      <c r="E22" s="23">
        <f>'Amendment Audit'!L16</f>
        <v/>
      </c>
      <c r="F22" s="23">
        <f>'Amendment Audit'!A16</f>
        <v/>
      </c>
      <c r="G22" s="29" t="n"/>
      <c r="H22" s="23">
        <f>'Amendment Audit'!M16</f>
        <v/>
      </c>
    </row>
    <row r="23">
      <c r="A23" s="23" t="inlineStr">
        <is>
          <t>LOA amendment</t>
        </is>
      </c>
      <c r="B23" s="23">
        <f>'Amendment Audit'!B23</f>
        <v/>
      </c>
      <c r="C23" s="23">
        <f>'Amendment Audit'!D23</f>
        <v/>
      </c>
      <c r="D23" s="28">
        <f>'Amendment Audit'!C23</f>
        <v/>
      </c>
      <c r="E23" s="23">
        <f>'Amendment Audit'!L23</f>
        <v/>
      </c>
      <c r="F23" s="23">
        <f>'Amendment Audit'!A23</f>
        <v/>
      </c>
      <c r="G23" s="29" t="n"/>
      <c r="H23" s="23">
        <f>'Amendment Audit'!M23</f>
        <v/>
      </c>
    </row>
    <row r="24">
      <c r="A24" s="23" t="inlineStr">
        <is>
          <t>LOA amendment</t>
        </is>
      </c>
      <c r="B24" s="23">
        <f>'Amendment Audit'!B32</f>
        <v/>
      </c>
      <c r="C24" s="23">
        <f>'Amendment Audit'!D32</f>
        <v/>
      </c>
      <c r="D24" s="28">
        <f>'Amendment Audit'!C32</f>
        <v/>
      </c>
      <c r="E24" s="23">
        <f>'Amendment Audit'!L32</f>
        <v/>
      </c>
      <c r="F24" s="23">
        <f>'Amendment Audit'!A32</f>
        <v/>
      </c>
      <c r="G24" s="29" t="n"/>
      <c r="H24" s="23">
        <f>'Amendment Audit'!M32</f>
        <v/>
      </c>
    </row>
    <row r="25">
      <c r="A25" s="23" t="inlineStr">
        <is>
          <t>LOA amendment</t>
        </is>
      </c>
      <c r="B25" s="23">
        <f>'Amendment Audit'!B42</f>
        <v/>
      </c>
      <c r="C25" s="23">
        <f>'Amendment Audit'!D42</f>
        <v/>
      </c>
      <c r="D25" s="28">
        <f>'Amendment Audit'!C42</f>
        <v/>
      </c>
      <c r="E25" s="23">
        <f>'Amendment Audit'!L42</f>
        <v/>
      </c>
      <c r="F25" s="23">
        <f>'Amendment Audit'!A42</f>
        <v/>
      </c>
      <c r="G25" s="29" t="n"/>
      <c r="H25" s="23">
        <f>'Amendment Audit'!M42</f>
        <v/>
      </c>
    </row>
    <row r="26">
      <c r="A26" s="23" t="inlineStr">
        <is>
          <t>LOA amendment</t>
        </is>
      </c>
      <c r="B26" s="23">
        <f>'Amendment Audit'!B44</f>
        <v/>
      </c>
      <c r="C26" s="23">
        <f>'Amendment Audit'!D44</f>
        <v/>
      </c>
      <c r="D26" s="28">
        <f>'Amendment Audit'!C44</f>
        <v/>
      </c>
      <c r="E26" s="23">
        <f>'Amendment Audit'!L44</f>
        <v/>
      </c>
      <c r="F26" s="23">
        <f>'Amendment Audit'!A44</f>
        <v/>
      </c>
      <c r="G26" s="29" t="n"/>
      <c r="H26" s="23">
        <f>'Amendment Audit'!M44</f>
        <v/>
      </c>
    </row>
    <row r="27">
      <c r="A27" s="23" t="inlineStr">
        <is>
          <t>LOA amendment</t>
        </is>
      </c>
      <c r="B27" s="23">
        <f>'Amendment Audit'!B51</f>
        <v/>
      </c>
      <c r="C27" s="23">
        <f>'Amendment Audit'!D51</f>
        <v/>
      </c>
      <c r="D27" s="28">
        <f>'Amendment Audit'!C51</f>
        <v/>
      </c>
      <c r="E27" s="23">
        <f>'Amendment Audit'!L51</f>
        <v/>
      </c>
      <c r="F27" s="23">
        <f>'Amendment Audit'!A51</f>
        <v/>
      </c>
      <c r="G27" s="29" t="n"/>
      <c r="H27" s="23">
        <f>'Amendment Audit'!M51</f>
        <v/>
      </c>
    </row>
    <row r="28">
      <c r="A28" s="23" t="inlineStr">
        <is>
          <t>LOA amendment</t>
        </is>
      </c>
      <c r="B28" s="23">
        <f>'Amendment Audit'!B66</f>
        <v/>
      </c>
      <c r="C28" s="23">
        <f>'Amendment Audit'!D66</f>
        <v/>
      </c>
      <c r="D28" s="28">
        <f>'Amendment Audit'!C66</f>
        <v/>
      </c>
      <c r="E28" s="23">
        <f>'Amendment Audit'!L66</f>
        <v/>
      </c>
      <c r="F28" s="23">
        <f>'Amendment Audit'!A66</f>
        <v/>
      </c>
      <c r="G28" s="29" t="n"/>
      <c r="H28" s="23">
        <f>'Amendment Audit'!M66</f>
        <v/>
      </c>
    </row>
    <row r="29">
      <c r="A29" s="23" t="inlineStr">
        <is>
          <t>LOA amendment</t>
        </is>
      </c>
      <c r="B29" s="23">
        <f>'Amendment Audit'!B77</f>
        <v/>
      </c>
      <c r="C29" s="23">
        <f>'Amendment Audit'!D77</f>
        <v/>
      </c>
      <c r="D29" s="28">
        <f>'Amendment Audit'!C77</f>
        <v/>
      </c>
      <c r="E29" s="23">
        <f>'Amendment Audit'!L77</f>
        <v/>
      </c>
      <c r="F29" s="23">
        <f>'Amendment Audit'!A77</f>
        <v/>
      </c>
      <c r="G29" s="29" t="n"/>
      <c r="H29" s="23">
        <f>'Amendment Audit'!M77</f>
        <v/>
      </c>
    </row>
    <row r="30">
      <c r="A30" s="23" t="inlineStr">
        <is>
          <t>LOA amendment</t>
        </is>
      </c>
      <c r="B30" s="23">
        <f>'Amendment Audit'!B84</f>
        <v/>
      </c>
      <c r="C30" s="23">
        <f>'Amendment Audit'!D84</f>
        <v/>
      </c>
      <c r="D30" s="28">
        <f>'Amendment Audit'!C84</f>
        <v/>
      </c>
      <c r="E30" s="23">
        <f>'Amendment Audit'!L84</f>
        <v/>
      </c>
      <c r="F30" s="23">
        <f>'Amendment Audit'!A84</f>
        <v/>
      </c>
      <c r="G30" s="29" t="n"/>
      <c r="H30" s="23">
        <f>'Amendment Audit'!M84</f>
        <v/>
      </c>
    </row>
    <row r="31">
      <c r="A31" s="23" t="inlineStr">
        <is>
          <t>LOA amendment</t>
        </is>
      </c>
      <c r="B31" s="23">
        <f>'Amendment Audit'!B86</f>
        <v/>
      </c>
      <c r="C31" s="23">
        <f>'Amendment Audit'!D86</f>
        <v/>
      </c>
      <c r="D31" s="28">
        <f>'Amendment Audit'!C86</f>
        <v/>
      </c>
      <c r="E31" s="23">
        <f>'Amendment Audit'!L86</f>
        <v/>
      </c>
      <c r="F31" s="23">
        <f>'Amendment Audit'!A86</f>
        <v/>
      </c>
      <c r="G31" s="29" t="n"/>
      <c r="H31" s="23">
        <f>'Amendment Audit'!M86</f>
        <v/>
      </c>
    </row>
    <row r="32">
      <c r="A32" s="23" t="inlineStr">
        <is>
          <t>LOA amendment</t>
        </is>
      </c>
      <c r="B32" s="23">
        <f>'Amendment Audit'!B103</f>
        <v/>
      </c>
      <c r="C32" s="23">
        <f>'Amendment Audit'!D103</f>
        <v/>
      </c>
      <c r="D32" s="28">
        <f>'Amendment Audit'!C103</f>
        <v/>
      </c>
      <c r="E32" s="23">
        <f>'Amendment Audit'!L103</f>
        <v/>
      </c>
      <c r="F32" s="23">
        <f>'Amendment Audit'!A103</f>
        <v/>
      </c>
      <c r="G32" s="29" t="n"/>
      <c r="H32" s="23">
        <f>'Amendment Audit'!M103</f>
        <v/>
      </c>
    </row>
    <row r="33">
      <c r="A33" s="23" t="inlineStr">
        <is>
          <t>LOA amendment</t>
        </is>
      </c>
      <c r="B33" s="23">
        <f>'Amendment Audit'!B150</f>
        <v/>
      </c>
      <c r="C33" s="23">
        <f>'Amendment Audit'!D150</f>
        <v/>
      </c>
      <c r="D33" s="28">
        <f>'Amendment Audit'!C150</f>
        <v/>
      </c>
      <c r="E33" s="23">
        <f>'Amendment Audit'!L150</f>
        <v/>
      </c>
      <c r="F33" s="23">
        <f>'Amendment Audit'!A150</f>
        <v/>
      </c>
      <c r="G33" s="29" t="n"/>
      <c r="H33" s="23">
        <f>'Amendment Audit'!M150</f>
        <v/>
      </c>
    </row>
    <row r="34">
      <c r="A34" s="23" t="inlineStr">
        <is>
          <t>LOA amendment</t>
        </is>
      </c>
      <c r="B34" s="23">
        <f>'Amendment Audit'!B175</f>
        <v/>
      </c>
      <c r="C34" s="23">
        <f>'Amendment Audit'!D175</f>
        <v/>
      </c>
      <c r="D34" s="28">
        <f>'Amendment Audit'!C175</f>
        <v/>
      </c>
      <c r="E34" s="23">
        <f>'Amendment Audit'!L175</f>
        <v/>
      </c>
      <c r="F34" s="23">
        <f>'Amendment Audit'!A175</f>
        <v/>
      </c>
      <c r="G34" s="29" t="n"/>
      <c r="H34" s="23">
        <f>'Amendment Audit'!M175</f>
        <v/>
      </c>
    </row>
    <row r="35">
      <c r="A35" s="23" t="inlineStr">
        <is>
          <t>Aging arithmetic</t>
        </is>
      </c>
      <c r="B35" s="23">
        <f>'Aging &amp; Collections'!A6</f>
        <v/>
      </c>
      <c r="C35" s="23">
        <f>'Aging &amp; Collections'!B6</f>
        <v/>
      </c>
      <c r="D35" s="30" t="n"/>
      <c r="E35" s="23">
        <f>'Aging &amp; Collections'!C6</f>
        <v/>
      </c>
      <c r="F35" s="23">
        <f>'Aging &amp; Collections'!V6</f>
        <v/>
      </c>
      <c r="G35" s="31">
        <f>'Aging &amp; Collections'!R6</f>
        <v/>
      </c>
      <c r="H35" s="23" t="inlineStr">
        <is>
          <t>Reported total_due differs from formula sum of aging buckets.</t>
        </is>
      </c>
    </row>
    <row r="36">
      <c r="A36" s="23" t="inlineStr">
        <is>
          <t>Aging arithmetic</t>
        </is>
      </c>
      <c r="B36" s="23">
        <f>'Aging &amp; Collections'!A37</f>
        <v/>
      </c>
      <c r="C36" s="23">
        <f>'Aging &amp; Collections'!B37</f>
        <v/>
      </c>
      <c r="D36" s="30" t="n"/>
      <c r="E36" s="23">
        <f>'Aging &amp; Collections'!C37</f>
        <v/>
      </c>
      <c r="F36" s="23">
        <f>'Aging &amp; Collections'!V37</f>
        <v/>
      </c>
      <c r="G36" s="31">
        <f>'Aging &amp; Collections'!R37</f>
        <v/>
      </c>
      <c r="H36" s="23" t="inlineStr">
        <is>
          <t>Reported total_due differs from formula sum of aging buckets.</t>
        </is>
      </c>
    </row>
    <row r="37">
      <c r="A37" s="23" t="inlineStr">
        <is>
          <t>Aging arithmetic</t>
        </is>
      </c>
      <c r="B37" s="23">
        <f>'Aging &amp; Collections'!A38</f>
        <v/>
      </c>
      <c r="C37" s="23">
        <f>'Aging &amp; Collections'!B38</f>
        <v/>
      </c>
      <c r="D37" s="30" t="n"/>
      <c r="E37" s="23">
        <f>'Aging &amp; Collections'!C38</f>
        <v/>
      </c>
      <c r="F37" s="23">
        <f>'Aging &amp; Collections'!V38</f>
        <v/>
      </c>
      <c r="G37" s="31">
        <f>'Aging &amp; Collections'!R38</f>
        <v/>
      </c>
      <c r="H37" s="23" t="inlineStr">
        <is>
          <t>Reported total_due differs from formula sum of aging buckets.</t>
        </is>
      </c>
    </row>
    <row r="38">
      <c r="A38" s="23" t="inlineStr">
        <is>
          <t>Aging arithmetic</t>
        </is>
      </c>
      <c r="B38" s="23">
        <f>'Aging &amp; Collections'!A45</f>
        <v/>
      </c>
      <c r="C38" s="23">
        <f>'Aging &amp; Collections'!B45</f>
        <v/>
      </c>
      <c r="D38" s="30" t="n"/>
      <c r="E38" s="23">
        <f>'Aging &amp; Collections'!C45</f>
        <v/>
      </c>
      <c r="F38" s="23">
        <f>'Aging &amp; Collections'!V45</f>
        <v/>
      </c>
      <c r="G38" s="31">
        <f>'Aging &amp; Collections'!R45</f>
        <v/>
      </c>
      <c r="H38" s="23" t="inlineStr">
        <is>
          <t>Reported total_due differs from formula sum of aging buckets.</t>
        </is>
      </c>
    </row>
    <row r="39">
      <c r="A39" s="23" t="inlineStr">
        <is>
          <t>Aging arithmetic</t>
        </is>
      </c>
      <c r="B39" s="23">
        <f>'Aging &amp; Collections'!A47</f>
        <v/>
      </c>
      <c r="C39" s="23">
        <f>'Aging &amp; Collections'!B47</f>
        <v/>
      </c>
      <c r="D39" s="30" t="n"/>
      <c r="E39" s="23">
        <f>'Aging &amp; Collections'!C47</f>
        <v/>
      </c>
      <c r="F39" s="23">
        <f>'Aging &amp; Collections'!V47</f>
        <v/>
      </c>
      <c r="G39" s="31">
        <f>'Aging &amp; Collections'!R47</f>
        <v/>
      </c>
      <c r="H39" s="23" t="inlineStr">
        <is>
          <t>Reported total_due differs from formula sum of aging buckets.</t>
        </is>
      </c>
    </row>
    <row r="40">
      <c r="A40" s="23" t="inlineStr">
        <is>
          <t>Aging arithmetic</t>
        </is>
      </c>
      <c r="B40" s="23">
        <f>'Aging &amp; Collections'!A50</f>
        <v/>
      </c>
      <c r="C40" s="23">
        <f>'Aging &amp; Collections'!B50</f>
        <v/>
      </c>
      <c r="D40" s="30" t="n"/>
      <c r="E40" s="23">
        <f>'Aging &amp; Collections'!C50</f>
        <v/>
      </c>
      <c r="F40" s="23">
        <f>'Aging &amp; Collections'!V50</f>
        <v/>
      </c>
      <c r="G40" s="31">
        <f>'Aging &amp; Collections'!R50</f>
        <v/>
      </c>
      <c r="H40" s="23" t="inlineStr">
        <is>
          <t>Reported total_due differs from formula sum of aging buckets.</t>
        </is>
      </c>
    </row>
    <row r="41">
      <c r="A41" s="23" t="inlineStr">
        <is>
          <t>Aging arithmetic</t>
        </is>
      </c>
      <c r="B41" s="23">
        <f>'Aging &amp; Collections'!A53</f>
        <v/>
      </c>
      <c r="C41" s="23">
        <f>'Aging &amp; Collections'!B53</f>
        <v/>
      </c>
      <c r="D41" s="30" t="n"/>
      <c r="E41" s="23">
        <f>'Aging &amp; Collections'!C53</f>
        <v/>
      </c>
      <c r="F41" s="23">
        <f>'Aging &amp; Collections'!V53</f>
        <v/>
      </c>
      <c r="G41" s="31">
        <f>'Aging &amp; Collections'!R53</f>
        <v/>
      </c>
      <c r="H41" s="23" t="inlineStr">
        <is>
          <t>Reported total_due differs from formula sum of aging buckets.</t>
        </is>
      </c>
    </row>
    <row r="42">
      <c r="A42" s="23" t="inlineStr">
        <is>
          <t>Aging arithmetic</t>
        </is>
      </c>
      <c r="B42" s="23">
        <f>'Aging &amp; Collections'!A61</f>
        <v/>
      </c>
      <c r="C42" s="23">
        <f>'Aging &amp; Collections'!B61</f>
        <v/>
      </c>
      <c r="D42" s="30" t="n"/>
      <c r="E42" s="23">
        <f>'Aging &amp; Collections'!C61</f>
        <v/>
      </c>
      <c r="F42" s="23">
        <f>'Aging &amp; Collections'!V61</f>
        <v/>
      </c>
      <c r="G42" s="31">
        <f>'Aging &amp; Collections'!R61</f>
        <v/>
      </c>
      <c r="H42" s="23" t="inlineStr">
        <is>
          <t>Reported total_due differs from formula sum of aging buckets.</t>
        </is>
      </c>
    </row>
    <row r="43">
      <c r="A43" s="23" t="inlineStr">
        <is>
          <t>Aging arithmetic</t>
        </is>
      </c>
      <c r="B43" s="23">
        <f>'Aging &amp; Collections'!A69</f>
        <v/>
      </c>
      <c r="C43" s="23">
        <f>'Aging &amp; Collections'!B69</f>
        <v/>
      </c>
      <c r="D43" s="30" t="n"/>
      <c r="E43" s="23">
        <f>'Aging &amp; Collections'!C69</f>
        <v/>
      </c>
      <c r="F43" s="23">
        <f>'Aging &amp; Collections'!V69</f>
        <v/>
      </c>
      <c r="G43" s="31">
        <f>'Aging &amp; Collections'!R69</f>
        <v/>
      </c>
      <c r="H43" s="23" t="inlineStr">
        <is>
          <t>Reported total_due differs from formula sum of aging buckets.</t>
        </is>
      </c>
    </row>
    <row r="44">
      <c r="A44" s="23" t="inlineStr">
        <is>
          <t>Aging arithmetic</t>
        </is>
      </c>
      <c r="B44" s="23">
        <f>'Aging &amp; Collections'!A77</f>
        <v/>
      </c>
      <c r="C44" s="23">
        <f>'Aging &amp; Collections'!B77</f>
        <v/>
      </c>
      <c r="D44" s="30" t="n"/>
      <c r="E44" s="23">
        <f>'Aging &amp; Collections'!C77</f>
        <v/>
      </c>
      <c r="F44" s="23">
        <f>'Aging &amp; Collections'!V77</f>
        <v/>
      </c>
      <c r="G44" s="31">
        <f>'Aging &amp; Collections'!R77</f>
        <v/>
      </c>
      <c r="H44" s="23" t="inlineStr">
        <is>
          <t>Reported total_due differs from formula sum of aging buckets.</t>
        </is>
      </c>
    </row>
    <row r="45">
      <c r="A45" s="23" t="inlineStr">
        <is>
          <t>Aging arithmetic</t>
        </is>
      </c>
      <c r="B45" s="23">
        <f>'Aging &amp; Collections'!A83</f>
        <v/>
      </c>
      <c r="C45" s="23">
        <f>'Aging &amp; Collections'!B83</f>
        <v/>
      </c>
      <c r="D45" s="30" t="n"/>
      <c r="E45" s="23">
        <f>'Aging &amp; Collections'!C83</f>
        <v/>
      </c>
      <c r="F45" s="23">
        <f>'Aging &amp; Collections'!V83</f>
        <v/>
      </c>
      <c r="G45" s="31">
        <f>'Aging &amp; Collections'!R83</f>
        <v/>
      </c>
      <c r="H45" s="23" t="inlineStr">
        <is>
          <t>Reported total_due differs from formula sum of aging buckets.</t>
        </is>
      </c>
    </row>
    <row r="46">
      <c r="A46" s="23" t="inlineStr">
        <is>
          <t>Aging arithmetic</t>
        </is>
      </c>
      <c r="B46" s="23">
        <f>'Aging &amp; Collections'!A88</f>
        <v/>
      </c>
      <c r="C46" s="23">
        <f>'Aging &amp; Collections'!B88</f>
        <v/>
      </c>
      <c r="D46" s="30" t="n"/>
      <c r="E46" s="23">
        <f>'Aging &amp; Collections'!C88</f>
        <v/>
      </c>
      <c r="F46" s="23">
        <f>'Aging &amp; Collections'!V88</f>
        <v/>
      </c>
      <c r="G46" s="31">
        <f>'Aging &amp; Collections'!R88</f>
        <v/>
      </c>
      <c r="H46" s="23" t="inlineStr">
        <is>
          <t>Reported total_due differs from formula sum of aging buckets.</t>
        </is>
      </c>
    </row>
    <row r="47">
      <c r="A47" s="23" t="inlineStr">
        <is>
          <t>Aging arithmetic</t>
        </is>
      </c>
      <c r="B47" s="23">
        <f>'Aging &amp; Collections'!A106</f>
        <v/>
      </c>
      <c r="C47" s="23">
        <f>'Aging &amp; Collections'!B106</f>
        <v/>
      </c>
      <c r="D47" s="30" t="n"/>
      <c r="E47" s="23">
        <f>'Aging &amp; Collections'!C106</f>
        <v/>
      </c>
      <c r="F47" s="23">
        <f>'Aging &amp; Collections'!V106</f>
        <v/>
      </c>
      <c r="G47" s="31">
        <f>'Aging &amp; Collections'!R106</f>
        <v/>
      </c>
      <c r="H47" s="23" t="inlineStr">
        <is>
          <t>Reported total_due differs from formula sum of aging buckets.</t>
        </is>
      </c>
    </row>
    <row r="48">
      <c r="A48" s="23" t="inlineStr">
        <is>
          <t>Aging arithmetic</t>
        </is>
      </c>
      <c r="B48" s="23">
        <f>'Aging &amp; Collections'!A109</f>
        <v/>
      </c>
      <c r="C48" s="23">
        <f>'Aging &amp; Collections'!B109</f>
        <v/>
      </c>
      <c r="D48" s="30" t="n"/>
      <c r="E48" s="23">
        <f>'Aging &amp; Collections'!C109</f>
        <v/>
      </c>
      <c r="F48" s="23">
        <f>'Aging &amp; Collections'!V109</f>
        <v/>
      </c>
      <c r="G48" s="31">
        <f>'Aging &amp; Collections'!R109</f>
        <v/>
      </c>
      <c r="H48" s="23" t="inlineStr">
        <is>
          <t>Reported total_due differs from formula sum of aging buckets.</t>
        </is>
      </c>
    </row>
    <row r="49">
      <c r="A49" s="23" t="inlineStr">
        <is>
          <t>Aging arithmetic</t>
        </is>
      </c>
      <c r="B49" s="23">
        <f>'Aging &amp; Collections'!A114</f>
        <v/>
      </c>
      <c r="C49" s="23">
        <f>'Aging &amp; Collections'!B114</f>
        <v/>
      </c>
      <c r="D49" s="30" t="n"/>
      <c r="E49" s="23">
        <f>'Aging &amp; Collections'!C114</f>
        <v/>
      </c>
      <c r="F49" s="23">
        <f>'Aging &amp; Collections'!V114</f>
        <v/>
      </c>
      <c r="G49" s="31">
        <f>'Aging &amp; Collections'!R114</f>
        <v/>
      </c>
      <c r="H49" s="23" t="inlineStr">
        <is>
          <t>Reported total_due differs from formula sum of aging buckets.</t>
        </is>
      </c>
    </row>
    <row r="50">
      <c r="A50" s="23" t="inlineStr">
        <is>
          <t>Aging arithmetic</t>
        </is>
      </c>
      <c r="B50" s="23">
        <f>'Aging &amp; Collections'!A120</f>
        <v/>
      </c>
      <c r="C50" s="23">
        <f>'Aging &amp; Collections'!B120</f>
        <v/>
      </c>
      <c r="D50" s="30" t="n"/>
      <c r="E50" s="23">
        <f>'Aging &amp; Collections'!C120</f>
        <v/>
      </c>
      <c r="F50" s="23">
        <f>'Aging &amp; Collections'!V120</f>
        <v/>
      </c>
      <c r="G50" s="31">
        <f>'Aging &amp; Collections'!R120</f>
        <v/>
      </c>
      <c r="H50" s="23" t="inlineStr">
        <is>
          <t>Reported total_due differs from formula sum of aging buckets.</t>
        </is>
      </c>
    </row>
    <row r="51">
      <c r="A51" s="23" t="inlineStr">
        <is>
          <t>Aging arithmetic</t>
        </is>
      </c>
      <c r="B51" s="23">
        <f>'Aging &amp; Collections'!A125</f>
        <v/>
      </c>
      <c r="C51" s="23">
        <f>'Aging &amp; Collections'!B125</f>
        <v/>
      </c>
      <c r="D51" s="30" t="n"/>
      <c r="E51" s="23">
        <f>'Aging &amp; Collections'!C125</f>
        <v/>
      </c>
      <c r="F51" s="23">
        <f>'Aging &amp; Collections'!V125</f>
        <v/>
      </c>
      <c r="G51" s="31">
        <f>'Aging &amp; Collections'!R125</f>
        <v/>
      </c>
      <c r="H51" s="23" t="inlineStr">
        <is>
          <t>Reported total_due differs from formula sum of aging buckets.</t>
        </is>
      </c>
    </row>
    <row r="52">
      <c r="A52" s="23" t="inlineStr">
        <is>
          <t>Aging arithmetic</t>
        </is>
      </c>
      <c r="B52" s="23">
        <f>'Aging &amp; Collections'!A126</f>
        <v/>
      </c>
      <c r="C52" s="23">
        <f>'Aging &amp; Collections'!B126</f>
        <v/>
      </c>
      <c r="D52" s="30" t="n"/>
      <c r="E52" s="23">
        <f>'Aging &amp; Collections'!C126</f>
        <v/>
      </c>
      <c r="F52" s="23">
        <f>'Aging &amp; Collections'!V126</f>
        <v/>
      </c>
      <c r="G52" s="31">
        <f>'Aging &amp; Collections'!R126</f>
        <v/>
      </c>
      <c r="H52" s="23" t="inlineStr">
        <is>
          <t>Reported total_due differs from formula sum of aging buckets.</t>
        </is>
      </c>
    </row>
    <row r="53">
      <c r="A53" s="23" t="inlineStr">
        <is>
          <t>Aging arithmetic</t>
        </is>
      </c>
      <c r="B53" s="23">
        <f>'Aging &amp; Collections'!A129</f>
        <v/>
      </c>
      <c r="C53" s="23">
        <f>'Aging &amp; Collections'!B129</f>
        <v/>
      </c>
      <c r="D53" s="30" t="n"/>
      <c r="E53" s="23">
        <f>'Aging &amp; Collections'!C129</f>
        <v/>
      </c>
      <c r="F53" s="23">
        <f>'Aging &amp; Collections'!V129</f>
        <v/>
      </c>
      <c r="G53" s="31">
        <f>'Aging &amp; Collections'!R129</f>
        <v/>
      </c>
      <c r="H53" s="23" t="inlineStr">
        <is>
          <t>Reported total_due differs from formula sum of aging buckets.</t>
        </is>
      </c>
    </row>
    <row r="54">
      <c r="A54" s="23" t="inlineStr">
        <is>
          <t>Aging arithmetic</t>
        </is>
      </c>
      <c r="B54" s="23">
        <f>'Aging &amp; Collections'!A132</f>
        <v/>
      </c>
      <c r="C54" s="23">
        <f>'Aging &amp; Collections'!B132</f>
        <v/>
      </c>
      <c r="D54" s="30" t="n"/>
      <c r="E54" s="23">
        <f>'Aging &amp; Collections'!C132</f>
        <v/>
      </c>
      <c r="F54" s="23">
        <f>'Aging &amp; Collections'!V132</f>
        <v/>
      </c>
      <c r="G54" s="31">
        <f>'Aging &amp; Collections'!R132</f>
        <v/>
      </c>
      <c r="H54" s="23" t="inlineStr">
        <is>
          <t>Reported total_due differs from formula sum of aging buckets.</t>
        </is>
      </c>
    </row>
    <row r="55">
      <c r="A55" s="23" t="inlineStr">
        <is>
          <t>Aging arithmetic</t>
        </is>
      </c>
      <c r="B55" s="23">
        <f>'Aging &amp; Collections'!A138</f>
        <v/>
      </c>
      <c r="C55" s="23">
        <f>'Aging &amp; Collections'!B138</f>
        <v/>
      </c>
      <c r="D55" s="30" t="n"/>
      <c r="E55" s="23">
        <f>'Aging &amp; Collections'!C138</f>
        <v/>
      </c>
      <c r="F55" s="23">
        <f>'Aging &amp; Collections'!V138</f>
        <v/>
      </c>
      <c r="G55" s="31">
        <f>'Aging &amp; Collections'!R138</f>
        <v/>
      </c>
      <c r="H55" s="23" t="inlineStr">
        <is>
          <t>Reported total_due differs from formula sum of aging buckets.</t>
        </is>
      </c>
    </row>
    <row r="56">
      <c r="A56" s="23" t="inlineStr">
        <is>
          <t>Aging arithmetic</t>
        </is>
      </c>
      <c r="B56" s="23">
        <f>'Aging &amp; Collections'!A141</f>
        <v/>
      </c>
      <c r="C56" s="23">
        <f>'Aging &amp; Collections'!B141</f>
        <v/>
      </c>
      <c r="D56" s="30" t="n"/>
      <c r="E56" s="23">
        <f>'Aging &amp; Collections'!C141</f>
        <v/>
      </c>
      <c r="F56" s="23">
        <f>'Aging &amp; Collections'!V141</f>
        <v/>
      </c>
      <c r="G56" s="31">
        <f>'Aging &amp; Collections'!R141</f>
        <v/>
      </c>
      <c r="H56" s="23" t="inlineStr">
        <is>
          <t>Reported total_due differs from formula sum of aging buckets.</t>
        </is>
      </c>
    </row>
    <row r="57">
      <c r="A57" s="23" t="inlineStr">
        <is>
          <t>Aging arithmetic</t>
        </is>
      </c>
      <c r="B57" s="23">
        <f>'Aging &amp; Collections'!A145</f>
        <v/>
      </c>
      <c r="C57" s="23">
        <f>'Aging &amp; Collections'!B145</f>
        <v/>
      </c>
      <c r="D57" s="30" t="n"/>
      <c r="E57" s="23">
        <f>'Aging &amp; Collections'!C145</f>
        <v/>
      </c>
      <c r="F57" s="23">
        <f>'Aging &amp; Collections'!V145</f>
        <v/>
      </c>
      <c r="G57" s="31">
        <f>'Aging &amp; Collections'!R145</f>
        <v/>
      </c>
      <c r="H57" s="23" t="inlineStr">
        <is>
          <t>Reported total_due differs from formula sum of aging buckets.</t>
        </is>
      </c>
    </row>
    <row r="58">
      <c r="A58" s="23" t="inlineStr">
        <is>
          <t>Aging arithmetic</t>
        </is>
      </c>
      <c r="B58" s="23">
        <f>'Aging &amp; Collections'!A148</f>
        <v/>
      </c>
      <c r="C58" s="23">
        <f>'Aging &amp; Collections'!B148</f>
        <v/>
      </c>
      <c r="D58" s="30" t="n"/>
      <c r="E58" s="23">
        <f>'Aging &amp; Collections'!C148</f>
        <v/>
      </c>
      <c r="F58" s="23">
        <f>'Aging &amp; Collections'!V148</f>
        <v/>
      </c>
      <c r="G58" s="31">
        <f>'Aging &amp; Collections'!R148</f>
        <v/>
      </c>
      <c r="H58" s="23" t="inlineStr">
        <is>
          <t>Reported total_due differs from formula sum of aging buckets.</t>
        </is>
      </c>
    </row>
    <row r="59">
      <c r="A59" s="23" t="inlineStr">
        <is>
          <t>Aging arithmetic</t>
        </is>
      </c>
      <c r="B59" s="23">
        <f>'Aging &amp; Collections'!A151</f>
        <v/>
      </c>
      <c r="C59" s="23">
        <f>'Aging &amp; Collections'!B151</f>
        <v/>
      </c>
      <c r="D59" s="30" t="n"/>
      <c r="E59" s="23">
        <f>'Aging &amp; Collections'!C151</f>
        <v/>
      </c>
      <c r="F59" s="23">
        <f>'Aging &amp; Collections'!V151</f>
        <v/>
      </c>
      <c r="G59" s="31">
        <f>'Aging &amp; Collections'!R151</f>
        <v/>
      </c>
      <c r="H59" s="23" t="inlineStr">
        <is>
          <t>Reported total_due differs from formula sum of aging buckets.</t>
        </is>
      </c>
    </row>
    <row r="60">
      <c r="A60" s="23" t="inlineStr">
        <is>
          <t>Aging arithmetic</t>
        </is>
      </c>
      <c r="B60" s="23">
        <f>'Aging &amp; Collections'!A153</f>
        <v/>
      </c>
      <c r="C60" s="23">
        <f>'Aging &amp; Collections'!B153</f>
        <v/>
      </c>
      <c r="D60" s="30" t="n"/>
      <c r="E60" s="23">
        <f>'Aging &amp; Collections'!C153</f>
        <v/>
      </c>
      <c r="F60" s="23">
        <f>'Aging &amp; Collections'!V153</f>
        <v/>
      </c>
      <c r="G60" s="31">
        <f>'Aging &amp; Collections'!R153</f>
        <v/>
      </c>
      <c r="H60" s="23" t="inlineStr">
        <is>
          <t>Reported total_due differs from formula sum of aging buckets.</t>
        </is>
      </c>
    </row>
    <row r="61">
      <c r="A61" s="23" t="inlineStr">
        <is>
          <t>Aging arithmetic</t>
        </is>
      </c>
      <c r="B61" s="23">
        <f>'Aging &amp; Collections'!A157</f>
        <v/>
      </c>
      <c r="C61" s="23">
        <f>'Aging &amp; Collections'!B157</f>
        <v/>
      </c>
      <c r="D61" s="30" t="n"/>
      <c r="E61" s="23">
        <f>'Aging &amp; Collections'!C157</f>
        <v/>
      </c>
      <c r="F61" s="23">
        <f>'Aging &amp; Collections'!V157</f>
        <v/>
      </c>
      <c r="G61" s="31">
        <f>'Aging &amp; Collections'!R157</f>
        <v/>
      </c>
      <c r="H61" s="23" t="inlineStr">
        <is>
          <t>Reported total_due differs from formula sum of aging buckets.</t>
        </is>
      </c>
    </row>
    <row r="62">
      <c r="A62" s="23" t="inlineStr">
        <is>
          <t>Aging arithmetic</t>
        </is>
      </c>
      <c r="B62" s="23">
        <f>'Aging &amp; Collections'!A163</f>
        <v/>
      </c>
      <c r="C62" s="23">
        <f>'Aging &amp; Collections'!B163</f>
        <v/>
      </c>
      <c r="D62" s="30" t="n"/>
      <c r="E62" s="23">
        <f>'Aging &amp; Collections'!C163</f>
        <v/>
      </c>
      <c r="F62" s="23">
        <f>'Aging &amp; Collections'!V163</f>
        <v/>
      </c>
      <c r="G62" s="31">
        <f>'Aging &amp; Collections'!R163</f>
        <v/>
      </c>
      <c r="H62" s="23" t="inlineStr">
        <is>
          <t>Reported total_due differs from formula sum of aging buckets.</t>
        </is>
      </c>
    </row>
    <row r="63">
      <c r="A63" s="23" t="inlineStr">
        <is>
          <t>Aging arithmetic</t>
        </is>
      </c>
      <c r="B63" s="23">
        <f>'Aging &amp; Collections'!A168</f>
        <v/>
      </c>
      <c r="C63" s="23">
        <f>'Aging &amp; Collections'!B168</f>
        <v/>
      </c>
      <c r="D63" s="30" t="n"/>
      <c r="E63" s="23">
        <f>'Aging &amp; Collections'!C168</f>
        <v/>
      </c>
      <c r="F63" s="23">
        <f>'Aging &amp; Collections'!V168</f>
        <v/>
      </c>
      <c r="G63" s="31">
        <f>'Aging &amp; Collections'!R168</f>
        <v/>
      </c>
      <c r="H63" s="23" t="inlineStr">
        <is>
          <t>Reported total_due differs from formula sum of aging buckets.</t>
        </is>
      </c>
    </row>
    <row r="64">
      <c r="A64" s="23" t="inlineStr">
        <is>
          <t>Aging arithmetic</t>
        </is>
      </c>
      <c r="B64" s="23">
        <f>'Aging &amp; Collections'!A171</f>
        <v/>
      </c>
      <c r="C64" s="23">
        <f>'Aging &amp; Collections'!B171</f>
        <v/>
      </c>
      <c r="D64" s="30" t="n"/>
      <c r="E64" s="23">
        <f>'Aging &amp; Collections'!C171</f>
        <v/>
      </c>
      <c r="F64" s="23">
        <f>'Aging &amp; Collections'!V171</f>
        <v/>
      </c>
      <c r="G64" s="31">
        <f>'Aging &amp; Collections'!R171</f>
        <v/>
      </c>
      <c r="H64" s="23" t="inlineStr">
        <is>
          <t>Reported total_due differs from formula sum of aging buckets.</t>
        </is>
      </c>
    </row>
    <row r="65">
      <c r="A65" s="23" t="inlineStr">
        <is>
          <t>Aging arithmetic</t>
        </is>
      </c>
      <c r="B65" s="23">
        <f>'Aging &amp; Collections'!A177</f>
        <v/>
      </c>
      <c r="C65" s="23">
        <f>'Aging &amp; Collections'!B177</f>
        <v/>
      </c>
      <c r="D65" s="30" t="n"/>
      <c r="E65" s="23">
        <f>'Aging &amp; Collections'!C177</f>
        <v/>
      </c>
      <c r="F65" s="23">
        <f>'Aging &amp; Collections'!V177</f>
        <v/>
      </c>
      <c r="G65" s="31">
        <f>'Aging &amp; Collections'!R177</f>
        <v/>
      </c>
      <c r="H65" s="23" t="inlineStr">
        <is>
          <t>Reported total_due differs from formula sum of aging buckets.</t>
        </is>
      </c>
    </row>
    <row r="66">
      <c r="A66" s="23" t="inlineStr">
        <is>
          <t>Aging arithmetic</t>
        </is>
      </c>
      <c r="B66" s="23">
        <f>'Aging &amp; Collections'!A191</f>
        <v/>
      </c>
      <c r="C66" s="23">
        <f>'Aging &amp; Collections'!B191</f>
        <v/>
      </c>
      <c r="D66" s="30" t="n"/>
      <c r="E66" s="23">
        <f>'Aging &amp; Collections'!C191</f>
        <v/>
      </c>
      <c r="F66" s="23">
        <f>'Aging &amp; Collections'!V191</f>
        <v/>
      </c>
      <c r="G66" s="31">
        <f>'Aging &amp; Collections'!R191</f>
        <v/>
      </c>
      <c r="H66" s="23" t="inlineStr">
        <is>
          <t>Reported total_due differs from formula sum of aging buckets.</t>
        </is>
      </c>
    </row>
    <row r="67">
      <c r="A67" s="23" t="inlineStr">
        <is>
          <t>Aging arithmetic</t>
        </is>
      </c>
      <c r="B67" s="23">
        <f>'Aging &amp; Collections'!A217</f>
        <v/>
      </c>
      <c r="C67" s="23">
        <f>'Aging &amp; Collections'!B217</f>
        <v/>
      </c>
      <c r="D67" s="30" t="n"/>
      <c r="E67" s="23">
        <f>'Aging &amp; Collections'!C217</f>
        <v/>
      </c>
      <c r="F67" s="23">
        <f>'Aging &amp; Collections'!V217</f>
        <v/>
      </c>
      <c r="G67" s="31">
        <f>'Aging &amp; Collections'!R217</f>
        <v/>
      </c>
      <c r="H67" s="23" t="inlineStr">
        <is>
          <t>Reported total_due differs from formula sum of aging buckets.</t>
        </is>
      </c>
    </row>
    <row r="68">
      <c r="A68" s="23" t="inlineStr">
        <is>
          <t>Aging arithmetic</t>
        </is>
      </c>
      <c r="B68" s="23">
        <f>'Aging &amp; Collections'!A223</f>
        <v/>
      </c>
      <c r="C68" s="23">
        <f>'Aging &amp; Collections'!B223</f>
        <v/>
      </c>
      <c r="D68" s="30" t="n"/>
      <c r="E68" s="23">
        <f>'Aging &amp; Collections'!C223</f>
        <v/>
      </c>
      <c r="F68" s="23">
        <f>'Aging &amp; Collections'!V223</f>
        <v/>
      </c>
      <c r="G68" s="31">
        <f>'Aging &amp; Collections'!R223</f>
        <v/>
      </c>
      <c r="H68" s="23" t="inlineStr">
        <is>
          <t>Reported total_due differs from formula sum of aging buckets.</t>
        </is>
      </c>
    </row>
    <row r="69">
      <c r="A69" s="23" t="inlineStr">
        <is>
          <t>Aging arithmetic</t>
        </is>
      </c>
      <c r="B69" s="23">
        <f>'Aging &amp; Collections'!A235</f>
        <v/>
      </c>
      <c r="C69" s="23">
        <f>'Aging &amp; Collections'!B235</f>
        <v/>
      </c>
      <c r="D69" s="30" t="n"/>
      <c r="E69" s="23">
        <f>'Aging &amp; Collections'!C235</f>
        <v/>
      </c>
      <c r="F69" s="23">
        <f>'Aging &amp; Collections'!V235</f>
        <v/>
      </c>
      <c r="G69" s="31">
        <f>'Aging &amp; Collections'!R235</f>
        <v/>
      </c>
      <c r="H69" s="23" t="inlineStr">
        <is>
          <t>Reported total_due differs from formula sum of aging buckets.</t>
        </is>
      </c>
    </row>
    <row r="70">
      <c r="A70" s="23" t="inlineStr">
        <is>
          <t>Aging arithmetic</t>
        </is>
      </c>
      <c r="B70" s="23">
        <f>'Aging &amp; Collections'!A239</f>
        <v/>
      </c>
      <c r="C70" s="23">
        <f>'Aging &amp; Collections'!B239</f>
        <v/>
      </c>
      <c r="D70" s="30" t="n"/>
      <c r="E70" s="23">
        <f>'Aging &amp; Collections'!C239</f>
        <v/>
      </c>
      <c r="F70" s="23">
        <f>'Aging &amp; Collections'!V239</f>
        <v/>
      </c>
      <c r="G70" s="31">
        <f>'Aging &amp; Collections'!R239</f>
        <v/>
      </c>
      <c r="H70" s="23" t="inlineStr">
        <is>
          <t>Reported total_due differs from formula sum of aging buckets.</t>
        </is>
      </c>
    </row>
    <row r="71">
      <c r="A71" s="23" t="inlineStr">
        <is>
          <t>Aging arithmetic</t>
        </is>
      </c>
      <c r="B71" s="23">
        <f>'Aging &amp; Collections'!A255</f>
        <v/>
      </c>
      <c r="C71" s="23">
        <f>'Aging &amp; Collections'!B255</f>
        <v/>
      </c>
      <c r="D71" s="30" t="n"/>
      <c r="E71" s="23">
        <f>'Aging &amp; Collections'!C255</f>
        <v/>
      </c>
      <c r="F71" s="23">
        <f>'Aging &amp; Collections'!V255</f>
        <v/>
      </c>
      <c r="G71" s="31">
        <f>'Aging &amp; Collections'!R255</f>
        <v/>
      </c>
      <c r="H71" s="23" t="inlineStr">
        <is>
          <t>Reported total_due differs from formula sum of aging buckets.</t>
        </is>
      </c>
    </row>
    <row r="72">
      <c r="A72" s="23" t="inlineStr">
        <is>
          <t>Aging arithmetic</t>
        </is>
      </c>
      <c r="B72" s="23">
        <f>'Aging &amp; Collections'!A259</f>
        <v/>
      </c>
      <c r="C72" s="23">
        <f>'Aging &amp; Collections'!B259</f>
        <v/>
      </c>
      <c r="D72" s="30" t="n"/>
      <c r="E72" s="23">
        <f>'Aging &amp; Collections'!C259</f>
        <v/>
      </c>
      <c r="F72" s="23">
        <f>'Aging &amp; Collections'!V259</f>
        <v/>
      </c>
      <c r="G72" s="31">
        <f>'Aging &amp; Collections'!R259</f>
        <v/>
      </c>
      <c r="H72" s="23" t="inlineStr">
        <is>
          <t>Reported total_due differs from formula sum of aging buckets.</t>
        </is>
      </c>
    </row>
    <row r="73">
      <c r="A73" s="23" t="inlineStr">
        <is>
          <t>Aging arithmetic</t>
        </is>
      </c>
      <c r="B73" s="23">
        <f>'Aging &amp; Collections'!A264</f>
        <v/>
      </c>
      <c r="C73" s="23">
        <f>'Aging &amp; Collections'!B264</f>
        <v/>
      </c>
      <c r="D73" s="30" t="n"/>
      <c r="E73" s="23">
        <f>'Aging &amp; Collections'!C264</f>
        <v/>
      </c>
      <c r="F73" s="23">
        <f>'Aging &amp; Collections'!V264</f>
        <v/>
      </c>
      <c r="G73" s="31">
        <f>'Aging &amp; Collections'!R264</f>
        <v/>
      </c>
      <c r="H73" s="23" t="inlineStr">
        <is>
          <t>Reported total_due differs from formula sum of aging buckets.</t>
        </is>
      </c>
    </row>
  </sheetData>
  <mergeCells count="4">
    <mergeCell ref="A1:H1"/>
    <mergeCell ref="A2:H2"/>
    <mergeCell ref="A4:H4"/>
    <mergeCell ref="A13:H13"/>
  </mergeCells>
  <pageMargins left="0.25" right="0.25" top="0.35" bottom="0.4" header="0.5" footer="0.5"/>
  <pageSetup orientation="landscape" paperSize="5" fitToHeight="0" fitToWidth="1"/>
  <headerFooter>
    <oddHeader/>
    <oddFooter>&amp;CChaldale Harbor Moorage Audit | August 7, 2026&amp;RPage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13" customWidth="1" min="4" max="4"/>
    <col width="13" customWidth="1" min="5" max="5"/>
    <col width="10" customWidth="1" min="6" max="6"/>
    <col width="14" customWidth="1" min="7" max="7"/>
    <col width="18" customWidth="1" min="8" max="8"/>
    <col width="24" customWidth="1" min="9" max="9"/>
    <col width="13" customWidth="1" min="10" max="10"/>
    <col width="18" customWidth="1" min="11" max="11"/>
    <col width="16" customWidth="1" min="12" max="12"/>
    <col width="48" customWidth="1" min="13" max="13"/>
  </cols>
  <sheetData>
    <row r="1" ht="30" customHeight="1">
      <c r="A1" s="1" t="inlineStr">
        <is>
          <t>Document Reconciliation</t>
        </is>
      </c>
    </row>
    <row r="2" ht="28" customHeight="1">
      <c r="A2" s="2" t="inlineStr">
        <is>
          <t>Each supplied skip packet is tested against both ledgers. Each certificate is tested against LOA amendments and, where a slip is stated, the August inventory.</t>
        </is>
      </c>
    </row>
    <row r="3"/>
    <row r="4" ht="22" customHeight="1">
      <c r="A4" s="11" t="inlineStr">
        <is>
          <t>Skip Justification Packets</t>
        </is>
      </c>
    </row>
    <row r="5" ht="30" customHeight="1">
      <c r="A5" s="24" t="inlineStr">
        <is>
          <t>Filename</t>
        </is>
      </c>
      <c r="B5" s="24" t="inlineStr">
        <is>
          <t>Applicant ID</t>
        </is>
      </c>
      <c r="C5" s="24" t="inlineStr">
        <is>
          <t>PDF Work Date</t>
        </is>
      </c>
      <c r="D5" s="24" t="inlineStr">
        <is>
          <t>PDF Slip</t>
        </is>
      </c>
      <c r="E5" s="24" t="inlineStr">
        <is>
          <t>PDF Reason</t>
        </is>
      </c>
      <c r="F5" s="24" t="inlineStr">
        <is>
          <t>Pages</t>
        </is>
      </c>
      <c r="G5" s="24" t="inlineStr">
        <is>
          <t>Contains Support</t>
        </is>
      </c>
      <c r="H5" s="24" t="inlineStr">
        <is>
          <t>Logged Slip (same applicant/date)</t>
        </is>
      </c>
      <c r="I5" s="24" t="inlineStr">
        <is>
          <t>Exact Skip Match</t>
        </is>
      </c>
      <c r="J5" s="24" t="inlineStr">
        <is>
          <t>Exact Offer Match</t>
        </is>
      </c>
      <c r="K5" s="24" t="inlineStr">
        <is>
          <t>In Audit Window</t>
        </is>
      </c>
      <c r="L5" s="24" t="inlineStr">
        <is>
          <t>Reconciled</t>
        </is>
      </c>
      <c r="M5" s="24" t="inlineStr">
        <is>
          <t>Finding</t>
        </is>
      </c>
    </row>
    <row r="6">
      <c r="A6" s="23" t="inlineStr">
        <is>
          <t>WL-02211_skip_justification.pdf</t>
        </is>
      </c>
      <c r="B6" s="23" t="inlineStr">
        <is>
          <t>WL-02211</t>
        </is>
      </c>
      <c r="C6" s="28" t="n">
        <v>44818</v>
      </c>
      <c r="D6" s="23" t="inlineStr">
        <is>
          <t>LP-0307</t>
        </is>
      </c>
      <c r="E6" s="23" t="inlineStr">
        <is>
          <t>not-current</t>
        </is>
      </c>
      <c r="F6" s="23" t="n">
        <v>1</v>
      </c>
      <c r="G6" s="23" t="inlineStr">
        <is>
          <t>NO</t>
        </is>
      </c>
      <c r="H6" s="23" t="inlineStr">
        <is>
          <t>GW-0417</t>
        </is>
      </c>
      <c r="I6" s="23">
        <f>COUNTIFS('All Skips'!$D$2:$D$413,B6,'All Skips'!$C$2:$C$413,C6,'All Skips'!$F$2:$F$413,D6,'All Skips'!$I$2:$I$413,E6)</f>
        <v/>
      </c>
      <c r="J6" s="23">
        <f>COUNTIFS(Offers!$C$2:$C$1487,B6,Offers!$B$2:$B$1487,C6,Offers!$E$2:$E$1487,D6,Offers!$I$2:$I$1487,"SKIPPED")</f>
        <v/>
      </c>
      <c r="K6" s="23">
        <f>IF(AND(C6&gt;='Methodology'!$B$6,C6&lt;='Methodology'!$B$7),"YES","NO")</f>
        <v/>
      </c>
      <c r="L6" s="23">
        <f>IF(AND(I6=1,J6=1),"YES","NO")</f>
        <v/>
      </c>
      <c r="M6" s="23">
        <f>IF(L6="YES","Packet reconciles",IF(H6&lt;&gt;D6,"PDF slip conflicts with skip event; offer does not reconcile",IF(G6="NO","Cover-only packet","Offer/skip ledger mismatch")))</f>
        <v/>
      </c>
    </row>
    <row r="7">
      <c r="A7" s="23" t="inlineStr">
        <is>
          <t>WL-02618_skip_justification.pdf</t>
        </is>
      </c>
      <c r="B7" s="23" t="inlineStr">
        <is>
          <t>WL-02618</t>
        </is>
      </c>
      <c r="C7" s="28" t="n">
        <v>45048</v>
      </c>
      <c r="D7" s="23" t="inlineStr">
        <is>
          <t>EW-0414</t>
        </is>
      </c>
      <c r="E7" s="23" t="inlineStr">
        <is>
          <t>vessel-fit</t>
        </is>
      </c>
      <c r="F7" s="23" t="n">
        <v>1</v>
      </c>
      <c r="G7" s="23" t="inlineStr">
        <is>
          <t>NO</t>
        </is>
      </c>
      <c r="H7" s="23" t="inlineStr">
        <is>
          <t>GW-0610</t>
        </is>
      </c>
      <c r="I7" s="23">
        <f>COUNTIFS('All Skips'!$D$2:$D$413,B7,'All Skips'!$C$2:$C$413,C7,'All Skips'!$F$2:$F$413,D7,'All Skips'!$I$2:$I$413,E7)</f>
        <v/>
      </c>
      <c r="J7" s="23">
        <f>COUNTIFS(Offers!$C$2:$C$1487,B7,Offers!$B$2:$B$1487,C7,Offers!$E$2:$E$1487,D7,Offers!$I$2:$I$1487,"SKIPPED")</f>
        <v/>
      </c>
      <c r="K7" s="23">
        <f>IF(AND(C7&gt;='Methodology'!$B$6,C7&lt;='Methodology'!$B$7),"YES","NO")</f>
        <v/>
      </c>
      <c r="L7" s="23">
        <f>IF(AND(I7=1,J7=1),"YES","NO")</f>
        <v/>
      </c>
      <c r="M7" s="23">
        <f>IF(L7="YES","Packet reconciles",IF(H7&lt;&gt;D7,"PDF slip conflicts with skip event; offer does not reconcile",IF(G7="NO","Cover-only packet","Offer/skip ledger mismatch")))</f>
        <v/>
      </c>
    </row>
    <row r="8">
      <c r="A8" s="23" t="inlineStr">
        <is>
          <t>WL-02877_skip_justification.pdf</t>
        </is>
      </c>
      <c r="B8" s="23" t="inlineStr">
        <is>
          <t>WL-02877</t>
        </is>
      </c>
      <c r="C8" s="28" t="n">
        <v>45370</v>
      </c>
      <c r="D8" s="23" t="inlineStr">
        <is>
          <t>GW-0702</t>
        </is>
      </c>
      <c r="E8" s="23" t="inlineStr">
        <is>
          <t>vessel-fit</t>
        </is>
      </c>
      <c r="F8" s="23" t="n">
        <v>3</v>
      </c>
      <c r="G8" s="23" t="inlineStr">
        <is>
          <t>YES</t>
        </is>
      </c>
      <c r="H8" s="23" t="inlineStr">
        <is>
          <t>GW-1012</t>
        </is>
      </c>
      <c r="I8" s="23">
        <f>COUNTIFS('All Skips'!$D$2:$D$413,B8,'All Skips'!$C$2:$C$413,C8,'All Skips'!$F$2:$F$413,D8,'All Skips'!$I$2:$I$413,E8)</f>
        <v/>
      </c>
      <c r="J8" s="23">
        <f>COUNTIFS(Offers!$C$2:$C$1487,B8,Offers!$B$2:$B$1487,C8,Offers!$E$2:$E$1487,D8,Offers!$I$2:$I$1487,"SKIPPED")</f>
        <v/>
      </c>
      <c r="K8" s="23">
        <f>IF(AND(C8&gt;='Methodology'!$B$6,C8&lt;='Methodology'!$B$7),"YES","NO")</f>
        <v/>
      </c>
      <c r="L8" s="23">
        <f>IF(AND(I8=1,J8=1),"YES","NO")</f>
        <v/>
      </c>
      <c r="M8" s="23">
        <f>IF(L8="YES","Packet reconciles",IF(H8&lt;&gt;D8,"PDF slip conflicts with skip event; offer does not reconcile",IF(G8="NO","Cover-only packet","Offer/skip ledger mismatch")))</f>
        <v/>
      </c>
    </row>
    <row r="9">
      <c r="A9" s="23" t="inlineStr">
        <is>
          <t>WL-03044_skip_justification.pdf</t>
        </is>
      </c>
      <c r="B9" s="23" t="inlineStr">
        <is>
          <t>WL-03044</t>
        </is>
      </c>
      <c r="C9" s="28" t="n">
        <v>45342</v>
      </c>
      <c r="D9" s="23" t="inlineStr">
        <is>
          <t>EW-0603</t>
        </is>
      </c>
      <c r="E9" s="23" t="inlineStr">
        <is>
          <t>preference-mismatch</t>
        </is>
      </c>
      <c r="F9" s="23" t="n">
        <v>1</v>
      </c>
      <c r="G9" s="23" t="inlineStr">
        <is>
          <t>NO</t>
        </is>
      </c>
      <c r="H9" s="23" t="inlineStr">
        <is>
          <t>VB-0904</t>
        </is>
      </c>
      <c r="I9" s="23">
        <f>COUNTIFS('All Skips'!$D$2:$D$413,B9,'All Skips'!$C$2:$C$413,C9,'All Skips'!$F$2:$F$413,D9,'All Skips'!$I$2:$I$413,E9)</f>
        <v/>
      </c>
      <c r="J9" s="23">
        <f>COUNTIFS(Offers!$C$2:$C$1487,B9,Offers!$B$2:$B$1487,C9,Offers!$E$2:$E$1487,D9,Offers!$I$2:$I$1487,"SKIPPED")</f>
        <v/>
      </c>
      <c r="K9" s="23">
        <f>IF(AND(C9&gt;='Methodology'!$B$6,C9&lt;='Methodology'!$B$7),"YES","NO")</f>
        <v/>
      </c>
      <c r="L9" s="23">
        <f>IF(AND(I9=1,J9=1),"YES","NO")</f>
        <v/>
      </c>
      <c r="M9" s="23">
        <f>IF(L9="YES","Packet reconciles",IF(H9&lt;&gt;D9,"PDF slip conflicts with skip event; offer does not reconcile",IF(G9="NO","Cover-only packet","Offer/skip ledger mismatch")))</f>
        <v/>
      </c>
    </row>
    <row r="10">
      <c r="A10" s="23" t="inlineStr">
        <is>
          <t>WL-03102_skip_justification.pdf</t>
        </is>
      </c>
      <c r="B10" s="23" t="inlineStr">
        <is>
          <t>WL-03102</t>
        </is>
      </c>
      <c r="C10" s="28" t="n">
        <v>45909</v>
      </c>
      <c r="D10" s="23" t="inlineStr">
        <is>
          <t>EW-0620</t>
        </is>
      </c>
      <c r="E10" s="23" t="inlineStr">
        <is>
          <t>preference-mismatch</t>
        </is>
      </c>
      <c r="F10" s="23" t="n">
        <v>3</v>
      </c>
      <c r="G10" s="23" t="inlineStr">
        <is>
          <t>YES</t>
        </is>
      </c>
      <c r="H10" s="23" t="inlineStr">
        <is>
          <t>LP-0806</t>
        </is>
      </c>
      <c r="I10" s="23">
        <f>COUNTIFS('All Skips'!$D$2:$D$413,B10,'All Skips'!$C$2:$C$413,C10,'All Skips'!$F$2:$F$413,D10,'All Skips'!$I$2:$I$413,E10)</f>
        <v/>
      </c>
      <c r="J10" s="23">
        <f>COUNTIFS(Offers!$C$2:$C$1487,B10,Offers!$B$2:$B$1487,C10,Offers!$E$2:$E$1487,D10,Offers!$I$2:$I$1487,"SKIPPED")</f>
        <v/>
      </c>
      <c r="K10" s="23">
        <f>IF(AND(C10&gt;='Methodology'!$B$6,C10&lt;='Methodology'!$B$7),"YES","NO")</f>
        <v/>
      </c>
      <c r="L10" s="23">
        <f>IF(AND(I10=1,J10=1),"YES","NO")</f>
        <v/>
      </c>
      <c r="M10" s="23">
        <f>IF(L10="YES","Packet reconciles",IF(H10&lt;&gt;D10,"PDF slip conflicts with skip event; offer does not reconcile",IF(G10="NO","Cover-only packet","Offer/skip ledger mismatch")))</f>
        <v/>
      </c>
    </row>
    <row r="11">
      <c r="A11" s="23" t="inlineStr">
        <is>
          <t>WL-03390_skip_justification.pdf</t>
        </is>
      </c>
      <c r="B11" s="23" t="inlineStr">
        <is>
          <t>WL-03390</t>
        </is>
      </c>
      <c r="C11" s="28" t="n">
        <v>45601</v>
      </c>
      <c r="D11" s="23" t="inlineStr">
        <is>
          <t>VB-0144</t>
        </is>
      </c>
      <c r="E11" s="23" t="inlineStr">
        <is>
          <t>declined-prior-offer</t>
        </is>
      </c>
      <c r="F11" s="23" t="n">
        <v>1</v>
      </c>
      <c r="G11" s="23" t="inlineStr">
        <is>
          <t>NO</t>
        </is>
      </c>
      <c r="H11" s="23" t="inlineStr">
        <is>
          <t>SB-0120</t>
        </is>
      </c>
      <c r="I11" s="23">
        <f>COUNTIFS('All Skips'!$D$2:$D$413,B11,'All Skips'!$C$2:$C$413,C11,'All Skips'!$F$2:$F$413,D11,'All Skips'!$I$2:$I$413,E11)</f>
        <v/>
      </c>
      <c r="J11" s="23">
        <f>COUNTIFS(Offers!$C$2:$C$1487,B11,Offers!$B$2:$B$1487,C11,Offers!$E$2:$E$1487,D11,Offers!$I$2:$I$1487,"SKIPPED")</f>
        <v/>
      </c>
      <c r="K11" s="23">
        <f>IF(AND(C11&gt;='Methodology'!$B$6,C11&lt;='Methodology'!$B$7),"YES","NO")</f>
        <v/>
      </c>
      <c r="L11" s="23">
        <f>IF(AND(I11=1,J11=1),"YES","NO")</f>
        <v/>
      </c>
      <c r="M11" s="23">
        <f>IF(L11="YES","Packet reconciles",IF(H11&lt;&gt;D11,"PDF slip conflicts with skip event; offer does not reconcile",IF(G11="NO","Cover-only packet","Offer/skip ledger mismatch")))</f>
        <v/>
      </c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</row>
    <row r="14" ht="22" customHeight="1">
      <c r="A14" s="32" t="inlineStr">
        <is>
          <t>Measurement Certificates</t>
        </is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</row>
    <row r="15" ht="30" customHeight="1">
      <c r="A15" s="33" t="inlineStr">
        <is>
          <t>Filename</t>
        </is>
      </c>
      <c r="B15" s="33" t="inlineStr">
        <is>
          <t>Applicant ID</t>
        </is>
      </c>
      <c r="C15" s="33" t="inlineStr">
        <is>
          <t>Certificate</t>
        </is>
      </c>
      <c r="D15" s="33" t="inlineStr">
        <is>
          <t>Certificate Date</t>
        </is>
      </c>
      <c r="E15" s="33" t="inlineStr">
        <is>
          <t>Measured LOA</t>
        </is>
      </c>
      <c r="F15" s="33" t="inlineStr">
        <is>
          <t>Signed</t>
        </is>
      </c>
      <c r="G15" s="33" t="inlineStr">
        <is>
          <t>Certificate Slip</t>
        </is>
      </c>
      <c r="H15" s="33" t="inlineStr">
        <is>
          <t>Inventory Class</t>
        </is>
      </c>
      <c r="I15" s="33" t="inlineStr">
        <is>
          <t>Current Inventory Tenant</t>
        </is>
      </c>
      <c r="J15" s="33" t="inlineStr">
        <is>
          <t>Billable Feet</t>
        </is>
      </c>
      <c r="K15" s="33" t="inlineStr">
        <is>
          <t>Illustrative Base Charge</t>
        </is>
      </c>
      <c r="L15" s="33" t="inlineStr">
        <is>
          <t>Matching LOA Amendment</t>
        </is>
      </c>
      <c r="M15" s="33" t="inlineStr">
        <is>
          <t>Finding</t>
        </is>
      </c>
    </row>
    <row r="16">
      <c r="A16" s="23" t="inlineStr">
        <is>
          <t>2024-06-03_measurement_certificate_WL-01893.pdf</t>
        </is>
      </c>
      <c r="B16" s="23" t="inlineStr">
        <is>
          <t>WL-01893</t>
        </is>
      </c>
      <c r="C16" s="23" t="inlineStr">
        <is>
          <t>MC-2024-0062</t>
        </is>
      </c>
      <c r="D16" s="28" t="n">
        <v>45446</v>
      </c>
      <c r="E16" s="34" t="n">
        <v>31.4</v>
      </c>
      <c r="F16" s="23" t="inlineStr">
        <is>
          <t>YES</t>
        </is>
      </c>
      <c r="G16" s="23" t="inlineStr">
        <is>
          <t>VB-0208</t>
        </is>
      </c>
      <c r="H16" s="23">
        <f>IF(G16="","NOT DETERMINABLE",IFERROR(INDEX(Inventory!$C$2:$C$1181,MATCH(G16,Inventory!$A$2:$A$1181,0)),"NOT FOUND"))</f>
        <v/>
      </c>
      <c r="I16" s="23">
        <f>IF(G16="","NO CURRENT SLIP MATCH",IFERROR(INDEX(Inventory!$G$2:$G$1181,MATCH(G16,Inventory!$A$2:$A$1181,0)),"NOT FOUND"))</f>
        <v/>
      </c>
      <c r="J16" s="23">
        <f>IF(G16="","",ROUNDUP(MAX(E16,INDEX(Inventory!$D$2:$D$1181,MATCH(G16,Inventory!$A$2:$A$1181,0))),0))</f>
        <v/>
      </c>
      <c r="K16" s="35">
        <f>IF(J16="","",J16*IF(H16="COVERED",'Methodology'!$B$9,'Methodology'!$B$10))</f>
        <v/>
      </c>
      <c r="L16" s="23">
        <f>COUNTIFS('Amendment Audit'!$D$5:$D$204,B16,'Amendment Audit'!$G$5:$G$204,E16,'Amendment Audit'!$C$5:$C$204,"&gt;="&amp;D16,'Amendment Audit'!$J$5:$J$204,"YES")</f>
        <v/>
      </c>
      <c r="M16" s="23">
        <f>IF(L16&gt;0,"Certificate substantiates LOA amendment",IF(B16="WL-01893","Certificate post-dates and conflicts in value with the 2022 amendment","No matching amendment"))</f>
        <v/>
      </c>
    </row>
    <row r="17">
      <c r="A17" s="23" t="inlineStr">
        <is>
          <t>2024-09-03_measurement_certificate_WL-02401.pdf</t>
        </is>
      </c>
      <c r="B17" s="23" t="inlineStr">
        <is>
          <t>WL-02401</t>
        </is>
      </c>
      <c r="C17" s="23" t="inlineStr">
        <is>
          <t>MC-2024-0091</t>
        </is>
      </c>
      <c r="D17" s="28" t="n">
        <v>45538</v>
      </c>
      <c r="E17" s="34" t="n">
        <v>31.7</v>
      </c>
      <c r="F17" s="23" t="inlineStr">
        <is>
          <t>YES</t>
        </is>
      </c>
      <c r="G17" s="25" t="n"/>
      <c r="H17" s="23">
        <f>IF(G17="","NOT DETERMINABLE",IFERROR(INDEX(Inventory!$C$2:$C$1181,MATCH(G17,Inventory!$A$2:$A$1181,0)),"NOT FOUND"))</f>
        <v/>
      </c>
      <c r="I17" s="23">
        <f>IF(G17="","NO CURRENT SLIP MATCH",IFERROR(INDEX(Inventory!$G$2:$G$1181,MATCH(G17,Inventory!$A$2:$A$1181,0)),"NOT FOUND"))</f>
        <v/>
      </c>
      <c r="J17" s="23">
        <f>IF(G17="","",ROUNDUP(MAX(E17,INDEX(Inventory!$D$2:$D$1181,MATCH(G17,Inventory!$A$2:$A$1181,0))),0))</f>
        <v/>
      </c>
      <c r="K17" s="35">
        <f>IF(J17="","",J17*IF(H17="COVERED",'Methodology'!$B$9,'Methodology'!$B$10))</f>
        <v/>
      </c>
      <c r="L17" s="23">
        <f>COUNTIFS('Amendment Audit'!$D$5:$D$204,B17,'Amendment Audit'!$G$5:$G$204,E17,'Amendment Audit'!$C$5:$C$204,"&gt;="&amp;D17,'Amendment Audit'!$J$5:$J$204,"YES")</f>
        <v/>
      </c>
      <c r="M17" s="23">
        <f>IF(L17&gt;0,"Certificate substantiates LOA amendment",IF(B17="WL-01893","Certificate post-dates and conflicts in value with the 2022 amendment","No matching amendment"))</f>
        <v/>
      </c>
    </row>
  </sheetData>
  <mergeCells count="4">
    <mergeCell ref="A1:M1"/>
    <mergeCell ref="A2:M2"/>
    <mergeCell ref="A4:M4"/>
    <mergeCell ref="A14:M14"/>
  </mergeCells>
  <pageMargins left="0.25" right="0.25" top="0.35" bottom="0.4" header="0.5" footer="0.5"/>
  <pageSetup orientation="landscape" paperSize="5" fitToHeight="0" fitToWidth="1"/>
  <headerFooter>
    <oddHeader/>
    <oddFooter>&amp;CChaldale Harbor Moorage Audit | August 7, 2026&amp;RPage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6" customWidth="1" min="4" max="4"/>
    <col width="12" customWidth="1" min="5" max="5"/>
    <col width="13" customWidth="1" min="6" max="6"/>
    <col width="22" customWidth="1" min="7" max="7"/>
    <col width="12" customWidth="1" min="8" max="8"/>
    <col width="14" customWidth="1" min="9" max="9"/>
    <col width="21" customWidth="1" min="10" max="10"/>
    <col width="12" customWidth="1" min="11" max="11"/>
    <col width="12" customWidth="1" min="12" max="12"/>
    <col width="14" customWidth="1" min="13" max="13"/>
    <col width="12" customWidth="1" min="14" max="14"/>
    <col width="13" customWidth="1" min="15" max="15"/>
    <col width="14" customWidth="1" min="16" max="16"/>
    <col width="11" customWidth="1" min="17" max="17"/>
    <col width="12" customWidth="1" min="18" max="18"/>
    <col width="36" customWidth="1" min="19" max="19"/>
  </cols>
  <sheetData>
    <row r="1" ht="30" customHeight="1">
      <c r="A1" s="1" t="inlineStr">
        <is>
          <t>Skip Audit</t>
        </is>
      </c>
    </row>
    <row r="2" ht="28" customHeight="1">
      <c r="A2" s="2" t="inlineStr">
        <is>
          <t>Population: skip_events_2022_2026.csv, skip_date 2023-01-01 through 2026-07-31. PDF tests use the six supplied justification packets.</t>
        </is>
      </c>
    </row>
    <row r="3"/>
    <row r="4" ht="30" customHeight="1">
      <c r="A4" s="36" t="inlineStr">
        <is>
          <t>Priority</t>
        </is>
      </c>
      <c r="B4" s="36" t="inlineStr">
        <is>
          <t>Contemporaneous Proof</t>
        </is>
      </c>
      <c r="C4" s="36" t="inlineStr">
        <is>
          <t>Skip ID</t>
        </is>
      </c>
      <c r="D4" s="36" t="inlineStr">
        <is>
          <t>Offer ID</t>
        </is>
      </c>
      <c r="E4" s="36" t="inlineStr">
        <is>
          <t>Skip Date</t>
        </is>
      </c>
      <c r="F4" s="36" t="inlineStr">
        <is>
          <t>Applicant ID</t>
        </is>
      </c>
      <c r="G4" s="36" t="inlineStr">
        <is>
          <t>Applicant Name</t>
        </is>
      </c>
      <c r="H4" s="36" t="inlineStr">
        <is>
          <t>Slip ID</t>
        </is>
      </c>
      <c r="I4" s="36" t="inlineStr">
        <is>
          <t>Basin</t>
        </is>
      </c>
      <c r="J4" s="36" t="inlineStr">
        <is>
          <t>Reason Code</t>
        </is>
      </c>
      <c r="K4" s="36" t="inlineStr">
        <is>
          <t>Review Date</t>
        </is>
      </c>
      <c r="L4" s="36" t="inlineStr">
        <is>
          <t>PDF Present</t>
        </is>
      </c>
      <c r="M4" s="36" t="inlineStr">
        <is>
          <t>PDF Contains Support</t>
        </is>
      </c>
      <c r="N4" s="36" t="inlineStr">
        <is>
          <t>Review Timing</t>
        </is>
      </c>
      <c r="O4" s="36" t="inlineStr">
        <is>
          <t>Offer Reconciled</t>
        </is>
      </c>
      <c r="P4" s="36" t="inlineStr">
        <is>
          <t>Document Reconciled</t>
        </is>
      </c>
      <c r="Q4" s="36" t="inlineStr">
        <is>
          <t>Metadata Attached</t>
        </is>
      </c>
      <c r="R4" s="36" t="inlineStr">
        <is>
          <t>Disposition</t>
        </is>
      </c>
      <c r="S4" s="36" t="inlineStr">
        <is>
          <t>Finding</t>
        </is>
      </c>
    </row>
    <row r="5">
      <c r="A5" s="37">
        <f>IF(M5="NO","Priority 1",IF(N5="LATE","Priority 2",IF(B5="YES","OK","Priority 1")))</f>
        <v/>
      </c>
      <c r="B5" s="37">
        <f>IF(AND(L5="YES",M5="YES",N5="ON/BEFORE",O5="YES",P5="YES"),"YES","NO")</f>
        <v/>
      </c>
      <c r="C5" s="37" t="inlineStr">
        <is>
          <t>SKP-2023-0095</t>
        </is>
      </c>
      <c r="D5" s="37" t="inlineStr">
        <is>
          <t>OFR-2023-0323</t>
        </is>
      </c>
      <c r="E5" s="38" t="n">
        <v>44934</v>
      </c>
      <c r="F5" s="37" t="inlineStr">
        <is>
          <t>WL-03099</t>
        </is>
      </c>
      <c r="G5" s="37">
        <f>IFERROR(INDEX(Applicants!$C$2:$C$2911,MATCH(F5,Applicants!$A$2:$A$2911,0))&amp;" "&amp;INDEX(Applicants!$B$2:$B$2911,MATCH(F5,Applicants!$A$2:$A$2911,0)),"")</f>
        <v/>
      </c>
      <c r="H5" s="37" t="inlineStr">
        <is>
          <t>LP-0317</t>
        </is>
      </c>
      <c r="I5" s="37" t="inlineStr">
        <is>
          <t>Ledgport</t>
        </is>
      </c>
      <c r="J5" s="37" t="inlineStr">
        <is>
          <t>vessel-fit</t>
        </is>
      </c>
      <c r="K5" s="38" t="n">
        <v>44936</v>
      </c>
      <c r="L5" s="37">
        <f>IF(COUNTIFS('Skip Docs'!$A$2:$A$7,F5,'Skip Docs'!$C$2:$C$7,E5)&gt;0,"YES","NO")</f>
        <v/>
      </c>
      <c r="M5" s="37">
        <f>IF(L5="NO","NO",INDEX('Skip Docs'!$G$2:$G$7,MATCH(1,INDEX(('Skip Docs'!$A$2:$A$7=F5)*('Skip Docs'!$C$2:$C$7=E5),0),0)))</f>
        <v/>
      </c>
      <c r="N5" s="37">
        <f>IF(K5&lt;=E5,"ON/BEFORE","LATE")</f>
        <v/>
      </c>
      <c r="O5" s="37">
        <f>IF(COUNTIFS(Offers!$A$2:$A$1487,D5,Offers!$C$2:$C$1487,F5,Offers!$B$2:$B$1487,E5,Offers!$E$2:$E$1487,H5,Offers!$I$2:$I$1487,"SKIPPED")=1,"YES","NO")</f>
        <v/>
      </c>
      <c r="P5" s="37">
        <f>IF(L5="NO","N/A",IF(COUNTIFS('Skip Docs'!$A$2:$A$7,F5,'Skip Docs'!$C$2:$C$7,E5,'Skip Docs'!$D$2:$D$7,H5,'Skip Docs'!$E$2:$E$7,J5)=1,"YES","NO"))</f>
        <v/>
      </c>
      <c r="Q5" s="37" t="inlineStr">
        <is>
          <t>Y</t>
        </is>
      </c>
      <c r="R5" s="37" t="inlineStr">
        <is>
          <t>SUSTAINED</t>
        </is>
      </c>
      <c r="S5" s="37">
        <f>IF(B5="YES","Verified contemporaneous proof",IF(L5="NO","No justification PDF supplied",IF(M5="NO","PDF is cover-only",IF(P5="NO","PDF content does not match logged slip/reason",IF(O5="NO","Offer event does not reconcile","Assembled after skip date")))))</f>
        <v/>
      </c>
    </row>
    <row r="6">
      <c r="A6" s="37">
        <f>IF(M6="NO","Priority 1",IF(N6="LATE","Priority 2",IF(B6="YES","OK","Priority 1")))</f>
        <v/>
      </c>
      <c r="B6" s="37">
        <f>IF(AND(L6="YES",M6="YES",N6="ON/BEFORE",O6="YES",P6="YES"),"YES","NO")</f>
        <v/>
      </c>
      <c r="C6" s="37" t="inlineStr">
        <is>
          <t>SKP-2023-0096</t>
        </is>
      </c>
      <c r="D6" s="37" t="inlineStr">
        <is>
          <t>OFR-2023-0324</t>
        </is>
      </c>
      <c r="E6" s="38" t="n">
        <v>44934</v>
      </c>
      <c r="F6" s="37" t="inlineStr">
        <is>
          <t>WL-02685</t>
        </is>
      </c>
      <c r="G6" s="37">
        <f>IFERROR(INDEX(Applicants!$C$2:$C$2911,MATCH(F6,Applicants!$A$2:$A$2911,0))&amp;" "&amp;INDEX(Applicants!$B$2:$B$2911,MATCH(F6,Applicants!$A$2:$A$2911,0)),"")</f>
        <v/>
      </c>
      <c r="H6" s="37" t="inlineStr">
        <is>
          <t>LP-0906</t>
        </is>
      </c>
      <c r="I6" s="37" t="inlineStr">
        <is>
          <t>Ledgport</t>
        </is>
      </c>
      <c r="J6" s="37" t="inlineStr">
        <is>
          <t>vessel-fit</t>
        </is>
      </c>
      <c r="K6" s="38" t="n">
        <v>44937</v>
      </c>
      <c r="L6" s="37">
        <f>IF(COUNTIFS('Skip Docs'!$A$2:$A$7,F6,'Skip Docs'!$C$2:$C$7,E6)&gt;0,"YES","NO")</f>
        <v/>
      </c>
      <c r="M6" s="37">
        <f>IF(L6="NO","NO",INDEX('Skip Docs'!$G$2:$G$7,MATCH(1,INDEX(('Skip Docs'!$A$2:$A$7=F6)*('Skip Docs'!$C$2:$C$7=E6),0),0)))</f>
        <v/>
      </c>
      <c r="N6" s="37">
        <f>IF(K6&lt;=E6,"ON/BEFORE","LATE")</f>
        <v/>
      </c>
      <c r="O6" s="37">
        <f>IF(COUNTIFS(Offers!$A$2:$A$1487,D6,Offers!$C$2:$C$1487,F6,Offers!$B$2:$B$1487,E6,Offers!$E$2:$E$1487,H6,Offers!$I$2:$I$1487,"SKIPPED")=1,"YES","NO")</f>
        <v/>
      </c>
      <c r="P6" s="37">
        <f>IF(L6="NO","N/A",IF(COUNTIFS('Skip Docs'!$A$2:$A$7,F6,'Skip Docs'!$C$2:$C$7,E6,'Skip Docs'!$D$2:$D$7,H6,'Skip Docs'!$E$2:$E$7,J6)=1,"YES","NO"))</f>
        <v/>
      </c>
      <c r="Q6" s="37" t="inlineStr">
        <is>
          <t>Y</t>
        </is>
      </c>
      <c r="R6" s="37" t="inlineStr">
        <is>
          <t>SUSTAINED</t>
        </is>
      </c>
      <c r="S6" s="37">
        <f>IF(B6="YES","Verified contemporaneous proof",IF(L6="NO","No justification PDF supplied",IF(M6="NO","PDF is cover-only",IF(P6="NO","PDF content does not match logged slip/reason",IF(O6="NO","Offer event does not reconcile","Assembled after skip date")))))</f>
        <v/>
      </c>
    </row>
    <row r="7">
      <c r="A7" s="37">
        <f>IF(M7="NO","Priority 1",IF(N7="LATE","Priority 2",IF(B7="YES","OK","Priority 1")))</f>
        <v/>
      </c>
      <c r="B7" s="37">
        <f>IF(AND(L7="YES",M7="YES",N7="ON/BEFORE",O7="YES",P7="YES"),"YES","NO")</f>
        <v/>
      </c>
      <c r="C7" s="37" t="inlineStr">
        <is>
          <t>SKP-2023-0097</t>
        </is>
      </c>
      <c r="D7" s="37" t="inlineStr">
        <is>
          <t>OFR-2023-0326</t>
        </is>
      </c>
      <c r="E7" s="38" t="n">
        <v>44952</v>
      </c>
      <c r="F7" s="37" t="inlineStr">
        <is>
          <t>WL-01298</t>
        </is>
      </c>
      <c r="G7" s="37">
        <f>IFERROR(INDEX(Applicants!$C$2:$C$2911,MATCH(F7,Applicants!$A$2:$A$2911,0))&amp;" "&amp;INDEX(Applicants!$B$2:$B$2911,MATCH(F7,Applicants!$A$2:$A$2911,0)),"")</f>
        <v/>
      </c>
      <c r="H7" s="37" t="inlineStr">
        <is>
          <t>GW-0708</t>
        </is>
      </c>
      <c r="I7" s="37" t="inlineStr">
        <is>
          <t>Gullwing</t>
        </is>
      </c>
      <c r="J7" s="37" t="inlineStr">
        <is>
          <t>vessel-fit</t>
        </is>
      </c>
      <c r="K7" s="38" t="n">
        <v>44955</v>
      </c>
      <c r="L7" s="37">
        <f>IF(COUNTIFS('Skip Docs'!$A$2:$A$7,F7,'Skip Docs'!$C$2:$C$7,E7)&gt;0,"YES","NO")</f>
        <v/>
      </c>
      <c r="M7" s="37">
        <f>IF(L7="NO","NO",INDEX('Skip Docs'!$G$2:$G$7,MATCH(1,INDEX(('Skip Docs'!$A$2:$A$7=F7)*('Skip Docs'!$C$2:$C$7=E7),0),0)))</f>
        <v/>
      </c>
      <c r="N7" s="37">
        <f>IF(K7&lt;=E7,"ON/BEFORE","LATE")</f>
        <v/>
      </c>
      <c r="O7" s="37">
        <f>IF(COUNTIFS(Offers!$A$2:$A$1487,D7,Offers!$C$2:$C$1487,F7,Offers!$B$2:$B$1487,E7,Offers!$E$2:$E$1487,H7,Offers!$I$2:$I$1487,"SKIPPED")=1,"YES","NO")</f>
        <v/>
      </c>
      <c r="P7" s="37">
        <f>IF(L7="NO","N/A",IF(COUNTIFS('Skip Docs'!$A$2:$A$7,F7,'Skip Docs'!$C$2:$C$7,E7,'Skip Docs'!$D$2:$D$7,H7,'Skip Docs'!$E$2:$E$7,J7)=1,"YES","NO"))</f>
        <v/>
      </c>
      <c r="Q7" s="37" t="inlineStr">
        <is>
          <t>Y</t>
        </is>
      </c>
      <c r="R7" s="37" t="inlineStr">
        <is>
          <t>SUSTAINED</t>
        </is>
      </c>
      <c r="S7" s="37">
        <f>IF(B7="YES","Verified contemporaneous proof",IF(L7="NO","No justification PDF supplied",IF(M7="NO","PDF is cover-only",IF(P7="NO","PDF content does not match logged slip/reason",IF(O7="NO","Offer event does not reconcile","Assembled after skip date")))))</f>
        <v/>
      </c>
    </row>
    <row r="8">
      <c r="A8" s="37">
        <f>IF(M8="NO","Priority 1",IF(N8="LATE","Priority 2",IF(B8="YES","OK","Priority 1")))</f>
        <v/>
      </c>
      <c r="B8" s="37">
        <f>IF(AND(L8="YES",M8="YES",N8="ON/BEFORE",O8="YES",P8="YES"),"YES","NO")</f>
        <v/>
      </c>
      <c r="C8" s="37" t="inlineStr">
        <is>
          <t>SKP-2023-0098</t>
        </is>
      </c>
      <c r="D8" s="37" t="inlineStr">
        <is>
          <t>OFR-2023-0334</t>
        </is>
      </c>
      <c r="E8" s="38" t="n">
        <v>44934</v>
      </c>
      <c r="F8" s="37" t="inlineStr">
        <is>
          <t>WL-01959</t>
        </is>
      </c>
      <c r="G8" s="37">
        <f>IFERROR(INDEX(Applicants!$C$2:$C$2911,MATCH(F8,Applicants!$A$2:$A$2911,0))&amp;" "&amp;INDEX(Applicants!$B$2:$B$2911,MATCH(F8,Applicants!$A$2:$A$2911,0)),"")</f>
        <v/>
      </c>
      <c r="H8" s="37" t="inlineStr">
        <is>
          <t>VB-1023</t>
        </is>
      </c>
      <c r="I8" s="37" t="inlineStr">
        <is>
          <t>Vessbank</t>
        </is>
      </c>
      <c r="J8" s="37" t="inlineStr">
        <is>
          <t>not-current</t>
        </is>
      </c>
      <c r="K8" s="38" t="n">
        <v>44937</v>
      </c>
      <c r="L8" s="37">
        <f>IF(COUNTIFS('Skip Docs'!$A$2:$A$7,F8,'Skip Docs'!$C$2:$C$7,E8)&gt;0,"YES","NO")</f>
        <v/>
      </c>
      <c r="M8" s="37">
        <f>IF(L8="NO","NO",INDEX('Skip Docs'!$G$2:$G$7,MATCH(1,INDEX(('Skip Docs'!$A$2:$A$7=F8)*('Skip Docs'!$C$2:$C$7=E8),0),0)))</f>
        <v/>
      </c>
      <c r="N8" s="37">
        <f>IF(K8&lt;=E8,"ON/BEFORE","LATE")</f>
        <v/>
      </c>
      <c r="O8" s="37">
        <f>IF(COUNTIFS(Offers!$A$2:$A$1487,D8,Offers!$C$2:$C$1487,F8,Offers!$B$2:$B$1487,E8,Offers!$E$2:$E$1487,H8,Offers!$I$2:$I$1487,"SKIPPED")=1,"YES","NO")</f>
        <v/>
      </c>
      <c r="P8" s="37">
        <f>IF(L8="NO","N/A",IF(COUNTIFS('Skip Docs'!$A$2:$A$7,F8,'Skip Docs'!$C$2:$C$7,E8,'Skip Docs'!$D$2:$D$7,H8,'Skip Docs'!$E$2:$E$7,J8)=1,"YES","NO"))</f>
        <v/>
      </c>
      <c r="Q8" s="37" t="inlineStr">
        <is>
          <t>Y</t>
        </is>
      </c>
      <c r="R8" s="37" t="inlineStr">
        <is>
          <t>SUSTAINED</t>
        </is>
      </c>
      <c r="S8" s="37">
        <f>IF(B8="YES","Verified contemporaneous proof",IF(L8="NO","No justification PDF supplied",IF(M8="NO","PDF is cover-only",IF(P8="NO","PDF content does not match logged slip/reason",IF(O8="NO","Offer event does not reconcile","Assembled after skip date")))))</f>
        <v/>
      </c>
    </row>
    <row r="9">
      <c r="A9" s="37">
        <f>IF(M9="NO","Priority 1",IF(N9="LATE","Priority 2",IF(B9="YES","OK","Priority 1")))</f>
        <v/>
      </c>
      <c r="B9" s="37">
        <f>IF(AND(L9="YES",M9="YES",N9="ON/BEFORE",O9="YES",P9="YES"),"YES","NO")</f>
        <v/>
      </c>
      <c r="C9" s="37" t="inlineStr">
        <is>
          <t>SKP-2023-0099</t>
        </is>
      </c>
      <c r="D9" s="37" t="inlineStr">
        <is>
          <t>OFR-2023-0338</t>
        </is>
      </c>
      <c r="E9" s="38" t="n">
        <v>44936</v>
      </c>
      <c r="F9" s="37" t="inlineStr">
        <is>
          <t>WL-01695</t>
        </is>
      </c>
      <c r="G9" s="37">
        <f>IFERROR(INDEX(Applicants!$C$2:$C$2911,MATCH(F9,Applicants!$A$2:$A$2911,0))&amp;" "&amp;INDEX(Applicants!$B$2:$B$2911,MATCH(F9,Applicants!$A$2:$A$2911,0)),"")</f>
        <v/>
      </c>
      <c r="H9" s="37" t="inlineStr">
        <is>
          <t>EW-0203</t>
        </is>
      </c>
      <c r="I9" s="37" t="inlineStr">
        <is>
          <t>Eastwey</t>
        </is>
      </c>
      <c r="J9" s="37" t="inlineStr">
        <is>
          <t>vessel-fit</t>
        </is>
      </c>
      <c r="K9" s="38" t="n">
        <v>44939</v>
      </c>
      <c r="L9" s="37">
        <f>IF(COUNTIFS('Skip Docs'!$A$2:$A$7,F9,'Skip Docs'!$C$2:$C$7,E9)&gt;0,"YES","NO")</f>
        <v/>
      </c>
      <c r="M9" s="37">
        <f>IF(L9="NO","NO",INDEX('Skip Docs'!$G$2:$G$7,MATCH(1,INDEX(('Skip Docs'!$A$2:$A$7=F9)*('Skip Docs'!$C$2:$C$7=E9),0),0)))</f>
        <v/>
      </c>
      <c r="N9" s="37">
        <f>IF(K9&lt;=E9,"ON/BEFORE","LATE")</f>
        <v/>
      </c>
      <c r="O9" s="37">
        <f>IF(COUNTIFS(Offers!$A$2:$A$1487,D9,Offers!$C$2:$C$1487,F9,Offers!$B$2:$B$1487,E9,Offers!$E$2:$E$1487,H9,Offers!$I$2:$I$1487,"SKIPPED")=1,"YES","NO")</f>
        <v/>
      </c>
      <c r="P9" s="37">
        <f>IF(L9="NO","N/A",IF(COUNTIFS('Skip Docs'!$A$2:$A$7,F9,'Skip Docs'!$C$2:$C$7,E9,'Skip Docs'!$D$2:$D$7,H9,'Skip Docs'!$E$2:$E$7,J9)=1,"YES","NO"))</f>
        <v/>
      </c>
      <c r="Q9" s="37" t="inlineStr">
        <is>
          <t>N</t>
        </is>
      </c>
      <c r="R9" s="37" t="inlineStr">
        <is>
          <t>SUSTAINED</t>
        </is>
      </c>
      <c r="S9" s="37">
        <f>IF(B9="YES","Verified contemporaneous proof",IF(L9="NO","No justification PDF supplied",IF(M9="NO","PDF is cover-only",IF(P9="NO","PDF content does not match logged slip/reason",IF(O9="NO","Offer event does not reconcile","Assembled after skip date")))))</f>
        <v/>
      </c>
    </row>
    <row r="10">
      <c r="A10" s="37">
        <f>IF(M10="NO","Priority 1",IF(N10="LATE","Priority 2",IF(B10="YES","OK","Priority 1")))</f>
        <v/>
      </c>
      <c r="B10" s="37">
        <f>IF(AND(L10="YES",M10="YES",N10="ON/BEFORE",O10="YES",P10="YES"),"YES","NO")</f>
        <v/>
      </c>
      <c r="C10" s="37" t="inlineStr">
        <is>
          <t>SKP-2023-0100</t>
        </is>
      </c>
      <c r="D10" s="37" t="inlineStr">
        <is>
          <t>OFR-2023-0343</t>
        </is>
      </c>
      <c r="E10" s="38" t="n">
        <v>44975</v>
      </c>
      <c r="F10" s="37" t="inlineStr">
        <is>
          <t>WL-02565</t>
        </is>
      </c>
      <c r="G10" s="37">
        <f>IFERROR(INDEX(Applicants!$C$2:$C$2911,MATCH(F10,Applicants!$A$2:$A$2911,0))&amp;" "&amp;INDEX(Applicants!$B$2:$B$2911,MATCH(F10,Applicants!$A$2:$A$2911,0)),"")</f>
        <v/>
      </c>
      <c r="H10" s="37" t="inlineStr">
        <is>
          <t>GW-0116</t>
        </is>
      </c>
      <c r="I10" s="37" t="inlineStr">
        <is>
          <t>Gullwing</t>
        </is>
      </c>
      <c r="J10" s="37" t="inlineStr">
        <is>
          <t>vessel-fit</t>
        </is>
      </c>
      <c r="K10" s="38" t="n">
        <v>44980</v>
      </c>
      <c r="L10" s="37">
        <f>IF(COUNTIFS('Skip Docs'!$A$2:$A$7,F10,'Skip Docs'!$C$2:$C$7,E10)&gt;0,"YES","NO")</f>
        <v/>
      </c>
      <c r="M10" s="37">
        <f>IF(L10="NO","NO",INDEX('Skip Docs'!$G$2:$G$7,MATCH(1,INDEX(('Skip Docs'!$A$2:$A$7=F10)*('Skip Docs'!$C$2:$C$7=E10),0),0)))</f>
        <v/>
      </c>
      <c r="N10" s="37">
        <f>IF(K10&lt;=E10,"ON/BEFORE","LATE")</f>
        <v/>
      </c>
      <c r="O10" s="37">
        <f>IF(COUNTIFS(Offers!$A$2:$A$1487,D10,Offers!$C$2:$C$1487,F10,Offers!$B$2:$B$1487,E10,Offers!$E$2:$E$1487,H10,Offers!$I$2:$I$1487,"SKIPPED")=1,"YES","NO")</f>
        <v/>
      </c>
      <c r="P10" s="37">
        <f>IF(L10="NO","N/A",IF(COUNTIFS('Skip Docs'!$A$2:$A$7,F10,'Skip Docs'!$C$2:$C$7,E10,'Skip Docs'!$D$2:$D$7,H10,'Skip Docs'!$E$2:$E$7,J10)=1,"YES","NO"))</f>
        <v/>
      </c>
      <c r="Q10" s="37" t="inlineStr">
        <is>
          <t>Y</t>
        </is>
      </c>
      <c r="R10" s="37" t="inlineStr">
        <is>
          <t>SUSTAINED</t>
        </is>
      </c>
      <c r="S10" s="37">
        <f>IF(B10="YES","Verified contemporaneous proof",IF(L10="NO","No justification PDF supplied",IF(M10="NO","PDF is cover-only",IF(P10="NO","PDF content does not match logged slip/reason",IF(O10="NO","Offer event does not reconcile","Assembled after skip date")))))</f>
        <v/>
      </c>
    </row>
    <row r="11">
      <c r="A11" s="37">
        <f>IF(M11="NO","Priority 1",IF(N11="LATE","Priority 2",IF(B11="YES","OK","Priority 1")))</f>
        <v/>
      </c>
      <c r="B11" s="37">
        <f>IF(AND(L11="YES",M11="YES",N11="ON/BEFORE",O11="YES",P11="YES"),"YES","NO")</f>
        <v/>
      </c>
      <c r="C11" s="37" t="inlineStr">
        <is>
          <t>SKP-2023-0101</t>
        </is>
      </c>
      <c r="D11" s="37" t="inlineStr">
        <is>
          <t>OFR-2023-0345</t>
        </is>
      </c>
      <c r="E11" s="38" t="n">
        <v>44976</v>
      </c>
      <c r="F11" s="37" t="inlineStr">
        <is>
          <t>WL-02664</t>
        </is>
      </c>
      <c r="G11" s="37">
        <f>IFERROR(INDEX(Applicants!$C$2:$C$2911,MATCH(F11,Applicants!$A$2:$A$2911,0))&amp;" "&amp;INDEX(Applicants!$B$2:$B$2911,MATCH(F11,Applicants!$A$2:$A$2911,0)),"")</f>
        <v/>
      </c>
      <c r="H11" s="37" t="inlineStr">
        <is>
          <t>GW-0220</t>
        </is>
      </c>
      <c r="I11" s="37" t="inlineStr">
        <is>
          <t>Gullwing</t>
        </is>
      </c>
      <c r="J11" s="37" t="inlineStr">
        <is>
          <t>preference-mismatch</t>
        </is>
      </c>
      <c r="K11" s="38" t="n">
        <v>44976</v>
      </c>
      <c r="L11" s="37">
        <f>IF(COUNTIFS('Skip Docs'!$A$2:$A$7,F11,'Skip Docs'!$C$2:$C$7,E11)&gt;0,"YES","NO")</f>
        <v/>
      </c>
      <c r="M11" s="37">
        <f>IF(L11="NO","NO",INDEX('Skip Docs'!$G$2:$G$7,MATCH(1,INDEX(('Skip Docs'!$A$2:$A$7=F11)*('Skip Docs'!$C$2:$C$7=E11),0),0)))</f>
        <v/>
      </c>
      <c r="N11" s="37">
        <f>IF(K11&lt;=E11,"ON/BEFORE","LATE")</f>
        <v/>
      </c>
      <c r="O11" s="37">
        <f>IF(COUNTIFS(Offers!$A$2:$A$1487,D11,Offers!$C$2:$C$1487,F11,Offers!$B$2:$B$1487,E11,Offers!$E$2:$E$1487,H11,Offers!$I$2:$I$1487,"SKIPPED")=1,"YES","NO")</f>
        <v/>
      </c>
      <c r="P11" s="37">
        <f>IF(L11="NO","N/A",IF(COUNTIFS('Skip Docs'!$A$2:$A$7,F11,'Skip Docs'!$C$2:$C$7,E11,'Skip Docs'!$D$2:$D$7,H11,'Skip Docs'!$E$2:$E$7,J11)=1,"YES","NO"))</f>
        <v/>
      </c>
      <c r="Q11" s="37" t="inlineStr">
        <is>
          <t>Y</t>
        </is>
      </c>
      <c r="R11" s="37" t="inlineStr">
        <is>
          <t>SUSTAINED</t>
        </is>
      </c>
      <c r="S11" s="37">
        <f>IF(B11="YES","Verified contemporaneous proof",IF(L11="NO","No justification PDF supplied",IF(M11="NO","PDF is cover-only",IF(P11="NO","PDF content does not match logged slip/reason",IF(O11="NO","Offer event does not reconcile","Assembled after skip date")))))</f>
        <v/>
      </c>
    </row>
    <row r="12">
      <c r="A12" s="37">
        <f>IF(M12="NO","Priority 1",IF(N12="LATE","Priority 2",IF(B12="YES","OK","Priority 1")))</f>
        <v/>
      </c>
      <c r="B12" s="37">
        <f>IF(AND(L12="YES",M12="YES",N12="ON/BEFORE",O12="YES",P12="YES"),"YES","NO")</f>
        <v/>
      </c>
      <c r="C12" s="37" t="inlineStr">
        <is>
          <t>SKP-2023-0102</t>
        </is>
      </c>
      <c r="D12" s="37" t="inlineStr">
        <is>
          <t>OFR-2023-0346</t>
        </is>
      </c>
      <c r="E12" s="38" t="n">
        <v>44967</v>
      </c>
      <c r="F12" s="37" t="inlineStr">
        <is>
          <t>WL-03582</t>
        </is>
      </c>
      <c r="G12" s="37">
        <f>IFERROR(INDEX(Applicants!$C$2:$C$2911,MATCH(F12,Applicants!$A$2:$A$2911,0))&amp;" "&amp;INDEX(Applicants!$B$2:$B$2911,MATCH(F12,Applicants!$A$2:$A$2911,0)),"")</f>
        <v/>
      </c>
      <c r="H12" s="37" t="inlineStr">
        <is>
          <t>GW-0615</t>
        </is>
      </c>
      <c r="I12" s="37" t="inlineStr">
        <is>
          <t>Gullwing</t>
        </is>
      </c>
      <c r="J12" s="37" t="inlineStr">
        <is>
          <t>not-current</t>
        </is>
      </c>
      <c r="K12" s="38" t="n">
        <v>44971</v>
      </c>
      <c r="L12" s="37">
        <f>IF(COUNTIFS('Skip Docs'!$A$2:$A$7,F12,'Skip Docs'!$C$2:$C$7,E12)&gt;0,"YES","NO")</f>
        <v/>
      </c>
      <c r="M12" s="37">
        <f>IF(L12="NO","NO",INDEX('Skip Docs'!$G$2:$G$7,MATCH(1,INDEX(('Skip Docs'!$A$2:$A$7=F12)*('Skip Docs'!$C$2:$C$7=E12),0),0)))</f>
        <v/>
      </c>
      <c r="N12" s="37">
        <f>IF(K12&lt;=E12,"ON/BEFORE","LATE")</f>
        <v/>
      </c>
      <c r="O12" s="37">
        <f>IF(COUNTIFS(Offers!$A$2:$A$1487,D12,Offers!$C$2:$C$1487,F12,Offers!$B$2:$B$1487,E12,Offers!$E$2:$E$1487,H12,Offers!$I$2:$I$1487,"SKIPPED")=1,"YES","NO")</f>
        <v/>
      </c>
      <c r="P12" s="37">
        <f>IF(L12="NO","N/A",IF(COUNTIFS('Skip Docs'!$A$2:$A$7,F12,'Skip Docs'!$C$2:$C$7,E12,'Skip Docs'!$D$2:$D$7,H12,'Skip Docs'!$E$2:$E$7,J12)=1,"YES","NO"))</f>
        <v/>
      </c>
      <c r="Q12" s="37" t="inlineStr">
        <is>
          <t>Y</t>
        </is>
      </c>
      <c r="R12" s="37" t="inlineStr">
        <is>
          <t>SUSTAINED</t>
        </is>
      </c>
      <c r="S12" s="37">
        <f>IF(B12="YES","Verified contemporaneous proof",IF(L12="NO","No justification PDF supplied",IF(M12="NO","PDF is cover-only",IF(P12="NO","PDF content does not match logged slip/reason",IF(O12="NO","Offer event does not reconcile","Assembled after skip date")))))</f>
        <v/>
      </c>
    </row>
    <row r="13">
      <c r="A13" s="37">
        <f>IF(M13="NO","Priority 1",IF(N13="LATE","Priority 2",IF(B13="YES","OK","Priority 1")))</f>
        <v/>
      </c>
      <c r="B13" s="37">
        <f>IF(AND(L13="YES",M13="YES",N13="ON/BEFORE",O13="YES",P13="YES"),"YES","NO")</f>
        <v/>
      </c>
      <c r="C13" s="37" t="inlineStr">
        <is>
          <t>SKP-2023-0103</t>
        </is>
      </c>
      <c r="D13" s="37" t="inlineStr">
        <is>
          <t>OFR-2023-0350</t>
        </is>
      </c>
      <c r="E13" s="38" t="n">
        <v>44974</v>
      </c>
      <c r="F13" s="37" t="inlineStr">
        <is>
          <t>WL-02918</t>
        </is>
      </c>
      <c r="G13" s="37">
        <f>IFERROR(INDEX(Applicants!$C$2:$C$2911,MATCH(F13,Applicants!$A$2:$A$2911,0))&amp;" "&amp;INDEX(Applicants!$B$2:$B$2911,MATCH(F13,Applicants!$A$2:$A$2911,0)),"")</f>
        <v/>
      </c>
      <c r="H13" s="37" t="inlineStr">
        <is>
          <t>LP-1116</t>
        </is>
      </c>
      <c r="I13" s="37" t="inlineStr">
        <is>
          <t>Ledgport</t>
        </is>
      </c>
      <c r="J13" s="37" t="inlineStr">
        <is>
          <t>declined-prior-offer</t>
        </is>
      </c>
      <c r="K13" s="38" t="n">
        <v>44978</v>
      </c>
      <c r="L13" s="37">
        <f>IF(COUNTIFS('Skip Docs'!$A$2:$A$7,F13,'Skip Docs'!$C$2:$C$7,E13)&gt;0,"YES","NO")</f>
        <v/>
      </c>
      <c r="M13" s="37">
        <f>IF(L13="NO","NO",INDEX('Skip Docs'!$G$2:$G$7,MATCH(1,INDEX(('Skip Docs'!$A$2:$A$7=F13)*('Skip Docs'!$C$2:$C$7=E13),0),0)))</f>
        <v/>
      </c>
      <c r="N13" s="37">
        <f>IF(K13&lt;=E13,"ON/BEFORE","LATE")</f>
        <v/>
      </c>
      <c r="O13" s="37">
        <f>IF(COUNTIFS(Offers!$A$2:$A$1487,D13,Offers!$C$2:$C$1487,F13,Offers!$B$2:$B$1487,E13,Offers!$E$2:$E$1487,H13,Offers!$I$2:$I$1487,"SKIPPED")=1,"YES","NO")</f>
        <v/>
      </c>
      <c r="P13" s="37">
        <f>IF(L13="NO","N/A",IF(COUNTIFS('Skip Docs'!$A$2:$A$7,F13,'Skip Docs'!$C$2:$C$7,E13,'Skip Docs'!$D$2:$D$7,H13,'Skip Docs'!$E$2:$E$7,J13)=1,"YES","NO"))</f>
        <v/>
      </c>
      <c r="Q13" s="37" t="inlineStr">
        <is>
          <t>Y</t>
        </is>
      </c>
      <c r="R13" s="37" t="inlineStr">
        <is>
          <t>SUSTAINED</t>
        </is>
      </c>
      <c r="S13" s="37">
        <f>IF(B13="YES","Verified contemporaneous proof",IF(L13="NO","No justification PDF supplied",IF(M13="NO","PDF is cover-only",IF(P13="NO","PDF content does not match logged slip/reason",IF(O13="NO","Offer event does not reconcile","Assembled after skip date")))))</f>
        <v/>
      </c>
    </row>
    <row r="14">
      <c r="A14" s="37">
        <f>IF(M14="NO","Priority 1",IF(N14="LATE","Priority 2",IF(B14="YES","OK","Priority 1")))</f>
        <v/>
      </c>
      <c r="B14" s="37">
        <f>IF(AND(L14="YES",M14="YES",N14="ON/BEFORE",O14="YES",P14="YES"),"YES","NO")</f>
        <v/>
      </c>
      <c r="C14" s="37" t="inlineStr">
        <is>
          <t>SKP-2023-0104</t>
        </is>
      </c>
      <c r="D14" s="37" t="inlineStr">
        <is>
          <t>OFR-2023-0360</t>
        </is>
      </c>
      <c r="E14" s="38" t="n">
        <v>45000</v>
      </c>
      <c r="F14" s="37" t="inlineStr">
        <is>
          <t>WL-03523</t>
        </is>
      </c>
      <c r="G14" s="37">
        <f>IFERROR(INDEX(Applicants!$C$2:$C$2911,MATCH(F14,Applicants!$A$2:$A$2911,0))&amp;" "&amp;INDEX(Applicants!$B$2:$B$2911,MATCH(F14,Applicants!$A$2:$A$2911,0)),"")</f>
        <v/>
      </c>
      <c r="H14" s="37" t="inlineStr">
        <is>
          <t>SB-0210</t>
        </is>
      </c>
      <c r="I14" s="37" t="inlineStr">
        <is>
          <t>Salmonberry</t>
        </is>
      </c>
      <c r="J14" s="37" t="inlineStr">
        <is>
          <t>vessel-fit</t>
        </is>
      </c>
      <c r="K14" s="38" t="n">
        <v>45003</v>
      </c>
      <c r="L14" s="37">
        <f>IF(COUNTIFS('Skip Docs'!$A$2:$A$7,F14,'Skip Docs'!$C$2:$C$7,E14)&gt;0,"YES","NO")</f>
        <v/>
      </c>
      <c r="M14" s="37">
        <f>IF(L14="NO","NO",INDEX('Skip Docs'!$G$2:$G$7,MATCH(1,INDEX(('Skip Docs'!$A$2:$A$7=F14)*('Skip Docs'!$C$2:$C$7=E14),0),0)))</f>
        <v/>
      </c>
      <c r="N14" s="37">
        <f>IF(K14&lt;=E14,"ON/BEFORE","LATE")</f>
        <v/>
      </c>
      <c r="O14" s="37">
        <f>IF(COUNTIFS(Offers!$A$2:$A$1487,D14,Offers!$C$2:$C$1487,F14,Offers!$B$2:$B$1487,E14,Offers!$E$2:$E$1487,H14,Offers!$I$2:$I$1487,"SKIPPED")=1,"YES","NO")</f>
        <v/>
      </c>
      <c r="P14" s="37">
        <f>IF(L14="NO","N/A",IF(COUNTIFS('Skip Docs'!$A$2:$A$7,F14,'Skip Docs'!$C$2:$C$7,E14,'Skip Docs'!$D$2:$D$7,H14,'Skip Docs'!$E$2:$E$7,J14)=1,"YES","NO"))</f>
        <v/>
      </c>
      <c r="Q14" s="37" t="inlineStr">
        <is>
          <t>N</t>
        </is>
      </c>
      <c r="R14" s="37" t="inlineStr">
        <is>
          <t>SUSTAINED</t>
        </is>
      </c>
      <c r="S14" s="37">
        <f>IF(B14="YES","Verified contemporaneous proof",IF(L14="NO","No justification PDF supplied",IF(M14="NO","PDF is cover-only",IF(P14="NO","PDF content does not match logged slip/reason",IF(O14="NO","Offer event does not reconcile","Assembled after skip date")))))</f>
        <v/>
      </c>
    </row>
    <row r="15">
      <c r="A15" s="37">
        <f>IF(M15="NO","Priority 1",IF(N15="LATE","Priority 2",IF(B15="YES","OK","Priority 1")))</f>
        <v/>
      </c>
      <c r="B15" s="37">
        <f>IF(AND(L15="YES",M15="YES",N15="ON/BEFORE",O15="YES",P15="YES"),"YES","NO")</f>
        <v/>
      </c>
      <c r="C15" s="37" t="inlineStr">
        <is>
          <t>SKP-2023-0105</t>
        </is>
      </c>
      <c r="D15" s="37" t="inlineStr">
        <is>
          <t>OFR-2023-0361</t>
        </is>
      </c>
      <c r="E15" s="38" t="n">
        <v>44991</v>
      </c>
      <c r="F15" s="37" t="inlineStr">
        <is>
          <t>WL-02366</t>
        </is>
      </c>
      <c r="G15" s="37">
        <f>IFERROR(INDEX(Applicants!$C$2:$C$2911,MATCH(F15,Applicants!$A$2:$A$2911,0))&amp;" "&amp;INDEX(Applicants!$B$2:$B$2911,MATCH(F15,Applicants!$A$2:$A$2911,0)),"")</f>
        <v/>
      </c>
      <c r="H15" s="37" t="inlineStr">
        <is>
          <t>LP-1116</t>
        </is>
      </c>
      <c r="I15" s="37" t="inlineStr">
        <is>
          <t>Ledgport</t>
        </is>
      </c>
      <c r="J15" s="37" t="inlineStr">
        <is>
          <t>vessel-fit</t>
        </is>
      </c>
      <c r="K15" s="38" t="n">
        <v>44995</v>
      </c>
      <c r="L15" s="37">
        <f>IF(COUNTIFS('Skip Docs'!$A$2:$A$7,F15,'Skip Docs'!$C$2:$C$7,E15)&gt;0,"YES","NO")</f>
        <v/>
      </c>
      <c r="M15" s="37">
        <f>IF(L15="NO","NO",INDEX('Skip Docs'!$G$2:$G$7,MATCH(1,INDEX(('Skip Docs'!$A$2:$A$7=F15)*('Skip Docs'!$C$2:$C$7=E15),0),0)))</f>
        <v/>
      </c>
      <c r="N15" s="37">
        <f>IF(K15&lt;=E15,"ON/BEFORE","LATE")</f>
        <v/>
      </c>
      <c r="O15" s="37">
        <f>IF(COUNTIFS(Offers!$A$2:$A$1487,D15,Offers!$C$2:$C$1487,F15,Offers!$B$2:$B$1487,E15,Offers!$E$2:$E$1487,H15,Offers!$I$2:$I$1487,"SKIPPED")=1,"YES","NO")</f>
        <v/>
      </c>
      <c r="P15" s="37">
        <f>IF(L15="NO","N/A",IF(COUNTIFS('Skip Docs'!$A$2:$A$7,F15,'Skip Docs'!$C$2:$C$7,E15,'Skip Docs'!$D$2:$D$7,H15,'Skip Docs'!$E$2:$E$7,J15)=1,"YES","NO"))</f>
        <v/>
      </c>
      <c r="Q15" s="37" t="inlineStr">
        <is>
          <t>Y</t>
        </is>
      </c>
      <c r="R15" s="37" t="inlineStr">
        <is>
          <t>SUSTAINED</t>
        </is>
      </c>
      <c r="S15" s="37">
        <f>IF(B15="YES","Verified contemporaneous proof",IF(L15="NO","No justification PDF supplied",IF(M15="NO","PDF is cover-only",IF(P15="NO","PDF content does not match logged slip/reason",IF(O15="NO","Offer event does not reconcile","Assembled after skip date")))))</f>
        <v/>
      </c>
    </row>
    <row r="16">
      <c r="A16" s="37">
        <f>IF(M16="NO","Priority 1",IF(N16="LATE","Priority 2",IF(B16="YES","OK","Priority 1")))</f>
        <v/>
      </c>
      <c r="B16" s="37">
        <f>IF(AND(L16="YES",M16="YES",N16="ON/BEFORE",O16="YES",P16="YES"),"YES","NO")</f>
        <v/>
      </c>
      <c r="C16" s="37" t="inlineStr">
        <is>
          <t>SKP-2023-0106</t>
        </is>
      </c>
      <c r="D16" s="37" t="inlineStr">
        <is>
          <t>OFR-2023-0364</t>
        </is>
      </c>
      <c r="E16" s="38" t="n">
        <v>45012</v>
      </c>
      <c r="F16" s="37" t="inlineStr">
        <is>
          <t>WL-01388</t>
        </is>
      </c>
      <c r="G16" s="37">
        <f>IFERROR(INDEX(Applicants!$C$2:$C$2911,MATCH(F16,Applicants!$A$2:$A$2911,0))&amp;" "&amp;INDEX(Applicants!$B$2:$B$2911,MATCH(F16,Applicants!$A$2:$A$2911,0)),"")</f>
        <v/>
      </c>
      <c r="H16" s="37" t="inlineStr">
        <is>
          <t>SB-0617</t>
        </is>
      </c>
      <c r="I16" s="37" t="inlineStr">
        <is>
          <t>Salmonberry</t>
        </is>
      </c>
      <c r="J16" s="37" t="inlineStr">
        <is>
          <t>vessel-fit</t>
        </is>
      </c>
      <c r="K16" s="38" t="n">
        <v>45015</v>
      </c>
      <c r="L16" s="37">
        <f>IF(COUNTIFS('Skip Docs'!$A$2:$A$7,F16,'Skip Docs'!$C$2:$C$7,E16)&gt;0,"YES","NO")</f>
        <v/>
      </c>
      <c r="M16" s="37">
        <f>IF(L16="NO","NO",INDEX('Skip Docs'!$G$2:$G$7,MATCH(1,INDEX(('Skip Docs'!$A$2:$A$7=F16)*('Skip Docs'!$C$2:$C$7=E16),0),0)))</f>
        <v/>
      </c>
      <c r="N16" s="37">
        <f>IF(K16&lt;=E16,"ON/BEFORE","LATE")</f>
        <v/>
      </c>
      <c r="O16" s="37">
        <f>IF(COUNTIFS(Offers!$A$2:$A$1487,D16,Offers!$C$2:$C$1487,F16,Offers!$B$2:$B$1487,E16,Offers!$E$2:$E$1487,H16,Offers!$I$2:$I$1487,"SKIPPED")=1,"YES","NO")</f>
        <v/>
      </c>
      <c r="P16" s="37">
        <f>IF(L16="NO","N/A",IF(COUNTIFS('Skip Docs'!$A$2:$A$7,F16,'Skip Docs'!$C$2:$C$7,E16,'Skip Docs'!$D$2:$D$7,H16,'Skip Docs'!$E$2:$E$7,J16)=1,"YES","NO"))</f>
        <v/>
      </c>
      <c r="Q16" s="37" t="inlineStr">
        <is>
          <t>Y</t>
        </is>
      </c>
      <c r="R16" s="37" t="inlineStr">
        <is>
          <t>SUSTAINED</t>
        </is>
      </c>
      <c r="S16" s="37">
        <f>IF(B16="YES","Verified contemporaneous proof",IF(L16="NO","No justification PDF supplied",IF(M16="NO","PDF is cover-only",IF(P16="NO","PDF content does not match logged slip/reason",IF(O16="NO","Offer event does not reconcile","Assembled after skip date")))))</f>
        <v/>
      </c>
    </row>
    <row r="17">
      <c r="A17" s="37">
        <f>IF(M17="NO","Priority 1",IF(N17="LATE","Priority 2",IF(B17="YES","OK","Priority 1")))</f>
        <v/>
      </c>
      <c r="B17" s="37">
        <f>IF(AND(L17="YES",M17="YES",N17="ON/BEFORE",O17="YES",P17="YES"),"YES","NO")</f>
        <v/>
      </c>
      <c r="C17" s="37" t="inlineStr">
        <is>
          <t>SKP-2023-0107</t>
        </is>
      </c>
      <c r="D17" s="37" t="inlineStr">
        <is>
          <t>OFR-2023-0368</t>
        </is>
      </c>
      <c r="E17" s="38" t="n">
        <v>44995</v>
      </c>
      <c r="F17" s="37" t="inlineStr">
        <is>
          <t>WL-01984</t>
        </is>
      </c>
      <c r="G17" s="37">
        <f>IFERROR(INDEX(Applicants!$C$2:$C$2911,MATCH(F17,Applicants!$A$2:$A$2911,0))&amp;" "&amp;INDEX(Applicants!$B$2:$B$2911,MATCH(F17,Applicants!$A$2:$A$2911,0)),"")</f>
        <v/>
      </c>
      <c r="H17" s="37" t="inlineStr">
        <is>
          <t>GW-0606</t>
        </is>
      </c>
      <c r="I17" s="37" t="inlineStr">
        <is>
          <t>Gullwing</t>
        </is>
      </c>
      <c r="J17" s="37" t="inlineStr">
        <is>
          <t>declined-prior-offer</t>
        </is>
      </c>
      <c r="K17" s="38" t="n">
        <v>44999</v>
      </c>
      <c r="L17" s="37">
        <f>IF(COUNTIFS('Skip Docs'!$A$2:$A$7,F17,'Skip Docs'!$C$2:$C$7,E17)&gt;0,"YES","NO")</f>
        <v/>
      </c>
      <c r="M17" s="37">
        <f>IF(L17="NO","NO",INDEX('Skip Docs'!$G$2:$G$7,MATCH(1,INDEX(('Skip Docs'!$A$2:$A$7=F17)*('Skip Docs'!$C$2:$C$7=E17),0),0)))</f>
        <v/>
      </c>
      <c r="N17" s="37">
        <f>IF(K17&lt;=E17,"ON/BEFORE","LATE")</f>
        <v/>
      </c>
      <c r="O17" s="37">
        <f>IF(COUNTIFS(Offers!$A$2:$A$1487,D17,Offers!$C$2:$C$1487,F17,Offers!$B$2:$B$1487,E17,Offers!$E$2:$E$1487,H17,Offers!$I$2:$I$1487,"SKIPPED")=1,"YES","NO")</f>
        <v/>
      </c>
      <c r="P17" s="37">
        <f>IF(L17="NO","N/A",IF(COUNTIFS('Skip Docs'!$A$2:$A$7,F17,'Skip Docs'!$C$2:$C$7,E17,'Skip Docs'!$D$2:$D$7,H17,'Skip Docs'!$E$2:$E$7,J17)=1,"YES","NO"))</f>
        <v/>
      </c>
      <c r="Q17" s="37" t="inlineStr">
        <is>
          <t>Y</t>
        </is>
      </c>
      <c r="R17" s="37" t="inlineStr">
        <is>
          <t>SUSTAINED</t>
        </is>
      </c>
      <c r="S17" s="37">
        <f>IF(B17="YES","Verified contemporaneous proof",IF(L17="NO","No justification PDF supplied",IF(M17="NO","PDF is cover-only",IF(P17="NO","PDF content does not match logged slip/reason",IF(O17="NO","Offer event does not reconcile","Assembled after skip date")))))</f>
        <v/>
      </c>
    </row>
    <row r="18">
      <c r="A18" s="37">
        <f>IF(M18="NO","Priority 1",IF(N18="LATE","Priority 2",IF(B18="YES","OK","Priority 1")))</f>
        <v/>
      </c>
      <c r="B18" s="37">
        <f>IF(AND(L18="YES",M18="YES",N18="ON/BEFORE",O18="YES",P18="YES"),"YES","NO")</f>
        <v/>
      </c>
      <c r="C18" s="37" t="inlineStr">
        <is>
          <t>SKP-2023-0108</t>
        </is>
      </c>
      <c r="D18" s="37" t="inlineStr">
        <is>
          <t>OFR-2023-0370</t>
        </is>
      </c>
      <c r="E18" s="38" t="n">
        <v>45006</v>
      </c>
      <c r="F18" s="37" t="inlineStr">
        <is>
          <t>WL-01649</t>
        </is>
      </c>
      <c r="G18" s="37">
        <f>IFERROR(INDEX(Applicants!$C$2:$C$2911,MATCH(F18,Applicants!$A$2:$A$2911,0))&amp;" "&amp;INDEX(Applicants!$B$2:$B$2911,MATCH(F18,Applicants!$A$2:$A$2911,0)),"")</f>
        <v/>
      </c>
      <c r="H18" s="37" t="inlineStr">
        <is>
          <t>VB-0717</t>
        </is>
      </c>
      <c r="I18" s="37" t="inlineStr">
        <is>
          <t>Vessbank</t>
        </is>
      </c>
      <c r="J18" s="37" t="inlineStr">
        <is>
          <t>vessel-fit</t>
        </is>
      </c>
      <c r="K18" s="38" t="n">
        <v>45008</v>
      </c>
      <c r="L18" s="37">
        <f>IF(COUNTIFS('Skip Docs'!$A$2:$A$7,F18,'Skip Docs'!$C$2:$C$7,E18)&gt;0,"YES","NO")</f>
        <v/>
      </c>
      <c r="M18" s="37">
        <f>IF(L18="NO","NO",INDEX('Skip Docs'!$G$2:$G$7,MATCH(1,INDEX(('Skip Docs'!$A$2:$A$7=F18)*('Skip Docs'!$C$2:$C$7=E18),0),0)))</f>
        <v/>
      </c>
      <c r="N18" s="37">
        <f>IF(K18&lt;=E18,"ON/BEFORE","LATE")</f>
        <v/>
      </c>
      <c r="O18" s="37">
        <f>IF(COUNTIFS(Offers!$A$2:$A$1487,D18,Offers!$C$2:$C$1487,F18,Offers!$B$2:$B$1487,E18,Offers!$E$2:$E$1487,H18,Offers!$I$2:$I$1487,"SKIPPED")=1,"YES","NO")</f>
        <v/>
      </c>
      <c r="P18" s="37">
        <f>IF(L18="NO","N/A",IF(COUNTIFS('Skip Docs'!$A$2:$A$7,F18,'Skip Docs'!$C$2:$C$7,E18,'Skip Docs'!$D$2:$D$7,H18,'Skip Docs'!$E$2:$E$7,J18)=1,"YES","NO"))</f>
        <v/>
      </c>
      <c r="Q18" s="37" t="inlineStr">
        <is>
          <t>Y</t>
        </is>
      </c>
      <c r="R18" s="37" t="inlineStr">
        <is>
          <t>SUSTAINED</t>
        </is>
      </c>
      <c r="S18" s="37">
        <f>IF(B18="YES","Verified contemporaneous proof",IF(L18="NO","No justification PDF supplied",IF(M18="NO","PDF is cover-only",IF(P18="NO","PDF content does not match logged slip/reason",IF(O18="NO","Offer event does not reconcile","Assembled after skip date")))))</f>
        <v/>
      </c>
    </row>
    <row r="19">
      <c r="A19" s="37">
        <f>IF(M19="NO","Priority 1",IF(N19="LATE","Priority 2",IF(B19="YES","OK","Priority 1")))</f>
        <v/>
      </c>
      <c r="B19" s="37">
        <f>IF(AND(L19="YES",M19="YES",N19="ON/BEFORE",O19="YES",P19="YES"),"YES","NO")</f>
        <v/>
      </c>
      <c r="C19" s="37" t="inlineStr">
        <is>
          <t>SKP-2023-0109</t>
        </is>
      </c>
      <c r="D19" s="37" t="inlineStr">
        <is>
          <t>OFR-2023-0371</t>
        </is>
      </c>
      <c r="E19" s="38" t="n">
        <v>45010</v>
      </c>
      <c r="F19" s="37" t="inlineStr">
        <is>
          <t>WL-03535</t>
        </is>
      </c>
      <c r="G19" s="37">
        <f>IFERROR(INDEX(Applicants!$C$2:$C$2911,MATCH(F19,Applicants!$A$2:$A$2911,0))&amp;" "&amp;INDEX(Applicants!$B$2:$B$2911,MATCH(F19,Applicants!$A$2:$A$2911,0)),"")</f>
        <v/>
      </c>
      <c r="H19" s="37" t="inlineStr">
        <is>
          <t>GW-0101</t>
        </is>
      </c>
      <c r="I19" s="37" t="inlineStr">
        <is>
          <t>Gullwing</t>
        </is>
      </c>
      <c r="J19" s="37" t="inlineStr">
        <is>
          <t>vessel-fit</t>
        </is>
      </c>
      <c r="K19" s="38" t="n">
        <v>45011</v>
      </c>
      <c r="L19" s="37">
        <f>IF(COUNTIFS('Skip Docs'!$A$2:$A$7,F19,'Skip Docs'!$C$2:$C$7,E19)&gt;0,"YES","NO")</f>
        <v/>
      </c>
      <c r="M19" s="37">
        <f>IF(L19="NO","NO",INDEX('Skip Docs'!$G$2:$G$7,MATCH(1,INDEX(('Skip Docs'!$A$2:$A$7=F19)*('Skip Docs'!$C$2:$C$7=E19),0),0)))</f>
        <v/>
      </c>
      <c r="N19" s="37">
        <f>IF(K19&lt;=E19,"ON/BEFORE","LATE")</f>
        <v/>
      </c>
      <c r="O19" s="37">
        <f>IF(COUNTIFS(Offers!$A$2:$A$1487,D19,Offers!$C$2:$C$1487,F19,Offers!$B$2:$B$1487,E19,Offers!$E$2:$E$1487,H19,Offers!$I$2:$I$1487,"SKIPPED")=1,"YES","NO")</f>
        <v/>
      </c>
      <c r="P19" s="37">
        <f>IF(L19="NO","N/A",IF(COUNTIFS('Skip Docs'!$A$2:$A$7,F19,'Skip Docs'!$C$2:$C$7,E19,'Skip Docs'!$D$2:$D$7,H19,'Skip Docs'!$E$2:$E$7,J19)=1,"YES","NO"))</f>
        <v/>
      </c>
      <c r="Q19" s="37" t="inlineStr">
        <is>
          <t>Y</t>
        </is>
      </c>
      <c r="R19" s="37" t="inlineStr">
        <is>
          <t>SUSTAINED</t>
        </is>
      </c>
      <c r="S19" s="37">
        <f>IF(B19="YES","Verified contemporaneous proof",IF(L19="NO","No justification PDF supplied",IF(M19="NO","PDF is cover-only",IF(P19="NO","PDF content does not match logged slip/reason",IF(O19="NO","Offer event does not reconcile","Assembled after skip date")))))</f>
        <v/>
      </c>
    </row>
    <row r="20">
      <c r="A20" s="37">
        <f>IF(M20="NO","Priority 1",IF(N20="LATE","Priority 2",IF(B20="YES","OK","Priority 1")))</f>
        <v/>
      </c>
      <c r="B20" s="37">
        <f>IF(AND(L20="YES",M20="YES",N20="ON/BEFORE",O20="YES",P20="YES"),"YES","NO")</f>
        <v/>
      </c>
      <c r="C20" s="37" t="inlineStr">
        <is>
          <t>SKP-2023-0110</t>
        </is>
      </c>
      <c r="D20" s="37" t="inlineStr">
        <is>
          <t>OFR-2023-0374</t>
        </is>
      </c>
      <c r="E20" s="38" t="n">
        <v>45036</v>
      </c>
      <c r="F20" s="37" t="inlineStr">
        <is>
          <t>WL-01473</t>
        </is>
      </c>
      <c r="G20" s="37">
        <f>IFERROR(INDEX(Applicants!$C$2:$C$2911,MATCH(F20,Applicants!$A$2:$A$2911,0))&amp;" "&amp;INDEX(Applicants!$B$2:$B$2911,MATCH(F20,Applicants!$A$2:$A$2911,0)),"")</f>
        <v/>
      </c>
      <c r="H20" s="37" t="inlineStr">
        <is>
          <t>SB-0623</t>
        </is>
      </c>
      <c r="I20" s="37" t="inlineStr">
        <is>
          <t>Salmonberry</t>
        </is>
      </c>
      <c r="J20" s="37" t="inlineStr">
        <is>
          <t>vessel-fit</t>
        </is>
      </c>
      <c r="K20" s="38" t="n">
        <v>45041</v>
      </c>
      <c r="L20" s="37">
        <f>IF(COUNTIFS('Skip Docs'!$A$2:$A$7,F20,'Skip Docs'!$C$2:$C$7,E20)&gt;0,"YES","NO")</f>
        <v/>
      </c>
      <c r="M20" s="37">
        <f>IF(L20="NO","NO",INDEX('Skip Docs'!$G$2:$G$7,MATCH(1,INDEX(('Skip Docs'!$A$2:$A$7=F20)*('Skip Docs'!$C$2:$C$7=E20),0),0)))</f>
        <v/>
      </c>
      <c r="N20" s="37">
        <f>IF(K20&lt;=E20,"ON/BEFORE","LATE")</f>
        <v/>
      </c>
      <c r="O20" s="37">
        <f>IF(COUNTIFS(Offers!$A$2:$A$1487,D20,Offers!$C$2:$C$1487,F20,Offers!$B$2:$B$1487,E20,Offers!$E$2:$E$1487,H20,Offers!$I$2:$I$1487,"SKIPPED")=1,"YES","NO")</f>
        <v/>
      </c>
      <c r="P20" s="37">
        <f>IF(L20="NO","N/A",IF(COUNTIFS('Skip Docs'!$A$2:$A$7,F20,'Skip Docs'!$C$2:$C$7,E20,'Skip Docs'!$D$2:$D$7,H20,'Skip Docs'!$E$2:$E$7,J20)=1,"YES","NO"))</f>
        <v/>
      </c>
      <c r="Q20" s="37" t="inlineStr">
        <is>
          <t>Y</t>
        </is>
      </c>
      <c r="R20" s="37" t="inlineStr">
        <is>
          <t>SUSTAINED</t>
        </is>
      </c>
      <c r="S20" s="37">
        <f>IF(B20="YES","Verified contemporaneous proof",IF(L20="NO","No justification PDF supplied",IF(M20="NO","PDF is cover-only",IF(P20="NO","PDF content does not match logged slip/reason",IF(O20="NO","Offer event does not reconcile","Assembled after skip date")))))</f>
        <v/>
      </c>
    </row>
    <row r="21">
      <c r="A21" s="37">
        <f>IF(M21="NO","Priority 1",IF(N21="LATE","Priority 2",IF(B21="YES","OK","Priority 1")))</f>
        <v/>
      </c>
      <c r="B21" s="37">
        <f>IF(AND(L21="YES",M21="YES",N21="ON/BEFORE",O21="YES",P21="YES"),"YES","NO")</f>
        <v/>
      </c>
      <c r="C21" s="37" t="inlineStr">
        <is>
          <t>SKP-2023-0111</t>
        </is>
      </c>
      <c r="D21" s="37" t="inlineStr">
        <is>
          <t>OFR-2023-0375</t>
        </is>
      </c>
      <c r="E21" s="38" t="n">
        <v>45036</v>
      </c>
      <c r="F21" s="37" t="inlineStr">
        <is>
          <t>WL-02941</t>
        </is>
      </c>
      <c r="G21" s="37">
        <f>IFERROR(INDEX(Applicants!$C$2:$C$2911,MATCH(F21,Applicants!$A$2:$A$2911,0))&amp;" "&amp;INDEX(Applicants!$B$2:$B$2911,MATCH(F21,Applicants!$A$2:$A$2911,0)),"")</f>
        <v/>
      </c>
      <c r="H21" s="37" t="inlineStr">
        <is>
          <t>SB-0109</t>
        </is>
      </c>
      <c r="I21" s="37" t="inlineStr">
        <is>
          <t>Salmonberry</t>
        </is>
      </c>
      <c r="J21" s="37" t="inlineStr">
        <is>
          <t>vessel-fit</t>
        </is>
      </c>
      <c r="K21" s="38" t="n">
        <v>45037</v>
      </c>
      <c r="L21" s="37">
        <f>IF(COUNTIFS('Skip Docs'!$A$2:$A$7,F21,'Skip Docs'!$C$2:$C$7,E21)&gt;0,"YES","NO")</f>
        <v/>
      </c>
      <c r="M21" s="37">
        <f>IF(L21="NO","NO",INDEX('Skip Docs'!$G$2:$G$7,MATCH(1,INDEX(('Skip Docs'!$A$2:$A$7=F21)*('Skip Docs'!$C$2:$C$7=E21),0),0)))</f>
        <v/>
      </c>
      <c r="N21" s="37">
        <f>IF(K21&lt;=E21,"ON/BEFORE","LATE")</f>
        <v/>
      </c>
      <c r="O21" s="37">
        <f>IF(COUNTIFS(Offers!$A$2:$A$1487,D21,Offers!$C$2:$C$1487,F21,Offers!$B$2:$B$1487,E21,Offers!$E$2:$E$1487,H21,Offers!$I$2:$I$1487,"SKIPPED")=1,"YES","NO")</f>
        <v/>
      </c>
      <c r="P21" s="37">
        <f>IF(L21="NO","N/A",IF(COUNTIFS('Skip Docs'!$A$2:$A$7,F21,'Skip Docs'!$C$2:$C$7,E21,'Skip Docs'!$D$2:$D$7,H21,'Skip Docs'!$E$2:$E$7,J21)=1,"YES","NO"))</f>
        <v/>
      </c>
      <c r="Q21" s="37" t="inlineStr">
        <is>
          <t>Y</t>
        </is>
      </c>
      <c r="R21" s="37" t="inlineStr">
        <is>
          <t>SUSTAINED</t>
        </is>
      </c>
      <c r="S21" s="37">
        <f>IF(B21="YES","Verified contemporaneous proof",IF(L21="NO","No justification PDF supplied",IF(M21="NO","PDF is cover-only",IF(P21="NO","PDF content does not match logged slip/reason",IF(O21="NO","Offer event does not reconcile","Assembled after skip date")))))</f>
        <v/>
      </c>
    </row>
    <row r="22">
      <c r="A22" s="37">
        <f>IF(M22="NO","Priority 1",IF(N22="LATE","Priority 2",IF(B22="YES","OK","Priority 1")))</f>
        <v/>
      </c>
      <c r="B22" s="37">
        <f>IF(AND(L22="YES",M22="YES",N22="ON/BEFORE",O22="YES",P22="YES"),"YES","NO")</f>
        <v/>
      </c>
      <c r="C22" s="37" t="inlineStr">
        <is>
          <t>SKP-2023-0112</t>
        </is>
      </c>
      <c r="D22" s="37" t="inlineStr">
        <is>
          <t>OFR-2023-0387</t>
        </is>
      </c>
      <c r="E22" s="38" t="n">
        <v>45019</v>
      </c>
      <c r="F22" s="37" t="inlineStr">
        <is>
          <t>WL-03014</t>
        </is>
      </c>
      <c r="G22" s="37">
        <f>IFERROR(INDEX(Applicants!$C$2:$C$2911,MATCH(F22,Applicants!$A$2:$A$2911,0))&amp;" "&amp;INDEX(Applicants!$B$2:$B$2911,MATCH(F22,Applicants!$A$2:$A$2911,0)),"")</f>
        <v/>
      </c>
      <c r="H22" s="37" t="inlineStr">
        <is>
          <t>LP-0204</t>
        </is>
      </c>
      <c r="I22" s="37" t="inlineStr">
        <is>
          <t>Ledgport</t>
        </is>
      </c>
      <c r="J22" s="37" t="inlineStr">
        <is>
          <t>vessel-fit</t>
        </is>
      </c>
      <c r="K22" s="38" t="n">
        <v>45020</v>
      </c>
      <c r="L22" s="37">
        <f>IF(COUNTIFS('Skip Docs'!$A$2:$A$7,F22,'Skip Docs'!$C$2:$C$7,E22)&gt;0,"YES","NO")</f>
        <v/>
      </c>
      <c r="M22" s="37">
        <f>IF(L22="NO","NO",INDEX('Skip Docs'!$G$2:$G$7,MATCH(1,INDEX(('Skip Docs'!$A$2:$A$7=F22)*('Skip Docs'!$C$2:$C$7=E22),0),0)))</f>
        <v/>
      </c>
      <c r="N22" s="37">
        <f>IF(K22&lt;=E22,"ON/BEFORE","LATE")</f>
        <v/>
      </c>
      <c r="O22" s="37">
        <f>IF(COUNTIFS(Offers!$A$2:$A$1487,D22,Offers!$C$2:$C$1487,F22,Offers!$B$2:$B$1487,E22,Offers!$E$2:$E$1487,H22,Offers!$I$2:$I$1487,"SKIPPED")=1,"YES","NO")</f>
        <v/>
      </c>
      <c r="P22" s="37">
        <f>IF(L22="NO","N/A",IF(COUNTIFS('Skip Docs'!$A$2:$A$7,F22,'Skip Docs'!$C$2:$C$7,E22,'Skip Docs'!$D$2:$D$7,H22,'Skip Docs'!$E$2:$E$7,J22)=1,"YES","NO"))</f>
        <v/>
      </c>
      <c r="Q22" s="37" t="inlineStr">
        <is>
          <t>Y</t>
        </is>
      </c>
      <c r="R22" s="37" t="inlineStr">
        <is>
          <t>SUSTAINED</t>
        </is>
      </c>
      <c r="S22" s="37">
        <f>IF(B22="YES","Verified contemporaneous proof",IF(L22="NO","No justification PDF supplied",IF(M22="NO","PDF is cover-only",IF(P22="NO","PDF content does not match logged slip/reason",IF(O22="NO","Offer event does not reconcile","Assembled after skip date")))))</f>
        <v/>
      </c>
    </row>
    <row r="23">
      <c r="A23" s="37">
        <f>IF(M23="NO","Priority 1",IF(N23="LATE","Priority 2",IF(B23="YES","OK","Priority 1")))</f>
        <v/>
      </c>
      <c r="B23" s="37">
        <f>IF(AND(L23="YES",M23="YES",N23="ON/BEFORE",O23="YES",P23="YES"),"YES","NO")</f>
        <v/>
      </c>
      <c r="C23" s="37" t="inlineStr">
        <is>
          <t>SKP-2023-0113</t>
        </is>
      </c>
      <c r="D23" s="37" t="inlineStr">
        <is>
          <t>OFR-2023-0392</t>
        </is>
      </c>
      <c r="E23" s="38" t="n">
        <v>45025</v>
      </c>
      <c r="F23" s="37" t="inlineStr">
        <is>
          <t>WL-01886</t>
        </is>
      </c>
      <c r="G23" s="37">
        <f>IFERROR(INDEX(Applicants!$C$2:$C$2911,MATCH(F23,Applicants!$A$2:$A$2911,0))&amp;" "&amp;INDEX(Applicants!$B$2:$B$2911,MATCH(F23,Applicants!$A$2:$A$2911,0)),"")</f>
        <v/>
      </c>
      <c r="H23" s="37" t="inlineStr">
        <is>
          <t>GW-0116</t>
        </is>
      </c>
      <c r="I23" s="37" t="inlineStr">
        <is>
          <t>Gullwing</t>
        </is>
      </c>
      <c r="J23" s="37" t="inlineStr">
        <is>
          <t>not-current</t>
        </is>
      </c>
      <c r="K23" s="38" t="n">
        <v>45028</v>
      </c>
      <c r="L23" s="37">
        <f>IF(COUNTIFS('Skip Docs'!$A$2:$A$7,F23,'Skip Docs'!$C$2:$C$7,E23)&gt;0,"YES","NO")</f>
        <v/>
      </c>
      <c r="M23" s="37">
        <f>IF(L23="NO","NO",INDEX('Skip Docs'!$G$2:$G$7,MATCH(1,INDEX(('Skip Docs'!$A$2:$A$7=F23)*('Skip Docs'!$C$2:$C$7=E23),0),0)))</f>
        <v/>
      </c>
      <c r="N23" s="37">
        <f>IF(K23&lt;=E23,"ON/BEFORE","LATE")</f>
        <v/>
      </c>
      <c r="O23" s="37">
        <f>IF(COUNTIFS(Offers!$A$2:$A$1487,D23,Offers!$C$2:$C$1487,F23,Offers!$B$2:$B$1487,E23,Offers!$E$2:$E$1487,H23,Offers!$I$2:$I$1487,"SKIPPED")=1,"YES","NO")</f>
        <v/>
      </c>
      <c r="P23" s="37">
        <f>IF(L23="NO","N/A",IF(COUNTIFS('Skip Docs'!$A$2:$A$7,F23,'Skip Docs'!$C$2:$C$7,E23,'Skip Docs'!$D$2:$D$7,H23,'Skip Docs'!$E$2:$E$7,J23)=1,"YES","NO"))</f>
        <v/>
      </c>
      <c r="Q23" s="37" t="inlineStr">
        <is>
          <t>Y</t>
        </is>
      </c>
      <c r="R23" s="37" t="inlineStr">
        <is>
          <t>SUSTAINED</t>
        </is>
      </c>
      <c r="S23" s="37">
        <f>IF(B23="YES","Verified contemporaneous proof",IF(L23="NO","No justification PDF supplied",IF(M23="NO","PDF is cover-only",IF(P23="NO","PDF content does not match logged slip/reason",IF(O23="NO","Offer event does not reconcile","Assembled after skip date")))))</f>
        <v/>
      </c>
    </row>
    <row r="24">
      <c r="A24" s="37">
        <f>IF(M24="NO","Priority 1",IF(N24="LATE","Priority 2",IF(B24="YES","OK","Priority 1")))</f>
        <v/>
      </c>
      <c r="B24" s="37">
        <f>IF(AND(L24="YES",M24="YES",N24="ON/BEFORE",O24="YES",P24="YES"),"YES","NO")</f>
        <v/>
      </c>
      <c r="C24" s="37" t="inlineStr">
        <is>
          <t>SKP-2023-0114</t>
        </is>
      </c>
      <c r="D24" s="37" t="inlineStr">
        <is>
          <t>OFR-2023-0395</t>
        </is>
      </c>
      <c r="E24" s="38" t="n">
        <v>45027</v>
      </c>
      <c r="F24" s="37" t="inlineStr">
        <is>
          <t>WL-02074</t>
        </is>
      </c>
      <c r="G24" s="37">
        <f>IFERROR(INDEX(Applicants!$C$2:$C$2911,MATCH(F24,Applicants!$A$2:$A$2911,0))&amp;" "&amp;INDEX(Applicants!$B$2:$B$2911,MATCH(F24,Applicants!$A$2:$A$2911,0)),"")</f>
        <v/>
      </c>
      <c r="H24" s="37" t="inlineStr">
        <is>
          <t>EW-1007</t>
        </is>
      </c>
      <c r="I24" s="37" t="inlineStr">
        <is>
          <t>Eastwey</t>
        </is>
      </c>
      <c r="J24" s="37" t="inlineStr">
        <is>
          <t>vessel-fit</t>
        </is>
      </c>
      <c r="K24" s="38" t="n">
        <v>45031</v>
      </c>
      <c r="L24" s="37">
        <f>IF(COUNTIFS('Skip Docs'!$A$2:$A$7,F24,'Skip Docs'!$C$2:$C$7,E24)&gt;0,"YES","NO")</f>
        <v/>
      </c>
      <c r="M24" s="37">
        <f>IF(L24="NO","NO",INDEX('Skip Docs'!$G$2:$G$7,MATCH(1,INDEX(('Skip Docs'!$A$2:$A$7=F24)*('Skip Docs'!$C$2:$C$7=E24),0),0)))</f>
        <v/>
      </c>
      <c r="N24" s="37">
        <f>IF(K24&lt;=E24,"ON/BEFORE","LATE")</f>
        <v/>
      </c>
      <c r="O24" s="37">
        <f>IF(COUNTIFS(Offers!$A$2:$A$1487,D24,Offers!$C$2:$C$1487,F24,Offers!$B$2:$B$1487,E24,Offers!$E$2:$E$1487,H24,Offers!$I$2:$I$1487,"SKIPPED")=1,"YES","NO")</f>
        <v/>
      </c>
      <c r="P24" s="37">
        <f>IF(L24="NO","N/A",IF(COUNTIFS('Skip Docs'!$A$2:$A$7,F24,'Skip Docs'!$C$2:$C$7,E24,'Skip Docs'!$D$2:$D$7,H24,'Skip Docs'!$E$2:$E$7,J24)=1,"YES","NO"))</f>
        <v/>
      </c>
      <c r="Q24" s="37" t="inlineStr">
        <is>
          <t>Y</t>
        </is>
      </c>
      <c r="R24" s="37" t="inlineStr">
        <is>
          <t>SUSTAINED</t>
        </is>
      </c>
      <c r="S24" s="37">
        <f>IF(B24="YES","Verified contemporaneous proof",IF(L24="NO","No justification PDF supplied",IF(M24="NO","PDF is cover-only",IF(P24="NO","PDF content does not match logged slip/reason",IF(O24="NO","Offer event does not reconcile","Assembled after skip date")))))</f>
        <v/>
      </c>
    </row>
    <row r="25">
      <c r="A25" s="37">
        <f>IF(M25="NO","Priority 1",IF(N25="LATE","Priority 2",IF(B25="YES","OK","Priority 1")))</f>
        <v/>
      </c>
      <c r="B25" s="37">
        <f>IF(AND(L25="YES",M25="YES",N25="ON/BEFORE",O25="YES",P25="YES"),"YES","NO")</f>
        <v/>
      </c>
      <c r="C25" s="37" t="inlineStr">
        <is>
          <t>SKP-2023-0115</t>
        </is>
      </c>
      <c r="D25" s="37" t="inlineStr">
        <is>
          <t>OFR-2023-0401</t>
        </is>
      </c>
      <c r="E25" s="38" t="n">
        <v>45024</v>
      </c>
      <c r="F25" s="37" t="inlineStr">
        <is>
          <t>WL-01145</t>
        </is>
      </c>
      <c r="G25" s="37">
        <f>IFERROR(INDEX(Applicants!$C$2:$C$2911,MATCH(F25,Applicants!$A$2:$A$2911,0))&amp;" "&amp;INDEX(Applicants!$B$2:$B$2911,MATCH(F25,Applicants!$A$2:$A$2911,0)),"")</f>
        <v/>
      </c>
      <c r="H25" s="37" t="inlineStr">
        <is>
          <t>EW-0304</t>
        </is>
      </c>
      <c r="I25" s="37" t="inlineStr">
        <is>
          <t>Eastwey</t>
        </is>
      </c>
      <c r="J25" s="37" t="inlineStr">
        <is>
          <t>not-current</t>
        </is>
      </c>
      <c r="K25" s="38" t="n">
        <v>45026</v>
      </c>
      <c r="L25" s="37">
        <f>IF(COUNTIFS('Skip Docs'!$A$2:$A$7,F25,'Skip Docs'!$C$2:$C$7,E25)&gt;0,"YES","NO")</f>
        <v/>
      </c>
      <c r="M25" s="37">
        <f>IF(L25="NO","NO",INDEX('Skip Docs'!$G$2:$G$7,MATCH(1,INDEX(('Skip Docs'!$A$2:$A$7=F25)*('Skip Docs'!$C$2:$C$7=E25),0),0)))</f>
        <v/>
      </c>
      <c r="N25" s="37">
        <f>IF(K25&lt;=E25,"ON/BEFORE","LATE")</f>
        <v/>
      </c>
      <c r="O25" s="37">
        <f>IF(COUNTIFS(Offers!$A$2:$A$1487,D25,Offers!$C$2:$C$1487,F25,Offers!$B$2:$B$1487,E25,Offers!$E$2:$E$1487,H25,Offers!$I$2:$I$1487,"SKIPPED")=1,"YES","NO")</f>
        <v/>
      </c>
      <c r="P25" s="37">
        <f>IF(L25="NO","N/A",IF(COUNTIFS('Skip Docs'!$A$2:$A$7,F25,'Skip Docs'!$C$2:$C$7,E25,'Skip Docs'!$D$2:$D$7,H25,'Skip Docs'!$E$2:$E$7,J25)=1,"YES","NO"))</f>
        <v/>
      </c>
      <c r="Q25" s="37" t="inlineStr">
        <is>
          <t>Y</t>
        </is>
      </c>
      <c r="R25" s="37" t="inlineStr">
        <is>
          <t>SUSTAINED</t>
        </is>
      </c>
      <c r="S25" s="37">
        <f>IF(B25="YES","Verified contemporaneous proof",IF(L25="NO","No justification PDF supplied",IF(M25="NO","PDF is cover-only",IF(P25="NO","PDF content does not match logged slip/reason",IF(O25="NO","Offer event does not reconcile","Assembled after skip date")))))</f>
        <v/>
      </c>
    </row>
    <row r="26">
      <c r="A26" s="37">
        <f>IF(M26="NO","Priority 1",IF(N26="LATE","Priority 2",IF(B26="YES","OK","Priority 1")))</f>
        <v/>
      </c>
      <c r="B26" s="37">
        <f>IF(AND(L26="YES",M26="YES",N26="ON/BEFORE",O26="YES",P26="YES"),"YES","NO")</f>
        <v/>
      </c>
      <c r="C26" s="37" t="inlineStr">
        <is>
          <t>SKP-2023-0116</t>
        </is>
      </c>
      <c r="D26" s="37" t="inlineStr">
        <is>
          <t>OFR-2023-0403</t>
        </is>
      </c>
      <c r="E26" s="38" t="n">
        <v>45044</v>
      </c>
      <c r="F26" s="37" t="inlineStr">
        <is>
          <t>WL-01274</t>
        </is>
      </c>
      <c r="G26" s="37">
        <f>IFERROR(INDEX(Applicants!$C$2:$C$2911,MATCH(F26,Applicants!$A$2:$A$2911,0))&amp;" "&amp;INDEX(Applicants!$B$2:$B$2911,MATCH(F26,Applicants!$A$2:$A$2911,0)),"")</f>
        <v/>
      </c>
      <c r="H26" s="37" t="inlineStr">
        <is>
          <t>GW-0905</t>
        </is>
      </c>
      <c r="I26" s="37" t="inlineStr">
        <is>
          <t>Gullwing</t>
        </is>
      </c>
      <c r="J26" s="37" t="inlineStr">
        <is>
          <t>vessel-fit</t>
        </is>
      </c>
      <c r="K26" s="38" t="n">
        <v>45045</v>
      </c>
      <c r="L26" s="37">
        <f>IF(COUNTIFS('Skip Docs'!$A$2:$A$7,F26,'Skip Docs'!$C$2:$C$7,E26)&gt;0,"YES","NO")</f>
        <v/>
      </c>
      <c r="M26" s="37">
        <f>IF(L26="NO","NO",INDEX('Skip Docs'!$G$2:$G$7,MATCH(1,INDEX(('Skip Docs'!$A$2:$A$7=F26)*('Skip Docs'!$C$2:$C$7=E26),0),0)))</f>
        <v/>
      </c>
      <c r="N26" s="37">
        <f>IF(K26&lt;=E26,"ON/BEFORE","LATE")</f>
        <v/>
      </c>
      <c r="O26" s="37">
        <f>IF(COUNTIFS(Offers!$A$2:$A$1487,D26,Offers!$C$2:$C$1487,F26,Offers!$B$2:$B$1487,E26,Offers!$E$2:$E$1487,H26,Offers!$I$2:$I$1487,"SKIPPED")=1,"YES","NO")</f>
        <v/>
      </c>
      <c r="P26" s="37">
        <f>IF(L26="NO","N/A",IF(COUNTIFS('Skip Docs'!$A$2:$A$7,F26,'Skip Docs'!$C$2:$C$7,E26,'Skip Docs'!$D$2:$D$7,H26,'Skip Docs'!$E$2:$E$7,J26)=1,"YES","NO"))</f>
        <v/>
      </c>
      <c r="Q26" s="37" t="inlineStr">
        <is>
          <t>Y</t>
        </is>
      </c>
      <c r="R26" s="37" t="inlineStr">
        <is>
          <t>SUSTAINED</t>
        </is>
      </c>
      <c r="S26" s="37">
        <f>IF(B26="YES","Verified contemporaneous proof",IF(L26="NO","No justification PDF supplied",IF(M26="NO","PDF is cover-only",IF(P26="NO","PDF content does not match logged slip/reason",IF(O26="NO","Offer event does not reconcile","Assembled after skip date")))))</f>
        <v/>
      </c>
    </row>
    <row r="27">
      <c r="A27" s="37">
        <f>IF(M27="NO","Priority 1",IF(N27="LATE","Priority 2",IF(B27="YES","OK","Priority 1")))</f>
        <v/>
      </c>
      <c r="B27" s="37">
        <f>IF(AND(L27="YES",M27="YES",N27="ON/BEFORE",O27="YES",P27="YES"),"YES","NO")</f>
        <v/>
      </c>
      <c r="C27" s="37" t="inlineStr">
        <is>
          <t>SKP-2023-0117</t>
        </is>
      </c>
      <c r="D27" s="37" t="inlineStr">
        <is>
          <t>OFR-2023-0409</t>
        </is>
      </c>
      <c r="E27" s="38" t="n">
        <v>45018</v>
      </c>
      <c r="F27" s="37" t="inlineStr">
        <is>
          <t>WL-01089</t>
        </is>
      </c>
      <c r="G27" s="37">
        <f>IFERROR(INDEX(Applicants!$C$2:$C$2911,MATCH(F27,Applicants!$A$2:$A$2911,0))&amp;" "&amp;INDEX(Applicants!$B$2:$B$2911,MATCH(F27,Applicants!$A$2:$A$2911,0)),"")</f>
        <v/>
      </c>
      <c r="H27" s="37" t="inlineStr">
        <is>
          <t>GW-0306</t>
        </is>
      </c>
      <c r="I27" s="37" t="inlineStr">
        <is>
          <t>Gullwing</t>
        </is>
      </c>
      <c r="J27" s="37" t="inlineStr">
        <is>
          <t>declined-prior-offer</t>
        </is>
      </c>
      <c r="K27" s="38" t="n">
        <v>45019</v>
      </c>
      <c r="L27" s="37">
        <f>IF(COUNTIFS('Skip Docs'!$A$2:$A$7,F27,'Skip Docs'!$C$2:$C$7,E27)&gt;0,"YES","NO")</f>
        <v/>
      </c>
      <c r="M27" s="37">
        <f>IF(L27="NO","NO",INDEX('Skip Docs'!$G$2:$G$7,MATCH(1,INDEX(('Skip Docs'!$A$2:$A$7=F27)*('Skip Docs'!$C$2:$C$7=E27),0),0)))</f>
        <v/>
      </c>
      <c r="N27" s="37">
        <f>IF(K27&lt;=E27,"ON/BEFORE","LATE")</f>
        <v/>
      </c>
      <c r="O27" s="37">
        <f>IF(COUNTIFS(Offers!$A$2:$A$1487,D27,Offers!$C$2:$C$1487,F27,Offers!$B$2:$B$1487,E27,Offers!$E$2:$E$1487,H27,Offers!$I$2:$I$1487,"SKIPPED")=1,"YES","NO")</f>
        <v/>
      </c>
      <c r="P27" s="37">
        <f>IF(L27="NO","N/A",IF(COUNTIFS('Skip Docs'!$A$2:$A$7,F27,'Skip Docs'!$C$2:$C$7,E27,'Skip Docs'!$D$2:$D$7,H27,'Skip Docs'!$E$2:$E$7,J27)=1,"YES","NO"))</f>
        <v/>
      </c>
      <c r="Q27" s="37" t="inlineStr">
        <is>
          <t>Y</t>
        </is>
      </c>
      <c r="R27" s="37" t="inlineStr">
        <is>
          <t>SUSTAINED</t>
        </is>
      </c>
      <c r="S27" s="37">
        <f>IF(B27="YES","Verified contemporaneous proof",IF(L27="NO","No justification PDF supplied",IF(M27="NO","PDF is cover-only",IF(P27="NO","PDF content does not match logged slip/reason",IF(O27="NO","Offer event does not reconcile","Assembled after skip date")))))</f>
        <v/>
      </c>
    </row>
    <row r="28">
      <c r="A28" s="37">
        <f>IF(M28="NO","Priority 1",IF(N28="LATE","Priority 2",IF(B28="YES","OK","Priority 1")))</f>
        <v/>
      </c>
      <c r="B28" s="37">
        <f>IF(AND(L28="YES",M28="YES",N28="ON/BEFORE",O28="YES",P28="YES"),"YES","NO")</f>
        <v/>
      </c>
      <c r="C28" s="37" t="inlineStr">
        <is>
          <t>SKP-2023-0118</t>
        </is>
      </c>
      <c r="D28" s="37" t="inlineStr">
        <is>
          <t>OFR-2023-0411</t>
        </is>
      </c>
      <c r="E28" s="38" t="n">
        <v>45059</v>
      </c>
      <c r="F28" s="37" t="inlineStr">
        <is>
          <t>WL-02485</t>
        </is>
      </c>
      <c r="G28" s="37">
        <f>IFERROR(INDEX(Applicants!$C$2:$C$2911,MATCH(F28,Applicants!$A$2:$A$2911,0))&amp;" "&amp;INDEX(Applicants!$B$2:$B$2911,MATCH(F28,Applicants!$A$2:$A$2911,0)),"")</f>
        <v/>
      </c>
      <c r="H28" s="37" t="inlineStr">
        <is>
          <t>VB-0521</t>
        </is>
      </c>
      <c r="I28" s="37" t="inlineStr">
        <is>
          <t>Vessbank</t>
        </is>
      </c>
      <c r="J28" s="37" t="inlineStr">
        <is>
          <t>not-current</t>
        </is>
      </c>
      <c r="K28" s="38" t="n">
        <v>45062</v>
      </c>
      <c r="L28" s="37">
        <f>IF(COUNTIFS('Skip Docs'!$A$2:$A$7,F28,'Skip Docs'!$C$2:$C$7,E28)&gt;0,"YES","NO")</f>
        <v/>
      </c>
      <c r="M28" s="37">
        <f>IF(L28="NO","NO",INDEX('Skip Docs'!$G$2:$G$7,MATCH(1,INDEX(('Skip Docs'!$A$2:$A$7=F28)*('Skip Docs'!$C$2:$C$7=E28),0),0)))</f>
        <v/>
      </c>
      <c r="N28" s="37">
        <f>IF(K28&lt;=E28,"ON/BEFORE","LATE")</f>
        <v/>
      </c>
      <c r="O28" s="37">
        <f>IF(COUNTIFS(Offers!$A$2:$A$1487,D28,Offers!$C$2:$C$1487,F28,Offers!$B$2:$B$1487,E28,Offers!$E$2:$E$1487,H28,Offers!$I$2:$I$1487,"SKIPPED")=1,"YES","NO")</f>
        <v/>
      </c>
      <c r="P28" s="37">
        <f>IF(L28="NO","N/A",IF(COUNTIFS('Skip Docs'!$A$2:$A$7,F28,'Skip Docs'!$C$2:$C$7,E28,'Skip Docs'!$D$2:$D$7,H28,'Skip Docs'!$E$2:$E$7,J28)=1,"YES","NO"))</f>
        <v/>
      </c>
      <c r="Q28" s="37" t="inlineStr">
        <is>
          <t>Y</t>
        </is>
      </c>
      <c r="R28" s="37" t="inlineStr">
        <is>
          <t>SUSTAINED</t>
        </is>
      </c>
      <c r="S28" s="37">
        <f>IF(B28="YES","Verified contemporaneous proof",IF(L28="NO","No justification PDF supplied",IF(M28="NO","PDF is cover-only",IF(P28="NO","PDF content does not match logged slip/reason",IF(O28="NO","Offer event does not reconcile","Assembled after skip date")))))</f>
        <v/>
      </c>
    </row>
    <row r="29">
      <c r="A29" s="37">
        <f>IF(M29="NO","Priority 1",IF(N29="LATE","Priority 2",IF(B29="YES","OK","Priority 1")))</f>
        <v/>
      </c>
      <c r="B29" s="37">
        <f>IF(AND(L29="YES",M29="YES",N29="ON/BEFORE",O29="YES",P29="YES"),"YES","NO")</f>
        <v/>
      </c>
      <c r="C29" s="37" t="inlineStr">
        <is>
          <t>SKP-2023-0119</t>
        </is>
      </c>
      <c r="D29" s="37" t="inlineStr">
        <is>
          <t>OFR-2023-0412</t>
        </is>
      </c>
      <c r="E29" s="38" t="n">
        <v>45051</v>
      </c>
      <c r="F29" s="37" t="inlineStr">
        <is>
          <t>WL-03151</t>
        </is>
      </c>
      <c r="G29" s="37">
        <f>IFERROR(INDEX(Applicants!$C$2:$C$2911,MATCH(F29,Applicants!$A$2:$A$2911,0))&amp;" "&amp;INDEX(Applicants!$B$2:$B$2911,MATCH(F29,Applicants!$A$2:$A$2911,0)),"")</f>
        <v/>
      </c>
      <c r="H29" s="37" t="inlineStr">
        <is>
          <t>VB-0220</t>
        </is>
      </c>
      <c r="I29" s="37" t="inlineStr">
        <is>
          <t>Vessbank</t>
        </is>
      </c>
      <c r="J29" s="37" t="inlineStr">
        <is>
          <t>declined-prior-offer</t>
        </is>
      </c>
      <c r="K29" s="38" t="n">
        <v>45054</v>
      </c>
      <c r="L29" s="37">
        <f>IF(COUNTIFS('Skip Docs'!$A$2:$A$7,F29,'Skip Docs'!$C$2:$C$7,E29)&gt;0,"YES","NO")</f>
        <v/>
      </c>
      <c r="M29" s="37">
        <f>IF(L29="NO","NO",INDEX('Skip Docs'!$G$2:$G$7,MATCH(1,INDEX(('Skip Docs'!$A$2:$A$7=F29)*('Skip Docs'!$C$2:$C$7=E29),0),0)))</f>
        <v/>
      </c>
      <c r="N29" s="37">
        <f>IF(K29&lt;=E29,"ON/BEFORE","LATE")</f>
        <v/>
      </c>
      <c r="O29" s="37">
        <f>IF(COUNTIFS(Offers!$A$2:$A$1487,D29,Offers!$C$2:$C$1487,F29,Offers!$B$2:$B$1487,E29,Offers!$E$2:$E$1487,H29,Offers!$I$2:$I$1487,"SKIPPED")=1,"YES","NO")</f>
        <v/>
      </c>
      <c r="P29" s="37">
        <f>IF(L29="NO","N/A",IF(COUNTIFS('Skip Docs'!$A$2:$A$7,F29,'Skip Docs'!$C$2:$C$7,E29,'Skip Docs'!$D$2:$D$7,H29,'Skip Docs'!$E$2:$E$7,J29)=1,"YES","NO"))</f>
        <v/>
      </c>
      <c r="Q29" s="37" t="inlineStr">
        <is>
          <t>Y</t>
        </is>
      </c>
      <c r="R29" s="37" t="inlineStr">
        <is>
          <t>SUSTAINED</t>
        </is>
      </c>
      <c r="S29" s="37">
        <f>IF(B29="YES","Verified contemporaneous proof",IF(L29="NO","No justification PDF supplied",IF(M29="NO","PDF is cover-only",IF(P29="NO","PDF content does not match logged slip/reason",IF(O29="NO","Offer event does not reconcile","Assembled after skip date")))))</f>
        <v/>
      </c>
    </row>
    <row r="30">
      <c r="A30" s="37">
        <f>IF(M30="NO","Priority 1",IF(N30="LATE","Priority 2",IF(B30="YES","OK","Priority 1")))</f>
        <v/>
      </c>
      <c r="B30" s="37">
        <f>IF(AND(L30="YES",M30="YES",N30="ON/BEFORE",O30="YES",P30="YES"),"YES","NO")</f>
        <v/>
      </c>
      <c r="C30" s="37" t="inlineStr">
        <is>
          <t>SKP-2023-0120</t>
        </is>
      </c>
      <c r="D30" s="37" t="inlineStr">
        <is>
          <t>OFR-2023-0417</t>
        </is>
      </c>
      <c r="E30" s="38" t="n">
        <v>45048</v>
      </c>
      <c r="F30" s="37" t="inlineStr">
        <is>
          <t>WL-01469</t>
        </is>
      </c>
      <c r="G30" s="37">
        <f>IFERROR(INDEX(Applicants!$C$2:$C$2911,MATCH(F30,Applicants!$A$2:$A$2911,0))&amp;" "&amp;INDEX(Applicants!$B$2:$B$2911,MATCH(F30,Applicants!$A$2:$A$2911,0)),"")</f>
        <v/>
      </c>
      <c r="H30" s="37" t="inlineStr">
        <is>
          <t>LP-1104</t>
        </is>
      </c>
      <c r="I30" s="37" t="inlineStr">
        <is>
          <t>Ledgport</t>
        </is>
      </c>
      <c r="J30" s="37" t="inlineStr">
        <is>
          <t>vessel-fit</t>
        </is>
      </c>
      <c r="K30" s="38" t="n">
        <v>45051</v>
      </c>
      <c r="L30" s="37">
        <f>IF(COUNTIFS('Skip Docs'!$A$2:$A$7,F30,'Skip Docs'!$C$2:$C$7,E30)&gt;0,"YES","NO")</f>
        <v/>
      </c>
      <c r="M30" s="37">
        <f>IF(L30="NO","NO",INDEX('Skip Docs'!$G$2:$G$7,MATCH(1,INDEX(('Skip Docs'!$A$2:$A$7=F30)*('Skip Docs'!$C$2:$C$7=E30),0),0)))</f>
        <v/>
      </c>
      <c r="N30" s="37">
        <f>IF(K30&lt;=E30,"ON/BEFORE","LATE")</f>
        <v/>
      </c>
      <c r="O30" s="37">
        <f>IF(COUNTIFS(Offers!$A$2:$A$1487,D30,Offers!$C$2:$C$1487,F30,Offers!$B$2:$B$1487,E30,Offers!$E$2:$E$1487,H30,Offers!$I$2:$I$1487,"SKIPPED")=1,"YES","NO")</f>
        <v/>
      </c>
      <c r="P30" s="37">
        <f>IF(L30="NO","N/A",IF(COUNTIFS('Skip Docs'!$A$2:$A$7,F30,'Skip Docs'!$C$2:$C$7,E30,'Skip Docs'!$D$2:$D$7,H30,'Skip Docs'!$E$2:$E$7,J30)=1,"YES","NO"))</f>
        <v/>
      </c>
      <c r="Q30" s="37" t="inlineStr">
        <is>
          <t>Y</t>
        </is>
      </c>
      <c r="R30" s="37" t="inlineStr">
        <is>
          <t>SUSTAINED</t>
        </is>
      </c>
      <c r="S30" s="37">
        <f>IF(B30="YES","Verified contemporaneous proof",IF(L30="NO","No justification PDF supplied",IF(M30="NO","PDF is cover-only",IF(P30="NO","PDF content does not match logged slip/reason",IF(O30="NO","Offer event does not reconcile","Assembled after skip date")))))</f>
        <v/>
      </c>
    </row>
    <row r="31">
      <c r="A31" s="37">
        <f>IF(M31="NO","Priority 1",IF(N31="LATE","Priority 2",IF(B31="YES","OK","Priority 1")))</f>
        <v/>
      </c>
      <c r="B31" s="37">
        <f>IF(AND(L31="YES",M31="YES",N31="ON/BEFORE",O31="YES",P31="YES"),"YES","NO")</f>
        <v/>
      </c>
      <c r="C31" s="37" t="inlineStr">
        <is>
          <t>SKP-2023-0121</t>
        </is>
      </c>
      <c r="D31" s="37" t="inlineStr">
        <is>
          <t>OFR-2023-0418</t>
        </is>
      </c>
      <c r="E31" s="38" t="n">
        <v>45058</v>
      </c>
      <c r="F31" s="37" t="inlineStr">
        <is>
          <t>WL-03181</t>
        </is>
      </c>
      <c r="G31" s="37">
        <f>IFERROR(INDEX(Applicants!$C$2:$C$2911,MATCH(F31,Applicants!$A$2:$A$2911,0))&amp;" "&amp;INDEX(Applicants!$B$2:$B$2911,MATCH(F31,Applicants!$A$2:$A$2911,0)),"")</f>
        <v/>
      </c>
      <c r="H31" s="37" t="inlineStr">
        <is>
          <t>SB-0903</t>
        </is>
      </c>
      <c r="I31" s="37" t="inlineStr">
        <is>
          <t>Salmonberry</t>
        </is>
      </c>
      <c r="J31" s="37" t="inlineStr">
        <is>
          <t>vessel-fit</t>
        </is>
      </c>
      <c r="K31" s="38" t="n">
        <v>45063</v>
      </c>
      <c r="L31" s="37">
        <f>IF(COUNTIFS('Skip Docs'!$A$2:$A$7,F31,'Skip Docs'!$C$2:$C$7,E31)&gt;0,"YES","NO")</f>
        <v/>
      </c>
      <c r="M31" s="37">
        <f>IF(L31="NO","NO",INDEX('Skip Docs'!$G$2:$G$7,MATCH(1,INDEX(('Skip Docs'!$A$2:$A$7=F31)*('Skip Docs'!$C$2:$C$7=E31),0),0)))</f>
        <v/>
      </c>
      <c r="N31" s="37">
        <f>IF(K31&lt;=E31,"ON/BEFORE","LATE")</f>
        <v/>
      </c>
      <c r="O31" s="37">
        <f>IF(COUNTIFS(Offers!$A$2:$A$1487,D31,Offers!$C$2:$C$1487,F31,Offers!$B$2:$B$1487,E31,Offers!$E$2:$E$1487,H31,Offers!$I$2:$I$1487,"SKIPPED")=1,"YES","NO")</f>
        <v/>
      </c>
      <c r="P31" s="37">
        <f>IF(L31="NO","N/A",IF(COUNTIFS('Skip Docs'!$A$2:$A$7,F31,'Skip Docs'!$C$2:$C$7,E31,'Skip Docs'!$D$2:$D$7,H31,'Skip Docs'!$E$2:$E$7,J31)=1,"YES","NO"))</f>
        <v/>
      </c>
      <c r="Q31" s="37" t="inlineStr">
        <is>
          <t>Y</t>
        </is>
      </c>
      <c r="R31" s="37" t="inlineStr">
        <is>
          <t>SUSTAINED</t>
        </is>
      </c>
      <c r="S31" s="37">
        <f>IF(B31="YES","Verified contemporaneous proof",IF(L31="NO","No justification PDF supplied",IF(M31="NO","PDF is cover-only",IF(P31="NO","PDF content does not match logged slip/reason",IF(O31="NO","Offer event does not reconcile","Assembled after skip date")))))</f>
        <v/>
      </c>
    </row>
    <row r="32">
      <c r="A32" s="37">
        <f>IF(M32="NO","Priority 1",IF(N32="LATE","Priority 2",IF(B32="YES","OK","Priority 1")))</f>
        <v/>
      </c>
      <c r="B32" s="37">
        <f>IF(AND(L32="YES",M32="YES",N32="ON/BEFORE",O32="YES",P32="YES"),"YES","NO")</f>
        <v/>
      </c>
      <c r="C32" s="37" t="inlineStr">
        <is>
          <t>SKP-2023-0122</t>
        </is>
      </c>
      <c r="D32" s="37" t="inlineStr">
        <is>
          <t>OFR-2023-0419</t>
        </is>
      </c>
      <c r="E32" s="38" t="n">
        <v>45066</v>
      </c>
      <c r="F32" s="37" t="inlineStr">
        <is>
          <t>WL-03816</t>
        </is>
      </c>
      <c r="G32" s="37">
        <f>IFERROR(INDEX(Applicants!$C$2:$C$2911,MATCH(F32,Applicants!$A$2:$A$2911,0))&amp;" "&amp;INDEX(Applicants!$B$2:$B$2911,MATCH(F32,Applicants!$A$2:$A$2911,0)),"")</f>
        <v/>
      </c>
      <c r="H32" s="37" t="inlineStr">
        <is>
          <t>VB-0113</t>
        </is>
      </c>
      <c r="I32" s="37" t="inlineStr">
        <is>
          <t>Vessbank</t>
        </is>
      </c>
      <c r="J32" s="37" t="inlineStr">
        <is>
          <t>preference-mismatch</t>
        </is>
      </c>
      <c r="K32" s="38" t="n">
        <v>45070</v>
      </c>
      <c r="L32" s="37">
        <f>IF(COUNTIFS('Skip Docs'!$A$2:$A$7,F32,'Skip Docs'!$C$2:$C$7,E32)&gt;0,"YES","NO")</f>
        <v/>
      </c>
      <c r="M32" s="37">
        <f>IF(L32="NO","NO",INDEX('Skip Docs'!$G$2:$G$7,MATCH(1,INDEX(('Skip Docs'!$A$2:$A$7=F32)*('Skip Docs'!$C$2:$C$7=E32),0),0)))</f>
        <v/>
      </c>
      <c r="N32" s="37">
        <f>IF(K32&lt;=E32,"ON/BEFORE","LATE")</f>
        <v/>
      </c>
      <c r="O32" s="37">
        <f>IF(COUNTIFS(Offers!$A$2:$A$1487,D32,Offers!$C$2:$C$1487,F32,Offers!$B$2:$B$1487,E32,Offers!$E$2:$E$1487,H32,Offers!$I$2:$I$1487,"SKIPPED")=1,"YES","NO")</f>
        <v/>
      </c>
      <c r="P32" s="37">
        <f>IF(L32="NO","N/A",IF(COUNTIFS('Skip Docs'!$A$2:$A$7,F32,'Skip Docs'!$C$2:$C$7,E32,'Skip Docs'!$D$2:$D$7,H32,'Skip Docs'!$E$2:$E$7,J32)=1,"YES","NO"))</f>
        <v/>
      </c>
      <c r="Q32" s="37" t="inlineStr">
        <is>
          <t>Y</t>
        </is>
      </c>
      <c r="R32" s="37" t="inlineStr">
        <is>
          <t>SUSTAINED</t>
        </is>
      </c>
      <c r="S32" s="37">
        <f>IF(B32="YES","Verified contemporaneous proof",IF(L32="NO","No justification PDF supplied",IF(M32="NO","PDF is cover-only",IF(P32="NO","PDF content does not match logged slip/reason",IF(O32="NO","Offer event does not reconcile","Assembled after skip date")))))</f>
        <v/>
      </c>
    </row>
    <row r="33">
      <c r="A33" s="37">
        <f>IF(M33="NO","Priority 1",IF(N33="LATE","Priority 2",IF(B33="YES","OK","Priority 1")))</f>
        <v/>
      </c>
      <c r="B33" s="37">
        <f>IF(AND(L33="YES",M33="YES",N33="ON/BEFORE",O33="YES",P33="YES"),"YES","NO")</f>
        <v/>
      </c>
      <c r="C33" s="37" t="inlineStr">
        <is>
          <t>SKP-2023-0123</t>
        </is>
      </c>
      <c r="D33" s="37" t="inlineStr">
        <is>
          <t>OFR-2023-0421</t>
        </is>
      </c>
      <c r="E33" s="38" t="n">
        <v>45067</v>
      </c>
      <c r="F33" s="37" t="inlineStr">
        <is>
          <t>WL-03712</t>
        </is>
      </c>
      <c r="G33" s="37">
        <f>IFERROR(INDEX(Applicants!$C$2:$C$2911,MATCH(F33,Applicants!$A$2:$A$2911,0))&amp;" "&amp;INDEX(Applicants!$B$2:$B$2911,MATCH(F33,Applicants!$A$2:$A$2911,0)),"")</f>
        <v/>
      </c>
      <c r="H33" s="37" t="inlineStr">
        <is>
          <t>LP-0113</t>
        </is>
      </c>
      <c r="I33" s="37" t="inlineStr">
        <is>
          <t>Ledgport</t>
        </is>
      </c>
      <c r="J33" s="37" t="inlineStr">
        <is>
          <t>declined-prior-offer</t>
        </is>
      </c>
      <c r="K33" s="38" t="n">
        <v>45070</v>
      </c>
      <c r="L33" s="37">
        <f>IF(COUNTIFS('Skip Docs'!$A$2:$A$7,F33,'Skip Docs'!$C$2:$C$7,E33)&gt;0,"YES","NO")</f>
        <v/>
      </c>
      <c r="M33" s="37">
        <f>IF(L33="NO","NO",INDEX('Skip Docs'!$G$2:$G$7,MATCH(1,INDEX(('Skip Docs'!$A$2:$A$7=F33)*('Skip Docs'!$C$2:$C$7=E33),0),0)))</f>
        <v/>
      </c>
      <c r="N33" s="37">
        <f>IF(K33&lt;=E33,"ON/BEFORE","LATE")</f>
        <v/>
      </c>
      <c r="O33" s="37">
        <f>IF(COUNTIFS(Offers!$A$2:$A$1487,D33,Offers!$C$2:$C$1487,F33,Offers!$B$2:$B$1487,E33,Offers!$E$2:$E$1487,H33,Offers!$I$2:$I$1487,"SKIPPED")=1,"YES","NO")</f>
        <v/>
      </c>
      <c r="P33" s="37">
        <f>IF(L33="NO","N/A",IF(COUNTIFS('Skip Docs'!$A$2:$A$7,F33,'Skip Docs'!$C$2:$C$7,E33,'Skip Docs'!$D$2:$D$7,H33,'Skip Docs'!$E$2:$E$7,J33)=1,"YES","NO"))</f>
        <v/>
      </c>
      <c r="Q33" s="37" t="inlineStr">
        <is>
          <t>Y</t>
        </is>
      </c>
      <c r="R33" s="37" t="inlineStr">
        <is>
          <t>SUSTAINED</t>
        </is>
      </c>
      <c r="S33" s="37">
        <f>IF(B33="YES","Verified contemporaneous proof",IF(L33="NO","No justification PDF supplied",IF(M33="NO","PDF is cover-only",IF(P33="NO","PDF content does not match logged slip/reason",IF(O33="NO","Offer event does not reconcile","Assembled after skip date")))))</f>
        <v/>
      </c>
    </row>
    <row r="34">
      <c r="A34" s="37">
        <f>IF(M34="NO","Priority 1",IF(N34="LATE","Priority 2",IF(B34="YES","OK","Priority 1")))</f>
        <v/>
      </c>
      <c r="B34" s="37">
        <f>IF(AND(L34="YES",M34="YES",N34="ON/BEFORE",O34="YES",P34="YES"),"YES","NO")</f>
        <v/>
      </c>
      <c r="C34" s="37" t="inlineStr">
        <is>
          <t>SKP-2023-0124</t>
        </is>
      </c>
      <c r="D34" s="37" t="inlineStr">
        <is>
          <t>OFR-2023-0422</t>
        </is>
      </c>
      <c r="E34" s="38" t="n">
        <v>45065</v>
      </c>
      <c r="F34" s="37" t="inlineStr">
        <is>
          <t>WL-02100</t>
        </is>
      </c>
      <c r="G34" s="37">
        <f>IFERROR(INDEX(Applicants!$C$2:$C$2911,MATCH(F34,Applicants!$A$2:$A$2911,0))&amp;" "&amp;INDEX(Applicants!$B$2:$B$2911,MATCH(F34,Applicants!$A$2:$A$2911,0)),"")</f>
        <v/>
      </c>
      <c r="H34" s="37" t="inlineStr">
        <is>
          <t>VB-0504</t>
        </is>
      </c>
      <c r="I34" s="37" t="inlineStr">
        <is>
          <t>Vessbank</t>
        </is>
      </c>
      <c r="J34" s="37" t="inlineStr">
        <is>
          <t>preference-mismatch</t>
        </is>
      </c>
      <c r="K34" s="38" t="n">
        <v>45069</v>
      </c>
      <c r="L34" s="37">
        <f>IF(COUNTIFS('Skip Docs'!$A$2:$A$7,F34,'Skip Docs'!$C$2:$C$7,E34)&gt;0,"YES","NO")</f>
        <v/>
      </c>
      <c r="M34" s="37">
        <f>IF(L34="NO","NO",INDEX('Skip Docs'!$G$2:$G$7,MATCH(1,INDEX(('Skip Docs'!$A$2:$A$7=F34)*('Skip Docs'!$C$2:$C$7=E34),0),0)))</f>
        <v/>
      </c>
      <c r="N34" s="37">
        <f>IF(K34&lt;=E34,"ON/BEFORE","LATE")</f>
        <v/>
      </c>
      <c r="O34" s="37">
        <f>IF(COUNTIFS(Offers!$A$2:$A$1487,D34,Offers!$C$2:$C$1487,F34,Offers!$B$2:$B$1487,E34,Offers!$E$2:$E$1487,H34,Offers!$I$2:$I$1487,"SKIPPED")=1,"YES","NO")</f>
        <v/>
      </c>
      <c r="P34" s="37">
        <f>IF(L34="NO","N/A",IF(COUNTIFS('Skip Docs'!$A$2:$A$7,F34,'Skip Docs'!$C$2:$C$7,E34,'Skip Docs'!$D$2:$D$7,H34,'Skip Docs'!$E$2:$E$7,J34)=1,"YES","NO"))</f>
        <v/>
      </c>
      <c r="Q34" s="37" t="inlineStr">
        <is>
          <t>Y</t>
        </is>
      </c>
      <c r="R34" s="37" t="inlineStr">
        <is>
          <t>SUSTAINED</t>
        </is>
      </c>
      <c r="S34" s="37">
        <f>IF(B34="YES","Verified contemporaneous proof",IF(L34="NO","No justification PDF supplied",IF(M34="NO","PDF is cover-only",IF(P34="NO","PDF content does not match logged slip/reason",IF(O34="NO","Offer event does not reconcile","Assembled after skip date")))))</f>
        <v/>
      </c>
    </row>
    <row r="35">
      <c r="A35" s="37">
        <f>IF(M35="NO","Priority 1",IF(N35="LATE","Priority 2",IF(B35="YES","OK","Priority 1")))</f>
        <v/>
      </c>
      <c r="B35" s="37">
        <f>IF(AND(L35="YES",M35="YES",N35="ON/BEFORE",O35="YES",P35="YES"),"YES","NO")</f>
        <v/>
      </c>
      <c r="C35" s="37" t="inlineStr">
        <is>
          <t>SKP-2023-0125</t>
        </is>
      </c>
      <c r="D35" s="37" t="inlineStr">
        <is>
          <t>OFR-2023-0429</t>
        </is>
      </c>
      <c r="E35" s="38" t="n">
        <v>45067</v>
      </c>
      <c r="F35" s="37" t="inlineStr">
        <is>
          <t>WL-02777</t>
        </is>
      </c>
      <c r="G35" s="37">
        <f>IFERROR(INDEX(Applicants!$C$2:$C$2911,MATCH(F35,Applicants!$A$2:$A$2911,0))&amp;" "&amp;INDEX(Applicants!$B$2:$B$2911,MATCH(F35,Applicants!$A$2:$A$2911,0)),"")</f>
        <v/>
      </c>
      <c r="H35" s="37" t="inlineStr">
        <is>
          <t>LP-0402</t>
        </is>
      </c>
      <c r="I35" s="37" t="inlineStr">
        <is>
          <t>Ledgport</t>
        </is>
      </c>
      <c r="J35" s="37" t="inlineStr">
        <is>
          <t>vessel-fit</t>
        </is>
      </c>
      <c r="K35" s="38" t="n">
        <v>45068</v>
      </c>
      <c r="L35" s="37">
        <f>IF(COUNTIFS('Skip Docs'!$A$2:$A$7,F35,'Skip Docs'!$C$2:$C$7,E35)&gt;0,"YES","NO")</f>
        <v/>
      </c>
      <c r="M35" s="37">
        <f>IF(L35="NO","NO",INDEX('Skip Docs'!$G$2:$G$7,MATCH(1,INDEX(('Skip Docs'!$A$2:$A$7=F35)*('Skip Docs'!$C$2:$C$7=E35),0),0)))</f>
        <v/>
      </c>
      <c r="N35" s="37">
        <f>IF(K35&lt;=E35,"ON/BEFORE","LATE")</f>
        <v/>
      </c>
      <c r="O35" s="37">
        <f>IF(COUNTIFS(Offers!$A$2:$A$1487,D35,Offers!$C$2:$C$1487,F35,Offers!$B$2:$B$1487,E35,Offers!$E$2:$E$1487,H35,Offers!$I$2:$I$1487,"SKIPPED")=1,"YES","NO")</f>
        <v/>
      </c>
      <c r="P35" s="37">
        <f>IF(L35="NO","N/A",IF(COUNTIFS('Skip Docs'!$A$2:$A$7,F35,'Skip Docs'!$C$2:$C$7,E35,'Skip Docs'!$D$2:$D$7,H35,'Skip Docs'!$E$2:$E$7,J35)=1,"YES","NO"))</f>
        <v/>
      </c>
      <c r="Q35" s="37" t="inlineStr">
        <is>
          <t>Y</t>
        </is>
      </c>
      <c r="R35" s="37" t="inlineStr">
        <is>
          <t>SUSTAINED</t>
        </is>
      </c>
      <c r="S35" s="37">
        <f>IF(B35="YES","Verified contemporaneous proof",IF(L35="NO","No justification PDF supplied",IF(M35="NO","PDF is cover-only",IF(P35="NO","PDF content does not match logged slip/reason",IF(O35="NO","Offer event does not reconcile","Assembled after skip date")))))</f>
        <v/>
      </c>
    </row>
    <row r="36">
      <c r="A36" s="37">
        <f>IF(M36="NO","Priority 1",IF(N36="LATE","Priority 2",IF(B36="YES","OK","Priority 1")))</f>
        <v/>
      </c>
      <c r="B36" s="37">
        <f>IF(AND(L36="YES",M36="YES",N36="ON/BEFORE",O36="YES",P36="YES"),"YES","NO")</f>
        <v/>
      </c>
      <c r="C36" s="37" t="inlineStr">
        <is>
          <t>SKP-2023-0126</t>
        </is>
      </c>
      <c r="D36" s="37" t="inlineStr">
        <is>
          <t>OFR-2023-0432</t>
        </is>
      </c>
      <c r="E36" s="38" t="n">
        <v>45056</v>
      </c>
      <c r="F36" s="37" t="inlineStr">
        <is>
          <t>WL-02134</t>
        </is>
      </c>
      <c r="G36" s="37">
        <f>IFERROR(INDEX(Applicants!$C$2:$C$2911,MATCH(F36,Applicants!$A$2:$A$2911,0))&amp;" "&amp;INDEX(Applicants!$B$2:$B$2911,MATCH(F36,Applicants!$A$2:$A$2911,0)),"")</f>
        <v/>
      </c>
      <c r="H36" s="37" t="inlineStr">
        <is>
          <t>EW-0320</t>
        </is>
      </c>
      <c r="I36" s="37" t="inlineStr">
        <is>
          <t>Eastwey</t>
        </is>
      </c>
      <c r="J36" s="37" t="inlineStr">
        <is>
          <t>not-current</t>
        </is>
      </c>
      <c r="K36" s="38" t="n">
        <v>45058</v>
      </c>
      <c r="L36" s="37">
        <f>IF(COUNTIFS('Skip Docs'!$A$2:$A$7,F36,'Skip Docs'!$C$2:$C$7,E36)&gt;0,"YES","NO")</f>
        <v/>
      </c>
      <c r="M36" s="37">
        <f>IF(L36="NO","NO",INDEX('Skip Docs'!$G$2:$G$7,MATCH(1,INDEX(('Skip Docs'!$A$2:$A$7=F36)*('Skip Docs'!$C$2:$C$7=E36),0),0)))</f>
        <v/>
      </c>
      <c r="N36" s="37">
        <f>IF(K36&lt;=E36,"ON/BEFORE","LATE")</f>
        <v/>
      </c>
      <c r="O36" s="37">
        <f>IF(COUNTIFS(Offers!$A$2:$A$1487,D36,Offers!$C$2:$C$1487,F36,Offers!$B$2:$B$1487,E36,Offers!$E$2:$E$1487,H36,Offers!$I$2:$I$1487,"SKIPPED")=1,"YES","NO")</f>
        <v/>
      </c>
      <c r="P36" s="37">
        <f>IF(L36="NO","N/A",IF(COUNTIFS('Skip Docs'!$A$2:$A$7,F36,'Skip Docs'!$C$2:$C$7,E36,'Skip Docs'!$D$2:$D$7,H36,'Skip Docs'!$E$2:$E$7,J36)=1,"YES","NO"))</f>
        <v/>
      </c>
      <c r="Q36" s="37" t="inlineStr">
        <is>
          <t>Y</t>
        </is>
      </c>
      <c r="R36" s="37" t="inlineStr">
        <is>
          <t>SUSTAINED</t>
        </is>
      </c>
      <c r="S36" s="37">
        <f>IF(B36="YES","Verified contemporaneous proof",IF(L36="NO","No justification PDF supplied",IF(M36="NO","PDF is cover-only",IF(P36="NO","PDF content does not match logged slip/reason",IF(O36="NO","Offer event does not reconcile","Assembled after skip date")))))</f>
        <v/>
      </c>
    </row>
    <row r="37">
      <c r="A37" s="37">
        <f>IF(M37="NO","Priority 1",IF(N37="LATE","Priority 2",IF(B37="YES","OK","Priority 1")))</f>
        <v/>
      </c>
      <c r="B37" s="37">
        <f>IF(AND(L37="YES",M37="YES",N37="ON/BEFORE",O37="YES",P37="YES"),"YES","NO")</f>
        <v/>
      </c>
      <c r="C37" s="37" t="inlineStr">
        <is>
          <t>SKP-2023-0127</t>
        </is>
      </c>
      <c r="D37" s="37" t="inlineStr">
        <is>
          <t>OFR-2023-0435</t>
        </is>
      </c>
      <c r="E37" s="38" t="n">
        <v>45067</v>
      </c>
      <c r="F37" s="37" t="inlineStr">
        <is>
          <t>WL-01420</t>
        </is>
      </c>
      <c r="G37" s="37">
        <f>IFERROR(INDEX(Applicants!$C$2:$C$2911,MATCH(F37,Applicants!$A$2:$A$2911,0))&amp;" "&amp;INDEX(Applicants!$B$2:$B$2911,MATCH(F37,Applicants!$A$2:$A$2911,0)),"")</f>
        <v/>
      </c>
      <c r="H37" s="37" t="inlineStr">
        <is>
          <t>SB-0405</t>
        </is>
      </c>
      <c r="I37" s="37" t="inlineStr">
        <is>
          <t>Salmonberry</t>
        </is>
      </c>
      <c r="J37" s="37" t="inlineStr">
        <is>
          <t>vessel-fit</t>
        </is>
      </c>
      <c r="K37" s="38" t="n">
        <v>45069</v>
      </c>
      <c r="L37" s="37">
        <f>IF(COUNTIFS('Skip Docs'!$A$2:$A$7,F37,'Skip Docs'!$C$2:$C$7,E37)&gt;0,"YES","NO")</f>
        <v/>
      </c>
      <c r="M37" s="37">
        <f>IF(L37="NO","NO",INDEX('Skip Docs'!$G$2:$G$7,MATCH(1,INDEX(('Skip Docs'!$A$2:$A$7=F37)*('Skip Docs'!$C$2:$C$7=E37),0),0)))</f>
        <v/>
      </c>
      <c r="N37" s="37">
        <f>IF(K37&lt;=E37,"ON/BEFORE","LATE")</f>
        <v/>
      </c>
      <c r="O37" s="37">
        <f>IF(COUNTIFS(Offers!$A$2:$A$1487,D37,Offers!$C$2:$C$1487,F37,Offers!$B$2:$B$1487,E37,Offers!$E$2:$E$1487,H37,Offers!$I$2:$I$1487,"SKIPPED")=1,"YES","NO")</f>
        <v/>
      </c>
      <c r="P37" s="37">
        <f>IF(L37="NO","N/A",IF(COUNTIFS('Skip Docs'!$A$2:$A$7,F37,'Skip Docs'!$C$2:$C$7,E37,'Skip Docs'!$D$2:$D$7,H37,'Skip Docs'!$E$2:$E$7,J37)=1,"YES","NO"))</f>
        <v/>
      </c>
      <c r="Q37" s="37" t="inlineStr">
        <is>
          <t>Y</t>
        </is>
      </c>
      <c r="R37" s="37" t="inlineStr">
        <is>
          <t>SUSTAINED</t>
        </is>
      </c>
      <c r="S37" s="37">
        <f>IF(B37="YES","Verified contemporaneous proof",IF(L37="NO","No justification PDF supplied",IF(M37="NO","PDF is cover-only",IF(P37="NO","PDF content does not match logged slip/reason",IF(O37="NO","Offer event does not reconcile","Assembled after skip date")))))</f>
        <v/>
      </c>
    </row>
    <row r="38">
      <c r="A38" s="37">
        <f>IF(M38="NO","Priority 1",IF(N38="LATE","Priority 2",IF(B38="YES","OK","Priority 1")))</f>
        <v/>
      </c>
      <c r="B38" s="37">
        <f>IF(AND(L38="YES",M38="YES",N38="ON/BEFORE",O38="YES",P38="YES"),"YES","NO")</f>
        <v/>
      </c>
      <c r="C38" s="37" t="inlineStr">
        <is>
          <t>SKP-2023-0128</t>
        </is>
      </c>
      <c r="D38" s="37" t="inlineStr">
        <is>
          <t>OFR-2023-0436</t>
        </is>
      </c>
      <c r="E38" s="38" t="n">
        <v>45050</v>
      </c>
      <c r="F38" s="37" t="inlineStr">
        <is>
          <t>WL-03537</t>
        </is>
      </c>
      <c r="G38" s="37">
        <f>IFERROR(INDEX(Applicants!$C$2:$C$2911,MATCH(F38,Applicants!$A$2:$A$2911,0))&amp;" "&amp;INDEX(Applicants!$B$2:$B$2911,MATCH(F38,Applicants!$A$2:$A$2911,0)),"")</f>
        <v/>
      </c>
      <c r="H38" s="37" t="inlineStr">
        <is>
          <t>GW-0709</t>
        </is>
      </c>
      <c r="I38" s="37" t="inlineStr">
        <is>
          <t>Gullwing</t>
        </is>
      </c>
      <c r="J38" s="37" t="inlineStr">
        <is>
          <t>not-current</t>
        </is>
      </c>
      <c r="K38" s="38" t="n">
        <v>45052</v>
      </c>
      <c r="L38" s="37">
        <f>IF(COUNTIFS('Skip Docs'!$A$2:$A$7,F38,'Skip Docs'!$C$2:$C$7,E38)&gt;0,"YES","NO")</f>
        <v/>
      </c>
      <c r="M38" s="37">
        <f>IF(L38="NO","NO",INDEX('Skip Docs'!$G$2:$G$7,MATCH(1,INDEX(('Skip Docs'!$A$2:$A$7=F38)*('Skip Docs'!$C$2:$C$7=E38),0),0)))</f>
        <v/>
      </c>
      <c r="N38" s="37">
        <f>IF(K38&lt;=E38,"ON/BEFORE","LATE")</f>
        <v/>
      </c>
      <c r="O38" s="37">
        <f>IF(COUNTIFS(Offers!$A$2:$A$1487,D38,Offers!$C$2:$C$1487,F38,Offers!$B$2:$B$1487,E38,Offers!$E$2:$E$1487,H38,Offers!$I$2:$I$1487,"SKIPPED")=1,"YES","NO")</f>
        <v/>
      </c>
      <c r="P38" s="37">
        <f>IF(L38="NO","N/A",IF(COUNTIFS('Skip Docs'!$A$2:$A$7,F38,'Skip Docs'!$C$2:$C$7,E38,'Skip Docs'!$D$2:$D$7,H38,'Skip Docs'!$E$2:$E$7,J38)=1,"YES","NO"))</f>
        <v/>
      </c>
      <c r="Q38" s="37" t="inlineStr">
        <is>
          <t>Y</t>
        </is>
      </c>
      <c r="R38" s="37" t="inlineStr">
        <is>
          <t>SUSTAINED</t>
        </is>
      </c>
      <c r="S38" s="37">
        <f>IF(B38="YES","Verified contemporaneous proof",IF(L38="NO","No justification PDF supplied",IF(M38="NO","PDF is cover-only",IF(P38="NO","PDF content does not match logged slip/reason",IF(O38="NO","Offer event does not reconcile","Assembled after skip date")))))</f>
        <v/>
      </c>
    </row>
    <row r="39">
      <c r="A39" s="37">
        <f>IF(M39="NO","Priority 1",IF(N39="LATE","Priority 2",IF(B39="YES","OK","Priority 1")))</f>
        <v/>
      </c>
      <c r="B39" s="37">
        <f>IF(AND(L39="YES",M39="YES",N39="ON/BEFORE",O39="YES",P39="YES"),"YES","NO")</f>
        <v/>
      </c>
      <c r="C39" s="37" t="inlineStr">
        <is>
          <t>SKP-2023-0129</t>
        </is>
      </c>
      <c r="D39" s="37" t="inlineStr">
        <is>
          <t>OFR-2023-0440</t>
        </is>
      </c>
      <c r="E39" s="38" t="n">
        <v>45048</v>
      </c>
      <c r="F39" s="37" t="inlineStr">
        <is>
          <t>WL-03178</t>
        </is>
      </c>
      <c r="G39" s="37">
        <f>IFERROR(INDEX(Applicants!$C$2:$C$2911,MATCH(F39,Applicants!$A$2:$A$2911,0))&amp;" "&amp;INDEX(Applicants!$B$2:$B$2911,MATCH(F39,Applicants!$A$2:$A$2911,0)),"")</f>
        <v/>
      </c>
      <c r="H39" s="37" t="inlineStr">
        <is>
          <t>VB-0810</t>
        </is>
      </c>
      <c r="I39" s="37" t="inlineStr">
        <is>
          <t>Vessbank</t>
        </is>
      </c>
      <c r="J39" s="37" t="inlineStr">
        <is>
          <t>vessel-fit</t>
        </is>
      </c>
      <c r="K39" s="38" t="n">
        <v>45048</v>
      </c>
      <c r="L39" s="37">
        <f>IF(COUNTIFS('Skip Docs'!$A$2:$A$7,F39,'Skip Docs'!$C$2:$C$7,E39)&gt;0,"YES","NO")</f>
        <v/>
      </c>
      <c r="M39" s="37">
        <f>IF(L39="NO","NO",INDEX('Skip Docs'!$G$2:$G$7,MATCH(1,INDEX(('Skip Docs'!$A$2:$A$7=F39)*('Skip Docs'!$C$2:$C$7=E39),0),0)))</f>
        <v/>
      </c>
      <c r="N39" s="37">
        <f>IF(K39&lt;=E39,"ON/BEFORE","LATE")</f>
        <v/>
      </c>
      <c r="O39" s="37">
        <f>IF(COUNTIFS(Offers!$A$2:$A$1487,D39,Offers!$C$2:$C$1487,F39,Offers!$B$2:$B$1487,E39,Offers!$E$2:$E$1487,H39,Offers!$I$2:$I$1487,"SKIPPED")=1,"YES","NO")</f>
        <v/>
      </c>
      <c r="P39" s="37">
        <f>IF(L39="NO","N/A",IF(COUNTIFS('Skip Docs'!$A$2:$A$7,F39,'Skip Docs'!$C$2:$C$7,E39,'Skip Docs'!$D$2:$D$7,H39,'Skip Docs'!$E$2:$E$7,J39)=1,"YES","NO"))</f>
        <v/>
      </c>
      <c r="Q39" s="37" t="inlineStr">
        <is>
          <t>Y</t>
        </is>
      </c>
      <c r="R39" s="37" t="inlineStr">
        <is>
          <t>SUSTAINED</t>
        </is>
      </c>
      <c r="S39" s="37">
        <f>IF(B39="YES","Verified contemporaneous proof",IF(L39="NO","No justification PDF supplied",IF(M39="NO","PDF is cover-only",IF(P39="NO","PDF content does not match logged slip/reason",IF(O39="NO","Offer event does not reconcile","Assembled after skip date")))))</f>
        <v/>
      </c>
    </row>
    <row r="40">
      <c r="A40" s="37">
        <f>IF(M40="NO","Priority 1",IF(N40="LATE","Priority 2",IF(B40="YES","OK","Priority 1")))</f>
        <v/>
      </c>
      <c r="B40" s="37">
        <f>IF(AND(L40="YES",M40="YES",N40="ON/BEFORE",O40="YES",P40="YES"),"YES","NO")</f>
        <v/>
      </c>
      <c r="C40" s="37" t="inlineStr">
        <is>
          <t>SKP-2023-0130</t>
        </is>
      </c>
      <c r="D40" s="37" t="inlineStr">
        <is>
          <t>OFR-2023-0447</t>
        </is>
      </c>
      <c r="E40" s="38" t="n">
        <v>45089</v>
      </c>
      <c r="F40" s="37" t="inlineStr">
        <is>
          <t>WL-02924</t>
        </is>
      </c>
      <c r="G40" s="37">
        <f>IFERROR(INDEX(Applicants!$C$2:$C$2911,MATCH(F40,Applicants!$A$2:$A$2911,0))&amp;" "&amp;INDEX(Applicants!$B$2:$B$2911,MATCH(F40,Applicants!$A$2:$A$2911,0)),"")</f>
        <v/>
      </c>
      <c r="H40" s="37" t="inlineStr">
        <is>
          <t>VB-0720</t>
        </is>
      </c>
      <c r="I40" s="37" t="inlineStr">
        <is>
          <t>Vessbank</t>
        </is>
      </c>
      <c r="J40" s="37" t="inlineStr">
        <is>
          <t>not-current</t>
        </is>
      </c>
      <c r="K40" s="38" t="n">
        <v>45093</v>
      </c>
      <c r="L40" s="37">
        <f>IF(COUNTIFS('Skip Docs'!$A$2:$A$7,F40,'Skip Docs'!$C$2:$C$7,E40)&gt;0,"YES","NO")</f>
        <v/>
      </c>
      <c r="M40" s="37">
        <f>IF(L40="NO","NO",INDEX('Skip Docs'!$G$2:$G$7,MATCH(1,INDEX(('Skip Docs'!$A$2:$A$7=F40)*('Skip Docs'!$C$2:$C$7=E40),0),0)))</f>
        <v/>
      </c>
      <c r="N40" s="37">
        <f>IF(K40&lt;=E40,"ON/BEFORE","LATE")</f>
        <v/>
      </c>
      <c r="O40" s="37">
        <f>IF(COUNTIFS(Offers!$A$2:$A$1487,D40,Offers!$C$2:$C$1487,F40,Offers!$B$2:$B$1487,E40,Offers!$E$2:$E$1487,H40,Offers!$I$2:$I$1487,"SKIPPED")=1,"YES","NO")</f>
        <v/>
      </c>
      <c r="P40" s="37">
        <f>IF(L40="NO","N/A",IF(COUNTIFS('Skip Docs'!$A$2:$A$7,F40,'Skip Docs'!$C$2:$C$7,E40,'Skip Docs'!$D$2:$D$7,H40,'Skip Docs'!$E$2:$E$7,J40)=1,"YES","NO"))</f>
        <v/>
      </c>
      <c r="Q40" s="37" t="inlineStr">
        <is>
          <t>Y</t>
        </is>
      </c>
      <c r="R40" s="37" t="inlineStr">
        <is>
          <t>SUSTAINED</t>
        </is>
      </c>
      <c r="S40" s="37">
        <f>IF(B40="YES","Verified contemporaneous proof",IF(L40="NO","No justification PDF supplied",IF(M40="NO","PDF is cover-only",IF(P40="NO","PDF content does not match logged slip/reason",IF(O40="NO","Offer event does not reconcile","Assembled after skip date")))))</f>
        <v/>
      </c>
    </row>
    <row r="41">
      <c r="A41" s="37">
        <f>IF(M41="NO","Priority 1",IF(N41="LATE","Priority 2",IF(B41="YES","OK","Priority 1")))</f>
        <v/>
      </c>
      <c r="B41" s="37">
        <f>IF(AND(L41="YES",M41="YES",N41="ON/BEFORE",O41="YES",P41="YES"),"YES","NO")</f>
        <v/>
      </c>
      <c r="C41" s="37" t="inlineStr">
        <is>
          <t>SKP-2023-0131</t>
        </is>
      </c>
      <c r="D41" s="37" t="inlineStr">
        <is>
          <t>OFR-2023-0448</t>
        </is>
      </c>
      <c r="E41" s="38" t="n">
        <v>45092</v>
      </c>
      <c r="F41" s="37" t="inlineStr">
        <is>
          <t>WL-01781</t>
        </is>
      </c>
      <c r="G41" s="37">
        <f>IFERROR(INDEX(Applicants!$C$2:$C$2911,MATCH(F41,Applicants!$A$2:$A$2911,0))&amp;" "&amp;INDEX(Applicants!$B$2:$B$2911,MATCH(F41,Applicants!$A$2:$A$2911,0)),"")</f>
        <v/>
      </c>
      <c r="H41" s="37" t="inlineStr">
        <is>
          <t>LP-0220</t>
        </is>
      </c>
      <c r="I41" s="37" t="inlineStr">
        <is>
          <t>Ledgport</t>
        </is>
      </c>
      <c r="J41" s="37" t="inlineStr">
        <is>
          <t>preference-mismatch</t>
        </is>
      </c>
      <c r="K41" s="38" t="n">
        <v>45096</v>
      </c>
      <c r="L41" s="37">
        <f>IF(COUNTIFS('Skip Docs'!$A$2:$A$7,F41,'Skip Docs'!$C$2:$C$7,E41)&gt;0,"YES","NO")</f>
        <v/>
      </c>
      <c r="M41" s="37">
        <f>IF(L41="NO","NO",INDEX('Skip Docs'!$G$2:$G$7,MATCH(1,INDEX(('Skip Docs'!$A$2:$A$7=F41)*('Skip Docs'!$C$2:$C$7=E41),0),0)))</f>
        <v/>
      </c>
      <c r="N41" s="37">
        <f>IF(K41&lt;=E41,"ON/BEFORE","LATE")</f>
        <v/>
      </c>
      <c r="O41" s="37">
        <f>IF(COUNTIFS(Offers!$A$2:$A$1487,D41,Offers!$C$2:$C$1487,F41,Offers!$B$2:$B$1487,E41,Offers!$E$2:$E$1487,H41,Offers!$I$2:$I$1487,"SKIPPED")=1,"YES","NO")</f>
        <v/>
      </c>
      <c r="P41" s="37">
        <f>IF(L41="NO","N/A",IF(COUNTIFS('Skip Docs'!$A$2:$A$7,F41,'Skip Docs'!$C$2:$C$7,E41,'Skip Docs'!$D$2:$D$7,H41,'Skip Docs'!$E$2:$E$7,J41)=1,"YES","NO"))</f>
        <v/>
      </c>
      <c r="Q41" s="37" t="inlineStr">
        <is>
          <t>N</t>
        </is>
      </c>
      <c r="R41" s="37" t="inlineStr">
        <is>
          <t>SUSTAINED</t>
        </is>
      </c>
      <c r="S41" s="37">
        <f>IF(B41="YES","Verified contemporaneous proof",IF(L41="NO","No justification PDF supplied",IF(M41="NO","PDF is cover-only",IF(P41="NO","PDF content does not match logged slip/reason",IF(O41="NO","Offer event does not reconcile","Assembled after skip date")))))</f>
        <v/>
      </c>
    </row>
    <row r="42">
      <c r="A42" s="37">
        <f>IF(M42="NO","Priority 1",IF(N42="LATE","Priority 2",IF(B42="YES","OK","Priority 1")))</f>
        <v/>
      </c>
      <c r="B42" s="37">
        <f>IF(AND(L42="YES",M42="YES",N42="ON/BEFORE",O42="YES",P42="YES"),"YES","NO")</f>
        <v/>
      </c>
      <c r="C42" s="37" t="inlineStr">
        <is>
          <t>SKP-2023-0132</t>
        </is>
      </c>
      <c r="D42" s="37" t="inlineStr">
        <is>
          <t>OFR-2023-0449</t>
        </is>
      </c>
      <c r="E42" s="38" t="n">
        <v>45085</v>
      </c>
      <c r="F42" s="37" t="inlineStr">
        <is>
          <t>WL-01193</t>
        </is>
      </c>
      <c r="G42" s="37">
        <f>IFERROR(INDEX(Applicants!$C$2:$C$2911,MATCH(F42,Applicants!$A$2:$A$2911,0))&amp;" "&amp;INDEX(Applicants!$B$2:$B$2911,MATCH(F42,Applicants!$A$2:$A$2911,0)),"")</f>
        <v/>
      </c>
      <c r="H42" s="37" t="inlineStr">
        <is>
          <t>VB-0205</t>
        </is>
      </c>
      <c r="I42" s="37" t="inlineStr">
        <is>
          <t>Vessbank</t>
        </is>
      </c>
      <c r="J42" s="37" t="inlineStr">
        <is>
          <t>declined-prior-offer</t>
        </is>
      </c>
      <c r="K42" s="38" t="n">
        <v>45085</v>
      </c>
      <c r="L42" s="37">
        <f>IF(COUNTIFS('Skip Docs'!$A$2:$A$7,F42,'Skip Docs'!$C$2:$C$7,E42)&gt;0,"YES","NO")</f>
        <v/>
      </c>
      <c r="M42" s="37">
        <f>IF(L42="NO","NO",INDEX('Skip Docs'!$G$2:$G$7,MATCH(1,INDEX(('Skip Docs'!$A$2:$A$7=F42)*('Skip Docs'!$C$2:$C$7=E42),0),0)))</f>
        <v/>
      </c>
      <c r="N42" s="37">
        <f>IF(K42&lt;=E42,"ON/BEFORE","LATE")</f>
        <v/>
      </c>
      <c r="O42" s="37">
        <f>IF(COUNTIFS(Offers!$A$2:$A$1487,D42,Offers!$C$2:$C$1487,F42,Offers!$B$2:$B$1487,E42,Offers!$E$2:$E$1487,H42,Offers!$I$2:$I$1487,"SKIPPED")=1,"YES","NO")</f>
        <v/>
      </c>
      <c r="P42" s="37">
        <f>IF(L42="NO","N/A",IF(COUNTIFS('Skip Docs'!$A$2:$A$7,F42,'Skip Docs'!$C$2:$C$7,E42,'Skip Docs'!$D$2:$D$7,H42,'Skip Docs'!$E$2:$E$7,J42)=1,"YES","NO"))</f>
        <v/>
      </c>
      <c r="Q42" s="37" t="inlineStr">
        <is>
          <t>Y</t>
        </is>
      </c>
      <c r="R42" s="37" t="inlineStr">
        <is>
          <t>SUSTAINED</t>
        </is>
      </c>
      <c r="S42" s="37">
        <f>IF(B42="YES","Verified contemporaneous proof",IF(L42="NO","No justification PDF supplied",IF(M42="NO","PDF is cover-only",IF(P42="NO","PDF content does not match logged slip/reason",IF(O42="NO","Offer event does not reconcile","Assembled after skip date")))))</f>
        <v/>
      </c>
    </row>
    <row r="43">
      <c r="A43" s="37">
        <f>IF(M43="NO","Priority 1",IF(N43="LATE","Priority 2",IF(B43="YES","OK","Priority 1")))</f>
        <v/>
      </c>
      <c r="B43" s="37">
        <f>IF(AND(L43="YES",M43="YES",N43="ON/BEFORE",O43="YES",P43="YES"),"YES","NO")</f>
        <v/>
      </c>
      <c r="C43" s="37" t="inlineStr">
        <is>
          <t>SKP-2023-0133</t>
        </is>
      </c>
      <c r="D43" s="37" t="inlineStr">
        <is>
          <t>OFR-2023-0457</t>
        </is>
      </c>
      <c r="E43" s="38" t="n">
        <v>45087</v>
      </c>
      <c r="F43" s="37" t="inlineStr">
        <is>
          <t>WL-01319</t>
        </is>
      </c>
      <c r="G43" s="37">
        <f>IFERROR(INDEX(Applicants!$C$2:$C$2911,MATCH(F43,Applicants!$A$2:$A$2911,0))&amp;" "&amp;INDEX(Applicants!$B$2:$B$2911,MATCH(F43,Applicants!$A$2:$A$2911,0)),"")</f>
        <v/>
      </c>
      <c r="H43" s="37" t="inlineStr">
        <is>
          <t>GW-1008</t>
        </is>
      </c>
      <c r="I43" s="37" t="inlineStr">
        <is>
          <t>Gullwing</t>
        </is>
      </c>
      <c r="J43" s="37" t="inlineStr">
        <is>
          <t>not-current</t>
        </is>
      </c>
      <c r="K43" s="38" t="n">
        <v>45088</v>
      </c>
      <c r="L43" s="37">
        <f>IF(COUNTIFS('Skip Docs'!$A$2:$A$7,F43,'Skip Docs'!$C$2:$C$7,E43)&gt;0,"YES","NO")</f>
        <v/>
      </c>
      <c r="M43" s="37">
        <f>IF(L43="NO","NO",INDEX('Skip Docs'!$G$2:$G$7,MATCH(1,INDEX(('Skip Docs'!$A$2:$A$7=F43)*('Skip Docs'!$C$2:$C$7=E43),0),0)))</f>
        <v/>
      </c>
      <c r="N43" s="37">
        <f>IF(K43&lt;=E43,"ON/BEFORE","LATE")</f>
        <v/>
      </c>
      <c r="O43" s="37">
        <f>IF(COUNTIFS(Offers!$A$2:$A$1487,D43,Offers!$C$2:$C$1487,F43,Offers!$B$2:$B$1487,E43,Offers!$E$2:$E$1487,H43,Offers!$I$2:$I$1487,"SKIPPED")=1,"YES","NO")</f>
        <v/>
      </c>
      <c r="P43" s="37">
        <f>IF(L43="NO","N/A",IF(COUNTIFS('Skip Docs'!$A$2:$A$7,F43,'Skip Docs'!$C$2:$C$7,E43,'Skip Docs'!$D$2:$D$7,H43,'Skip Docs'!$E$2:$E$7,J43)=1,"YES","NO"))</f>
        <v/>
      </c>
      <c r="Q43" s="37" t="inlineStr">
        <is>
          <t>Y</t>
        </is>
      </c>
      <c r="R43" s="37" t="inlineStr">
        <is>
          <t>SUSTAINED</t>
        </is>
      </c>
      <c r="S43" s="37">
        <f>IF(B43="YES","Verified contemporaneous proof",IF(L43="NO","No justification PDF supplied",IF(M43="NO","PDF is cover-only",IF(P43="NO","PDF content does not match logged slip/reason",IF(O43="NO","Offer event does not reconcile","Assembled after skip date")))))</f>
        <v/>
      </c>
    </row>
    <row r="44">
      <c r="A44" s="37">
        <f>IF(M44="NO","Priority 1",IF(N44="LATE","Priority 2",IF(B44="YES","OK","Priority 1")))</f>
        <v/>
      </c>
      <c r="B44" s="37">
        <f>IF(AND(L44="YES",M44="YES",N44="ON/BEFORE",O44="YES",P44="YES"),"YES","NO")</f>
        <v/>
      </c>
      <c r="C44" s="37" t="inlineStr">
        <is>
          <t>SKP-2023-0134</t>
        </is>
      </c>
      <c r="D44" s="37" t="inlineStr">
        <is>
          <t>OFR-2023-0458</t>
        </is>
      </c>
      <c r="E44" s="38" t="n">
        <v>45101</v>
      </c>
      <c r="F44" s="37" t="inlineStr">
        <is>
          <t>WL-02173</t>
        </is>
      </c>
      <c r="G44" s="37">
        <f>IFERROR(INDEX(Applicants!$C$2:$C$2911,MATCH(F44,Applicants!$A$2:$A$2911,0))&amp;" "&amp;INDEX(Applicants!$B$2:$B$2911,MATCH(F44,Applicants!$A$2:$A$2911,0)),"")</f>
        <v/>
      </c>
      <c r="H44" s="37" t="inlineStr">
        <is>
          <t>SB-0205</t>
        </is>
      </c>
      <c r="I44" s="37" t="inlineStr">
        <is>
          <t>Salmonberry</t>
        </is>
      </c>
      <c r="J44" s="37" t="inlineStr">
        <is>
          <t>vessel-fit</t>
        </is>
      </c>
      <c r="K44" s="38" t="n">
        <v>45101</v>
      </c>
      <c r="L44" s="37">
        <f>IF(COUNTIFS('Skip Docs'!$A$2:$A$7,F44,'Skip Docs'!$C$2:$C$7,E44)&gt;0,"YES","NO")</f>
        <v/>
      </c>
      <c r="M44" s="37">
        <f>IF(L44="NO","NO",INDEX('Skip Docs'!$G$2:$G$7,MATCH(1,INDEX(('Skip Docs'!$A$2:$A$7=F44)*('Skip Docs'!$C$2:$C$7=E44),0),0)))</f>
        <v/>
      </c>
      <c r="N44" s="37">
        <f>IF(K44&lt;=E44,"ON/BEFORE","LATE")</f>
        <v/>
      </c>
      <c r="O44" s="37">
        <f>IF(COUNTIFS(Offers!$A$2:$A$1487,D44,Offers!$C$2:$C$1487,F44,Offers!$B$2:$B$1487,E44,Offers!$E$2:$E$1487,H44,Offers!$I$2:$I$1487,"SKIPPED")=1,"YES","NO")</f>
        <v/>
      </c>
      <c r="P44" s="37">
        <f>IF(L44="NO","N/A",IF(COUNTIFS('Skip Docs'!$A$2:$A$7,F44,'Skip Docs'!$C$2:$C$7,E44,'Skip Docs'!$D$2:$D$7,H44,'Skip Docs'!$E$2:$E$7,J44)=1,"YES","NO"))</f>
        <v/>
      </c>
      <c r="Q44" s="37" t="inlineStr">
        <is>
          <t>Y</t>
        </is>
      </c>
      <c r="R44" s="37" t="inlineStr">
        <is>
          <t>SUSTAINED</t>
        </is>
      </c>
      <c r="S44" s="37">
        <f>IF(B44="YES","Verified contemporaneous proof",IF(L44="NO","No justification PDF supplied",IF(M44="NO","PDF is cover-only",IF(P44="NO","PDF content does not match logged slip/reason",IF(O44="NO","Offer event does not reconcile","Assembled after skip date")))))</f>
        <v/>
      </c>
    </row>
    <row r="45">
      <c r="A45" s="37">
        <f>IF(M45="NO","Priority 1",IF(N45="LATE","Priority 2",IF(B45="YES","OK","Priority 1")))</f>
        <v/>
      </c>
      <c r="B45" s="37">
        <f>IF(AND(L45="YES",M45="YES",N45="ON/BEFORE",O45="YES",P45="YES"),"YES","NO")</f>
        <v/>
      </c>
      <c r="C45" s="37" t="inlineStr">
        <is>
          <t>SKP-2023-0135</t>
        </is>
      </c>
      <c r="D45" s="37" t="inlineStr">
        <is>
          <t>OFR-2023-0460</t>
        </is>
      </c>
      <c r="E45" s="38" t="n">
        <v>45102</v>
      </c>
      <c r="F45" s="37" t="inlineStr">
        <is>
          <t>WL-01568</t>
        </is>
      </c>
      <c r="G45" s="37">
        <f>IFERROR(INDEX(Applicants!$C$2:$C$2911,MATCH(F45,Applicants!$A$2:$A$2911,0))&amp;" "&amp;INDEX(Applicants!$B$2:$B$2911,MATCH(F45,Applicants!$A$2:$A$2911,0)),"")</f>
        <v/>
      </c>
      <c r="H45" s="37" t="inlineStr">
        <is>
          <t>LP-0219</t>
        </is>
      </c>
      <c r="I45" s="37" t="inlineStr">
        <is>
          <t>Ledgport</t>
        </is>
      </c>
      <c r="J45" s="37" t="inlineStr">
        <is>
          <t>declined-prior-offer</t>
        </is>
      </c>
      <c r="K45" s="38" t="n">
        <v>45106</v>
      </c>
      <c r="L45" s="37">
        <f>IF(COUNTIFS('Skip Docs'!$A$2:$A$7,F45,'Skip Docs'!$C$2:$C$7,E45)&gt;0,"YES","NO")</f>
        <v/>
      </c>
      <c r="M45" s="37">
        <f>IF(L45="NO","NO",INDEX('Skip Docs'!$G$2:$G$7,MATCH(1,INDEX(('Skip Docs'!$A$2:$A$7=F45)*('Skip Docs'!$C$2:$C$7=E45),0),0)))</f>
        <v/>
      </c>
      <c r="N45" s="37">
        <f>IF(K45&lt;=E45,"ON/BEFORE","LATE")</f>
        <v/>
      </c>
      <c r="O45" s="37">
        <f>IF(COUNTIFS(Offers!$A$2:$A$1487,D45,Offers!$C$2:$C$1487,F45,Offers!$B$2:$B$1487,E45,Offers!$E$2:$E$1487,H45,Offers!$I$2:$I$1487,"SKIPPED")=1,"YES","NO")</f>
        <v/>
      </c>
      <c r="P45" s="37">
        <f>IF(L45="NO","N/A",IF(COUNTIFS('Skip Docs'!$A$2:$A$7,F45,'Skip Docs'!$C$2:$C$7,E45,'Skip Docs'!$D$2:$D$7,H45,'Skip Docs'!$E$2:$E$7,J45)=1,"YES","NO"))</f>
        <v/>
      </c>
      <c r="Q45" s="37" t="inlineStr">
        <is>
          <t>Y</t>
        </is>
      </c>
      <c r="R45" s="37" t="inlineStr">
        <is>
          <t>SUSTAINED</t>
        </is>
      </c>
      <c r="S45" s="37">
        <f>IF(B45="YES","Verified contemporaneous proof",IF(L45="NO","No justification PDF supplied",IF(M45="NO","PDF is cover-only",IF(P45="NO","PDF content does not match logged slip/reason",IF(O45="NO","Offer event does not reconcile","Assembled after skip date")))))</f>
        <v/>
      </c>
    </row>
    <row r="46">
      <c r="A46" s="37">
        <f>IF(M46="NO","Priority 1",IF(N46="LATE","Priority 2",IF(B46="YES","OK","Priority 1")))</f>
        <v/>
      </c>
      <c r="B46" s="37">
        <f>IF(AND(L46="YES",M46="YES",N46="ON/BEFORE",O46="YES",P46="YES"),"YES","NO")</f>
        <v/>
      </c>
      <c r="C46" s="37" t="inlineStr">
        <is>
          <t>SKP-2023-0136</t>
        </is>
      </c>
      <c r="D46" s="37" t="inlineStr">
        <is>
          <t>OFR-2023-0461</t>
        </is>
      </c>
      <c r="E46" s="38" t="n">
        <v>45085</v>
      </c>
      <c r="F46" s="37" t="inlineStr">
        <is>
          <t>WL-03758</t>
        </is>
      </c>
      <c r="G46" s="37">
        <f>IFERROR(INDEX(Applicants!$C$2:$C$2911,MATCH(F46,Applicants!$A$2:$A$2911,0))&amp;" "&amp;INDEX(Applicants!$B$2:$B$2911,MATCH(F46,Applicants!$A$2:$A$2911,0)),"")</f>
        <v/>
      </c>
      <c r="H46" s="37" t="inlineStr">
        <is>
          <t>LP-0121</t>
        </is>
      </c>
      <c r="I46" s="37" t="inlineStr">
        <is>
          <t>Ledgport</t>
        </is>
      </c>
      <c r="J46" s="37" t="inlineStr">
        <is>
          <t>preference-mismatch</t>
        </is>
      </c>
      <c r="K46" s="38" t="n">
        <v>45087</v>
      </c>
      <c r="L46" s="37">
        <f>IF(COUNTIFS('Skip Docs'!$A$2:$A$7,F46,'Skip Docs'!$C$2:$C$7,E46)&gt;0,"YES","NO")</f>
        <v/>
      </c>
      <c r="M46" s="37">
        <f>IF(L46="NO","NO",INDEX('Skip Docs'!$G$2:$G$7,MATCH(1,INDEX(('Skip Docs'!$A$2:$A$7=F46)*('Skip Docs'!$C$2:$C$7=E46),0),0)))</f>
        <v/>
      </c>
      <c r="N46" s="37">
        <f>IF(K46&lt;=E46,"ON/BEFORE","LATE")</f>
        <v/>
      </c>
      <c r="O46" s="37">
        <f>IF(COUNTIFS(Offers!$A$2:$A$1487,D46,Offers!$C$2:$C$1487,F46,Offers!$B$2:$B$1487,E46,Offers!$E$2:$E$1487,H46,Offers!$I$2:$I$1487,"SKIPPED")=1,"YES","NO")</f>
        <v/>
      </c>
      <c r="P46" s="37">
        <f>IF(L46="NO","N/A",IF(COUNTIFS('Skip Docs'!$A$2:$A$7,F46,'Skip Docs'!$C$2:$C$7,E46,'Skip Docs'!$D$2:$D$7,H46,'Skip Docs'!$E$2:$E$7,J46)=1,"YES","NO"))</f>
        <v/>
      </c>
      <c r="Q46" s="37" t="inlineStr">
        <is>
          <t>Y</t>
        </is>
      </c>
      <c r="R46" s="37" t="inlineStr">
        <is>
          <t>SUSTAINED</t>
        </is>
      </c>
      <c r="S46" s="37">
        <f>IF(B46="YES","Verified contemporaneous proof",IF(L46="NO","No justification PDF supplied",IF(M46="NO","PDF is cover-only",IF(P46="NO","PDF content does not match logged slip/reason",IF(O46="NO","Offer event does not reconcile","Assembled after skip date")))))</f>
        <v/>
      </c>
    </row>
    <row r="47">
      <c r="A47" s="37">
        <f>IF(M47="NO","Priority 1",IF(N47="LATE","Priority 2",IF(B47="YES","OK","Priority 1")))</f>
        <v/>
      </c>
      <c r="B47" s="37">
        <f>IF(AND(L47="YES",M47="YES",N47="ON/BEFORE",O47="YES",P47="YES"),"YES","NO")</f>
        <v/>
      </c>
      <c r="C47" s="37" t="inlineStr">
        <is>
          <t>SKP-2023-0137</t>
        </is>
      </c>
      <c r="D47" s="37" t="inlineStr">
        <is>
          <t>OFR-2023-0462</t>
        </is>
      </c>
      <c r="E47" s="38" t="n">
        <v>45084</v>
      </c>
      <c r="F47" s="37" t="inlineStr">
        <is>
          <t>WL-02535</t>
        </is>
      </c>
      <c r="G47" s="37">
        <f>IFERROR(INDEX(Applicants!$C$2:$C$2911,MATCH(F47,Applicants!$A$2:$A$2911,0))&amp;" "&amp;INDEX(Applicants!$B$2:$B$2911,MATCH(F47,Applicants!$A$2:$A$2911,0)),"")</f>
        <v/>
      </c>
      <c r="H47" s="37" t="inlineStr">
        <is>
          <t>VB-0805</t>
        </is>
      </c>
      <c r="I47" s="37" t="inlineStr">
        <is>
          <t>Vessbank</t>
        </is>
      </c>
      <c r="J47" s="37" t="inlineStr">
        <is>
          <t>declined-prior-offer</t>
        </is>
      </c>
      <c r="K47" s="38" t="n">
        <v>45085</v>
      </c>
      <c r="L47" s="37">
        <f>IF(COUNTIFS('Skip Docs'!$A$2:$A$7,F47,'Skip Docs'!$C$2:$C$7,E47)&gt;0,"YES","NO")</f>
        <v/>
      </c>
      <c r="M47" s="37">
        <f>IF(L47="NO","NO",INDEX('Skip Docs'!$G$2:$G$7,MATCH(1,INDEX(('Skip Docs'!$A$2:$A$7=F47)*('Skip Docs'!$C$2:$C$7=E47),0),0)))</f>
        <v/>
      </c>
      <c r="N47" s="37">
        <f>IF(K47&lt;=E47,"ON/BEFORE","LATE")</f>
        <v/>
      </c>
      <c r="O47" s="37">
        <f>IF(COUNTIFS(Offers!$A$2:$A$1487,D47,Offers!$C$2:$C$1487,F47,Offers!$B$2:$B$1487,E47,Offers!$E$2:$E$1487,H47,Offers!$I$2:$I$1487,"SKIPPED")=1,"YES","NO")</f>
        <v/>
      </c>
      <c r="P47" s="37">
        <f>IF(L47="NO","N/A",IF(COUNTIFS('Skip Docs'!$A$2:$A$7,F47,'Skip Docs'!$C$2:$C$7,E47,'Skip Docs'!$D$2:$D$7,H47,'Skip Docs'!$E$2:$E$7,J47)=1,"YES","NO"))</f>
        <v/>
      </c>
      <c r="Q47" s="37" t="inlineStr">
        <is>
          <t>Y</t>
        </is>
      </c>
      <c r="R47" s="37" t="inlineStr">
        <is>
          <t>SUSTAINED</t>
        </is>
      </c>
      <c r="S47" s="37">
        <f>IF(B47="YES","Verified contemporaneous proof",IF(L47="NO","No justification PDF supplied",IF(M47="NO","PDF is cover-only",IF(P47="NO","PDF content does not match logged slip/reason",IF(O47="NO","Offer event does not reconcile","Assembled after skip date")))))</f>
        <v/>
      </c>
    </row>
    <row r="48">
      <c r="A48" s="37">
        <f>IF(M48="NO","Priority 1",IF(N48="LATE","Priority 2",IF(B48="YES","OK","Priority 1")))</f>
        <v/>
      </c>
      <c r="B48" s="37">
        <f>IF(AND(L48="YES",M48="YES",N48="ON/BEFORE",O48="YES",P48="YES"),"YES","NO")</f>
        <v/>
      </c>
      <c r="C48" s="37" t="inlineStr">
        <is>
          <t>SKP-2023-0138</t>
        </is>
      </c>
      <c r="D48" s="37" t="inlineStr">
        <is>
          <t>OFR-2023-0464</t>
        </is>
      </c>
      <c r="E48" s="38" t="n">
        <v>45090</v>
      </c>
      <c r="F48" s="37" t="inlineStr">
        <is>
          <t>WL-02663</t>
        </is>
      </c>
      <c r="G48" s="37">
        <f>IFERROR(INDEX(Applicants!$C$2:$C$2911,MATCH(F48,Applicants!$A$2:$A$2911,0))&amp;" "&amp;INDEX(Applicants!$B$2:$B$2911,MATCH(F48,Applicants!$A$2:$A$2911,0)),"")</f>
        <v/>
      </c>
      <c r="H48" s="37" t="inlineStr">
        <is>
          <t>GW-0810</t>
        </is>
      </c>
      <c r="I48" s="37" t="inlineStr">
        <is>
          <t>Gullwing</t>
        </is>
      </c>
      <c r="J48" s="37" t="inlineStr">
        <is>
          <t>vessel-fit</t>
        </is>
      </c>
      <c r="K48" s="38" t="n">
        <v>45093</v>
      </c>
      <c r="L48" s="37">
        <f>IF(COUNTIFS('Skip Docs'!$A$2:$A$7,F48,'Skip Docs'!$C$2:$C$7,E48)&gt;0,"YES","NO")</f>
        <v/>
      </c>
      <c r="M48" s="37">
        <f>IF(L48="NO","NO",INDEX('Skip Docs'!$G$2:$G$7,MATCH(1,INDEX(('Skip Docs'!$A$2:$A$7=F48)*('Skip Docs'!$C$2:$C$7=E48),0),0)))</f>
        <v/>
      </c>
      <c r="N48" s="37">
        <f>IF(K48&lt;=E48,"ON/BEFORE","LATE")</f>
        <v/>
      </c>
      <c r="O48" s="37">
        <f>IF(COUNTIFS(Offers!$A$2:$A$1487,D48,Offers!$C$2:$C$1487,F48,Offers!$B$2:$B$1487,E48,Offers!$E$2:$E$1487,H48,Offers!$I$2:$I$1487,"SKIPPED")=1,"YES","NO")</f>
        <v/>
      </c>
      <c r="P48" s="37">
        <f>IF(L48="NO","N/A",IF(COUNTIFS('Skip Docs'!$A$2:$A$7,F48,'Skip Docs'!$C$2:$C$7,E48,'Skip Docs'!$D$2:$D$7,H48,'Skip Docs'!$E$2:$E$7,J48)=1,"YES","NO"))</f>
        <v/>
      </c>
      <c r="Q48" s="37" t="inlineStr">
        <is>
          <t>Y</t>
        </is>
      </c>
      <c r="R48" s="37" t="inlineStr">
        <is>
          <t>SUSTAINED</t>
        </is>
      </c>
      <c r="S48" s="37">
        <f>IF(B48="YES","Verified contemporaneous proof",IF(L48="NO","No justification PDF supplied",IF(M48="NO","PDF is cover-only",IF(P48="NO","PDF content does not match logged slip/reason",IF(O48="NO","Offer event does not reconcile","Assembled after skip date")))))</f>
        <v/>
      </c>
    </row>
    <row r="49">
      <c r="A49" s="37">
        <f>IF(M49="NO","Priority 1",IF(N49="LATE","Priority 2",IF(B49="YES","OK","Priority 1")))</f>
        <v/>
      </c>
      <c r="B49" s="37">
        <f>IF(AND(L49="YES",M49="YES",N49="ON/BEFORE",O49="YES",P49="YES"),"YES","NO")</f>
        <v/>
      </c>
      <c r="C49" s="37" t="inlineStr">
        <is>
          <t>SKP-2023-0139</t>
        </is>
      </c>
      <c r="D49" s="37" t="inlineStr">
        <is>
          <t>OFR-2023-0469</t>
        </is>
      </c>
      <c r="E49" s="38" t="n">
        <v>45086</v>
      </c>
      <c r="F49" s="37" t="inlineStr">
        <is>
          <t>WL-01129</t>
        </is>
      </c>
      <c r="G49" s="37">
        <f>IFERROR(INDEX(Applicants!$C$2:$C$2911,MATCH(F49,Applicants!$A$2:$A$2911,0))&amp;" "&amp;INDEX(Applicants!$B$2:$B$2911,MATCH(F49,Applicants!$A$2:$A$2911,0)),"")</f>
        <v/>
      </c>
      <c r="H49" s="37" t="inlineStr">
        <is>
          <t>GW-0414</t>
        </is>
      </c>
      <c r="I49" s="37" t="inlineStr">
        <is>
          <t>Gullwing</t>
        </is>
      </c>
      <c r="J49" s="37" t="inlineStr">
        <is>
          <t>preference-mismatch</t>
        </is>
      </c>
      <c r="K49" s="38" t="n">
        <v>45091</v>
      </c>
      <c r="L49" s="37">
        <f>IF(COUNTIFS('Skip Docs'!$A$2:$A$7,F49,'Skip Docs'!$C$2:$C$7,E49)&gt;0,"YES","NO")</f>
        <v/>
      </c>
      <c r="M49" s="37">
        <f>IF(L49="NO","NO",INDEX('Skip Docs'!$G$2:$G$7,MATCH(1,INDEX(('Skip Docs'!$A$2:$A$7=F49)*('Skip Docs'!$C$2:$C$7=E49),0),0)))</f>
        <v/>
      </c>
      <c r="N49" s="37">
        <f>IF(K49&lt;=E49,"ON/BEFORE","LATE")</f>
        <v/>
      </c>
      <c r="O49" s="37">
        <f>IF(COUNTIFS(Offers!$A$2:$A$1487,D49,Offers!$C$2:$C$1487,F49,Offers!$B$2:$B$1487,E49,Offers!$E$2:$E$1487,H49,Offers!$I$2:$I$1487,"SKIPPED")=1,"YES","NO")</f>
        <v/>
      </c>
      <c r="P49" s="37">
        <f>IF(L49="NO","N/A",IF(COUNTIFS('Skip Docs'!$A$2:$A$7,F49,'Skip Docs'!$C$2:$C$7,E49,'Skip Docs'!$D$2:$D$7,H49,'Skip Docs'!$E$2:$E$7,J49)=1,"YES","NO"))</f>
        <v/>
      </c>
      <c r="Q49" s="37" t="inlineStr">
        <is>
          <t>Y</t>
        </is>
      </c>
      <c r="R49" s="37" t="inlineStr">
        <is>
          <t>SUSTAINED</t>
        </is>
      </c>
      <c r="S49" s="37">
        <f>IF(B49="YES","Verified contemporaneous proof",IF(L49="NO","No justification PDF supplied",IF(M49="NO","PDF is cover-only",IF(P49="NO","PDF content does not match logged slip/reason",IF(O49="NO","Offer event does not reconcile","Assembled after skip date")))))</f>
        <v/>
      </c>
    </row>
    <row r="50">
      <c r="A50" s="37">
        <f>IF(M50="NO","Priority 1",IF(N50="LATE","Priority 2",IF(B50="YES","OK","Priority 1")))</f>
        <v/>
      </c>
      <c r="B50" s="37">
        <f>IF(AND(L50="YES",M50="YES",N50="ON/BEFORE",O50="YES",P50="YES"),"YES","NO")</f>
        <v/>
      </c>
      <c r="C50" s="37" t="inlineStr">
        <is>
          <t>SKP-2023-0140</t>
        </is>
      </c>
      <c r="D50" s="37" t="inlineStr">
        <is>
          <t>OFR-2023-0473</t>
        </is>
      </c>
      <c r="E50" s="38" t="n">
        <v>45089</v>
      </c>
      <c r="F50" s="37" t="inlineStr">
        <is>
          <t>WL-03100</t>
        </is>
      </c>
      <c r="G50" s="37">
        <f>IFERROR(INDEX(Applicants!$C$2:$C$2911,MATCH(F50,Applicants!$A$2:$A$2911,0))&amp;" "&amp;INDEX(Applicants!$B$2:$B$2911,MATCH(F50,Applicants!$A$2:$A$2911,0)),"")</f>
        <v/>
      </c>
      <c r="H50" s="37" t="inlineStr">
        <is>
          <t>EW-0622</t>
        </is>
      </c>
      <c r="I50" s="37" t="inlineStr">
        <is>
          <t>Eastwey</t>
        </is>
      </c>
      <c r="J50" s="37" t="inlineStr">
        <is>
          <t>vessel-fit</t>
        </is>
      </c>
      <c r="K50" s="38" t="n">
        <v>45089</v>
      </c>
      <c r="L50" s="37">
        <f>IF(COUNTIFS('Skip Docs'!$A$2:$A$7,F50,'Skip Docs'!$C$2:$C$7,E50)&gt;0,"YES","NO")</f>
        <v/>
      </c>
      <c r="M50" s="37">
        <f>IF(L50="NO","NO",INDEX('Skip Docs'!$G$2:$G$7,MATCH(1,INDEX(('Skip Docs'!$A$2:$A$7=F50)*('Skip Docs'!$C$2:$C$7=E50),0),0)))</f>
        <v/>
      </c>
      <c r="N50" s="37">
        <f>IF(K50&lt;=E50,"ON/BEFORE","LATE")</f>
        <v/>
      </c>
      <c r="O50" s="37">
        <f>IF(COUNTIFS(Offers!$A$2:$A$1487,D50,Offers!$C$2:$C$1487,F50,Offers!$B$2:$B$1487,E50,Offers!$E$2:$E$1487,H50,Offers!$I$2:$I$1487,"SKIPPED")=1,"YES","NO")</f>
        <v/>
      </c>
      <c r="P50" s="37">
        <f>IF(L50="NO","N/A",IF(COUNTIFS('Skip Docs'!$A$2:$A$7,F50,'Skip Docs'!$C$2:$C$7,E50,'Skip Docs'!$D$2:$D$7,H50,'Skip Docs'!$E$2:$E$7,J50)=1,"YES","NO"))</f>
        <v/>
      </c>
      <c r="Q50" s="37" t="inlineStr">
        <is>
          <t>Y</t>
        </is>
      </c>
      <c r="R50" s="37" t="inlineStr">
        <is>
          <t>SUSTAINED</t>
        </is>
      </c>
      <c r="S50" s="37">
        <f>IF(B50="YES","Verified contemporaneous proof",IF(L50="NO","No justification PDF supplied",IF(M50="NO","PDF is cover-only",IF(P50="NO","PDF content does not match logged slip/reason",IF(O50="NO","Offer event does not reconcile","Assembled after skip date")))))</f>
        <v/>
      </c>
    </row>
    <row r="51">
      <c r="A51" s="37">
        <f>IF(M51="NO","Priority 1",IF(N51="LATE","Priority 2",IF(B51="YES","OK","Priority 1")))</f>
        <v/>
      </c>
      <c r="B51" s="37">
        <f>IF(AND(L51="YES",M51="YES",N51="ON/BEFORE",O51="YES",P51="YES"),"YES","NO")</f>
        <v/>
      </c>
      <c r="C51" s="37" t="inlineStr">
        <is>
          <t>SKP-2023-0141</t>
        </is>
      </c>
      <c r="D51" s="37" t="inlineStr">
        <is>
          <t>OFR-2023-0478</t>
        </is>
      </c>
      <c r="E51" s="38" t="n">
        <v>45111</v>
      </c>
      <c r="F51" s="37" t="inlineStr">
        <is>
          <t>WL-03857</t>
        </is>
      </c>
      <c r="G51" s="37">
        <f>IFERROR(INDEX(Applicants!$C$2:$C$2911,MATCH(F51,Applicants!$A$2:$A$2911,0))&amp;" "&amp;INDEX(Applicants!$B$2:$B$2911,MATCH(F51,Applicants!$A$2:$A$2911,0)),"")</f>
        <v/>
      </c>
      <c r="H51" s="37" t="inlineStr">
        <is>
          <t>SB-0602</t>
        </is>
      </c>
      <c r="I51" s="37" t="inlineStr">
        <is>
          <t>Salmonberry</t>
        </is>
      </c>
      <c r="J51" s="37" t="inlineStr">
        <is>
          <t>not-current</t>
        </is>
      </c>
      <c r="K51" s="38" t="n">
        <v>45116</v>
      </c>
      <c r="L51" s="37">
        <f>IF(COUNTIFS('Skip Docs'!$A$2:$A$7,F51,'Skip Docs'!$C$2:$C$7,E51)&gt;0,"YES","NO")</f>
        <v/>
      </c>
      <c r="M51" s="37">
        <f>IF(L51="NO","NO",INDEX('Skip Docs'!$G$2:$G$7,MATCH(1,INDEX(('Skip Docs'!$A$2:$A$7=F51)*('Skip Docs'!$C$2:$C$7=E51),0),0)))</f>
        <v/>
      </c>
      <c r="N51" s="37">
        <f>IF(K51&lt;=E51,"ON/BEFORE","LATE")</f>
        <v/>
      </c>
      <c r="O51" s="37">
        <f>IF(COUNTIFS(Offers!$A$2:$A$1487,D51,Offers!$C$2:$C$1487,F51,Offers!$B$2:$B$1487,E51,Offers!$E$2:$E$1487,H51,Offers!$I$2:$I$1487,"SKIPPED")=1,"YES","NO")</f>
        <v/>
      </c>
      <c r="P51" s="37">
        <f>IF(L51="NO","N/A",IF(COUNTIFS('Skip Docs'!$A$2:$A$7,F51,'Skip Docs'!$C$2:$C$7,E51,'Skip Docs'!$D$2:$D$7,H51,'Skip Docs'!$E$2:$E$7,J51)=1,"YES","NO"))</f>
        <v/>
      </c>
      <c r="Q51" s="37" t="inlineStr">
        <is>
          <t>Y</t>
        </is>
      </c>
      <c r="R51" s="37" t="inlineStr">
        <is>
          <t>SUSTAINED</t>
        </is>
      </c>
      <c r="S51" s="37">
        <f>IF(B51="YES","Verified contemporaneous proof",IF(L51="NO","No justification PDF supplied",IF(M51="NO","PDF is cover-only",IF(P51="NO","PDF content does not match logged slip/reason",IF(O51="NO","Offer event does not reconcile","Assembled after skip date")))))</f>
        <v/>
      </c>
    </row>
    <row r="52">
      <c r="A52" s="37">
        <f>IF(M52="NO","Priority 1",IF(N52="LATE","Priority 2",IF(B52="YES","OK","Priority 1")))</f>
        <v/>
      </c>
      <c r="B52" s="37">
        <f>IF(AND(L52="YES",M52="YES",N52="ON/BEFORE",O52="YES",P52="YES"),"YES","NO")</f>
        <v/>
      </c>
      <c r="C52" s="37" t="inlineStr">
        <is>
          <t>SKP-2023-0142</t>
        </is>
      </c>
      <c r="D52" s="37" t="inlineStr">
        <is>
          <t>OFR-2023-0479</t>
        </is>
      </c>
      <c r="E52" s="38" t="n">
        <v>45122</v>
      </c>
      <c r="F52" s="37" t="inlineStr">
        <is>
          <t>WL-01054</t>
        </is>
      </c>
      <c r="G52" s="37">
        <f>IFERROR(INDEX(Applicants!$C$2:$C$2911,MATCH(F52,Applicants!$A$2:$A$2911,0))&amp;" "&amp;INDEX(Applicants!$B$2:$B$2911,MATCH(F52,Applicants!$A$2:$A$2911,0)),"")</f>
        <v/>
      </c>
      <c r="H52" s="37" t="inlineStr">
        <is>
          <t>VB-0620</t>
        </is>
      </c>
      <c r="I52" s="37" t="inlineStr">
        <is>
          <t>Vessbank</t>
        </is>
      </c>
      <c r="J52" s="37" t="inlineStr">
        <is>
          <t>vessel-fit</t>
        </is>
      </c>
      <c r="K52" s="38" t="n">
        <v>45127</v>
      </c>
      <c r="L52" s="37">
        <f>IF(COUNTIFS('Skip Docs'!$A$2:$A$7,F52,'Skip Docs'!$C$2:$C$7,E52)&gt;0,"YES","NO")</f>
        <v/>
      </c>
      <c r="M52" s="37">
        <f>IF(L52="NO","NO",INDEX('Skip Docs'!$G$2:$G$7,MATCH(1,INDEX(('Skip Docs'!$A$2:$A$7=F52)*('Skip Docs'!$C$2:$C$7=E52),0),0)))</f>
        <v/>
      </c>
      <c r="N52" s="37">
        <f>IF(K52&lt;=E52,"ON/BEFORE","LATE")</f>
        <v/>
      </c>
      <c r="O52" s="37">
        <f>IF(COUNTIFS(Offers!$A$2:$A$1487,D52,Offers!$C$2:$C$1487,F52,Offers!$B$2:$B$1487,E52,Offers!$E$2:$E$1487,H52,Offers!$I$2:$I$1487,"SKIPPED")=1,"YES","NO")</f>
        <v/>
      </c>
      <c r="P52" s="37">
        <f>IF(L52="NO","N/A",IF(COUNTIFS('Skip Docs'!$A$2:$A$7,F52,'Skip Docs'!$C$2:$C$7,E52,'Skip Docs'!$D$2:$D$7,H52,'Skip Docs'!$E$2:$E$7,J52)=1,"YES","NO"))</f>
        <v/>
      </c>
      <c r="Q52" s="37" t="inlineStr">
        <is>
          <t>Y</t>
        </is>
      </c>
      <c r="R52" s="37" t="inlineStr">
        <is>
          <t>SUSTAINED</t>
        </is>
      </c>
      <c r="S52" s="37">
        <f>IF(B52="YES","Verified contemporaneous proof",IF(L52="NO","No justification PDF supplied",IF(M52="NO","PDF is cover-only",IF(P52="NO","PDF content does not match logged slip/reason",IF(O52="NO","Offer event does not reconcile","Assembled after skip date")))))</f>
        <v/>
      </c>
    </row>
    <row r="53">
      <c r="A53" s="37">
        <f>IF(M53="NO","Priority 1",IF(N53="LATE","Priority 2",IF(B53="YES","OK","Priority 1")))</f>
        <v/>
      </c>
      <c r="B53" s="37">
        <f>IF(AND(L53="YES",M53="YES",N53="ON/BEFORE",O53="YES",P53="YES"),"YES","NO")</f>
        <v/>
      </c>
      <c r="C53" s="37" t="inlineStr">
        <is>
          <t>SKP-2023-0143</t>
        </is>
      </c>
      <c r="D53" s="37" t="inlineStr">
        <is>
          <t>OFR-2023-0481</t>
        </is>
      </c>
      <c r="E53" s="38" t="n">
        <v>45110</v>
      </c>
      <c r="F53" s="37" t="inlineStr">
        <is>
          <t>WL-01712</t>
        </is>
      </c>
      <c r="G53" s="37">
        <f>IFERROR(INDEX(Applicants!$C$2:$C$2911,MATCH(F53,Applicants!$A$2:$A$2911,0))&amp;" "&amp;INDEX(Applicants!$B$2:$B$2911,MATCH(F53,Applicants!$A$2:$A$2911,0)),"")</f>
        <v/>
      </c>
      <c r="H53" s="37" t="inlineStr">
        <is>
          <t>GW-0118</t>
        </is>
      </c>
      <c r="I53" s="37" t="inlineStr">
        <is>
          <t>Gullwing</t>
        </is>
      </c>
      <c r="J53" s="37" t="inlineStr">
        <is>
          <t>vessel-fit</t>
        </is>
      </c>
      <c r="K53" s="38" t="n">
        <v>45111</v>
      </c>
      <c r="L53" s="37">
        <f>IF(COUNTIFS('Skip Docs'!$A$2:$A$7,F53,'Skip Docs'!$C$2:$C$7,E53)&gt;0,"YES","NO")</f>
        <v/>
      </c>
      <c r="M53" s="37">
        <f>IF(L53="NO","NO",INDEX('Skip Docs'!$G$2:$G$7,MATCH(1,INDEX(('Skip Docs'!$A$2:$A$7=F53)*('Skip Docs'!$C$2:$C$7=E53),0),0)))</f>
        <v/>
      </c>
      <c r="N53" s="37">
        <f>IF(K53&lt;=E53,"ON/BEFORE","LATE")</f>
        <v/>
      </c>
      <c r="O53" s="37">
        <f>IF(COUNTIFS(Offers!$A$2:$A$1487,D53,Offers!$C$2:$C$1487,F53,Offers!$B$2:$B$1487,E53,Offers!$E$2:$E$1487,H53,Offers!$I$2:$I$1487,"SKIPPED")=1,"YES","NO")</f>
        <v/>
      </c>
      <c r="P53" s="37">
        <f>IF(L53="NO","N/A",IF(COUNTIFS('Skip Docs'!$A$2:$A$7,F53,'Skip Docs'!$C$2:$C$7,E53,'Skip Docs'!$D$2:$D$7,H53,'Skip Docs'!$E$2:$E$7,J53)=1,"YES","NO"))</f>
        <v/>
      </c>
      <c r="Q53" s="37" t="inlineStr">
        <is>
          <t>Y</t>
        </is>
      </c>
      <c r="R53" s="37" t="inlineStr">
        <is>
          <t>SUSTAINED</t>
        </is>
      </c>
      <c r="S53" s="37">
        <f>IF(B53="YES","Verified contemporaneous proof",IF(L53="NO","No justification PDF supplied",IF(M53="NO","PDF is cover-only",IF(P53="NO","PDF content does not match logged slip/reason",IF(O53="NO","Offer event does not reconcile","Assembled after skip date")))))</f>
        <v/>
      </c>
    </row>
    <row r="54">
      <c r="A54" s="37">
        <f>IF(M54="NO","Priority 1",IF(N54="LATE","Priority 2",IF(B54="YES","OK","Priority 1")))</f>
        <v/>
      </c>
      <c r="B54" s="37">
        <f>IF(AND(L54="YES",M54="YES",N54="ON/BEFORE",O54="YES",P54="YES"),"YES","NO")</f>
        <v/>
      </c>
      <c r="C54" s="37" t="inlineStr">
        <is>
          <t>SKP-2023-0144</t>
        </is>
      </c>
      <c r="D54" s="37" t="inlineStr">
        <is>
          <t>OFR-2023-0483</t>
        </is>
      </c>
      <c r="E54" s="38" t="n">
        <v>45114</v>
      </c>
      <c r="F54" s="37" t="inlineStr">
        <is>
          <t>WL-02160</t>
        </is>
      </c>
      <c r="G54" s="37">
        <f>IFERROR(INDEX(Applicants!$C$2:$C$2911,MATCH(F54,Applicants!$A$2:$A$2911,0))&amp;" "&amp;INDEX(Applicants!$B$2:$B$2911,MATCH(F54,Applicants!$A$2:$A$2911,0)),"")</f>
        <v/>
      </c>
      <c r="H54" s="37" t="inlineStr">
        <is>
          <t>LP-0520</t>
        </is>
      </c>
      <c r="I54" s="37" t="inlineStr">
        <is>
          <t>Ledgport</t>
        </is>
      </c>
      <c r="J54" s="37" t="inlineStr">
        <is>
          <t>not-current</t>
        </is>
      </c>
      <c r="K54" s="38" t="n">
        <v>45116</v>
      </c>
      <c r="L54" s="37">
        <f>IF(COUNTIFS('Skip Docs'!$A$2:$A$7,F54,'Skip Docs'!$C$2:$C$7,E54)&gt;0,"YES","NO")</f>
        <v/>
      </c>
      <c r="M54" s="37">
        <f>IF(L54="NO","NO",INDEX('Skip Docs'!$G$2:$G$7,MATCH(1,INDEX(('Skip Docs'!$A$2:$A$7=F54)*('Skip Docs'!$C$2:$C$7=E54),0),0)))</f>
        <v/>
      </c>
      <c r="N54" s="37">
        <f>IF(K54&lt;=E54,"ON/BEFORE","LATE")</f>
        <v/>
      </c>
      <c r="O54" s="37">
        <f>IF(COUNTIFS(Offers!$A$2:$A$1487,D54,Offers!$C$2:$C$1487,F54,Offers!$B$2:$B$1487,E54,Offers!$E$2:$E$1487,H54,Offers!$I$2:$I$1487,"SKIPPED")=1,"YES","NO")</f>
        <v/>
      </c>
      <c r="P54" s="37">
        <f>IF(L54="NO","N/A",IF(COUNTIFS('Skip Docs'!$A$2:$A$7,F54,'Skip Docs'!$C$2:$C$7,E54,'Skip Docs'!$D$2:$D$7,H54,'Skip Docs'!$E$2:$E$7,J54)=1,"YES","NO"))</f>
        <v/>
      </c>
      <c r="Q54" s="37" t="inlineStr">
        <is>
          <t>Y</t>
        </is>
      </c>
      <c r="R54" s="37" t="inlineStr">
        <is>
          <t>SUSTAINED</t>
        </is>
      </c>
      <c r="S54" s="37">
        <f>IF(B54="YES","Verified contemporaneous proof",IF(L54="NO","No justification PDF supplied",IF(M54="NO","PDF is cover-only",IF(P54="NO","PDF content does not match logged slip/reason",IF(O54="NO","Offer event does not reconcile","Assembled after skip date")))))</f>
        <v/>
      </c>
    </row>
    <row r="55">
      <c r="A55" s="37">
        <f>IF(M55="NO","Priority 1",IF(N55="LATE","Priority 2",IF(B55="YES","OK","Priority 1")))</f>
        <v/>
      </c>
      <c r="B55" s="37">
        <f>IF(AND(L55="YES",M55="YES",N55="ON/BEFORE",O55="YES",P55="YES"),"YES","NO")</f>
        <v/>
      </c>
      <c r="C55" s="37" t="inlineStr">
        <is>
          <t>SKP-2023-0145</t>
        </is>
      </c>
      <c r="D55" s="37" t="inlineStr">
        <is>
          <t>OFR-2023-0485</t>
        </is>
      </c>
      <c r="E55" s="38" t="n">
        <v>45116</v>
      </c>
      <c r="F55" s="37" t="inlineStr">
        <is>
          <t>WL-01242</t>
        </is>
      </c>
      <c r="G55" s="37">
        <f>IFERROR(INDEX(Applicants!$C$2:$C$2911,MATCH(F55,Applicants!$A$2:$A$2911,0))&amp;" "&amp;INDEX(Applicants!$B$2:$B$2911,MATCH(F55,Applicants!$A$2:$A$2911,0)),"")</f>
        <v/>
      </c>
      <c r="H55" s="37" t="inlineStr">
        <is>
          <t>SB-0314</t>
        </is>
      </c>
      <c r="I55" s="37" t="inlineStr">
        <is>
          <t>Salmonberry</t>
        </is>
      </c>
      <c r="J55" s="37" t="inlineStr">
        <is>
          <t>vessel-fit</t>
        </is>
      </c>
      <c r="K55" s="38" t="n">
        <v>45116</v>
      </c>
      <c r="L55" s="37">
        <f>IF(COUNTIFS('Skip Docs'!$A$2:$A$7,F55,'Skip Docs'!$C$2:$C$7,E55)&gt;0,"YES","NO")</f>
        <v/>
      </c>
      <c r="M55" s="37">
        <f>IF(L55="NO","NO",INDEX('Skip Docs'!$G$2:$G$7,MATCH(1,INDEX(('Skip Docs'!$A$2:$A$7=F55)*('Skip Docs'!$C$2:$C$7=E55),0),0)))</f>
        <v/>
      </c>
      <c r="N55" s="37">
        <f>IF(K55&lt;=E55,"ON/BEFORE","LATE")</f>
        <v/>
      </c>
      <c r="O55" s="37">
        <f>IF(COUNTIFS(Offers!$A$2:$A$1487,D55,Offers!$C$2:$C$1487,F55,Offers!$B$2:$B$1487,E55,Offers!$E$2:$E$1487,H55,Offers!$I$2:$I$1487,"SKIPPED")=1,"YES","NO")</f>
        <v/>
      </c>
      <c r="P55" s="37">
        <f>IF(L55="NO","N/A",IF(COUNTIFS('Skip Docs'!$A$2:$A$7,F55,'Skip Docs'!$C$2:$C$7,E55,'Skip Docs'!$D$2:$D$7,H55,'Skip Docs'!$E$2:$E$7,J55)=1,"YES","NO"))</f>
        <v/>
      </c>
      <c r="Q55" s="37" t="inlineStr">
        <is>
          <t>Y</t>
        </is>
      </c>
      <c r="R55" s="37" t="inlineStr">
        <is>
          <t>SUSTAINED</t>
        </is>
      </c>
      <c r="S55" s="37">
        <f>IF(B55="YES","Verified contemporaneous proof",IF(L55="NO","No justification PDF supplied",IF(M55="NO","PDF is cover-only",IF(P55="NO","PDF content does not match logged slip/reason",IF(O55="NO","Offer event does not reconcile","Assembled after skip date")))))</f>
        <v/>
      </c>
    </row>
    <row r="56">
      <c r="A56" s="37">
        <f>IF(M56="NO","Priority 1",IF(N56="LATE","Priority 2",IF(B56="YES","OK","Priority 1")))</f>
        <v/>
      </c>
      <c r="B56" s="37">
        <f>IF(AND(L56="YES",M56="YES",N56="ON/BEFORE",O56="YES",P56="YES"),"YES","NO")</f>
        <v/>
      </c>
      <c r="C56" s="37" t="inlineStr">
        <is>
          <t>SKP-2023-0146</t>
        </is>
      </c>
      <c r="D56" s="37" t="inlineStr">
        <is>
          <t>OFR-2023-0486</t>
        </is>
      </c>
      <c r="E56" s="38" t="n">
        <v>45131</v>
      </c>
      <c r="F56" s="37" t="inlineStr">
        <is>
          <t>WL-02199</t>
        </is>
      </c>
      <c r="G56" s="37">
        <f>IFERROR(INDEX(Applicants!$C$2:$C$2911,MATCH(F56,Applicants!$A$2:$A$2911,0))&amp;" "&amp;INDEX(Applicants!$B$2:$B$2911,MATCH(F56,Applicants!$A$2:$A$2911,0)),"")</f>
        <v/>
      </c>
      <c r="H56" s="37" t="inlineStr">
        <is>
          <t>GW-1003</t>
        </is>
      </c>
      <c r="I56" s="37" t="inlineStr">
        <is>
          <t>Gullwing</t>
        </is>
      </c>
      <c r="J56" s="37" t="inlineStr">
        <is>
          <t>not-current</t>
        </is>
      </c>
      <c r="K56" s="38" t="n">
        <v>45136</v>
      </c>
      <c r="L56" s="37">
        <f>IF(COUNTIFS('Skip Docs'!$A$2:$A$7,F56,'Skip Docs'!$C$2:$C$7,E56)&gt;0,"YES","NO")</f>
        <v/>
      </c>
      <c r="M56" s="37">
        <f>IF(L56="NO","NO",INDEX('Skip Docs'!$G$2:$G$7,MATCH(1,INDEX(('Skip Docs'!$A$2:$A$7=F56)*('Skip Docs'!$C$2:$C$7=E56),0),0)))</f>
        <v/>
      </c>
      <c r="N56" s="37">
        <f>IF(K56&lt;=E56,"ON/BEFORE","LATE")</f>
        <v/>
      </c>
      <c r="O56" s="37">
        <f>IF(COUNTIFS(Offers!$A$2:$A$1487,D56,Offers!$C$2:$C$1487,F56,Offers!$B$2:$B$1487,E56,Offers!$E$2:$E$1487,H56,Offers!$I$2:$I$1487,"SKIPPED")=1,"YES","NO")</f>
        <v/>
      </c>
      <c r="P56" s="37">
        <f>IF(L56="NO","N/A",IF(COUNTIFS('Skip Docs'!$A$2:$A$7,F56,'Skip Docs'!$C$2:$C$7,E56,'Skip Docs'!$D$2:$D$7,H56,'Skip Docs'!$E$2:$E$7,J56)=1,"YES","NO"))</f>
        <v/>
      </c>
      <c r="Q56" s="37" t="inlineStr">
        <is>
          <t>Y</t>
        </is>
      </c>
      <c r="R56" s="37" t="inlineStr">
        <is>
          <t>SUSTAINED</t>
        </is>
      </c>
      <c r="S56" s="37">
        <f>IF(B56="YES","Verified contemporaneous proof",IF(L56="NO","No justification PDF supplied",IF(M56="NO","PDF is cover-only",IF(P56="NO","PDF content does not match logged slip/reason",IF(O56="NO","Offer event does not reconcile","Assembled after skip date")))))</f>
        <v/>
      </c>
    </row>
    <row r="57">
      <c r="A57" s="37">
        <f>IF(M57="NO","Priority 1",IF(N57="LATE","Priority 2",IF(B57="YES","OK","Priority 1")))</f>
        <v/>
      </c>
      <c r="B57" s="37">
        <f>IF(AND(L57="YES",M57="YES",N57="ON/BEFORE",O57="YES",P57="YES"),"YES","NO")</f>
        <v/>
      </c>
      <c r="C57" s="37" t="inlineStr">
        <is>
          <t>SKP-2023-0147</t>
        </is>
      </c>
      <c r="D57" s="37" t="inlineStr">
        <is>
          <t>OFR-2023-0489</t>
        </is>
      </c>
      <c r="E57" s="38" t="n">
        <v>45133</v>
      </c>
      <c r="F57" s="37" t="inlineStr">
        <is>
          <t>WL-01248</t>
        </is>
      </c>
      <c r="G57" s="37">
        <f>IFERROR(INDEX(Applicants!$C$2:$C$2911,MATCH(F57,Applicants!$A$2:$A$2911,0))&amp;" "&amp;INDEX(Applicants!$B$2:$B$2911,MATCH(F57,Applicants!$A$2:$A$2911,0)),"")</f>
        <v/>
      </c>
      <c r="H57" s="37" t="inlineStr">
        <is>
          <t>SB-0915</t>
        </is>
      </c>
      <c r="I57" s="37" t="inlineStr">
        <is>
          <t>Salmonberry</t>
        </is>
      </c>
      <c r="J57" s="37" t="inlineStr">
        <is>
          <t>preference-mismatch</t>
        </is>
      </c>
      <c r="K57" s="38" t="n">
        <v>45138</v>
      </c>
      <c r="L57" s="37">
        <f>IF(COUNTIFS('Skip Docs'!$A$2:$A$7,F57,'Skip Docs'!$C$2:$C$7,E57)&gt;0,"YES","NO")</f>
        <v/>
      </c>
      <c r="M57" s="37">
        <f>IF(L57="NO","NO",INDEX('Skip Docs'!$G$2:$G$7,MATCH(1,INDEX(('Skip Docs'!$A$2:$A$7=F57)*('Skip Docs'!$C$2:$C$7=E57),0),0)))</f>
        <v/>
      </c>
      <c r="N57" s="37">
        <f>IF(K57&lt;=E57,"ON/BEFORE","LATE")</f>
        <v/>
      </c>
      <c r="O57" s="37">
        <f>IF(COUNTIFS(Offers!$A$2:$A$1487,D57,Offers!$C$2:$C$1487,F57,Offers!$B$2:$B$1487,E57,Offers!$E$2:$E$1487,H57,Offers!$I$2:$I$1487,"SKIPPED")=1,"YES","NO")</f>
        <v/>
      </c>
      <c r="P57" s="37">
        <f>IF(L57="NO","N/A",IF(COUNTIFS('Skip Docs'!$A$2:$A$7,F57,'Skip Docs'!$C$2:$C$7,E57,'Skip Docs'!$D$2:$D$7,H57,'Skip Docs'!$E$2:$E$7,J57)=1,"YES","NO"))</f>
        <v/>
      </c>
      <c r="Q57" s="37" t="inlineStr">
        <is>
          <t>Y</t>
        </is>
      </c>
      <c r="R57" s="37" t="inlineStr">
        <is>
          <t>SUSTAINED</t>
        </is>
      </c>
      <c r="S57" s="37">
        <f>IF(B57="YES","Verified contemporaneous proof",IF(L57="NO","No justification PDF supplied",IF(M57="NO","PDF is cover-only",IF(P57="NO","PDF content does not match logged slip/reason",IF(O57="NO","Offer event does not reconcile","Assembled after skip date")))))</f>
        <v/>
      </c>
    </row>
    <row r="58">
      <c r="A58" s="37">
        <f>IF(M58="NO","Priority 1",IF(N58="LATE","Priority 2",IF(B58="YES","OK","Priority 1")))</f>
        <v/>
      </c>
      <c r="B58" s="37">
        <f>IF(AND(L58="YES",M58="YES",N58="ON/BEFORE",O58="YES",P58="YES"),"YES","NO")</f>
        <v/>
      </c>
      <c r="C58" s="37" t="inlineStr">
        <is>
          <t>SKP-2023-0148</t>
        </is>
      </c>
      <c r="D58" s="37" t="inlineStr">
        <is>
          <t>OFR-2023-0490</t>
        </is>
      </c>
      <c r="E58" s="38" t="n">
        <v>45118</v>
      </c>
      <c r="F58" s="37" t="inlineStr">
        <is>
          <t>WL-02206</t>
        </is>
      </c>
      <c r="G58" s="37">
        <f>IFERROR(INDEX(Applicants!$C$2:$C$2911,MATCH(F58,Applicants!$A$2:$A$2911,0))&amp;" "&amp;INDEX(Applicants!$B$2:$B$2911,MATCH(F58,Applicants!$A$2:$A$2911,0)),"")</f>
        <v/>
      </c>
      <c r="H58" s="37" t="inlineStr">
        <is>
          <t>GW-0719</t>
        </is>
      </c>
      <c r="I58" s="37" t="inlineStr">
        <is>
          <t>Gullwing</t>
        </is>
      </c>
      <c r="J58" s="37" t="inlineStr">
        <is>
          <t>vessel-fit</t>
        </is>
      </c>
      <c r="K58" s="38" t="n">
        <v>45120</v>
      </c>
      <c r="L58" s="37">
        <f>IF(COUNTIFS('Skip Docs'!$A$2:$A$7,F58,'Skip Docs'!$C$2:$C$7,E58)&gt;0,"YES","NO")</f>
        <v/>
      </c>
      <c r="M58" s="37">
        <f>IF(L58="NO","NO",INDEX('Skip Docs'!$G$2:$G$7,MATCH(1,INDEX(('Skip Docs'!$A$2:$A$7=F58)*('Skip Docs'!$C$2:$C$7=E58),0),0)))</f>
        <v/>
      </c>
      <c r="N58" s="37">
        <f>IF(K58&lt;=E58,"ON/BEFORE","LATE")</f>
        <v/>
      </c>
      <c r="O58" s="37">
        <f>IF(COUNTIFS(Offers!$A$2:$A$1487,D58,Offers!$C$2:$C$1487,F58,Offers!$B$2:$B$1487,E58,Offers!$E$2:$E$1487,H58,Offers!$I$2:$I$1487,"SKIPPED")=1,"YES","NO")</f>
        <v/>
      </c>
      <c r="P58" s="37">
        <f>IF(L58="NO","N/A",IF(COUNTIFS('Skip Docs'!$A$2:$A$7,F58,'Skip Docs'!$C$2:$C$7,E58,'Skip Docs'!$D$2:$D$7,H58,'Skip Docs'!$E$2:$E$7,J58)=1,"YES","NO"))</f>
        <v/>
      </c>
      <c r="Q58" s="37" t="inlineStr">
        <is>
          <t>Y</t>
        </is>
      </c>
      <c r="R58" s="37" t="inlineStr">
        <is>
          <t>SUSTAINED</t>
        </is>
      </c>
      <c r="S58" s="37">
        <f>IF(B58="YES","Verified contemporaneous proof",IF(L58="NO","No justification PDF supplied",IF(M58="NO","PDF is cover-only",IF(P58="NO","PDF content does not match logged slip/reason",IF(O58="NO","Offer event does not reconcile","Assembled after skip date")))))</f>
        <v/>
      </c>
    </row>
    <row r="59">
      <c r="A59" s="37">
        <f>IF(M59="NO","Priority 1",IF(N59="LATE","Priority 2",IF(B59="YES","OK","Priority 1")))</f>
        <v/>
      </c>
      <c r="B59" s="37">
        <f>IF(AND(L59="YES",M59="YES",N59="ON/BEFORE",O59="YES",P59="YES"),"YES","NO")</f>
        <v/>
      </c>
      <c r="C59" s="37" t="inlineStr">
        <is>
          <t>SKP-2023-0149</t>
        </is>
      </c>
      <c r="D59" s="37" t="inlineStr">
        <is>
          <t>OFR-2023-0495</t>
        </is>
      </c>
      <c r="E59" s="38" t="n">
        <v>45133</v>
      </c>
      <c r="F59" s="37" t="inlineStr">
        <is>
          <t>WL-02706</t>
        </is>
      </c>
      <c r="G59" s="37">
        <f>IFERROR(INDEX(Applicants!$C$2:$C$2911,MATCH(F59,Applicants!$A$2:$A$2911,0))&amp;" "&amp;INDEX(Applicants!$B$2:$B$2911,MATCH(F59,Applicants!$A$2:$A$2911,0)),"")</f>
        <v/>
      </c>
      <c r="H59" s="37" t="inlineStr">
        <is>
          <t>LP-0104</t>
        </is>
      </c>
      <c r="I59" s="37" t="inlineStr">
        <is>
          <t>Ledgport</t>
        </is>
      </c>
      <c r="J59" s="37" t="inlineStr">
        <is>
          <t>declined-prior-offer</t>
        </is>
      </c>
      <c r="K59" s="38" t="n">
        <v>45138</v>
      </c>
      <c r="L59" s="37">
        <f>IF(COUNTIFS('Skip Docs'!$A$2:$A$7,F59,'Skip Docs'!$C$2:$C$7,E59)&gt;0,"YES","NO")</f>
        <v/>
      </c>
      <c r="M59" s="37">
        <f>IF(L59="NO","NO",INDEX('Skip Docs'!$G$2:$G$7,MATCH(1,INDEX(('Skip Docs'!$A$2:$A$7=F59)*('Skip Docs'!$C$2:$C$7=E59),0),0)))</f>
        <v/>
      </c>
      <c r="N59" s="37">
        <f>IF(K59&lt;=E59,"ON/BEFORE","LATE")</f>
        <v/>
      </c>
      <c r="O59" s="37">
        <f>IF(COUNTIFS(Offers!$A$2:$A$1487,D59,Offers!$C$2:$C$1487,F59,Offers!$B$2:$B$1487,E59,Offers!$E$2:$E$1487,H59,Offers!$I$2:$I$1487,"SKIPPED")=1,"YES","NO")</f>
        <v/>
      </c>
      <c r="P59" s="37">
        <f>IF(L59="NO","N/A",IF(COUNTIFS('Skip Docs'!$A$2:$A$7,F59,'Skip Docs'!$C$2:$C$7,E59,'Skip Docs'!$D$2:$D$7,H59,'Skip Docs'!$E$2:$E$7,J59)=1,"YES","NO"))</f>
        <v/>
      </c>
      <c r="Q59" s="37" t="inlineStr">
        <is>
          <t>Y</t>
        </is>
      </c>
      <c r="R59" s="37" t="inlineStr">
        <is>
          <t>SUSTAINED</t>
        </is>
      </c>
      <c r="S59" s="37">
        <f>IF(B59="YES","Verified contemporaneous proof",IF(L59="NO","No justification PDF supplied",IF(M59="NO","PDF is cover-only",IF(P59="NO","PDF content does not match logged slip/reason",IF(O59="NO","Offer event does not reconcile","Assembled after skip date")))))</f>
        <v/>
      </c>
    </row>
    <row r="60">
      <c r="A60" s="37">
        <f>IF(M60="NO","Priority 1",IF(N60="LATE","Priority 2",IF(B60="YES","OK","Priority 1")))</f>
        <v/>
      </c>
      <c r="B60" s="37">
        <f>IF(AND(L60="YES",M60="YES",N60="ON/BEFORE",O60="YES",P60="YES"),"YES","NO")</f>
        <v/>
      </c>
      <c r="C60" s="37" t="inlineStr">
        <is>
          <t>SKP-2023-0150</t>
        </is>
      </c>
      <c r="D60" s="37" t="inlineStr">
        <is>
          <t>OFR-2023-0501</t>
        </is>
      </c>
      <c r="E60" s="38" t="n">
        <v>45110</v>
      </c>
      <c r="F60" s="37" t="inlineStr">
        <is>
          <t>WL-01924</t>
        </is>
      </c>
      <c r="G60" s="37">
        <f>IFERROR(INDEX(Applicants!$C$2:$C$2911,MATCH(F60,Applicants!$A$2:$A$2911,0))&amp;" "&amp;INDEX(Applicants!$B$2:$B$2911,MATCH(F60,Applicants!$A$2:$A$2911,0)),"")</f>
        <v/>
      </c>
      <c r="H60" s="37" t="inlineStr">
        <is>
          <t>EW-0111</t>
        </is>
      </c>
      <c r="I60" s="37" t="inlineStr">
        <is>
          <t>Eastwey</t>
        </is>
      </c>
      <c r="J60" s="37" t="inlineStr">
        <is>
          <t>vessel-fit</t>
        </is>
      </c>
      <c r="K60" s="38" t="n">
        <v>45112</v>
      </c>
      <c r="L60" s="37">
        <f>IF(COUNTIFS('Skip Docs'!$A$2:$A$7,F60,'Skip Docs'!$C$2:$C$7,E60)&gt;0,"YES","NO")</f>
        <v/>
      </c>
      <c r="M60" s="37">
        <f>IF(L60="NO","NO",INDEX('Skip Docs'!$G$2:$G$7,MATCH(1,INDEX(('Skip Docs'!$A$2:$A$7=F60)*('Skip Docs'!$C$2:$C$7=E60),0),0)))</f>
        <v/>
      </c>
      <c r="N60" s="37">
        <f>IF(K60&lt;=E60,"ON/BEFORE","LATE")</f>
        <v/>
      </c>
      <c r="O60" s="37">
        <f>IF(COUNTIFS(Offers!$A$2:$A$1487,D60,Offers!$C$2:$C$1487,F60,Offers!$B$2:$B$1487,E60,Offers!$E$2:$E$1487,H60,Offers!$I$2:$I$1487,"SKIPPED")=1,"YES","NO")</f>
        <v/>
      </c>
      <c r="P60" s="37">
        <f>IF(L60="NO","N/A",IF(COUNTIFS('Skip Docs'!$A$2:$A$7,F60,'Skip Docs'!$C$2:$C$7,E60,'Skip Docs'!$D$2:$D$7,H60,'Skip Docs'!$E$2:$E$7,J60)=1,"YES","NO"))</f>
        <v/>
      </c>
      <c r="Q60" s="37" t="inlineStr">
        <is>
          <t>Y</t>
        </is>
      </c>
      <c r="R60" s="37" t="inlineStr">
        <is>
          <t>SUSTAINED</t>
        </is>
      </c>
      <c r="S60" s="37">
        <f>IF(B60="YES","Verified contemporaneous proof",IF(L60="NO","No justification PDF supplied",IF(M60="NO","PDF is cover-only",IF(P60="NO","PDF content does not match logged slip/reason",IF(O60="NO","Offer event does not reconcile","Assembled after skip date")))))</f>
        <v/>
      </c>
    </row>
    <row r="61">
      <c r="A61" s="37">
        <f>IF(M61="NO","Priority 1",IF(N61="LATE","Priority 2",IF(B61="YES","OK","Priority 1")))</f>
        <v/>
      </c>
      <c r="B61" s="37">
        <f>IF(AND(L61="YES",M61="YES",N61="ON/BEFORE",O61="YES",P61="YES"),"YES","NO")</f>
        <v/>
      </c>
      <c r="C61" s="37" t="inlineStr">
        <is>
          <t>SKP-2023-0151</t>
        </is>
      </c>
      <c r="D61" s="37" t="inlineStr">
        <is>
          <t>OFR-2023-0504</t>
        </is>
      </c>
      <c r="E61" s="38" t="n">
        <v>45134</v>
      </c>
      <c r="F61" s="37" t="inlineStr">
        <is>
          <t>WL-03652</t>
        </is>
      </c>
      <c r="G61" s="37">
        <f>IFERROR(INDEX(Applicants!$C$2:$C$2911,MATCH(F61,Applicants!$A$2:$A$2911,0))&amp;" "&amp;INDEX(Applicants!$B$2:$B$2911,MATCH(F61,Applicants!$A$2:$A$2911,0)),"")</f>
        <v/>
      </c>
      <c r="H61" s="37" t="inlineStr">
        <is>
          <t>GW-0301</t>
        </is>
      </c>
      <c r="I61" s="37" t="inlineStr">
        <is>
          <t>Gullwing</t>
        </is>
      </c>
      <c r="J61" s="37" t="inlineStr">
        <is>
          <t>vessel-fit</t>
        </is>
      </c>
      <c r="K61" s="38" t="n">
        <v>45135</v>
      </c>
      <c r="L61" s="37">
        <f>IF(COUNTIFS('Skip Docs'!$A$2:$A$7,F61,'Skip Docs'!$C$2:$C$7,E61)&gt;0,"YES","NO")</f>
        <v/>
      </c>
      <c r="M61" s="37">
        <f>IF(L61="NO","NO",INDEX('Skip Docs'!$G$2:$G$7,MATCH(1,INDEX(('Skip Docs'!$A$2:$A$7=F61)*('Skip Docs'!$C$2:$C$7=E61),0),0)))</f>
        <v/>
      </c>
      <c r="N61" s="37">
        <f>IF(K61&lt;=E61,"ON/BEFORE","LATE")</f>
        <v/>
      </c>
      <c r="O61" s="37">
        <f>IF(COUNTIFS(Offers!$A$2:$A$1487,D61,Offers!$C$2:$C$1487,F61,Offers!$B$2:$B$1487,E61,Offers!$E$2:$E$1487,H61,Offers!$I$2:$I$1487,"SKIPPED")=1,"YES","NO")</f>
        <v/>
      </c>
      <c r="P61" s="37">
        <f>IF(L61="NO","N/A",IF(COUNTIFS('Skip Docs'!$A$2:$A$7,F61,'Skip Docs'!$C$2:$C$7,E61,'Skip Docs'!$D$2:$D$7,H61,'Skip Docs'!$E$2:$E$7,J61)=1,"YES","NO"))</f>
        <v/>
      </c>
      <c r="Q61" s="37" t="inlineStr">
        <is>
          <t>Y</t>
        </is>
      </c>
      <c r="R61" s="37" t="inlineStr">
        <is>
          <t>SUSTAINED</t>
        </is>
      </c>
      <c r="S61" s="37">
        <f>IF(B61="YES","Verified contemporaneous proof",IF(L61="NO","No justification PDF supplied",IF(M61="NO","PDF is cover-only",IF(P61="NO","PDF content does not match logged slip/reason",IF(O61="NO","Offer event does not reconcile","Assembled after skip date")))))</f>
        <v/>
      </c>
    </row>
    <row r="62">
      <c r="A62" s="37">
        <f>IF(M62="NO","Priority 1",IF(N62="LATE","Priority 2",IF(B62="YES","OK","Priority 1")))</f>
        <v/>
      </c>
      <c r="B62" s="37">
        <f>IF(AND(L62="YES",M62="YES",N62="ON/BEFORE",O62="YES",P62="YES"),"YES","NO")</f>
        <v/>
      </c>
      <c r="C62" s="37" t="inlineStr">
        <is>
          <t>SKP-2023-0152</t>
        </is>
      </c>
      <c r="D62" s="37" t="inlineStr">
        <is>
          <t>OFR-2023-0505</t>
        </is>
      </c>
      <c r="E62" s="38" t="n">
        <v>45127</v>
      </c>
      <c r="F62" s="37" t="inlineStr">
        <is>
          <t>WL-03411</t>
        </is>
      </c>
      <c r="G62" s="37">
        <f>IFERROR(INDEX(Applicants!$C$2:$C$2911,MATCH(F62,Applicants!$A$2:$A$2911,0))&amp;" "&amp;INDEX(Applicants!$B$2:$B$2911,MATCH(F62,Applicants!$A$2:$A$2911,0)),"")</f>
        <v/>
      </c>
      <c r="H62" s="37" t="inlineStr">
        <is>
          <t>VB-0719</t>
        </is>
      </c>
      <c r="I62" s="37" t="inlineStr">
        <is>
          <t>Vessbank</t>
        </is>
      </c>
      <c r="J62" s="37" t="inlineStr">
        <is>
          <t>preference-mismatch</t>
        </is>
      </c>
      <c r="K62" s="38" t="n">
        <v>45127</v>
      </c>
      <c r="L62" s="37">
        <f>IF(COUNTIFS('Skip Docs'!$A$2:$A$7,F62,'Skip Docs'!$C$2:$C$7,E62)&gt;0,"YES","NO")</f>
        <v/>
      </c>
      <c r="M62" s="37">
        <f>IF(L62="NO","NO",INDEX('Skip Docs'!$G$2:$G$7,MATCH(1,INDEX(('Skip Docs'!$A$2:$A$7=F62)*('Skip Docs'!$C$2:$C$7=E62),0),0)))</f>
        <v/>
      </c>
      <c r="N62" s="37">
        <f>IF(K62&lt;=E62,"ON/BEFORE","LATE")</f>
        <v/>
      </c>
      <c r="O62" s="37">
        <f>IF(COUNTIFS(Offers!$A$2:$A$1487,D62,Offers!$C$2:$C$1487,F62,Offers!$B$2:$B$1487,E62,Offers!$E$2:$E$1487,H62,Offers!$I$2:$I$1487,"SKIPPED")=1,"YES","NO")</f>
        <v/>
      </c>
      <c r="P62" s="37">
        <f>IF(L62="NO","N/A",IF(COUNTIFS('Skip Docs'!$A$2:$A$7,F62,'Skip Docs'!$C$2:$C$7,E62,'Skip Docs'!$D$2:$D$7,H62,'Skip Docs'!$E$2:$E$7,J62)=1,"YES","NO"))</f>
        <v/>
      </c>
      <c r="Q62" s="37" t="inlineStr">
        <is>
          <t>Y</t>
        </is>
      </c>
      <c r="R62" s="37" t="inlineStr">
        <is>
          <t>SUSTAINED</t>
        </is>
      </c>
      <c r="S62" s="37">
        <f>IF(B62="YES","Verified contemporaneous proof",IF(L62="NO","No justification PDF supplied",IF(M62="NO","PDF is cover-only",IF(P62="NO","PDF content does not match logged slip/reason",IF(O62="NO","Offer event does not reconcile","Assembled after skip date")))))</f>
        <v/>
      </c>
    </row>
    <row r="63">
      <c r="A63" s="37">
        <f>IF(M63="NO","Priority 1",IF(N63="LATE","Priority 2",IF(B63="YES","OK","Priority 1")))</f>
        <v/>
      </c>
      <c r="B63" s="37">
        <f>IF(AND(L63="YES",M63="YES",N63="ON/BEFORE",O63="YES",P63="YES"),"YES","NO")</f>
        <v/>
      </c>
      <c r="C63" s="37" t="inlineStr">
        <is>
          <t>SKP-2023-0153</t>
        </is>
      </c>
      <c r="D63" s="37" t="inlineStr">
        <is>
          <t>OFR-2023-0508</t>
        </is>
      </c>
      <c r="E63" s="38" t="n">
        <v>45144</v>
      </c>
      <c r="F63" s="37" t="inlineStr">
        <is>
          <t>WL-01029</t>
        </is>
      </c>
      <c r="G63" s="37">
        <f>IFERROR(INDEX(Applicants!$C$2:$C$2911,MATCH(F63,Applicants!$A$2:$A$2911,0))&amp;" "&amp;INDEX(Applicants!$B$2:$B$2911,MATCH(F63,Applicants!$A$2:$A$2911,0)),"")</f>
        <v/>
      </c>
      <c r="H63" s="37" t="inlineStr">
        <is>
          <t>EW-0119</t>
        </is>
      </c>
      <c r="I63" s="37" t="inlineStr">
        <is>
          <t>Eastwey</t>
        </is>
      </c>
      <c r="J63" s="37" t="inlineStr">
        <is>
          <t>preference-mismatch</t>
        </is>
      </c>
      <c r="K63" s="38" t="n">
        <v>45149</v>
      </c>
      <c r="L63" s="37">
        <f>IF(COUNTIFS('Skip Docs'!$A$2:$A$7,F63,'Skip Docs'!$C$2:$C$7,E63)&gt;0,"YES","NO")</f>
        <v/>
      </c>
      <c r="M63" s="37">
        <f>IF(L63="NO","NO",INDEX('Skip Docs'!$G$2:$G$7,MATCH(1,INDEX(('Skip Docs'!$A$2:$A$7=F63)*('Skip Docs'!$C$2:$C$7=E63),0),0)))</f>
        <v/>
      </c>
      <c r="N63" s="37">
        <f>IF(K63&lt;=E63,"ON/BEFORE","LATE")</f>
        <v/>
      </c>
      <c r="O63" s="37">
        <f>IF(COUNTIFS(Offers!$A$2:$A$1487,D63,Offers!$C$2:$C$1487,F63,Offers!$B$2:$B$1487,E63,Offers!$E$2:$E$1487,H63,Offers!$I$2:$I$1487,"SKIPPED")=1,"YES","NO")</f>
        <v/>
      </c>
      <c r="P63" s="37">
        <f>IF(L63="NO","N/A",IF(COUNTIFS('Skip Docs'!$A$2:$A$7,F63,'Skip Docs'!$C$2:$C$7,E63,'Skip Docs'!$D$2:$D$7,H63,'Skip Docs'!$E$2:$E$7,J63)=1,"YES","NO"))</f>
        <v/>
      </c>
      <c r="Q63" s="37" t="inlineStr">
        <is>
          <t>Y</t>
        </is>
      </c>
      <c r="R63" s="37" t="inlineStr">
        <is>
          <t>SUSTAINED</t>
        </is>
      </c>
      <c r="S63" s="37">
        <f>IF(B63="YES","Verified contemporaneous proof",IF(L63="NO","No justification PDF supplied",IF(M63="NO","PDF is cover-only",IF(P63="NO","PDF content does not match logged slip/reason",IF(O63="NO","Offer event does not reconcile","Assembled after skip date")))))</f>
        <v/>
      </c>
    </row>
    <row r="64">
      <c r="A64" s="37">
        <f>IF(M64="NO","Priority 1",IF(N64="LATE","Priority 2",IF(B64="YES","OK","Priority 1")))</f>
        <v/>
      </c>
      <c r="B64" s="37">
        <f>IF(AND(L64="YES",M64="YES",N64="ON/BEFORE",O64="YES",P64="YES"),"YES","NO")</f>
        <v/>
      </c>
      <c r="C64" s="37" t="inlineStr">
        <is>
          <t>SKP-2023-0154</t>
        </is>
      </c>
      <c r="D64" s="37" t="inlineStr">
        <is>
          <t>OFR-2023-0515</t>
        </is>
      </c>
      <c r="E64" s="38" t="n">
        <v>45154</v>
      </c>
      <c r="F64" s="37" t="inlineStr">
        <is>
          <t>WL-01847</t>
        </is>
      </c>
      <c r="G64" s="37">
        <f>IFERROR(INDEX(Applicants!$C$2:$C$2911,MATCH(F64,Applicants!$A$2:$A$2911,0))&amp;" "&amp;INDEX(Applicants!$B$2:$B$2911,MATCH(F64,Applicants!$A$2:$A$2911,0)),"")</f>
        <v/>
      </c>
      <c r="H64" s="37" t="inlineStr">
        <is>
          <t>EW-0110</t>
        </is>
      </c>
      <c r="I64" s="37" t="inlineStr">
        <is>
          <t>Eastwey</t>
        </is>
      </c>
      <c r="J64" s="37" t="inlineStr">
        <is>
          <t>not-current</t>
        </is>
      </c>
      <c r="K64" s="38" t="n">
        <v>45158</v>
      </c>
      <c r="L64" s="37">
        <f>IF(COUNTIFS('Skip Docs'!$A$2:$A$7,F64,'Skip Docs'!$C$2:$C$7,E64)&gt;0,"YES","NO")</f>
        <v/>
      </c>
      <c r="M64" s="37">
        <f>IF(L64="NO","NO",INDEX('Skip Docs'!$G$2:$G$7,MATCH(1,INDEX(('Skip Docs'!$A$2:$A$7=F64)*('Skip Docs'!$C$2:$C$7=E64),0),0)))</f>
        <v/>
      </c>
      <c r="N64" s="37">
        <f>IF(K64&lt;=E64,"ON/BEFORE","LATE")</f>
        <v/>
      </c>
      <c r="O64" s="37">
        <f>IF(COUNTIFS(Offers!$A$2:$A$1487,D64,Offers!$C$2:$C$1487,F64,Offers!$B$2:$B$1487,E64,Offers!$E$2:$E$1487,H64,Offers!$I$2:$I$1487,"SKIPPED")=1,"YES","NO")</f>
        <v/>
      </c>
      <c r="P64" s="37">
        <f>IF(L64="NO","N/A",IF(COUNTIFS('Skip Docs'!$A$2:$A$7,F64,'Skip Docs'!$C$2:$C$7,E64,'Skip Docs'!$D$2:$D$7,H64,'Skip Docs'!$E$2:$E$7,J64)=1,"YES","NO"))</f>
        <v/>
      </c>
      <c r="Q64" s="37" t="inlineStr">
        <is>
          <t>Y</t>
        </is>
      </c>
      <c r="R64" s="37" t="inlineStr">
        <is>
          <t>SUSTAINED</t>
        </is>
      </c>
      <c r="S64" s="37">
        <f>IF(B64="YES","Verified contemporaneous proof",IF(L64="NO","No justification PDF supplied",IF(M64="NO","PDF is cover-only",IF(P64="NO","PDF content does not match logged slip/reason",IF(O64="NO","Offer event does not reconcile","Assembled after skip date")))))</f>
        <v/>
      </c>
    </row>
    <row r="65">
      <c r="A65" s="37">
        <f>IF(M65="NO","Priority 1",IF(N65="LATE","Priority 2",IF(B65="YES","OK","Priority 1")))</f>
        <v/>
      </c>
      <c r="B65" s="37">
        <f>IF(AND(L65="YES",M65="YES",N65="ON/BEFORE",O65="YES",P65="YES"),"YES","NO")</f>
        <v/>
      </c>
      <c r="C65" s="37" t="inlineStr">
        <is>
          <t>SKP-2023-0155</t>
        </is>
      </c>
      <c r="D65" s="37" t="inlineStr">
        <is>
          <t>OFR-2023-0517</t>
        </is>
      </c>
      <c r="E65" s="38" t="n">
        <v>45147</v>
      </c>
      <c r="F65" s="37" t="inlineStr">
        <is>
          <t>WL-01297</t>
        </is>
      </c>
      <c r="G65" s="37">
        <f>IFERROR(INDEX(Applicants!$C$2:$C$2911,MATCH(F65,Applicants!$A$2:$A$2911,0))&amp;" "&amp;INDEX(Applicants!$B$2:$B$2911,MATCH(F65,Applicants!$A$2:$A$2911,0)),"")</f>
        <v/>
      </c>
      <c r="H65" s="37" t="inlineStr">
        <is>
          <t>VB-0512</t>
        </is>
      </c>
      <c r="I65" s="37" t="inlineStr">
        <is>
          <t>Vessbank</t>
        </is>
      </c>
      <c r="J65" s="37" t="inlineStr">
        <is>
          <t>not-current</t>
        </is>
      </c>
      <c r="K65" s="38" t="n">
        <v>45152</v>
      </c>
      <c r="L65" s="37">
        <f>IF(COUNTIFS('Skip Docs'!$A$2:$A$7,F65,'Skip Docs'!$C$2:$C$7,E65)&gt;0,"YES","NO")</f>
        <v/>
      </c>
      <c r="M65" s="37">
        <f>IF(L65="NO","NO",INDEX('Skip Docs'!$G$2:$G$7,MATCH(1,INDEX(('Skip Docs'!$A$2:$A$7=F65)*('Skip Docs'!$C$2:$C$7=E65),0),0)))</f>
        <v/>
      </c>
      <c r="N65" s="37">
        <f>IF(K65&lt;=E65,"ON/BEFORE","LATE")</f>
        <v/>
      </c>
      <c r="O65" s="37">
        <f>IF(COUNTIFS(Offers!$A$2:$A$1487,D65,Offers!$C$2:$C$1487,F65,Offers!$B$2:$B$1487,E65,Offers!$E$2:$E$1487,H65,Offers!$I$2:$I$1487,"SKIPPED")=1,"YES","NO")</f>
        <v/>
      </c>
      <c r="P65" s="37">
        <f>IF(L65="NO","N/A",IF(COUNTIFS('Skip Docs'!$A$2:$A$7,F65,'Skip Docs'!$C$2:$C$7,E65,'Skip Docs'!$D$2:$D$7,H65,'Skip Docs'!$E$2:$E$7,J65)=1,"YES","NO"))</f>
        <v/>
      </c>
      <c r="Q65" s="37" t="inlineStr">
        <is>
          <t>Y</t>
        </is>
      </c>
      <c r="R65" s="37" t="inlineStr">
        <is>
          <t>SUSTAINED</t>
        </is>
      </c>
      <c r="S65" s="37">
        <f>IF(B65="YES","Verified contemporaneous proof",IF(L65="NO","No justification PDF supplied",IF(M65="NO","PDF is cover-only",IF(P65="NO","PDF content does not match logged slip/reason",IF(O65="NO","Offer event does not reconcile","Assembled after skip date")))))</f>
        <v/>
      </c>
    </row>
    <row r="66">
      <c r="A66" s="37">
        <f>IF(M66="NO","Priority 1",IF(N66="LATE","Priority 2",IF(B66="YES","OK","Priority 1")))</f>
        <v/>
      </c>
      <c r="B66" s="37">
        <f>IF(AND(L66="YES",M66="YES",N66="ON/BEFORE",O66="YES",P66="YES"),"YES","NO")</f>
        <v/>
      </c>
      <c r="C66" s="37" t="inlineStr">
        <is>
          <t>SKP-2023-0156</t>
        </is>
      </c>
      <c r="D66" s="37" t="inlineStr">
        <is>
          <t>OFR-2023-0518</t>
        </is>
      </c>
      <c r="E66" s="38" t="n">
        <v>45140</v>
      </c>
      <c r="F66" s="37" t="inlineStr">
        <is>
          <t>WL-02603</t>
        </is>
      </c>
      <c r="G66" s="37">
        <f>IFERROR(INDEX(Applicants!$C$2:$C$2911,MATCH(F66,Applicants!$A$2:$A$2911,0))&amp;" "&amp;INDEX(Applicants!$B$2:$B$2911,MATCH(F66,Applicants!$A$2:$A$2911,0)),"")</f>
        <v/>
      </c>
      <c r="H66" s="37" t="inlineStr">
        <is>
          <t>GW-0611</t>
        </is>
      </c>
      <c r="I66" s="37" t="inlineStr">
        <is>
          <t>Gullwing</t>
        </is>
      </c>
      <c r="J66" s="37" t="inlineStr">
        <is>
          <t>declined-prior-offer</t>
        </is>
      </c>
      <c r="K66" s="38" t="n">
        <v>45140</v>
      </c>
      <c r="L66" s="37">
        <f>IF(COUNTIFS('Skip Docs'!$A$2:$A$7,F66,'Skip Docs'!$C$2:$C$7,E66)&gt;0,"YES","NO")</f>
        <v/>
      </c>
      <c r="M66" s="37">
        <f>IF(L66="NO","NO",INDEX('Skip Docs'!$G$2:$G$7,MATCH(1,INDEX(('Skip Docs'!$A$2:$A$7=F66)*('Skip Docs'!$C$2:$C$7=E66),0),0)))</f>
        <v/>
      </c>
      <c r="N66" s="37">
        <f>IF(K66&lt;=E66,"ON/BEFORE","LATE")</f>
        <v/>
      </c>
      <c r="O66" s="37">
        <f>IF(COUNTIFS(Offers!$A$2:$A$1487,D66,Offers!$C$2:$C$1487,F66,Offers!$B$2:$B$1487,E66,Offers!$E$2:$E$1487,H66,Offers!$I$2:$I$1487,"SKIPPED")=1,"YES","NO")</f>
        <v/>
      </c>
      <c r="P66" s="37">
        <f>IF(L66="NO","N/A",IF(COUNTIFS('Skip Docs'!$A$2:$A$7,F66,'Skip Docs'!$C$2:$C$7,E66,'Skip Docs'!$D$2:$D$7,H66,'Skip Docs'!$E$2:$E$7,J66)=1,"YES","NO"))</f>
        <v/>
      </c>
      <c r="Q66" s="37" t="inlineStr">
        <is>
          <t>Y</t>
        </is>
      </c>
      <c r="R66" s="37" t="inlineStr">
        <is>
          <t>SUSTAINED</t>
        </is>
      </c>
      <c r="S66" s="37">
        <f>IF(B66="YES","Verified contemporaneous proof",IF(L66="NO","No justification PDF supplied",IF(M66="NO","PDF is cover-only",IF(P66="NO","PDF content does not match logged slip/reason",IF(O66="NO","Offer event does not reconcile","Assembled after skip date")))))</f>
        <v/>
      </c>
    </row>
    <row r="67">
      <c r="A67" s="37">
        <f>IF(M67="NO","Priority 1",IF(N67="LATE","Priority 2",IF(B67="YES","OK","Priority 1")))</f>
        <v/>
      </c>
      <c r="B67" s="37">
        <f>IF(AND(L67="YES",M67="YES",N67="ON/BEFORE",O67="YES",P67="YES"),"YES","NO")</f>
        <v/>
      </c>
      <c r="C67" s="37" t="inlineStr">
        <is>
          <t>SKP-2023-0157</t>
        </is>
      </c>
      <c r="D67" s="37" t="inlineStr">
        <is>
          <t>OFR-2023-0524</t>
        </is>
      </c>
      <c r="E67" s="38" t="n">
        <v>45160</v>
      </c>
      <c r="F67" s="37" t="inlineStr">
        <is>
          <t>WL-03153</t>
        </is>
      </c>
      <c r="G67" s="37">
        <f>IFERROR(INDEX(Applicants!$C$2:$C$2911,MATCH(F67,Applicants!$A$2:$A$2911,0))&amp;" "&amp;INDEX(Applicants!$B$2:$B$2911,MATCH(F67,Applicants!$A$2:$A$2911,0)),"")</f>
        <v/>
      </c>
      <c r="H67" s="37" t="inlineStr">
        <is>
          <t>EW-0213</t>
        </is>
      </c>
      <c r="I67" s="37" t="inlineStr">
        <is>
          <t>Eastwey</t>
        </is>
      </c>
      <c r="J67" s="37" t="inlineStr">
        <is>
          <t>preference-mismatch</t>
        </is>
      </c>
      <c r="K67" s="38" t="n">
        <v>45161</v>
      </c>
      <c r="L67" s="37">
        <f>IF(COUNTIFS('Skip Docs'!$A$2:$A$7,F67,'Skip Docs'!$C$2:$C$7,E67)&gt;0,"YES","NO")</f>
        <v/>
      </c>
      <c r="M67" s="37">
        <f>IF(L67="NO","NO",INDEX('Skip Docs'!$G$2:$G$7,MATCH(1,INDEX(('Skip Docs'!$A$2:$A$7=F67)*('Skip Docs'!$C$2:$C$7=E67),0),0)))</f>
        <v/>
      </c>
      <c r="N67" s="37">
        <f>IF(K67&lt;=E67,"ON/BEFORE","LATE")</f>
        <v/>
      </c>
      <c r="O67" s="37">
        <f>IF(COUNTIFS(Offers!$A$2:$A$1487,D67,Offers!$C$2:$C$1487,F67,Offers!$B$2:$B$1487,E67,Offers!$E$2:$E$1487,H67,Offers!$I$2:$I$1487,"SKIPPED")=1,"YES","NO")</f>
        <v/>
      </c>
      <c r="P67" s="37">
        <f>IF(L67="NO","N/A",IF(COUNTIFS('Skip Docs'!$A$2:$A$7,F67,'Skip Docs'!$C$2:$C$7,E67,'Skip Docs'!$D$2:$D$7,H67,'Skip Docs'!$E$2:$E$7,J67)=1,"YES","NO"))</f>
        <v/>
      </c>
      <c r="Q67" s="37" t="inlineStr">
        <is>
          <t>Y</t>
        </is>
      </c>
      <c r="R67" s="37" t="inlineStr">
        <is>
          <t>SUSTAINED</t>
        </is>
      </c>
      <c r="S67" s="37">
        <f>IF(B67="YES","Verified contemporaneous proof",IF(L67="NO","No justification PDF supplied",IF(M67="NO","PDF is cover-only",IF(P67="NO","PDF content does not match logged slip/reason",IF(O67="NO","Offer event does not reconcile","Assembled after skip date")))))</f>
        <v/>
      </c>
    </row>
    <row r="68">
      <c r="A68" s="37">
        <f>IF(M68="NO","Priority 1",IF(N68="LATE","Priority 2",IF(B68="YES","OK","Priority 1")))</f>
        <v/>
      </c>
      <c r="B68" s="37">
        <f>IF(AND(L68="YES",M68="YES",N68="ON/BEFORE",O68="YES",P68="YES"),"YES","NO")</f>
        <v/>
      </c>
      <c r="C68" s="37" t="inlineStr">
        <is>
          <t>SKP-2023-0158</t>
        </is>
      </c>
      <c r="D68" s="37" t="inlineStr">
        <is>
          <t>OFR-2023-0526</t>
        </is>
      </c>
      <c r="E68" s="38" t="n">
        <v>45160</v>
      </c>
      <c r="F68" s="37" t="inlineStr">
        <is>
          <t>WL-02650</t>
        </is>
      </c>
      <c r="G68" s="37">
        <f>IFERROR(INDEX(Applicants!$C$2:$C$2911,MATCH(F68,Applicants!$A$2:$A$2911,0))&amp;" "&amp;INDEX(Applicants!$B$2:$B$2911,MATCH(F68,Applicants!$A$2:$A$2911,0)),"")</f>
        <v/>
      </c>
      <c r="H68" s="37" t="inlineStr">
        <is>
          <t>EW-0310</t>
        </is>
      </c>
      <c r="I68" s="37" t="inlineStr">
        <is>
          <t>Eastwey</t>
        </is>
      </c>
      <c r="J68" s="37" t="inlineStr">
        <is>
          <t>declined-prior-offer</t>
        </is>
      </c>
      <c r="K68" s="38" t="n">
        <v>45165</v>
      </c>
      <c r="L68" s="37">
        <f>IF(COUNTIFS('Skip Docs'!$A$2:$A$7,F68,'Skip Docs'!$C$2:$C$7,E68)&gt;0,"YES","NO")</f>
        <v/>
      </c>
      <c r="M68" s="37">
        <f>IF(L68="NO","NO",INDEX('Skip Docs'!$G$2:$G$7,MATCH(1,INDEX(('Skip Docs'!$A$2:$A$7=F68)*('Skip Docs'!$C$2:$C$7=E68),0),0)))</f>
        <v/>
      </c>
      <c r="N68" s="37">
        <f>IF(K68&lt;=E68,"ON/BEFORE","LATE")</f>
        <v/>
      </c>
      <c r="O68" s="37">
        <f>IF(COUNTIFS(Offers!$A$2:$A$1487,D68,Offers!$C$2:$C$1487,F68,Offers!$B$2:$B$1487,E68,Offers!$E$2:$E$1487,H68,Offers!$I$2:$I$1487,"SKIPPED")=1,"YES","NO")</f>
        <v/>
      </c>
      <c r="P68" s="37">
        <f>IF(L68="NO","N/A",IF(COUNTIFS('Skip Docs'!$A$2:$A$7,F68,'Skip Docs'!$C$2:$C$7,E68,'Skip Docs'!$D$2:$D$7,H68,'Skip Docs'!$E$2:$E$7,J68)=1,"YES","NO"))</f>
        <v/>
      </c>
      <c r="Q68" s="37" t="inlineStr">
        <is>
          <t>Y</t>
        </is>
      </c>
      <c r="R68" s="37" t="inlineStr">
        <is>
          <t>SUSTAINED</t>
        </is>
      </c>
      <c r="S68" s="37">
        <f>IF(B68="YES","Verified contemporaneous proof",IF(L68="NO","No justification PDF supplied",IF(M68="NO","PDF is cover-only",IF(P68="NO","PDF content does not match logged slip/reason",IF(O68="NO","Offer event does not reconcile","Assembled after skip date")))))</f>
        <v/>
      </c>
    </row>
    <row r="69">
      <c r="A69" s="37">
        <f>IF(M69="NO","Priority 1",IF(N69="LATE","Priority 2",IF(B69="YES","OK","Priority 1")))</f>
        <v/>
      </c>
      <c r="B69" s="37">
        <f>IF(AND(L69="YES",M69="YES",N69="ON/BEFORE",O69="YES",P69="YES"),"YES","NO")</f>
        <v/>
      </c>
      <c r="C69" s="37" t="inlineStr">
        <is>
          <t>SKP-2023-0159</t>
        </is>
      </c>
      <c r="D69" s="37" t="inlineStr">
        <is>
          <t>OFR-2023-0528</t>
        </is>
      </c>
      <c r="E69" s="38" t="n">
        <v>45148</v>
      </c>
      <c r="F69" s="37" t="inlineStr">
        <is>
          <t>WL-01360</t>
        </is>
      </c>
      <c r="G69" s="37">
        <f>IFERROR(INDEX(Applicants!$C$2:$C$2911,MATCH(F69,Applicants!$A$2:$A$2911,0))&amp;" "&amp;INDEX(Applicants!$B$2:$B$2911,MATCH(F69,Applicants!$A$2:$A$2911,0)),"")</f>
        <v/>
      </c>
      <c r="H69" s="37" t="inlineStr">
        <is>
          <t>LP-0516</t>
        </is>
      </c>
      <c r="I69" s="37" t="inlineStr">
        <is>
          <t>Ledgport</t>
        </is>
      </c>
      <c r="J69" s="37" t="inlineStr">
        <is>
          <t>vessel-fit</t>
        </is>
      </c>
      <c r="K69" s="38" t="n">
        <v>45149</v>
      </c>
      <c r="L69" s="37">
        <f>IF(COUNTIFS('Skip Docs'!$A$2:$A$7,F69,'Skip Docs'!$C$2:$C$7,E69)&gt;0,"YES","NO")</f>
        <v/>
      </c>
      <c r="M69" s="37">
        <f>IF(L69="NO","NO",INDEX('Skip Docs'!$G$2:$G$7,MATCH(1,INDEX(('Skip Docs'!$A$2:$A$7=F69)*('Skip Docs'!$C$2:$C$7=E69),0),0)))</f>
        <v/>
      </c>
      <c r="N69" s="37">
        <f>IF(K69&lt;=E69,"ON/BEFORE","LATE")</f>
        <v/>
      </c>
      <c r="O69" s="37">
        <f>IF(COUNTIFS(Offers!$A$2:$A$1487,D69,Offers!$C$2:$C$1487,F69,Offers!$B$2:$B$1487,E69,Offers!$E$2:$E$1487,H69,Offers!$I$2:$I$1487,"SKIPPED")=1,"YES","NO")</f>
        <v/>
      </c>
      <c r="P69" s="37">
        <f>IF(L69="NO","N/A",IF(COUNTIFS('Skip Docs'!$A$2:$A$7,F69,'Skip Docs'!$C$2:$C$7,E69,'Skip Docs'!$D$2:$D$7,H69,'Skip Docs'!$E$2:$E$7,J69)=1,"YES","NO"))</f>
        <v/>
      </c>
      <c r="Q69" s="37" t="inlineStr">
        <is>
          <t>Y</t>
        </is>
      </c>
      <c r="R69" s="37" t="inlineStr">
        <is>
          <t>SUSTAINED</t>
        </is>
      </c>
      <c r="S69" s="37">
        <f>IF(B69="YES","Verified contemporaneous proof",IF(L69="NO","No justification PDF supplied",IF(M69="NO","PDF is cover-only",IF(P69="NO","PDF content does not match logged slip/reason",IF(O69="NO","Offer event does not reconcile","Assembled after skip date")))))</f>
        <v/>
      </c>
    </row>
    <row r="70">
      <c r="A70" s="37">
        <f>IF(M70="NO","Priority 1",IF(N70="LATE","Priority 2",IF(B70="YES","OK","Priority 1")))</f>
        <v/>
      </c>
      <c r="B70" s="37">
        <f>IF(AND(L70="YES",M70="YES",N70="ON/BEFORE",O70="YES",P70="YES"),"YES","NO")</f>
        <v/>
      </c>
      <c r="C70" s="37" t="inlineStr">
        <is>
          <t>SKP-2023-0160</t>
        </is>
      </c>
      <c r="D70" s="37" t="inlineStr">
        <is>
          <t>OFR-2023-0530</t>
        </is>
      </c>
      <c r="E70" s="38" t="n">
        <v>45143</v>
      </c>
      <c r="F70" s="37" t="inlineStr">
        <is>
          <t>WL-01367</t>
        </is>
      </c>
      <c r="G70" s="37">
        <f>IFERROR(INDEX(Applicants!$C$2:$C$2911,MATCH(F70,Applicants!$A$2:$A$2911,0))&amp;" "&amp;INDEX(Applicants!$B$2:$B$2911,MATCH(F70,Applicants!$A$2:$A$2911,0)),"")</f>
        <v/>
      </c>
      <c r="H70" s="37" t="inlineStr">
        <is>
          <t>GW-0703</t>
        </is>
      </c>
      <c r="I70" s="37" t="inlineStr">
        <is>
          <t>Gullwing</t>
        </is>
      </c>
      <c r="J70" s="37" t="inlineStr">
        <is>
          <t>vessel-fit</t>
        </is>
      </c>
      <c r="K70" s="38" t="n">
        <v>45145</v>
      </c>
      <c r="L70" s="37">
        <f>IF(COUNTIFS('Skip Docs'!$A$2:$A$7,F70,'Skip Docs'!$C$2:$C$7,E70)&gt;0,"YES","NO")</f>
        <v/>
      </c>
      <c r="M70" s="37">
        <f>IF(L70="NO","NO",INDEX('Skip Docs'!$G$2:$G$7,MATCH(1,INDEX(('Skip Docs'!$A$2:$A$7=F70)*('Skip Docs'!$C$2:$C$7=E70),0),0)))</f>
        <v/>
      </c>
      <c r="N70" s="37">
        <f>IF(K70&lt;=E70,"ON/BEFORE","LATE")</f>
        <v/>
      </c>
      <c r="O70" s="37">
        <f>IF(COUNTIFS(Offers!$A$2:$A$1487,D70,Offers!$C$2:$C$1487,F70,Offers!$B$2:$B$1487,E70,Offers!$E$2:$E$1487,H70,Offers!$I$2:$I$1487,"SKIPPED")=1,"YES","NO")</f>
        <v/>
      </c>
      <c r="P70" s="37">
        <f>IF(L70="NO","N/A",IF(COUNTIFS('Skip Docs'!$A$2:$A$7,F70,'Skip Docs'!$C$2:$C$7,E70,'Skip Docs'!$D$2:$D$7,H70,'Skip Docs'!$E$2:$E$7,J70)=1,"YES","NO"))</f>
        <v/>
      </c>
      <c r="Q70" s="37" t="inlineStr">
        <is>
          <t>Y</t>
        </is>
      </c>
      <c r="R70" s="37" t="inlineStr">
        <is>
          <t>SUSTAINED</t>
        </is>
      </c>
      <c r="S70" s="37">
        <f>IF(B70="YES","Verified contemporaneous proof",IF(L70="NO","No justification PDF supplied",IF(M70="NO","PDF is cover-only",IF(P70="NO","PDF content does not match logged slip/reason",IF(O70="NO","Offer event does not reconcile","Assembled after skip date")))))</f>
        <v/>
      </c>
    </row>
    <row r="71">
      <c r="A71" s="37">
        <f>IF(M71="NO","Priority 1",IF(N71="LATE","Priority 2",IF(B71="YES","OK","Priority 1")))</f>
        <v/>
      </c>
      <c r="B71" s="37">
        <f>IF(AND(L71="YES",M71="YES",N71="ON/BEFORE",O71="YES",P71="YES"),"YES","NO")</f>
        <v/>
      </c>
      <c r="C71" s="37" t="inlineStr">
        <is>
          <t>SKP-2023-0161</t>
        </is>
      </c>
      <c r="D71" s="37" t="inlineStr">
        <is>
          <t>OFR-2023-0533</t>
        </is>
      </c>
      <c r="E71" s="38" t="n">
        <v>45156</v>
      </c>
      <c r="F71" s="37" t="inlineStr">
        <is>
          <t>WL-02793</t>
        </is>
      </c>
      <c r="G71" s="37">
        <f>IFERROR(INDEX(Applicants!$C$2:$C$2911,MATCH(F71,Applicants!$A$2:$A$2911,0))&amp;" "&amp;INDEX(Applicants!$B$2:$B$2911,MATCH(F71,Applicants!$A$2:$A$2911,0)),"")</f>
        <v/>
      </c>
      <c r="H71" s="37" t="inlineStr">
        <is>
          <t>EW-0814</t>
        </is>
      </c>
      <c r="I71" s="37" t="inlineStr">
        <is>
          <t>Eastwey</t>
        </is>
      </c>
      <c r="J71" s="37" t="inlineStr">
        <is>
          <t>vessel-fit</t>
        </is>
      </c>
      <c r="K71" s="38" t="n">
        <v>45159</v>
      </c>
      <c r="L71" s="37">
        <f>IF(COUNTIFS('Skip Docs'!$A$2:$A$7,F71,'Skip Docs'!$C$2:$C$7,E71)&gt;0,"YES","NO")</f>
        <v/>
      </c>
      <c r="M71" s="37">
        <f>IF(L71="NO","NO",INDEX('Skip Docs'!$G$2:$G$7,MATCH(1,INDEX(('Skip Docs'!$A$2:$A$7=F71)*('Skip Docs'!$C$2:$C$7=E71),0),0)))</f>
        <v/>
      </c>
      <c r="N71" s="37">
        <f>IF(K71&lt;=E71,"ON/BEFORE","LATE")</f>
        <v/>
      </c>
      <c r="O71" s="37">
        <f>IF(COUNTIFS(Offers!$A$2:$A$1487,D71,Offers!$C$2:$C$1487,F71,Offers!$B$2:$B$1487,E71,Offers!$E$2:$E$1487,H71,Offers!$I$2:$I$1487,"SKIPPED")=1,"YES","NO")</f>
        <v/>
      </c>
      <c r="P71" s="37">
        <f>IF(L71="NO","N/A",IF(COUNTIFS('Skip Docs'!$A$2:$A$7,F71,'Skip Docs'!$C$2:$C$7,E71,'Skip Docs'!$D$2:$D$7,H71,'Skip Docs'!$E$2:$E$7,J71)=1,"YES","NO"))</f>
        <v/>
      </c>
      <c r="Q71" s="37" t="inlineStr">
        <is>
          <t>Y</t>
        </is>
      </c>
      <c r="R71" s="37" t="inlineStr">
        <is>
          <t>SUSTAINED</t>
        </is>
      </c>
      <c r="S71" s="37">
        <f>IF(B71="YES","Verified contemporaneous proof",IF(L71="NO","No justification PDF supplied",IF(M71="NO","PDF is cover-only",IF(P71="NO","PDF content does not match logged slip/reason",IF(O71="NO","Offer event does not reconcile","Assembled after skip date")))))</f>
        <v/>
      </c>
    </row>
    <row r="72">
      <c r="A72" s="37">
        <f>IF(M72="NO","Priority 1",IF(N72="LATE","Priority 2",IF(B72="YES","OK","Priority 1")))</f>
        <v/>
      </c>
      <c r="B72" s="37">
        <f>IF(AND(L72="YES",M72="YES",N72="ON/BEFORE",O72="YES",P72="YES"),"YES","NO")</f>
        <v/>
      </c>
      <c r="C72" s="37" t="inlineStr">
        <is>
          <t>SKP-2023-0162</t>
        </is>
      </c>
      <c r="D72" s="37" t="inlineStr">
        <is>
          <t>OFR-2023-0541</t>
        </is>
      </c>
      <c r="E72" s="38" t="n">
        <v>45187</v>
      </c>
      <c r="F72" s="37" t="inlineStr">
        <is>
          <t>WL-03249</t>
        </is>
      </c>
      <c r="G72" s="37">
        <f>IFERROR(INDEX(Applicants!$C$2:$C$2911,MATCH(F72,Applicants!$A$2:$A$2911,0))&amp;" "&amp;INDEX(Applicants!$B$2:$B$2911,MATCH(F72,Applicants!$A$2:$A$2911,0)),"")</f>
        <v/>
      </c>
      <c r="H72" s="37" t="inlineStr">
        <is>
          <t>EW-0518</t>
        </is>
      </c>
      <c r="I72" s="37" t="inlineStr">
        <is>
          <t>Eastwey</t>
        </is>
      </c>
      <c r="J72" s="37" t="inlineStr">
        <is>
          <t>not-current</t>
        </is>
      </c>
      <c r="K72" s="38" t="n">
        <v>45188</v>
      </c>
      <c r="L72" s="37">
        <f>IF(COUNTIFS('Skip Docs'!$A$2:$A$7,F72,'Skip Docs'!$C$2:$C$7,E72)&gt;0,"YES","NO")</f>
        <v/>
      </c>
      <c r="M72" s="37">
        <f>IF(L72="NO","NO",INDEX('Skip Docs'!$G$2:$G$7,MATCH(1,INDEX(('Skip Docs'!$A$2:$A$7=F72)*('Skip Docs'!$C$2:$C$7=E72),0),0)))</f>
        <v/>
      </c>
      <c r="N72" s="37">
        <f>IF(K72&lt;=E72,"ON/BEFORE","LATE")</f>
        <v/>
      </c>
      <c r="O72" s="37">
        <f>IF(COUNTIFS(Offers!$A$2:$A$1487,D72,Offers!$C$2:$C$1487,F72,Offers!$B$2:$B$1487,E72,Offers!$E$2:$E$1487,H72,Offers!$I$2:$I$1487,"SKIPPED")=1,"YES","NO")</f>
        <v/>
      </c>
      <c r="P72" s="37">
        <f>IF(L72="NO","N/A",IF(COUNTIFS('Skip Docs'!$A$2:$A$7,F72,'Skip Docs'!$C$2:$C$7,E72,'Skip Docs'!$D$2:$D$7,H72,'Skip Docs'!$E$2:$E$7,J72)=1,"YES","NO"))</f>
        <v/>
      </c>
      <c r="Q72" s="37" t="inlineStr">
        <is>
          <t>Y</t>
        </is>
      </c>
      <c r="R72" s="37" t="inlineStr">
        <is>
          <t>SUSTAINED</t>
        </is>
      </c>
      <c r="S72" s="37">
        <f>IF(B72="YES","Verified contemporaneous proof",IF(L72="NO","No justification PDF supplied",IF(M72="NO","PDF is cover-only",IF(P72="NO","PDF content does not match logged slip/reason",IF(O72="NO","Offer event does not reconcile","Assembled after skip date")))))</f>
        <v/>
      </c>
    </row>
    <row r="73">
      <c r="A73" s="37">
        <f>IF(M73="NO","Priority 1",IF(N73="LATE","Priority 2",IF(B73="YES","OK","Priority 1")))</f>
        <v/>
      </c>
      <c r="B73" s="37">
        <f>IF(AND(L73="YES",M73="YES",N73="ON/BEFORE",O73="YES",P73="YES"),"YES","NO")</f>
        <v/>
      </c>
      <c r="C73" s="37" t="inlineStr">
        <is>
          <t>SKP-2023-0163</t>
        </is>
      </c>
      <c r="D73" s="37" t="inlineStr">
        <is>
          <t>OFR-2023-0546</t>
        </is>
      </c>
      <c r="E73" s="38" t="n">
        <v>45180</v>
      </c>
      <c r="F73" s="37" t="inlineStr">
        <is>
          <t>WL-03629</t>
        </is>
      </c>
      <c r="G73" s="37">
        <f>IFERROR(INDEX(Applicants!$C$2:$C$2911,MATCH(F73,Applicants!$A$2:$A$2911,0))&amp;" "&amp;INDEX(Applicants!$B$2:$B$2911,MATCH(F73,Applicants!$A$2:$A$2911,0)),"")</f>
        <v/>
      </c>
      <c r="H73" s="37" t="inlineStr">
        <is>
          <t>LP-1116</t>
        </is>
      </c>
      <c r="I73" s="37" t="inlineStr">
        <is>
          <t>Ledgport</t>
        </is>
      </c>
      <c r="J73" s="37" t="inlineStr">
        <is>
          <t>vessel-fit</t>
        </is>
      </c>
      <c r="K73" s="38" t="n">
        <v>45180</v>
      </c>
      <c r="L73" s="37">
        <f>IF(COUNTIFS('Skip Docs'!$A$2:$A$7,F73,'Skip Docs'!$C$2:$C$7,E73)&gt;0,"YES","NO")</f>
        <v/>
      </c>
      <c r="M73" s="37">
        <f>IF(L73="NO","NO",INDEX('Skip Docs'!$G$2:$G$7,MATCH(1,INDEX(('Skip Docs'!$A$2:$A$7=F73)*('Skip Docs'!$C$2:$C$7=E73),0),0)))</f>
        <v/>
      </c>
      <c r="N73" s="37">
        <f>IF(K73&lt;=E73,"ON/BEFORE","LATE")</f>
        <v/>
      </c>
      <c r="O73" s="37">
        <f>IF(COUNTIFS(Offers!$A$2:$A$1487,D73,Offers!$C$2:$C$1487,F73,Offers!$B$2:$B$1487,E73,Offers!$E$2:$E$1487,H73,Offers!$I$2:$I$1487,"SKIPPED")=1,"YES","NO")</f>
        <v/>
      </c>
      <c r="P73" s="37">
        <f>IF(L73="NO","N/A",IF(COUNTIFS('Skip Docs'!$A$2:$A$7,F73,'Skip Docs'!$C$2:$C$7,E73,'Skip Docs'!$D$2:$D$7,H73,'Skip Docs'!$E$2:$E$7,J73)=1,"YES","NO"))</f>
        <v/>
      </c>
      <c r="Q73" s="37" t="inlineStr">
        <is>
          <t>Y</t>
        </is>
      </c>
      <c r="R73" s="37" t="inlineStr">
        <is>
          <t>SUSTAINED</t>
        </is>
      </c>
      <c r="S73" s="37">
        <f>IF(B73="YES","Verified contemporaneous proof",IF(L73="NO","No justification PDF supplied",IF(M73="NO","PDF is cover-only",IF(P73="NO","PDF content does not match logged slip/reason",IF(O73="NO","Offer event does not reconcile","Assembled after skip date")))))</f>
        <v/>
      </c>
    </row>
    <row r="74">
      <c r="A74" s="37">
        <f>IF(M74="NO","Priority 1",IF(N74="LATE","Priority 2",IF(B74="YES","OK","Priority 1")))</f>
        <v/>
      </c>
      <c r="B74" s="37">
        <f>IF(AND(L74="YES",M74="YES",N74="ON/BEFORE",O74="YES",P74="YES"),"YES","NO")</f>
        <v/>
      </c>
      <c r="C74" s="37" t="inlineStr">
        <is>
          <t>SKP-2023-0164</t>
        </is>
      </c>
      <c r="D74" s="37" t="inlineStr">
        <is>
          <t>OFR-2023-0547</t>
        </is>
      </c>
      <c r="E74" s="38" t="n">
        <v>45174</v>
      </c>
      <c r="F74" s="37" t="inlineStr">
        <is>
          <t>WL-03673</t>
        </is>
      </c>
      <c r="G74" s="37">
        <f>IFERROR(INDEX(Applicants!$C$2:$C$2911,MATCH(F74,Applicants!$A$2:$A$2911,0))&amp;" "&amp;INDEX(Applicants!$B$2:$B$2911,MATCH(F74,Applicants!$A$2:$A$2911,0)),"")</f>
        <v/>
      </c>
      <c r="H74" s="37" t="inlineStr">
        <is>
          <t>GW-0801</t>
        </is>
      </c>
      <c r="I74" s="37" t="inlineStr">
        <is>
          <t>Gullwing</t>
        </is>
      </c>
      <c r="J74" s="37" t="inlineStr">
        <is>
          <t>preference-mismatch</t>
        </is>
      </c>
      <c r="K74" s="38" t="n">
        <v>45177</v>
      </c>
      <c r="L74" s="37">
        <f>IF(COUNTIFS('Skip Docs'!$A$2:$A$7,F74,'Skip Docs'!$C$2:$C$7,E74)&gt;0,"YES","NO")</f>
        <v/>
      </c>
      <c r="M74" s="37">
        <f>IF(L74="NO","NO",INDEX('Skip Docs'!$G$2:$G$7,MATCH(1,INDEX(('Skip Docs'!$A$2:$A$7=F74)*('Skip Docs'!$C$2:$C$7=E74),0),0)))</f>
        <v/>
      </c>
      <c r="N74" s="37">
        <f>IF(K74&lt;=E74,"ON/BEFORE","LATE")</f>
        <v/>
      </c>
      <c r="O74" s="37">
        <f>IF(COUNTIFS(Offers!$A$2:$A$1487,D74,Offers!$C$2:$C$1487,F74,Offers!$B$2:$B$1487,E74,Offers!$E$2:$E$1487,H74,Offers!$I$2:$I$1487,"SKIPPED")=1,"YES","NO")</f>
        <v/>
      </c>
      <c r="P74" s="37">
        <f>IF(L74="NO","N/A",IF(COUNTIFS('Skip Docs'!$A$2:$A$7,F74,'Skip Docs'!$C$2:$C$7,E74,'Skip Docs'!$D$2:$D$7,H74,'Skip Docs'!$E$2:$E$7,J74)=1,"YES","NO"))</f>
        <v/>
      </c>
      <c r="Q74" s="37" t="inlineStr">
        <is>
          <t>Y</t>
        </is>
      </c>
      <c r="R74" s="37" t="inlineStr">
        <is>
          <t>SUSTAINED</t>
        </is>
      </c>
      <c r="S74" s="37">
        <f>IF(B74="YES","Verified contemporaneous proof",IF(L74="NO","No justification PDF supplied",IF(M74="NO","PDF is cover-only",IF(P74="NO","PDF content does not match logged slip/reason",IF(O74="NO","Offer event does not reconcile","Assembled after skip date")))))</f>
        <v/>
      </c>
    </row>
    <row r="75">
      <c r="A75" s="37">
        <f>IF(M75="NO","Priority 1",IF(N75="LATE","Priority 2",IF(B75="YES","OK","Priority 1")))</f>
        <v/>
      </c>
      <c r="B75" s="37">
        <f>IF(AND(L75="YES",M75="YES",N75="ON/BEFORE",O75="YES",P75="YES"),"YES","NO")</f>
        <v/>
      </c>
      <c r="C75" s="37" t="inlineStr">
        <is>
          <t>SKP-2023-0165</t>
        </is>
      </c>
      <c r="D75" s="37" t="inlineStr">
        <is>
          <t>OFR-2023-0550</t>
        </is>
      </c>
      <c r="E75" s="38" t="n">
        <v>45174</v>
      </c>
      <c r="F75" s="37" t="inlineStr">
        <is>
          <t>WL-01746</t>
        </is>
      </c>
      <c r="G75" s="37">
        <f>IFERROR(INDEX(Applicants!$C$2:$C$2911,MATCH(F75,Applicants!$A$2:$A$2911,0))&amp;" "&amp;INDEX(Applicants!$B$2:$B$2911,MATCH(F75,Applicants!$A$2:$A$2911,0)),"")</f>
        <v/>
      </c>
      <c r="H75" s="37" t="inlineStr">
        <is>
          <t>SB-0209</t>
        </is>
      </c>
      <c r="I75" s="37" t="inlineStr">
        <is>
          <t>Salmonberry</t>
        </is>
      </c>
      <c r="J75" s="37" t="inlineStr">
        <is>
          <t>not-current</t>
        </is>
      </c>
      <c r="K75" s="38" t="n">
        <v>45178</v>
      </c>
      <c r="L75" s="37">
        <f>IF(COUNTIFS('Skip Docs'!$A$2:$A$7,F75,'Skip Docs'!$C$2:$C$7,E75)&gt;0,"YES","NO")</f>
        <v/>
      </c>
      <c r="M75" s="37">
        <f>IF(L75="NO","NO",INDEX('Skip Docs'!$G$2:$G$7,MATCH(1,INDEX(('Skip Docs'!$A$2:$A$7=F75)*('Skip Docs'!$C$2:$C$7=E75),0),0)))</f>
        <v/>
      </c>
      <c r="N75" s="37">
        <f>IF(K75&lt;=E75,"ON/BEFORE","LATE")</f>
        <v/>
      </c>
      <c r="O75" s="37">
        <f>IF(COUNTIFS(Offers!$A$2:$A$1487,D75,Offers!$C$2:$C$1487,F75,Offers!$B$2:$B$1487,E75,Offers!$E$2:$E$1487,H75,Offers!$I$2:$I$1487,"SKIPPED")=1,"YES","NO")</f>
        <v/>
      </c>
      <c r="P75" s="37">
        <f>IF(L75="NO","N/A",IF(COUNTIFS('Skip Docs'!$A$2:$A$7,F75,'Skip Docs'!$C$2:$C$7,E75,'Skip Docs'!$D$2:$D$7,H75,'Skip Docs'!$E$2:$E$7,J75)=1,"YES","NO"))</f>
        <v/>
      </c>
      <c r="Q75" s="37" t="inlineStr">
        <is>
          <t>Y</t>
        </is>
      </c>
      <c r="R75" s="37" t="inlineStr">
        <is>
          <t>SUSTAINED</t>
        </is>
      </c>
      <c r="S75" s="37">
        <f>IF(B75="YES","Verified contemporaneous proof",IF(L75="NO","No justification PDF supplied",IF(M75="NO","PDF is cover-only",IF(P75="NO","PDF content does not match logged slip/reason",IF(O75="NO","Offer event does not reconcile","Assembled after skip date")))))</f>
        <v/>
      </c>
    </row>
    <row r="76">
      <c r="A76" s="37">
        <f>IF(M76="NO","Priority 1",IF(N76="LATE","Priority 2",IF(B76="YES","OK","Priority 1")))</f>
        <v/>
      </c>
      <c r="B76" s="37">
        <f>IF(AND(L76="YES",M76="YES",N76="ON/BEFORE",O76="YES",P76="YES"),"YES","NO")</f>
        <v/>
      </c>
      <c r="C76" s="37" t="inlineStr">
        <is>
          <t>SKP-2023-0166</t>
        </is>
      </c>
      <c r="D76" s="37" t="inlineStr">
        <is>
          <t>OFR-2023-0551</t>
        </is>
      </c>
      <c r="E76" s="38" t="n">
        <v>45185</v>
      </c>
      <c r="F76" s="37" t="inlineStr">
        <is>
          <t>WL-03844</t>
        </is>
      </c>
      <c r="G76" s="37">
        <f>IFERROR(INDEX(Applicants!$C$2:$C$2911,MATCH(F76,Applicants!$A$2:$A$2911,0))&amp;" "&amp;INDEX(Applicants!$B$2:$B$2911,MATCH(F76,Applicants!$A$2:$A$2911,0)),"")</f>
        <v/>
      </c>
      <c r="H76" s="37" t="inlineStr">
        <is>
          <t>EW-0109</t>
        </is>
      </c>
      <c r="I76" s="37" t="inlineStr">
        <is>
          <t>Eastwey</t>
        </is>
      </c>
      <c r="J76" s="37" t="inlineStr">
        <is>
          <t>vessel-fit</t>
        </is>
      </c>
      <c r="K76" s="38" t="n">
        <v>45190</v>
      </c>
      <c r="L76" s="37">
        <f>IF(COUNTIFS('Skip Docs'!$A$2:$A$7,F76,'Skip Docs'!$C$2:$C$7,E76)&gt;0,"YES","NO")</f>
        <v/>
      </c>
      <c r="M76" s="37">
        <f>IF(L76="NO","NO",INDEX('Skip Docs'!$G$2:$G$7,MATCH(1,INDEX(('Skip Docs'!$A$2:$A$7=F76)*('Skip Docs'!$C$2:$C$7=E76),0),0)))</f>
        <v/>
      </c>
      <c r="N76" s="37">
        <f>IF(K76&lt;=E76,"ON/BEFORE","LATE")</f>
        <v/>
      </c>
      <c r="O76" s="37">
        <f>IF(COUNTIFS(Offers!$A$2:$A$1487,D76,Offers!$C$2:$C$1487,F76,Offers!$B$2:$B$1487,E76,Offers!$E$2:$E$1487,H76,Offers!$I$2:$I$1487,"SKIPPED")=1,"YES","NO")</f>
        <v/>
      </c>
      <c r="P76" s="37">
        <f>IF(L76="NO","N/A",IF(COUNTIFS('Skip Docs'!$A$2:$A$7,F76,'Skip Docs'!$C$2:$C$7,E76,'Skip Docs'!$D$2:$D$7,H76,'Skip Docs'!$E$2:$E$7,J76)=1,"YES","NO"))</f>
        <v/>
      </c>
      <c r="Q76" s="37" t="inlineStr">
        <is>
          <t>N</t>
        </is>
      </c>
      <c r="R76" s="37" t="inlineStr">
        <is>
          <t>SUSTAINED</t>
        </is>
      </c>
      <c r="S76" s="37">
        <f>IF(B76="YES","Verified contemporaneous proof",IF(L76="NO","No justification PDF supplied",IF(M76="NO","PDF is cover-only",IF(P76="NO","PDF content does not match logged slip/reason",IF(O76="NO","Offer event does not reconcile","Assembled after skip date")))))</f>
        <v/>
      </c>
    </row>
    <row r="77">
      <c r="A77" s="37">
        <f>IF(M77="NO","Priority 1",IF(N77="LATE","Priority 2",IF(B77="YES","OK","Priority 1")))</f>
        <v/>
      </c>
      <c r="B77" s="37">
        <f>IF(AND(L77="YES",M77="YES",N77="ON/BEFORE",O77="YES",P77="YES"),"YES","NO")</f>
        <v/>
      </c>
      <c r="C77" s="37" t="inlineStr">
        <is>
          <t>SKP-2023-0167</t>
        </is>
      </c>
      <c r="D77" s="37" t="inlineStr">
        <is>
          <t>OFR-2023-0555</t>
        </is>
      </c>
      <c r="E77" s="38" t="n">
        <v>45194</v>
      </c>
      <c r="F77" s="37" t="inlineStr">
        <is>
          <t>WL-01566</t>
        </is>
      </c>
      <c r="G77" s="37">
        <f>IFERROR(INDEX(Applicants!$C$2:$C$2911,MATCH(F77,Applicants!$A$2:$A$2911,0))&amp;" "&amp;INDEX(Applicants!$B$2:$B$2911,MATCH(F77,Applicants!$A$2:$A$2911,0)),"")</f>
        <v/>
      </c>
      <c r="H77" s="37" t="inlineStr">
        <is>
          <t>LP-0706</t>
        </is>
      </c>
      <c r="I77" s="37" t="inlineStr">
        <is>
          <t>Ledgport</t>
        </is>
      </c>
      <c r="J77" s="37" t="inlineStr">
        <is>
          <t>vessel-fit</t>
        </is>
      </c>
      <c r="K77" s="38" t="n">
        <v>45198</v>
      </c>
      <c r="L77" s="37">
        <f>IF(COUNTIFS('Skip Docs'!$A$2:$A$7,F77,'Skip Docs'!$C$2:$C$7,E77)&gt;0,"YES","NO")</f>
        <v/>
      </c>
      <c r="M77" s="37">
        <f>IF(L77="NO","NO",INDEX('Skip Docs'!$G$2:$G$7,MATCH(1,INDEX(('Skip Docs'!$A$2:$A$7=F77)*('Skip Docs'!$C$2:$C$7=E77),0),0)))</f>
        <v/>
      </c>
      <c r="N77" s="37">
        <f>IF(K77&lt;=E77,"ON/BEFORE","LATE")</f>
        <v/>
      </c>
      <c r="O77" s="37">
        <f>IF(COUNTIFS(Offers!$A$2:$A$1487,D77,Offers!$C$2:$C$1487,F77,Offers!$B$2:$B$1487,E77,Offers!$E$2:$E$1487,H77,Offers!$I$2:$I$1487,"SKIPPED")=1,"YES","NO")</f>
        <v/>
      </c>
      <c r="P77" s="37">
        <f>IF(L77="NO","N/A",IF(COUNTIFS('Skip Docs'!$A$2:$A$7,F77,'Skip Docs'!$C$2:$C$7,E77,'Skip Docs'!$D$2:$D$7,H77,'Skip Docs'!$E$2:$E$7,J77)=1,"YES","NO"))</f>
        <v/>
      </c>
      <c r="Q77" s="37" t="inlineStr">
        <is>
          <t>Y</t>
        </is>
      </c>
      <c r="R77" s="37" t="inlineStr">
        <is>
          <t>SUSTAINED</t>
        </is>
      </c>
      <c r="S77" s="37">
        <f>IF(B77="YES","Verified contemporaneous proof",IF(L77="NO","No justification PDF supplied",IF(M77="NO","PDF is cover-only",IF(P77="NO","PDF content does not match logged slip/reason",IF(O77="NO","Offer event does not reconcile","Assembled after skip date")))))</f>
        <v/>
      </c>
    </row>
    <row r="78">
      <c r="A78" s="37">
        <f>IF(M78="NO","Priority 1",IF(N78="LATE","Priority 2",IF(B78="YES","OK","Priority 1")))</f>
        <v/>
      </c>
      <c r="B78" s="37">
        <f>IF(AND(L78="YES",M78="YES",N78="ON/BEFORE",O78="YES",P78="YES"),"YES","NO")</f>
        <v/>
      </c>
      <c r="C78" s="37" t="inlineStr">
        <is>
          <t>SKP-2023-0168</t>
        </is>
      </c>
      <c r="D78" s="37" t="inlineStr">
        <is>
          <t>OFR-2023-0559</t>
        </is>
      </c>
      <c r="E78" s="38" t="n">
        <v>45182</v>
      </c>
      <c r="F78" s="37" t="inlineStr">
        <is>
          <t>WL-02912</t>
        </is>
      </c>
      <c r="G78" s="37">
        <f>IFERROR(INDEX(Applicants!$C$2:$C$2911,MATCH(F78,Applicants!$A$2:$A$2911,0))&amp;" "&amp;INDEX(Applicants!$B$2:$B$2911,MATCH(F78,Applicants!$A$2:$A$2911,0)),"")</f>
        <v/>
      </c>
      <c r="H78" s="37" t="inlineStr">
        <is>
          <t>SB-0916</t>
        </is>
      </c>
      <c r="I78" s="37" t="inlineStr">
        <is>
          <t>Salmonberry</t>
        </is>
      </c>
      <c r="J78" s="37" t="inlineStr">
        <is>
          <t>vessel-fit</t>
        </is>
      </c>
      <c r="K78" s="38" t="n">
        <v>45184</v>
      </c>
      <c r="L78" s="37">
        <f>IF(COUNTIFS('Skip Docs'!$A$2:$A$7,F78,'Skip Docs'!$C$2:$C$7,E78)&gt;0,"YES","NO")</f>
        <v/>
      </c>
      <c r="M78" s="37">
        <f>IF(L78="NO","NO",INDEX('Skip Docs'!$G$2:$G$7,MATCH(1,INDEX(('Skip Docs'!$A$2:$A$7=F78)*('Skip Docs'!$C$2:$C$7=E78),0),0)))</f>
        <v/>
      </c>
      <c r="N78" s="37">
        <f>IF(K78&lt;=E78,"ON/BEFORE","LATE")</f>
        <v/>
      </c>
      <c r="O78" s="37">
        <f>IF(COUNTIFS(Offers!$A$2:$A$1487,D78,Offers!$C$2:$C$1487,F78,Offers!$B$2:$B$1487,E78,Offers!$E$2:$E$1487,H78,Offers!$I$2:$I$1487,"SKIPPED")=1,"YES","NO")</f>
        <v/>
      </c>
      <c r="P78" s="37">
        <f>IF(L78="NO","N/A",IF(COUNTIFS('Skip Docs'!$A$2:$A$7,F78,'Skip Docs'!$C$2:$C$7,E78,'Skip Docs'!$D$2:$D$7,H78,'Skip Docs'!$E$2:$E$7,J78)=1,"YES","NO"))</f>
        <v/>
      </c>
      <c r="Q78" s="37" t="inlineStr">
        <is>
          <t>Y</t>
        </is>
      </c>
      <c r="R78" s="37" t="inlineStr">
        <is>
          <t>SUSTAINED</t>
        </is>
      </c>
      <c r="S78" s="37">
        <f>IF(B78="YES","Verified contemporaneous proof",IF(L78="NO","No justification PDF supplied",IF(M78="NO","PDF is cover-only",IF(P78="NO","PDF content does not match logged slip/reason",IF(O78="NO","Offer event does not reconcile","Assembled after skip date")))))</f>
        <v/>
      </c>
    </row>
    <row r="79">
      <c r="A79" s="37">
        <f>IF(M79="NO","Priority 1",IF(N79="LATE","Priority 2",IF(B79="YES","OK","Priority 1")))</f>
        <v/>
      </c>
      <c r="B79" s="37">
        <f>IF(AND(L79="YES",M79="YES",N79="ON/BEFORE",O79="YES",P79="YES"),"YES","NO")</f>
        <v/>
      </c>
      <c r="C79" s="37" t="inlineStr">
        <is>
          <t>SKP-2023-0169</t>
        </is>
      </c>
      <c r="D79" s="37" t="inlineStr">
        <is>
          <t>OFR-2023-0567</t>
        </is>
      </c>
      <c r="E79" s="38" t="n">
        <v>45190</v>
      </c>
      <c r="F79" s="37" t="inlineStr">
        <is>
          <t>WL-01168</t>
        </is>
      </c>
      <c r="G79" s="37">
        <f>IFERROR(INDEX(Applicants!$C$2:$C$2911,MATCH(F79,Applicants!$A$2:$A$2911,0))&amp;" "&amp;INDEX(Applicants!$B$2:$B$2911,MATCH(F79,Applicants!$A$2:$A$2911,0)),"")</f>
        <v/>
      </c>
      <c r="H79" s="37" t="inlineStr">
        <is>
          <t>LP-0604</t>
        </is>
      </c>
      <c r="I79" s="37" t="inlineStr">
        <is>
          <t>Ledgport</t>
        </is>
      </c>
      <c r="J79" s="37" t="inlineStr">
        <is>
          <t>declined-prior-offer</t>
        </is>
      </c>
      <c r="K79" s="38" t="n">
        <v>45191</v>
      </c>
      <c r="L79" s="37">
        <f>IF(COUNTIFS('Skip Docs'!$A$2:$A$7,F79,'Skip Docs'!$C$2:$C$7,E79)&gt;0,"YES","NO")</f>
        <v/>
      </c>
      <c r="M79" s="37">
        <f>IF(L79="NO","NO",INDEX('Skip Docs'!$G$2:$G$7,MATCH(1,INDEX(('Skip Docs'!$A$2:$A$7=F79)*('Skip Docs'!$C$2:$C$7=E79),0),0)))</f>
        <v/>
      </c>
      <c r="N79" s="37">
        <f>IF(K79&lt;=E79,"ON/BEFORE","LATE")</f>
        <v/>
      </c>
      <c r="O79" s="37">
        <f>IF(COUNTIFS(Offers!$A$2:$A$1487,D79,Offers!$C$2:$C$1487,F79,Offers!$B$2:$B$1487,E79,Offers!$E$2:$E$1487,H79,Offers!$I$2:$I$1487,"SKIPPED")=1,"YES","NO")</f>
        <v/>
      </c>
      <c r="P79" s="37">
        <f>IF(L79="NO","N/A",IF(COUNTIFS('Skip Docs'!$A$2:$A$7,F79,'Skip Docs'!$C$2:$C$7,E79,'Skip Docs'!$D$2:$D$7,H79,'Skip Docs'!$E$2:$E$7,J79)=1,"YES","NO"))</f>
        <v/>
      </c>
      <c r="Q79" s="37" t="inlineStr">
        <is>
          <t>Y</t>
        </is>
      </c>
      <c r="R79" s="37" t="inlineStr">
        <is>
          <t>SUSTAINED</t>
        </is>
      </c>
      <c r="S79" s="37">
        <f>IF(B79="YES","Verified contemporaneous proof",IF(L79="NO","No justification PDF supplied",IF(M79="NO","PDF is cover-only",IF(P79="NO","PDF content does not match logged slip/reason",IF(O79="NO","Offer event does not reconcile","Assembled after skip date")))))</f>
        <v/>
      </c>
    </row>
    <row r="80">
      <c r="A80" s="37">
        <f>IF(M80="NO","Priority 1",IF(N80="LATE","Priority 2",IF(B80="YES","OK","Priority 1")))</f>
        <v/>
      </c>
      <c r="B80" s="37">
        <f>IF(AND(L80="YES",M80="YES",N80="ON/BEFORE",O80="YES",P80="YES"),"YES","NO")</f>
        <v/>
      </c>
      <c r="C80" s="37" t="inlineStr">
        <is>
          <t>SKP-2023-0170</t>
        </is>
      </c>
      <c r="D80" s="37" t="inlineStr">
        <is>
          <t>OFR-2023-0571</t>
        </is>
      </c>
      <c r="E80" s="38" t="n">
        <v>45173</v>
      </c>
      <c r="F80" s="37" t="inlineStr">
        <is>
          <t>WL-03700</t>
        </is>
      </c>
      <c r="G80" s="37">
        <f>IFERROR(INDEX(Applicants!$C$2:$C$2911,MATCH(F80,Applicants!$A$2:$A$2911,0))&amp;" "&amp;INDEX(Applicants!$B$2:$B$2911,MATCH(F80,Applicants!$A$2:$A$2911,0)),"")</f>
        <v/>
      </c>
      <c r="H80" s="37" t="inlineStr">
        <is>
          <t>LP-0412</t>
        </is>
      </c>
      <c r="I80" s="37" t="inlineStr">
        <is>
          <t>Ledgport</t>
        </is>
      </c>
      <c r="J80" s="37" t="inlineStr">
        <is>
          <t>not-current</t>
        </is>
      </c>
      <c r="K80" s="38" t="n">
        <v>45175</v>
      </c>
      <c r="L80" s="37">
        <f>IF(COUNTIFS('Skip Docs'!$A$2:$A$7,F80,'Skip Docs'!$C$2:$C$7,E80)&gt;0,"YES","NO")</f>
        <v/>
      </c>
      <c r="M80" s="37">
        <f>IF(L80="NO","NO",INDEX('Skip Docs'!$G$2:$G$7,MATCH(1,INDEX(('Skip Docs'!$A$2:$A$7=F80)*('Skip Docs'!$C$2:$C$7=E80),0),0)))</f>
        <v/>
      </c>
      <c r="N80" s="37">
        <f>IF(K80&lt;=E80,"ON/BEFORE","LATE")</f>
        <v/>
      </c>
      <c r="O80" s="37">
        <f>IF(COUNTIFS(Offers!$A$2:$A$1487,D80,Offers!$C$2:$C$1487,F80,Offers!$B$2:$B$1487,E80,Offers!$E$2:$E$1487,H80,Offers!$I$2:$I$1487,"SKIPPED")=1,"YES","NO")</f>
        <v/>
      </c>
      <c r="P80" s="37">
        <f>IF(L80="NO","N/A",IF(COUNTIFS('Skip Docs'!$A$2:$A$7,F80,'Skip Docs'!$C$2:$C$7,E80,'Skip Docs'!$D$2:$D$7,H80,'Skip Docs'!$E$2:$E$7,J80)=1,"YES","NO"))</f>
        <v/>
      </c>
      <c r="Q80" s="37" t="inlineStr">
        <is>
          <t>Y</t>
        </is>
      </c>
      <c r="R80" s="37" t="inlineStr">
        <is>
          <t>SUSTAINED</t>
        </is>
      </c>
      <c r="S80" s="37">
        <f>IF(B80="YES","Verified contemporaneous proof",IF(L80="NO","No justification PDF supplied",IF(M80="NO","PDF is cover-only",IF(P80="NO","PDF content does not match logged slip/reason",IF(O80="NO","Offer event does not reconcile","Assembled after skip date")))))</f>
        <v/>
      </c>
    </row>
    <row r="81">
      <c r="A81" s="37">
        <f>IF(M81="NO","Priority 1",IF(N81="LATE","Priority 2",IF(B81="YES","OK","Priority 1")))</f>
        <v/>
      </c>
      <c r="B81" s="37">
        <f>IF(AND(L81="YES",M81="YES",N81="ON/BEFORE",O81="YES",P81="YES"),"YES","NO")</f>
        <v/>
      </c>
      <c r="C81" s="37" t="inlineStr">
        <is>
          <t>SKP-2023-0171</t>
        </is>
      </c>
      <c r="D81" s="37" t="inlineStr">
        <is>
          <t>OFR-2023-0573</t>
        </is>
      </c>
      <c r="E81" s="38" t="n">
        <v>45185</v>
      </c>
      <c r="F81" s="37" t="inlineStr">
        <is>
          <t>WL-02000</t>
        </is>
      </c>
      <c r="G81" s="37">
        <f>IFERROR(INDEX(Applicants!$C$2:$C$2911,MATCH(F81,Applicants!$A$2:$A$2911,0))&amp;" "&amp;INDEX(Applicants!$B$2:$B$2911,MATCH(F81,Applicants!$A$2:$A$2911,0)),"")</f>
        <v/>
      </c>
      <c r="H81" s="37" t="inlineStr">
        <is>
          <t>VB-0820</t>
        </is>
      </c>
      <c r="I81" s="37" t="inlineStr">
        <is>
          <t>Vessbank</t>
        </is>
      </c>
      <c r="J81" s="37" t="inlineStr">
        <is>
          <t>preference-mismatch</t>
        </is>
      </c>
      <c r="K81" s="38" t="n">
        <v>45185</v>
      </c>
      <c r="L81" s="37">
        <f>IF(COUNTIFS('Skip Docs'!$A$2:$A$7,F81,'Skip Docs'!$C$2:$C$7,E81)&gt;0,"YES","NO")</f>
        <v/>
      </c>
      <c r="M81" s="37">
        <f>IF(L81="NO","NO",INDEX('Skip Docs'!$G$2:$G$7,MATCH(1,INDEX(('Skip Docs'!$A$2:$A$7=F81)*('Skip Docs'!$C$2:$C$7=E81),0),0)))</f>
        <v/>
      </c>
      <c r="N81" s="37">
        <f>IF(K81&lt;=E81,"ON/BEFORE","LATE")</f>
        <v/>
      </c>
      <c r="O81" s="37">
        <f>IF(COUNTIFS(Offers!$A$2:$A$1487,D81,Offers!$C$2:$C$1487,F81,Offers!$B$2:$B$1487,E81,Offers!$E$2:$E$1487,H81,Offers!$I$2:$I$1487,"SKIPPED")=1,"YES","NO")</f>
        <v/>
      </c>
      <c r="P81" s="37">
        <f>IF(L81="NO","N/A",IF(COUNTIFS('Skip Docs'!$A$2:$A$7,F81,'Skip Docs'!$C$2:$C$7,E81,'Skip Docs'!$D$2:$D$7,H81,'Skip Docs'!$E$2:$E$7,J81)=1,"YES","NO"))</f>
        <v/>
      </c>
      <c r="Q81" s="37" t="inlineStr">
        <is>
          <t>Y</t>
        </is>
      </c>
      <c r="R81" s="37" t="inlineStr">
        <is>
          <t>SUSTAINED</t>
        </is>
      </c>
      <c r="S81" s="37">
        <f>IF(B81="YES","Verified contemporaneous proof",IF(L81="NO","No justification PDF supplied",IF(M81="NO","PDF is cover-only",IF(P81="NO","PDF content does not match logged slip/reason",IF(O81="NO","Offer event does not reconcile","Assembled after skip date")))))</f>
        <v/>
      </c>
    </row>
    <row r="82">
      <c r="A82" s="37">
        <f>IF(M82="NO","Priority 1",IF(N82="LATE","Priority 2",IF(B82="YES","OK","Priority 1")))</f>
        <v/>
      </c>
      <c r="B82" s="37">
        <f>IF(AND(L82="YES",M82="YES",N82="ON/BEFORE",O82="YES",P82="YES"),"YES","NO")</f>
        <v/>
      </c>
      <c r="C82" s="37" t="inlineStr">
        <is>
          <t>SKP-2023-0172</t>
        </is>
      </c>
      <c r="D82" s="37" t="inlineStr">
        <is>
          <t>OFR-2023-0574</t>
        </is>
      </c>
      <c r="E82" s="38" t="n">
        <v>45186</v>
      </c>
      <c r="F82" s="37" t="inlineStr">
        <is>
          <t>WL-01080</t>
        </is>
      </c>
      <c r="G82" s="37">
        <f>IFERROR(INDEX(Applicants!$C$2:$C$2911,MATCH(F82,Applicants!$A$2:$A$2911,0))&amp;" "&amp;INDEX(Applicants!$B$2:$B$2911,MATCH(F82,Applicants!$A$2:$A$2911,0)),"")</f>
        <v/>
      </c>
      <c r="H82" s="37" t="inlineStr">
        <is>
          <t>EW-0511</t>
        </is>
      </c>
      <c r="I82" s="37" t="inlineStr">
        <is>
          <t>Eastwey</t>
        </is>
      </c>
      <c r="J82" s="37" t="inlineStr">
        <is>
          <t>declined-prior-offer</t>
        </is>
      </c>
      <c r="K82" s="38" t="n">
        <v>45191</v>
      </c>
      <c r="L82" s="37">
        <f>IF(COUNTIFS('Skip Docs'!$A$2:$A$7,F82,'Skip Docs'!$C$2:$C$7,E82)&gt;0,"YES","NO")</f>
        <v/>
      </c>
      <c r="M82" s="37">
        <f>IF(L82="NO","NO",INDEX('Skip Docs'!$G$2:$G$7,MATCH(1,INDEX(('Skip Docs'!$A$2:$A$7=F82)*('Skip Docs'!$C$2:$C$7=E82),0),0)))</f>
        <v/>
      </c>
      <c r="N82" s="37">
        <f>IF(K82&lt;=E82,"ON/BEFORE","LATE")</f>
        <v/>
      </c>
      <c r="O82" s="37">
        <f>IF(COUNTIFS(Offers!$A$2:$A$1487,D82,Offers!$C$2:$C$1487,F82,Offers!$B$2:$B$1487,E82,Offers!$E$2:$E$1487,H82,Offers!$I$2:$I$1487,"SKIPPED")=1,"YES","NO")</f>
        <v/>
      </c>
      <c r="P82" s="37">
        <f>IF(L82="NO","N/A",IF(COUNTIFS('Skip Docs'!$A$2:$A$7,F82,'Skip Docs'!$C$2:$C$7,E82,'Skip Docs'!$D$2:$D$7,H82,'Skip Docs'!$E$2:$E$7,J82)=1,"YES","NO"))</f>
        <v/>
      </c>
      <c r="Q82" s="37" t="inlineStr">
        <is>
          <t>Y</t>
        </is>
      </c>
      <c r="R82" s="37" t="inlineStr">
        <is>
          <t>SUSTAINED</t>
        </is>
      </c>
      <c r="S82" s="37">
        <f>IF(B82="YES","Verified contemporaneous proof",IF(L82="NO","No justification PDF supplied",IF(M82="NO","PDF is cover-only",IF(P82="NO","PDF content does not match logged slip/reason",IF(O82="NO","Offer event does not reconcile","Assembled after skip date")))))</f>
        <v/>
      </c>
    </row>
    <row r="83">
      <c r="A83" s="37">
        <f>IF(M83="NO","Priority 1",IF(N83="LATE","Priority 2",IF(B83="YES","OK","Priority 1")))</f>
        <v/>
      </c>
      <c r="B83" s="37">
        <f>IF(AND(L83="YES",M83="YES",N83="ON/BEFORE",O83="YES",P83="YES"),"YES","NO")</f>
        <v/>
      </c>
      <c r="C83" s="37" t="inlineStr">
        <is>
          <t>SKP-2023-0173</t>
        </is>
      </c>
      <c r="D83" s="37" t="inlineStr">
        <is>
          <t>OFR-2023-0577</t>
        </is>
      </c>
      <c r="E83" s="38" t="n">
        <v>45172</v>
      </c>
      <c r="F83" s="37" t="inlineStr">
        <is>
          <t>WL-03715</t>
        </is>
      </c>
      <c r="G83" s="37">
        <f>IFERROR(INDEX(Applicants!$C$2:$C$2911,MATCH(F83,Applicants!$A$2:$A$2911,0))&amp;" "&amp;INDEX(Applicants!$B$2:$B$2911,MATCH(F83,Applicants!$A$2:$A$2911,0)),"")</f>
        <v/>
      </c>
      <c r="H83" s="37" t="inlineStr">
        <is>
          <t>VB-0705</t>
        </is>
      </c>
      <c r="I83" s="37" t="inlineStr">
        <is>
          <t>Vessbank</t>
        </is>
      </c>
      <c r="J83" s="37" t="inlineStr">
        <is>
          <t>vessel-fit</t>
        </is>
      </c>
      <c r="K83" s="38" t="n">
        <v>45174</v>
      </c>
      <c r="L83" s="37">
        <f>IF(COUNTIFS('Skip Docs'!$A$2:$A$7,F83,'Skip Docs'!$C$2:$C$7,E83)&gt;0,"YES","NO")</f>
        <v/>
      </c>
      <c r="M83" s="37">
        <f>IF(L83="NO","NO",INDEX('Skip Docs'!$G$2:$G$7,MATCH(1,INDEX(('Skip Docs'!$A$2:$A$7=F83)*('Skip Docs'!$C$2:$C$7=E83),0),0)))</f>
        <v/>
      </c>
      <c r="N83" s="37">
        <f>IF(K83&lt;=E83,"ON/BEFORE","LATE")</f>
        <v/>
      </c>
      <c r="O83" s="37">
        <f>IF(COUNTIFS(Offers!$A$2:$A$1487,D83,Offers!$C$2:$C$1487,F83,Offers!$B$2:$B$1487,E83,Offers!$E$2:$E$1487,H83,Offers!$I$2:$I$1487,"SKIPPED")=1,"YES","NO")</f>
        <v/>
      </c>
      <c r="P83" s="37">
        <f>IF(L83="NO","N/A",IF(COUNTIFS('Skip Docs'!$A$2:$A$7,F83,'Skip Docs'!$C$2:$C$7,E83,'Skip Docs'!$D$2:$D$7,H83,'Skip Docs'!$E$2:$E$7,J83)=1,"YES","NO"))</f>
        <v/>
      </c>
      <c r="Q83" s="37" t="inlineStr">
        <is>
          <t>Y</t>
        </is>
      </c>
      <c r="R83" s="37" t="inlineStr">
        <is>
          <t>SUSTAINED</t>
        </is>
      </c>
      <c r="S83" s="37">
        <f>IF(B83="YES","Verified contemporaneous proof",IF(L83="NO","No justification PDF supplied",IF(M83="NO","PDF is cover-only",IF(P83="NO","PDF content does not match logged slip/reason",IF(O83="NO","Offer event does not reconcile","Assembled after skip date")))))</f>
        <v/>
      </c>
    </row>
    <row r="84">
      <c r="A84" s="37">
        <f>IF(M84="NO","Priority 1",IF(N84="LATE","Priority 2",IF(B84="YES","OK","Priority 1")))</f>
        <v/>
      </c>
      <c r="B84" s="37">
        <f>IF(AND(L84="YES",M84="YES",N84="ON/BEFORE",O84="YES",P84="YES"),"YES","NO")</f>
        <v/>
      </c>
      <c r="C84" s="37" t="inlineStr">
        <is>
          <t>SKP-2023-0174</t>
        </is>
      </c>
      <c r="D84" s="37" t="inlineStr">
        <is>
          <t>OFR-2023-0578</t>
        </is>
      </c>
      <c r="E84" s="38" t="n">
        <v>45180</v>
      </c>
      <c r="F84" s="37" t="inlineStr">
        <is>
          <t>WL-02285</t>
        </is>
      </c>
      <c r="G84" s="37">
        <f>IFERROR(INDEX(Applicants!$C$2:$C$2911,MATCH(F84,Applicants!$A$2:$A$2911,0))&amp;" "&amp;INDEX(Applicants!$B$2:$B$2911,MATCH(F84,Applicants!$A$2:$A$2911,0)),"")</f>
        <v/>
      </c>
      <c r="H84" s="37" t="inlineStr">
        <is>
          <t>EW-0107</t>
        </is>
      </c>
      <c r="I84" s="37" t="inlineStr">
        <is>
          <t>Eastwey</t>
        </is>
      </c>
      <c r="J84" s="37" t="inlineStr">
        <is>
          <t>declined-prior-offer</t>
        </is>
      </c>
      <c r="K84" s="38" t="n">
        <v>45181</v>
      </c>
      <c r="L84" s="37">
        <f>IF(COUNTIFS('Skip Docs'!$A$2:$A$7,F84,'Skip Docs'!$C$2:$C$7,E84)&gt;0,"YES","NO")</f>
        <v/>
      </c>
      <c r="M84" s="37">
        <f>IF(L84="NO","NO",INDEX('Skip Docs'!$G$2:$G$7,MATCH(1,INDEX(('Skip Docs'!$A$2:$A$7=F84)*('Skip Docs'!$C$2:$C$7=E84),0),0)))</f>
        <v/>
      </c>
      <c r="N84" s="37">
        <f>IF(K84&lt;=E84,"ON/BEFORE","LATE")</f>
        <v/>
      </c>
      <c r="O84" s="37">
        <f>IF(COUNTIFS(Offers!$A$2:$A$1487,D84,Offers!$C$2:$C$1487,F84,Offers!$B$2:$B$1487,E84,Offers!$E$2:$E$1487,H84,Offers!$I$2:$I$1487,"SKIPPED")=1,"YES","NO")</f>
        <v/>
      </c>
      <c r="P84" s="37">
        <f>IF(L84="NO","N/A",IF(COUNTIFS('Skip Docs'!$A$2:$A$7,F84,'Skip Docs'!$C$2:$C$7,E84,'Skip Docs'!$D$2:$D$7,H84,'Skip Docs'!$E$2:$E$7,J84)=1,"YES","NO"))</f>
        <v/>
      </c>
      <c r="Q84" s="37" t="inlineStr">
        <is>
          <t>N</t>
        </is>
      </c>
      <c r="R84" s="37" t="inlineStr">
        <is>
          <t>SUSTAINED</t>
        </is>
      </c>
      <c r="S84" s="37">
        <f>IF(B84="YES","Verified contemporaneous proof",IF(L84="NO","No justification PDF supplied",IF(M84="NO","PDF is cover-only",IF(P84="NO","PDF content does not match logged slip/reason",IF(O84="NO","Offer event does not reconcile","Assembled after skip date")))))</f>
        <v/>
      </c>
    </row>
    <row r="85">
      <c r="A85" s="37">
        <f>IF(M85="NO","Priority 1",IF(N85="LATE","Priority 2",IF(B85="YES","OK","Priority 1")))</f>
        <v/>
      </c>
      <c r="B85" s="37">
        <f>IF(AND(L85="YES",M85="YES",N85="ON/BEFORE",O85="YES",P85="YES"),"YES","NO")</f>
        <v/>
      </c>
      <c r="C85" s="37" t="inlineStr">
        <is>
          <t>SKP-2023-0175</t>
        </is>
      </c>
      <c r="D85" s="37" t="inlineStr">
        <is>
          <t>OFR-2023-0586</t>
        </is>
      </c>
      <c r="E85" s="38" t="n">
        <v>45205</v>
      </c>
      <c r="F85" s="37" t="inlineStr">
        <is>
          <t>WL-01003</t>
        </is>
      </c>
      <c r="G85" s="37">
        <f>IFERROR(INDEX(Applicants!$C$2:$C$2911,MATCH(F85,Applicants!$A$2:$A$2911,0))&amp;" "&amp;INDEX(Applicants!$B$2:$B$2911,MATCH(F85,Applicants!$A$2:$A$2911,0)),"")</f>
        <v/>
      </c>
      <c r="H85" s="37" t="inlineStr">
        <is>
          <t>SB-0401</t>
        </is>
      </c>
      <c r="I85" s="37" t="inlineStr">
        <is>
          <t>Salmonberry</t>
        </is>
      </c>
      <c r="J85" s="37" t="inlineStr">
        <is>
          <t>not-current</t>
        </is>
      </c>
      <c r="K85" s="38" t="n">
        <v>45207</v>
      </c>
      <c r="L85" s="37">
        <f>IF(COUNTIFS('Skip Docs'!$A$2:$A$7,F85,'Skip Docs'!$C$2:$C$7,E85)&gt;0,"YES","NO")</f>
        <v/>
      </c>
      <c r="M85" s="37">
        <f>IF(L85="NO","NO",INDEX('Skip Docs'!$G$2:$G$7,MATCH(1,INDEX(('Skip Docs'!$A$2:$A$7=F85)*('Skip Docs'!$C$2:$C$7=E85),0),0)))</f>
        <v/>
      </c>
      <c r="N85" s="37">
        <f>IF(K85&lt;=E85,"ON/BEFORE","LATE")</f>
        <v/>
      </c>
      <c r="O85" s="37">
        <f>IF(COUNTIFS(Offers!$A$2:$A$1487,D85,Offers!$C$2:$C$1487,F85,Offers!$B$2:$B$1487,E85,Offers!$E$2:$E$1487,H85,Offers!$I$2:$I$1487,"SKIPPED")=1,"YES","NO")</f>
        <v/>
      </c>
      <c r="P85" s="37">
        <f>IF(L85="NO","N/A",IF(COUNTIFS('Skip Docs'!$A$2:$A$7,F85,'Skip Docs'!$C$2:$C$7,E85,'Skip Docs'!$D$2:$D$7,H85,'Skip Docs'!$E$2:$E$7,J85)=1,"YES","NO"))</f>
        <v/>
      </c>
      <c r="Q85" s="37" t="inlineStr">
        <is>
          <t>Y</t>
        </is>
      </c>
      <c r="R85" s="37" t="inlineStr">
        <is>
          <t>SUSTAINED</t>
        </is>
      </c>
      <c r="S85" s="37">
        <f>IF(B85="YES","Verified contemporaneous proof",IF(L85="NO","No justification PDF supplied",IF(M85="NO","PDF is cover-only",IF(P85="NO","PDF content does not match logged slip/reason",IF(O85="NO","Offer event does not reconcile","Assembled after skip date")))))</f>
        <v/>
      </c>
    </row>
    <row r="86">
      <c r="A86" s="37">
        <f>IF(M86="NO","Priority 1",IF(N86="LATE","Priority 2",IF(B86="YES","OK","Priority 1")))</f>
        <v/>
      </c>
      <c r="B86" s="37">
        <f>IF(AND(L86="YES",M86="YES",N86="ON/BEFORE",O86="YES",P86="YES"),"YES","NO")</f>
        <v/>
      </c>
      <c r="C86" s="37" t="inlineStr">
        <is>
          <t>SKP-2023-0176</t>
        </is>
      </c>
      <c r="D86" s="37" t="inlineStr">
        <is>
          <t>OFR-2023-0604</t>
        </is>
      </c>
      <c r="E86" s="38" t="n">
        <v>45204</v>
      </c>
      <c r="F86" s="37" t="inlineStr">
        <is>
          <t>WL-01594</t>
        </is>
      </c>
      <c r="G86" s="37">
        <f>IFERROR(INDEX(Applicants!$C$2:$C$2911,MATCH(F86,Applicants!$A$2:$A$2911,0))&amp;" "&amp;INDEX(Applicants!$B$2:$B$2911,MATCH(F86,Applicants!$A$2:$A$2911,0)),"")</f>
        <v/>
      </c>
      <c r="H86" s="37" t="inlineStr">
        <is>
          <t>GW-0705</t>
        </is>
      </c>
      <c r="I86" s="37" t="inlineStr">
        <is>
          <t>Gullwing</t>
        </is>
      </c>
      <c r="J86" s="37" t="inlineStr">
        <is>
          <t>vessel-fit</t>
        </is>
      </c>
      <c r="K86" s="38" t="n">
        <v>45205</v>
      </c>
      <c r="L86" s="37">
        <f>IF(COUNTIFS('Skip Docs'!$A$2:$A$7,F86,'Skip Docs'!$C$2:$C$7,E86)&gt;0,"YES","NO")</f>
        <v/>
      </c>
      <c r="M86" s="37">
        <f>IF(L86="NO","NO",INDEX('Skip Docs'!$G$2:$G$7,MATCH(1,INDEX(('Skip Docs'!$A$2:$A$7=F86)*('Skip Docs'!$C$2:$C$7=E86),0),0)))</f>
        <v/>
      </c>
      <c r="N86" s="37">
        <f>IF(K86&lt;=E86,"ON/BEFORE","LATE")</f>
        <v/>
      </c>
      <c r="O86" s="37">
        <f>IF(COUNTIFS(Offers!$A$2:$A$1487,D86,Offers!$C$2:$C$1487,F86,Offers!$B$2:$B$1487,E86,Offers!$E$2:$E$1487,H86,Offers!$I$2:$I$1487,"SKIPPED")=1,"YES","NO")</f>
        <v/>
      </c>
      <c r="P86" s="37">
        <f>IF(L86="NO","N/A",IF(COUNTIFS('Skip Docs'!$A$2:$A$7,F86,'Skip Docs'!$C$2:$C$7,E86,'Skip Docs'!$D$2:$D$7,H86,'Skip Docs'!$E$2:$E$7,J86)=1,"YES","NO"))</f>
        <v/>
      </c>
      <c r="Q86" s="37" t="inlineStr">
        <is>
          <t>Y</t>
        </is>
      </c>
      <c r="R86" s="37" t="inlineStr">
        <is>
          <t>SUSTAINED</t>
        </is>
      </c>
      <c r="S86" s="37">
        <f>IF(B86="YES","Verified contemporaneous proof",IF(L86="NO","No justification PDF supplied",IF(M86="NO","PDF is cover-only",IF(P86="NO","PDF content does not match logged slip/reason",IF(O86="NO","Offer event does not reconcile","Assembled after skip date")))))</f>
        <v/>
      </c>
    </row>
    <row r="87">
      <c r="A87" s="37">
        <f>IF(M87="NO","Priority 1",IF(N87="LATE","Priority 2",IF(B87="YES","OK","Priority 1")))</f>
        <v/>
      </c>
      <c r="B87" s="37">
        <f>IF(AND(L87="YES",M87="YES",N87="ON/BEFORE",O87="YES",P87="YES"),"YES","NO")</f>
        <v/>
      </c>
      <c r="C87" s="37" t="inlineStr">
        <is>
          <t>SKP-2023-0177</t>
        </is>
      </c>
      <c r="D87" s="37" t="inlineStr">
        <is>
          <t>OFR-2023-0609</t>
        </is>
      </c>
      <c r="E87" s="38" t="n">
        <v>45220</v>
      </c>
      <c r="F87" s="37" t="inlineStr">
        <is>
          <t>WL-01918</t>
        </is>
      </c>
      <c r="G87" s="37">
        <f>IFERROR(INDEX(Applicants!$C$2:$C$2911,MATCH(F87,Applicants!$A$2:$A$2911,0))&amp;" "&amp;INDEX(Applicants!$B$2:$B$2911,MATCH(F87,Applicants!$A$2:$A$2911,0)),"")</f>
        <v/>
      </c>
      <c r="H87" s="37" t="inlineStr">
        <is>
          <t>VB-0118</t>
        </is>
      </c>
      <c r="I87" s="37" t="inlineStr">
        <is>
          <t>Vessbank</t>
        </is>
      </c>
      <c r="J87" s="37" t="inlineStr">
        <is>
          <t>preference-mismatch</t>
        </is>
      </c>
      <c r="K87" s="38" t="n">
        <v>45222</v>
      </c>
      <c r="L87" s="37">
        <f>IF(COUNTIFS('Skip Docs'!$A$2:$A$7,F87,'Skip Docs'!$C$2:$C$7,E87)&gt;0,"YES","NO")</f>
        <v/>
      </c>
      <c r="M87" s="37">
        <f>IF(L87="NO","NO",INDEX('Skip Docs'!$G$2:$G$7,MATCH(1,INDEX(('Skip Docs'!$A$2:$A$7=F87)*('Skip Docs'!$C$2:$C$7=E87),0),0)))</f>
        <v/>
      </c>
      <c r="N87" s="37">
        <f>IF(K87&lt;=E87,"ON/BEFORE","LATE")</f>
        <v/>
      </c>
      <c r="O87" s="37">
        <f>IF(COUNTIFS(Offers!$A$2:$A$1487,D87,Offers!$C$2:$C$1487,F87,Offers!$B$2:$B$1487,E87,Offers!$E$2:$E$1487,H87,Offers!$I$2:$I$1487,"SKIPPED")=1,"YES","NO")</f>
        <v/>
      </c>
      <c r="P87" s="37">
        <f>IF(L87="NO","N/A",IF(COUNTIFS('Skip Docs'!$A$2:$A$7,F87,'Skip Docs'!$C$2:$C$7,E87,'Skip Docs'!$D$2:$D$7,H87,'Skip Docs'!$E$2:$E$7,J87)=1,"YES","NO"))</f>
        <v/>
      </c>
      <c r="Q87" s="37" t="inlineStr">
        <is>
          <t>Y</t>
        </is>
      </c>
      <c r="R87" s="37" t="inlineStr">
        <is>
          <t>SUSTAINED</t>
        </is>
      </c>
      <c r="S87" s="37">
        <f>IF(B87="YES","Verified contemporaneous proof",IF(L87="NO","No justification PDF supplied",IF(M87="NO","PDF is cover-only",IF(P87="NO","PDF content does not match logged slip/reason",IF(O87="NO","Offer event does not reconcile","Assembled after skip date")))))</f>
        <v/>
      </c>
    </row>
    <row r="88">
      <c r="A88" s="37">
        <f>IF(M88="NO","Priority 1",IF(N88="LATE","Priority 2",IF(B88="YES","OK","Priority 1")))</f>
        <v/>
      </c>
      <c r="B88" s="37">
        <f>IF(AND(L88="YES",M88="YES",N88="ON/BEFORE",O88="YES",P88="YES"),"YES","NO")</f>
        <v/>
      </c>
      <c r="C88" s="37" t="inlineStr">
        <is>
          <t>SKP-2023-0178</t>
        </is>
      </c>
      <c r="D88" s="37" t="inlineStr">
        <is>
          <t>OFR-2023-0613</t>
        </is>
      </c>
      <c r="E88" s="38" t="n">
        <v>45223</v>
      </c>
      <c r="F88" s="37" t="inlineStr">
        <is>
          <t>WL-03849</t>
        </is>
      </c>
      <c r="G88" s="37">
        <f>IFERROR(INDEX(Applicants!$C$2:$C$2911,MATCH(F88,Applicants!$A$2:$A$2911,0))&amp;" "&amp;INDEX(Applicants!$B$2:$B$2911,MATCH(F88,Applicants!$A$2:$A$2911,0)),"")</f>
        <v/>
      </c>
      <c r="H88" s="37" t="inlineStr">
        <is>
          <t>SB-0406</t>
        </is>
      </c>
      <c r="I88" s="37" t="inlineStr">
        <is>
          <t>Salmonberry</t>
        </is>
      </c>
      <c r="J88" s="37" t="inlineStr">
        <is>
          <t>not-current</t>
        </is>
      </c>
      <c r="K88" s="38" t="n">
        <v>45226</v>
      </c>
      <c r="L88" s="37">
        <f>IF(COUNTIFS('Skip Docs'!$A$2:$A$7,F88,'Skip Docs'!$C$2:$C$7,E88)&gt;0,"YES","NO")</f>
        <v/>
      </c>
      <c r="M88" s="37">
        <f>IF(L88="NO","NO",INDEX('Skip Docs'!$G$2:$G$7,MATCH(1,INDEX(('Skip Docs'!$A$2:$A$7=F88)*('Skip Docs'!$C$2:$C$7=E88),0),0)))</f>
        <v/>
      </c>
      <c r="N88" s="37">
        <f>IF(K88&lt;=E88,"ON/BEFORE","LATE")</f>
        <v/>
      </c>
      <c r="O88" s="37">
        <f>IF(COUNTIFS(Offers!$A$2:$A$1487,D88,Offers!$C$2:$C$1487,F88,Offers!$B$2:$B$1487,E88,Offers!$E$2:$E$1487,H88,Offers!$I$2:$I$1487,"SKIPPED")=1,"YES","NO")</f>
        <v/>
      </c>
      <c r="P88" s="37">
        <f>IF(L88="NO","N/A",IF(COUNTIFS('Skip Docs'!$A$2:$A$7,F88,'Skip Docs'!$C$2:$C$7,E88,'Skip Docs'!$D$2:$D$7,H88,'Skip Docs'!$E$2:$E$7,J88)=1,"YES","NO"))</f>
        <v/>
      </c>
      <c r="Q88" s="37" t="inlineStr">
        <is>
          <t>Y</t>
        </is>
      </c>
      <c r="R88" s="37" t="inlineStr">
        <is>
          <t>SUSTAINED</t>
        </is>
      </c>
      <c r="S88" s="37">
        <f>IF(B88="YES","Verified contemporaneous proof",IF(L88="NO","No justification PDF supplied",IF(M88="NO","PDF is cover-only",IF(P88="NO","PDF content does not match logged slip/reason",IF(O88="NO","Offer event does not reconcile","Assembled after skip date")))))</f>
        <v/>
      </c>
    </row>
    <row r="89">
      <c r="A89" s="37">
        <f>IF(M89="NO","Priority 1",IF(N89="LATE","Priority 2",IF(B89="YES","OK","Priority 1")))</f>
        <v/>
      </c>
      <c r="B89" s="37">
        <f>IF(AND(L89="YES",M89="YES",N89="ON/BEFORE",O89="YES",P89="YES"),"YES","NO")</f>
        <v/>
      </c>
      <c r="C89" s="37" t="inlineStr">
        <is>
          <t>SKP-2023-0179</t>
        </is>
      </c>
      <c r="D89" s="37" t="inlineStr">
        <is>
          <t>OFR-2023-0617</t>
        </is>
      </c>
      <c r="E89" s="38" t="n">
        <v>45208</v>
      </c>
      <c r="F89" s="37" t="inlineStr">
        <is>
          <t>WL-01704</t>
        </is>
      </c>
      <c r="G89" s="37">
        <f>IFERROR(INDEX(Applicants!$C$2:$C$2911,MATCH(F89,Applicants!$A$2:$A$2911,0))&amp;" "&amp;INDEX(Applicants!$B$2:$B$2911,MATCH(F89,Applicants!$A$2:$A$2911,0)),"")</f>
        <v/>
      </c>
      <c r="H89" s="37" t="inlineStr">
        <is>
          <t>EW-0804</t>
        </is>
      </c>
      <c r="I89" s="37" t="inlineStr">
        <is>
          <t>Eastwey</t>
        </is>
      </c>
      <c r="J89" s="37" t="inlineStr">
        <is>
          <t>preference-mismatch</t>
        </is>
      </c>
      <c r="K89" s="38" t="n">
        <v>45211</v>
      </c>
      <c r="L89" s="37">
        <f>IF(COUNTIFS('Skip Docs'!$A$2:$A$7,F89,'Skip Docs'!$C$2:$C$7,E89)&gt;0,"YES","NO")</f>
        <v/>
      </c>
      <c r="M89" s="37">
        <f>IF(L89="NO","NO",INDEX('Skip Docs'!$G$2:$G$7,MATCH(1,INDEX(('Skip Docs'!$A$2:$A$7=F89)*('Skip Docs'!$C$2:$C$7=E89),0),0)))</f>
        <v/>
      </c>
      <c r="N89" s="37">
        <f>IF(K89&lt;=E89,"ON/BEFORE","LATE")</f>
        <v/>
      </c>
      <c r="O89" s="37">
        <f>IF(COUNTIFS(Offers!$A$2:$A$1487,D89,Offers!$C$2:$C$1487,F89,Offers!$B$2:$B$1487,E89,Offers!$E$2:$E$1487,H89,Offers!$I$2:$I$1487,"SKIPPED")=1,"YES","NO")</f>
        <v/>
      </c>
      <c r="P89" s="37">
        <f>IF(L89="NO","N/A",IF(COUNTIFS('Skip Docs'!$A$2:$A$7,F89,'Skip Docs'!$C$2:$C$7,E89,'Skip Docs'!$D$2:$D$7,H89,'Skip Docs'!$E$2:$E$7,J89)=1,"YES","NO"))</f>
        <v/>
      </c>
      <c r="Q89" s="37" t="inlineStr">
        <is>
          <t>Y</t>
        </is>
      </c>
      <c r="R89" s="37" t="inlineStr">
        <is>
          <t>SUSTAINED</t>
        </is>
      </c>
      <c r="S89" s="37">
        <f>IF(B89="YES","Verified contemporaneous proof",IF(L89="NO","No justification PDF supplied",IF(M89="NO","PDF is cover-only",IF(P89="NO","PDF content does not match logged slip/reason",IF(O89="NO","Offer event does not reconcile","Assembled after skip date")))))</f>
        <v/>
      </c>
    </row>
    <row r="90">
      <c r="A90" s="37">
        <f>IF(M90="NO","Priority 1",IF(N90="LATE","Priority 2",IF(B90="YES","OK","Priority 1")))</f>
        <v/>
      </c>
      <c r="B90" s="37">
        <f>IF(AND(L90="YES",M90="YES",N90="ON/BEFORE",O90="YES",P90="YES"),"YES","NO")</f>
        <v/>
      </c>
      <c r="C90" s="37" t="inlineStr">
        <is>
          <t>SKP-2023-0180</t>
        </is>
      </c>
      <c r="D90" s="37" t="inlineStr">
        <is>
          <t>OFR-2023-0623</t>
        </is>
      </c>
      <c r="E90" s="38" t="n">
        <v>45252</v>
      </c>
      <c r="F90" s="37" t="inlineStr">
        <is>
          <t>WL-03696</t>
        </is>
      </c>
      <c r="G90" s="37">
        <f>IFERROR(INDEX(Applicants!$C$2:$C$2911,MATCH(F90,Applicants!$A$2:$A$2911,0))&amp;" "&amp;INDEX(Applicants!$B$2:$B$2911,MATCH(F90,Applicants!$A$2:$A$2911,0)),"")</f>
        <v/>
      </c>
      <c r="H90" s="37" t="inlineStr">
        <is>
          <t>LP-0114</t>
        </is>
      </c>
      <c r="I90" s="37" t="inlineStr">
        <is>
          <t>Ledgport</t>
        </is>
      </c>
      <c r="J90" s="37" t="inlineStr">
        <is>
          <t>vessel-fit</t>
        </is>
      </c>
      <c r="K90" s="38" t="n">
        <v>45256</v>
      </c>
      <c r="L90" s="37">
        <f>IF(COUNTIFS('Skip Docs'!$A$2:$A$7,F90,'Skip Docs'!$C$2:$C$7,E90)&gt;0,"YES","NO")</f>
        <v/>
      </c>
      <c r="M90" s="37">
        <f>IF(L90="NO","NO",INDEX('Skip Docs'!$G$2:$G$7,MATCH(1,INDEX(('Skip Docs'!$A$2:$A$7=F90)*('Skip Docs'!$C$2:$C$7=E90),0),0)))</f>
        <v/>
      </c>
      <c r="N90" s="37">
        <f>IF(K90&lt;=E90,"ON/BEFORE","LATE")</f>
        <v/>
      </c>
      <c r="O90" s="37">
        <f>IF(COUNTIFS(Offers!$A$2:$A$1487,D90,Offers!$C$2:$C$1487,F90,Offers!$B$2:$B$1487,E90,Offers!$E$2:$E$1487,H90,Offers!$I$2:$I$1487,"SKIPPED")=1,"YES","NO")</f>
        <v/>
      </c>
      <c r="P90" s="37">
        <f>IF(L90="NO","N/A",IF(COUNTIFS('Skip Docs'!$A$2:$A$7,F90,'Skip Docs'!$C$2:$C$7,E90,'Skip Docs'!$D$2:$D$7,H90,'Skip Docs'!$E$2:$E$7,J90)=1,"YES","NO"))</f>
        <v/>
      </c>
      <c r="Q90" s="37" t="inlineStr">
        <is>
          <t>Y</t>
        </is>
      </c>
      <c r="R90" s="37" t="inlineStr">
        <is>
          <t>SUSTAINED</t>
        </is>
      </c>
      <c r="S90" s="37">
        <f>IF(B90="YES","Verified contemporaneous proof",IF(L90="NO","No justification PDF supplied",IF(M90="NO","PDF is cover-only",IF(P90="NO","PDF content does not match logged slip/reason",IF(O90="NO","Offer event does not reconcile","Assembled after skip date")))))</f>
        <v/>
      </c>
    </row>
    <row r="91">
      <c r="A91" s="37">
        <f>IF(M91="NO","Priority 1",IF(N91="LATE","Priority 2",IF(B91="YES","OK","Priority 1")))</f>
        <v/>
      </c>
      <c r="B91" s="37">
        <f>IF(AND(L91="YES",M91="YES",N91="ON/BEFORE",O91="YES",P91="YES"),"YES","NO")</f>
        <v/>
      </c>
      <c r="C91" s="37" t="inlineStr">
        <is>
          <t>SKP-2023-0181</t>
        </is>
      </c>
      <c r="D91" s="37" t="inlineStr">
        <is>
          <t>OFR-2023-0634</t>
        </is>
      </c>
      <c r="E91" s="38" t="n">
        <v>45277</v>
      </c>
      <c r="F91" s="37" t="inlineStr">
        <is>
          <t>WL-01016</t>
        </is>
      </c>
      <c r="G91" s="37">
        <f>IFERROR(INDEX(Applicants!$C$2:$C$2911,MATCH(F91,Applicants!$A$2:$A$2911,0))&amp;" "&amp;INDEX(Applicants!$B$2:$B$2911,MATCH(F91,Applicants!$A$2:$A$2911,0)),"")</f>
        <v/>
      </c>
      <c r="H91" s="37" t="inlineStr">
        <is>
          <t>LP-0416</t>
        </is>
      </c>
      <c r="I91" s="37" t="inlineStr">
        <is>
          <t>Ledgport</t>
        </is>
      </c>
      <c r="J91" s="37" t="inlineStr">
        <is>
          <t>vessel-fit</t>
        </is>
      </c>
      <c r="K91" s="38" t="n">
        <v>45280</v>
      </c>
      <c r="L91" s="37">
        <f>IF(COUNTIFS('Skip Docs'!$A$2:$A$7,F91,'Skip Docs'!$C$2:$C$7,E91)&gt;0,"YES","NO")</f>
        <v/>
      </c>
      <c r="M91" s="37">
        <f>IF(L91="NO","NO",INDEX('Skip Docs'!$G$2:$G$7,MATCH(1,INDEX(('Skip Docs'!$A$2:$A$7=F91)*('Skip Docs'!$C$2:$C$7=E91),0),0)))</f>
        <v/>
      </c>
      <c r="N91" s="37">
        <f>IF(K91&lt;=E91,"ON/BEFORE","LATE")</f>
        <v/>
      </c>
      <c r="O91" s="37">
        <f>IF(COUNTIFS(Offers!$A$2:$A$1487,D91,Offers!$C$2:$C$1487,F91,Offers!$B$2:$B$1487,E91,Offers!$E$2:$E$1487,H91,Offers!$I$2:$I$1487,"SKIPPED")=1,"YES","NO")</f>
        <v/>
      </c>
      <c r="P91" s="37">
        <f>IF(L91="NO","N/A",IF(COUNTIFS('Skip Docs'!$A$2:$A$7,F91,'Skip Docs'!$C$2:$C$7,E91,'Skip Docs'!$D$2:$D$7,H91,'Skip Docs'!$E$2:$E$7,J91)=1,"YES","NO"))</f>
        <v/>
      </c>
      <c r="Q91" s="37" t="inlineStr">
        <is>
          <t>Y</t>
        </is>
      </c>
      <c r="R91" s="37" t="inlineStr">
        <is>
          <t>SUSTAINED</t>
        </is>
      </c>
      <c r="S91" s="37">
        <f>IF(B91="YES","Verified contemporaneous proof",IF(L91="NO","No justification PDF supplied",IF(M91="NO","PDF is cover-only",IF(P91="NO","PDF content does not match logged slip/reason",IF(O91="NO","Offer event does not reconcile","Assembled after skip date")))))</f>
        <v/>
      </c>
    </row>
    <row r="92">
      <c r="A92" s="37">
        <f>IF(M92="NO","Priority 1",IF(N92="LATE","Priority 2",IF(B92="YES","OK","Priority 1")))</f>
        <v/>
      </c>
      <c r="B92" s="37">
        <f>IF(AND(L92="YES",M92="YES",N92="ON/BEFORE",O92="YES",P92="YES"),"YES","NO")</f>
        <v/>
      </c>
      <c r="C92" s="37" t="inlineStr">
        <is>
          <t>SKP-2023-0182</t>
        </is>
      </c>
      <c r="D92" s="37" t="inlineStr">
        <is>
          <t>OFR-2023-0636</t>
        </is>
      </c>
      <c r="E92" s="38" t="n">
        <v>45281</v>
      </c>
      <c r="F92" s="37" t="inlineStr">
        <is>
          <t>WL-01186</t>
        </is>
      </c>
      <c r="G92" s="37">
        <f>IFERROR(INDEX(Applicants!$C$2:$C$2911,MATCH(F92,Applicants!$A$2:$A$2911,0))&amp;" "&amp;INDEX(Applicants!$B$2:$B$2911,MATCH(F92,Applicants!$A$2:$A$2911,0)),"")</f>
        <v/>
      </c>
      <c r="H92" s="37" t="inlineStr">
        <is>
          <t>SB-0610</t>
        </is>
      </c>
      <c r="I92" s="37" t="inlineStr">
        <is>
          <t>Salmonberry</t>
        </is>
      </c>
      <c r="J92" s="37" t="inlineStr">
        <is>
          <t>not-current</t>
        </is>
      </c>
      <c r="K92" s="38" t="n">
        <v>45281</v>
      </c>
      <c r="L92" s="37">
        <f>IF(COUNTIFS('Skip Docs'!$A$2:$A$7,F92,'Skip Docs'!$C$2:$C$7,E92)&gt;0,"YES","NO")</f>
        <v/>
      </c>
      <c r="M92" s="37">
        <f>IF(L92="NO","NO",INDEX('Skip Docs'!$G$2:$G$7,MATCH(1,INDEX(('Skip Docs'!$A$2:$A$7=F92)*('Skip Docs'!$C$2:$C$7=E92),0),0)))</f>
        <v/>
      </c>
      <c r="N92" s="37">
        <f>IF(K92&lt;=E92,"ON/BEFORE","LATE")</f>
        <v/>
      </c>
      <c r="O92" s="37">
        <f>IF(COUNTIFS(Offers!$A$2:$A$1487,D92,Offers!$C$2:$C$1487,F92,Offers!$B$2:$B$1487,E92,Offers!$E$2:$E$1487,H92,Offers!$I$2:$I$1487,"SKIPPED")=1,"YES","NO")</f>
        <v/>
      </c>
      <c r="P92" s="37">
        <f>IF(L92="NO","N/A",IF(COUNTIFS('Skip Docs'!$A$2:$A$7,F92,'Skip Docs'!$C$2:$C$7,E92,'Skip Docs'!$D$2:$D$7,H92,'Skip Docs'!$E$2:$E$7,J92)=1,"YES","NO"))</f>
        <v/>
      </c>
      <c r="Q92" s="37" t="inlineStr">
        <is>
          <t>Y</t>
        </is>
      </c>
      <c r="R92" s="37" t="inlineStr">
        <is>
          <t>SUSTAINED</t>
        </is>
      </c>
      <c r="S92" s="37">
        <f>IF(B92="YES","Verified contemporaneous proof",IF(L92="NO","No justification PDF supplied",IF(M92="NO","PDF is cover-only",IF(P92="NO","PDF content does not match logged slip/reason",IF(O92="NO","Offer event does not reconcile","Assembled after skip date")))))</f>
        <v/>
      </c>
    </row>
    <row r="93">
      <c r="A93" s="37">
        <f>IF(M93="NO","Priority 1",IF(N93="LATE","Priority 2",IF(B93="YES","OK","Priority 1")))</f>
        <v/>
      </c>
      <c r="B93" s="37">
        <f>IF(AND(L93="YES",M93="YES",N93="ON/BEFORE",O93="YES",P93="YES"),"YES","NO")</f>
        <v/>
      </c>
      <c r="C93" s="37" t="inlineStr">
        <is>
          <t>SKP-2023-0183</t>
        </is>
      </c>
      <c r="D93" s="37" t="inlineStr">
        <is>
          <t>OFR-2023-0638</t>
        </is>
      </c>
      <c r="E93" s="38" t="n">
        <v>45286</v>
      </c>
      <c r="F93" s="37" t="inlineStr">
        <is>
          <t>WL-01524</t>
        </is>
      </c>
      <c r="G93" s="37">
        <f>IFERROR(INDEX(Applicants!$C$2:$C$2911,MATCH(F93,Applicants!$A$2:$A$2911,0))&amp;" "&amp;INDEX(Applicants!$B$2:$B$2911,MATCH(F93,Applicants!$A$2:$A$2911,0)),"")</f>
        <v/>
      </c>
      <c r="H93" s="37" t="inlineStr">
        <is>
          <t>VB-0804</t>
        </is>
      </c>
      <c r="I93" s="37" t="inlineStr">
        <is>
          <t>Vessbank</t>
        </is>
      </c>
      <c r="J93" s="37" t="inlineStr">
        <is>
          <t>not-current</t>
        </is>
      </c>
      <c r="K93" s="38" t="n">
        <v>45291</v>
      </c>
      <c r="L93" s="37">
        <f>IF(COUNTIFS('Skip Docs'!$A$2:$A$7,F93,'Skip Docs'!$C$2:$C$7,E93)&gt;0,"YES","NO")</f>
        <v/>
      </c>
      <c r="M93" s="37">
        <f>IF(L93="NO","NO",INDEX('Skip Docs'!$G$2:$G$7,MATCH(1,INDEX(('Skip Docs'!$A$2:$A$7=F93)*('Skip Docs'!$C$2:$C$7=E93),0),0)))</f>
        <v/>
      </c>
      <c r="N93" s="37">
        <f>IF(K93&lt;=E93,"ON/BEFORE","LATE")</f>
        <v/>
      </c>
      <c r="O93" s="37">
        <f>IF(COUNTIFS(Offers!$A$2:$A$1487,D93,Offers!$C$2:$C$1487,F93,Offers!$B$2:$B$1487,E93,Offers!$E$2:$E$1487,H93,Offers!$I$2:$I$1487,"SKIPPED")=1,"YES","NO")</f>
        <v/>
      </c>
      <c r="P93" s="37">
        <f>IF(L93="NO","N/A",IF(COUNTIFS('Skip Docs'!$A$2:$A$7,F93,'Skip Docs'!$C$2:$C$7,E93,'Skip Docs'!$D$2:$D$7,H93,'Skip Docs'!$E$2:$E$7,J93)=1,"YES","NO"))</f>
        <v/>
      </c>
      <c r="Q93" s="37" t="inlineStr">
        <is>
          <t>Y</t>
        </is>
      </c>
      <c r="R93" s="37" t="inlineStr">
        <is>
          <t>SUSTAINED</t>
        </is>
      </c>
      <c r="S93" s="37">
        <f>IF(B93="YES","Verified contemporaneous proof",IF(L93="NO","No justification PDF supplied",IF(M93="NO","PDF is cover-only",IF(P93="NO","PDF content does not match logged slip/reason",IF(O93="NO","Offer event does not reconcile","Assembled after skip date")))))</f>
        <v/>
      </c>
    </row>
    <row r="94">
      <c r="A94" s="37">
        <f>IF(M94="NO","Priority 1",IF(N94="LATE","Priority 2",IF(B94="YES","OK","Priority 1")))</f>
        <v/>
      </c>
      <c r="B94" s="37">
        <f>IF(AND(L94="YES",M94="YES",N94="ON/BEFORE",O94="YES",P94="YES"),"YES","NO")</f>
        <v/>
      </c>
      <c r="C94" s="37" t="inlineStr">
        <is>
          <t>SKP-2023-0184</t>
        </is>
      </c>
      <c r="D94" s="37" t="inlineStr">
        <is>
          <t>OFR-2023-0643</t>
        </is>
      </c>
      <c r="E94" s="38" t="n">
        <v>45286</v>
      </c>
      <c r="F94" s="37" t="inlineStr">
        <is>
          <t>WL-03111</t>
        </is>
      </c>
      <c r="G94" s="37">
        <f>IFERROR(INDEX(Applicants!$C$2:$C$2911,MATCH(F94,Applicants!$A$2:$A$2911,0))&amp;" "&amp;INDEX(Applicants!$B$2:$B$2911,MATCH(F94,Applicants!$A$2:$A$2911,0)),"")</f>
        <v/>
      </c>
      <c r="H94" s="37" t="inlineStr">
        <is>
          <t>VB-0311</t>
        </is>
      </c>
      <c r="I94" s="37" t="inlineStr">
        <is>
          <t>Vessbank</t>
        </is>
      </c>
      <c r="J94" s="37" t="inlineStr">
        <is>
          <t>not-current</t>
        </is>
      </c>
      <c r="K94" s="38" t="n">
        <v>45289</v>
      </c>
      <c r="L94" s="37">
        <f>IF(COUNTIFS('Skip Docs'!$A$2:$A$7,F94,'Skip Docs'!$C$2:$C$7,E94)&gt;0,"YES","NO")</f>
        <v/>
      </c>
      <c r="M94" s="37">
        <f>IF(L94="NO","NO",INDEX('Skip Docs'!$G$2:$G$7,MATCH(1,INDEX(('Skip Docs'!$A$2:$A$7=F94)*('Skip Docs'!$C$2:$C$7=E94),0),0)))</f>
        <v/>
      </c>
      <c r="N94" s="37">
        <f>IF(K94&lt;=E94,"ON/BEFORE","LATE")</f>
        <v/>
      </c>
      <c r="O94" s="37">
        <f>IF(COUNTIFS(Offers!$A$2:$A$1487,D94,Offers!$C$2:$C$1487,F94,Offers!$B$2:$B$1487,E94,Offers!$E$2:$E$1487,H94,Offers!$I$2:$I$1487,"SKIPPED")=1,"YES","NO")</f>
        <v/>
      </c>
      <c r="P94" s="37">
        <f>IF(L94="NO","N/A",IF(COUNTIFS('Skip Docs'!$A$2:$A$7,F94,'Skip Docs'!$C$2:$C$7,E94,'Skip Docs'!$D$2:$D$7,H94,'Skip Docs'!$E$2:$E$7,J94)=1,"YES","NO"))</f>
        <v/>
      </c>
      <c r="Q94" s="37" t="inlineStr">
        <is>
          <t>Y</t>
        </is>
      </c>
      <c r="R94" s="37" t="inlineStr">
        <is>
          <t>SUSTAINED</t>
        </is>
      </c>
      <c r="S94" s="37">
        <f>IF(B94="YES","Verified contemporaneous proof",IF(L94="NO","No justification PDF supplied",IF(M94="NO","PDF is cover-only",IF(P94="NO","PDF content does not match logged slip/reason",IF(O94="NO","Offer event does not reconcile","Assembled after skip date")))))</f>
        <v/>
      </c>
    </row>
    <row r="95">
      <c r="A95" s="37">
        <f>IF(M95="NO","Priority 1",IF(N95="LATE","Priority 2",IF(B95="YES","OK","Priority 1")))</f>
        <v/>
      </c>
      <c r="B95" s="37">
        <f>IF(AND(L95="YES",M95="YES",N95="ON/BEFORE",O95="YES",P95="YES"),"YES","NO")</f>
        <v/>
      </c>
      <c r="C95" s="37" t="inlineStr">
        <is>
          <t>SKP-2023-0185</t>
        </is>
      </c>
      <c r="D95" s="37" t="inlineStr">
        <is>
          <t>OFR-2023-0645</t>
        </is>
      </c>
      <c r="E95" s="38" t="n">
        <v>45284</v>
      </c>
      <c r="F95" s="37" t="inlineStr">
        <is>
          <t>WL-02726</t>
        </is>
      </c>
      <c r="G95" s="37">
        <f>IFERROR(INDEX(Applicants!$C$2:$C$2911,MATCH(F95,Applicants!$A$2:$A$2911,0))&amp;" "&amp;INDEX(Applicants!$B$2:$B$2911,MATCH(F95,Applicants!$A$2:$A$2911,0)),"")</f>
        <v/>
      </c>
      <c r="H95" s="37" t="inlineStr">
        <is>
          <t>EW-0916</t>
        </is>
      </c>
      <c r="I95" s="37" t="inlineStr">
        <is>
          <t>Eastwey</t>
        </is>
      </c>
      <c r="J95" s="37" t="inlineStr">
        <is>
          <t>vessel-fit</t>
        </is>
      </c>
      <c r="K95" s="38" t="n">
        <v>45289</v>
      </c>
      <c r="L95" s="37">
        <f>IF(COUNTIFS('Skip Docs'!$A$2:$A$7,F95,'Skip Docs'!$C$2:$C$7,E95)&gt;0,"YES","NO")</f>
        <v/>
      </c>
      <c r="M95" s="37">
        <f>IF(L95="NO","NO",INDEX('Skip Docs'!$G$2:$G$7,MATCH(1,INDEX(('Skip Docs'!$A$2:$A$7=F95)*('Skip Docs'!$C$2:$C$7=E95),0),0)))</f>
        <v/>
      </c>
      <c r="N95" s="37">
        <f>IF(K95&lt;=E95,"ON/BEFORE","LATE")</f>
        <v/>
      </c>
      <c r="O95" s="37">
        <f>IF(COUNTIFS(Offers!$A$2:$A$1487,D95,Offers!$C$2:$C$1487,F95,Offers!$B$2:$B$1487,E95,Offers!$E$2:$E$1487,H95,Offers!$I$2:$I$1487,"SKIPPED")=1,"YES","NO")</f>
        <v/>
      </c>
      <c r="P95" s="37">
        <f>IF(L95="NO","N/A",IF(COUNTIFS('Skip Docs'!$A$2:$A$7,F95,'Skip Docs'!$C$2:$C$7,E95,'Skip Docs'!$D$2:$D$7,H95,'Skip Docs'!$E$2:$E$7,J95)=1,"YES","NO"))</f>
        <v/>
      </c>
      <c r="Q95" s="37" t="inlineStr">
        <is>
          <t>Y</t>
        </is>
      </c>
      <c r="R95" s="37" t="inlineStr">
        <is>
          <t>SUSTAINED</t>
        </is>
      </c>
      <c r="S95" s="37">
        <f>IF(B95="YES","Verified contemporaneous proof",IF(L95="NO","No justification PDF supplied",IF(M95="NO","PDF is cover-only",IF(P95="NO","PDF content does not match logged slip/reason",IF(O95="NO","Offer event does not reconcile","Assembled after skip date")))))</f>
        <v/>
      </c>
    </row>
    <row r="96">
      <c r="A96" s="37">
        <f>IF(M96="NO","Priority 1",IF(N96="LATE","Priority 2",IF(B96="YES","OK","Priority 1")))</f>
        <v/>
      </c>
      <c r="B96" s="37">
        <f>IF(AND(L96="YES",M96="YES",N96="ON/BEFORE",O96="YES",P96="YES"),"YES","NO")</f>
        <v/>
      </c>
      <c r="C96" s="37" t="inlineStr">
        <is>
          <t>SKP-2023-0186</t>
        </is>
      </c>
      <c r="D96" s="37" t="inlineStr">
        <is>
          <t>OFR-2023-0648</t>
        </is>
      </c>
      <c r="E96" s="38" t="n">
        <v>45263</v>
      </c>
      <c r="F96" s="37" t="inlineStr">
        <is>
          <t>WL-01924</t>
        </is>
      </c>
      <c r="G96" s="37">
        <f>IFERROR(INDEX(Applicants!$C$2:$C$2911,MATCH(F96,Applicants!$A$2:$A$2911,0))&amp;" "&amp;INDEX(Applicants!$B$2:$B$2911,MATCH(F96,Applicants!$A$2:$A$2911,0)),"")</f>
        <v/>
      </c>
      <c r="H96" s="37" t="inlineStr">
        <is>
          <t>EW-1002</t>
        </is>
      </c>
      <c r="I96" s="37" t="inlineStr">
        <is>
          <t>Eastwey</t>
        </is>
      </c>
      <c r="J96" s="37" t="inlineStr">
        <is>
          <t>declined-prior-offer</t>
        </is>
      </c>
      <c r="K96" s="38" t="n">
        <v>45268</v>
      </c>
      <c r="L96" s="37">
        <f>IF(COUNTIFS('Skip Docs'!$A$2:$A$7,F96,'Skip Docs'!$C$2:$C$7,E96)&gt;0,"YES","NO")</f>
        <v/>
      </c>
      <c r="M96" s="37">
        <f>IF(L96="NO","NO",INDEX('Skip Docs'!$G$2:$G$7,MATCH(1,INDEX(('Skip Docs'!$A$2:$A$7=F96)*('Skip Docs'!$C$2:$C$7=E96),0),0)))</f>
        <v/>
      </c>
      <c r="N96" s="37">
        <f>IF(K96&lt;=E96,"ON/BEFORE","LATE")</f>
        <v/>
      </c>
      <c r="O96" s="37">
        <f>IF(COUNTIFS(Offers!$A$2:$A$1487,D96,Offers!$C$2:$C$1487,F96,Offers!$B$2:$B$1487,E96,Offers!$E$2:$E$1487,H96,Offers!$I$2:$I$1487,"SKIPPED")=1,"YES","NO")</f>
        <v/>
      </c>
      <c r="P96" s="37">
        <f>IF(L96="NO","N/A",IF(COUNTIFS('Skip Docs'!$A$2:$A$7,F96,'Skip Docs'!$C$2:$C$7,E96,'Skip Docs'!$D$2:$D$7,H96,'Skip Docs'!$E$2:$E$7,J96)=1,"YES","NO"))</f>
        <v/>
      </c>
      <c r="Q96" s="37" t="inlineStr">
        <is>
          <t>Y</t>
        </is>
      </c>
      <c r="R96" s="37" t="inlineStr">
        <is>
          <t>SUSTAINED</t>
        </is>
      </c>
      <c r="S96" s="37">
        <f>IF(B96="YES","Verified contemporaneous proof",IF(L96="NO","No justification PDF supplied",IF(M96="NO","PDF is cover-only",IF(P96="NO","PDF content does not match logged slip/reason",IF(O96="NO","Offer event does not reconcile","Assembled after skip date")))))</f>
        <v/>
      </c>
    </row>
    <row r="97">
      <c r="A97" s="37">
        <f>IF(M97="NO","Priority 1",IF(N97="LATE","Priority 2",IF(B97="YES","OK","Priority 1")))</f>
        <v/>
      </c>
      <c r="B97" s="37">
        <f>IF(AND(L97="YES",M97="YES",N97="ON/BEFORE",O97="YES",P97="YES"),"YES","NO")</f>
        <v/>
      </c>
      <c r="C97" s="37" t="inlineStr">
        <is>
          <t>SKP-2024-0187</t>
        </is>
      </c>
      <c r="D97" s="37" t="inlineStr">
        <is>
          <t>OFR-2024-0653</t>
        </is>
      </c>
      <c r="E97" s="38" t="n">
        <v>45305</v>
      </c>
      <c r="F97" s="37" t="inlineStr">
        <is>
          <t>WL-02759</t>
        </is>
      </c>
      <c r="G97" s="37">
        <f>IFERROR(INDEX(Applicants!$C$2:$C$2911,MATCH(F97,Applicants!$A$2:$A$2911,0))&amp;" "&amp;INDEX(Applicants!$B$2:$B$2911,MATCH(F97,Applicants!$A$2:$A$2911,0)),"")</f>
        <v/>
      </c>
      <c r="H97" s="37" t="inlineStr">
        <is>
          <t>EW-0708</t>
        </is>
      </c>
      <c r="I97" s="37" t="inlineStr">
        <is>
          <t>Eastwey</t>
        </is>
      </c>
      <c r="J97" s="37" t="inlineStr">
        <is>
          <t>vessel-fit</t>
        </is>
      </c>
      <c r="K97" s="38" t="n">
        <v>45310</v>
      </c>
      <c r="L97" s="37">
        <f>IF(COUNTIFS('Skip Docs'!$A$2:$A$7,F97,'Skip Docs'!$C$2:$C$7,E97)&gt;0,"YES","NO")</f>
        <v/>
      </c>
      <c r="M97" s="37">
        <f>IF(L97="NO","NO",INDEX('Skip Docs'!$G$2:$G$7,MATCH(1,INDEX(('Skip Docs'!$A$2:$A$7=F97)*('Skip Docs'!$C$2:$C$7=E97),0),0)))</f>
        <v/>
      </c>
      <c r="N97" s="37">
        <f>IF(K97&lt;=E97,"ON/BEFORE","LATE")</f>
        <v/>
      </c>
      <c r="O97" s="37">
        <f>IF(COUNTIFS(Offers!$A$2:$A$1487,D97,Offers!$C$2:$C$1487,F97,Offers!$B$2:$B$1487,E97,Offers!$E$2:$E$1487,H97,Offers!$I$2:$I$1487,"SKIPPED")=1,"YES","NO")</f>
        <v/>
      </c>
      <c r="P97" s="37">
        <f>IF(L97="NO","N/A",IF(COUNTIFS('Skip Docs'!$A$2:$A$7,F97,'Skip Docs'!$C$2:$C$7,E97,'Skip Docs'!$D$2:$D$7,H97,'Skip Docs'!$E$2:$E$7,J97)=1,"YES","NO"))</f>
        <v/>
      </c>
      <c r="Q97" s="37" t="inlineStr">
        <is>
          <t>Y</t>
        </is>
      </c>
      <c r="R97" s="37" t="inlineStr">
        <is>
          <t>SUSTAINED</t>
        </is>
      </c>
      <c r="S97" s="37">
        <f>IF(B97="YES","Verified contemporaneous proof",IF(L97="NO","No justification PDF supplied",IF(M97="NO","PDF is cover-only",IF(P97="NO","PDF content does not match logged slip/reason",IF(O97="NO","Offer event does not reconcile","Assembled after skip date")))))</f>
        <v/>
      </c>
    </row>
    <row r="98">
      <c r="A98" s="37">
        <f>IF(M98="NO","Priority 1",IF(N98="LATE","Priority 2",IF(B98="YES","OK","Priority 1")))</f>
        <v/>
      </c>
      <c r="B98" s="37">
        <f>IF(AND(L98="YES",M98="YES",N98="ON/BEFORE",O98="YES",P98="YES"),"YES","NO")</f>
        <v/>
      </c>
      <c r="C98" s="37" t="inlineStr">
        <is>
          <t>SKP-2024-0188</t>
        </is>
      </c>
      <c r="D98" s="37" t="inlineStr">
        <is>
          <t>OFR-2024-0654</t>
        </is>
      </c>
      <c r="E98" s="38" t="n">
        <v>45295</v>
      </c>
      <c r="F98" s="37" t="inlineStr">
        <is>
          <t>WL-01632</t>
        </is>
      </c>
      <c r="G98" s="37">
        <f>IFERROR(INDEX(Applicants!$C$2:$C$2911,MATCH(F98,Applicants!$A$2:$A$2911,0))&amp;" "&amp;INDEX(Applicants!$B$2:$B$2911,MATCH(F98,Applicants!$A$2:$A$2911,0)),"")</f>
        <v/>
      </c>
      <c r="H98" s="37" t="inlineStr">
        <is>
          <t>SB-0306</t>
        </is>
      </c>
      <c r="I98" s="37" t="inlineStr">
        <is>
          <t>Salmonberry</t>
        </is>
      </c>
      <c r="J98" s="37" t="inlineStr">
        <is>
          <t>preference-mismatch</t>
        </is>
      </c>
      <c r="K98" s="38" t="n">
        <v>45296</v>
      </c>
      <c r="L98" s="37">
        <f>IF(COUNTIFS('Skip Docs'!$A$2:$A$7,F98,'Skip Docs'!$C$2:$C$7,E98)&gt;0,"YES","NO")</f>
        <v/>
      </c>
      <c r="M98" s="37">
        <f>IF(L98="NO","NO",INDEX('Skip Docs'!$G$2:$G$7,MATCH(1,INDEX(('Skip Docs'!$A$2:$A$7=F98)*('Skip Docs'!$C$2:$C$7=E98),0),0)))</f>
        <v/>
      </c>
      <c r="N98" s="37">
        <f>IF(K98&lt;=E98,"ON/BEFORE","LATE")</f>
        <v/>
      </c>
      <c r="O98" s="37">
        <f>IF(COUNTIFS(Offers!$A$2:$A$1487,D98,Offers!$C$2:$C$1487,F98,Offers!$B$2:$B$1487,E98,Offers!$E$2:$E$1487,H98,Offers!$I$2:$I$1487,"SKIPPED")=1,"YES","NO")</f>
        <v/>
      </c>
      <c r="P98" s="37">
        <f>IF(L98="NO","N/A",IF(COUNTIFS('Skip Docs'!$A$2:$A$7,F98,'Skip Docs'!$C$2:$C$7,E98,'Skip Docs'!$D$2:$D$7,H98,'Skip Docs'!$E$2:$E$7,J98)=1,"YES","NO"))</f>
        <v/>
      </c>
      <c r="Q98" s="37" t="inlineStr">
        <is>
          <t>Y</t>
        </is>
      </c>
      <c r="R98" s="37" t="inlineStr">
        <is>
          <t>SUSTAINED</t>
        </is>
      </c>
      <c r="S98" s="37">
        <f>IF(B98="YES","Verified contemporaneous proof",IF(L98="NO","No justification PDF supplied",IF(M98="NO","PDF is cover-only",IF(P98="NO","PDF content does not match logged slip/reason",IF(O98="NO","Offer event does not reconcile","Assembled after skip date")))))</f>
        <v/>
      </c>
    </row>
    <row r="99">
      <c r="A99" s="37">
        <f>IF(M99="NO","Priority 1",IF(N99="LATE","Priority 2",IF(B99="YES","OK","Priority 1")))</f>
        <v/>
      </c>
      <c r="B99" s="37">
        <f>IF(AND(L99="YES",M99="YES",N99="ON/BEFORE",O99="YES",P99="YES"),"YES","NO")</f>
        <v/>
      </c>
      <c r="C99" s="37" t="inlineStr">
        <is>
          <t>SKP-2024-0189</t>
        </is>
      </c>
      <c r="D99" s="37" t="inlineStr">
        <is>
          <t>OFR-2024-0661</t>
        </is>
      </c>
      <c r="E99" s="38" t="n">
        <v>45342</v>
      </c>
      <c r="F99" s="37" t="inlineStr">
        <is>
          <t>WL-03141</t>
        </is>
      </c>
      <c r="G99" s="37">
        <f>IFERROR(INDEX(Applicants!$C$2:$C$2911,MATCH(F99,Applicants!$A$2:$A$2911,0))&amp;" "&amp;INDEX(Applicants!$B$2:$B$2911,MATCH(F99,Applicants!$A$2:$A$2911,0)),"")</f>
        <v/>
      </c>
      <c r="H99" s="37" t="inlineStr">
        <is>
          <t>LP-0203</t>
        </is>
      </c>
      <c r="I99" s="37" t="inlineStr">
        <is>
          <t>Ledgport</t>
        </is>
      </c>
      <c r="J99" s="37" t="inlineStr">
        <is>
          <t>vessel-fit</t>
        </is>
      </c>
      <c r="K99" s="38" t="n">
        <v>45343</v>
      </c>
      <c r="L99" s="37">
        <f>IF(COUNTIFS('Skip Docs'!$A$2:$A$7,F99,'Skip Docs'!$C$2:$C$7,E99)&gt;0,"YES","NO")</f>
        <v/>
      </c>
      <c r="M99" s="37">
        <f>IF(L99="NO","NO",INDEX('Skip Docs'!$G$2:$G$7,MATCH(1,INDEX(('Skip Docs'!$A$2:$A$7=F99)*('Skip Docs'!$C$2:$C$7=E99),0),0)))</f>
        <v/>
      </c>
      <c r="N99" s="37">
        <f>IF(K99&lt;=E99,"ON/BEFORE","LATE")</f>
        <v/>
      </c>
      <c r="O99" s="37">
        <f>IF(COUNTIFS(Offers!$A$2:$A$1487,D99,Offers!$C$2:$C$1487,F99,Offers!$B$2:$B$1487,E99,Offers!$E$2:$E$1487,H99,Offers!$I$2:$I$1487,"SKIPPED")=1,"YES","NO")</f>
        <v/>
      </c>
      <c r="P99" s="37">
        <f>IF(L99="NO","N/A",IF(COUNTIFS('Skip Docs'!$A$2:$A$7,F99,'Skip Docs'!$C$2:$C$7,E99,'Skip Docs'!$D$2:$D$7,H99,'Skip Docs'!$E$2:$E$7,J99)=1,"YES","NO"))</f>
        <v/>
      </c>
      <c r="Q99" s="37" t="inlineStr">
        <is>
          <t>Y</t>
        </is>
      </c>
      <c r="R99" s="37" t="inlineStr">
        <is>
          <t>SUSTAINED</t>
        </is>
      </c>
      <c r="S99" s="37">
        <f>IF(B99="YES","Verified contemporaneous proof",IF(L99="NO","No justification PDF supplied",IF(M99="NO","PDF is cover-only",IF(P99="NO","PDF content does not match logged slip/reason",IF(O99="NO","Offer event does not reconcile","Assembled after skip date")))))</f>
        <v/>
      </c>
    </row>
    <row r="100">
      <c r="A100" s="37">
        <f>IF(M100="NO","Priority 1",IF(N100="LATE","Priority 2",IF(B100="YES","OK","Priority 1")))</f>
        <v/>
      </c>
      <c r="B100" s="37">
        <f>IF(AND(L100="YES",M100="YES",N100="ON/BEFORE",O100="YES",P100="YES"),"YES","NO")</f>
        <v/>
      </c>
      <c r="C100" s="37" t="inlineStr">
        <is>
          <t>SKP-2024-0190</t>
        </is>
      </c>
      <c r="D100" s="37" t="inlineStr">
        <is>
          <t>OFR-2024-0663</t>
        </is>
      </c>
      <c r="E100" s="38" t="n">
        <v>45346</v>
      </c>
      <c r="F100" s="37" t="inlineStr">
        <is>
          <t>WL-02349</t>
        </is>
      </c>
      <c r="G100" s="37">
        <f>IFERROR(INDEX(Applicants!$C$2:$C$2911,MATCH(F100,Applicants!$A$2:$A$2911,0))&amp;" "&amp;INDEX(Applicants!$B$2:$B$2911,MATCH(F100,Applicants!$A$2:$A$2911,0)),"")</f>
        <v/>
      </c>
      <c r="H100" s="37" t="inlineStr">
        <is>
          <t>SB-0403</t>
        </is>
      </c>
      <c r="I100" s="37" t="inlineStr">
        <is>
          <t>Salmonberry</t>
        </is>
      </c>
      <c r="J100" s="37" t="inlineStr">
        <is>
          <t>preference-mismatch</t>
        </is>
      </c>
      <c r="K100" s="38" t="n">
        <v>45347</v>
      </c>
      <c r="L100" s="37">
        <f>IF(COUNTIFS('Skip Docs'!$A$2:$A$7,F100,'Skip Docs'!$C$2:$C$7,E100)&gt;0,"YES","NO")</f>
        <v/>
      </c>
      <c r="M100" s="37">
        <f>IF(L100="NO","NO",INDEX('Skip Docs'!$G$2:$G$7,MATCH(1,INDEX(('Skip Docs'!$A$2:$A$7=F100)*('Skip Docs'!$C$2:$C$7=E100),0),0)))</f>
        <v/>
      </c>
      <c r="N100" s="37">
        <f>IF(K100&lt;=E100,"ON/BEFORE","LATE")</f>
        <v/>
      </c>
      <c r="O100" s="37">
        <f>IF(COUNTIFS(Offers!$A$2:$A$1487,D100,Offers!$C$2:$C$1487,F100,Offers!$B$2:$B$1487,E100,Offers!$E$2:$E$1487,H100,Offers!$I$2:$I$1487,"SKIPPED")=1,"YES","NO")</f>
        <v/>
      </c>
      <c r="P100" s="37">
        <f>IF(L100="NO","N/A",IF(COUNTIFS('Skip Docs'!$A$2:$A$7,F100,'Skip Docs'!$C$2:$C$7,E100,'Skip Docs'!$D$2:$D$7,H100,'Skip Docs'!$E$2:$E$7,J100)=1,"YES","NO"))</f>
        <v/>
      </c>
      <c r="Q100" s="37" t="inlineStr">
        <is>
          <t>Y</t>
        </is>
      </c>
      <c r="R100" s="37" t="inlineStr">
        <is>
          <t>SUSTAINED</t>
        </is>
      </c>
      <c r="S100" s="37">
        <f>IF(B100="YES","Verified contemporaneous proof",IF(L100="NO","No justification PDF supplied",IF(M100="NO","PDF is cover-only",IF(P100="NO","PDF content does not match logged slip/reason",IF(O100="NO","Offer event does not reconcile","Assembled after skip date")))))</f>
        <v/>
      </c>
    </row>
    <row r="101">
      <c r="A101" s="37">
        <f>IF(M101="NO","Priority 1",IF(N101="LATE","Priority 2",IF(B101="YES","OK","Priority 1")))</f>
        <v/>
      </c>
      <c r="B101" s="37">
        <f>IF(AND(L101="YES",M101="YES",N101="ON/BEFORE",O101="YES",P101="YES"),"YES","NO")</f>
        <v/>
      </c>
      <c r="C101" s="37" t="inlineStr">
        <is>
          <t>SKP-2024-0191</t>
        </is>
      </c>
      <c r="D101" s="37" t="inlineStr">
        <is>
          <t>OFR-2024-0666</t>
        </is>
      </c>
      <c r="E101" s="38" t="n">
        <v>45325</v>
      </c>
      <c r="F101" s="37" t="inlineStr">
        <is>
          <t>WL-01253</t>
        </is>
      </c>
      <c r="G101" s="37">
        <f>IFERROR(INDEX(Applicants!$C$2:$C$2911,MATCH(F101,Applicants!$A$2:$A$2911,0))&amp;" "&amp;INDEX(Applicants!$B$2:$B$2911,MATCH(F101,Applicants!$A$2:$A$2911,0)),"")</f>
        <v/>
      </c>
      <c r="H101" s="37" t="inlineStr">
        <is>
          <t>LP-0307</t>
        </is>
      </c>
      <c r="I101" s="37" t="inlineStr">
        <is>
          <t>Ledgport</t>
        </is>
      </c>
      <c r="J101" s="37" t="inlineStr">
        <is>
          <t>declined-prior-offer</t>
        </is>
      </c>
      <c r="K101" s="38" t="n">
        <v>45327</v>
      </c>
      <c r="L101" s="37">
        <f>IF(COUNTIFS('Skip Docs'!$A$2:$A$7,F101,'Skip Docs'!$C$2:$C$7,E101)&gt;0,"YES","NO")</f>
        <v/>
      </c>
      <c r="M101" s="37">
        <f>IF(L101="NO","NO",INDEX('Skip Docs'!$G$2:$G$7,MATCH(1,INDEX(('Skip Docs'!$A$2:$A$7=F101)*('Skip Docs'!$C$2:$C$7=E101),0),0)))</f>
        <v/>
      </c>
      <c r="N101" s="37">
        <f>IF(K101&lt;=E101,"ON/BEFORE","LATE")</f>
        <v/>
      </c>
      <c r="O101" s="37">
        <f>IF(COUNTIFS(Offers!$A$2:$A$1487,D101,Offers!$C$2:$C$1487,F101,Offers!$B$2:$B$1487,E101,Offers!$E$2:$E$1487,H101,Offers!$I$2:$I$1487,"SKIPPED")=1,"YES","NO")</f>
        <v/>
      </c>
      <c r="P101" s="37">
        <f>IF(L101="NO","N/A",IF(COUNTIFS('Skip Docs'!$A$2:$A$7,F101,'Skip Docs'!$C$2:$C$7,E101,'Skip Docs'!$D$2:$D$7,H101,'Skip Docs'!$E$2:$E$7,J101)=1,"YES","NO"))</f>
        <v/>
      </c>
      <c r="Q101" s="37" t="inlineStr">
        <is>
          <t>Y</t>
        </is>
      </c>
      <c r="R101" s="37" t="inlineStr">
        <is>
          <t>SUSTAINED</t>
        </is>
      </c>
      <c r="S101" s="37">
        <f>IF(B101="YES","Verified contemporaneous proof",IF(L101="NO","No justification PDF supplied",IF(M101="NO","PDF is cover-only",IF(P101="NO","PDF content does not match logged slip/reason",IF(O101="NO","Offer event does not reconcile","Assembled after skip date")))))</f>
        <v/>
      </c>
    </row>
    <row r="102">
      <c r="A102" s="37">
        <f>IF(M102="NO","Priority 1",IF(N102="LATE","Priority 2",IF(B102="YES","OK","Priority 1")))</f>
        <v/>
      </c>
      <c r="B102" s="37">
        <f>IF(AND(L102="YES",M102="YES",N102="ON/BEFORE",O102="YES",P102="YES"),"YES","NO")</f>
        <v/>
      </c>
      <c r="C102" s="37" t="inlineStr">
        <is>
          <t>SKP-2024-0192</t>
        </is>
      </c>
      <c r="D102" s="37" t="inlineStr">
        <is>
          <t>OFR-2024-0670</t>
        </is>
      </c>
      <c r="E102" s="38" t="n">
        <v>45337</v>
      </c>
      <c r="F102" s="37" t="inlineStr">
        <is>
          <t>WL-03127</t>
        </is>
      </c>
      <c r="G102" s="37">
        <f>IFERROR(INDEX(Applicants!$C$2:$C$2911,MATCH(F102,Applicants!$A$2:$A$2911,0))&amp;" "&amp;INDEX(Applicants!$B$2:$B$2911,MATCH(F102,Applicants!$A$2:$A$2911,0)),"")</f>
        <v/>
      </c>
      <c r="H102" s="37" t="inlineStr">
        <is>
          <t>LP-0515</t>
        </is>
      </c>
      <c r="I102" s="37" t="inlineStr">
        <is>
          <t>Ledgport</t>
        </is>
      </c>
      <c r="J102" s="37" t="inlineStr">
        <is>
          <t>preference-mismatch</t>
        </is>
      </c>
      <c r="K102" s="38" t="n">
        <v>45340</v>
      </c>
      <c r="L102" s="37">
        <f>IF(COUNTIFS('Skip Docs'!$A$2:$A$7,F102,'Skip Docs'!$C$2:$C$7,E102)&gt;0,"YES","NO")</f>
        <v/>
      </c>
      <c r="M102" s="37">
        <f>IF(L102="NO","NO",INDEX('Skip Docs'!$G$2:$G$7,MATCH(1,INDEX(('Skip Docs'!$A$2:$A$7=F102)*('Skip Docs'!$C$2:$C$7=E102),0),0)))</f>
        <v/>
      </c>
      <c r="N102" s="37">
        <f>IF(K102&lt;=E102,"ON/BEFORE","LATE")</f>
        <v/>
      </c>
      <c r="O102" s="37">
        <f>IF(COUNTIFS(Offers!$A$2:$A$1487,D102,Offers!$C$2:$C$1487,F102,Offers!$B$2:$B$1487,E102,Offers!$E$2:$E$1487,H102,Offers!$I$2:$I$1487,"SKIPPED")=1,"YES","NO")</f>
        <v/>
      </c>
      <c r="P102" s="37">
        <f>IF(L102="NO","N/A",IF(COUNTIFS('Skip Docs'!$A$2:$A$7,F102,'Skip Docs'!$C$2:$C$7,E102,'Skip Docs'!$D$2:$D$7,H102,'Skip Docs'!$E$2:$E$7,J102)=1,"YES","NO"))</f>
        <v/>
      </c>
      <c r="Q102" s="37" t="inlineStr">
        <is>
          <t>Y</t>
        </is>
      </c>
      <c r="R102" s="37" t="inlineStr">
        <is>
          <t>SUSTAINED</t>
        </is>
      </c>
      <c r="S102" s="37">
        <f>IF(B102="YES","Verified contemporaneous proof",IF(L102="NO","No justification PDF supplied",IF(M102="NO","PDF is cover-only",IF(P102="NO","PDF content does not match logged slip/reason",IF(O102="NO","Offer event does not reconcile","Assembled after skip date")))))</f>
        <v/>
      </c>
    </row>
    <row r="103">
      <c r="A103" s="37">
        <f>IF(M103="NO","Priority 1",IF(N103="LATE","Priority 2",IF(B103="YES","OK","Priority 1")))</f>
        <v/>
      </c>
      <c r="B103" s="37">
        <f>IF(AND(L103="YES",M103="YES",N103="ON/BEFORE",O103="YES",P103="YES"),"YES","NO")</f>
        <v/>
      </c>
      <c r="C103" s="37" t="inlineStr">
        <is>
          <t>SKP-2024-0193</t>
        </is>
      </c>
      <c r="D103" s="37" t="inlineStr">
        <is>
          <t>OFR-2024-0671</t>
        </is>
      </c>
      <c r="E103" s="38" t="n">
        <v>45330</v>
      </c>
      <c r="F103" s="37" t="inlineStr">
        <is>
          <t>WL-02653</t>
        </is>
      </c>
      <c r="G103" s="37">
        <f>IFERROR(INDEX(Applicants!$C$2:$C$2911,MATCH(F103,Applicants!$A$2:$A$2911,0))&amp;" "&amp;INDEX(Applicants!$B$2:$B$2911,MATCH(F103,Applicants!$A$2:$A$2911,0)),"")</f>
        <v/>
      </c>
      <c r="H103" s="37" t="inlineStr">
        <is>
          <t>SB-0616</t>
        </is>
      </c>
      <c r="I103" s="37" t="inlineStr">
        <is>
          <t>Salmonberry</t>
        </is>
      </c>
      <c r="J103" s="37" t="inlineStr">
        <is>
          <t>vessel-fit</t>
        </is>
      </c>
      <c r="K103" s="38" t="n">
        <v>45331</v>
      </c>
      <c r="L103" s="37">
        <f>IF(COUNTIFS('Skip Docs'!$A$2:$A$7,F103,'Skip Docs'!$C$2:$C$7,E103)&gt;0,"YES","NO")</f>
        <v/>
      </c>
      <c r="M103" s="37">
        <f>IF(L103="NO","NO",INDEX('Skip Docs'!$G$2:$G$7,MATCH(1,INDEX(('Skip Docs'!$A$2:$A$7=F103)*('Skip Docs'!$C$2:$C$7=E103),0),0)))</f>
        <v/>
      </c>
      <c r="N103" s="37">
        <f>IF(K103&lt;=E103,"ON/BEFORE","LATE")</f>
        <v/>
      </c>
      <c r="O103" s="37">
        <f>IF(COUNTIFS(Offers!$A$2:$A$1487,D103,Offers!$C$2:$C$1487,F103,Offers!$B$2:$B$1487,E103,Offers!$E$2:$E$1487,H103,Offers!$I$2:$I$1487,"SKIPPED")=1,"YES","NO")</f>
        <v/>
      </c>
      <c r="P103" s="37">
        <f>IF(L103="NO","N/A",IF(COUNTIFS('Skip Docs'!$A$2:$A$7,F103,'Skip Docs'!$C$2:$C$7,E103,'Skip Docs'!$D$2:$D$7,H103,'Skip Docs'!$E$2:$E$7,J103)=1,"YES","NO"))</f>
        <v/>
      </c>
      <c r="Q103" s="37" t="inlineStr">
        <is>
          <t>Y</t>
        </is>
      </c>
      <c r="R103" s="37" t="inlineStr">
        <is>
          <t>SUSTAINED</t>
        </is>
      </c>
      <c r="S103" s="37">
        <f>IF(B103="YES","Verified contemporaneous proof",IF(L103="NO","No justification PDF supplied",IF(M103="NO","PDF is cover-only",IF(P103="NO","PDF content does not match logged slip/reason",IF(O103="NO","Offer event does not reconcile","Assembled after skip date")))))</f>
        <v/>
      </c>
    </row>
    <row r="104">
      <c r="A104" s="37">
        <f>IF(M104="NO","Priority 1",IF(N104="LATE","Priority 2",IF(B104="YES","OK","Priority 1")))</f>
        <v/>
      </c>
      <c r="B104" s="37">
        <f>IF(AND(L104="YES",M104="YES",N104="ON/BEFORE",O104="YES",P104="YES"),"YES","NO")</f>
        <v/>
      </c>
      <c r="C104" s="37" t="inlineStr">
        <is>
          <t>SKP-2024-0194</t>
        </is>
      </c>
      <c r="D104" s="37" t="inlineStr">
        <is>
          <t>OFR-2024-0672</t>
        </is>
      </c>
      <c r="E104" s="38" t="n">
        <v>45329</v>
      </c>
      <c r="F104" s="37" t="inlineStr">
        <is>
          <t>WL-01347</t>
        </is>
      </c>
      <c r="G104" s="37">
        <f>IFERROR(INDEX(Applicants!$C$2:$C$2911,MATCH(F104,Applicants!$A$2:$A$2911,0))&amp;" "&amp;INDEX(Applicants!$B$2:$B$2911,MATCH(F104,Applicants!$A$2:$A$2911,0)),"")</f>
        <v/>
      </c>
      <c r="H104" s="37" t="inlineStr">
        <is>
          <t>EW-0624</t>
        </is>
      </c>
      <c r="I104" s="37" t="inlineStr">
        <is>
          <t>Eastwey</t>
        </is>
      </c>
      <c r="J104" s="37" t="inlineStr">
        <is>
          <t>preference-mismatch</t>
        </is>
      </c>
      <c r="K104" s="38" t="n">
        <v>45332</v>
      </c>
      <c r="L104" s="37">
        <f>IF(COUNTIFS('Skip Docs'!$A$2:$A$7,F104,'Skip Docs'!$C$2:$C$7,E104)&gt;0,"YES","NO")</f>
        <v/>
      </c>
      <c r="M104" s="37">
        <f>IF(L104="NO","NO",INDEX('Skip Docs'!$G$2:$G$7,MATCH(1,INDEX(('Skip Docs'!$A$2:$A$7=F104)*('Skip Docs'!$C$2:$C$7=E104),0),0)))</f>
        <v/>
      </c>
      <c r="N104" s="37">
        <f>IF(K104&lt;=E104,"ON/BEFORE","LATE")</f>
        <v/>
      </c>
      <c r="O104" s="37">
        <f>IF(COUNTIFS(Offers!$A$2:$A$1487,D104,Offers!$C$2:$C$1487,F104,Offers!$B$2:$B$1487,E104,Offers!$E$2:$E$1487,H104,Offers!$I$2:$I$1487,"SKIPPED")=1,"YES","NO")</f>
        <v/>
      </c>
      <c r="P104" s="37">
        <f>IF(L104="NO","N/A",IF(COUNTIFS('Skip Docs'!$A$2:$A$7,F104,'Skip Docs'!$C$2:$C$7,E104,'Skip Docs'!$D$2:$D$7,H104,'Skip Docs'!$E$2:$E$7,J104)=1,"YES","NO"))</f>
        <v/>
      </c>
      <c r="Q104" s="37" t="inlineStr">
        <is>
          <t>Y</t>
        </is>
      </c>
      <c r="R104" s="37" t="inlineStr">
        <is>
          <t>SUSTAINED</t>
        </is>
      </c>
      <c r="S104" s="37">
        <f>IF(B104="YES","Verified contemporaneous proof",IF(L104="NO","No justification PDF supplied",IF(M104="NO","PDF is cover-only",IF(P104="NO","PDF content does not match logged slip/reason",IF(O104="NO","Offer event does not reconcile","Assembled after skip date")))))</f>
        <v/>
      </c>
    </row>
    <row r="105">
      <c r="A105" s="37">
        <f>IF(M105="NO","Priority 1",IF(N105="LATE","Priority 2",IF(B105="YES","OK","Priority 1")))</f>
        <v/>
      </c>
      <c r="B105" s="37">
        <f>IF(AND(L105="YES",M105="YES",N105="ON/BEFORE",O105="YES",P105="YES"),"YES","NO")</f>
        <v/>
      </c>
      <c r="C105" s="37" t="inlineStr">
        <is>
          <t>SKP-2024-0195</t>
        </is>
      </c>
      <c r="D105" s="37" t="inlineStr">
        <is>
          <t>OFR-2024-0673</t>
        </is>
      </c>
      <c r="E105" s="38" t="n">
        <v>45331</v>
      </c>
      <c r="F105" s="37" t="inlineStr">
        <is>
          <t>WL-01562</t>
        </is>
      </c>
      <c r="G105" s="37">
        <f>IFERROR(INDEX(Applicants!$C$2:$C$2911,MATCH(F105,Applicants!$A$2:$A$2911,0))&amp;" "&amp;INDEX(Applicants!$B$2:$B$2911,MATCH(F105,Applicants!$A$2:$A$2911,0)),"")</f>
        <v/>
      </c>
      <c r="H105" s="37" t="inlineStr">
        <is>
          <t>GW-0219</t>
        </is>
      </c>
      <c r="I105" s="37" t="inlineStr">
        <is>
          <t>Gullwing</t>
        </is>
      </c>
      <c r="J105" s="37" t="inlineStr">
        <is>
          <t>preference-mismatch</t>
        </is>
      </c>
      <c r="K105" s="38" t="n">
        <v>45334</v>
      </c>
      <c r="L105" s="37">
        <f>IF(COUNTIFS('Skip Docs'!$A$2:$A$7,F105,'Skip Docs'!$C$2:$C$7,E105)&gt;0,"YES","NO")</f>
        <v/>
      </c>
      <c r="M105" s="37">
        <f>IF(L105="NO","NO",INDEX('Skip Docs'!$G$2:$G$7,MATCH(1,INDEX(('Skip Docs'!$A$2:$A$7=F105)*('Skip Docs'!$C$2:$C$7=E105),0),0)))</f>
        <v/>
      </c>
      <c r="N105" s="37">
        <f>IF(K105&lt;=E105,"ON/BEFORE","LATE")</f>
        <v/>
      </c>
      <c r="O105" s="37">
        <f>IF(COUNTIFS(Offers!$A$2:$A$1487,D105,Offers!$C$2:$C$1487,F105,Offers!$B$2:$B$1487,E105,Offers!$E$2:$E$1487,H105,Offers!$I$2:$I$1487,"SKIPPED")=1,"YES","NO")</f>
        <v/>
      </c>
      <c r="P105" s="37">
        <f>IF(L105="NO","N/A",IF(COUNTIFS('Skip Docs'!$A$2:$A$7,F105,'Skip Docs'!$C$2:$C$7,E105,'Skip Docs'!$D$2:$D$7,H105,'Skip Docs'!$E$2:$E$7,J105)=1,"YES","NO"))</f>
        <v/>
      </c>
      <c r="Q105" s="37" t="inlineStr">
        <is>
          <t>Y</t>
        </is>
      </c>
      <c r="R105" s="37" t="inlineStr">
        <is>
          <t>SUSTAINED</t>
        </is>
      </c>
      <c r="S105" s="37">
        <f>IF(B105="YES","Verified contemporaneous proof",IF(L105="NO","No justification PDF supplied",IF(M105="NO","PDF is cover-only",IF(P105="NO","PDF content does not match logged slip/reason",IF(O105="NO","Offer event does not reconcile","Assembled after skip date")))))</f>
        <v/>
      </c>
    </row>
    <row r="106">
      <c r="A106" s="37">
        <f>IF(M106="NO","Priority 1",IF(N106="LATE","Priority 2",IF(B106="YES","OK","Priority 1")))</f>
        <v/>
      </c>
      <c r="B106" s="37">
        <f>IF(AND(L106="YES",M106="YES",N106="ON/BEFORE",O106="YES",P106="YES"),"YES","NO")</f>
        <v/>
      </c>
      <c r="C106" s="37" t="inlineStr">
        <is>
          <t>SKP-2024-0196</t>
        </is>
      </c>
      <c r="D106" s="37" t="inlineStr">
        <is>
          <t>OFR-2024-0676</t>
        </is>
      </c>
      <c r="E106" s="38" t="n">
        <v>45374</v>
      </c>
      <c r="F106" s="37" t="inlineStr">
        <is>
          <t>WL-02629</t>
        </is>
      </c>
      <c r="G106" s="37">
        <f>IFERROR(INDEX(Applicants!$C$2:$C$2911,MATCH(F106,Applicants!$A$2:$A$2911,0))&amp;" "&amp;INDEX(Applicants!$B$2:$B$2911,MATCH(F106,Applicants!$A$2:$A$2911,0)),"")</f>
        <v/>
      </c>
      <c r="H106" s="37" t="inlineStr">
        <is>
          <t>VB-1021</t>
        </is>
      </c>
      <c r="I106" s="37" t="inlineStr">
        <is>
          <t>Vessbank</t>
        </is>
      </c>
      <c r="J106" s="37" t="inlineStr">
        <is>
          <t>vessel-fit</t>
        </is>
      </c>
      <c r="K106" s="38" t="n">
        <v>45377</v>
      </c>
      <c r="L106" s="37">
        <f>IF(COUNTIFS('Skip Docs'!$A$2:$A$7,F106,'Skip Docs'!$C$2:$C$7,E106)&gt;0,"YES","NO")</f>
        <v/>
      </c>
      <c r="M106" s="37">
        <f>IF(L106="NO","NO",INDEX('Skip Docs'!$G$2:$G$7,MATCH(1,INDEX(('Skip Docs'!$A$2:$A$7=F106)*('Skip Docs'!$C$2:$C$7=E106),0),0)))</f>
        <v/>
      </c>
      <c r="N106" s="37">
        <f>IF(K106&lt;=E106,"ON/BEFORE","LATE")</f>
        <v/>
      </c>
      <c r="O106" s="37">
        <f>IF(COUNTIFS(Offers!$A$2:$A$1487,D106,Offers!$C$2:$C$1487,F106,Offers!$B$2:$B$1487,E106,Offers!$E$2:$E$1487,H106,Offers!$I$2:$I$1487,"SKIPPED")=1,"YES","NO")</f>
        <v/>
      </c>
      <c r="P106" s="37">
        <f>IF(L106="NO","N/A",IF(COUNTIFS('Skip Docs'!$A$2:$A$7,F106,'Skip Docs'!$C$2:$C$7,E106,'Skip Docs'!$D$2:$D$7,H106,'Skip Docs'!$E$2:$E$7,J106)=1,"YES","NO"))</f>
        <v/>
      </c>
      <c r="Q106" s="37" t="inlineStr">
        <is>
          <t>Y</t>
        </is>
      </c>
      <c r="R106" s="37" t="inlineStr">
        <is>
          <t>SUSTAINED</t>
        </is>
      </c>
      <c r="S106" s="37">
        <f>IF(B106="YES","Verified contemporaneous proof",IF(L106="NO","No justification PDF supplied",IF(M106="NO","PDF is cover-only",IF(P106="NO","PDF content does not match logged slip/reason",IF(O106="NO","Offer event does not reconcile","Assembled after skip date")))))</f>
        <v/>
      </c>
    </row>
    <row r="107">
      <c r="A107" s="37">
        <f>IF(M107="NO","Priority 1",IF(N107="LATE","Priority 2",IF(B107="YES","OK","Priority 1")))</f>
        <v/>
      </c>
      <c r="B107" s="37">
        <f>IF(AND(L107="YES",M107="YES",N107="ON/BEFORE",O107="YES",P107="YES"),"YES","NO")</f>
        <v/>
      </c>
      <c r="C107" s="37" t="inlineStr">
        <is>
          <t>SKP-2024-0197</t>
        </is>
      </c>
      <c r="D107" s="37" t="inlineStr">
        <is>
          <t>OFR-2024-0679</t>
        </is>
      </c>
      <c r="E107" s="38" t="n">
        <v>45379</v>
      </c>
      <c r="F107" s="37" t="inlineStr">
        <is>
          <t>WL-03621</t>
        </is>
      </c>
      <c r="G107" s="37">
        <f>IFERROR(INDEX(Applicants!$C$2:$C$2911,MATCH(F107,Applicants!$A$2:$A$2911,0))&amp;" "&amp;INDEX(Applicants!$B$2:$B$2911,MATCH(F107,Applicants!$A$2:$A$2911,0)),"")</f>
        <v/>
      </c>
      <c r="H107" s="37" t="inlineStr">
        <is>
          <t>SB-0601</t>
        </is>
      </c>
      <c r="I107" s="37" t="inlineStr">
        <is>
          <t>Salmonberry</t>
        </is>
      </c>
      <c r="J107" s="37" t="inlineStr">
        <is>
          <t>declined-prior-offer</t>
        </is>
      </c>
      <c r="K107" s="38" t="n">
        <v>45381</v>
      </c>
      <c r="L107" s="37">
        <f>IF(COUNTIFS('Skip Docs'!$A$2:$A$7,F107,'Skip Docs'!$C$2:$C$7,E107)&gt;0,"YES","NO")</f>
        <v/>
      </c>
      <c r="M107" s="37">
        <f>IF(L107="NO","NO",INDEX('Skip Docs'!$G$2:$G$7,MATCH(1,INDEX(('Skip Docs'!$A$2:$A$7=F107)*('Skip Docs'!$C$2:$C$7=E107),0),0)))</f>
        <v/>
      </c>
      <c r="N107" s="37">
        <f>IF(K107&lt;=E107,"ON/BEFORE","LATE")</f>
        <v/>
      </c>
      <c r="O107" s="37">
        <f>IF(COUNTIFS(Offers!$A$2:$A$1487,D107,Offers!$C$2:$C$1487,F107,Offers!$B$2:$B$1487,E107,Offers!$E$2:$E$1487,H107,Offers!$I$2:$I$1487,"SKIPPED")=1,"YES","NO")</f>
        <v/>
      </c>
      <c r="P107" s="37">
        <f>IF(L107="NO","N/A",IF(COUNTIFS('Skip Docs'!$A$2:$A$7,F107,'Skip Docs'!$C$2:$C$7,E107,'Skip Docs'!$D$2:$D$7,H107,'Skip Docs'!$E$2:$E$7,J107)=1,"YES","NO"))</f>
        <v/>
      </c>
      <c r="Q107" s="37" t="inlineStr">
        <is>
          <t>Y</t>
        </is>
      </c>
      <c r="R107" s="37" t="inlineStr">
        <is>
          <t>SUSTAINED</t>
        </is>
      </c>
      <c r="S107" s="37">
        <f>IF(B107="YES","Verified contemporaneous proof",IF(L107="NO","No justification PDF supplied",IF(M107="NO","PDF is cover-only",IF(P107="NO","PDF content does not match logged slip/reason",IF(O107="NO","Offer event does not reconcile","Assembled after skip date")))))</f>
        <v/>
      </c>
    </row>
    <row r="108">
      <c r="A108" s="37">
        <f>IF(M108="NO","Priority 1",IF(N108="LATE","Priority 2",IF(B108="YES","OK","Priority 1")))</f>
        <v/>
      </c>
      <c r="B108" s="37">
        <f>IF(AND(L108="YES",M108="YES",N108="ON/BEFORE",O108="YES",P108="YES"),"YES","NO")</f>
        <v/>
      </c>
      <c r="C108" s="37" t="inlineStr">
        <is>
          <t>SKP-2024-0198</t>
        </is>
      </c>
      <c r="D108" s="37" t="inlineStr">
        <is>
          <t>OFR-2024-0683</t>
        </is>
      </c>
      <c r="E108" s="38" t="n">
        <v>45373</v>
      </c>
      <c r="F108" s="37" t="inlineStr">
        <is>
          <t>WL-02027</t>
        </is>
      </c>
      <c r="G108" s="37">
        <f>IFERROR(INDEX(Applicants!$C$2:$C$2911,MATCH(F108,Applicants!$A$2:$A$2911,0))&amp;" "&amp;INDEX(Applicants!$B$2:$B$2911,MATCH(F108,Applicants!$A$2:$A$2911,0)),"")</f>
        <v/>
      </c>
      <c r="H108" s="37" t="inlineStr">
        <is>
          <t>GW-0801</t>
        </is>
      </c>
      <c r="I108" s="37" t="inlineStr">
        <is>
          <t>Gullwing</t>
        </is>
      </c>
      <c r="J108" s="37" t="inlineStr">
        <is>
          <t>not-current</t>
        </is>
      </c>
      <c r="K108" s="38" t="n">
        <v>45374</v>
      </c>
      <c r="L108" s="37">
        <f>IF(COUNTIFS('Skip Docs'!$A$2:$A$7,F108,'Skip Docs'!$C$2:$C$7,E108)&gt;0,"YES","NO")</f>
        <v/>
      </c>
      <c r="M108" s="37">
        <f>IF(L108="NO","NO",INDEX('Skip Docs'!$G$2:$G$7,MATCH(1,INDEX(('Skip Docs'!$A$2:$A$7=F108)*('Skip Docs'!$C$2:$C$7=E108),0),0)))</f>
        <v/>
      </c>
      <c r="N108" s="37">
        <f>IF(K108&lt;=E108,"ON/BEFORE","LATE")</f>
        <v/>
      </c>
      <c r="O108" s="37">
        <f>IF(COUNTIFS(Offers!$A$2:$A$1487,D108,Offers!$C$2:$C$1487,F108,Offers!$B$2:$B$1487,E108,Offers!$E$2:$E$1487,H108,Offers!$I$2:$I$1487,"SKIPPED")=1,"YES","NO")</f>
        <v/>
      </c>
      <c r="P108" s="37">
        <f>IF(L108="NO","N/A",IF(COUNTIFS('Skip Docs'!$A$2:$A$7,F108,'Skip Docs'!$C$2:$C$7,E108,'Skip Docs'!$D$2:$D$7,H108,'Skip Docs'!$E$2:$E$7,J108)=1,"YES","NO"))</f>
        <v/>
      </c>
      <c r="Q108" s="37" t="inlineStr">
        <is>
          <t>Y</t>
        </is>
      </c>
      <c r="R108" s="37" t="inlineStr">
        <is>
          <t>SUSTAINED</t>
        </is>
      </c>
      <c r="S108" s="37">
        <f>IF(B108="YES","Verified contemporaneous proof",IF(L108="NO","No justification PDF supplied",IF(M108="NO","PDF is cover-only",IF(P108="NO","PDF content does not match logged slip/reason",IF(O108="NO","Offer event does not reconcile","Assembled after skip date")))))</f>
        <v/>
      </c>
    </row>
    <row r="109">
      <c r="A109" s="37">
        <f>IF(M109="NO","Priority 1",IF(N109="LATE","Priority 2",IF(B109="YES","OK","Priority 1")))</f>
        <v/>
      </c>
      <c r="B109" s="37">
        <f>IF(AND(L109="YES",M109="YES",N109="ON/BEFORE",O109="YES",P109="YES"),"YES","NO")</f>
        <v/>
      </c>
      <c r="C109" s="37" t="inlineStr">
        <is>
          <t>SKP-2024-0199</t>
        </is>
      </c>
      <c r="D109" s="37" t="inlineStr">
        <is>
          <t>OFR-2024-0690</t>
        </is>
      </c>
      <c r="E109" s="38" t="n">
        <v>45378</v>
      </c>
      <c r="F109" s="37" t="inlineStr">
        <is>
          <t>WL-03185</t>
        </is>
      </c>
      <c r="G109" s="37">
        <f>IFERROR(INDEX(Applicants!$C$2:$C$2911,MATCH(F109,Applicants!$A$2:$A$2911,0))&amp;" "&amp;INDEX(Applicants!$B$2:$B$2911,MATCH(F109,Applicants!$A$2:$A$2911,0)),"")</f>
        <v/>
      </c>
      <c r="H109" s="37" t="inlineStr">
        <is>
          <t>SB-0824</t>
        </is>
      </c>
      <c r="I109" s="37" t="inlineStr">
        <is>
          <t>Salmonberry</t>
        </is>
      </c>
      <c r="J109" s="37" t="inlineStr">
        <is>
          <t>vessel-fit</t>
        </is>
      </c>
      <c r="K109" s="38" t="n">
        <v>45378</v>
      </c>
      <c r="L109" s="37">
        <f>IF(COUNTIFS('Skip Docs'!$A$2:$A$7,F109,'Skip Docs'!$C$2:$C$7,E109)&gt;0,"YES","NO")</f>
        <v/>
      </c>
      <c r="M109" s="37">
        <f>IF(L109="NO","NO",INDEX('Skip Docs'!$G$2:$G$7,MATCH(1,INDEX(('Skip Docs'!$A$2:$A$7=F109)*('Skip Docs'!$C$2:$C$7=E109),0),0)))</f>
        <v/>
      </c>
      <c r="N109" s="37">
        <f>IF(K109&lt;=E109,"ON/BEFORE","LATE")</f>
        <v/>
      </c>
      <c r="O109" s="37">
        <f>IF(COUNTIFS(Offers!$A$2:$A$1487,D109,Offers!$C$2:$C$1487,F109,Offers!$B$2:$B$1487,E109,Offers!$E$2:$E$1487,H109,Offers!$I$2:$I$1487,"SKIPPED")=1,"YES","NO")</f>
        <v/>
      </c>
      <c r="P109" s="37">
        <f>IF(L109="NO","N/A",IF(COUNTIFS('Skip Docs'!$A$2:$A$7,F109,'Skip Docs'!$C$2:$C$7,E109,'Skip Docs'!$D$2:$D$7,H109,'Skip Docs'!$E$2:$E$7,J109)=1,"YES","NO"))</f>
        <v/>
      </c>
      <c r="Q109" s="37" t="inlineStr">
        <is>
          <t>Y</t>
        </is>
      </c>
      <c r="R109" s="37" t="inlineStr">
        <is>
          <t>SUSTAINED</t>
        </is>
      </c>
      <c r="S109" s="37">
        <f>IF(B109="YES","Verified contemporaneous proof",IF(L109="NO","No justification PDF supplied",IF(M109="NO","PDF is cover-only",IF(P109="NO","PDF content does not match logged slip/reason",IF(O109="NO","Offer event does not reconcile","Assembled after skip date")))))</f>
        <v/>
      </c>
    </row>
    <row r="110">
      <c r="A110" s="37">
        <f>IF(M110="NO","Priority 1",IF(N110="LATE","Priority 2",IF(B110="YES","OK","Priority 1")))</f>
        <v/>
      </c>
      <c r="B110" s="37">
        <f>IF(AND(L110="YES",M110="YES",N110="ON/BEFORE",O110="YES",P110="YES"),"YES","NO")</f>
        <v/>
      </c>
      <c r="C110" s="37" t="inlineStr">
        <is>
          <t>SKP-2024-0200</t>
        </is>
      </c>
      <c r="D110" s="37" t="inlineStr">
        <is>
          <t>OFR-2024-0693</t>
        </is>
      </c>
      <c r="E110" s="38" t="n">
        <v>45353</v>
      </c>
      <c r="F110" s="37" t="inlineStr">
        <is>
          <t>WL-02893</t>
        </is>
      </c>
      <c r="G110" s="37">
        <f>IFERROR(INDEX(Applicants!$C$2:$C$2911,MATCH(F110,Applicants!$A$2:$A$2911,0))&amp;" "&amp;INDEX(Applicants!$B$2:$B$2911,MATCH(F110,Applicants!$A$2:$A$2911,0)),"")</f>
        <v/>
      </c>
      <c r="H110" s="37" t="inlineStr">
        <is>
          <t>EW-1021</t>
        </is>
      </c>
      <c r="I110" s="37" t="inlineStr">
        <is>
          <t>Eastwey</t>
        </is>
      </c>
      <c r="J110" s="37" t="inlineStr">
        <is>
          <t>declined-prior-offer</t>
        </is>
      </c>
      <c r="K110" s="38" t="n">
        <v>45357</v>
      </c>
      <c r="L110" s="37">
        <f>IF(COUNTIFS('Skip Docs'!$A$2:$A$7,F110,'Skip Docs'!$C$2:$C$7,E110)&gt;0,"YES","NO")</f>
        <v/>
      </c>
      <c r="M110" s="37">
        <f>IF(L110="NO","NO",INDEX('Skip Docs'!$G$2:$G$7,MATCH(1,INDEX(('Skip Docs'!$A$2:$A$7=F110)*('Skip Docs'!$C$2:$C$7=E110),0),0)))</f>
        <v/>
      </c>
      <c r="N110" s="37">
        <f>IF(K110&lt;=E110,"ON/BEFORE","LATE")</f>
        <v/>
      </c>
      <c r="O110" s="37">
        <f>IF(COUNTIFS(Offers!$A$2:$A$1487,D110,Offers!$C$2:$C$1487,F110,Offers!$B$2:$B$1487,E110,Offers!$E$2:$E$1487,H110,Offers!$I$2:$I$1487,"SKIPPED")=1,"YES","NO")</f>
        <v/>
      </c>
      <c r="P110" s="37">
        <f>IF(L110="NO","N/A",IF(COUNTIFS('Skip Docs'!$A$2:$A$7,F110,'Skip Docs'!$C$2:$C$7,E110,'Skip Docs'!$D$2:$D$7,H110,'Skip Docs'!$E$2:$E$7,J110)=1,"YES","NO"))</f>
        <v/>
      </c>
      <c r="Q110" s="37" t="inlineStr">
        <is>
          <t>Y</t>
        </is>
      </c>
      <c r="R110" s="37" t="inlineStr">
        <is>
          <t>SUSTAINED</t>
        </is>
      </c>
      <c r="S110" s="37">
        <f>IF(B110="YES","Verified contemporaneous proof",IF(L110="NO","No justification PDF supplied",IF(M110="NO","PDF is cover-only",IF(P110="NO","PDF content does not match logged slip/reason",IF(O110="NO","Offer event does not reconcile","Assembled after skip date")))))</f>
        <v/>
      </c>
    </row>
    <row r="111">
      <c r="A111" s="37">
        <f>IF(M111="NO","Priority 1",IF(N111="LATE","Priority 2",IF(B111="YES","OK","Priority 1")))</f>
        <v/>
      </c>
      <c r="B111" s="37">
        <f>IF(AND(L111="YES",M111="YES",N111="ON/BEFORE",O111="YES",P111="YES"),"YES","NO")</f>
        <v/>
      </c>
      <c r="C111" s="37" t="inlineStr">
        <is>
          <t>SKP-2024-0201</t>
        </is>
      </c>
      <c r="D111" s="37" t="inlineStr">
        <is>
          <t>OFR-2024-0698</t>
        </is>
      </c>
      <c r="E111" s="38" t="n">
        <v>45376</v>
      </c>
      <c r="F111" s="37" t="inlineStr">
        <is>
          <t>WL-02274</t>
        </is>
      </c>
      <c r="G111" s="37">
        <f>IFERROR(INDEX(Applicants!$C$2:$C$2911,MATCH(F111,Applicants!$A$2:$A$2911,0))&amp;" "&amp;INDEX(Applicants!$B$2:$B$2911,MATCH(F111,Applicants!$A$2:$A$2911,0)),"")</f>
        <v/>
      </c>
      <c r="H111" s="37" t="inlineStr">
        <is>
          <t>VB-0721</t>
        </is>
      </c>
      <c r="I111" s="37" t="inlineStr">
        <is>
          <t>Vessbank</t>
        </is>
      </c>
      <c r="J111" s="37" t="inlineStr">
        <is>
          <t>vessel-fit</t>
        </is>
      </c>
      <c r="K111" s="38" t="n">
        <v>45377</v>
      </c>
      <c r="L111" s="37">
        <f>IF(COUNTIFS('Skip Docs'!$A$2:$A$7,F111,'Skip Docs'!$C$2:$C$7,E111)&gt;0,"YES","NO")</f>
        <v/>
      </c>
      <c r="M111" s="37">
        <f>IF(L111="NO","NO",INDEX('Skip Docs'!$G$2:$G$7,MATCH(1,INDEX(('Skip Docs'!$A$2:$A$7=F111)*('Skip Docs'!$C$2:$C$7=E111),0),0)))</f>
        <v/>
      </c>
      <c r="N111" s="37">
        <f>IF(K111&lt;=E111,"ON/BEFORE","LATE")</f>
        <v/>
      </c>
      <c r="O111" s="37">
        <f>IF(COUNTIFS(Offers!$A$2:$A$1487,D111,Offers!$C$2:$C$1487,F111,Offers!$B$2:$B$1487,E111,Offers!$E$2:$E$1487,H111,Offers!$I$2:$I$1487,"SKIPPED")=1,"YES","NO")</f>
        <v/>
      </c>
      <c r="P111" s="37">
        <f>IF(L111="NO","N/A",IF(COUNTIFS('Skip Docs'!$A$2:$A$7,F111,'Skip Docs'!$C$2:$C$7,E111,'Skip Docs'!$D$2:$D$7,H111,'Skip Docs'!$E$2:$E$7,J111)=1,"YES","NO"))</f>
        <v/>
      </c>
      <c r="Q111" s="37" t="inlineStr">
        <is>
          <t>Y</t>
        </is>
      </c>
      <c r="R111" s="37" t="inlineStr">
        <is>
          <t>SUSTAINED</t>
        </is>
      </c>
      <c r="S111" s="37">
        <f>IF(B111="YES","Verified contemporaneous proof",IF(L111="NO","No justification PDF supplied",IF(M111="NO","PDF is cover-only",IF(P111="NO","PDF content does not match logged slip/reason",IF(O111="NO","Offer event does not reconcile","Assembled after skip date")))))</f>
        <v/>
      </c>
    </row>
    <row r="112">
      <c r="A112" s="37">
        <f>IF(M112="NO","Priority 1",IF(N112="LATE","Priority 2",IF(B112="YES","OK","Priority 1")))</f>
        <v/>
      </c>
      <c r="B112" s="37">
        <f>IF(AND(L112="YES",M112="YES",N112="ON/BEFORE",O112="YES",P112="YES"),"YES","NO")</f>
        <v/>
      </c>
      <c r="C112" s="37" t="inlineStr">
        <is>
          <t>SKP-2024-0202</t>
        </is>
      </c>
      <c r="D112" s="37" t="inlineStr">
        <is>
          <t>OFR-2024-0700</t>
        </is>
      </c>
      <c r="E112" s="38" t="n">
        <v>45371</v>
      </c>
      <c r="F112" s="37" t="inlineStr">
        <is>
          <t>WL-03661</t>
        </is>
      </c>
      <c r="G112" s="37">
        <f>IFERROR(INDEX(Applicants!$C$2:$C$2911,MATCH(F112,Applicants!$A$2:$A$2911,0))&amp;" "&amp;INDEX(Applicants!$B$2:$B$2911,MATCH(F112,Applicants!$A$2:$A$2911,0)),"")</f>
        <v/>
      </c>
      <c r="H112" s="37" t="inlineStr">
        <is>
          <t>EW-0709</t>
        </is>
      </c>
      <c r="I112" s="37" t="inlineStr">
        <is>
          <t>Eastwey</t>
        </is>
      </c>
      <c r="J112" s="37" t="inlineStr">
        <is>
          <t>vessel-fit</t>
        </is>
      </c>
      <c r="K112" s="38" t="n">
        <v>45375</v>
      </c>
      <c r="L112" s="37">
        <f>IF(COUNTIFS('Skip Docs'!$A$2:$A$7,F112,'Skip Docs'!$C$2:$C$7,E112)&gt;0,"YES","NO")</f>
        <v/>
      </c>
      <c r="M112" s="37">
        <f>IF(L112="NO","NO",INDEX('Skip Docs'!$G$2:$G$7,MATCH(1,INDEX(('Skip Docs'!$A$2:$A$7=F112)*('Skip Docs'!$C$2:$C$7=E112),0),0)))</f>
        <v/>
      </c>
      <c r="N112" s="37">
        <f>IF(K112&lt;=E112,"ON/BEFORE","LATE")</f>
        <v/>
      </c>
      <c r="O112" s="37">
        <f>IF(COUNTIFS(Offers!$A$2:$A$1487,D112,Offers!$C$2:$C$1487,F112,Offers!$B$2:$B$1487,E112,Offers!$E$2:$E$1487,H112,Offers!$I$2:$I$1487,"SKIPPED")=1,"YES","NO")</f>
        <v/>
      </c>
      <c r="P112" s="37">
        <f>IF(L112="NO","N/A",IF(COUNTIFS('Skip Docs'!$A$2:$A$7,F112,'Skip Docs'!$C$2:$C$7,E112,'Skip Docs'!$D$2:$D$7,H112,'Skip Docs'!$E$2:$E$7,J112)=1,"YES","NO"))</f>
        <v/>
      </c>
      <c r="Q112" s="37" t="inlineStr">
        <is>
          <t>Y</t>
        </is>
      </c>
      <c r="R112" s="37" t="inlineStr">
        <is>
          <t>SUSTAINED</t>
        </is>
      </c>
      <c r="S112" s="37">
        <f>IF(B112="YES","Verified contemporaneous proof",IF(L112="NO","No justification PDF supplied",IF(M112="NO","PDF is cover-only",IF(P112="NO","PDF content does not match logged slip/reason",IF(O112="NO","Offer event does not reconcile","Assembled after skip date")))))</f>
        <v/>
      </c>
    </row>
    <row r="113">
      <c r="A113" s="37">
        <f>IF(M113="NO","Priority 1",IF(N113="LATE","Priority 2",IF(B113="YES","OK","Priority 1")))</f>
        <v/>
      </c>
      <c r="B113" s="37">
        <f>IF(AND(L113="YES",M113="YES",N113="ON/BEFORE",O113="YES",P113="YES"),"YES","NO")</f>
        <v/>
      </c>
      <c r="C113" s="37" t="inlineStr">
        <is>
          <t>SKP-2024-0203</t>
        </is>
      </c>
      <c r="D113" s="37" t="inlineStr">
        <is>
          <t>OFR-2024-0701</t>
        </is>
      </c>
      <c r="E113" s="38" t="n">
        <v>45353</v>
      </c>
      <c r="F113" s="37" t="inlineStr">
        <is>
          <t>WL-02769</t>
        </is>
      </c>
      <c r="G113" s="37">
        <f>IFERROR(INDEX(Applicants!$C$2:$C$2911,MATCH(F113,Applicants!$A$2:$A$2911,0))&amp;" "&amp;INDEX(Applicants!$B$2:$B$2911,MATCH(F113,Applicants!$A$2:$A$2911,0)),"")</f>
        <v/>
      </c>
      <c r="H113" s="37" t="inlineStr">
        <is>
          <t>EW-0902</t>
        </is>
      </c>
      <c r="I113" s="37" t="inlineStr">
        <is>
          <t>Eastwey</t>
        </is>
      </c>
      <c r="J113" s="37" t="inlineStr">
        <is>
          <t>declined-prior-offer</t>
        </is>
      </c>
      <c r="K113" s="38" t="n">
        <v>45354</v>
      </c>
      <c r="L113" s="37">
        <f>IF(COUNTIFS('Skip Docs'!$A$2:$A$7,F113,'Skip Docs'!$C$2:$C$7,E113)&gt;0,"YES","NO")</f>
        <v/>
      </c>
      <c r="M113" s="37">
        <f>IF(L113="NO","NO",INDEX('Skip Docs'!$G$2:$G$7,MATCH(1,INDEX(('Skip Docs'!$A$2:$A$7=F113)*('Skip Docs'!$C$2:$C$7=E113),0),0)))</f>
        <v/>
      </c>
      <c r="N113" s="37">
        <f>IF(K113&lt;=E113,"ON/BEFORE","LATE")</f>
        <v/>
      </c>
      <c r="O113" s="37">
        <f>IF(COUNTIFS(Offers!$A$2:$A$1487,D113,Offers!$C$2:$C$1487,F113,Offers!$B$2:$B$1487,E113,Offers!$E$2:$E$1487,H113,Offers!$I$2:$I$1487,"SKIPPED")=1,"YES","NO")</f>
        <v/>
      </c>
      <c r="P113" s="37">
        <f>IF(L113="NO","N/A",IF(COUNTIFS('Skip Docs'!$A$2:$A$7,F113,'Skip Docs'!$C$2:$C$7,E113,'Skip Docs'!$D$2:$D$7,H113,'Skip Docs'!$E$2:$E$7,J113)=1,"YES","NO"))</f>
        <v/>
      </c>
      <c r="Q113" s="37" t="inlineStr">
        <is>
          <t>Y</t>
        </is>
      </c>
      <c r="R113" s="37" t="inlineStr">
        <is>
          <t>SUSTAINED</t>
        </is>
      </c>
      <c r="S113" s="37">
        <f>IF(B113="YES","Verified contemporaneous proof",IF(L113="NO","No justification PDF supplied",IF(M113="NO","PDF is cover-only",IF(P113="NO","PDF content does not match logged slip/reason",IF(O113="NO","Offer event does not reconcile","Assembled after skip date")))))</f>
        <v/>
      </c>
    </row>
    <row r="114">
      <c r="A114" s="37">
        <f>IF(M114="NO","Priority 1",IF(N114="LATE","Priority 2",IF(B114="YES","OK","Priority 1")))</f>
        <v/>
      </c>
      <c r="B114" s="37">
        <f>IF(AND(L114="YES",M114="YES",N114="ON/BEFORE",O114="YES",P114="YES"),"YES","NO")</f>
        <v/>
      </c>
      <c r="C114" s="37" t="inlineStr">
        <is>
          <t>SKP-2024-0204</t>
        </is>
      </c>
      <c r="D114" s="37" t="inlineStr">
        <is>
          <t>OFR-2024-0704</t>
        </is>
      </c>
      <c r="E114" s="38" t="n">
        <v>45384</v>
      </c>
      <c r="F114" s="37" t="inlineStr">
        <is>
          <t>WL-01950</t>
        </is>
      </c>
      <c r="G114" s="37">
        <f>IFERROR(INDEX(Applicants!$C$2:$C$2911,MATCH(F114,Applicants!$A$2:$A$2911,0))&amp;" "&amp;INDEX(Applicants!$B$2:$B$2911,MATCH(F114,Applicants!$A$2:$A$2911,0)),"")</f>
        <v/>
      </c>
      <c r="H114" s="37" t="inlineStr">
        <is>
          <t>EW-0608</t>
        </is>
      </c>
      <c r="I114" s="37" t="inlineStr">
        <is>
          <t>Eastwey</t>
        </is>
      </c>
      <c r="J114" s="37" t="inlineStr">
        <is>
          <t>vessel-fit</t>
        </is>
      </c>
      <c r="K114" s="38" t="n">
        <v>45384</v>
      </c>
      <c r="L114" s="37">
        <f>IF(COUNTIFS('Skip Docs'!$A$2:$A$7,F114,'Skip Docs'!$C$2:$C$7,E114)&gt;0,"YES","NO")</f>
        <v/>
      </c>
      <c r="M114" s="37">
        <f>IF(L114="NO","NO",INDEX('Skip Docs'!$G$2:$G$7,MATCH(1,INDEX(('Skip Docs'!$A$2:$A$7=F114)*('Skip Docs'!$C$2:$C$7=E114),0),0)))</f>
        <v/>
      </c>
      <c r="N114" s="37">
        <f>IF(K114&lt;=E114,"ON/BEFORE","LATE")</f>
        <v/>
      </c>
      <c r="O114" s="37">
        <f>IF(COUNTIFS(Offers!$A$2:$A$1487,D114,Offers!$C$2:$C$1487,F114,Offers!$B$2:$B$1487,E114,Offers!$E$2:$E$1487,H114,Offers!$I$2:$I$1487,"SKIPPED")=1,"YES","NO")</f>
        <v/>
      </c>
      <c r="P114" s="37">
        <f>IF(L114="NO","N/A",IF(COUNTIFS('Skip Docs'!$A$2:$A$7,F114,'Skip Docs'!$C$2:$C$7,E114,'Skip Docs'!$D$2:$D$7,H114,'Skip Docs'!$E$2:$E$7,J114)=1,"YES","NO"))</f>
        <v/>
      </c>
      <c r="Q114" s="37" t="inlineStr">
        <is>
          <t>N</t>
        </is>
      </c>
      <c r="R114" s="37" t="inlineStr">
        <is>
          <t>SUSTAINED</t>
        </is>
      </c>
      <c r="S114" s="37">
        <f>IF(B114="YES","Verified contemporaneous proof",IF(L114="NO","No justification PDF supplied",IF(M114="NO","PDF is cover-only",IF(P114="NO","PDF content does not match logged slip/reason",IF(O114="NO","Offer event does not reconcile","Assembled after skip date")))))</f>
        <v/>
      </c>
    </row>
    <row r="115">
      <c r="A115" s="37">
        <f>IF(M115="NO","Priority 1",IF(N115="LATE","Priority 2",IF(B115="YES","OK","Priority 1")))</f>
        <v/>
      </c>
      <c r="B115" s="37">
        <f>IF(AND(L115="YES",M115="YES",N115="ON/BEFORE",O115="YES",P115="YES"),"YES","NO")</f>
        <v/>
      </c>
      <c r="C115" s="37" t="inlineStr">
        <is>
          <t>SKP-2024-0205</t>
        </is>
      </c>
      <c r="D115" s="37" t="inlineStr">
        <is>
          <t>OFR-2024-0707</t>
        </is>
      </c>
      <c r="E115" s="38" t="n">
        <v>45407</v>
      </c>
      <c r="F115" s="37" t="inlineStr">
        <is>
          <t>WL-02895</t>
        </is>
      </c>
      <c r="G115" s="37">
        <f>IFERROR(INDEX(Applicants!$C$2:$C$2911,MATCH(F115,Applicants!$A$2:$A$2911,0))&amp;" "&amp;INDEX(Applicants!$B$2:$B$2911,MATCH(F115,Applicants!$A$2:$A$2911,0)),"")</f>
        <v/>
      </c>
      <c r="H115" s="37" t="inlineStr">
        <is>
          <t>EW-0306</t>
        </is>
      </c>
      <c r="I115" s="37" t="inlineStr">
        <is>
          <t>Eastwey</t>
        </is>
      </c>
      <c r="J115" s="37" t="inlineStr">
        <is>
          <t>vessel-fit</t>
        </is>
      </c>
      <c r="K115" s="38" t="n">
        <v>45411</v>
      </c>
      <c r="L115" s="37">
        <f>IF(COUNTIFS('Skip Docs'!$A$2:$A$7,F115,'Skip Docs'!$C$2:$C$7,E115)&gt;0,"YES","NO")</f>
        <v/>
      </c>
      <c r="M115" s="37">
        <f>IF(L115="NO","NO",INDEX('Skip Docs'!$G$2:$G$7,MATCH(1,INDEX(('Skip Docs'!$A$2:$A$7=F115)*('Skip Docs'!$C$2:$C$7=E115),0),0)))</f>
        <v/>
      </c>
      <c r="N115" s="37">
        <f>IF(K115&lt;=E115,"ON/BEFORE","LATE")</f>
        <v/>
      </c>
      <c r="O115" s="37">
        <f>IF(COUNTIFS(Offers!$A$2:$A$1487,D115,Offers!$C$2:$C$1487,F115,Offers!$B$2:$B$1487,E115,Offers!$E$2:$E$1487,H115,Offers!$I$2:$I$1487,"SKIPPED")=1,"YES","NO")</f>
        <v/>
      </c>
      <c r="P115" s="37">
        <f>IF(L115="NO","N/A",IF(COUNTIFS('Skip Docs'!$A$2:$A$7,F115,'Skip Docs'!$C$2:$C$7,E115,'Skip Docs'!$D$2:$D$7,H115,'Skip Docs'!$E$2:$E$7,J115)=1,"YES","NO"))</f>
        <v/>
      </c>
      <c r="Q115" s="37" t="inlineStr">
        <is>
          <t>Y</t>
        </is>
      </c>
      <c r="R115" s="37" t="inlineStr">
        <is>
          <t>SUSTAINED</t>
        </is>
      </c>
      <c r="S115" s="37">
        <f>IF(B115="YES","Verified contemporaneous proof",IF(L115="NO","No justification PDF supplied",IF(M115="NO","PDF is cover-only",IF(P115="NO","PDF content does not match logged slip/reason",IF(O115="NO","Offer event does not reconcile","Assembled after skip date")))))</f>
        <v/>
      </c>
    </row>
    <row r="116">
      <c r="A116" s="37">
        <f>IF(M116="NO","Priority 1",IF(N116="LATE","Priority 2",IF(B116="YES","OK","Priority 1")))</f>
        <v/>
      </c>
      <c r="B116" s="37">
        <f>IF(AND(L116="YES",M116="YES",N116="ON/BEFORE",O116="YES",P116="YES"),"YES","NO")</f>
        <v/>
      </c>
      <c r="C116" s="37" t="inlineStr">
        <is>
          <t>SKP-2024-0206</t>
        </is>
      </c>
      <c r="D116" s="37" t="inlineStr">
        <is>
          <t>OFR-2024-0724</t>
        </is>
      </c>
      <c r="E116" s="38" t="n">
        <v>45390</v>
      </c>
      <c r="F116" s="37" t="inlineStr">
        <is>
          <t>WL-03018</t>
        </is>
      </c>
      <c r="G116" s="37">
        <f>IFERROR(INDEX(Applicants!$C$2:$C$2911,MATCH(F116,Applicants!$A$2:$A$2911,0))&amp;" "&amp;INDEX(Applicants!$B$2:$B$2911,MATCH(F116,Applicants!$A$2:$A$2911,0)),"")</f>
        <v/>
      </c>
      <c r="H116" s="37" t="inlineStr">
        <is>
          <t>VB-0617</t>
        </is>
      </c>
      <c r="I116" s="37" t="inlineStr">
        <is>
          <t>Vessbank</t>
        </is>
      </c>
      <c r="J116" s="37" t="inlineStr">
        <is>
          <t>vessel-fit</t>
        </is>
      </c>
      <c r="K116" s="38" t="n">
        <v>45391</v>
      </c>
      <c r="L116" s="37">
        <f>IF(COUNTIFS('Skip Docs'!$A$2:$A$7,F116,'Skip Docs'!$C$2:$C$7,E116)&gt;0,"YES","NO")</f>
        <v/>
      </c>
      <c r="M116" s="37">
        <f>IF(L116="NO","NO",INDEX('Skip Docs'!$G$2:$G$7,MATCH(1,INDEX(('Skip Docs'!$A$2:$A$7=F116)*('Skip Docs'!$C$2:$C$7=E116),0),0)))</f>
        <v/>
      </c>
      <c r="N116" s="37">
        <f>IF(K116&lt;=E116,"ON/BEFORE","LATE")</f>
        <v/>
      </c>
      <c r="O116" s="37">
        <f>IF(COUNTIFS(Offers!$A$2:$A$1487,D116,Offers!$C$2:$C$1487,F116,Offers!$B$2:$B$1487,E116,Offers!$E$2:$E$1487,H116,Offers!$I$2:$I$1487,"SKIPPED")=1,"YES","NO")</f>
        <v/>
      </c>
      <c r="P116" s="37">
        <f>IF(L116="NO","N/A",IF(COUNTIFS('Skip Docs'!$A$2:$A$7,F116,'Skip Docs'!$C$2:$C$7,E116,'Skip Docs'!$D$2:$D$7,H116,'Skip Docs'!$E$2:$E$7,J116)=1,"YES","NO"))</f>
        <v/>
      </c>
      <c r="Q116" s="37" t="inlineStr">
        <is>
          <t>Y</t>
        </is>
      </c>
      <c r="R116" s="37" t="inlineStr">
        <is>
          <t>SUSTAINED</t>
        </is>
      </c>
      <c r="S116" s="37">
        <f>IF(B116="YES","Verified contemporaneous proof",IF(L116="NO","No justification PDF supplied",IF(M116="NO","PDF is cover-only",IF(P116="NO","PDF content does not match logged slip/reason",IF(O116="NO","Offer event does not reconcile","Assembled after skip date")))))</f>
        <v/>
      </c>
    </row>
    <row r="117">
      <c r="A117" s="37">
        <f>IF(M117="NO","Priority 1",IF(N117="LATE","Priority 2",IF(B117="YES","OK","Priority 1")))</f>
        <v/>
      </c>
      <c r="B117" s="37">
        <f>IF(AND(L117="YES",M117="YES",N117="ON/BEFORE",O117="YES",P117="YES"),"YES","NO")</f>
        <v/>
      </c>
      <c r="C117" s="37" t="inlineStr">
        <is>
          <t>SKP-2024-0207</t>
        </is>
      </c>
      <c r="D117" s="37" t="inlineStr">
        <is>
          <t>OFR-2024-0729</t>
        </is>
      </c>
      <c r="E117" s="38" t="n">
        <v>45403</v>
      </c>
      <c r="F117" s="37" t="inlineStr">
        <is>
          <t>WL-02948</t>
        </is>
      </c>
      <c r="G117" s="37">
        <f>IFERROR(INDEX(Applicants!$C$2:$C$2911,MATCH(F117,Applicants!$A$2:$A$2911,0))&amp;" "&amp;INDEX(Applicants!$B$2:$B$2911,MATCH(F117,Applicants!$A$2:$A$2911,0)),"")</f>
        <v/>
      </c>
      <c r="H117" s="37" t="inlineStr">
        <is>
          <t>GW-1013</t>
        </is>
      </c>
      <c r="I117" s="37" t="inlineStr">
        <is>
          <t>Gullwing</t>
        </is>
      </c>
      <c r="J117" s="37" t="inlineStr">
        <is>
          <t>vessel-fit</t>
        </is>
      </c>
      <c r="K117" s="38" t="n">
        <v>45406</v>
      </c>
      <c r="L117" s="37">
        <f>IF(COUNTIFS('Skip Docs'!$A$2:$A$7,F117,'Skip Docs'!$C$2:$C$7,E117)&gt;0,"YES","NO")</f>
        <v/>
      </c>
      <c r="M117" s="37">
        <f>IF(L117="NO","NO",INDEX('Skip Docs'!$G$2:$G$7,MATCH(1,INDEX(('Skip Docs'!$A$2:$A$7=F117)*('Skip Docs'!$C$2:$C$7=E117),0),0)))</f>
        <v/>
      </c>
      <c r="N117" s="37">
        <f>IF(K117&lt;=E117,"ON/BEFORE","LATE")</f>
        <v/>
      </c>
      <c r="O117" s="37">
        <f>IF(COUNTIFS(Offers!$A$2:$A$1487,D117,Offers!$C$2:$C$1487,F117,Offers!$B$2:$B$1487,E117,Offers!$E$2:$E$1487,H117,Offers!$I$2:$I$1487,"SKIPPED")=1,"YES","NO")</f>
        <v/>
      </c>
      <c r="P117" s="37">
        <f>IF(L117="NO","N/A",IF(COUNTIFS('Skip Docs'!$A$2:$A$7,F117,'Skip Docs'!$C$2:$C$7,E117,'Skip Docs'!$D$2:$D$7,H117,'Skip Docs'!$E$2:$E$7,J117)=1,"YES","NO"))</f>
        <v/>
      </c>
      <c r="Q117" s="37" t="inlineStr">
        <is>
          <t>N</t>
        </is>
      </c>
      <c r="R117" s="37" t="inlineStr">
        <is>
          <t>SUSTAINED</t>
        </is>
      </c>
      <c r="S117" s="37">
        <f>IF(B117="YES","Verified contemporaneous proof",IF(L117="NO","No justification PDF supplied",IF(M117="NO","PDF is cover-only",IF(P117="NO","PDF content does not match logged slip/reason",IF(O117="NO","Offer event does not reconcile","Assembled after skip date")))))</f>
        <v/>
      </c>
    </row>
    <row r="118">
      <c r="A118" s="37">
        <f>IF(M118="NO","Priority 1",IF(N118="LATE","Priority 2",IF(B118="YES","OK","Priority 1")))</f>
        <v/>
      </c>
      <c r="B118" s="37">
        <f>IF(AND(L118="YES",M118="YES",N118="ON/BEFORE",O118="YES",P118="YES"),"YES","NO")</f>
        <v/>
      </c>
      <c r="C118" s="37" t="inlineStr">
        <is>
          <t>SKP-2024-0208</t>
        </is>
      </c>
      <c r="D118" s="37" t="inlineStr">
        <is>
          <t>OFR-2024-0737</t>
        </is>
      </c>
      <c r="E118" s="38" t="n">
        <v>45420</v>
      </c>
      <c r="F118" s="37" t="inlineStr">
        <is>
          <t>WL-02305</t>
        </is>
      </c>
      <c r="G118" s="37">
        <f>IFERROR(INDEX(Applicants!$C$2:$C$2911,MATCH(F118,Applicants!$A$2:$A$2911,0))&amp;" "&amp;INDEX(Applicants!$B$2:$B$2911,MATCH(F118,Applicants!$A$2:$A$2911,0)),"")</f>
        <v/>
      </c>
      <c r="H118" s="37" t="inlineStr">
        <is>
          <t>GW-0823</t>
        </is>
      </c>
      <c r="I118" s="37" t="inlineStr">
        <is>
          <t>Gullwing</t>
        </is>
      </c>
      <c r="J118" s="37" t="inlineStr">
        <is>
          <t>declined-prior-offer</t>
        </is>
      </c>
      <c r="K118" s="38" t="n">
        <v>45420</v>
      </c>
      <c r="L118" s="37">
        <f>IF(COUNTIFS('Skip Docs'!$A$2:$A$7,F118,'Skip Docs'!$C$2:$C$7,E118)&gt;0,"YES","NO")</f>
        <v/>
      </c>
      <c r="M118" s="37">
        <f>IF(L118="NO","NO",INDEX('Skip Docs'!$G$2:$G$7,MATCH(1,INDEX(('Skip Docs'!$A$2:$A$7=F118)*('Skip Docs'!$C$2:$C$7=E118),0),0)))</f>
        <v/>
      </c>
      <c r="N118" s="37">
        <f>IF(K118&lt;=E118,"ON/BEFORE","LATE")</f>
        <v/>
      </c>
      <c r="O118" s="37">
        <f>IF(COUNTIFS(Offers!$A$2:$A$1487,D118,Offers!$C$2:$C$1487,F118,Offers!$B$2:$B$1487,E118,Offers!$E$2:$E$1487,H118,Offers!$I$2:$I$1487,"SKIPPED")=1,"YES","NO")</f>
        <v/>
      </c>
      <c r="P118" s="37">
        <f>IF(L118="NO","N/A",IF(COUNTIFS('Skip Docs'!$A$2:$A$7,F118,'Skip Docs'!$C$2:$C$7,E118,'Skip Docs'!$D$2:$D$7,H118,'Skip Docs'!$E$2:$E$7,J118)=1,"YES","NO"))</f>
        <v/>
      </c>
      <c r="Q118" s="37" t="inlineStr">
        <is>
          <t>Y</t>
        </is>
      </c>
      <c r="R118" s="37" t="inlineStr">
        <is>
          <t>SUSTAINED</t>
        </is>
      </c>
      <c r="S118" s="37">
        <f>IF(B118="YES","Verified contemporaneous proof",IF(L118="NO","No justification PDF supplied",IF(M118="NO","PDF is cover-only",IF(P118="NO","PDF content does not match logged slip/reason",IF(O118="NO","Offer event does not reconcile","Assembled after skip date")))))</f>
        <v/>
      </c>
    </row>
    <row r="119">
      <c r="A119" s="37">
        <f>IF(M119="NO","Priority 1",IF(N119="LATE","Priority 2",IF(B119="YES","OK","Priority 1")))</f>
        <v/>
      </c>
      <c r="B119" s="37">
        <f>IF(AND(L119="YES",M119="YES",N119="ON/BEFORE",O119="YES",P119="YES"),"YES","NO")</f>
        <v/>
      </c>
      <c r="C119" s="37" t="inlineStr">
        <is>
          <t>SKP-2024-0209</t>
        </is>
      </c>
      <c r="D119" s="37" t="inlineStr">
        <is>
          <t>OFR-2024-0746</t>
        </is>
      </c>
      <c r="E119" s="38" t="n">
        <v>45425</v>
      </c>
      <c r="F119" s="37" t="inlineStr">
        <is>
          <t>WL-01675</t>
        </is>
      </c>
      <c r="G119" s="37">
        <f>IFERROR(INDEX(Applicants!$C$2:$C$2911,MATCH(F119,Applicants!$A$2:$A$2911,0))&amp;" "&amp;INDEX(Applicants!$B$2:$B$2911,MATCH(F119,Applicants!$A$2:$A$2911,0)),"")</f>
        <v/>
      </c>
      <c r="H119" s="37" t="inlineStr">
        <is>
          <t>VB-0808</t>
        </is>
      </c>
      <c r="I119" s="37" t="inlineStr">
        <is>
          <t>Vessbank</t>
        </is>
      </c>
      <c r="J119" s="37" t="inlineStr">
        <is>
          <t>preference-mismatch</t>
        </is>
      </c>
      <c r="K119" s="38" t="n">
        <v>45427</v>
      </c>
      <c r="L119" s="37">
        <f>IF(COUNTIFS('Skip Docs'!$A$2:$A$7,F119,'Skip Docs'!$C$2:$C$7,E119)&gt;0,"YES","NO")</f>
        <v/>
      </c>
      <c r="M119" s="37">
        <f>IF(L119="NO","NO",INDEX('Skip Docs'!$G$2:$G$7,MATCH(1,INDEX(('Skip Docs'!$A$2:$A$7=F119)*('Skip Docs'!$C$2:$C$7=E119),0),0)))</f>
        <v/>
      </c>
      <c r="N119" s="37">
        <f>IF(K119&lt;=E119,"ON/BEFORE","LATE")</f>
        <v/>
      </c>
      <c r="O119" s="37">
        <f>IF(COUNTIFS(Offers!$A$2:$A$1487,D119,Offers!$C$2:$C$1487,F119,Offers!$B$2:$B$1487,E119,Offers!$E$2:$E$1487,H119,Offers!$I$2:$I$1487,"SKIPPED")=1,"YES","NO")</f>
        <v/>
      </c>
      <c r="P119" s="37">
        <f>IF(L119="NO","N/A",IF(COUNTIFS('Skip Docs'!$A$2:$A$7,F119,'Skip Docs'!$C$2:$C$7,E119,'Skip Docs'!$D$2:$D$7,H119,'Skip Docs'!$E$2:$E$7,J119)=1,"YES","NO"))</f>
        <v/>
      </c>
      <c r="Q119" s="37" t="inlineStr">
        <is>
          <t>Y</t>
        </is>
      </c>
      <c r="R119" s="37" t="inlineStr">
        <is>
          <t>SUSTAINED</t>
        </is>
      </c>
      <c r="S119" s="37">
        <f>IF(B119="YES","Verified contemporaneous proof",IF(L119="NO","No justification PDF supplied",IF(M119="NO","PDF is cover-only",IF(P119="NO","PDF content does not match logged slip/reason",IF(O119="NO","Offer event does not reconcile","Assembled after skip date")))))</f>
        <v/>
      </c>
    </row>
    <row r="120">
      <c r="A120" s="37">
        <f>IF(M120="NO","Priority 1",IF(N120="LATE","Priority 2",IF(B120="YES","OK","Priority 1")))</f>
        <v/>
      </c>
      <c r="B120" s="37">
        <f>IF(AND(L120="YES",M120="YES",N120="ON/BEFORE",O120="YES",P120="YES"),"YES","NO")</f>
        <v/>
      </c>
      <c r="C120" s="37" t="inlineStr">
        <is>
          <t>SKP-2024-0210</t>
        </is>
      </c>
      <c r="D120" s="37" t="inlineStr">
        <is>
          <t>OFR-2024-0747</t>
        </is>
      </c>
      <c r="E120" s="38" t="n">
        <v>45435</v>
      </c>
      <c r="F120" s="37" t="inlineStr">
        <is>
          <t>WL-01242</t>
        </is>
      </c>
      <c r="G120" s="37">
        <f>IFERROR(INDEX(Applicants!$C$2:$C$2911,MATCH(F120,Applicants!$A$2:$A$2911,0))&amp;" "&amp;INDEX(Applicants!$B$2:$B$2911,MATCH(F120,Applicants!$A$2:$A$2911,0)),"")</f>
        <v/>
      </c>
      <c r="H120" s="37" t="inlineStr">
        <is>
          <t>GW-0905</t>
        </is>
      </c>
      <c r="I120" s="37" t="inlineStr">
        <is>
          <t>Gullwing</t>
        </is>
      </c>
      <c r="J120" s="37" t="inlineStr">
        <is>
          <t>declined-prior-offer</t>
        </is>
      </c>
      <c r="K120" s="38" t="n">
        <v>45436</v>
      </c>
      <c r="L120" s="37">
        <f>IF(COUNTIFS('Skip Docs'!$A$2:$A$7,F120,'Skip Docs'!$C$2:$C$7,E120)&gt;0,"YES","NO")</f>
        <v/>
      </c>
      <c r="M120" s="37">
        <f>IF(L120="NO","NO",INDEX('Skip Docs'!$G$2:$G$7,MATCH(1,INDEX(('Skip Docs'!$A$2:$A$7=F120)*('Skip Docs'!$C$2:$C$7=E120),0),0)))</f>
        <v/>
      </c>
      <c r="N120" s="37">
        <f>IF(K120&lt;=E120,"ON/BEFORE","LATE")</f>
        <v/>
      </c>
      <c r="O120" s="37">
        <f>IF(COUNTIFS(Offers!$A$2:$A$1487,D120,Offers!$C$2:$C$1487,F120,Offers!$B$2:$B$1487,E120,Offers!$E$2:$E$1487,H120,Offers!$I$2:$I$1487,"SKIPPED")=1,"YES","NO")</f>
        <v/>
      </c>
      <c r="P120" s="37">
        <f>IF(L120="NO","N/A",IF(COUNTIFS('Skip Docs'!$A$2:$A$7,F120,'Skip Docs'!$C$2:$C$7,E120,'Skip Docs'!$D$2:$D$7,H120,'Skip Docs'!$E$2:$E$7,J120)=1,"YES","NO"))</f>
        <v/>
      </c>
      <c r="Q120" s="37" t="inlineStr">
        <is>
          <t>Y</t>
        </is>
      </c>
      <c r="R120" s="37" t="inlineStr">
        <is>
          <t>SUSTAINED</t>
        </is>
      </c>
      <c r="S120" s="37">
        <f>IF(B120="YES","Verified contemporaneous proof",IF(L120="NO","No justification PDF supplied",IF(M120="NO","PDF is cover-only",IF(P120="NO","PDF content does not match logged slip/reason",IF(O120="NO","Offer event does not reconcile","Assembled after skip date")))))</f>
        <v/>
      </c>
    </row>
    <row r="121">
      <c r="A121" s="37">
        <f>IF(M121="NO","Priority 1",IF(N121="LATE","Priority 2",IF(B121="YES","OK","Priority 1")))</f>
        <v/>
      </c>
      <c r="B121" s="37">
        <f>IF(AND(L121="YES",M121="YES",N121="ON/BEFORE",O121="YES",P121="YES"),"YES","NO")</f>
        <v/>
      </c>
      <c r="C121" s="37" t="inlineStr">
        <is>
          <t>SKP-2024-0211</t>
        </is>
      </c>
      <c r="D121" s="37" t="inlineStr">
        <is>
          <t>OFR-2024-0752</t>
        </is>
      </c>
      <c r="E121" s="38" t="n">
        <v>45431</v>
      </c>
      <c r="F121" s="37" t="inlineStr">
        <is>
          <t>WL-01536</t>
        </is>
      </c>
      <c r="G121" s="37">
        <f>IFERROR(INDEX(Applicants!$C$2:$C$2911,MATCH(F121,Applicants!$A$2:$A$2911,0))&amp;" "&amp;INDEX(Applicants!$B$2:$B$2911,MATCH(F121,Applicants!$A$2:$A$2911,0)),"")</f>
        <v/>
      </c>
      <c r="H121" s="37" t="inlineStr">
        <is>
          <t>GW-0522</t>
        </is>
      </c>
      <c r="I121" s="37" t="inlineStr">
        <is>
          <t>Gullwing</t>
        </is>
      </c>
      <c r="J121" s="37" t="inlineStr">
        <is>
          <t>not-current</t>
        </is>
      </c>
      <c r="K121" s="38" t="n">
        <v>45432</v>
      </c>
      <c r="L121" s="37">
        <f>IF(COUNTIFS('Skip Docs'!$A$2:$A$7,F121,'Skip Docs'!$C$2:$C$7,E121)&gt;0,"YES","NO")</f>
        <v/>
      </c>
      <c r="M121" s="37">
        <f>IF(L121="NO","NO",INDEX('Skip Docs'!$G$2:$G$7,MATCH(1,INDEX(('Skip Docs'!$A$2:$A$7=F121)*('Skip Docs'!$C$2:$C$7=E121),0),0)))</f>
        <v/>
      </c>
      <c r="N121" s="37">
        <f>IF(K121&lt;=E121,"ON/BEFORE","LATE")</f>
        <v/>
      </c>
      <c r="O121" s="37">
        <f>IF(COUNTIFS(Offers!$A$2:$A$1487,D121,Offers!$C$2:$C$1487,F121,Offers!$B$2:$B$1487,E121,Offers!$E$2:$E$1487,H121,Offers!$I$2:$I$1487,"SKIPPED")=1,"YES","NO")</f>
        <v/>
      </c>
      <c r="P121" s="37">
        <f>IF(L121="NO","N/A",IF(COUNTIFS('Skip Docs'!$A$2:$A$7,F121,'Skip Docs'!$C$2:$C$7,E121,'Skip Docs'!$D$2:$D$7,H121,'Skip Docs'!$E$2:$E$7,J121)=1,"YES","NO"))</f>
        <v/>
      </c>
      <c r="Q121" s="37" t="inlineStr">
        <is>
          <t>Y</t>
        </is>
      </c>
      <c r="R121" s="37" t="inlineStr">
        <is>
          <t>SUSTAINED</t>
        </is>
      </c>
      <c r="S121" s="37">
        <f>IF(B121="YES","Verified contemporaneous proof",IF(L121="NO","No justification PDF supplied",IF(M121="NO","PDF is cover-only",IF(P121="NO","PDF content does not match logged slip/reason",IF(O121="NO","Offer event does not reconcile","Assembled after skip date")))))</f>
        <v/>
      </c>
    </row>
    <row r="122">
      <c r="A122" s="37">
        <f>IF(M122="NO","Priority 1",IF(N122="LATE","Priority 2",IF(B122="YES","OK","Priority 1")))</f>
        <v/>
      </c>
      <c r="B122" s="37">
        <f>IF(AND(L122="YES",M122="YES",N122="ON/BEFORE",O122="YES",P122="YES"),"YES","NO")</f>
        <v/>
      </c>
      <c r="C122" s="37" t="inlineStr">
        <is>
          <t>SKP-2024-0212</t>
        </is>
      </c>
      <c r="D122" s="37" t="inlineStr">
        <is>
          <t>OFR-2024-0755</t>
        </is>
      </c>
      <c r="E122" s="38" t="n">
        <v>45434</v>
      </c>
      <c r="F122" s="37" t="inlineStr">
        <is>
          <t>WL-02013</t>
        </is>
      </c>
      <c r="G122" s="37">
        <f>IFERROR(INDEX(Applicants!$C$2:$C$2911,MATCH(F122,Applicants!$A$2:$A$2911,0))&amp;" "&amp;INDEX(Applicants!$B$2:$B$2911,MATCH(F122,Applicants!$A$2:$A$2911,0)),"")</f>
        <v/>
      </c>
      <c r="H122" s="37" t="inlineStr">
        <is>
          <t>VB-0602</t>
        </is>
      </c>
      <c r="I122" s="37" t="inlineStr">
        <is>
          <t>Vessbank</t>
        </is>
      </c>
      <c r="J122" s="37" t="inlineStr">
        <is>
          <t>not-current</t>
        </is>
      </c>
      <c r="K122" s="38" t="n">
        <v>45435</v>
      </c>
      <c r="L122" s="37">
        <f>IF(COUNTIFS('Skip Docs'!$A$2:$A$7,F122,'Skip Docs'!$C$2:$C$7,E122)&gt;0,"YES","NO")</f>
        <v/>
      </c>
      <c r="M122" s="37">
        <f>IF(L122="NO","NO",INDEX('Skip Docs'!$G$2:$G$7,MATCH(1,INDEX(('Skip Docs'!$A$2:$A$7=F122)*('Skip Docs'!$C$2:$C$7=E122),0),0)))</f>
        <v/>
      </c>
      <c r="N122" s="37">
        <f>IF(K122&lt;=E122,"ON/BEFORE","LATE")</f>
        <v/>
      </c>
      <c r="O122" s="37">
        <f>IF(COUNTIFS(Offers!$A$2:$A$1487,D122,Offers!$C$2:$C$1487,F122,Offers!$B$2:$B$1487,E122,Offers!$E$2:$E$1487,H122,Offers!$I$2:$I$1487,"SKIPPED")=1,"YES","NO")</f>
        <v/>
      </c>
      <c r="P122" s="37">
        <f>IF(L122="NO","N/A",IF(COUNTIFS('Skip Docs'!$A$2:$A$7,F122,'Skip Docs'!$C$2:$C$7,E122,'Skip Docs'!$D$2:$D$7,H122,'Skip Docs'!$E$2:$E$7,J122)=1,"YES","NO"))</f>
        <v/>
      </c>
      <c r="Q122" s="37" t="inlineStr">
        <is>
          <t>Y</t>
        </is>
      </c>
      <c r="R122" s="37" t="inlineStr">
        <is>
          <t>SUSTAINED</t>
        </is>
      </c>
      <c r="S122" s="37">
        <f>IF(B122="YES","Verified contemporaneous proof",IF(L122="NO","No justification PDF supplied",IF(M122="NO","PDF is cover-only",IF(P122="NO","PDF content does not match logged slip/reason",IF(O122="NO","Offer event does not reconcile","Assembled after skip date")))))</f>
        <v/>
      </c>
    </row>
    <row r="123">
      <c r="A123" s="37">
        <f>IF(M123="NO","Priority 1",IF(N123="LATE","Priority 2",IF(B123="YES","OK","Priority 1")))</f>
        <v/>
      </c>
      <c r="B123" s="37">
        <f>IF(AND(L123="YES",M123="YES",N123="ON/BEFORE",O123="YES",P123="YES"),"YES","NO")</f>
        <v/>
      </c>
      <c r="C123" s="37" t="inlineStr">
        <is>
          <t>SKP-2024-0213</t>
        </is>
      </c>
      <c r="D123" s="37" t="inlineStr">
        <is>
          <t>OFR-2024-0759</t>
        </is>
      </c>
      <c r="E123" s="38" t="n">
        <v>45427</v>
      </c>
      <c r="F123" s="37" t="inlineStr">
        <is>
          <t>WL-01753</t>
        </is>
      </c>
      <c r="G123" s="37">
        <f>IFERROR(INDEX(Applicants!$C$2:$C$2911,MATCH(F123,Applicants!$A$2:$A$2911,0))&amp;" "&amp;INDEX(Applicants!$B$2:$B$2911,MATCH(F123,Applicants!$A$2:$A$2911,0)),"")</f>
        <v/>
      </c>
      <c r="H123" s="37" t="inlineStr">
        <is>
          <t>LP-0722</t>
        </is>
      </c>
      <c r="I123" s="37" t="inlineStr">
        <is>
          <t>Ledgport</t>
        </is>
      </c>
      <c r="J123" s="37" t="inlineStr">
        <is>
          <t>declined-prior-offer</t>
        </is>
      </c>
      <c r="K123" s="38" t="n">
        <v>45431</v>
      </c>
      <c r="L123" s="37">
        <f>IF(COUNTIFS('Skip Docs'!$A$2:$A$7,F123,'Skip Docs'!$C$2:$C$7,E123)&gt;0,"YES","NO")</f>
        <v/>
      </c>
      <c r="M123" s="37">
        <f>IF(L123="NO","NO",INDEX('Skip Docs'!$G$2:$G$7,MATCH(1,INDEX(('Skip Docs'!$A$2:$A$7=F123)*('Skip Docs'!$C$2:$C$7=E123),0),0)))</f>
        <v/>
      </c>
      <c r="N123" s="37">
        <f>IF(K123&lt;=E123,"ON/BEFORE","LATE")</f>
        <v/>
      </c>
      <c r="O123" s="37">
        <f>IF(COUNTIFS(Offers!$A$2:$A$1487,D123,Offers!$C$2:$C$1487,F123,Offers!$B$2:$B$1487,E123,Offers!$E$2:$E$1487,H123,Offers!$I$2:$I$1487,"SKIPPED")=1,"YES","NO")</f>
        <v/>
      </c>
      <c r="P123" s="37">
        <f>IF(L123="NO","N/A",IF(COUNTIFS('Skip Docs'!$A$2:$A$7,F123,'Skip Docs'!$C$2:$C$7,E123,'Skip Docs'!$D$2:$D$7,H123,'Skip Docs'!$E$2:$E$7,J123)=1,"YES","NO"))</f>
        <v/>
      </c>
      <c r="Q123" s="37" t="inlineStr">
        <is>
          <t>Y</t>
        </is>
      </c>
      <c r="R123" s="37" t="inlineStr">
        <is>
          <t>SUSTAINED</t>
        </is>
      </c>
      <c r="S123" s="37">
        <f>IF(B123="YES","Verified contemporaneous proof",IF(L123="NO","No justification PDF supplied",IF(M123="NO","PDF is cover-only",IF(P123="NO","PDF content does not match logged slip/reason",IF(O123="NO","Offer event does not reconcile","Assembled after skip date")))))</f>
        <v/>
      </c>
    </row>
    <row r="124">
      <c r="A124" s="37">
        <f>IF(M124="NO","Priority 1",IF(N124="LATE","Priority 2",IF(B124="YES","OK","Priority 1")))</f>
        <v/>
      </c>
      <c r="B124" s="37">
        <f>IF(AND(L124="YES",M124="YES",N124="ON/BEFORE",O124="YES",P124="YES"),"YES","NO")</f>
        <v/>
      </c>
      <c r="C124" s="37" t="inlineStr">
        <is>
          <t>SKP-2024-0214</t>
        </is>
      </c>
      <c r="D124" s="37" t="inlineStr">
        <is>
          <t>OFR-2024-0762</t>
        </is>
      </c>
      <c r="E124" s="38" t="n">
        <v>45413</v>
      </c>
      <c r="F124" s="37" t="inlineStr">
        <is>
          <t>WL-01318</t>
        </is>
      </c>
      <c r="G124" s="37">
        <f>IFERROR(INDEX(Applicants!$C$2:$C$2911,MATCH(F124,Applicants!$A$2:$A$2911,0))&amp;" "&amp;INDEX(Applicants!$B$2:$B$2911,MATCH(F124,Applicants!$A$2:$A$2911,0)),"")</f>
        <v/>
      </c>
      <c r="H124" s="37" t="inlineStr">
        <is>
          <t>SB-0405</t>
        </is>
      </c>
      <c r="I124" s="37" t="inlineStr">
        <is>
          <t>Salmonberry</t>
        </is>
      </c>
      <c r="J124" s="37" t="inlineStr">
        <is>
          <t>preference-mismatch</t>
        </is>
      </c>
      <c r="K124" s="38" t="n">
        <v>45416</v>
      </c>
      <c r="L124" s="37">
        <f>IF(COUNTIFS('Skip Docs'!$A$2:$A$7,F124,'Skip Docs'!$C$2:$C$7,E124)&gt;0,"YES","NO")</f>
        <v/>
      </c>
      <c r="M124" s="37">
        <f>IF(L124="NO","NO",INDEX('Skip Docs'!$G$2:$G$7,MATCH(1,INDEX(('Skip Docs'!$A$2:$A$7=F124)*('Skip Docs'!$C$2:$C$7=E124),0),0)))</f>
        <v/>
      </c>
      <c r="N124" s="37">
        <f>IF(K124&lt;=E124,"ON/BEFORE","LATE")</f>
        <v/>
      </c>
      <c r="O124" s="37">
        <f>IF(COUNTIFS(Offers!$A$2:$A$1487,D124,Offers!$C$2:$C$1487,F124,Offers!$B$2:$B$1487,E124,Offers!$E$2:$E$1487,H124,Offers!$I$2:$I$1487,"SKIPPED")=1,"YES","NO")</f>
        <v/>
      </c>
      <c r="P124" s="37">
        <f>IF(L124="NO","N/A",IF(COUNTIFS('Skip Docs'!$A$2:$A$7,F124,'Skip Docs'!$C$2:$C$7,E124,'Skip Docs'!$D$2:$D$7,H124,'Skip Docs'!$E$2:$E$7,J124)=1,"YES","NO"))</f>
        <v/>
      </c>
      <c r="Q124" s="37" t="inlineStr">
        <is>
          <t>Y</t>
        </is>
      </c>
      <c r="R124" s="37" t="inlineStr">
        <is>
          <t>SUSTAINED</t>
        </is>
      </c>
      <c r="S124" s="37">
        <f>IF(B124="YES","Verified contemporaneous proof",IF(L124="NO","No justification PDF supplied",IF(M124="NO","PDF is cover-only",IF(P124="NO","PDF content does not match logged slip/reason",IF(O124="NO","Offer event does not reconcile","Assembled after skip date")))))</f>
        <v/>
      </c>
    </row>
    <row r="125">
      <c r="A125" s="37">
        <f>IF(M125="NO","Priority 1",IF(N125="LATE","Priority 2",IF(B125="YES","OK","Priority 1")))</f>
        <v/>
      </c>
      <c r="B125" s="37">
        <f>IF(AND(L125="YES",M125="YES",N125="ON/BEFORE",O125="YES",P125="YES"),"YES","NO")</f>
        <v/>
      </c>
      <c r="C125" s="37" t="inlineStr">
        <is>
          <t>SKP-2024-0215</t>
        </is>
      </c>
      <c r="D125" s="37" t="inlineStr">
        <is>
          <t>OFR-2024-0766</t>
        </is>
      </c>
      <c r="E125" s="38" t="n">
        <v>45433</v>
      </c>
      <c r="F125" s="37" t="inlineStr">
        <is>
          <t>WL-03891</t>
        </is>
      </c>
      <c r="G125" s="37">
        <f>IFERROR(INDEX(Applicants!$C$2:$C$2911,MATCH(F125,Applicants!$A$2:$A$2911,0))&amp;" "&amp;INDEX(Applicants!$B$2:$B$2911,MATCH(F125,Applicants!$A$2:$A$2911,0)),"")</f>
        <v/>
      </c>
      <c r="H125" s="37" t="inlineStr">
        <is>
          <t>EW-0607</t>
        </is>
      </c>
      <c r="I125" s="37" t="inlineStr">
        <is>
          <t>Eastwey</t>
        </is>
      </c>
      <c r="J125" s="37" t="inlineStr">
        <is>
          <t>vessel-fit</t>
        </is>
      </c>
      <c r="K125" s="38" t="n">
        <v>45433</v>
      </c>
      <c r="L125" s="37">
        <f>IF(COUNTIFS('Skip Docs'!$A$2:$A$7,F125,'Skip Docs'!$C$2:$C$7,E125)&gt;0,"YES","NO")</f>
        <v/>
      </c>
      <c r="M125" s="37">
        <f>IF(L125="NO","NO",INDEX('Skip Docs'!$G$2:$G$7,MATCH(1,INDEX(('Skip Docs'!$A$2:$A$7=F125)*('Skip Docs'!$C$2:$C$7=E125),0),0)))</f>
        <v/>
      </c>
      <c r="N125" s="37">
        <f>IF(K125&lt;=E125,"ON/BEFORE","LATE")</f>
        <v/>
      </c>
      <c r="O125" s="37">
        <f>IF(COUNTIFS(Offers!$A$2:$A$1487,D125,Offers!$C$2:$C$1487,F125,Offers!$B$2:$B$1487,E125,Offers!$E$2:$E$1487,H125,Offers!$I$2:$I$1487,"SKIPPED")=1,"YES","NO")</f>
        <v/>
      </c>
      <c r="P125" s="37">
        <f>IF(L125="NO","N/A",IF(COUNTIFS('Skip Docs'!$A$2:$A$7,F125,'Skip Docs'!$C$2:$C$7,E125,'Skip Docs'!$D$2:$D$7,H125,'Skip Docs'!$E$2:$E$7,J125)=1,"YES","NO"))</f>
        <v/>
      </c>
      <c r="Q125" s="37" t="inlineStr">
        <is>
          <t>Y</t>
        </is>
      </c>
      <c r="R125" s="37" t="inlineStr">
        <is>
          <t>SUSTAINED</t>
        </is>
      </c>
      <c r="S125" s="37">
        <f>IF(B125="YES","Verified contemporaneous proof",IF(L125="NO","No justification PDF supplied",IF(M125="NO","PDF is cover-only",IF(P125="NO","PDF content does not match logged slip/reason",IF(O125="NO","Offer event does not reconcile","Assembled after skip date")))))</f>
        <v/>
      </c>
    </row>
    <row r="126">
      <c r="A126" s="37">
        <f>IF(M126="NO","Priority 1",IF(N126="LATE","Priority 2",IF(B126="YES","OK","Priority 1")))</f>
        <v/>
      </c>
      <c r="B126" s="37">
        <f>IF(AND(L126="YES",M126="YES",N126="ON/BEFORE",O126="YES",P126="YES"),"YES","NO")</f>
        <v/>
      </c>
      <c r="C126" s="37" t="inlineStr">
        <is>
          <t>SKP-2024-0216</t>
        </is>
      </c>
      <c r="D126" s="37" t="inlineStr">
        <is>
          <t>OFR-2024-0772</t>
        </is>
      </c>
      <c r="E126" s="38" t="n">
        <v>45455</v>
      </c>
      <c r="F126" s="37" t="inlineStr">
        <is>
          <t>WL-03026</t>
        </is>
      </c>
      <c r="G126" s="37">
        <f>IFERROR(INDEX(Applicants!$C$2:$C$2911,MATCH(F126,Applicants!$A$2:$A$2911,0))&amp;" "&amp;INDEX(Applicants!$B$2:$B$2911,MATCH(F126,Applicants!$A$2:$A$2911,0)),"")</f>
        <v/>
      </c>
      <c r="H126" s="37" t="inlineStr">
        <is>
          <t>LP-0324</t>
        </is>
      </c>
      <c r="I126" s="37" t="inlineStr">
        <is>
          <t>Ledgport</t>
        </is>
      </c>
      <c r="J126" s="37" t="inlineStr">
        <is>
          <t>not-current</t>
        </is>
      </c>
      <c r="K126" s="38" t="n">
        <v>45456</v>
      </c>
      <c r="L126" s="37">
        <f>IF(COUNTIFS('Skip Docs'!$A$2:$A$7,F126,'Skip Docs'!$C$2:$C$7,E126)&gt;0,"YES","NO")</f>
        <v/>
      </c>
      <c r="M126" s="37">
        <f>IF(L126="NO","NO",INDEX('Skip Docs'!$G$2:$G$7,MATCH(1,INDEX(('Skip Docs'!$A$2:$A$7=F126)*('Skip Docs'!$C$2:$C$7=E126),0),0)))</f>
        <v/>
      </c>
      <c r="N126" s="37">
        <f>IF(K126&lt;=E126,"ON/BEFORE","LATE")</f>
        <v/>
      </c>
      <c r="O126" s="37">
        <f>IF(COUNTIFS(Offers!$A$2:$A$1487,D126,Offers!$C$2:$C$1487,F126,Offers!$B$2:$B$1487,E126,Offers!$E$2:$E$1487,H126,Offers!$I$2:$I$1487,"SKIPPED")=1,"YES","NO")</f>
        <v/>
      </c>
      <c r="P126" s="37">
        <f>IF(L126="NO","N/A",IF(COUNTIFS('Skip Docs'!$A$2:$A$7,F126,'Skip Docs'!$C$2:$C$7,E126,'Skip Docs'!$D$2:$D$7,H126,'Skip Docs'!$E$2:$E$7,J126)=1,"YES","NO"))</f>
        <v/>
      </c>
      <c r="Q126" s="37" t="inlineStr">
        <is>
          <t>Y</t>
        </is>
      </c>
      <c r="R126" s="37" t="inlineStr">
        <is>
          <t>SUSTAINED</t>
        </is>
      </c>
      <c r="S126" s="37">
        <f>IF(B126="YES","Verified contemporaneous proof",IF(L126="NO","No justification PDF supplied",IF(M126="NO","PDF is cover-only",IF(P126="NO","PDF content does not match logged slip/reason",IF(O126="NO","Offer event does not reconcile","Assembled after skip date")))))</f>
        <v/>
      </c>
    </row>
    <row r="127">
      <c r="A127" s="37">
        <f>IF(M127="NO","Priority 1",IF(N127="LATE","Priority 2",IF(B127="YES","OK","Priority 1")))</f>
        <v/>
      </c>
      <c r="B127" s="37">
        <f>IF(AND(L127="YES",M127="YES",N127="ON/BEFORE",O127="YES",P127="YES"),"YES","NO")</f>
        <v/>
      </c>
      <c r="C127" s="37" t="inlineStr">
        <is>
          <t>SKP-2024-0217</t>
        </is>
      </c>
      <c r="D127" s="37" t="inlineStr">
        <is>
          <t>OFR-2024-0774</t>
        </is>
      </c>
      <c r="E127" s="38" t="n">
        <v>45458</v>
      </c>
      <c r="F127" s="37" t="inlineStr">
        <is>
          <t>WL-03245</t>
        </is>
      </c>
      <c r="G127" s="37">
        <f>IFERROR(INDEX(Applicants!$C$2:$C$2911,MATCH(F127,Applicants!$A$2:$A$2911,0))&amp;" "&amp;INDEX(Applicants!$B$2:$B$2911,MATCH(F127,Applicants!$A$2:$A$2911,0)),"")</f>
        <v/>
      </c>
      <c r="H127" s="37" t="inlineStr">
        <is>
          <t>LP-1001</t>
        </is>
      </c>
      <c r="I127" s="37" t="inlineStr">
        <is>
          <t>Ledgport</t>
        </is>
      </c>
      <c r="J127" s="37" t="inlineStr">
        <is>
          <t>vessel-fit</t>
        </is>
      </c>
      <c r="K127" s="38" t="n">
        <v>45463</v>
      </c>
      <c r="L127" s="37">
        <f>IF(COUNTIFS('Skip Docs'!$A$2:$A$7,F127,'Skip Docs'!$C$2:$C$7,E127)&gt;0,"YES","NO")</f>
        <v/>
      </c>
      <c r="M127" s="37">
        <f>IF(L127="NO","NO",INDEX('Skip Docs'!$G$2:$G$7,MATCH(1,INDEX(('Skip Docs'!$A$2:$A$7=F127)*('Skip Docs'!$C$2:$C$7=E127),0),0)))</f>
        <v/>
      </c>
      <c r="N127" s="37">
        <f>IF(K127&lt;=E127,"ON/BEFORE","LATE")</f>
        <v/>
      </c>
      <c r="O127" s="37">
        <f>IF(COUNTIFS(Offers!$A$2:$A$1487,D127,Offers!$C$2:$C$1487,F127,Offers!$B$2:$B$1487,E127,Offers!$E$2:$E$1487,H127,Offers!$I$2:$I$1487,"SKIPPED")=1,"YES","NO")</f>
        <v/>
      </c>
      <c r="P127" s="37">
        <f>IF(L127="NO","N/A",IF(COUNTIFS('Skip Docs'!$A$2:$A$7,F127,'Skip Docs'!$C$2:$C$7,E127,'Skip Docs'!$D$2:$D$7,H127,'Skip Docs'!$E$2:$E$7,J127)=1,"YES","NO"))</f>
        <v/>
      </c>
      <c r="Q127" s="37" t="inlineStr">
        <is>
          <t>Y</t>
        </is>
      </c>
      <c r="R127" s="37" t="inlineStr">
        <is>
          <t>SUSTAINED</t>
        </is>
      </c>
      <c r="S127" s="37">
        <f>IF(B127="YES","Verified contemporaneous proof",IF(L127="NO","No justification PDF supplied",IF(M127="NO","PDF is cover-only",IF(P127="NO","PDF content does not match logged slip/reason",IF(O127="NO","Offer event does not reconcile","Assembled after skip date")))))</f>
        <v/>
      </c>
    </row>
    <row r="128">
      <c r="A128" s="37">
        <f>IF(M128="NO","Priority 1",IF(N128="LATE","Priority 2",IF(B128="YES","OK","Priority 1")))</f>
        <v/>
      </c>
      <c r="B128" s="37">
        <f>IF(AND(L128="YES",M128="YES",N128="ON/BEFORE",O128="YES",P128="YES"),"YES","NO")</f>
        <v/>
      </c>
      <c r="C128" s="37" t="inlineStr">
        <is>
          <t>SKP-2024-0218</t>
        </is>
      </c>
      <c r="D128" s="37" t="inlineStr">
        <is>
          <t>OFR-2024-0784</t>
        </is>
      </c>
      <c r="E128" s="38" t="n">
        <v>45457</v>
      </c>
      <c r="F128" s="37" t="inlineStr">
        <is>
          <t>WL-03527</t>
        </is>
      </c>
      <c r="G128" s="37">
        <f>IFERROR(INDEX(Applicants!$C$2:$C$2911,MATCH(F128,Applicants!$A$2:$A$2911,0))&amp;" "&amp;INDEX(Applicants!$B$2:$B$2911,MATCH(F128,Applicants!$A$2:$A$2911,0)),"")</f>
        <v/>
      </c>
      <c r="H128" s="37" t="inlineStr">
        <is>
          <t>EW-0523</t>
        </is>
      </c>
      <c r="I128" s="37" t="inlineStr">
        <is>
          <t>Eastwey</t>
        </is>
      </c>
      <c r="J128" s="37" t="inlineStr">
        <is>
          <t>not-current</t>
        </is>
      </c>
      <c r="K128" s="38" t="n">
        <v>45462</v>
      </c>
      <c r="L128" s="37">
        <f>IF(COUNTIFS('Skip Docs'!$A$2:$A$7,F128,'Skip Docs'!$C$2:$C$7,E128)&gt;0,"YES","NO")</f>
        <v/>
      </c>
      <c r="M128" s="37">
        <f>IF(L128="NO","NO",INDEX('Skip Docs'!$G$2:$G$7,MATCH(1,INDEX(('Skip Docs'!$A$2:$A$7=F128)*('Skip Docs'!$C$2:$C$7=E128),0),0)))</f>
        <v/>
      </c>
      <c r="N128" s="37">
        <f>IF(K128&lt;=E128,"ON/BEFORE","LATE")</f>
        <v/>
      </c>
      <c r="O128" s="37">
        <f>IF(COUNTIFS(Offers!$A$2:$A$1487,D128,Offers!$C$2:$C$1487,F128,Offers!$B$2:$B$1487,E128,Offers!$E$2:$E$1487,H128,Offers!$I$2:$I$1487,"SKIPPED")=1,"YES","NO")</f>
        <v/>
      </c>
      <c r="P128" s="37">
        <f>IF(L128="NO","N/A",IF(COUNTIFS('Skip Docs'!$A$2:$A$7,F128,'Skip Docs'!$C$2:$C$7,E128,'Skip Docs'!$D$2:$D$7,H128,'Skip Docs'!$E$2:$E$7,J128)=1,"YES","NO"))</f>
        <v/>
      </c>
      <c r="Q128" s="37" t="inlineStr">
        <is>
          <t>Y</t>
        </is>
      </c>
      <c r="R128" s="37" t="inlineStr">
        <is>
          <t>SUSTAINED</t>
        </is>
      </c>
      <c r="S128" s="37">
        <f>IF(B128="YES","Verified contemporaneous proof",IF(L128="NO","No justification PDF supplied",IF(M128="NO","PDF is cover-only",IF(P128="NO","PDF content does not match logged slip/reason",IF(O128="NO","Offer event does not reconcile","Assembled after skip date")))))</f>
        <v/>
      </c>
    </row>
    <row r="129">
      <c r="A129" s="37">
        <f>IF(M129="NO","Priority 1",IF(N129="LATE","Priority 2",IF(B129="YES","OK","Priority 1")))</f>
        <v/>
      </c>
      <c r="B129" s="37">
        <f>IF(AND(L129="YES",M129="YES",N129="ON/BEFORE",O129="YES",P129="YES"),"YES","NO")</f>
        <v/>
      </c>
      <c r="C129" s="37" t="inlineStr">
        <is>
          <t>SKP-2024-0219</t>
        </is>
      </c>
      <c r="D129" s="37" t="inlineStr">
        <is>
          <t>OFR-2024-0789</t>
        </is>
      </c>
      <c r="E129" s="38" t="n">
        <v>45448</v>
      </c>
      <c r="F129" s="37" t="inlineStr">
        <is>
          <t>WL-01144</t>
        </is>
      </c>
      <c r="G129" s="37">
        <f>IFERROR(INDEX(Applicants!$C$2:$C$2911,MATCH(F129,Applicants!$A$2:$A$2911,0))&amp;" "&amp;INDEX(Applicants!$B$2:$B$2911,MATCH(F129,Applicants!$A$2:$A$2911,0)),"")</f>
        <v/>
      </c>
      <c r="H129" s="37" t="inlineStr">
        <is>
          <t>LP-0216</t>
        </is>
      </c>
      <c r="I129" s="37" t="inlineStr">
        <is>
          <t>Ledgport</t>
        </is>
      </c>
      <c r="J129" s="37" t="inlineStr">
        <is>
          <t>vessel-fit</t>
        </is>
      </c>
      <c r="K129" s="38" t="n">
        <v>45451</v>
      </c>
      <c r="L129" s="37">
        <f>IF(COUNTIFS('Skip Docs'!$A$2:$A$7,F129,'Skip Docs'!$C$2:$C$7,E129)&gt;0,"YES","NO")</f>
        <v/>
      </c>
      <c r="M129" s="37">
        <f>IF(L129="NO","NO",INDEX('Skip Docs'!$G$2:$G$7,MATCH(1,INDEX(('Skip Docs'!$A$2:$A$7=F129)*('Skip Docs'!$C$2:$C$7=E129),0),0)))</f>
        <v/>
      </c>
      <c r="N129" s="37">
        <f>IF(K129&lt;=E129,"ON/BEFORE","LATE")</f>
        <v/>
      </c>
      <c r="O129" s="37">
        <f>IF(COUNTIFS(Offers!$A$2:$A$1487,D129,Offers!$C$2:$C$1487,F129,Offers!$B$2:$B$1487,E129,Offers!$E$2:$E$1487,H129,Offers!$I$2:$I$1487,"SKIPPED")=1,"YES","NO")</f>
        <v/>
      </c>
      <c r="P129" s="37">
        <f>IF(L129="NO","N/A",IF(COUNTIFS('Skip Docs'!$A$2:$A$7,F129,'Skip Docs'!$C$2:$C$7,E129,'Skip Docs'!$D$2:$D$7,H129,'Skip Docs'!$E$2:$E$7,J129)=1,"YES","NO"))</f>
        <v/>
      </c>
      <c r="Q129" s="37" t="inlineStr">
        <is>
          <t>N</t>
        </is>
      </c>
      <c r="R129" s="37" t="inlineStr">
        <is>
          <t>SUSTAINED</t>
        </is>
      </c>
      <c r="S129" s="37">
        <f>IF(B129="YES","Verified contemporaneous proof",IF(L129="NO","No justification PDF supplied",IF(M129="NO","PDF is cover-only",IF(P129="NO","PDF content does not match logged slip/reason",IF(O129="NO","Offer event does not reconcile","Assembled after skip date")))))</f>
        <v/>
      </c>
    </row>
    <row r="130">
      <c r="A130" s="37">
        <f>IF(M130="NO","Priority 1",IF(N130="LATE","Priority 2",IF(B130="YES","OK","Priority 1")))</f>
        <v/>
      </c>
      <c r="B130" s="37">
        <f>IF(AND(L130="YES",M130="YES",N130="ON/BEFORE",O130="YES",P130="YES"),"YES","NO")</f>
        <v/>
      </c>
      <c r="C130" s="37" t="inlineStr">
        <is>
          <t>SKP-2024-0220</t>
        </is>
      </c>
      <c r="D130" s="37" t="inlineStr">
        <is>
          <t>OFR-2024-0791</t>
        </is>
      </c>
      <c r="E130" s="38" t="n">
        <v>45451</v>
      </c>
      <c r="F130" s="37" t="inlineStr">
        <is>
          <t>WL-03390</t>
        </is>
      </c>
      <c r="G130" s="37">
        <f>IFERROR(INDEX(Applicants!$C$2:$C$2911,MATCH(F130,Applicants!$A$2:$A$2911,0))&amp;" "&amp;INDEX(Applicants!$B$2:$B$2911,MATCH(F130,Applicants!$A$2:$A$2911,0)),"")</f>
        <v/>
      </c>
      <c r="H130" s="37" t="inlineStr">
        <is>
          <t>SB-0302</t>
        </is>
      </c>
      <c r="I130" s="37" t="inlineStr">
        <is>
          <t>Salmonberry</t>
        </is>
      </c>
      <c r="J130" s="37" t="inlineStr">
        <is>
          <t>declined-prior-offer</t>
        </is>
      </c>
      <c r="K130" s="38" t="n">
        <v>45452</v>
      </c>
      <c r="L130" s="37">
        <f>IF(COUNTIFS('Skip Docs'!$A$2:$A$7,F130,'Skip Docs'!$C$2:$C$7,E130)&gt;0,"YES","NO")</f>
        <v/>
      </c>
      <c r="M130" s="37">
        <f>IF(L130="NO","NO",INDEX('Skip Docs'!$G$2:$G$7,MATCH(1,INDEX(('Skip Docs'!$A$2:$A$7=F130)*('Skip Docs'!$C$2:$C$7=E130),0),0)))</f>
        <v/>
      </c>
      <c r="N130" s="37">
        <f>IF(K130&lt;=E130,"ON/BEFORE","LATE")</f>
        <v/>
      </c>
      <c r="O130" s="37">
        <f>IF(COUNTIFS(Offers!$A$2:$A$1487,D130,Offers!$C$2:$C$1487,F130,Offers!$B$2:$B$1487,E130,Offers!$E$2:$E$1487,H130,Offers!$I$2:$I$1487,"SKIPPED")=1,"YES","NO")</f>
        <v/>
      </c>
      <c r="P130" s="37">
        <f>IF(L130="NO","N/A",IF(COUNTIFS('Skip Docs'!$A$2:$A$7,F130,'Skip Docs'!$C$2:$C$7,E130,'Skip Docs'!$D$2:$D$7,H130,'Skip Docs'!$E$2:$E$7,J130)=1,"YES","NO"))</f>
        <v/>
      </c>
      <c r="Q130" s="37" t="inlineStr">
        <is>
          <t>Y</t>
        </is>
      </c>
      <c r="R130" s="37" t="inlineStr">
        <is>
          <t>SUSTAINED</t>
        </is>
      </c>
      <c r="S130" s="37">
        <f>IF(B130="YES","Verified contemporaneous proof",IF(L130="NO","No justification PDF supplied",IF(M130="NO","PDF is cover-only",IF(P130="NO","PDF content does not match logged slip/reason",IF(O130="NO","Offer event does not reconcile","Assembled after skip date")))))</f>
        <v/>
      </c>
    </row>
    <row r="131">
      <c r="A131" s="37">
        <f>IF(M131="NO","Priority 1",IF(N131="LATE","Priority 2",IF(B131="YES","OK","Priority 1")))</f>
        <v/>
      </c>
      <c r="B131" s="37">
        <f>IF(AND(L131="YES",M131="YES",N131="ON/BEFORE",O131="YES",P131="YES"),"YES","NO")</f>
        <v/>
      </c>
      <c r="C131" s="37" t="inlineStr">
        <is>
          <t>SKP-2024-0221</t>
        </is>
      </c>
      <c r="D131" s="37" t="inlineStr">
        <is>
          <t>OFR-2024-0792</t>
        </is>
      </c>
      <c r="E131" s="38" t="n">
        <v>45452</v>
      </c>
      <c r="F131" s="37" t="inlineStr">
        <is>
          <t>WL-01368</t>
        </is>
      </c>
      <c r="G131" s="37">
        <f>IFERROR(INDEX(Applicants!$C$2:$C$2911,MATCH(F131,Applicants!$A$2:$A$2911,0))&amp;" "&amp;INDEX(Applicants!$B$2:$B$2911,MATCH(F131,Applicants!$A$2:$A$2911,0)),"")</f>
        <v/>
      </c>
      <c r="H131" s="37" t="inlineStr">
        <is>
          <t>VB-0924</t>
        </is>
      </c>
      <c r="I131" s="37" t="inlineStr">
        <is>
          <t>Vessbank</t>
        </is>
      </c>
      <c r="J131" s="37" t="inlineStr">
        <is>
          <t>preference-mismatch</t>
        </is>
      </c>
      <c r="K131" s="38" t="n">
        <v>45454</v>
      </c>
      <c r="L131" s="37">
        <f>IF(COUNTIFS('Skip Docs'!$A$2:$A$7,F131,'Skip Docs'!$C$2:$C$7,E131)&gt;0,"YES","NO")</f>
        <v/>
      </c>
      <c r="M131" s="37">
        <f>IF(L131="NO","NO",INDEX('Skip Docs'!$G$2:$G$7,MATCH(1,INDEX(('Skip Docs'!$A$2:$A$7=F131)*('Skip Docs'!$C$2:$C$7=E131),0),0)))</f>
        <v/>
      </c>
      <c r="N131" s="37">
        <f>IF(K131&lt;=E131,"ON/BEFORE","LATE")</f>
        <v/>
      </c>
      <c r="O131" s="37">
        <f>IF(COUNTIFS(Offers!$A$2:$A$1487,D131,Offers!$C$2:$C$1487,F131,Offers!$B$2:$B$1487,E131,Offers!$E$2:$E$1487,H131,Offers!$I$2:$I$1487,"SKIPPED")=1,"YES","NO")</f>
        <v/>
      </c>
      <c r="P131" s="37">
        <f>IF(L131="NO","N/A",IF(COUNTIFS('Skip Docs'!$A$2:$A$7,F131,'Skip Docs'!$C$2:$C$7,E131,'Skip Docs'!$D$2:$D$7,H131,'Skip Docs'!$E$2:$E$7,J131)=1,"YES","NO"))</f>
        <v/>
      </c>
      <c r="Q131" s="37" t="inlineStr">
        <is>
          <t>Y</t>
        </is>
      </c>
      <c r="R131" s="37" t="inlineStr">
        <is>
          <t>SUSTAINED</t>
        </is>
      </c>
      <c r="S131" s="37">
        <f>IF(B131="YES","Verified contemporaneous proof",IF(L131="NO","No justification PDF supplied",IF(M131="NO","PDF is cover-only",IF(P131="NO","PDF content does not match logged slip/reason",IF(O131="NO","Offer event does not reconcile","Assembled after skip date")))))</f>
        <v/>
      </c>
    </row>
    <row r="132">
      <c r="A132" s="37">
        <f>IF(M132="NO","Priority 1",IF(N132="LATE","Priority 2",IF(B132="YES","OK","Priority 1")))</f>
        <v/>
      </c>
      <c r="B132" s="37">
        <f>IF(AND(L132="YES",M132="YES",N132="ON/BEFORE",O132="YES",P132="YES"),"YES","NO")</f>
        <v/>
      </c>
      <c r="C132" s="37" t="inlineStr">
        <is>
          <t>SKP-2024-0222</t>
        </is>
      </c>
      <c r="D132" s="37" t="inlineStr">
        <is>
          <t>OFR-2024-0818</t>
        </is>
      </c>
      <c r="E132" s="38" t="n">
        <v>45501</v>
      </c>
      <c r="F132" s="37" t="inlineStr">
        <is>
          <t>WL-01889</t>
        </is>
      </c>
      <c r="G132" s="37">
        <f>IFERROR(INDEX(Applicants!$C$2:$C$2911,MATCH(F132,Applicants!$A$2:$A$2911,0))&amp;" "&amp;INDEX(Applicants!$B$2:$B$2911,MATCH(F132,Applicants!$A$2:$A$2911,0)),"")</f>
        <v/>
      </c>
      <c r="H132" s="37" t="inlineStr">
        <is>
          <t>GW-0206</t>
        </is>
      </c>
      <c r="I132" s="37" t="inlineStr">
        <is>
          <t>Gullwing</t>
        </is>
      </c>
      <c r="J132" s="37" t="inlineStr">
        <is>
          <t>vessel-fit</t>
        </is>
      </c>
      <c r="K132" s="38" t="n">
        <v>45506</v>
      </c>
      <c r="L132" s="37">
        <f>IF(COUNTIFS('Skip Docs'!$A$2:$A$7,F132,'Skip Docs'!$C$2:$C$7,E132)&gt;0,"YES","NO")</f>
        <v/>
      </c>
      <c r="M132" s="37">
        <f>IF(L132="NO","NO",INDEX('Skip Docs'!$G$2:$G$7,MATCH(1,INDEX(('Skip Docs'!$A$2:$A$7=F132)*('Skip Docs'!$C$2:$C$7=E132),0),0)))</f>
        <v/>
      </c>
      <c r="N132" s="37">
        <f>IF(K132&lt;=E132,"ON/BEFORE","LATE")</f>
        <v/>
      </c>
      <c r="O132" s="37">
        <f>IF(COUNTIFS(Offers!$A$2:$A$1487,D132,Offers!$C$2:$C$1487,F132,Offers!$B$2:$B$1487,E132,Offers!$E$2:$E$1487,H132,Offers!$I$2:$I$1487,"SKIPPED")=1,"YES","NO")</f>
        <v/>
      </c>
      <c r="P132" s="37">
        <f>IF(L132="NO","N/A",IF(COUNTIFS('Skip Docs'!$A$2:$A$7,F132,'Skip Docs'!$C$2:$C$7,E132,'Skip Docs'!$D$2:$D$7,H132,'Skip Docs'!$E$2:$E$7,J132)=1,"YES","NO"))</f>
        <v/>
      </c>
      <c r="Q132" s="37" t="inlineStr">
        <is>
          <t>Y</t>
        </is>
      </c>
      <c r="R132" s="37" t="inlineStr">
        <is>
          <t>SUSTAINED</t>
        </is>
      </c>
      <c r="S132" s="37">
        <f>IF(B132="YES","Verified contemporaneous proof",IF(L132="NO","No justification PDF supplied",IF(M132="NO","PDF is cover-only",IF(P132="NO","PDF content does not match logged slip/reason",IF(O132="NO","Offer event does not reconcile","Assembled after skip date")))))</f>
        <v/>
      </c>
    </row>
    <row r="133">
      <c r="A133" s="37">
        <f>IF(M133="NO","Priority 1",IF(N133="LATE","Priority 2",IF(B133="YES","OK","Priority 1")))</f>
        <v/>
      </c>
      <c r="B133" s="37">
        <f>IF(AND(L133="YES",M133="YES",N133="ON/BEFORE",O133="YES",P133="YES"),"YES","NO")</f>
        <v/>
      </c>
      <c r="C133" s="37" t="inlineStr">
        <is>
          <t>SKP-2024-0223</t>
        </is>
      </c>
      <c r="D133" s="37" t="inlineStr">
        <is>
          <t>OFR-2024-0823</t>
        </is>
      </c>
      <c r="E133" s="38" t="n">
        <v>45478</v>
      </c>
      <c r="F133" s="37" t="inlineStr">
        <is>
          <t>WL-01691</t>
        </is>
      </c>
      <c r="G133" s="37">
        <f>IFERROR(INDEX(Applicants!$C$2:$C$2911,MATCH(F133,Applicants!$A$2:$A$2911,0))&amp;" "&amp;INDEX(Applicants!$B$2:$B$2911,MATCH(F133,Applicants!$A$2:$A$2911,0)),"")</f>
        <v/>
      </c>
      <c r="H133" s="37" t="inlineStr">
        <is>
          <t>LP-1024</t>
        </is>
      </c>
      <c r="I133" s="37" t="inlineStr">
        <is>
          <t>Ledgport</t>
        </is>
      </c>
      <c r="J133" s="37" t="inlineStr">
        <is>
          <t>preference-mismatch</t>
        </is>
      </c>
      <c r="K133" s="38" t="n">
        <v>45481</v>
      </c>
      <c r="L133" s="37">
        <f>IF(COUNTIFS('Skip Docs'!$A$2:$A$7,F133,'Skip Docs'!$C$2:$C$7,E133)&gt;0,"YES","NO")</f>
        <v/>
      </c>
      <c r="M133" s="37">
        <f>IF(L133="NO","NO",INDEX('Skip Docs'!$G$2:$G$7,MATCH(1,INDEX(('Skip Docs'!$A$2:$A$7=F133)*('Skip Docs'!$C$2:$C$7=E133),0),0)))</f>
        <v/>
      </c>
      <c r="N133" s="37">
        <f>IF(K133&lt;=E133,"ON/BEFORE","LATE")</f>
        <v/>
      </c>
      <c r="O133" s="37">
        <f>IF(COUNTIFS(Offers!$A$2:$A$1487,D133,Offers!$C$2:$C$1487,F133,Offers!$B$2:$B$1487,E133,Offers!$E$2:$E$1487,H133,Offers!$I$2:$I$1487,"SKIPPED")=1,"YES","NO")</f>
        <v/>
      </c>
      <c r="P133" s="37">
        <f>IF(L133="NO","N/A",IF(COUNTIFS('Skip Docs'!$A$2:$A$7,F133,'Skip Docs'!$C$2:$C$7,E133,'Skip Docs'!$D$2:$D$7,H133,'Skip Docs'!$E$2:$E$7,J133)=1,"YES","NO"))</f>
        <v/>
      </c>
      <c r="Q133" s="37" t="inlineStr">
        <is>
          <t>Y</t>
        </is>
      </c>
      <c r="R133" s="37" t="inlineStr">
        <is>
          <t>SUSTAINED</t>
        </is>
      </c>
      <c r="S133" s="37">
        <f>IF(B133="YES","Verified contemporaneous proof",IF(L133="NO","No justification PDF supplied",IF(M133="NO","PDF is cover-only",IF(P133="NO","PDF content does not match logged slip/reason",IF(O133="NO","Offer event does not reconcile","Assembled after skip date")))))</f>
        <v/>
      </c>
    </row>
    <row r="134">
      <c r="A134" s="37">
        <f>IF(M134="NO","Priority 1",IF(N134="LATE","Priority 2",IF(B134="YES","OK","Priority 1")))</f>
        <v/>
      </c>
      <c r="B134" s="37">
        <f>IF(AND(L134="YES",M134="YES",N134="ON/BEFORE",O134="YES",P134="YES"),"YES","NO")</f>
        <v/>
      </c>
      <c r="C134" s="37" t="inlineStr">
        <is>
          <t>SKP-2024-0224</t>
        </is>
      </c>
      <c r="D134" s="37" t="inlineStr">
        <is>
          <t>OFR-2024-0824</t>
        </is>
      </c>
      <c r="E134" s="38" t="n">
        <v>45487</v>
      </c>
      <c r="F134" s="37" t="inlineStr">
        <is>
          <t>WL-02850</t>
        </is>
      </c>
      <c r="G134" s="37">
        <f>IFERROR(INDEX(Applicants!$C$2:$C$2911,MATCH(F134,Applicants!$A$2:$A$2911,0))&amp;" "&amp;INDEX(Applicants!$B$2:$B$2911,MATCH(F134,Applicants!$A$2:$A$2911,0)),"")</f>
        <v/>
      </c>
      <c r="H134" s="37" t="inlineStr">
        <is>
          <t>SB-0107</t>
        </is>
      </c>
      <c r="I134" s="37" t="inlineStr">
        <is>
          <t>Salmonberry</t>
        </is>
      </c>
      <c r="J134" s="37" t="inlineStr">
        <is>
          <t>vessel-fit</t>
        </is>
      </c>
      <c r="K134" s="38" t="n">
        <v>45492</v>
      </c>
      <c r="L134" s="37">
        <f>IF(COUNTIFS('Skip Docs'!$A$2:$A$7,F134,'Skip Docs'!$C$2:$C$7,E134)&gt;0,"YES","NO")</f>
        <v/>
      </c>
      <c r="M134" s="37">
        <f>IF(L134="NO","NO",INDEX('Skip Docs'!$G$2:$G$7,MATCH(1,INDEX(('Skip Docs'!$A$2:$A$7=F134)*('Skip Docs'!$C$2:$C$7=E134),0),0)))</f>
        <v/>
      </c>
      <c r="N134" s="37">
        <f>IF(K134&lt;=E134,"ON/BEFORE","LATE")</f>
        <v/>
      </c>
      <c r="O134" s="37">
        <f>IF(COUNTIFS(Offers!$A$2:$A$1487,D134,Offers!$C$2:$C$1487,F134,Offers!$B$2:$B$1487,E134,Offers!$E$2:$E$1487,H134,Offers!$I$2:$I$1487,"SKIPPED")=1,"YES","NO")</f>
        <v/>
      </c>
      <c r="P134" s="37">
        <f>IF(L134="NO","N/A",IF(COUNTIFS('Skip Docs'!$A$2:$A$7,F134,'Skip Docs'!$C$2:$C$7,E134,'Skip Docs'!$D$2:$D$7,H134,'Skip Docs'!$E$2:$E$7,J134)=1,"YES","NO"))</f>
        <v/>
      </c>
      <c r="Q134" s="37" t="inlineStr">
        <is>
          <t>Y</t>
        </is>
      </c>
      <c r="R134" s="37" t="inlineStr">
        <is>
          <t>SUSTAINED</t>
        </is>
      </c>
      <c r="S134" s="37">
        <f>IF(B134="YES","Verified contemporaneous proof",IF(L134="NO","No justification PDF supplied",IF(M134="NO","PDF is cover-only",IF(P134="NO","PDF content does not match logged slip/reason",IF(O134="NO","Offer event does not reconcile","Assembled after skip date")))))</f>
        <v/>
      </c>
    </row>
    <row r="135">
      <c r="A135" s="37">
        <f>IF(M135="NO","Priority 1",IF(N135="LATE","Priority 2",IF(B135="YES","OK","Priority 1")))</f>
        <v/>
      </c>
      <c r="B135" s="37">
        <f>IF(AND(L135="YES",M135="YES",N135="ON/BEFORE",O135="YES",P135="YES"),"YES","NO")</f>
        <v/>
      </c>
      <c r="C135" s="37" t="inlineStr">
        <is>
          <t>SKP-2024-0225</t>
        </is>
      </c>
      <c r="D135" s="37" t="inlineStr">
        <is>
          <t>OFR-2024-0828</t>
        </is>
      </c>
      <c r="E135" s="38" t="n">
        <v>45522</v>
      </c>
      <c r="F135" s="37" t="inlineStr">
        <is>
          <t>WL-03762</t>
        </is>
      </c>
      <c r="G135" s="37">
        <f>IFERROR(INDEX(Applicants!$C$2:$C$2911,MATCH(F135,Applicants!$A$2:$A$2911,0))&amp;" "&amp;INDEX(Applicants!$B$2:$B$2911,MATCH(F135,Applicants!$A$2:$A$2911,0)),"")</f>
        <v/>
      </c>
      <c r="H135" s="37" t="inlineStr">
        <is>
          <t>LP-0513</t>
        </is>
      </c>
      <c r="I135" s="37" t="inlineStr">
        <is>
          <t>Ledgport</t>
        </is>
      </c>
      <c r="J135" s="37" t="inlineStr">
        <is>
          <t>vessel-fit</t>
        </is>
      </c>
      <c r="K135" s="38" t="n">
        <v>45524</v>
      </c>
      <c r="L135" s="37">
        <f>IF(COUNTIFS('Skip Docs'!$A$2:$A$7,F135,'Skip Docs'!$C$2:$C$7,E135)&gt;0,"YES","NO")</f>
        <v/>
      </c>
      <c r="M135" s="37">
        <f>IF(L135="NO","NO",INDEX('Skip Docs'!$G$2:$G$7,MATCH(1,INDEX(('Skip Docs'!$A$2:$A$7=F135)*('Skip Docs'!$C$2:$C$7=E135),0),0)))</f>
        <v/>
      </c>
      <c r="N135" s="37">
        <f>IF(K135&lt;=E135,"ON/BEFORE","LATE")</f>
        <v/>
      </c>
      <c r="O135" s="37">
        <f>IF(COUNTIFS(Offers!$A$2:$A$1487,D135,Offers!$C$2:$C$1487,F135,Offers!$B$2:$B$1487,E135,Offers!$E$2:$E$1487,H135,Offers!$I$2:$I$1487,"SKIPPED")=1,"YES","NO")</f>
        <v/>
      </c>
      <c r="P135" s="37">
        <f>IF(L135="NO","N/A",IF(COUNTIFS('Skip Docs'!$A$2:$A$7,F135,'Skip Docs'!$C$2:$C$7,E135,'Skip Docs'!$D$2:$D$7,H135,'Skip Docs'!$E$2:$E$7,J135)=1,"YES","NO"))</f>
        <v/>
      </c>
      <c r="Q135" s="37" t="inlineStr">
        <is>
          <t>Y</t>
        </is>
      </c>
      <c r="R135" s="37" t="inlineStr">
        <is>
          <t>SUSTAINED</t>
        </is>
      </c>
      <c r="S135" s="37">
        <f>IF(B135="YES","Verified contemporaneous proof",IF(L135="NO","No justification PDF supplied",IF(M135="NO","PDF is cover-only",IF(P135="NO","PDF content does not match logged slip/reason",IF(O135="NO","Offer event does not reconcile","Assembled after skip date")))))</f>
        <v/>
      </c>
    </row>
    <row r="136">
      <c r="A136" s="37">
        <f>IF(M136="NO","Priority 1",IF(N136="LATE","Priority 2",IF(B136="YES","OK","Priority 1")))</f>
        <v/>
      </c>
      <c r="B136" s="37">
        <f>IF(AND(L136="YES",M136="YES",N136="ON/BEFORE",O136="YES",P136="YES"),"YES","NO")</f>
        <v/>
      </c>
      <c r="C136" s="37" t="inlineStr">
        <is>
          <t>SKP-2024-0226</t>
        </is>
      </c>
      <c r="D136" s="37" t="inlineStr">
        <is>
          <t>OFR-2024-0829</t>
        </is>
      </c>
      <c r="E136" s="38" t="n">
        <v>45510</v>
      </c>
      <c r="F136" s="37" t="inlineStr">
        <is>
          <t>WL-03542</t>
        </is>
      </c>
      <c r="G136" s="37">
        <f>IFERROR(INDEX(Applicants!$C$2:$C$2911,MATCH(F136,Applicants!$A$2:$A$2911,0))&amp;" "&amp;INDEX(Applicants!$B$2:$B$2911,MATCH(F136,Applicants!$A$2:$A$2911,0)),"")</f>
        <v/>
      </c>
      <c r="H136" s="37" t="inlineStr">
        <is>
          <t>SB-0319</t>
        </is>
      </c>
      <c r="I136" s="37" t="inlineStr">
        <is>
          <t>Salmonberry</t>
        </is>
      </c>
      <c r="J136" s="37" t="inlineStr">
        <is>
          <t>vessel-fit</t>
        </is>
      </c>
      <c r="K136" s="38" t="n">
        <v>45515</v>
      </c>
      <c r="L136" s="37">
        <f>IF(COUNTIFS('Skip Docs'!$A$2:$A$7,F136,'Skip Docs'!$C$2:$C$7,E136)&gt;0,"YES","NO")</f>
        <v/>
      </c>
      <c r="M136" s="37">
        <f>IF(L136="NO","NO",INDEX('Skip Docs'!$G$2:$G$7,MATCH(1,INDEX(('Skip Docs'!$A$2:$A$7=F136)*('Skip Docs'!$C$2:$C$7=E136),0),0)))</f>
        <v/>
      </c>
      <c r="N136" s="37">
        <f>IF(K136&lt;=E136,"ON/BEFORE","LATE")</f>
        <v/>
      </c>
      <c r="O136" s="37">
        <f>IF(COUNTIFS(Offers!$A$2:$A$1487,D136,Offers!$C$2:$C$1487,F136,Offers!$B$2:$B$1487,E136,Offers!$E$2:$E$1487,H136,Offers!$I$2:$I$1487,"SKIPPED")=1,"YES","NO")</f>
        <v/>
      </c>
      <c r="P136" s="37">
        <f>IF(L136="NO","N/A",IF(COUNTIFS('Skip Docs'!$A$2:$A$7,F136,'Skip Docs'!$C$2:$C$7,E136,'Skip Docs'!$D$2:$D$7,H136,'Skip Docs'!$E$2:$E$7,J136)=1,"YES","NO"))</f>
        <v/>
      </c>
      <c r="Q136" s="37" t="inlineStr">
        <is>
          <t>Y</t>
        </is>
      </c>
      <c r="R136" s="37" t="inlineStr">
        <is>
          <t>SUSTAINED</t>
        </is>
      </c>
      <c r="S136" s="37">
        <f>IF(B136="YES","Verified contemporaneous proof",IF(L136="NO","No justification PDF supplied",IF(M136="NO","PDF is cover-only",IF(P136="NO","PDF content does not match logged slip/reason",IF(O136="NO","Offer event does not reconcile","Assembled after skip date")))))</f>
        <v/>
      </c>
    </row>
    <row r="137">
      <c r="A137" s="37">
        <f>IF(M137="NO","Priority 1",IF(N137="LATE","Priority 2",IF(B137="YES","OK","Priority 1")))</f>
        <v/>
      </c>
      <c r="B137" s="37">
        <f>IF(AND(L137="YES",M137="YES",N137="ON/BEFORE",O137="YES",P137="YES"),"YES","NO")</f>
        <v/>
      </c>
      <c r="C137" s="37" t="inlineStr">
        <is>
          <t>SKP-2024-0227</t>
        </is>
      </c>
      <c r="D137" s="37" t="inlineStr">
        <is>
          <t>OFR-2024-0830</t>
        </is>
      </c>
      <c r="E137" s="38" t="n">
        <v>45520</v>
      </c>
      <c r="F137" s="37" t="inlineStr">
        <is>
          <t>WL-03759</t>
        </is>
      </c>
      <c r="G137" s="37">
        <f>IFERROR(INDEX(Applicants!$C$2:$C$2911,MATCH(F137,Applicants!$A$2:$A$2911,0))&amp;" "&amp;INDEX(Applicants!$B$2:$B$2911,MATCH(F137,Applicants!$A$2:$A$2911,0)),"")</f>
        <v/>
      </c>
      <c r="H137" s="37" t="inlineStr">
        <is>
          <t>GW-0123</t>
        </is>
      </c>
      <c r="I137" s="37" t="inlineStr">
        <is>
          <t>Gullwing</t>
        </is>
      </c>
      <c r="J137" s="37" t="inlineStr">
        <is>
          <t>not-current</t>
        </is>
      </c>
      <c r="K137" s="38" t="n">
        <v>45520</v>
      </c>
      <c r="L137" s="37">
        <f>IF(COUNTIFS('Skip Docs'!$A$2:$A$7,F137,'Skip Docs'!$C$2:$C$7,E137)&gt;0,"YES","NO")</f>
        <v/>
      </c>
      <c r="M137" s="37">
        <f>IF(L137="NO","NO",INDEX('Skip Docs'!$G$2:$G$7,MATCH(1,INDEX(('Skip Docs'!$A$2:$A$7=F137)*('Skip Docs'!$C$2:$C$7=E137),0),0)))</f>
        <v/>
      </c>
      <c r="N137" s="37">
        <f>IF(K137&lt;=E137,"ON/BEFORE","LATE")</f>
        <v/>
      </c>
      <c r="O137" s="37">
        <f>IF(COUNTIFS(Offers!$A$2:$A$1487,D137,Offers!$C$2:$C$1487,F137,Offers!$B$2:$B$1487,E137,Offers!$E$2:$E$1487,H137,Offers!$I$2:$I$1487,"SKIPPED")=1,"YES","NO")</f>
        <v/>
      </c>
      <c r="P137" s="37">
        <f>IF(L137="NO","N/A",IF(COUNTIFS('Skip Docs'!$A$2:$A$7,F137,'Skip Docs'!$C$2:$C$7,E137,'Skip Docs'!$D$2:$D$7,H137,'Skip Docs'!$E$2:$E$7,J137)=1,"YES","NO"))</f>
        <v/>
      </c>
      <c r="Q137" s="37" t="inlineStr">
        <is>
          <t>Y</t>
        </is>
      </c>
      <c r="R137" s="37" t="inlineStr">
        <is>
          <t>SUSTAINED</t>
        </is>
      </c>
      <c r="S137" s="37">
        <f>IF(B137="YES","Verified contemporaneous proof",IF(L137="NO","No justification PDF supplied",IF(M137="NO","PDF is cover-only",IF(P137="NO","PDF content does not match logged slip/reason",IF(O137="NO","Offer event does not reconcile","Assembled after skip date")))))</f>
        <v/>
      </c>
    </row>
    <row r="138">
      <c r="A138" s="37">
        <f>IF(M138="NO","Priority 1",IF(N138="LATE","Priority 2",IF(B138="YES","OK","Priority 1")))</f>
        <v/>
      </c>
      <c r="B138" s="37">
        <f>IF(AND(L138="YES",M138="YES",N138="ON/BEFORE",O138="YES",P138="YES"),"YES","NO")</f>
        <v/>
      </c>
      <c r="C138" s="37" t="inlineStr">
        <is>
          <t>SKP-2024-0228</t>
        </is>
      </c>
      <c r="D138" s="37" t="inlineStr">
        <is>
          <t>OFR-2024-0831</t>
        </is>
      </c>
      <c r="E138" s="38" t="n">
        <v>45514</v>
      </c>
      <c r="F138" s="37" t="inlineStr">
        <is>
          <t>WL-01001</t>
        </is>
      </c>
      <c r="G138" s="37">
        <f>IFERROR(INDEX(Applicants!$C$2:$C$2911,MATCH(F138,Applicants!$A$2:$A$2911,0))&amp;" "&amp;INDEX(Applicants!$B$2:$B$2911,MATCH(F138,Applicants!$A$2:$A$2911,0)),"")</f>
        <v/>
      </c>
      <c r="H138" s="37" t="inlineStr">
        <is>
          <t>VB-1008</t>
        </is>
      </c>
      <c r="I138" s="37" t="inlineStr">
        <is>
          <t>Vessbank</t>
        </is>
      </c>
      <c r="J138" s="37" t="inlineStr">
        <is>
          <t>not-current</t>
        </is>
      </c>
      <c r="K138" s="38" t="n">
        <v>45518</v>
      </c>
      <c r="L138" s="37">
        <f>IF(COUNTIFS('Skip Docs'!$A$2:$A$7,F138,'Skip Docs'!$C$2:$C$7,E138)&gt;0,"YES","NO")</f>
        <v/>
      </c>
      <c r="M138" s="37">
        <f>IF(L138="NO","NO",INDEX('Skip Docs'!$G$2:$G$7,MATCH(1,INDEX(('Skip Docs'!$A$2:$A$7=F138)*('Skip Docs'!$C$2:$C$7=E138),0),0)))</f>
        <v/>
      </c>
      <c r="N138" s="37">
        <f>IF(K138&lt;=E138,"ON/BEFORE","LATE")</f>
        <v/>
      </c>
      <c r="O138" s="37">
        <f>IF(COUNTIFS(Offers!$A$2:$A$1487,D138,Offers!$C$2:$C$1487,F138,Offers!$B$2:$B$1487,E138,Offers!$E$2:$E$1487,H138,Offers!$I$2:$I$1487,"SKIPPED")=1,"YES","NO")</f>
        <v/>
      </c>
      <c r="P138" s="37">
        <f>IF(L138="NO","N/A",IF(COUNTIFS('Skip Docs'!$A$2:$A$7,F138,'Skip Docs'!$C$2:$C$7,E138,'Skip Docs'!$D$2:$D$7,H138,'Skip Docs'!$E$2:$E$7,J138)=1,"YES","NO"))</f>
        <v/>
      </c>
      <c r="Q138" s="37" t="inlineStr">
        <is>
          <t>Y</t>
        </is>
      </c>
      <c r="R138" s="37" t="inlineStr">
        <is>
          <t>SUSTAINED</t>
        </is>
      </c>
      <c r="S138" s="37">
        <f>IF(B138="YES","Verified contemporaneous proof",IF(L138="NO","No justification PDF supplied",IF(M138="NO","PDF is cover-only",IF(P138="NO","PDF content does not match logged slip/reason",IF(O138="NO","Offer event does not reconcile","Assembled after skip date")))))</f>
        <v/>
      </c>
    </row>
    <row r="139">
      <c r="A139" s="37">
        <f>IF(M139="NO","Priority 1",IF(N139="LATE","Priority 2",IF(B139="YES","OK","Priority 1")))</f>
        <v/>
      </c>
      <c r="B139" s="37">
        <f>IF(AND(L139="YES",M139="YES",N139="ON/BEFORE",O139="YES",P139="YES"),"YES","NO")</f>
        <v/>
      </c>
      <c r="C139" s="37" t="inlineStr">
        <is>
          <t>SKP-2024-0229</t>
        </is>
      </c>
      <c r="D139" s="37" t="inlineStr">
        <is>
          <t>OFR-2024-0838</t>
        </is>
      </c>
      <c r="E139" s="38" t="n">
        <v>45529</v>
      </c>
      <c r="F139" s="37" t="inlineStr">
        <is>
          <t>WL-02791</t>
        </is>
      </c>
      <c r="G139" s="37">
        <f>IFERROR(INDEX(Applicants!$C$2:$C$2911,MATCH(F139,Applicants!$A$2:$A$2911,0))&amp;" "&amp;INDEX(Applicants!$B$2:$B$2911,MATCH(F139,Applicants!$A$2:$A$2911,0)),"")</f>
        <v/>
      </c>
      <c r="H139" s="37" t="inlineStr">
        <is>
          <t>SB-0205</t>
        </is>
      </c>
      <c r="I139" s="37" t="inlineStr">
        <is>
          <t>Salmonberry</t>
        </is>
      </c>
      <c r="J139" s="37" t="inlineStr">
        <is>
          <t>vessel-fit</t>
        </is>
      </c>
      <c r="K139" s="38" t="n">
        <v>45534</v>
      </c>
      <c r="L139" s="37">
        <f>IF(COUNTIFS('Skip Docs'!$A$2:$A$7,F139,'Skip Docs'!$C$2:$C$7,E139)&gt;0,"YES","NO")</f>
        <v/>
      </c>
      <c r="M139" s="37">
        <f>IF(L139="NO","NO",INDEX('Skip Docs'!$G$2:$G$7,MATCH(1,INDEX(('Skip Docs'!$A$2:$A$7=F139)*('Skip Docs'!$C$2:$C$7=E139),0),0)))</f>
        <v/>
      </c>
      <c r="N139" s="37">
        <f>IF(K139&lt;=E139,"ON/BEFORE","LATE")</f>
        <v/>
      </c>
      <c r="O139" s="37">
        <f>IF(COUNTIFS(Offers!$A$2:$A$1487,D139,Offers!$C$2:$C$1487,F139,Offers!$B$2:$B$1487,E139,Offers!$E$2:$E$1487,H139,Offers!$I$2:$I$1487,"SKIPPED")=1,"YES","NO")</f>
        <v/>
      </c>
      <c r="P139" s="37">
        <f>IF(L139="NO","N/A",IF(COUNTIFS('Skip Docs'!$A$2:$A$7,F139,'Skip Docs'!$C$2:$C$7,E139,'Skip Docs'!$D$2:$D$7,H139,'Skip Docs'!$E$2:$E$7,J139)=1,"YES","NO"))</f>
        <v/>
      </c>
      <c r="Q139" s="37" t="inlineStr">
        <is>
          <t>Y</t>
        </is>
      </c>
      <c r="R139" s="37" t="inlineStr">
        <is>
          <t>SUSTAINED</t>
        </is>
      </c>
      <c r="S139" s="37">
        <f>IF(B139="YES","Verified contemporaneous proof",IF(L139="NO","No justification PDF supplied",IF(M139="NO","PDF is cover-only",IF(P139="NO","PDF content does not match logged slip/reason",IF(O139="NO","Offer event does not reconcile","Assembled after skip date")))))</f>
        <v/>
      </c>
    </row>
    <row r="140">
      <c r="A140" s="37">
        <f>IF(M140="NO","Priority 1",IF(N140="LATE","Priority 2",IF(B140="YES","OK","Priority 1")))</f>
        <v/>
      </c>
      <c r="B140" s="37">
        <f>IF(AND(L140="YES",M140="YES",N140="ON/BEFORE",O140="YES",P140="YES"),"YES","NO")</f>
        <v/>
      </c>
      <c r="C140" s="37" t="inlineStr">
        <is>
          <t>SKP-2024-0230</t>
        </is>
      </c>
      <c r="D140" s="37" t="inlineStr">
        <is>
          <t>OFR-2024-0845</t>
        </is>
      </c>
      <c r="E140" s="38" t="n">
        <v>45532</v>
      </c>
      <c r="F140" s="37" t="inlineStr">
        <is>
          <t>WL-01998</t>
        </is>
      </c>
      <c r="G140" s="37">
        <f>IFERROR(INDEX(Applicants!$C$2:$C$2911,MATCH(F140,Applicants!$A$2:$A$2911,0))&amp;" "&amp;INDEX(Applicants!$B$2:$B$2911,MATCH(F140,Applicants!$A$2:$A$2911,0)),"")</f>
        <v/>
      </c>
      <c r="H140" s="37" t="inlineStr">
        <is>
          <t>EW-0118</t>
        </is>
      </c>
      <c r="I140" s="37" t="inlineStr">
        <is>
          <t>Eastwey</t>
        </is>
      </c>
      <c r="J140" s="37" t="inlineStr">
        <is>
          <t>vessel-fit</t>
        </is>
      </c>
      <c r="K140" s="38" t="n">
        <v>45532</v>
      </c>
      <c r="L140" s="37">
        <f>IF(COUNTIFS('Skip Docs'!$A$2:$A$7,F140,'Skip Docs'!$C$2:$C$7,E140)&gt;0,"YES","NO")</f>
        <v/>
      </c>
      <c r="M140" s="37">
        <f>IF(L140="NO","NO",INDEX('Skip Docs'!$G$2:$G$7,MATCH(1,INDEX(('Skip Docs'!$A$2:$A$7=F140)*('Skip Docs'!$C$2:$C$7=E140),0),0)))</f>
        <v/>
      </c>
      <c r="N140" s="37">
        <f>IF(K140&lt;=E140,"ON/BEFORE","LATE")</f>
        <v/>
      </c>
      <c r="O140" s="37">
        <f>IF(COUNTIFS(Offers!$A$2:$A$1487,D140,Offers!$C$2:$C$1487,F140,Offers!$B$2:$B$1487,E140,Offers!$E$2:$E$1487,H140,Offers!$I$2:$I$1487,"SKIPPED")=1,"YES","NO")</f>
        <v/>
      </c>
      <c r="P140" s="37">
        <f>IF(L140="NO","N/A",IF(COUNTIFS('Skip Docs'!$A$2:$A$7,F140,'Skip Docs'!$C$2:$C$7,E140,'Skip Docs'!$D$2:$D$7,H140,'Skip Docs'!$E$2:$E$7,J140)=1,"YES","NO"))</f>
        <v/>
      </c>
      <c r="Q140" s="37" t="inlineStr">
        <is>
          <t>Y</t>
        </is>
      </c>
      <c r="R140" s="37" t="inlineStr">
        <is>
          <t>SUSTAINED</t>
        </is>
      </c>
      <c r="S140" s="37">
        <f>IF(B140="YES","Verified contemporaneous proof",IF(L140="NO","No justification PDF supplied",IF(M140="NO","PDF is cover-only",IF(P140="NO","PDF content does not match logged slip/reason",IF(O140="NO","Offer event does not reconcile","Assembled after skip date")))))</f>
        <v/>
      </c>
    </row>
    <row r="141">
      <c r="A141" s="37">
        <f>IF(M141="NO","Priority 1",IF(N141="LATE","Priority 2",IF(B141="YES","OK","Priority 1")))</f>
        <v/>
      </c>
      <c r="B141" s="37">
        <f>IF(AND(L141="YES",M141="YES",N141="ON/BEFORE",O141="YES",P141="YES"),"YES","NO")</f>
        <v/>
      </c>
      <c r="C141" s="37" t="inlineStr">
        <is>
          <t>SKP-2024-0231</t>
        </is>
      </c>
      <c r="D141" s="37" t="inlineStr">
        <is>
          <t>OFR-2024-0862</t>
        </is>
      </c>
      <c r="E141" s="38" t="n">
        <v>45508</v>
      </c>
      <c r="F141" s="37" t="inlineStr">
        <is>
          <t>WL-02925</t>
        </is>
      </c>
      <c r="G141" s="37">
        <f>IFERROR(INDEX(Applicants!$C$2:$C$2911,MATCH(F141,Applicants!$A$2:$A$2911,0))&amp;" "&amp;INDEX(Applicants!$B$2:$B$2911,MATCH(F141,Applicants!$A$2:$A$2911,0)),"")</f>
        <v/>
      </c>
      <c r="H141" s="37" t="inlineStr">
        <is>
          <t>EW-0324</t>
        </is>
      </c>
      <c r="I141" s="37" t="inlineStr">
        <is>
          <t>Eastwey</t>
        </is>
      </c>
      <c r="J141" s="37" t="inlineStr">
        <is>
          <t>preference-mismatch</t>
        </is>
      </c>
      <c r="K141" s="38" t="n">
        <v>45508</v>
      </c>
      <c r="L141" s="37">
        <f>IF(COUNTIFS('Skip Docs'!$A$2:$A$7,F141,'Skip Docs'!$C$2:$C$7,E141)&gt;0,"YES","NO")</f>
        <v/>
      </c>
      <c r="M141" s="37">
        <f>IF(L141="NO","NO",INDEX('Skip Docs'!$G$2:$G$7,MATCH(1,INDEX(('Skip Docs'!$A$2:$A$7=F141)*('Skip Docs'!$C$2:$C$7=E141),0),0)))</f>
        <v/>
      </c>
      <c r="N141" s="37">
        <f>IF(K141&lt;=E141,"ON/BEFORE","LATE")</f>
        <v/>
      </c>
      <c r="O141" s="37">
        <f>IF(COUNTIFS(Offers!$A$2:$A$1487,D141,Offers!$C$2:$C$1487,F141,Offers!$B$2:$B$1487,E141,Offers!$E$2:$E$1487,H141,Offers!$I$2:$I$1487,"SKIPPED")=1,"YES","NO")</f>
        <v/>
      </c>
      <c r="P141" s="37">
        <f>IF(L141="NO","N/A",IF(COUNTIFS('Skip Docs'!$A$2:$A$7,F141,'Skip Docs'!$C$2:$C$7,E141,'Skip Docs'!$D$2:$D$7,H141,'Skip Docs'!$E$2:$E$7,J141)=1,"YES","NO"))</f>
        <v/>
      </c>
      <c r="Q141" s="37" t="inlineStr">
        <is>
          <t>Y</t>
        </is>
      </c>
      <c r="R141" s="37" t="inlineStr">
        <is>
          <t>SUSTAINED</t>
        </is>
      </c>
      <c r="S141" s="37">
        <f>IF(B141="YES","Verified contemporaneous proof",IF(L141="NO","No justification PDF supplied",IF(M141="NO","PDF is cover-only",IF(P141="NO","PDF content does not match logged slip/reason",IF(O141="NO","Offer event does not reconcile","Assembled after skip date")))))</f>
        <v/>
      </c>
    </row>
    <row r="142">
      <c r="A142" s="37">
        <f>IF(M142="NO","Priority 1",IF(N142="LATE","Priority 2",IF(B142="YES","OK","Priority 1")))</f>
        <v/>
      </c>
      <c r="B142" s="37">
        <f>IF(AND(L142="YES",M142="YES",N142="ON/BEFORE",O142="YES",P142="YES"),"YES","NO")</f>
        <v/>
      </c>
      <c r="C142" s="37" t="inlineStr">
        <is>
          <t>SKP-2024-0232</t>
        </is>
      </c>
      <c r="D142" s="37" t="inlineStr">
        <is>
          <t>OFR-2024-0869</t>
        </is>
      </c>
      <c r="E142" s="38" t="n">
        <v>45536</v>
      </c>
      <c r="F142" s="37" t="inlineStr">
        <is>
          <t>WL-03615</t>
        </is>
      </c>
      <c r="G142" s="37">
        <f>IFERROR(INDEX(Applicants!$C$2:$C$2911,MATCH(F142,Applicants!$A$2:$A$2911,0))&amp;" "&amp;INDEX(Applicants!$B$2:$B$2911,MATCH(F142,Applicants!$A$2:$A$2911,0)),"")</f>
        <v/>
      </c>
      <c r="H142" s="37" t="inlineStr">
        <is>
          <t>VB-0518</t>
        </is>
      </c>
      <c r="I142" s="37" t="inlineStr">
        <is>
          <t>Vessbank</t>
        </is>
      </c>
      <c r="J142" s="37" t="inlineStr">
        <is>
          <t>declined-prior-offer</t>
        </is>
      </c>
      <c r="K142" s="38" t="n">
        <v>45538</v>
      </c>
      <c r="L142" s="37">
        <f>IF(COUNTIFS('Skip Docs'!$A$2:$A$7,F142,'Skip Docs'!$C$2:$C$7,E142)&gt;0,"YES","NO")</f>
        <v/>
      </c>
      <c r="M142" s="37">
        <f>IF(L142="NO","NO",INDEX('Skip Docs'!$G$2:$G$7,MATCH(1,INDEX(('Skip Docs'!$A$2:$A$7=F142)*('Skip Docs'!$C$2:$C$7=E142),0),0)))</f>
        <v/>
      </c>
      <c r="N142" s="37">
        <f>IF(K142&lt;=E142,"ON/BEFORE","LATE")</f>
        <v/>
      </c>
      <c r="O142" s="37">
        <f>IF(COUNTIFS(Offers!$A$2:$A$1487,D142,Offers!$C$2:$C$1487,F142,Offers!$B$2:$B$1487,E142,Offers!$E$2:$E$1487,H142,Offers!$I$2:$I$1487,"SKIPPED")=1,"YES","NO")</f>
        <v/>
      </c>
      <c r="P142" s="37">
        <f>IF(L142="NO","N/A",IF(COUNTIFS('Skip Docs'!$A$2:$A$7,F142,'Skip Docs'!$C$2:$C$7,E142,'Skip Docs'!$D$2:$D$7,H142,'Skip Docs'!$E$2:$E$7,J142)=1,"YES","NO"))</f>
        <v/>
      </c>
      <c r="Q142" s="37" t="inlineStr">
        <is>
          <t>Y</t>
        </is>
      </c>
      <c r="R142" s="37" t="inlineStr">
        <is>
          <t>SUSTAINED</t>
        </is>
      </c>
      <c r="S142" s="37">
        <f>IF(B142="YES","Verified contemporaneous proof",IF(L142="NO","No justification PDF supplied",IF(M142="NO","PDF is cover-only",IF(P142="NO","PDF content does not match logged slip/reason",IF(O142="NO","Offer event does not reconcile","Assembled after skip date")))))</f>
        <v/>
      </c>
    </row>
    <row r="143">
      <c r="A143" s="37">
        <f>IF(M143="NO","Priority 1",IF(N143="LATE","Priority 2",IF(B143="YES","OK","Priority 1")))</f>
        <v/>
      </c>
      <c r="B143" s="37">
        <f>IF(AND(L143="YES",M143="YES",N143="ON/BEFORE",O143="YES",P143="YES"),"YES","NO")</f>
        <v/>
      </c>
      <c r="C143" s="37" t="inlineStr">
        <is>
          <t>SKP-2024-0233</t>
        </is>
      </c>
      <c r="D143" s="37" t="inlineStr">
        <is>
          <t>OFR-2024-0870</t>
        </is>
      </c>
      <c r="E143" s="38" t="n">
        <v>45546</v>
      </c>
      <c r="F143" s="37" t="inlineStr">
        <is>
          <t>WL-03062</t>
        </is>
      </c>
      <c r="G143" s="37">
        <f>IFERROR(INDEX(Applicants!$C$2:$C$2911,MATCH(F143,Applicants!$A$2:$A$2911,0))&amp;" "&amp;INDEX(Applicants!$B$2:$B$2911,MATCH(F143,Applicants!$A$2:$A$2911,0)),"")</f>
        <v/>
      </c>
      <c r="H143" s="37" t="inlineStr">
        <is>
          <t>LP-0303</t>
        </is>
      </c>
      <c r="I143" s="37" t="inlineStr">
        <is>
          <t>Ledgport</t>
        </is>
      </c>
      <c r="J143" s="37" t="inlineStr">
        <is>
          <t>declined-prior-offer</t>
        </is>
      </c>
      <c r="K143" s="38" t="n">
        <v>45548</v>
      </c>
      <c r="L143" s="37">
        <f>IF(COUNTIFS('Skip Docs'!$A$2:$A$7,F143,'Skip Docs'!$C$2:$C$7,E143)&gt;0,"YES","NO")</f>
        <v/>
      </c>
      <c r="M143" s="37">
        <f>IF(L143="NO","NO",INDEX('Skip Docs'!$G$2:$G$7,MATCH(1,INDEX(('Skip Docs'!$A$2:$A$7=F143)*('Skip Docs'!$C$2:$C$7=E143),0),0)))</f>
        <v/>
      </c>
      <c r="N143" s="37">
        <f>IF(K143&lt;=E143,"ON/BEFORE","LATE")</f>
        <v/>
      </c>
      <c r="O143" s="37">
        <f>IF(COUNTIFS(Offers!$A$2:$A$1487,D143,Offers!$C$2:$C$1487,F143,Offers!$B$2:$B$1487,E143,Offers!$E$2:$E$1487,H143,Offers!$I$2:$I$1487,"SKIPPED")=1,"YES","NO")</f>
        <v/>
      </c>
      <c r="P143" s="37">
        <f>IF(L143="NO","N/A",IF(COUNTIFS('Skip Docs'!$A$2:$A$7,F143,'Skip Docs'!$C$2:$C$7,E143,'Skip Docs'!$D$2:$D$7,H143,'Skip Docs'!$E$2:$E$7,J143)=1,"YES","NO"))</f>
        <v/>
      </c>
      <c r="Q143" s="37" t="inlineStr">
        <is>
          <t>Y</t>
        </is>
      </c>
      <c r="R143" s="37" t="inlineStr">
        <is>
          <t>SUSTAINED</t>
        </is>
      </c>
      <c r="S143" s="37">
        <f>IF(B143="YES","Verified contemporaneous proof",IF(L143="NO","No justification PDF supplied",IF(M143="NO","PDF is cover-only",IF(P143="NO","PDF content does not match logged slip/reason",IF(O143="NO","Offer event does not reconcile","Assembled after skip date")))))</f>
        <v/>
      </c>
    </row>
    <row r="144">
      <c r="A144" s="37">
        <f>IF(M144="NO","Priority 1",IF(N144="LATE","Priority 2",IF(B144="YES","OK","Priority 1")))</f>
        <v/>
      </c>
      <c r="B144" s="37">
        <f>IF(AND(L144="YES",M144="YES",N144="ON/BEFORE",O144="YES",P144="YES"),"YES","NO")</f>
        <v/>
      </c>
      <c r="C144" s="37" t="inlineStr">
        <is>
          <t>SKP-2024-0234</t>
        </is>
      </c>
      <c r="D144" s="37" t="inlineStr">
        <is>
          <t>OFR-2024-0871</t>
        </is>
      </c>
      <c r="E144" s="38" t="n">
        <v>45542</v>
      </c>
      <c r="F144" s="37" t="inlineStr">
        <is>
          <t>WL-01779</t>
        </is>
      </c>
      <c r="G144" s="37">
        <f>IFERROR(INDEX(Applicants!$C$2:$C$2911,MATCH(F144,Applicants!$A$2:$A$2911,0))&amp;" "&amp;INDEX(Applicants!$B$2:$B$2911,MATCH(F144,Applicants!$A$2:$A$2911,0)),"")</f>
        <v/>
      </c>
      <c r="H144" s="37" t="inlineStr">
        <is>
          <t>SB-0313</t>
        </is>
      </c>
      <c r="I144" s="37" t="inlineStr">
        <is>
          <t>Salmonberry</t>
        </is>
      </c>
      <c r="J144" s="37" t="inlineStr">
        <is>
          <t>preference-mismatch</t>
        </is>
      </c>
      <c r="K144" s="38" t="n">
        <v>45543</v>
      </c>
      <c r="L144" s="37">
        <f>IF(COUNTIFS('Skip Docs'!$A$2:$A$7,F144,'Skip Docs'!$C$2:$C$7,E144)&gt;0,"YES","NO")</f>
        <v/>
      </c>
      <c r="M144" s="37">
        <f>IF(L144="NO","NO",INDEX('Skip Docs'!$G$2:$G$7,MATCH(1,INDEX(('Skip Docs'!$A$2:$A$7=F144)*('Skip Docs'!$C$2:$C$7=E144),0),0)))</f>
        <v/>
      </c>
      <c r="N144" s="37">
        <f>IF(K144&lt;=E144,"ON/BEFORE","LATE")</f>
        <v/>
      </c>
      <c r="O144" s="37">
        <f>IF(COUNTIFS(Offers!$A$2:$A$1487,D144,Offers!$C$2:$C$1487,F144,Offers!$B$2:$B$1487,E144,Offers!$E$2:$E$1487,H144,Offers!$I$2:$I$1487,"SKIPPED")=1,"YES","NO")</f>
        <v/>
      </c>
      <c r="P144" s="37">
        <f>IF(L144="NO","N/A",IF(COUNTIFS('Skip Docs'!$A$2:$A$7,F144,'Skip Docs'!$C$2:$C$7,E144,'Skip Docs'!$D$2:$D$7,H144,'Skip Docs'!$E$2:$E$7,J144)=1,"YES","NO"))</f>
        <v/>
      </c>
      <c r="Q144" s="37" t="inlineStr">
        <is>
          <t>Y</t>
        </is>
      </c>
      <c r="R144" s="37" t="inlineStr">
        <is>
          <t>SUSTAINED</t>
        </is>
      </c>
      <c r="S144" s="37">
        <f>IF(B144="YES","Verified contemporaneous proof",IF(L144="NO","No justification PDF supplied",IF(M144="NO","PDF is cover-only",IF(P144="NO","PDF content does not match logged slip/reason",IF(O144="NO","Offer event does not reconcile","Assembled after skip date")))))</f>
        <v/>
      </c>
    </row>
    <row r="145">
      <c r="A145" s="37">
        <f>IF(M145="NO","Priority 1",IF(N145="LATE","Priority 2",IF(B145="YES","OK","Priority 1")))</f>
        <v/>
      </c>
      <c r="B145" s="37">
        <f>IF(AND(L145="YES",M145="YES",N145="ON/BEFORE",O145="YES",P145="YES"),"YES","NO")</f>
        <v/>
      </c>
      <c r="C145" s="37" t="inlineStr">
        <is>
          <t>SKP-2024-0235</t>
        </is>
      </c>
      <c r="D145" s="37" t="inlineStr">
        <is>
          <t>OFR-2024-0876</t>
        </is>
      </c>
      <c r="E145" s="38" t="n">
        <v>45536</v>
      </c>
      <c r="F145" s="37" t="inlineStr">
        <is>
          <t>WL-03228</t>
        </is>
      </c>
      <c r="G145" s="37">
        <f>IFERROR(INDEX(Applicants!$C$2:$C$2911,MATCH(F145,Applicants!$A$2:$A$2911,0))&amp;" "&amp;INDEX(Applicants!$B$2:$B$2911,MATCH(F145,Applicants!$A$2:$A$2911,0)),"")</f>
        <v/>
      </c>
      <c r="H145" s="37" t="inlineStr">
        <is>
          <t>EW-0319</t>
        </is>
      </c>
      <c r="I145" s="37" t="inlineStr">
        <is>
          <t>Eastwey</t>
        </is>
      </c>
      <c r="J145" s="37" t="inlineStr">
        <is>
          <t>declined-prior-offer</t>
        </is>
      </c>
      <c r="K145" s="38" t="n">
        <v>45539</v>
      </c>
      <c r="L145" s="37">
        <f>IF(COUNTIFS('Skip Docs'!$A$2:$A$7,F145,'Skip Docs'!$C$2:$C$7,E145)&gt;0,"YES","NO")</f>
        <v/>
      </c>
      <c r="M145" s="37">
        <f>IF(L145="NO","NO",INDEX('Skip Docs'!$G$2:$G$7,MATCH(1,INDEX(('Skip Docs'!$A$2:$A$7=F145)*('Skip Docs'!$C$2:$C$7=E145),0),0)))</f>
        <v/>
      </c>
      <c r="N145" s="37">
        <f>IF(K145&lt;=E145,"ON/BEFORE","LATE")</f>
        <v/>
      </c>
      <c r="O145" s="37">
        <f>IF(COUNTIFS(Offers!$A$2:$A$1487,D145,Offers!$C$2:$C$1487,F145,Offers!$B$2:$B$1487,E145,Offers!$E$2:$E$1487,H145,Offers!$I$2:$I$1487,"SKIPPED")=1,"YES","NO")</f>
        <v/>
      </c>
      <c r="P145" s="37">
        <f>IF(L145="NO","N/A",IF(COUNTIFS('Skip Docs'!$A$2:$A$7,F145,'Skip Docs'!$C$2:$C$7,E145,'Skip Docs'!$D$2:$D$7,H145,'Skip Docs'!$E$2:$E$7,J145)=1,"YES","NO"))</f>
        <v/>
      </c>
      <c r="Q145" s="37" t="inlineStr">
        <is>
          <t>Y</t>
        </is>
      </c>
      <c r="R145" s="37" t="inlineStr">
        <is>
          <t>SUSTAINED</t>
        </is>
      </c>
      <c r="S145" s="37">
        <f>IF(B145="YES","Verified contemporaneous proof",IF(L145="NO","No justification PDF supplied",IF(M145="NO","PDF is cover-only",IF(P145="NO","PDF content does not match logged slip/reason",IF(O145="NO","Offer event does not reconcile","Assembled after skip date")))))</f>
        <v/>
      </c>
    </row>
    <row r="146">
      <c r="A146" s="37">
        <f>IF(M146="NO","Priority 1",IF(N146="LATE","Priority 2",IF(B146="YES","OK","Priority 1")))</f>
        <v/>
      </c>
      <c r="B146" s="37">
        <f>IF(AND(L146="YES",M146="YES",N146="ON/BEFORE",O146="YES",P146="YES"),"YES","NO")</f>
        <v/>
      </c>
      <c r="C146" s="37" t="inlineStr">
        <is>
          <t>SKP-2024-0236</t>
        </is>
      </c>
      <c r="D146" s="37" t="inlineStr">
        <is>
          <t>OFR-2024-0877</t>
        </is>
      </c>
      <c r="E146" s="38" t="n">
        <v>45545</v>
      </c>
      <c r="F146" s="37" t="inlineStr">
        <is>
          <t>WL-03479</t>
        </is>
      </c>
      <c r="G146" s="37">
        <f>IFERROR(INDEX(Applicants!$C$2:$C$2911,MATCH(F146,Applicants!$A$2:$A$2911,0))&amp;" "&amp;INDEX(Applicants!$B$2:$B$2911,MATCH(F146,Applicants!$A$2:$A$2911,0)),"")</f>
        <v/>
      </c>
      <c r="H146" s="37" t="inlineStr">
        <is>
          <t>SB-0607</t>
        </is>
      </c>
      <c r="I146" s="37" t="inlineStr">
        <is>
          <t>Salmonberry</t>
        </is>
      </c>
      <c r="J146" s="37" t="inlineStr">
        <is>
          <t>vessel-fit</t>
        </is>
      </c>
      <c r="K146" s="38" t="n">
        <v>45550</v>
      </c>
      <c r="L146" s="37">
        <f>IF(COUNTIFS('Skip Docs'!$A$2:$A$7,F146,'Skip Docs'!$C$2:$C$7,E146)&gt;0,"YES","NO")</f>
        <v/>
      </c>
      <c r="M146" s="37">
        <f>IF(L146="NO","NO",INDEX('Skip Docs'!$G$2:$G$7,MATCH(1,INDEX(('Skip Docs'!$A$2:$A$7=F146)*('Skip Docs'!$C$2:$C$7=E146),0),0)))</f>
        <v/>
      </c>
      <c r="N146" s="37">
        <f>IF(K146&lt;=E146,"ON/BEFORE","LATE")</f>
        <v/>
      </c>
      <c r="O146" s="37">
        <f>IF(COUNTIFS(Offers!$A$2:$A$1487,D146,Offers!$C$2:$C$1487,F146,Offers!$B$2:$B$1487,E146,Offers!$E$2:$E$1487,H146,Offers!$I$2:$I$1487,"SKIPPED")=1,"YES","NO")</f>
        <v/>
      </c>
      <c r="P146" s="37">
        <f>IF(L146="NO","N/A",IF(COUNTIFS('Skip Docs'!$A$2:$A$7,F146,'Skip Docs'!$C$2:$C$7,E146,'Skip Docs'!$D$2:$D$7,H146,'Skip Docs'!$E$2:$E$7,J146)=1,"YES","NO"))</f>
        <v/>
      </c>
      <c r="Q146" s="37" t="inlineStr">
        <is>
          <t>Y</t>
        </is>
      </c>
      <c r="R146" s="37" t="inlineStr">
        <is>
          <t>SUSTAINED</t>
        </is>
      </c>
      <c r="S146" s="37">
        <f>IF(B146="YES","Verified contemporaneous proof",IF(L146="NO","No justification PDF supplied",IF(M146="NO","PDF is cover-only",IF(P146="NO","PDF content does not match logged slip/reason",IF(O146="NO","Offer event does not reconcile","Assembled after skip date")))))</f>
        <v/>
      </c>
    </row>
    <row r="147">
      <c r="A147" s="37">
        <f>IF(M147="NO","Priority 1",IF(N147="LATE","Priority 2",IF(B147="YES","OK","Priority 1")))</f>
        <v/>
      </c>
      <c r="B147" s="37">
        <f>IF(AND(L147="YES",M147="YES",N147="ON/BEFORE",O147="YES",P147="YES"),"YES","NO")</f>
        <v/>
      </c>
      <c r="C147" s="37" t="inlineStr">
        <is>
          <t>SKP-2024-0237</t>
        </is>
      </c>
      <c r="D147" s="37" t="inlineStr">
        <is>
          <t>OFR-2024-0878</t>
        </is>
      </c>
      <c r="E147" s="38" t="n">
        <v>45549</v>
      </c>
      <c r="F147" s="37" t="inlineStr">
        <is>
          <t>WL-02574</t>
        </is>
      </c>
      <c r="G147" s="37">
        <f>IFERROR(INDEX(Applicants!$C$2:$C$2911,MATCH(F147,Applicants!$A$2:$A$2911,0))&amp;" "&amp;INDEX(Applicants!$B$2:$B$2911,MATCH(F147,Applicants!$A$2:$A$2911,0)),"")</f>
        <v/>
      </c>
      <c r="H147" s="37" t="inlineStr">
        <is>
          <t>SB-0403</t>
        </is>
      </c>
      <c r="I147" s="37" t="inlineStr">
        <is>
          <t>Salmonberry</t>
        </is>
      </c>
      <c r="J147" s="37" t="inlineStr">
        <is>
          <t>not-current</t>
        </is>
      </c>
      <c r="K147" s="38" t="n">
        <v>45549</v>
      </c>
      <c r="L147" s="37">
        <f>IF(COUNTIFS('Skip Docs'!$A$2:$A$7,F147,'Skip Docs'!$C$2:$C$7,E147)&gt;0,"YES","NO")</f>
        <v/>
      </c>
      <c r="M147" s="37">
        <f>IF(L147="NO","NO",INDEX('Skip Docs'!$G$2:$G$7,MATCH(1,INDEX(('Skip Docs'!$A$2:$A$7=F147)*('Skip Docs'!$C$2:$C$7=E147),0),0)))</f>
        <v/>
      </c>
      <c r="N147" s="37">
        <f>IF(K147&lt;=E147,"ON/BEFORE","LATE")</f>
        <v/>
      </c>
      <c r="O147" s="37">
        <f>IF(COUNTIFS(Offers!$A$2:$A$1487,D147,Offers!$C$2:$C$1487,F147,Offers!$B$2:$B$1487,E147,Offers!$E$2:$E$1487,H147,Offers!$I$2:$I$1487,"SKIPPED")=1,"YES","NO")</f>
        <v/>
      </c>
      <c r="P147" s="37">
        <f>IF(L147="NO","N/A",IF(COUNTIFS('Skip Docs'!$A$2:$A$7,F147,'Skip Docs'!$C$2:$C$7,E147,'Skip Docs'!$D$2:$D$7,H147,'Skip Docs'!$E$2:$E$7,J147)=1,"YES","NO"))</f>
        <v/>
      </c>
      <c r="Q147" s="37" t="inlineStr">
        <is>
          <t>Y</t>
        </is>
      </c>
      <c r="R147" s="37" t="inlineStr">
        <is>
          <t>SUSTAINED</t>
        </is>
      </c>
      <c r="S147" s="37">
        <f>IF(B147="YES","Verified contemporaneous proof",IF(L147="NO","No justification PDF supplied",IF(M147="NO","PDF is cover-only",IF(P147="NO","PDF content does not match logged slip/reason",IF(O147="NO","Offer event does not reconcile","Assembled after skip date")))))</f>
        <v/>
      </c>
    </row>
    <row r="148">
      <c r="A148" s="37">
        <f>IF(M148="NO","Priority 1",IF(N148="LATE","Priority 2",IF(B148="YES","OK","Priority 1")))</f>
        <v/>
      </c>
      <c r="B148" s="37">
        <f>IF(AND(L148="YES",M148="YES",N148="ON/BEFORE",O148="YES",P148="YES"),"YES","NO")</f>
        <v/>
      </c>
      <c r="C148" s="37" t="inlineStr">
        <is>
          <t>SKP-2024-0238</t>
        </is>
      </c>
      <c r="D148" s="37" t="inlineStr">
        <is>
          <t>OFR-2024-0883</t>
        </is>
      </c>
      <c r="E148" s="38" t="n">
        <v>45545</v>
      </c>
      <c r="F148" s="37" t="inlineStr">
        <is>
          <t>WL-02336</t>
        </is>
      </c>
      <c r="G148" s="37">
        <f>IFERROR(INDEX(Applicants!$C$2:$C$2911,MATCH(F148,Applicants!$A$2:$A$2911,0))&amp;" "&amp;INDEX(Applicants!$B$2:$B$2911,MATCH(F148,Applicants!$A$2:$A$2911,0)),"")</f>
        <v/>
      </c>
      <c r="H148" s="37" t="inlineStr">
        <is>
          <t>VB-0517</t>
        </is>
      </c>
      <c r="I148" s="37" t="inlineStr">
        <is>
          <t>Vessbank</t>
        </is>
      </c>
      <c r="J148" s="37" t="inlineStr">
        <is>
          <t>not-current</t>
        </is>
      </c>
      <c r="K148" s="38" t="n">
        <v>45545</v>
      </c>
      <c r="L148" s="37">
        <f>IF(COUNTIFS('Skip Docs'!$A$2:$A$7,F148,'Skip Docs'!$C$2:$C$7,E148)&gt;0,"YES","NO")</f>
        <v/>
      </c>
      <c r="M148" s="37">
        <f>IF(L148="NO","NO",INDEX('Skip Docs'!$G$2:$G$7,MATCH(1,INDEX(('Skip Docs'!$A$2:$A$7=F148)*('Skip Docs'!$C$2:$C$7=E148),0),0)))</f>
        <v/>
      </c>
      <c r="N148" s="37">
        <f>IF(K148&lt;=E148,"ON/BEFORE","LATE")</f>
        <v/>
      </c>
      <c r="O148" s="37">
        <f>IF(COUNTIFS(Offers!$A$2:$A$1487,D148,Offers!$C$2:$C$1487,F148,Offers!$B$2:$B$1487,E148,Offers!$E$2:$E$1487,H148,Offers!$I$2:$I$1487,"SKIPPED")=1,"YES","NO")</f>
        <v/>
      </c>
      <c r="P148" s="37">
        <f>IF(L148="NO","N/A",IF(COUNTIFS('Skip Docs'!$A$2:$A$7,F148,'Skip Docs'!$C$2:$C$7,E148,'Skip Docs'!$D$2:$D$7,H148,'Skip Docs'!$E$2:$E$7,J148)=1,"YES","NO"))</f>
        <v/>
      </c>
      <c r="Q148" s="37" t="inlineStr">
        <is>
          <t>Y</t>
        </is>
      </c>
      <c r="R148" s="37" t="inlineStr">
        <is>
          <t>SUSTAINED</t>
        </is>
      </c>
      <c r="S148" s="37">
        <f>IF(B148="YES","Verified contemporaneous proof",IF(L148="NO","No justification PDF supplied",IF(M148="NO","PDF is cover-only",IF(P148="NO","PDF content does not match logged slip/reason",IF(O148="NO","Offer event does not reconcile","Assembled after skip date")))))</f>
        <v/>
      </c>
    </row>
    <row r="149">
      <c r="A149" s="37">
        <f>IF(M149="NO","Priority 1",IF(N149="LATE","Priority 2",IF(B149="YES","OK","Priority 1")))</f>
        <v/>
      </c>
      <c r="B149" s="37">
        <f>IF(AND(L149="YES",M149="YES",N149="ON/BEFORE",O149="YES",P149="YES"),"YES","NO")</f>
        <v/>
      </c>
      <c r="C149" s="37" t="inlineStr">
        <is>
          <t>SKP-2024-0239</t>
        </is>
      </c>
      <c r="D149" s="37" t="inlineStr">
        <is>
          <t>OFR-2024-0887</t>
        </is>
      </c>
      <c r="E149" s="38" t="n">
        <v>45537</v>
      </c>
      <c r="F149" s="37" t="inlineStr">
        <is>
          <t>WL-01504</t>
        </is>
      </c>
      <c r="G149" s="37">
        <f>IFERROR(INDEX(Applicants!$C$2:$C$2911,MATCH(F149,Applicants!$A$2:$A$2911,0))&amp;" "&amp;INDEX(Applicants!$B$2:$B$2911,MATCH(F149,Applicants!$A$2:$A$2911,0)),"")</f>
        <v/>
      </c>
      <c r="H149" s="37" t="inlineStr">
        <is>
          <t>VB-0223</t>
        </is>
      </c>
      <c r="I149" s="37" t="inlineStr">
        <is>
          <t>Vessbank</t>
        </is>
      </c>
      <c r="J149" s="37" t="inlineStr">
        <is>
          <t>vessel-fit</t>
        </is>
      </c>
      <c r="K149" s="38" t="n">
        <v>45537</v>
      </c>
      <c r="L149" s="37">
        <f>IF(COUNTIFS('Skip Docs'!$A$2:$A$7,F149,'Skip Docs'!$C$2:$C$7,E149)&gt;0,"YES","NO")</f>
        <v/>
      </c>
      <c r="M149" s="37">
        <f>IF(L149="NO","NO",INDEX('Skip Docs'!$G$2:$G$7,MATCH(1,INDEX(('Skip Docs'!$A$2:$A$7=F149)*('Skip Docs'!$C$2:$C$7=E149),0),0)))</f>
        <v/>
      </c>
      <c r="N149" s="37">
        <f>IF(K149&lt;=E149,"ON/BEFORE","LATE")</f>
        <v/>
      </c>
      <c r="O149" s="37">
        <f>IF(COUNTIFS(Offers!$A$2:$A$1487,D149,Offers!$C$2:$C$1487,F149,Offers!$B$2:$B$1487,E149,Offers!$E$2:$E$1487,H149,Offers!$I$2:$I$1487,"SKIPPED")=1,"YES","NO")</f>
        <v/>
      </c>
      <c r="P149" s="37">
        <f>IF(L149="NO","N/A",IF(COUNTIFS('Skip Docs'!$A$2:$A$7,F149,'Skip Docs'!$C$2:$C$7,E149,'Skip Docs'!$D$2:$D$7,H149,'Skip Docs'!$E$2:$E$7,J149)=1,"YES","NO"))</f>
        <v/>
      </c>
      <c r="Q149" s="37" t="inlineStr">
        <is>
          <t>Y</t>
        </is>
      </c>
      <c r="R149" s="37" t="inlineStr">
        <is>
          <t>SUSTAINED</t>
        </is>
      </c>
      <c r="S149" s="37">
        <f>IF(B149="YES","Verified contemporaneous proof",IF(L149="NO","No justification PDF supplied",IF(M149="NO","PDF is cover-only",IF(P149="NO","PDF content does not match logged slip/reason",IF(O149="NO","Offer event does not reconcile","Assembled after skip date")))))</f>
        <v/>
      </c>
    </row>
    <row r="150">
      <c r="A150" s="37">
        <f>IF(M150="NO","Priority 1",IF(N150="LATE","Priority 2",IF(B150="YES","OK","Priority 1")))</f>
        <v/>
      </c>
      <c r="B150" s="37">
        <f>IF(AND(L150="YES",M150="YES",N150="ON/BEFORE",O150="YES",P150="YES"),"YES","NO")</f>
        <v/>
      </c>
      <c r="C150" s="37" t="inlineStr">
        <is>
          <t>SKP-2024-0240</t>
        </is>
      </c>
      <c r="D150" s="37" t="inlineStr">
        <is>
          <t>OFR-2024-0889</t>
        </is>
      </c>
      <c r="E150" s="38" t="n">
        <v>45560</v>
      </c>
      <c r="F150" s="37" t="inlineStr">
        <is>
          <t>WL-01718</t>
        </is>
      </c>
      <c r="G150" s="37">
        <f>IFERROR(INDEX(Applicants!$C$2:$C$2911,MATCH(F150,Applicants!$A$2:$A$2911,0))&amp;" "&amp;INDEX(Applicants!$B$2:$B$2911,MATCH(F150,Applicants!$A$2:$A$2911,0)),"")</f>
        <v/>
      </c>
      <c r="H150" s="37" t="inlineStr">
        <is>
          <t>SB-0821</t>
        </is>
      </c>
      <c r="I150" s="37" t="inlineStr">
        <is>
          <t>Salmonberry</t>
        </is>
      </c>
      <c r="J150" s="37" t="inlineStr">
        <is>
          <t>declined-prior-offer</t>
        </is>
      </c>
      <c r="K150" s="38" t="n">
        <v>45562</v>
      </c>
      <c r="L150" s="37">
        <f>IF(COUNTIFS('Skip Docs'!$A$2:$A$7,F150,'Skip Docs'!$C$2:$C$7,E150)&gt;0,"YES","NO")</f>
        <v/>
      </c>
      <c r="M150" s="37">
        <f>IF(L150="NO","NO",INDEX('Skip Docs'!$G$2:$G$7,MATCH(1,INDEX(('Skip Docs'!$A$2:$A$7=F150)*('Skip Docs'!$C$2:$C$7=E150),0),0)))</f>
        <v/>
      </c>
      <c r="N150" s="37">
        <f>IF(K150&lt;=E150,"ON/BEFORE","LATE")</f>
        <v/>
      </c>
      <c r="O150" s="37">
        <f>IF(COUNTIFS(Offers!$A$2:$A$1487,D150,Offers!$C$2:$C$1487,F150,Offers!$B$2:$B$1487,E150,Offers!$E$2:$E$1487,H150,Offers!$I$2:$I$1487,"SKIPPED")=1,"YES","NO")</f>
        <v/>
      </c>
      <c r="P150" s="37">
        <f>IF(L150="NO","N/A",IF(COUNTIFS('Skip Docs'!$A$2:$A$7,F150,'Skip Docs'!$C$2:$C$7,E150,'Skip Docs'!$D$2:$D$7,H150,'Skip Docs'!$E$2:$E$7,J150)=1,"YES","NO"))</f>
        <v/>
      </c>
      <c r="Q150" s="37" t="inlineStr">
        <is>
          <t>Y</t>
        </is>
      </c>
      <c r="R150" s="37" t="inlineStr">
        <is>
          <t>SUSTAINED</t>
        </is>
      </c>
      <c r="S150" s="37">
        <f>IF(B150="YES","Verified contemporaneous proof",IF(L150="NO","No justification PDF supplied",IF(M150="NO","PDF is cover-only",IF(P150="NO","PDF content does not match logged slip/reason",IF(O150="NO","Offer event does not reconcile","Assembled after skip date")))))</f>
        <v/>
      </c>
    </row>
    <row r="151">
      <c r="A151" s="37">
        <f>IF(M151="NO","Priority 1",IF(N151="LATE","Priority 2",IF(B151="YES","OK","Priority 1")))</f>
        <v/>
      </c>
      <c r="B151" s="37">
        <f>IF(AND(L151="YES",M151="YES",N151="ON/BEFORE",O151="YES",P151="YES"),"YES","NO")</f>
        <v/>
      </c>
      <c r="C151" s="37" t="inlineStr">
        <is>
          <t>SKP-2024-0241</t>
        </is>
      </c>
      <c r="D151" s="37" t="inlineStr">
        <is>
          <t>OFR-2024-0893</t>
        </is>
      </c>
      <c r="E151" s="38" t="n">
        <v>45591</v>
      </c>
      <c r="F151" s="37" t="inlineStr">
        <is>
          <t>WL-01026</t>
        </is>
      </c>
      <c r="G151" s="37">
        <f>IFERROR(INDEX(Applicants!$C$2:$C$2911,MATCH(F151,Applicants!$A$2:$A$2911,0))&amp;" "&amp;INDEX(Applicants!$B$2:$B$2911,MATCH(F151,Applicants!$A$2:$A$2911,0)),"")</f>
        <v/>
      </c>
      <c r="H151" s="37" t="inlineStr">
        <is>
          <t>SB-0214</t>
        </is>
      </c>
      <c r="I151" s="37" t="inlineStr">
        <is>
          <t>Salmonberry</t>
        </is>
      </c>
      <c r="J151" s="37" t="inlineStr">
        <is>
          <t>declined-prior-offer</t>
        </is>
      </c>
      <c r="K151" s="38" t="n">
        <v>45595</v>
      </c>
      <c r="L151" s="37">
        <f>IF(COUNTIFS('Skip Docs'!$A$2:$A$7,F151,'Skip Docs'!$C$2:$C$7,E151)&gt;0,"YES","NO")</f>
        <v/>
      </c>
      <c r="M151" s="37">
        <f>IF(L151="NO","NO",INDEX('Skip Docs'!$G$2:$G$7,MATCH(1,INDEX(('Skip Docs'!$A$2:$A$7=F151)*('Skip Docs'!$C$2:$C$7=E151),0),0)))</f>
        <v/>
      </c>
      <c r="N151" s="37">
        <f>IF(K151&lt;=E151,"ON/BEFORE","LATE")</f>
        <v/>
      </c>
      <c r="O151" s="37">
        <f>IF(COUNTIFS(Offers!$A$2:$A$1487,D151,Offers!$C$2:$C$1487,F151,Offers!$B$2:$B$1487,E151,Offers!$E$2:$E$1487,H151,Offers!$I$2:$I$1487,"SKIPPED")=1,"YES","NO")</f>
        <v/>
      </c>
      <c r="P151" s="37">
        <f>IF(L151="NO","N/A",IF(COUNTIFS('Skip Docs'!$A$2:$A$7,F151,'Skip Docs'!$C$2:$C$7,E151,'Skip Docs'!$D$2:$D$7,H151,'Skip Docs'!$E$2:$E$7,J151)=1,"YES","NO"))</f>
        <v/>
      </c>
      <c r="Q151" s="37" t="inlineStr">
        <is>
          <t>Y</t>
        </is>
      </c>
      <c r="R151" s="37" t="inlineStr">
        <is>
          <t>SUSTAINED</t>
        </is>
      </c>
      <c r="S151" s="37">
        <f>IF(B151="YES","Verified contemporaneous proof",IF(L151="NO","No justification PDF supplied",IF(M151="NO","PDF is cover-only",IF(P151="NO","PDF content does not match logged slip/reason",IF(O151="NO","Offer event does not reconcile","Assembled after skip date")))))</f>
        <v/>
      </c>
    </row>
    <row r="152">
      <c r="A152" s="37">
        <f>IF(M152="NO","Priority 1",IF(N152="LATE","Priority 2",IF(B152="YES","OK","Priority 1")))</f>
        <v/>
      </c>
      <c r="B152" s="37">
        <f>IF(AND(L152="YES",M152="YES",N152="ON/BEFORE",O152="YES",P152="YES"),"YES","NO")</f>
        <v/>
      </c>
      <c r="C152" s="37" t="inlineStr">
        <is>
          <t>SKP-2024-0242</t>
        </is>
      </c>
      <c r="D152" s="37" t="inlineStr">
        <is>
          <t>OFR-2024-0895</t>
        </is>
      </c>
      <c r="E152" s="38" t="n">
        <v>45586</v>
      </c>
      <c r="F152" s="37" t="inlineStr">
        <is>
          <t>WL-03831</t>
        </is>
      </c>
      <c r="G152" s="37">
        <f>IFERROR(INDEX(Applicants!$C$2:$C$2911,MATCH(F152,Applicants!$A$2:$A$2911,0))&amp;" "&amp;INDEX(Applicants!$B$2:$B$2911,MATCH(F152,Applicants!$A$2:$A$2911,0)),"")</f>
        <v/>
      </c>
      <c r="H152" s="37" t="inlineStr">
        <is>
          <t>EW-1022</t>
        </is>
      </c>
      <c r="I152" s="37" t="inlineStr">
        <is>
          <t>Eastwey</t>
        </is>
      </c>
      <c r="J152" s="37" t="inlineStr">
        <is>
          <t>not-current</t>
        </is>
      </c>
      <c r="K152" s="38" t="n">
        <v>45586</v>
      </c>
      <c r="L152" s="37">
        <f>IF(COUNTIFS('Skip Docs'!$A$2:$A$7,F152,'Skip Docs'!$C$2:$C$7,E152)&gt;0,"YES","NO")</f>
        <v/>
      </c>
      <c r="M152" s="37">
        <f>IF(L152="NO","NO",INDEX('Skip Docs'!$G$2:$G$7,MATCH(1,INDEX(('Skip Docs'!$A$2:$A$7=F152)*('Skip Docs'!$C$2:$C$7=E152),0),0)))</f>
        <v/>
      </c>
      <c r="N152" s="37">
        <f>IF(K152&lt;=E152,"ON/BEFORE","LATE")</f>
        <v/>
      </c>
      <c r="O152" s="37">
        <f>IF(COUNTIFS(Offers!$A$2:$A$1487,D152,Offers!$C$2:$C$1487,F152,Offers!$B$2:$B$1487,E152,Offers!$E$2:$E$1487,H152,Offers!$I$2:$I$1487,"SKIPPED")=1,"YES","NO")</f>
        <v/>
      </c>
      <c r="P152" s="37">
        <f>IF(L152="NO","N/A",IF(COUNTIFS('Skip Docs'!$A$2:$A$7,F152,'Skip Docs'!$C$2:$C$7,E152,'Skip Docs'!$D$2:$D$7,H152,'Skip Docs'!$E$2:$E$7,J152)=1,"YES","NO"))</f>
        <v/>
      </c>
      <c r="Q152" s="37" t="inlineStr">
        <is>
          <t>Y</t>
        </is>
      </c>
      <c r="R152" s="37" t="inlineStr">
        <is>
          <t>SUSTAINED</t>
        </is>
      </c>
      <c r="S152" s="37">
        <f>IF(B152="YES","Verified contemporaneous proof",IF(L152="NO","No justification PDF supplied",IF(M152="NO","PDF is cover-only",IF(P152="NO","PDF content does not match logged slip/reason",IF(O152="NO","Offer event does not reconcile","Assembled after skip date")))))</f>
        <v/>
      </c>
    </row>
    <row r="153">
      <c r="A153" s="37">
        <f>IF(M153="NO","Priority 1",IF(N153="LATE","Priority 2",IF(B153="YES","OK","Priority 1")))</f>
        <v/>
      </c>
      <c r="B153" s="37">
        <f>IF(AND(L153="YES",M153="YES",N153="ON/BEFORE",O153="YES",P153="YES"),"YES","NO")</f>
        <v/>
      </c>
      <c r="C153" s="37" t="inlineStr">
        <is>
          <t>SKP-2024-0243</t>
        </is>
      </c>
      <c r="D153" s="37" t="inlineStr">
        <is>
          <t>OFR-2024-0901</t>
        </is>
      </c>
      <c r="E153" s="38" t="n">
        <v>45586</v>
      </c>
      <c r="F153" s="37" t="inlineStr">
        <is>
          <t>WL-01264</t>
        </is>
      </c>
      <c r="G153" s="37">
        <f>IFERROR(INDEX(Applicants!$C$2:$C$2911,MATCH(F153,Applicants!$A$2:$A$2911,0))&amp;" "&amp;INDEX(Applicants!$B$2:$B$2911,MATCH(F153,Applicants!$A$2:$A$2911,0)),"")</f>
        <v/>
      </c>
      <c r="H153" s="37" t="inlineStr">
        <is>
          <t>VB-0917</t>
        </is>
      </c>
      <c r="I153" s="37" t="inlineStr">
        <is>
          <t>Vessbank</t>
        </is>
      </c>
      <c r="J153" s="37" t="inlineStr">
        <is>
          <t>preference-mismatch</t>
        </is>
      </c>
      <c r="K153" s="38" t="n">
        <v>45588</v>
      </c>
      <c r="L153" s="37">
        <f>IF(COUNTIFS('Skip Docs'!$A$2:$A$7,F153,'Skip Docs'!$C$2:$C$7,E153)&gt;0,"YES","NO")</f>
        <v/>
      </c>
      <c r="M153" s="37">
        <f>IF(L153="NO","NO",INDEX('Skip Docs'!$G$2:$G$7,MATCH(1,INDEX(('Skip Docs'!$A$2:$A$7=F153)*('Skip Docs'!$C$2:$C$7=E153),0),0)))</f>
        <v/>
      </c>
      <c r="N153" s="37">
        <f>IF(K153&lt;=E153,"ON/BEFORE","LATE")</f>
        <v/>
      </c>
      <c r="O153" s="37">
        <f>IF(COUNTIFS(Offers!$A$2:$A$1487,D153,Offers!$C$2:$C$1487,F153,Offers!$B$2:$B$1487,E153,Offers!$E$2:$E$1487,H153,Offers!$I$2:$I$1487,"SKIPPED")=1,"YES","NO")</f>
        <v/>
      </c>
      <c r="P153" s="37">
        <f>IF(L153="NO","N/A",IF(COUNTIFS('Skip Docs'!$A$2:$A$7,F153,'Skip Docs'!$C$2:$C$7,E153,'Skip Docs'!$D$2:$D$7,H153,'Skip Docs'!$E$2:$E$7,J153)=1,"YES","NO"))</f>
        <v/>
      </c>
      <c r="Q153" s="37" t="inlineStr">
        <is>
          <t>Y</t>
        </is>
      </c>
      <c r="R153" s="37" t="inlineStr">
        <is>
          <t>SUSTAINED</t>
        </is>
      </c>
      <c r="S153" s="37">
        <f>IF(B153="YES","Verified contemporaneous proof",IF(L153="NO","No justification PDF supplied",IF(M153="NO","PDF is cover-only",IF(P153="NO","PDF content does not match logged slip/reason",IF(O153="NO","Offer event does not reconcile","Assembled after skip date")))))</f>
        <v/>
      </c>
    </row>
    <row r="154">
      <c r="A154" s="37">
        <f>IF(M154="NO","Priority 1",IF(N154="LATE","Priority 2",IF(B154="YES","OK","Priority 1")))</f>
        <v/>
      </c>
      <c r="B154" s="37">
        <f>IF(AND(L154="YES",M154="YES",N154="ON/BEFORE",O154="YES",P154="YES"),"YES","NO")</f>
        <v/>
      </c>
      <c r="C154" s="37" t="inlineStr">
        <is>
          <t>SKP-2024-0244</t>
        </is>
      </c>
      <c r="D154" s="37" t="inlineStr">
        <is>
          <t>OFR-2024-0903</t>
        </is>
      </c>
      <c r="E154" s="38" t="n">
        <v>45590</v>
      </c>
      <c r="F154" s="37" t="inlineStr">
        <is>
          <t>WL-03708</t>
        </is>
      </c>
      <c r="G154" s="37">
        <f>IFERROR(INDEX(Applicants!$C$2:$C$2911,MATCH(F154,Applicants!$A$2:$A$2911,0))&amp;" "&amp;INDEX(Applicants!$B$2:$B$2911,MATCH(F154,Applicants!$A$2:$A$2911,0)),"")</f>
        <v/>
      </c>
      <c r="H154" s="37" t="inlineStr">
        <is>
          <t>GW-0813</t>
        </is>
      </c>
      <c r="I154" s="37" t="inlineStr">
        <is>
          <t>Gullwing</t>
        </is>
      </c>
      <c r="J154" s="37" t="inlineStr">
        <is>
          <t>not-current</t>
        </is>
      </c>
      <c r="K154" s="38" t="n">
        <v>45595</v>
      </c>
      <c r="L154" s="37">
        <f>IF(COUNTIFS('Skip Docs'!$A$2:$A$7,F154,'Skip Docs'!$C$2:$C$7,E154)&gt;0,"YES","NO")</f>
        <v/>
      </c>
      <c r="M154" s="37">
        <f>IF(L154="NO","NO",INDEX('Skip Docs'!$G$2:$G$7,MATCH(1,INDEX(('Skip Docs'!$A$2:$A$7=F154)*('Skip Docs'!$C$2:$C$7=E154),0),0)))</f>
        <v/>
      </c>
      <c r="N154" s="37">
        <f>IF(K154&lt;=E154,"ON/BEFORE","LATE")</f>
        <v/>
      </c>
      <c r="O154" s="37">
        <f>IF(COUNTIFS(Offers!$A$2:$A$1487,D154,Offers!$C$2:$C$1487,F154,Offers!$B$2:$B$1487,E154,Offers!$E$2:$E$1487,H154,Offers!$I$2:$I$1487,"SKIPPED")=1,"YES","NO")</f>
        <v/>
      </c>
      <c r="P154" s="37">
        <f>IF(L154="NO","N/A",IF(COUNTIFS('Skip Docs'!$A$2:$A$7,F154,'Skip Docs'!$C$2:$C$7,E154,'Skip Docs'!$D$2:$D$7,H154,'Skip Docs'!$E$2:$E$7,J154)=1,"YES","NO"))</f>
        <v/>
      </c>
      <c r="Q154" s="37" t="inlineStr">
        <is>
          <t>Y</t>
        </is>
      </c>
      <c r="R154" s="37" t="inlineStr">
        <is>
          <t>SUSTAINED</t>
        </is>
      </c>
      <c r="S154" s="37">
        <f>IF(B154="YES","Verified contemporaneous proof",IF(L154="NO","No justification PDF supplied",IF(M154="NO","PDF is cover-only",IF(P154="NO","PDF content does not match logged slip/reason",IF(O154="NO","Offer event does not reconcile","Assembled after skip date")))))</f>
        <v/>
      </c>
    </row>
    <row r="155">
      <c r="A155" s="37">
        <f>IF(M155="NO","Priority 1",IF(N155="LATE","Priority 2",IF(B155="YES","OK","Priority 1")))</f>
        <v/>
      </c>
      <c r="B155" s="37">
        <f>IF(AND(L155="YES",M155="YES",N155="ON/BEFORE",O155="YES",P155="YES"),"YES","NO")</f>
        <v/>
      </c>
      <c r="C155" s="37" t="inlineStr">
        <is>
          <t>SKP-2024-0245</t>
        </is>
      </c>
      <c r="D155" s="37" t="inlineStr">
        <is>
          <t>OFR-2024-0909</t>
        </is>
      </c>
      <c r="E155" s="38" t="n">
        <v>45592</v>
      </c>
      <c r="F155" s="37" t="inlineStr">
        <is>
          <t>WL-03808</t>
        </is>
      </c>
      <c r="G155" s="37">
        <f>IFERROR(INDEX(Applicants!$C$2:$C$2911,MATCH(F155,Applicants!$A$2:$A$2911,0))&amp;" "&amp;INDEX(Applicants!$B$2:$B$2911,MATCH(F155,Applicants!$A$2:$A$2911,0)),"")</f>
        <v/>
      </c>
      <c r="H155" s="37" t="inlineStr">
        <is>
          <t>VB-0601</t>
        </is>
      </c>
      <c r="I155" s="37" t="inlineStr">
        <is>
          <t>Vessbank</t>
        </is>
      </c>
      <c r="J155" s="37" t="inlineStr">
        <is>
          <t>declined-prior-offer</t>
        </is>
      </c>
      <c r="K155" s="38" t="n">
        <v>45597</v>
      </c>
      <c r="L155" s="37">
        <f>IF(COUNTIFS('Skip Docs'!$A$2:$A$7,F155,'Skip Docs'!$C$2:$C$7,E155)&gt;0,"YES","NO")</f>
        <v/>
      </c>
      <c r="M155" s="37">
        <f>IF(L155="NO","NO",INDEX('Skip Docs'!$G$2:$G$7,MATCH(1,INDEX(('Skip Docs'!$A$2:$A$7=F155)*('Skip Docs'!$C$2:$C$7=E155),0),0)))</f>
        <v/>
      </c>
      <c r="N155" s="37">
        <f>IF(K155&lt;=E155,"ON/BEFORE","LATE")</f>
        <v/>
      </c>
      <c r="O155" s="37">
        <f>IF(COUNTIFS(Offers!$A$2:$A$1487,D155,Offers!$C$2:$C$1487,F155,Offers!$B$2:$B$1487,E155,Offers!$E$2:$E$1487,H155,Offers!$I$2:$I$1487,"SKIPPED")=1,"YES","NO")</f>
        <v/>
      </c>
      <c r="P155" s="37">
        <f>IF(L155="NO","N/A",IF(COUNTIFS('Skip Docs'!$A$2:$A$7,F155,'Skip Docs'!$C$2:$C$7,E155,'Skip Docs'!$D$2:$D$7,H155,'Skip Docs'!$E$2:$E$7,J155)=1,"YES","NO"))</f>
        <v/>
      </c>
      <c r="Q155" s="37" t="inlineStr">
        <is>
          <t>Y</t>
        </is>
      </c>
      <c r="R155" s="37" t="inlineStr">
        <is>
          <t>SUSTAINED</t>
        </is>
      </c>
      <c r="S155" s="37">
        <f>IF(B155="YES","Verified contemporaneous proof",IF(L155="NO","No justification PDF supplied",IF(M155="NO","PDF is cover-only",IF(P155="NO","PDF content does not match logged slip/reason",IF(O155="NO","Offer event does not reconcile","Assembled after skip date")))))</f>
        <v/>
      </c>
    </row>
    <row r="156">
      <c r="A156" s="37">
        <f>IF(M156="NO","Priority 1",IF(N156="LATE","Priority 2",IF(B156="YES","OK","Priority 1")))</f>
        <v/>
      </c>
      <c r="B156" s="37">
        <f>IF(AND(L156="YES",M156="YES",N156="ON/BEFORE",O156="YES",P156="YES"),"YES","NO")</f>
        <v/>
      </c>
      <c r="C156" s="37" t="inlineStr">
        <is>
          <t>SKP-2024-0246</t>
        </is>
      </c>
      <c r="D156" s="37" t="inlineStr">
        <is>
          <t>OFR-2024-0922</t>
        </is>
      </c>
      <c r="E156" s="38" t="n">
        <v>45580</v>
      </c>
      <c r="F156" s="37" t="inlineStr">
        <is>
          <t>WL-01269</t>
        </is>
      </c>
      <c r="G156" s="37">
        <f>IFERROR(INDEX(Applicants!$C$2:$C$2911,MATCH(F156,Applicants!$A$2:$A$2911,0))&amp;" "&amp;INDEX(Applicants!$B$2:$B$2911,MATCH(F156,Applicants!$A$2:$A$2911,0)),"")</f>
        <v/>
      </c>
      <c r="H156" s="37" t="inlineStr">
        <is>
          <t>VB-0306</t>
        </is>
      </c>
      <c r="I156" s="37" t="inlineStr">
        <is>
          <t>Vessbank</t>
        </is>
      </c>
      <c r="J156" s="37" t="inlineStr">
        <is>
          <t>vessel-fit</t>
        </is>
      </c>
      <c r="K156" s="38" t="n">
        <v>45581</v>
      </c>
      <c r="L156" s="37">
        <f>IF(COUNTIFS('Skip Docs'!$A$2:$A$7,F156,'Skip Docs'!$C$2:$C$7,E156)&gt;0,"YES","NO")</f>
        <v/>
      </c>
      <c r="M156" s="37">
        <f>IF(L156="NO","NO",INDEX('Skip Docs'!$G$2:$G$7,MATCH(1,INDEX(('Skip Docs'!$A$2:$A$7=F156)*('Skip Docs'!$C$2:$C$7=E156),0),0)))</f>
        <v/>
      </c>
      <c r="N156" s="37">
        <f>IF(K156&lt;=E156,"ON/BEFORE","LATE")</f>
        <v/>
      </c>
      <c r="O156" s="37">
        <f>IF(COUNTIFS(Offers!$A$2:$A$1487,D156,Offers!$C$2:$C$1487,F156,Offers!$B$2:$B$1487,E156,Offers!$E$2:$E$1487,H156,Offers!$I$2:$I$1487,"SKIPPED")=1,"YES","NO")</f>
        <v/>
      </c>
      <c r="P156" s="37">
        <f>IF(L156="NO","N/A",IF(COUNTIFS('Skip Docs'!$A$2:$A$7,F156,'Skip Docs'!$C$2:$C$7,E156,'Skip Docs'!$D$2:$D$7,H156,'Skip Docs'!$E$2:$E$7,J156)=1,"YES","NO"))</f>
        <v/>
      </c>
      <c r="Q156" s="37" t="inlineStr">
        <is>
          <t>Y</t>
        </is>
      </c>
      <c r="R156" s="37" t="inlineStr">
        <is>
          <t>SUSTAINED</t>
        </is>
      </c>
      <c r="S156" s="37">
        <f>IF(B156="YES","Verified contemporaneous proof",IF(L156="NO","No justification PDF supplied",IF(M156="NO","PDF is cover-only",IF(P156="NO","PDF content does not match logged slip/reason",IF(O156="NO","Offer event does not reconcile","Assembled after skip date")))))</f>
        <v/>
      </c>
    </row>
    <row r="157">
      <c r="A157" s="37">
        <f>IF(M157="NO","Priority 1",IF(N157="LATE","Priority 2",IF(B157="YES","OK","Priority 1")))</f>
        <v/>
      </c>
      <c r="B157" s="37">
        <f>IF(AND(L157="YES",M157="YES",N157="ON/BEFORE",O157="YES",P157="YES"),"YES","NO")</f>
        <v/>
      </c>
      <c r="C157" s="37" t="inlineStr">
        <is>
          <t>SKP-2024-0247</t>
        </is>
      </c>
      <c r="D157" s="37" t="inlineStr">
        <is>
          <t>OFR-2024-0924</t>
        </is>
      </c>
      <c r="E157" s="38" t="n">
        <v>45585</v>
      </c>
      <c r="F157" s="37" t="inlineStr">
        <is>
          <t>WL-03733</t>
        </is>
      </c>
      <c r="G157" s="37">
        <f>IFERROR(INDEX(Applicants!$C$2:$C$2911,MATCH(F157,Applicants!$A$2:$A$2911,0))&amp;" "&amp;INDEX(Applicants!$B$2:$B$2911,MATCH(F157,Applicants!$A$2:$A$2911,0)),"")</f>
        <v/>
      </c>
      <c r="H157" s="37" t="inlineStr">
        <is>
          <t>GW-0814</t>
        </is>
      </c>
      <c r="I157" s="37" t="inlineStr">
        <is>
          <t>Gullwing</t>
        </is>
      </c>
      <c r="J157" s="37" t="inlineStr">
        <is>
          <t>vessel-fit</t>
        </is>
      </c>
      <c r="K157" s="38" t="n">
        <v>45586</v>
      </c>
      <c r="L157" s="37">
        <f>IF(COUNTIFS('Skip Docs'!$A$2:$A$7,F157,'Skip Docs'!$C$2:$C$7,E157)&gt;0,"YES","NO")</f>
        <v/>
      </c>
      <c r="M157" s="37">
        <f>IF(L157="NO","NO",INDEX('Skip Docs'!$G$2:$G$7,MATCH(1,INDEX(('Skip Docs'!$A$2:$A$7=F157)*('Skip Docs'!$C$2:$C$7=E157),0),0)))</f>
        <v/>
      </c>
      <c r="N157" s="37">
        <f>IF(K157&lt;=E157,"ON/BEFORE","LATE")</f>
        <v/>
      </c>
      <c r="O157" s="37">
        <f>IF(COUNTIFS(Offers!$A$2:$A$1487,D157,Offers!$C$2:$C$1487,F157,Offers!$B$2:$B$1487,E157,Offers!$E$2:$E$1487,H157,Offers!$I$2:$I$1487,"SKIPPED")=1,"YES","NO")</f>
        <v/>
      </c>
      <c r="P157" s="37">
        <f>IF(L157="NO","N/A",IF(COUNTIFS('Skip Docs'!$A$2:$A$7,F157,'Skip Docs'!$C$2:$C$7,E157,'Skip Docs'!$D$2:$D$7,H157,'Skip Docs'!$E$2:$E$7,J157)=1,"YES","NO"))</f>
        <v/>
      </c>
      <c r="Q157" s="37" t="inlineStr">
        <is>
          <t>Y</t>
        </is>
      </c>
      <c r="R157" s="37" t="inlineStr">
        <is>
          <t>SUSTAINED</t>
        </is>
      </c>
      <c r="S157" s="37">
        <f>IF(B157="YES","Verified contemporaneous proof",IF(L157="NO","No justification PDF supplied",IF(M157="NO","PDF is cover-only",IF(P157="NO","PDF content does not match logged slip/reason",IF(O157="NO","Offer event does not reconcile","Assembled after skip date")))))</f>
        <v/>
      </c>
    </row>
    <row r="158">
      <c r="A158" s="37">
        <f>IF(M158="NO","Priority 1",IF(N158="LATE","Priority 2",IF(B158="YES","OK","Priority 1")))</f>
        <v/>
      </c>
      <c r="B158" s="37">
        <f>IF(AND(L158="YES",M158="YES",N158="ON/BEFORE",O158="YES",P158="YES"),"YES","NO")</f>
        <v/>
      </c>
      <c r="C158" s="37" t="inlineStr">
        <is>
          <t>SKP-2024-0248</t>
        </is>
      </c>
      <c r="D158" s="37" t="inlineStr">
        <is>
          <t>OFR-2024-0929</t>
        </is>
      </c>
      <c r="E158" s="38" t="n">
        <v>45618</v>
      </c>
      <c r="F158" s="37" t="inlineStr">
        <is>
          <t>WL-02139</t>
        </is>
      </c>
      <c r="G158" s="37">
        <f>IFERROR(INDEX(Applicants!$C$2:$C$2911,MATCH(F158,Applicants!$A$2:$A$2911,0))&amp;" "&amp;INDEX(Applicants!$B$2:$B$2911,MATCH(F158,Applicants!$A$2:$A$2911,0)),"")</f>
        <v/>
      </c>
      <c r="H158" s="37" t="inlineStr">
        <is>
          <t>LP-0215</t>
        </is>
      </c>
      <c r="I158" s="37" t="inlineStr">
        <is>
          <t>Ledgport</t>
        </is>
      </c>
      <c r="J158" s="37" t="inlineStr">
        <is>
          <t>vessel-fit</t>
        </is>
      </c>
      <c r="K158" s="38" t="n">
        <v>45619</v>
      </c>
      <c r="L158" s="37">
        <f>IF(COUNTIFS('Skip Docs'!$A$2:$A$7,F158,'Skip Docs'!$C$2:$C$7,E158)&gt;0,"YES","NO")</f>
        <v/>
      </c>
      <c r="M158" s="37">
        <f>IF(L158="NO","NO",INDEX('Skip Docs'!$G$2:$G$7,MATCH(1,INDEX(('Skip Docs'!$A$2:$A$7=F158)*('Skip Docs'!$C$2:$C$7=E158),0),0)))</f>
        <v/>
      </c>
      <c r="N158" s="37">
        <f>IF(K158&lt;=E158,"ON/BEFORE","LATE")</f>
        <v/>
      </c>
      <c r="O158" s="37">
        <f>IF(COUNTIFS(Offers!$A$2:$A$1487,D158,Offers!$C$2:$C$1487,F158,Offers!$B$2:$B$1487,E158,Offers!$E$2:$E$1487,H158,Offers!$I$2:$I$1487,"SKIPPED")=1,"YES","NO")</f>
        <v/>
      </c>
      <c r="P158" s="37">
        <f>IF(L158="NO","N/A",IF(COUNTIFS('Skip Docs'!$A$2:$A$7,F158,'Skip Docs'!$C$2:$C$7,E158,'Skip Docs'!$D$2:$D$7,H158,'Skip Docs'!$E$2:$E$7,J158)=1,"YES","NO"))</f>
        <v/>
      </c>
      <c r="Q158" s="37" t="inlineStr">
        <is>
          <t>Y</t>
        </is>
      </c>
      <c r="R158" s="37" t="inlineStr">
        <is>
          <t>SUSTAINED</t>
        </is>
      </c>
      <c r="S158" s="37">
        <f>IF(B158="YES","Verified contemporaneous proof",IF(L158="NO","No justification PDF supplied",IF(M158="NO","PDF is cover-only",IF(P158="NO","PDF content does not match logged slip/reason",IF(O158="NO","Offer event does not reconcile","Assembled after skip date")))))</f>
        <v/>
      </c>
    </row>
    <row r="159">
      <c r="A159" s="37">
        <f>IF(M159="NO","Priority 1",IF(N159="LATE","Priority 2",IF(B159="YES","OK","Priority 1")))</f>
        <v/>
      </c>
      <c r="B159" s="37">
        <f>IF(AND(L159="YES",M159="YES",N159="ON/BEFORE",O159="YES",P159="YES"),"YES","NO")</f>
        <v/>
      </c>
      <c r="C159" s="37" t="inlineStr">
        <is>
          <t>SKP-2024-0249</t>
        </is>
      </c>
      <c r="D159" s="37" t="inlineStr">
        <is>
          <t>OFR-2024-0930</t>
        </is>
      </c>
      <c r="E159" s="38" t="n">
        <v>45613</v>
      </c>
      <c r="F159" s="37" t="inlineStr">
        <is>
          <t>WL-02598</t>
        </is>
      </c>
      <c r="G159" s="37">
        <f>IFERROR(INDEX(Applicants!$C$2:$C$2911,MATCH(F159,Applicants!$A$2:$A$2911,0))&amp;" "&amp;INDEX(Applicants!$B$2:$B$2911,MATCH(F159,Applicants!$A$2:$A$2911,0)),"")</f>
        <v/>
      </c>
      <c r="H159" s="37" t="inlineStr">
        <is>
          <t>GW-0902</t>
        </is>
      </c>
      <c r="I159" s="37" t="inlineStr">
        <is>
          <t>Gullwing</t>
        </is>
      </c>
      <c r="J159" s="37" t="inlineStr">
        <is>
          <t>vessel-fit</t>
        </is>
      </c>
      <c r="K159" s="38" t="n">
        <v>45613</v>
      </c>
      <c r="L159" s="37">
        <f>IF(COUNTIFS('Skip Docs'!$A$2:$A$7,F159,'Skip Docs'!$C$2:$C$7,E159)&gt;0,"YES","NO")</f>
        <v/>
      </c>
      <c r="M159" s="37">
        <f>IF(L159="NO","NO",INDEX('Skip Docs'!$G$2:$G$7,MATCH(1,INDEX(('Skip Docs'!$A$2:$A$7=F159)*('Skip Docs'!$C$2:$C$7=E159),0),0)))</f>
        <v/>
      </c>
      <c r="N159" s="37">
        <f>IF(K159&lt;=E159,"ON/BEFORE","LATE")</f>
        <v/>
      </c>
      <c r="O159" s="37">
        <f>IF(COUNTIFS(Offers!$A$2:$A$1487,D159,Offers!$C$2:$C$1487,F159,Offers!$B$2:$B$1487,E159,Offers!$E$2:$E$1487,H159,Offers!$I$2:$I$1487,"SKIPPED")=1,"YES","NO")</f>
        <v/>
      </c>
      <c r="P159" s="37">
        <f>IF(L159="NO","N/A",IF(COUNTIFS('Skip Docs'!$A$2:$A$7,F159,'Skip Docs'!$C$2:$C$7,E159,'Skip Docs'!$D$2:$D$7,H159,'Skip Docs'!$E$2:$E$7,J159)=1,"YES","NO"))</f>
        <v/>
      </c>
      <c r="Q159" s="37" t="inlineStr">
        <is>
          <t>N</t>
        </is>
      </c>
      <c r="R159" s="37" t="inlineStr">
        <is>
          <t>SUSTAINED</t>
        </is>
      </c>
      <c r="S159" s="37">
        <f>IF(B159="YES","Verified contemporaneous proof",IF(L159="NO","No justification PDF supplied",IF(M159="NO","PDF is cover-only",IF(P159="NO","PDF content does not match logged slip/reason",IF(O159="NO","Offer event does not reconcile","Assembled after skip date")))))</f>
        <v/>
      </c>
    </row>
    <row r="160">
      <c r="A160" s="37">
        <f>IF(M160="NO","Priority 1",IF(N160="LATE","Priority 2",IF(B160="YES","OK","Priority 1")))</f>
        <v/>
      </c>
      <c r="B160" s="37">
        <f>IF(AND(L160="YES",M160="YES",N160="ON/BEFORE",O160="YES",P160="YES"),"YES","NO")</f>
        <v/>
      </c>
      <c r="C160" s="37" t="inlineStr">
        <is>
          <t>SKP-2024-0250</t>
        </is>
      </c>
      <c r="D160" s="37" t="inlineStr">
        <is>
          <t>OFR-2024-0940</t>
        </is>
      </c>
      <c r="E160" s="38" t="n">
        <v>45619</v>
      </c>
      <c r="F160" s="37" t="inlineStr">
        <is>
          <t>WL-01832</t>
        </is>
      </c>
      <c r="G160" s="37">
        <f>IFERROR(INDEX(Applicants!$C$2:$C$2911,MATCH(F160,Applicants!$A$2:$A$2911,0))&amp;" "&amp;INDEX(Applicants!$B$2:$B$2911,MATCH(F160,Applicants!$A$2:$A$2911,0)),"")</f>
        <v/>
      </c>
      <c r="H160" s="37" t="inlineStr">
        <is>
          <t>VB-0222</t>
        </is>
      </c>
      <c r="I160" s="37" t="inlineStr">
        <is>
          <t>Vessbank</t>
        </is>
      </c>
      <c r="J160" s="37" t="inlineStr">
        <is>
          <t>not-current</t>
        </is>
      </c>
      <c r="K160" s="38" t="n">
        <v>45624</v>
      </c>
      <c r="L160" s="37">
        <f>IF(COUNTIFS('Skip Docs'!$A$2:$A$7,F160,'Skip Docs'!$C$2:$C$7,E160)&gt;0,"YES","NO")</f>
        <v/>
      </c>
      <c r="M160" s="37">
        <f>IF(L160="NO","NO",INDEX('Skip Docs'!$G$2:$G$7,MATCH(1,INDEX(('Skip Docs'!$A$2:$A$7=F160)*('Skip Docs'!$C$2:$C$7=E160),0),0)))</f>
        <v/>
      </c>
      <c r="N160" s="37">
        <f>IF(K160&lt;=E160,"ON/BEFORE","LATE")</f>
        <v/>
      </c>
      <c r="O160" s="37">
        <f>IF(COUNTIFS(Offers!$A$2:$A$1487,D160,Offers!$C$2:$C$1487,F160,Offers!$B$2:$B$1487,E160,Offers!$E$2:$E$1487,H160,Offers!$I$2:$I$1487,"SKIPPED")=1,"YES","NO")</f>
        <v/>
      </c>
      <c r="P160" s="37">
        <f>IF(L160="NO","N/A",IF(COUNTIFS('Skip Docs'!$A$2:$A$7,F160,'Skip Docs'!$C$2:$C$7,E160,'Skip Docs'!$D$2:$D$7,H160,'Skip Docs'!$E$2:$E$7,J160)=1,"YES","NO"))</f>
        <v/>
      </c>
      <c r="Q160" s="37" t="inlineStr">
        <is>
          <t>Y</t>
        </is>
      </c>
      <c r="R160" s="37" t="inlineStr">
        <is>
          <t>SUSTAINED</t>
        </is>
      </c>
      <c r="S160" s="37">
        <f>IF(B160="YES","Verified contemporaneous proof",IF(L160="NO","No justification PDF supplied",IF(M160="NO","PDF is cover-only",IF(P160="NO","PDF content does not match logged slip/reason",IF(O160="NO","Offer event does not reconcile","Assembled after skip date")))))</f>
        <v/>
      </c>
    </row>
    <row r="161">
      <c r="A161" s="37">
        <f>IF(M161="NO","Priority 1",IF(N161="LATE","Priority 2",IF(B161="YES","OK","Priority 1")))</f>
        <v/>
      </c>
      <c r="B161" s="37">
        <f>IF(AND(L161="YES",M161="YES",N161="ON/BEFORE",O161="YES",P161="YES"),"YES","NO")</f>
        <v/>
      </c>
      <c r="C161" s="37" t="inlineStr">
        <is>
          <t>SKP-2024-0251</t>
        </is>
      </c>
      <c r="D161" s="37" t="inlineStr">
        <is>
          <t>OFR-2024-0942</t>
        </is>
      </c>
      <c r="E161" s="38" t="n">
        <v>45599</v>
      </c>
      <c r="F161" s="37" t="inlineStr">
        <is>
          <t>WL-03857</t>
        </is>
      </c>
      <c r="G161" s="37">
        <f>IFERROR(INDEX(Applicants!$C$2:$C$2911,MATCH(F161,Applicants!$A$2:$A$2911,0))&amp;" "&amp;INDEX(Applicants!$B$2:$B$2911,MATCH(F161,Applicants!$A$2:$A$2911,0)),"")</f>
        <v/>
      </c>
      <c r="H161" s="37" t="inlineStr">
        <is>
          <t>SB-0407</t>
        </is>
      </c>
      <c r="I161" s="37" t="inlineStr">
        <is>
          <t>Salmonberry</t>
        </is>
      </c>
      <c r="J161" s="37" t="inlineStr">
        <is>
          <t>vessel-fit</t>
        </is>
      </c>
      <c r="K161" s="38" t="n">
        <v>45602</v>
      </c>
      <c r="L161" s="37">
        <f>IF(COUNTIFS('Skip Docs'!$A$2:$A$7,F161,'Skip Docs'!$C$2:$C$7,E161)&gt;0,"YES","NO")</f>
        <v/>
      </c>
      <c r="M161" s="37">
        <f>IF(L161="NO","NO",INDEX('Skip Docs'!$G$2:$G$7,MATCH(1,INDEX(('Skip Docs'!$A$2:$A$7=F161)*('Skip Docs'!$C$2:$C$7=E161),0),0)))</f>
        <v/>
      </c>
      <c r="N161" s="37">
        <f>IF(K161&lt;=E161,"ON/BEFORE","LATE")</f>
        <v/>
      </c>
      <c r="O161" s="37">
        <f>IF(COUNTIFS(Offers!$A$2:$A$1487,D161,Offers!$C$2:$C$1487,F161,Offers!$B$2:$B$1487,E161,Offers!$E$2:$E$1487,H161,Offers!$I$2:$I$1487,"SKIPPED")=1,"YES","NO")</f>
        <v/>
      </c>
      <c r="P161" s="37">
        <f>IF(L161="NO","N/A",IF(COUNTIFS('Skip Docs'!$A$2:$A$7,F161,'Skip Docs'!$C$2:$C$7,E161,'Skip Docs'!$D$2:$D$7,H161,'Skip Docs'!$E$2:$E$7,J161)=1,"YES","NO"))</f>
        <v/>
      </c>
      <c r="Q161" s="37" t="inlineStr">
        <is>
          <t>Y</t>
        </is>
      </c>
      <c r="R161" s="37" t="inlineStr">
        <is>
          <t>SUSTAINED</t>
        </is>
      </c>
      <c r="S161" s="37">
        <f>IF(B161="YES","Verified contemporaneous proof",IF(L161="NO","No justification PDF supplied",IF(M161="NO","PDF is cover-only",IF(P161="NO","PDF content does not match logged slip/reason",IF(O161="NO","Offer event does not reconcile","Assembled after skip date")))))</f>
        <v/>
      </c>
    </row>
    <row r="162">
      <c r="A162" s="37">
        <f>IF(M162="NO","Priority 1",IF(N162="LATE","Priority 2",IF(B162="YES","OK","Priority 1")))</f>
        <v/>
      </c>
      <c r="B162" s="37">
        <f>IF(AND(L162="YES",M162="YES",N162="ON/BEFORE",O162="YES",P162="YES"),"YES","NO")</f>
        <v/>
      </c>
      <c r="C162" s="37" t="inlineStr">
        <is>
          <t>SKP-2024-0252</t>
        </is>
      </c>
      <c r="D162" s="37" t="inlineStr">
        <is>
          <t>OFR-2024-0951</t>
        </is>
      </c>
      <c r="E162" s="38" t="n">
        <v>45639</v>
      </c>
      <c r="F162" s="37" t="inlineStr">
        <is>
          <t>WL-02412</t>
        </is>
      </c>
      <c r="G162" s="37">
        <f>IFERROR(INDEX(Applicants!$C$2:$C$2911,MATCH(F162,Applicants!$A$2:$A$2911,0))&amp;" "&amp;INDEX(Applicants!$B$2:$B$2911,MATCH(F162,Applicants!$A$2:$A$2911,0)),"")</f>
        <v/>
      </c>
      <c r="H162" s="37" t="inlineStr">
        <is>
          <t>GW-0201</t>
        </is>
      </c>
      <c r="I162" s="37" t="inlineStr">
        <is>
          <t>Gullwing</t>
        </is>
      </c>
      <c r="J162" s="37" t="inlineStr">
        <is>
          <t>preference-mismatch</t>
        </is>
      </c>
      <c r="K162" s="38" t="n">
        <v>45642</v>
      </c>
      <c r="L162" s="37">
        <f>IF(COUNTIFS('Skip Docs'!$A$2:$A$7,F162,'Skip Docs'!$C$2:$C$7,E162)&gt;0,"YES","NO")</f>
        <v/>
      </c>
      <c r="M162" s="37">
        <f>IF(L162="NO","NO",INDEX('Skip Docs'!$G$2:$G$7,MATCH(1,INDEX(('Skip Docs'!$A$2:$A$7=F162)*('Skip Docs'!$C$2:$C$7=E162),0),0)))</f>
        <v/>
      </c>
      <c r="N162" s="37">
        <f>IF(K162&lt;=E162,"ON/BEFORE","LATE")</f>
        <v/>
      </c>
      <c r="O162" s="37">
        <f>IF(COUNTIFS(Offers!$A$2:$A$1487,D162,Offers!$C$2:$C$1487,F162,Offers!$B$2:$B$1487,E162,Offers!$E$2:$E$1487,H162,Offers!$I$2:$I$1487,"SKIPPED")=1,"YES","NO")</f>
        <v/>
      </c>
      <c r="P162" s="37">
        <f>IF(L162="NO","N/A",IF(COUNTIFS('Skip Docs'!$A$2:$A$7,F162,'Skip Docs'!$C$2:$C$7,E162,'Skip Docs'!$D$2:$D$7,H162,'Skip Docs'!$E$2:$E$7,J162)=1,"YES","NO"))</f>
        <v/>
      </c>
      <c r="Q162" s="37" t="inlineStr">
        <is>
          <t>Y</t>
        </is>
      </c>
      <c r="R162" s="37" t="inlineStr">
        <is>
          <t>SUSTAINED</t>
        </is>
      </c>
      <c r="S162" s="37">
        <f>IF(B162="YES","Verified contemporaneous proof",IF(L162="NO","No justification PDF supplied",IF(M162="NO","PDF is cover-only",IF(P162="NO","PDF content does not match logged slip/reason",IF(O162="NO","Offer event does not reconcile","Assembled after skip date")))))</f>
        <v/>
      </c>
    </row>
    <row r="163">
      <c r="A163" s="37">
        <f>IF(M163="NO","Priority 1",IF(N163="LATE","Priority 2",IF(B163="YES","OK","Priority 1")))</f>
        <v/>
      </c>
      <c r="B163" s="37">
        <f>IF(AND(L163="YES",M163="YES",N163="ON/BEFORE",O163="YES",P163="YES"),"YES","NO")</f>
        <v/>
      </c>
      <c r="C163" s="37" t="inlineStr">
        <is>
          <t>SKP-2024-0253</t>
        </is>
      </c>
      <c r="D163" s="37" t="inlineStr">
        <is>
          <t>OFR-2024-0952</t>
        </is>
      </c>
      <c r="E163" s="38" t="n">
        <v>45650</v>
      </c>
      <c r="F163" s="37" t="inlineStr">
        <is>
          <t>WL-03079</t>
        </is>
      </c>
      <c r="G163" s="37">
        <f>IFERROR(INDEX(Applicants!$C$2:$C$2911,MATCH(F163,Applicants!$A$2:$A$2911,0))&amp;" "&amp;INDEX(Applicants!$B$2:$B$2911,MATCH(F163,Applicants!$A$2:$A$2911,0)),"")</f>
        <v/>
      </c>
      <c r="H163" s="37" t="inlineStr">
        <is>
          <t>SB-0106</t>
        </is>
      </c>
      <c r="I163" s="37" t="inlineStr">
        <is>
          <t>Salmonberry</t>
        </is>
      </c>
      <c r="J163" s="37" t="inlineStr">
        <is>
          <t>not-current</t>
        </is>
      </c>
      <c r="K163" s="38" t="n">
        <v>45655</v>
      </c>
      <c r="L163" s="37">
        <f>IF(COUNTIFS('Skip Docs'!$A$2:$A$7,F163,'Skip Docs'!$C$2:$C$7,E163)&gt;0,"YES","NO")</f>
        <v/>
      </c>
      <c r="M163" s="37">
        <f>IF(L163="NO","NO",INDEX('Skip Docs'!$G$2:$G$7,MATCH(1,INDEX(('Skip Docs'!$A$2:$A$7=F163)*('Skip Docs'!$C$2:$C$7=E163),0),0)))</f>
        <v/>
      </c>
      <c r="N163" s="37">
        <f>IF(K163&lt;=E163,"ON/BEFORE","LATE")</f>
        <v/>
      </c>
      <c r="O163" s="37">
        <f>IF(COUNTIFS(Offers!$A$2:$A$1487,D163,Offers!$C$2:$C$1487,F163,Offers!$B$2:$B$1487,E163,Offers!$E$2:$E$1487,H163,Offers!$I$2:$I$1487,"SKIPPED")=1,"YES","NO")</f>
        <v/>
      </c>
      <c r="P163" s="37">
        <f>IF(L163="NO","N/A",IF(COUNTIFS('Skip Docs'!$A$2:$A$7,F163,'Skip Docs'!$C$2:$C$7,E163,'Skip Docs'!$D$2:$D$7,H163,'Skip Docs'!$E$2:$E$7,J163)=1,"YES","NO"))</f>
        <v/>
      </c>
      <c r="Q163" s="37" t="inlineStr">
        <is>
          <t>Y</t>
        </is>
      </c>
      <c r="R163" s="37" t="inlineStr">
        <is>
          <t>SUSTAINED</t>
        </is>
      </c>
      <c r="S163" s="37">
        <f>IF(B163="YES","Verified contemporaneous proof",IF(L163="NO","No justification PDF supplied",IF(M163="NO","PDF is cover-only",IF(P163="NO","PDF content does not match logged slip/reason",IF(O163="NO","Offer event does not reconcile","Assembled after skip date")))))</f>
        <v/>
      </c>
    </row>
    <row r="164">
      <c r="A164" s="37">
        <f>IF(M164="NO","Priority 1",IF(N164="LATE","Priority 2",IF(B164="YES","OK","Priority 1")))</f>
        <v/>
      </c>
      <c r="B164" s="37">
        <f>IF(AND(L164="YES",M164="YES",N164="ON/BEFORE",O164="YES",P164="YES"),"YES","NO")</f>
        <v/>
      </c>
      <c r="C164" s="37" t="inlineStr">
        <is>
          <t>SKP-2024-0254</t>
        </is>
      </c>
      <c r="D164" s="37" t="inlineStr">
        <is>
          <t>OFR-2024-0954</t>
        </is>
      </c>
      <c r="E164" s="38" t="n">
        <v>45637</v>
      </c>
      <c r="F164" s="37" t="inlineStr">
        <is>
          <t>WL-03294</t>
        </is>
      </c>
      <c r="G164" s="37">
        <f>IFERROR(INDEX(Applicants!$C$2:$C$2911,MATCH(F164,Applicants!$A$2:$A$2911,0))&amp;" "&amp;INDEX(Applicants!$B$2:$B$2911,MATCH(F164,Applicants!$A$2:$A$2911,0)),"")</f>
        <v/>
      </c>
      <c r="H164" s="37" t="inlineStr">
        <is>
          <t>LP-0102</t>
        </is>
      </c>
      <c r="I164" s="37" t="inlineStr">
        <is>
          <t>Ledgport</t>
        </is>
      </c>
      <c r="J164" s="37" t="inlineStr">
        <is>
          <t>vessel-fit</t>
        </is>
      </c>
      <c r="K164" s="38" t="n">
        <v>45637</v>
      </c>
      <c r="L164" s="37">
        <f>IF(COUNTIFS('Skip Docs'!$A$2:$A$7,F164,'Skip Docs'!$C$2:$C$7,E164)&gt;0,"YES","NO")</f>
        <v/>
      </c>
      <c r="M164" s="37">
        <f>IF(L164="NO","NO",INDEX('Skip Docs'!$G$2:$G$7,MATCH(1,INDEX(('Skip Docs'!$A$2:$A$7=F164)*('Skip Docs'!$C$2:$C$7=E164),0),0)))</f>
        <v/>
      </c>
      <c r="N164" s="37">
        <f>IF(K164&lt;=E164,"ON/BEFORE","LATE")</f>
        <v/>
      </c>
      <c r="O164" s="37">
        <f>IF(COUNTIFS(Offers!$A$2:$A$1487,D164,Offers!$C$2:$C$1487,F164,Offers!$B$2:$B$1487,E164,Offers!$E$2:$E$1487,H164,Offers!$I$2:$I$1487,"SKIPPED")=1,"YES","NO")</f>
        <v/>
      </c>
      <c r="P164" s="37">
        <f>IF(L164="NO","N/A",IF(COUNTIFS('Skip Docs'!$A$2:$A$7,F164,'Skip Docs'!$C$2:$C$7,E164,'Skip Docs'!$D$2:$D$7,H164,'Skip Docs'!$E$2:$E$7,J164)=1,"YES","NO"))</f>
        <v/>
      </c>
      <c r="Q164" s="37" t="inlineStr">
        <is>
          <t>Y</t>
        </is>
      </c>
      <c r="R164" s="37" t="inlineStr">
        <is>
          <t>SUSTAINED</t>
        </is>
      </c>
      <c r="S164" s="37">
        <f>IF(B164="YES","Verified contemporaneous proof",IF(L164="NO","No justification PDF supplied",IF(M164="NO","PDF is cover-only",IF(P164="NO","PDF content does not match logged slip/reason",IF(O164="NO","Offer event does not reconcile","Assembled after skip date")))))</f>
        <v/>
      </c>
    </row>
    <row r="165">
      <c r="A165" s="37">
        <f>IF(M165="NO","Priority 1",IF(N165="LATE","Priority 2",IF(B165="YES","OK","Priority 1")))</f>
        <v/>
      </c>
      <c r="B165" s="37">
        <f>IF(AND(L165="YES",M165="YES",N165="ON/BEFORE",O165="YES",P165="YES"),"YES","NO")</f>
        <v/>
      </c>
      <c r="C165" s="37" t="inlineStr">
        <is>
          <t>SKP-2024-0255</t>
        </is>
      </c>
      <c r="D165" s="37" t="inlineStr">
        <is>
          <t>OFR-2024-0955</t>
        </is>
      </c>
      <c r="E165" s="38" t="n">
        <v>45648</v>
      </c>
      <c r="F165" s="37" t="inlineStr">
        <is>
          <t>WL-01844</t>
        </is>
      </c>
      <c r="G165" s="37">
        <f>IFERROR(INDEX(Applicants!$C$2:$C$2911,MATCH(F165,Applicants!$A$2:$A$2911,0))&amp;" "&amp;INDEX(Applicants!$B$2:$B$2911,MATCH(F165,Applicants!$A$2:$A$2911,0)),"")</f>
        <v/>
      </c>
      <c r="H165" s="37" t="inlineStr">
        <is>
          <t>EW-0519</t>
        </is>
      </c>
      <c r="I165" s="37" t="inlineStr">
        <is>
          <t>Eastwey</t>
        </is>
      </c>
      <c r="J165" s="37" t="inlineStr">
        <is>
          <t>vessel-fit</t>
        </is>
      </c>
      <c r="K165" s="38" t="n">
        <v>45650</v>
      </c>
      <c r="L165" s="37">
        <f>IF(COUNTIFS('Skip Docs'!$A$2:$A$7,F165,'Skip Docs'!$C$2:$C$7,E165)&gt;0,"YES","NO")</f>
        <v/>
      </c>
      <c r="M165" s="37">
        <f>IF(L165="NO","NO",INDEX('Skip Docs'!$G$2:$G$7,MATCH(1,INDEX(('Skip Docs'!$A$2:$A$7=F165)*('Skip Docs'!$C$2:$C$7=E165),0),0)))</f>
        <v/>
      </c>
      <c r="N165" s="37">
        <f>IF(K165&lt;=E165,"ON/BEFORE","LATE")</f>
        <v/>
      </c>
      <c r="O165" s="37">
        <f>IF(COUNTIFS(Offers!$A$2:$A$1487,D165,Offers!$C$2:$C$1487,F165,Offers!$B$2:$B$1487,E165,Offers!$E$2:$E$1487,H165,Offers!$I$2:$I$1487,"SKIPPED")=1,"YES","NO")</f>
        <v/>
      </c>
      <c r="P165" s="37">
        <f>IF(L165="NO","N/A",IF(COUNTIFS('Skip Docs'!$A$2:$A$7,F165,'Skip Docs'!$C$2:$C$7,E165,'Skip Docs'!$D$2:$D$7,H165,'Skip Docs'!$E$2:$E$7,J165)=1,"YES","NO"))</f>
        <v/>
      </c>
      <c r="Q165" s="37" t="inlineStr">
        <is>
          <t>Y</t>
        </is>
      </c>
      <c r="R165" s="37" t="inlineStr">
        <is>
          <t>SUSTAINED</t>
        </is>
      </c>
      <c r="S165" s="37">
        <f>IF(B165="YES","Verified contemporaneous proof",IF(L165="NO","No justification PDF supplied",IF(M165="NO","PDF is cover-only",IF(P165="NO","PDF content does not match logged slip/reason",IF(O165="NO","Offer event does not reconcile","Assembled after skip date")))))</f>
        <v/>
      </c>
    </row>
    <row r="166">
      <c r="A166" s="37">
        <f>IF(M166="NO","Priority 1",IF(N166="LATE","Priority 2",IF(B166="YES","OK","Priority 1")))</f>
        <v/>
      </c>
      <c r="B166" s="37">
        <f>IF(AND(L166="YES",M166="YES",N166="ON/BEFORE",O166="YES",P166="YES"),"YES","NO")</f>
        <v/>
      </c>
      <c r="C166" s="37" t="inlineStr">
        <is>
          <t>SKP-2024-0256</t>
        </is>
      </c>
      <c r="D166" s="37" t="inlineStr">
        <is>
          <t>OFR-2024-0960</t>
        </is>
      </c>
      <c r="E166" s="38" t="n">
        <v>45644</v>
      </c>
      <c r="F166" s="37" t="inlineStr">
        <is>
          <t>WL-02923</t>
        </is>
      </c>
      <c r="G166" s="37">
        <f>IFERROR(INDEX(Applicants!$C$2:$C$2911,MATCH(F166,Applicants!$A$2:$A$2911,0))&amp;" "&amp;INDEX(Applicants!$B$2:$B$2911,MATCH(F166,Applicants!$A$2:$A$2911,0)),"")</f>
        <v/>
      </c>
      <c r="H166" s="37" t="inlineStr">
        <is>
          <t>LP-0822</t>
        </is>
      </c>
      <c r="I166" s="37" t="inlineStr">
        <is>
          <t>Ledgport</t>
        </is>
      </c>
      <c r="J166" s="37" t="inlineStr">
        <is>
          <t>preference-mismatch</t>
        </is>
      </c>
      <c r="K166" s="38" t="n">
        <v>45644</v>
      </c>
      <c r="L166" s="37">
        <f>IF(COUNTIFS('Skip Docs'!$A$2:$A$7,F166,'Skip Docs'!$C$2:$C$7,E166)&gt;0,"YES","NO")</f>
        <v/>
      </c>
      <c r="M166" s="37">
        <f>IF(L166="NO","NO",INDEX('Skip Docs'!$G$2:$G$7,MATCH(1,INDEX(('Skip Docs'!$A$2:$A$7=F166)*('Skip Docs'!$C$2:$C$7=E166),0),0)))</f>
        <v/>
      </c>
      <c r="N166" s="37">
        <f>IF(K166&lt;=E166,"ON/BEFORE","LATE")</f>
        <v/>
      </c>
      <c r="O166" s="37">
        <f>IF(COUNTIFS(Offers!$A$2:$A$1487,D166,Offers!$C$2:$C$1487,F166,Offers!$B$2:$B$1487,E166,Offers!$E$2:$E$1487,H166,Offers!$I$2:$I$1487,"SKIPPED")=1,"YES","NO")</f>
        <v/>
      </c>
      <c r="P166" s="37">
        <f>IF(L166="NO","N/A",IF(COUNTIFS('Skip Docs'!$A$2:$A$7,F166,'Skip Docs'!$C$2:$C$7,E166,'Skip Docs'!$D$2:$D$7,H166,'Skip Docs'!$E$2:$E$7,J166)=1,"YES","NO"))</f>
        <v/>
      </c>
      <c r="Q166" s="37" t="inlineStr">
        <is>
          <t>Y</t>
        </is>
      </c>
      <c r="R166" s="37" t="inlineStr">
        <is>
          <t>SUSTAINED</t>
        </is>
      </c>
      <c r="S166" s="37">
        <f>IF(B166="YES","Verified contemporaneous proof",IF(L166="NO","No justification PDF supplied",IF(M166="NO","PDF is cover-only",IF(P166="NO","PDF content does not match logged slip/reason",IF(O166="NO","Offer event does not reconcile","Assembled after skip date")))))</f>
        <v/>
      </c>
    </row>
    <row r="167">
      <c r="A167" s="37">
        <f>IF(M167="NO","Priority 1",IF(N167="LATE","Priority 2",IF(B167="YES","OK","Priority 1")))</f>
        <v/>
      </c>
      <c r="B167" s="37">
        <f>IF(AND(L167="YES",M167="YES",N167="ON/BEFORE",O167="YES",P167="YES"),"YES","NO")</f>
        <v/>
      </c>
      <c r="C167" s="37" t="inlineStr">
        <is>
          <t>SKP-2025-0257</t>
        </is>
      </c>
      <c r="D167" s="37" t="inlineStr">
        <is>
          <t>OFR-2025-0964</t>
        </is>
      </c>
      <c r="E167" s="38" t="n">
        <v>45672</v>
      </c>
      <c r="F167" s="37" t="inlineStr">
        <is>
          <t>WL-03628</t>
        </is>
      </c>
      <c r="G167" s="37">
        <f>IFERROR(INDEX(Applicants!$C$2:$C$2911,MATCH(F167,Applicants!$A$2:$A$2911,0))&amp;" "&amp;INDEX(Applicants!$B$2:$B$2911,MATCH(F167,Applicants!$A$2:$A$2911,0)),"")</f>
        <v/>
      </c>
      <c r="H167" s="37" t="inlineStr">
        <is>
          <t>LP-0715</t>
        </is>
      </c>
      <c r="I167" s="37" t="inlineStr">
        <is>
          <t>Ledgport</t>
        </is>
      </c>
      <c r="J167" s="37" t="inlineStr">
        <is>
          <t>preference-mismatch</t>
        </is>
      </c>
      <c r="K167" s="38" t="n">
        <v>45672</v>
      </c>
      <c r="L167" s="37">
        <f>IF(COUNTIFS('Skip Docs'!$A$2:$A$7,F167,'Skip Docs'!$C$2:$C$7,E167)&gt;0,"YES","NO")</f>
        <v/>
      </c>
      <c r="M167" s="37">
        <f>IF(L167="NO","NO",INDEX('Skip Docs'!$G$2:$G$7,MATCH(1,INDEX(('Skip Docs'!$A$2:$A$7=F167)*('Skip Docs'!$C$2:$C$7=E167),0),0)))</f>
        <v/>
      </c>
      <c r="N167" s="37">
        <f>IF(K167&lt;=E167,"ON/BEFORE","LATE")</f>
        <v/>
      </c>
      <c r="O167" s="37">
        <f>IF(COUNTIFS(Offers!$A$2:$A$1487,D167,Offers!$C$2:$C$1487,F167,Offers!$B$2:$B$1487,E167,Offers!$E$2:$E$1487,H167,Offers!$I$2:$I$1487,"SKIPPED")=1,"YES","NO")</f>
        <v/>
      </c>
      <c r="P167" s="37">
        <f>IF(L167="NO","N/A",IF(COUNTIFS('Skip Docs'!$A$2:$A$7,F167,'Skip Docs'!$C$2:$C$7,E167,'Skip Docs'!$D$2:$D$7,H167,'Skip Docs'!$E$2:$E$7,J167)=1,"YES","NO"))</f>
        <v/>
      </c>
      <c r="Q167" s="37" t="inlineStr">
        <is>
          <t>Y</t>
        </is>
      </c>
      <c r="R167" s="37" t="inlineStr">
        <is>
          <t>SUSTAINED</t>
        </is>
      </c>
      <c r="S167" s="37">
        <f>IF(B167="YES","Verified contemporaneous proof",IF(L167="NO","No justification PDF supplied",IF(M167="NO","PDF is cover-only",IF(P167="NO","PDF content does not match logged slip/reason",IF(O167="NO","Offer event does not reconcile","Assembled after skip date")))))</f>
        <v/>
      </c>
    </row>
    <row r="168">
      <c r="A168" s="37">
        <f>IF(M168="NO","Priority 1",IF(N168="LATE","Priority 2",IF(B168="YES","OK","Priority 1")))</f>
        <v/>
      </c>
      <c r="B168" s="37">
        <f>IF(AND(L168="YES",M168="YES",N168="ON/BEFORE",O168="YES",P168="YES"),"YES","NO")</f>
        <v/>
      </c>
      <c r="C168" s="37" t="inlineStr">
        <is>
          <t>SKP-2025-0258</t>
        </is>
      </c>
      <c r="D168" s="37" t="inlineStr">
        <is>
          <t>OFR-2025-0968</t>
        </is>
      </c>
      <c r="E168" s="38" t="n">
        <v>45674</v>
      </c>
      <c r="F168" s="37" t="inlineStr">
        <is>
          <t>WL-01918</t>
        </is>
      </c>
      <c r="G168" s="37">
        <f>IFERROR(INDEX(Applicants!$C$2:$C$2911,MATCH(F168,Applicants!$A$2:$A$2911,0))&amp;" "&amp;INDEX(Applicants!$B$2:$B$2911,MATCH(F168,Applicants!$A$2:$A$2911,0)),"")</f>
        <v/>
      </c>
      <c r="H168" s="37" t="inlineStr">
        <is>
          <t>GW-0517</t>
        </is>
      </c>
      <c r="I168" s="37" t="inlineStr">
        <is>
          <t>Gullwing</t>
        </is>
      </c>
      <c r="J168" s="37" t="inlineStr">
        <is>
          <t>not-current</t>
        </is>
      </c>
      <c r="K168" s="38" t="n">
        <v>45677</v>
      </c>
      <c r="L168" s="37">
        <f>IF(COUNTIFS('Skip Docs'!$A$2:$A$7,F168,'Skip Docs'!$C$2:$C$7,E168)&gt;0,"YES","NO")</f>
        <v/>
      </c>
      <c r="M168" s="37">
        <f>IF(L168="NO","NO",INDEX('Skip Docs'!$G$2:$G$7,MATCH(1,INDEX(('Skip Docs'!$A$2:$A$7=F168)*('Skip Docs'!$C$2:$C$7=E168),0),0)))</f>
        <v/>
      </c>
      <c r="N168" s="37">
        <f>IF(K168&lt;=E168,"ON/BEFORE","LATE")</f>
        <v/>
      </c>
      <c r="O168" s="37">
        <f>IF(COUNTIFS(Offers!$A$2:$A$1487,D168,Offers!$C$2:$C$1487,F168,Offers!$B$2:$B$1487,E168,Offers!$E$2:$E$1487,H168,Offers!$I$2:$I$1487,"SKIPPED")=1,"YES","NO")</f>
        <v/>
      </c>
      <c r="P168" s="37">
        <f>IF(L168="NO","N/A",IF(COUNTIFS('Skip Docs'!$A$2:$A$7,F168,'Skip Docs'!$C$2:$C$7,E168,'Skip Docs'!$D$2:$D$7,H168,'Skip Docs'!$E$2:$E$7,J168)=1,"YES","NO"))</f>
        <v/>
      </c>
      <c r="Q168" s="37" t="inlineStr">
        <is>
          <t>Y</t>
        </is>
      </c>
      <c r="R168" s="37" t="inlineStr">
        <is>
          <t>SUSTAINED</t>
        </is>
      </c>
      <c r="S168" s="37">
        <f>IF(B168="YES","Verified contemporaneous proof",IF(L168="NO","No justification PDF supplied",IF(M168="NO","PDF is cover-only",IF(P168="NO","PDF content does not match logged slip/reason",IF(O168="NO","Offer event does not reconcile","Assembled after skip date")))))</f>
        <v/>
      </c>
    </row>
    <row r="169">
      <c r="A169" s="37">
        <f>IF(M169="NO","Priority 1",IF(N169="LATE","Priority 2",IF(B169="YES","OK","Priority 1")))</f>
        <v/>
      </c>
      <c r="B169" s="37">
        <f>IF(AND(L169="YES",M169="YES",N169="ON/BEFORE",O169="YES",P169="YES"),"YES","NO")</f>
        <v/>
      </c>
      <c r="C169" s="37" t="inlineStr">
        <is>
          <t>SKP-2025-0259</t>
        </is>
      </c>
      <c r="D169" s="37" t="inlineStr">
        <is>
          <t>OFR-2025-0969</t>
        </is>
      </c>
      <c r="E169" s="38" t="n">
        <v>45658</v>
      </c>
      <c r="F169" s="37" t="inlineStr">
        <is>
          <t>WL-01382</t>
        </is>
      </c>
      <c r="G169" s="37">
        <f>IFERROR(INDEX(Applicants!$C$2:$C$2911,MATCH(F169,Applicants!$A$2:$A$2911,0))&amp;" "&amp;INDEX(Applicants!$B$2:$B$2911,MATCH(F169,Applicants!$A$2:$A$2911,0)),"")</f>
        <v/>
      </c>
      <c r="H169" s="37" t="inlineStr">
        <is>
          <t>GW-0908</t>
        </is>
      </c>
      <c r="I169" s="37" t="inlineStr">
        <is>
          <t>Gullwing</t>
        </is>
      </c>
      <c r="J169" s="37" t="inlineStr">
        <is>
          <t>vessel-fit</t>
        </is>
      </c>
      <c r="K169" s="38" t="n">
        <v>45661</v>
      </c>
      <c r="L169" s="37">
        <f>IF(COUNTIFS('Skip Docs'!$A$2:$A$7,F169,'Skip Docs'!$C$2:$C$7,E169)&gt;0,"YES","NO")</f>
        <v/>
      </c>
      <c r="M169" s="37">
        <f>IF(L169="NO","NO",INDEX('Skip Docs'!$G$2:$G$7,MATCH(1,INDEX(('Skip Docs'!$A$2:$A$7=F169)*('Skip Docs'!$C$2:$C$7=E169),0),0)))</f>
        <v/>
      </c>
      <c r="N169" s="37">
        <f>IF(K169&lt;=E169,"ON/BEFORE","LATE")</f>
        <v/>
      </c>
      <c r="O169" s="37">
        <f>IF(COUNTIFS(Offers!$A$2:$A$1487,D169,Offers!$C$2:$C$1487,F169,Offers!$B$2:$B$1487,E169,Offers!$E$2:$E$1487,H169,Offers!$I$2:$I$1487,"SKIPPED")=1,"YES","NO")</f>
        <v/>
      </c>
      <c r="P169" s="37">
        <f>IF(L169="NO","N/A",IF(COUNTIFS('Skip Docs'!$A$2:$A$7,F169,'Skip Docs'!$C$2:$C$7,E169,'Skip Docs'!$D$2:$D$7,H169,'Skip Docs'!$E$2:$E$7,J169)=1,"YES","NO"))</f>
        <v/>
      </c>
      <c r="Q169" s="37" t="inlineStr">
        <is>
          <t>Y</t>
        </is>
      </c>
      <c r="R169" s="37" t="inlineStr">
        <is>
          <t>SUSTAINED</t>
        </is>
      </c>
      <c r="S169" s="37">
        <f>IF(B169="YES","Verified contemporaneous proof",IF(L169="NO","No justification PDF supplied",IF(M169="NO","PDF is cover-only",IF(P169="NO","PDF content does not match logged slip/reason",IF(O169="NO","Offer event does not reconcile","Assembled after skip date")))))</f>
        <v/>
      </c>
    </row>
    <row r="170">
      <c r="A170" s="37">
        <f>IF(M170="NO","Priority 1",IF(N170="LATE","Priority 2",IF(B170="YES","OK","Priority 1")))</f>
        <v/>
      </c>
      <c r="B170" s="37">
        <f>IF(AND(L170="YES",M170="YES",N170="ON/BEFORE",O170="YES",P170="YES"),"YES","NO")</f>
        <v/>
      </c>
      <c r="C170" s="37" t="inlineStr">
        <is>
          <t>SKP-2025-0260</t>
        </is>
      </c>
      <c r="D170" s="37" t="inlineStr">
        <is>
          <t>OFR-2025-0970</t>
        </is>
      </c>
      <c r="E170" s="38" t="n">
        <v>45669</v>
      </c>
      <c r="F170" s="37" t="inlineStr">
        <is>
          <t>WL-03888</t>
        </is>
      </c>
      <c r="G170" s="37">
        <f>IFERROR(INDEX(Applicants!$C$2:$C$2911,MATCH(F170,Applicants!$A$2:$A$2911,0))&amp;" "&amp;INDEX(Applicants!$B$2:$B$2911,MATCH(F170,Applicants!$A$2:$A$2911,0)),"")</f>
        <v/>
      </c>
      <c r="H170" s="37" t="inlineStr">
        <is>
          <t>SB-0603</t>
        </is>
      </c>
      <c r="I170" s="37" t="inlineStr">
        <is>
          <t>Salmonberry</t>
        </is>
      </c>
      <c r="J170" s="37" t="inlineStr">
        <is>
          <t>declined-prior-offer</t>
        </is>
      </c>
      <c r="K170" s="38" t="n">
        <v>45671</v>
      </c>
      <c r="L170" s="37">
        <f>IF(COUNTIFS('Skip Docs'!$A$2:$A$7,F170,'Skip Docs'!$C$2:$C$7,E170)&gt;0,"YES","NO")</f>
        <v/>
      </c>
      <c r="M170" s="37">
        <f>IF(L170="NO","NO",INDEX('Skip Docs'!$G$2:$G$7,MATCH(1,INDEX(('Skip Docs'!$A$2:$A$7=F170)*('Skip Docs'!$C$2:$C$7=E170),0),0)))</f>
        <v/>
      </c>
      <c r="N170" s="37">
        <f>IF(K170&lt;=E170,"ON/BEFORE","LATE")</f>
        <v/>
      </c>
      <c r="O170" s="37">
        <f>IF(COUNTIFS(Offers!$A$2:$A$1487,D170,Offers!$C$2:$C$1487,F170,Offers!$B$2:$B$1487,E170,Offers!$E$2:$E$1487,H170,Offers!$I$2:$I$1487,"SKIPPED")=1,"YES","NO")</f>
        <v/>
      </c>
      <c r="P170" s="37">
        <f>IF(L170="NO","N/A",IF(COUNTIFS('Skip Docs'!$A$2:$A$7,F170,'Skip Docs'!$C$2:$C$7,E170,'Skip Docs'!$D$2:$D$7,H170,'Skip Docs'!$E$2:$E$7,J170)=1,"YES","NO"))</f>
        <v/>
      </c>
      <c r="Q170" s="37" t="inlineStr">
        <is>
          <t>Y</t>
        </is>
      </c>
      <c r="R170" s="37" t="inlineStr">
        <is>
          <t>SUSTAINED</t>
        </is>
      </c>
      <c r="S170" s="37">
        <f>IF(B170="YES","Verified contemporaneous proof",IF(L170="NO","No justification PDF supplied",IF(M170="NO","PDF is cover-only",IF(P170="NO","PDF content does not match logged slip/reason",IF(O170="NO","Offer event does not reconcile","Assembled after skip date")))))</f>
        <v/>
      </c>
    </row>
    <row r="171">
      <c r="A171" s="37">
        <f>IF(M171="NO","Priority 1",IF(N171="LATE","Priority 2",IF(B171="YES","OK","Priority 1")))</f>
        <v/>
      </c>
      <c r="B171" s="37">
        <f>IF(AND(L171="YES",M171="YES",N171="ON/BEFORE",O171="YES",P171="YES"),"YES","NO")</f>
        <v/>
      </c>
      <c r="C171" s="37" t="inlineStr">
        <is>
          <t>SKP-2025-0261</t>
        </is>
      </c>
      <c r="D171" s="37" t="inlineStr">
        <is>
          <t>OFR-2025-0974</t>
        </is>
      </c>
      <c r="E171" s="38" t="n">
        <v>45673</v>
      </c>
      <c r="F171" s="37" t="inlineStr">
        <is>
          <t>WL-02733</t>
        </is>
      </c>
      <c r="G171" s="37">
        <f>IFERROR(INDEX(Applicants!$C$2:$C$2911,MATCH(F171,Applicants!$A$2:$A$2911,0))&amp;" "&amp;INDEX(Applicants!$B$2:$B$2911,MATCH(F171,Applicants!$A$2:$A$2911,0)),"")</f>
        <v/>
      </c>
      <c r="H171" s="37" t="inlineStr">
        <is>
          <t>LP-0803</t>
        </is>
      </c>
      <c r="I171" s="37" t="inlineStr">
        <is>
          <t>Ledgport</t>
        </is>
      </c>
      <c r="J171" s="37" t="inlineStr">
        <is>
          <t>vessel-fit</t>
        </is>
      </c>
      <c r="K171" s="38" t="n">
        <v>45677</v>
      </c>
      <c r="L171" s="37">
        <f>IF(COUNTIFS('Skip Docs'!$A$2:$A$7,F171,'Skip Docs'!$C$2:$C$7,E171)&gt;0,"YES","NO")</f>
        <v/>
      </c>
      <c r="M171" s="37">
        <f>IF(L171="NO","NO",INDEX('Skip Docs'!$G$2:$G$7,MATCH(1,INDEX(('Skip Docs'!$A$2:$A$7=F171)*('Skip Docs'!$C$2:$C$7=E171),0),0)))</f>
        <v/>
      </c>
      <c r="N171" s="37">
        <f>IF(K171&lt;=E171,"ON/BEFORE","LATE")</f>
        <v/>
      </c>
      <c r="O171" s="37">
        <f>IF(COUNTIFS(Offers!$A$2:$A$1487,D171,Offers!$C$2:$C$1487,F171,Offers!$B$2:$B$1487,E171,Offers!$E$2:$E$1487,H171,Offers!$I$2:$I$1487,"SKIPPED")=1,"YES","NO")</f>
        <v/>
      </c>
      <c r="P171" s="37">
        <f>IF(L171="NO","N/A",IF(COUNTIFS('Skip Docs'!$A$2:$A$7,F171,'Skip Docs'!$C$2:$C$7,E171,'Skip Docs'!$D$2:$D$7,H171,'Skip Docs'!$E$2:$E$7,J171)=1,"YES","NO"))</f>
        <v/>
      </c>
      <c r="Q171" s="37" t="inlineStr">
        <is>
          <t>Y</t>
        </is>
      </c>
      <c r="R171" s="37" t="inlineStr">
        <is>
          <t>SUSTAINED</t>
        </is>
      </c>
      <c r="S171" s="37">
        <f>IF(B171="YES","Verified contemporaneous proof",IF(L171="NO","No justification PDF supplied",IF(M171="NO","PDF is cover-only",IF(P171="NO","PDF content does not match logged slip/reason",IF(O171="NO","Offer event does not reconcile","Assembled after skip date")))))</f>
        <v/>
      </c>
    </row>
    <row r="172">
      <c r="A172" s="37">
        <f>IF(M172="NO","Priority 1",IF(N172="LATE","Priority 2",IF(B172="YES","OK","Priority 1")))</f>
        <v/>
      </c>
      <c r="B172" s="37">
        <f>IF(AND(L172="YES",M172="YES",N172="ON/BEFORE",O172="YES",P172="YES"),"YES","NO")</f>
        <v/>
      </c>
      <c r="C172" s="37" t="inlineStr">
        <is>
          <t>SKP-2025-0262</t>
        </is>
      </c>
      <c r="D172" s="37" t="inlineStr">
        <is>
          <t>OFR-2025-0985</t>
        </is>
      </c>
      <c r="E172" s="38" t="n">
        <v>45708</v>
      </c>
      <c r="F172" s="37" t="inlineStr">
        <is>
          <t>WL-03244</t>
        </is>
      </c>
      <c r="G172" s="37">
        <f>IFERROR(INDEX(Applicants!$C$2:$C$2911,MATCH(F172,Applicants!$A$2:$A$2911,0))&amp;" "&amp;INDEX(Applicants!$B$2:$B$2911,MATCH(F172,Applicants!$A$2:$A$2911,0)),"")</f>
        <v/>
      </c>
      <c r="H172" s="37" t="inlineStr">
        <is>
          <t>EW-1015</t>
        </is>
      </c>
      <c r="I172" s="37" t="inlineStr">
        <is>
          <t>Eastwey</t>
        </is>
      </c>
      <c r="J172" s="37" t="inlineStr">
        <is>
          <t>not-current</t>
        </is>
      </c>
      <c r="K172" s="38" t="n">
        <v>45711</v>
      </c>
      <c r="L172" s="37">
        <f>IF(COUNTIFS('Skip Docs'!$A$2:$A$7,F172,'Skip Docs'!$C$2:$C$7,E172)&gt;0,"YES","NO")</f>
        <v/>
      </c>
      <c r="M172" s="37">
        <f>IF(L172="NO","NO",INDEX('Skip Docs'!$G$2:$G$7,MATCH(1,INDEX(('Skip Docs'!$A$2:$A$7=F172)*('Skip Docs'!$C$2:$C$7=E172),0),0)))</f>
        <v/>
      </c>
      <c r="N172" s="37">
        <f>IF(K172&lt;=E172,"ON/BEFORE","LATE")</f>
        <v/>
      </c>
      <c r="O172" s="37">
        <f>IF(COUNTIFS(Offers!$A$2:$A$1487,D172,Offers!$C$2:$C$1487,F172,Offers!$B$2:$B$1487,E172,Offers!$E$2:$E$1487,H172,Offers!$I$2:$I$1487,"SKIPPED")=1,"YES","NO")</f>
        <v/>
      </c>
      <c r="P172" s="37">
        <f>IF(L172="NO","N/A",IF(COUNTIFS('Skip Docs'!$A$2:$A$7,F172,'Skip Docs'!$C$2:$C$7,E172,'Skip Docs'!$D$2:$D$7,H172,'Skip Docs'!$E$2:$E$7,J172)=1,"YES","NO"))</f>
        <v/>
      </c>
      <c r="Q172" s="37" t="inlineStr">
        <is>
          <t>Y</t>
        </is>
      </c>
      <c r="R172" s="37" t="inlineStr">
        <is>
          <t>SUSTAINED</t>
        </is>
      </c>
      <c r="S172" s="37">
        <f>IF(B172="YES","Verified contemporaneous proof",IF(L172="NO","No justification PDF supplied",IF(M172="NO","PDF is cover-only",IF(P172="NO","PDF content does not match logged slip/reason",IF(O172="NO","Offer event does not reconcile","Assembled after skip date")))))</f>
        <v/>
      </c>
    </row>
    <row r="173">
      <c r="A173" s="37">
        <f>IF(M173="NO","Priority 1",IF(N173="LATE","Priority 2",IF(B173="YES","OK","Priority 1")))</f>
        <v/>
      </c>
      <c r="B173" s="37">
        <f>IF(AND(L173="YES",M173="YES",N173="ON/BEFORE",O173="YES",P173="YES"),"YES","NO")</f>
        <v/>
      </c>
      <c r="C173" s="37" t="inlineStr">
        <is>
          <t>SKP-2025-0263</t>
        </is>
      </c>
      <c r="D173" s="37" t="inlineStr">
        <is>
          <t>OFR-2025-0999</t>
        </is>
      </c>
      <c r="E173" s="38" t="n">
        <v>45738</v>
      </c>
      <c r="F173" s="37" t="inlineStr">
        <is>
          <t>WL-02067</t>
        </is>
      </c>
      <c r="G173" s="37">
        <f>IFERROR(INDEX(Applicants!$C$2:$C$2911,MATCH(F173,Applicants!$A$2:$A$2911,0))&amp;" "&amp;INDEX(Applicants!$B$2:$B$2911,MATCH(F173,Applicants!$A$2:$A$2911,0)),"")</f>
        <v/>
      </c>
      <c r="H173" s="37" t="inlineStr">
        <is>
          <t>LP-1107</t>
        </is>
      </c>
      <c r="I173" s="37" t="inlineStr">
        <is>
          <t>Ledgport</t>
        </is>
      </c>
      <c r="J173" s="37" t="inlineStr">
        <is>
          <t>not-current</t>
        </is>
      </c>
      <c r="K173" s="38" t="n">
        <v>45738</v>
      </c>
      <c r="L173" s="37">
        <f>IF(COUNTIFS('Skip Docs'!$A$2:$A$7,F173,'Skip Docs'!$C$2:$C$7,E173)&gt;0,"YES","NO")</f>
        <v/>
      </c>
      <c r="M173" s="37">
        <f>IF(L173="NO","NO",INDEX('Skip Docs'!$G$2:$G$7,MATCH(1,INDEX(('Skip Docs'!$A$2:$A$7=F173)*('Skip Docs'!$C$2:$C$7=E173),0),0)))</f>
        <v/>
      </c>
      <c r="N173" s="37">
        <f>IF(K173&lt;=E173,"ON/BEFORE","LATE")</f>
        <v/>
      </c>
      <c r="O173" s="37">
        <f>IF(COUNTIFS(Offers!$A$2:$A$1487,D173,Offers!$C$2:$C$1487,F173,Offers!$B$2:$B$1487,E173,Offers!$E$2:$E$1487,H173,Offers!$I$2:$I$1487,"SKIPPED")=1,"YES","NO")</f>
        <v/>
      </c>
      <c r="P173" s="37">
        <f>IF(L173="NO","N/A",IF(COUNTIFS('Skip Docs'!$A$2:$A$7,F173,'Skip Docs'!$C$2:$C$7,E173,'Skip Docs'!$D$2:$D$7,H173,'Skip Docs'!$E$2:$E$7,J173)=1,"YES","NO"))</f>
        <v/>
      </c>
      <c r="Q173" s="37" t="inlineStr">
        <is>
          <t>Y</t>
        </is>
      </c>
      <c r="R173" s="37" t="inlineStr">
        <is>
          <t>SUSTAINED</t>
        </is>
      </c>
      <c r="S173" s="37">
        <f>IF(B173="YES","Verified contemporaneous proof",IF(L173="NO","No justification PDF supplied",IF(M173="NO","PDF is cover-only",IF(P173="NO","PDF content does not match logged slip/reason",IF(O173="NO","Offer event does not reconcile","Assembled after skip date")))))</f>
        <v/>
      </c>
    </row>
    <row r="174">
      <c r="A174" s="37">
        <f>IF(M174="NO","Priority 1",IF(N174="LATE","Priority 2",IF(B174="YES","OK","Priority 1")))</f>
        <v/>
      </c>
      <c r="B174" s="37">
        <f>IF(AND(L174="YES",M174="YES",N174="ON/BEFORE",O174="YES",P174="YES"),"YES","NO")</f>
        <v/>
      </c>
      <c r="C174" s="37" t="inlineStr">
        <is>
          <t>SKP-2025-0264</t>
        </is>
      </c>
      <c r="D174" s="37" t="inlineStr">
        <is>
          <t>OFR-2025-1001</t>
        </is>
      </c>
      <c r="E174" s="38" t="n">
        <v>45743</v>
      </c>
      <c r="F174" s="37" t="inlineStr">
        <is>
          <t>WL-01523</t>
        </is>
      </c>
      <c r="G174" s="37">
        <f>IFERROR(INDEX(Applicants!$C$2:$C$2911,MATCH(F174,Applicants!$A$2:$A$2911,0))&amp;" "&amp;INDEX(Applicants!$B$2:$B$2911,MATCH(F174,Applicants!$A$2:$A$2911,0)),"")</f>
        <v/>
      </c>
      <c r="H174" s="37" t="inlineStr">
        <is>
          <t>LP-0304</t>
        </is>
      </c>
      <c r="I174" s="37" t="inlineStr">
        <is>
          <t>Ledgport</t>
        </is>
      </c>
      <c r="J174" s="37" t="inlineStr">
        <is>
          <t>not-current</t>
        </is>
      </c>
      <c r="K174" s="38" t="n">
        <v>45746</v>
      </c>
      <c r="L174" s="37">
        <f>IF(COUNTIFS('Skip Docs'!$A$2:$A$7,F174,'Skip Docs'!$C$2:$C$7,E174)&gt;0,"YES","NO")</f>
        <v/>
      </c>
      <c r="M174" s="37">
        <f>IF(L174="NO","NO",INDEX('Skip Docs'!$G$2:$G$7,MATCH(1,INDEX(('Skip Docs'!$A$2:$A$7=F174)*('Skip Docs'!$C$2:$C$7=E174),0),0)))</f>
        <v/>
      </c>
      <c r="N174" s="37">
        <f>IF(K174&lt;=E174,"ON/BEFORE","LATE")</f>
        <v/>
      </c>
      <c r="O174" s="37">
        <f>IF(COUNTIFS(Offers!$A$2:$A$1487,D174,Offers!$C$2:$C$1487,F174,Offers!$B$2:$B$1487,E174,Offers!$E$2:$E$1487,H174,Offers!$I$2:$I$1487,"SKIPPED")=1,"YES","NO")</f>
        <v/>
      </c>
      <c r="P174" s="37">
        <f>IF(L174="NO","N/A",IF(COUNTIFS('Skip Docs'!$A$2:$A$7,F174,'Skip Docs'!$C$2:$C$7,E174,'Skip Docs'!$D$2:$D$7,H174,'Skip Docs'!$E$2:$E$7,J174)=1,"YES","NO"))</f>
        <v/>
      </c>
      <c r="Q174" s="37" t="inlineStr">
        <is>
          <t>Y</t>
        </is>
      </c>
      <c r="R174" s="37" t="inlineStr">
        <is>
          <t>SUSTAINED</t>
        </is>
      </c>
      <c r="S174" s="37">
        <f>IF(B174="YES","Verified contemporaneous proof",IF(L174="NO","No justification PDF supplied",IF(M174="NO","PDF is cover-only",IF(P174="NO","PDF content does not match logged slip/reason",IF(O174="NO","Offer event does not reconcile","Assembled after skip date")))))</f>
        <v/>
      </c>
    </row>
    <row r="175">
      <c r="A175" s="37">
        <f>IF(M175="NO","Priority 1",IF(N175="LATE","Priority 2",IF(B175="YES","OK","Priority 1")))</f>
        <v/>
      </c>
      <c r="B175" s="37">
        <f>IF(AND(L175="YES",M175="YES",N175="ON/BEFORE",O175="YES",P175="YES"),"YES","NO")</f>
        <v/>
      </c>
      <c r="C175" s="37" t="inlineStr">
        <is>
          <t>SKP-2025-0265</t>
        </is>
      </c>
      <c r="D175" s="37" t="inlineStr">
        <is>
          <t>OFR-2025-1003</t>
        </is>
      </c>
      <c r="E175" s="38" t="n">
        <v>45728</v>
      </c>
      <c r="F175" s="37" t="inlineStr">
        <is>
          <t>WL-03442</t>
        </is>
      </c>
      <c r="G175" s="37">
        <f>IFERROR(INDEX(Applicants!$C$2:$C$2911,MATCH(F175,Applicants!$A$2:$A$2911,0))&amp;" "&amp;INDEX(Applicants!$B$2:$B$2911,MATCH(F175,Applicants!$A$2:$A$2911,0)),"")</f>
        <v/>
      </c>
      <c r="H175" s="37" t="inlineStr">
        <is>
          <t>SB-0203</t>
        </is>
      </c>
      <c r="I175" s="37" t="inlineStr">
        <is>
          <t>Salmonberry</t>
        </is>
      </c>
      <c r="J175" s="37" t="inlineStr">
        <is>
          <t>not-current</t>
        </is>
      </c>
      <c r="K175" s="38" t="n">
        <v>45733</v>
      </c>
      <c r="L175" s="37">
        <f>IF(COUNTIFS('Skip Docs'!$A$2:$A$7,F175,'Skip Docs'!$C$2:$C$7,E175)&gt;0,"YES","NO")</f>
        <v/>
      </c>
      <c r="M175" s="37">
        <f>IF(L175="NO","NO",INDEX('Skip Docs'!$G$2:$G$7,MATCH(1,INDEX(('Skip Docs'!$A$2:$A$7=F175)*('Skip Docs'!$C$2:$C$7=E175),0),0)))</f>
        <v/>
      </c>
      <c r="N175" s="37">
        <f>IF(K175&lt;=E175,"ON/BEFORE","LATE")</f>
        <v/>
      </c>
      <c r="O175" s="37">
        <f>IF(COUNTIFS(Offers!$A$2:$A$1487,D175,Offers!$C$2:$C$1487,F175,Offers!$B$2:$B$1487,E175,Offers!$E$2:$E$1487,H175,Offers!$I$2:$I$1487,"SKIPPED")=1,"YES","NO")</f>
        <v/>
      </c>
      <c r="P175" s="37">
        <f>IF(L175="NO","N/A",IF(COUNTIFS('Skip Docs'!$A$2:$A$7,F175,'Skip Docs'!$C$2:$C$7,E175,'Skip Docs'!$D$2:$D$7,H175,'Skip Docs'!$E$2:$E$7,J175)=1,"YES","NO"))</f>
        <v/>
      </c>
      <c r="Q175" s="37" t="inlineStr">
        <is>
          <t>Y</t>
        </is>
      </c>
      <c r="R175" s="37" t="inlineStr">
        <is>
          <t>SUSTAINED</t>
        </is>
      </c>
      <c r="S175" s="37">
        <f>IF(B175="YES","Verified contemporaneous proof",IF(L175="NO","No justification PDF supplied",IF(M175="NO","PDF is cover-only",IF(P175="NO","PDF content does not match logged slip/reason",IF(O175="NO","Offer event does not reconcile","Assembled after skip date")))))</f>
        <v/>
      </c>
    </row>
    <row r="176">
      <c r="A176" s="37">
        <f>IF(M176="NO","Priority 1",IF(N176="LATE","Priority 2",IF(B176="YES","OK","Priority 1")))</f>
        <v/>
      </c>
      <c r="B176" s="37">
        <f>IF(AND(L176="YES",M176="YES",N176="ON/BEFORE",O176="YES",P176="YES"),"YES","NO")</f>
        <v/>
      </c>
      <c r="C176" s="37" t="inlineStr">
        <is>
          <t>SKP-2025-0266</t>
        </is>
      </c>
      <c r="D176" s="37" t="inlineStr">
        <is>
          <t>OFR-2025-1005</t>
        </is>
      </c>
      <c r="E176" s="38" t="n">
        <v>45725</v>
      </c>
      <c r="F176" s="37" t="inlineStr">
        <is>
          <t>WL-03604</t>
        </is>
      </c>
      <c r="G176" s="37">
        <f>IFERROR(INDEX(Applicants!$C$2:$C$2911,MATCH(F176,Applicants!$A$2:$A$2911,0))&amp;" "&amp;INDEX(Applicants!$B$2:$B$2911,MATCH(F176,Applicants!$A$2:$A$2911,0)),"")</f>
        <v/>
      </c>
      <c r="H176" s="37" t="inlineStr">
        <is>
          <t>EW-0909</t>
        </is>
      </c>
      <c r="I176" s="37" t="inlineStr">
        <is>
          <t>Eastwey</t>
        </is>
      </c>
      <c r="J176" s="37" t="inlineStr">
        <is>
          <t>not-current</t>
        </is>
      </c>
      <c r="K176" s="38" t="n">
        <v>45728</v>
      </c>
      <c r="L176" s="37">
        <f>IF(COUNTIFS('Skip Docs'!$A$2:$A$7,F176,'Skip Docs'!$C$2:$C$7,E176)&gt;0,"YES","NO")</f>
        <v/>
      </c>
      <c r="M176" s="37">
        <f>IF(L176="NO","NO",INDEX('Skip Docs'!$G$2:$G$7,MATCH(1,INDEX(('Skip Docs'!$A$2:$A$7=F176)*('Skip Docs'!$C$2:$C$7=E176),0),0)))</f>
        <v/>
      </c>
      <c r="N176" s="37">
        <f>IF(K176&lt;=E176,"ON/BEFORE","LATE")</f>
        <v/>
      </c>
      <c r="O176" s="37">
        <f>IF(COUNTIFS(Offers!$A$2:$A$1487,D176,Offers!$C$2:$C$1487,F176,Offers!$B$2:$B$1487,E176,Offers!$E$2:$E$1487,H176,Offers!$I$2:$I$1487,"SKIPPED")=1,"YES","NO")</f>
        <v/>
      </c>
      <c r="P176" s="37">
        <f>IF(L176="NO","N/A",IF(COUNTIFS('Skip Docs'!$A$2:$A$7,F176,'Skip Docs'!$C$2:$C$7,E176,'Skip Docs'!$D$2:$D$7,H176,'Skip Docs'!$E$2:$E$7,J176)=1,"YES","NO"))</f>
        <v/>
      </c>
      <c r="Q176" s="37" t="inlineStr">
        <is>
          <t>Y</t>
        </is>
      </c>
      <c r="R176" s="37" t="inlineStr">
        <is>
          <t>SUSTAINED</t>
        </is>
      </c>
      <c r="S176" s="37">
        <f>IF(B176="YES","Verified contemporaneous proof",IF(L176="NO","No justification PDF supplied",IF(M176="NO","PDF is cover-only",IF(P176="NO","PDF content does not match logged slip/reason",IF(O176="NO","Offer event does not reconcile","Assembled after skip date")))))</f>
        <v/>
      </c>
    </row>
    <row r="177">
      <c r="A177" s="37">
        <f>IF(M177="NO","Priority 1",IF(N177="LATE","Priority 2",IF(B177="YES","OK","Priority 1")))</f>
        <v/>
      </c>
      <c r="B177" s="37">
        <f>IF(AND(L177="YES",M177="YES",N177="ON/BEFORE",O177="YES",P177="YES"),"YES","NO")</f>
        <v/>
      </c>
      <c r="C177" s="37" t="inlineStr">
        <is>
          <t>SKP-2025-0267</t>
        </is>
      </c>
      <c r="D177" s="37" t="inlineStr">
        <is>
          <t>OFR-2025-1010</t>
        </is>
      </c>
      <c r="E177" s="38" t="n">
        <v>45717</v>
      </c>
      <c r="F177" s="37" t="inlineStr">
        <is>
          <t>WL-03815</t>
        </is>
      </c>
      <c r="G177" s="37">
        <f>IFERROR(INDEX(Applicants!$C$2:$C$2911,MATCH(F177,Applicants!$A$2:$A$2911,0))&amp;" "&amp;INDEX(Applicants!$B$2:$B$2911,MATCH(F177,Applicants!$A$2:$A$2911,0)),"")</f>
        <v/>
      </c>
      <c r="H177" s="37" t="inlineStr">
        <is>
          <t>LP-0324</t>
        </is>
      </c>
      <c r="I177" s="37" t="inlineStr">
        <is>
          <t>Ledgport</t>
        </is>
      </c>
      <c r="J177" s="37" t="inlineStr">
        <is>
          <t>preference-mismatch</t>
        </is>
      </c>
      <c r="K177" s="38" t="n">
        <v>45722</v>
      </c>
      <c r="L177" s="37">
        <f>IF(COUNTIFS('Skip Docs'!$A$2:$A$7,F177,'Skip Docs'!$C$2:$C$7,E177)&gt;0,"YES","NO")</f>
        <v/>
      </c>
      <c r="M177" s="37">
        <f>IF(L177="NO","NO",INDEX('Skip Docs'!$G$2:$G$7,MATCH(1,INDEX(('Skip Docs'!$A$2:$A$7=F177)*('Skip Docs'!$C$2:$C$7=E177),0),0)))</f>
        <v/>
      </c>
      <c r="N177" s="37">
        <f>IF(K177&lt;=E177,"ON/BEFORE","LATE")</f>
        <v/>
      </c>
      <c r="O177" s="37">
        <f>IF(COUNTIFS(Offers!$A$2:$A$1487,D177,Offers!$C$2:$C$1487,F177,Offers!$B$2:$B$1487,E177,Offers!$E$2:$E$1487,H177,Offers!$I$2:$I$1487,"SKIPPED")=1,"YES","NO")</f>
        <v/>
      </c>
      <c r="P177" s="37">
        <f>IF(L177="NO","N/A",IF(COUNTIFS('Skip Docs'!$A$2:$A$7,F177,'Skip Docs'!$C$2:$C$7,E177,'Skip Docs'!$D$2:$D$7,H177,'Skip Docs'!$E$2:$E$7,J177)=1,"YES","NO"))</f>
        <v/>
      </c>
      <c r="Q177" s="37" t="inlineStr">
        <is>
          <t>Y</t>
        </is>
      </c>
      <c r="R177" s="37" t="inlineStr">
        <is>
          <t>SUSTAINED</t>
        </is>
      </c>
      <c r="S177" s="37">
        <f>IF(B177="YES","Verified contemporaneous proof",IF(L177="NO","No justification PDF supplied",IF(M177="NO","PDF is cover-only",IF(P177="NO","PDF content does not match logged slip/reason",IF(O177="NO","Offer event does not reconcile","Assembled after skip date")))))</f>
        <v/>
      </c>
    </row>
    <row r="178">
      <c r="A178" s="37">
        <f>IF(M178="NO","Priority 1",IF(N178="LATE","Priority 2",IF(B178="YES","OK","Priority 1")))</f>
        <v/>
      </c>
      <c r="B178" s="37">
        <f>IF(AND(L178="YES",M178="YES",N178="ON/BEFORE",O178="YES",P178="YES"),"YES","NO")</f>
        <v/>
      </c>
      <c r="C178" s="37" t="inlineStr">
        <is>
          <t>SKP-2025-0268</t>
        </is>
      </c>
      <c r="D178" s="37" t="inlineStr">
        <is>
          <t>OFR-2025-1012</t>
        </is>
      </c>
      <c r="E178" s="38" t="n">
        <v>45763</v>
      </c>
      <c r="F178" s="37" t="inlineStr">
        <is>
          <t>WL-01578</t>
        </is>
      </c>
      <c r="G178" s="37">
        <f>IFERROR(INDEX(Applicants!$C$2:$C$2911,MATCH(F178,Applicants!$A$2:$A$2911,0))&amp;" "&amp;INDEX(Applicants!$B$2:$B$2911,MATCH(F178,Applicants!$A$2:$A$2911,0)),"")</f>
        <v/>
      </c>
      <c r="H178" s="37" t="inlineStr">
        <is>
          <t>LP-1108</t>
        </is>
      </c>
      <c r="I178" s="37" t="inlineStr">
        <is>
          <t>Ledgport</t>
        </is>
      </c>
      <c r="J178" s="37" t="inlineStr">
        <is>
          <t>not-current</t>
        </is>
      </c>
      <c r="K178" s="38" t="n">
        <v>45768</v>
      </c>
      <c r="L178" s="37">
        <f>IF(COUNTIFS('Skip Docs'!$A$2:$A$7,F178,'Skip Docs'!$C$2:$C$7,E178)&gt;0,"YES","NO")</f>
        <v/>
      </c>
      <c r="M178" s="37">
        <f>IF(L178="NO","NO",INDEX('Skip Docs'!$G$2:$G$7,MATCH(1,INDEX(('Skip Docs'!$A$2:$A$7=F178)*('Skip Docs'!$C$2:$C$7=E178),0),0)))</f>
        <v/>
      </c>
      <c r="N178" s="37">
        <f>IF(K178&lt;=E178,"ON/BEFORE","LATE")</f>
        <v/>
      </c>
      <c r="O178" s="37">
        <f>IF(COUNTIFS(Offers!$A$2:$A$1487,D178,Offers!$C$2:$C$1487,F178,Offers!$B$2:$B$1487,E178,Offers!$E$2:$E$1487,H178,Offers!$I$2:$I$1487,"SKIPPED")=1,"YES","NO")</f>
        <v/>
      </c>
      <c r="P178" s="37">
        <f>IF(L178="NO","N/A",IF(COUNTIFS('Skip Docs'!$A$2:$A$7,F178,'Skip Docs'!$C$2:$C$7,E178,'Skip Docs'!$D$2:$D$7,H178,'Skip Docs'!$E$2:$E$7,J178)=1,"YES","NO"))</f>
        <v/>
      </c>
      <c r="Q178" s="37" t="inlineStr">
        <is>
          <t>Y</t>
        </is>
      </c>
      <c r="R178" s="37" t="inlineStr">
        <is>
          <t>SUSTAINED</t>
        </is>
      </c>
      <c r="S178" s="37">
        <f>IF(B178="YES","Verified contemporaneous proof",IF(L178="NO","No justification PDF supplied",IF(M178="NO","PDF is cover-only",IF(P178="NO","PDF content does not match logged slip/reason",IF(O178="NO","Offer event does not reconcile","Assembled after skip date")))))</f>
        <v/>
      </c>
    </row>
    <row r="179">
      <c r="A179" s="37">
        <f>IF(M179="NO","Priority 1",IF(N179="LATE","Priority 2",IF(B179="YES","OK","Priority 1")))</f>
        <v/>
      </c>
      <c r="B179" s="37">
        <f>IF(AND(L179="YES",M179="YES",N179="ON/BEFORE",O179="YES",P179="YES"),"YES","NO")</f>
        <v/>
      </c>
      <c r="C179" s="37" t="inlineStr">
        <is>
          <t>SKP-2025-0269</t>
        </is>
      </c>
      <c r="D179" s="37" t="inlineStr">
        <is>
          <t>OFR-2025-1018</t>
        </is>
      </c>
      <c r="E179" s="38" t="n">
        <v>45749</v>
      </c>
      <c r="F179" s="37" t="inlineStr">
        <is>
          <t>WL-02178</t>
        </is>
      </c>
      <c r="G179" s="37">
        <f>IFERROR(INDEX(Applicants!$C$2:$C$2911,MATCH(F179,Applicants!$A$2:$A$2911,0))&amp;" "&amp;INDEX(Applicants!$B$2:$B$2911,MATCH(F179,Applicants!$A$2:$A$2911,0)),"")</f>
        <v/>
      </c>
      <c r="H179" s="37" t="inlineStr">
        <is>
          <t>GW-0201</t>
        </is>
      </c>
      <c r="I179" s="37" t="inlineStr">
        <is>
          <t>Gullwing</t>
        </is>
      </c>
      <c r="J179" s="37" t="inlineStr">
        <is>
          <t>vessel-fit</t>
        </is>
      </c>
      <c r="K179" s="38" t="n">
        <v>45751</v>
      </c>
      <c r="L179" s="37">
        <f>IF(COUNTIFS('Skip Docs'!$A$2:$A$7,F179,'Skip Docs'!$C$2:$C$7,E179)&gt;0,"YES","NO")</f>
        <v/>
      </c>
      <c r="M179" s="37">
        <f>IF(L179="NO","NO",INDEX('Skip Docs'!$G$2:$G$7,MATCH(1,INDEX(('Skip Docs'!$A$2:$A$7=F179)*('Skip Docs'!$C$2:$C$7=E179),0),0)))</f>
        <v/>
      </c>
      <c r="N179" s="37">
        <f>IF(K179&lt;=E179,"ON/BEFORE","LATE")</f>
        <v/>
      </c>
      <c r="O179" s="37">
        <f>IF(COUNTIFS(Offers!$A$2:$A$1487,D179,Offers!$C$2:$C$1487,F179,Offers!$B$2:$B$1487,E179,Offers!$E$2:$E$1487,H179,Offers!$I$2:$I$1487,"SKIPPED")=1,"YES","NO")</f>
        <v/>
      </c>
      <c r="P179" s="37">
        <f>IF(L179="NO","N/A",IF(COUNTIFS('Skip Docs'!$A$2:$A$7,F179,'Skip Docs'!$C$2:$C$7,E179,'Skip Docs'!$D$2:$D$7,H179,'Skip Docs'!$E$2:$E$7,J179)=1,"YES","NO"))</f>
        <v/>
      </c>
      <c r="Q179" s="37" t="inlineStr">
        <is>
          <t>Y</t>
        </is>
      </c>
      <c r="R179" s="37" t="inlineStr">
        <is>
          <t>SUSTAINED</t>
        </is>
      </c>
      <c r="S179" s="37">
        <f>IF(B179="YES","Verified contemporaneous proof",IF(L179="NO","No justification PDF supplied",IF(M179="NO","PDF is cover-only",IF(P179="NO","PDF content does not match logged slip/reason",IF(O179="NO","Offer event does not reconcile","Assembled after skip date")))))</f>
        <v/>
      </c>
    </row>
    <row r="180">
      <c r="A180" s="37">
        <f>IF(M180="NO","Priority 1",IF(N180="LATE","Priority 2",IF(B180="YES","OK","Priority 1")))</f>
        <v/>
      </c>
      <c r="B180" s="37">
        <f>IF(AND(L180="YES",M180="YES",N180="ON/BEFORE",O180="YES",P180="YES"),"YES","NO")</f>
        <v/>
      </c>
      <c r="C180" s="37" t="inlineStr">
        <is>
          <t>SKP-2025-0270</t>
        </is>
      </c>
      <c r="D180" s="37" t="inlineStr">
        <is>
          <t>OFR-2025-1023</t>
        </is>
      </c>
      <c r="E180" s="38" t="n">
        <v>45756</v>
      </c>
      <c r="F180" s="37" t="inlineStr">
        <is>
          <t>WL-02653</t>
        </is>
      </c>
      <c r="G180" s="37">
        <f>IFERROR(INDEX(Applicants!$C$2:$C$2911,MATCH(F180,Applicants!$A$2:$A$2911,0))&amp;" "&amp;INDEX(Applicants!$B$2:$B$2911,MATCH(F180,Applicants!$A$2:$A$2911,0)),"")</f>
        <v/>
      </c>
      <c r="H180" s="37" t="inlineStr">
        <is>
          <t>GW-0615</t>
        </is>
      </c>
      <c r="I180" s="37" t="inlineStr">
        <is>
          <t>Gullwing</t>
        </is>
      </c>
      <c r="J180" s="37" t="inlineStr">
        <is>
          <t>not-current</t>
        </is>
      </c>
      <c r="K180" s="38" t="n">
        <v>45757</v>
      </c>
      <c r="L180" s="37">
        <f>IF(COUNTIFS('Skip Docs'!$A$2:$A$7,F180,'Skip Docs'!$C$2:$C$7,E180)&gt;0,"YES","NO")</f>
        <v/>
      </c>
      <c r="M180" s="37">
        <f>IF(L180="NO","NO",INDEX('Skip Docs'!$G$2:$G$7,MATCH(1,INDEX(('Skip Docs'!$A$2:$A$7=F180)*('Skip Docs'!$C$2:$C$7=E180),0),0)))</f>
        <v/>
      </c>
      <c r="N180" s="37">
        <f>IF(K180&lt;=E180,"ON/BEFORE","LATE")</f>
        <v/>
      </c>
      <c r="O180" s="37">
        <f>IF(COUNTIFS(Offers!$A$2:$A$1487,D180,Offers!$C$2:$C$1487,F180,Offers!$B$2:$B$1487,E180,Offers!$E$2:$E$1487,H180,Offers!$I$2:$I$1487,"SKIPPED")=1,"YES","NO")</f>
        <v/>
      </c>
      <c r="P180" s="37">
        <f>IF(L180="NO","N/A",IF(COUNTIFS('Skip Docs'!$A$2:$A$7,F180,'Skip Docs'!$C$2:$C$7,E180,'Skip Docs'!$D$2:$D$7,H180,'Skip Docs'!$E$2:$E$7,J180)=1,"YES","NO"))</f>
        <v/>
      </c>
      <c r="Q180" s="37" t="inlineStr">
        <is>
          <t>Y</t>
        </is>
      </c>
      <c r="R180" s="37" t="inlineStr">
        <is>
          <t>SUSTAINED</t>
        </is>
      </c>
      <c r="S180" s="37">
        <f>IF(B180="YES","Verified contemporaneous proof",IF(L180="NO","No justification PDF supplied",IF(M180="NO","PDF is cover-only",IF(P180="NO","PDF content does not match logged slip/reason",IF(O180="NO","Offer event does not reconcile","Assembled after skip date")))))</f>
        <v/>
      </c>
    </row>
    <row r="181">
      <c r="A181" s="37">
        <f>IF(M181="NO","Priority 1",IF(N181="LATE","Priority 2",IF(B181="YES","OK","Priority 1")))</f>
        <v/>
      </c>
      <c r="B181" s="37">
        <f>IF(AND(L181="YES",M181="YES",N181="ON/BEFORE",O181="YES",P181="YES"),"YES","NO")</f>
        <v/>
      </c>
      <c r="C181" s="37" t="inlineStr">
        <is>
          <t>SKP-2025-0271</t>
        </is>
      </c>
      <c r="D181" s="37" t="inlineStr">
        <is>
          <t>OFR-2025-1028</t>
        </is>
      </c>
      <c r="E181" s="38" t="n">
        <v>45754</v>
      </c>
      <c r="F181" s="37" t="inlineStr">
        <is>
          <t>WL-01808</t>
        </is>
      </c>
      <c r="G181" s="37">
        <f>IFERROR(INDEX(Applicants!$C$2:$C$2911,MATCH(F181,Applicants!$A$2:$A$2911,0))&amp;" "&amp;INDEX(Applicants!$B$2:$B$2911,MATCH(F181,Applicants!$A$2:$A$2911,0)),"")</f>
        <v/>
      </c>
      <c r="H181" s="37" t="inlineStr">
        <is>
          <t>LP-0316</t>
        </is>
      </c>
      <c r="I181" s="37" t="inlineStr">
        <is>
          <t>Ledgport</t>
        </is>
      </c>
      <c r="J181" s="37" t="inlineStr">
        <is>
          <t>not-current</t>
        </is>
      </c>
      <c r="K181" s="38" t="n">
        <v>45758</v>
      </c>
      <c r="L181" s="37">
        <f>IF(COUNTIFS('Skip Docs'!$A$2:$A$7,F181,'Skip Docs'!$C$2:$C$7,E181)&gt;0,"YES","NO")</f>
        <v/>
      </c>
      <c r="M181" s="37">
        <f>IF(L181="NO","NO",INDEX('Skip Docs'!$G$2:$G$7,MATCH(1,INDEX(('Skip Docs'!$A$2:$A$7=F181)*('Skip Docs'!$C$2:$C$7=E181),0),0)))</f>
        <v/>
      </c>
      <c r="N181" s="37">
        <f>IF(K181&lt;=E181,"ON/BEFORE","LATE")</f>
        <v/>
      </c>
      <c r="O181" s="37">
        <f>IF(COUNTIFS(Offers!$A$2:$A$1487,D181,Offers!$C$2:$C$1487,F181,Offers!$B$2:$B$1487,E181,Offers!$E$2:$E$1487,H181,Offers!$I$2:$I$1487,"SKIPPED")=1,"YES","NO")</f>
        <v/>
      </c>
      <c r="P181" s="37">
        <f>IF(L181="NO","N/A",IF(COUNTIFS('Skip Docs'!$A$2:$A$7,F181,'Skip Docs'!$C$2:$C$7,E181,'Skip Docs'!$D$2:$D$7,H181,'Skip Docs'!$E$2:$E$7,J181)=1,"YES","NO"))</f>
        <v/>
      </c>
      <c r="Q181" s="37" t="inlineStr">
        <is>
          <t>Y</t>
        </is>
      </c>
      <c r="R181" s="37" t="inlineStr">
        <is>
          <t>SUSTAINED</t>
        </is>
      </c>
      <c r="S181" s="37">
        <f>IF(B181="YES","Verified contemporaneous proof",IF(L181="NO","No justification PDF supplied",IF(M181="NO","PDF is cover-only",IF(P181="NO","PDF content does not match logged slip/reason",IF(O181="NO","Offer event does not reconcile","Assembled after skip date")))))</f>
        <v/>
      </c>
    </row>
    <row r="182">
      <c r="A182" s="37">
        <f>IF(M182="NO","Priority 1",IF(N182="LATE","Priority 2",IF(B182="YES","OK","Priority 1")))</f>
        <v/>
      </c>
      <c r="B182" s="37">
        <f>IF(AND(L182="YES",M182="YES",N182="ON/BEFORE",O182="YES",P182="YES"),"YES","NO")</f>
        <v/>
      </c>
      <c r="C182" s="37" t="inlineStr">
        <is>
          <t>SKP-2025-0272</t>
        </is>
      </c>
      <c r="D182" s="37" t="inlineStr">
        <is>
          <t>OFR-2025-1029</t>
        </is>
      </c>
      <c r="E182" s="38" t="n">
        <v>45769</v>
      </c>
      <c r="F182" s="37" t="inlineStr">
        <is>
          <t>WL-02693</t>
        </is>
      </c>
      <c r="G182" s="37">
        <f>IFERROR(INDEX(Applicants!$C$2:$C$2911,MATCH(F182,Applicants!$A$2:$A$2911,0))&amp;" "&amp;INDEX(Applicants!$B$2:$B$2911,MATCH(F182,Applicants!$A$2:$A$2911,0)),"")</f>
        <v/>
      </c>
      <c r="H182" s="37" t="inlineStr">
        <is>
          <t>VB-0906</t>
        </is>
      </c>
      <c r="I182" s="37" t="inlineStr">
        <is>
          <t>Vessbank</t>
        </is>
      </c>
      <c r="J182" s="37" t="inlineStr">
        <is>
          <t>preference-mismatch</t>
        </is>
      </c>
      <c r="K182" s="38" t="n">
        <v>45771</v>
      </c>
      <c r="L182" s="37">
        <f>IF(COUNTIFS('Skip Docs'!$A$2:$A$7,F182,'Skip Docs'!$C$2:$C$7,E182)&gt;0,"YES","NO")</f>
        <v/>
      </c>
      <c r="M182" s="37">
        <f>IF(L182="NO","NO",INDEX('Skip Docs'!$G$2:$G$7,MATCH(1,INDEX(('Skip Docs'!$A$2:$A$7=F182)*('Skip Docs'!$C$2:$C$7=E182),0),0)))</f>
        <v/>
      </c>
      <c r="N182" s="37">
        <f>IF(K182&lt;=E182,"ON/BEFORE","LATE")</f>
        <v/>
      </c>
      <c r="O182" s="37">
        <f>IF(COUNTIFS(Offers!$A$2:$A$1487,D182,Offers!$C$2:$C$1487,F182,Offers!$B$2:$B$1487,E182,Offers!$E$2:$E$1487,H182,Offers!$I$2:$I$1487,"SKIPPED")=1,"YES","NO")</f>
        <v/>
      </c>
      <c r="P182" s="37">
        <f>IF(L182="NO","N/A",IF(COUNTIFS('Skip Docs'!$A$2:$A$7,F182,'Skip Docs'!$C$2:$C$7,E182,'Skip Docs'!$D$2:$D$7,H182,'Skip Docs'!$E$2:$E$7,J182)=1,"YES","NO"))</f>
        <v/>
      </c>
      <c r="Q182" s="37" t="inlineStr">
        <is>
          <t>Y</t>
        </is>
      </c>
      <c r="R182" s="37" t="inlineStr">
        <is>
          <t>SUSTAINED</t>
        </is>
      </c>
      <c r="S182" s="37">
        <f>IF(B182="YES","Verified contemporaneous proof",IF(L182="NO","No justification PDF supplied",IF(M182="NO","PDF is cover-only",IF(P182="NO","PDF content does not match logged slip/reason",IF(O182="NO","Offer event does not reconcile","Assembled after skip date")))))</f>
        <v/>
      </c>
    </row>
    <row r="183">
      <c r="A183" s="37">
        <f>IF(M183="NO","Priority 1",IF(N183="LATE","Priority 2",IF(B183="YES","OK","Priority 1")))</f>
        <v/>
      </c>
      <c r="B183" s="37">
        <f>IF(AND(L183="YES",M183="YES",N183="ON/BEFORE",O183="YES",P183="YES"),"YES","NO")</f>
        <v/>
      </c>
      <c r="C183" s="37" t="inlineStr">
        <is>
          <t>SKP-2025-0273</t>
        </is>
      </c>
      <c r="D183" s="37" t="inlineStr">
        <is>
          <t>OFR-2025-1030</t>
        </is>
      </c>
      <c r="E183" s="38" t="n">
        <v>45774</v>
      </c>
      <c r="F183" s="37" t="inlineStr">
        <is>
          <t>WL-01328</t>
        </is>
      </c>
      <c r="G183" s="37">
        <f>IFERROR(INDEX(Applicants!$C$2:$C$2911,MATCH(F183,Applicants!$A$2:$A$2911,0))&amp;" "&amp;INDEX(Applicants!$B$2:$B$2911,MATCH(F183,Applicants!$A$2:$A$2911,0)),"")</f>
        <v/>
      </c>
      <c r="H183" s="37" t="inlineStr">
        <is>
          <t>SB-0704</t>
        </is>
      </c>
      <c r="I183" s="37" t="inlineStr">
        <is>
          <t>Salmonberry</t>
        </is>
      </c>
      <c r="J183" s="37" t="inlineStr">
        <is>
          <t>vessel-fit</t>
        </is>
      </c>
      <c r="K183" s="38" t="n">
        <v>45779</v>
      </c>
      <c r="L183" s="37">
        <f>IF(COUNTIFS('Skip Docs'!$A$2:$A$7,F183,'Skip Docs'!$C$2:$C$7,E183)&gt;0,"YES","NO")</f>
        <v/>
      </c>
      <c r="M183" s="37">
        <f>IF(L183="NO","NO",INDEX('Skip Docs'!$G$2:$G$7,MATCH(1,INDEX(('Skip Docs'!$A$2:$A$7=F183)*('Skip Docs'!$C$2:$C$7=E183),0),0)))</f>
        <v/>
      </c>
      <c r="N183" s="37">
        <f>IF(K183&lt;=E183,"ON/BEFORE","LATE")</f>
        <v/>
      </c>
      <c r="O183" s="37">
        <f>IF(COUNTIFS(Offers!$A$2:$A$1487,D183,Offers!$C$2:$C$1487,F183,Offers!$B$2:$B$1487,E183,Offers!$E$2:$E$1487,H183,Offers!$I$2:$I$1487,"SKIPPED")=1,"YES","NO")</f>
        <v/>
      </c>
      <c r="P183" s="37">
        <f>IF(L183="NO","N/A",IF(COUNTIFS('Skip Docs'!$A$2:$A$7,F183,'Skip Docs'!$C$2:$C$7,E183,'Skip Docs'!$D$2:$D$7,H183,'Skip Docs'!$E$2:$E$7,J183)=1,"YES","NO"))</f>
        <v/>
      </c>
      <c r="Q183" s="37" t="inlineStr">
        <is>
          <t>Y</t>
        </is>
      </c>
      <c r="R183" s="37" t="inlineStr">
        <is>
          <t>SUSTAINED</t>
        </is>
      </c>
      <c r="S183" s="37">
        <f>IF(B183="YES","Verified contemporaneous proof",IF(L183="NO","No justification PDF supplied",IF(M183="NO","PDF is cover-only",IF(P183="NO","PDF content does not match logged slip/reason",IF(O183="NO","Offer event does not reconcile","Assembled after skip date")))))</f>
        <v/>
      </c>
    </row>
    <row r="184">
      <c r="A184" s="37">
        <f>IF(M184="NO","Priority 1",IF(N184="LATE","Priority 2",IF(B184="YES","OK","Priority 1")))</f>
        <v/>
      </c>
      <c r="B184" s="37">
        <f>IF(AND(L184="YES",M184="YES",N184="ON/BEFORE",O184="YES",P184="YES"),"YES","NO")</f>
        <v/>
      </c>
      <c r="C184" s="37" t="inlineStr">
        <is>
          <t>SKP-2025-0274</t>
        </is>
      </c>
      <c r="D184" s="37" t="inlineStr">
        <is>
          <t>OFR-2025-1032</t>
        </is>
      </c>
      <c r="E184" s="38" t="n">
        <v>45756</v>
      </c>
      <c r="F184" s="37" t="inlineStr">
        <is>
          <t>WL-02188</t>
        </is>
      </c>
      <c r="G184" s="37">
        <f>IFERROR(INDEX(Applicants!$C$2:$C$2911,MATCH(F184,Applicants!$A$2:$A$2911,0))&amp;" "&amp;INDEX(Applicants!$B$2:$B$2911,MATCH(F184,Applicants!$A$2:$A$2911,0)),"")</f>
        <v/>
      </c>
      <c r="H184" s="37" t="inlineStr">
        <is>
          <t>LP-0817</t>
        </is>
      </c>
      <c r="I184" s="37" t="inlineStr">
        <is>
          <t>Ledgport</t>
        </is>
      </c>
      <c r="J184" s="37" t="inlineStr">
        <is>
          <t>vessel-fit</t>
        </is>
      </c>
      <c r="K184" s="38" t="n">
        <v>45757</v>
      </c>
      <c r="L184" s="37">
        <f>IF(COUNTIFS('Skip Docs'!$A$2:$A$7,F184,'Skip Docs'!$C$2:$C$7,E184)&gt;0,"YES","NO")</f>
        <v/>
      </c>
      <c r="M184" s="37">
        <f>IF(L184="NO","NO",INDEX('Skip Docs'!$G$2:$G$7,MATCH(1,INDEX(('Skip Docs'!$A$2:$A$7=F184)*('Skip Docs'!$C$2:$C$7=E184),0),0)))</f>
        <v/>
      </c>
      <c r="N184" s="37">
        <f>IF(K184&lt;=E184,"ON/BEFORE","LATE")</f>
        <v/>
      </c>
      <c r="O184" s="37">
        <f>IF(COUNTIFS(Offers!$A$2:$A$1487,D184,Offers!$C$2:$C$1487,F184,Offers!$B$2:$B$1487,E184,Offers!$E$2:$E$1487,H184,Offers!$I$2:$I$1487,"SKIPPED")=1,"YES","NO")</f>
        <v/>
      </c>
      <c r="P184" s="37">
        <f>IF(L184="NO","N/A",IF(COUNTIFS('Skip Docs'!$A$2:$A$7,F184,'Skip Docs'!$C$2:$C$7,E184,'Skip Docs'!$D$2:$D$7,H184,'Skip Docs'!$E$2:$E$7,J184)=1,"YES","NO"))</f>
        <v/>
      </c>
      <c r="Q184" s="37" t="inlineStr">
        <is>
          <t>Y</t>
        </is>
      </c>
      <c r="R184" s="37" t="inlineStr">
        <is>
          <t>SUSTAINED</t>
        </is>
      </c>
      <c r="S184" s="37">
        <f>IF(B184="YES","Verified contemporaneous proof",IF(L184="NO","No justification PDF supplied",IF(M184="NO","PDF is cover-only",IF(P184="NO","PDF content does not match logged slip/reason",IF(O184="NO","Offer event does not reconcile","Assembled after skip date")))))</f>
        <v/>
      </c>
    </row>
    <row r="185">
      <c r="A185" s="37">
        <f>IF(M185="NO","Priority 1",IF(N185="LATE","Priority 2",IF(B185="YES","OK","Priority 1")))</f>
        <v/>
      </c>
      <c r="B185" s="37">
        <f>IF(AND(L185="YES",M185="YES",N185="ON/BEFORE",O185="YES",P185="YES"),"YES","NO")</f>
        <v/>
      </c>
      <c r="C185" s="37" t="inlineStr">
        <is>
          <t>SKP-2025-0275</t>
        </is>
      </c>
      <c r="D185" s="37" t="inlineStr">
        <is>
          <t>OFR-2025-1037</t>
        </is>
      </c>
      <c r="E185" s="38" t="n">
        <v>45752</v>
      </c>
      <c r="F185" s="37" t="inlineStr">
        <is>
          <t>WL-02524</t>
        </is>
      </c>
      <c r="G185" s="37">
        <f>IFERROR(INDEX(Applicants!$C$2:$C$2911,MATCH(F185,Applicants!$A$2:$A$2911,0))&amp;" "&amp;INDEX(Applicants!$B$2:$B$2911,MATCH(F185,Applicants!$A$2:$A$2911,0)),"")</f>
        <v/>
      </c>
      <c r="H185" s="37" t="inlineStr">
        <is>
          <t>SB-0102</t>
        </is>
      </c>
      <c r="I185" s="37" t="inlineStr">
        <is>
          <t>Salmonberry</t>
        </is>
      </c>
      <c r="J185" s="37" t="inlineStr">
        <is>
          <t>vessel-fit</t>
        </is>
      </c>
      <c r="K185" s="38" t="n">
        <v>45754</v>
      </c>
      <c r="L185" s="37">
        <f>IF(COUNTIFS('Skip Docs'!$A$2:$A$7,F185,'Skip Docs'!$C$2:$C$7,E185)&gt;0,"YES","NO")</f>
        <v/>
      </c>
      <c r="M185" s="37">
        <f>IF(L185="NO","NO",INDEX('Skip Docs'!$G$2:$G$7,MATCH(1,INDEX(('Skip Docs'!$A$2:$A$7=F185)*('Skip Docs'!$C$2:$C$7=E185),0),0)))</f>
        <v/>
      </c>
      <c r="N185" s="37">
        <f>IF(K185&lt;=E185,"ON/BEFORE","LATE")</f>
        <v/>
      </c>
      <c r="O185" s="37">
        <f>IF(COUNTIFS(Offers!$A$2:$A$1487,D185,Offers!$C$2:$C$1487,F185,Offers!$B$2:$B$1487,E185,Offers!$E$2:$E$1487,H185,Offers!$I$2:$I$1487,"SKIPPED")=1,"YES","NO")</f>
        <v/>
      </c>
      <c r="P185" s="37">
        <f>IF(L185="NO","N/A",IF(COUNTIFS('Skip Docs'!$A$2:$A$7,F185,'Skip Docs'!$C$2:$C$7,E185,'Skip Docs'!$D$2:$D$7,H185,'Skip Docs'!$E$2:$E$7,J185)=1,"YES","NO"))</f>
        <v/>
      </c>
      <c r="Q185" s="37" t="inlineStr">
        <is>
          <t>Y</t>
        </is>
      </c>
      <c r="R185" s="37" t="inlineStr">
        <is>
          <t>SUSTAINED</t>
        </is>
      </c>
      <c r="S185" s="37">
        <f>IF(B185="YES","Verified contemporaneous proof",IF(L185="NO","No justification PDF supplied",IF(M185="NO","PDF is cover-only",IF(P185="NO","PDF content does not match logged slip/reason",IF(O185="NO","Offer event does not reconcile","Assembled after skip date")))))</f>
        <v/>
      </c>
    </row>
    <row r="186">
      <c r="A186" s="37">
        <f>IF(M186="NO","Priority 1",IF(N186="LATE","Priority 2",IF(B186="YES","OK","Priority 1")))</f>
        <v/>
      </c>
      <c r="B186" s="37">
        <f>IF(AND(L186="YES",M186="YES",N186="ON/BEFORE",O186="YES",P186="YES"),"YES","NO")</f>
        <v/>
      </c>
      <c r="C186" s="37" t="inlineStr">
        <is>
          <t>SKP-2025-0276</t>
        </is>
      </c>
      <c r="D186" s="37" t="inlineStr">
        <is>
          <t>OFR-2025-1039</t>
        </is>
      </c>
      <c r="E186" s="38" t="n">
        <v>45761</v>
      </c>
      <c r="F186" s="37" t="inlineStr">
        <is>
          <t>WL-02845</t>
        </is>
      </c>
      <c r="G186" s="37">
        <f>IFERROR(INDEX(Applicants!$C$2:$C$2911,MATCH(F186,Applicants!$A$2:$A$2911,0))&amp;" "&amp;INDEX(Applicants!$B$2:$B$2911,MATCH(F186,Applicants!$A$2:$A$2911,0)),"")</f>
        <v/>
      </c>
      <c r="H186" s="37" t="inlineStr">
        <is>
          <t>SB-0410</t>
        </is>
      </c>
      <c r="I186" s="37" t="inlineStr">
        <is>
          <t>Salmonberry</t>
        </is>
      </c>
      <c r="J186" s="37" t="inlineStr">
        <is>
          <t>declined-prior-offer</t>
        </is>
      </c>
      <c r="K186" s="38" t="n">
        <v>45764</v>
      </c>
      <c r="L186" s="37">
        <f>IF(COUNTIFS('Skip Docs'!$A$2:$A$7,F186,'Skip Docs'!$C$2:$C$7,E186)&gt;0,"YES","NO")</f>
        <v/>
      </c>
      <c r="M186" s="37">
        <f>IF(L186="NO","NO",INDEX('Skip Docs'!$G$2:$G$7,MATCH(1,INDEX(('Skip Docs'!$A$2:$A$7=F186)*('Skip Docs'!$C$2:$C$7=E186),0),0)))</f>
        <v/>
      </c>
      <c r="N186" s="37">
        <f>IF(K186&lt;=E186,"ON/BEFORE","LATE")</f>
        <v/>
      </c>
      <c r="O186" s="37">
        <f>IF(COUNTIFS(Offers!$A$2:$A$1487,D186,Offers!$C$2:$C$1487,F186,Offers!$B$2:$B$1487,E186,Offers!$E$2:$E$1487,H186,Offers!$I$2:$I$1487,"SKIPPED")=1,"YES","NO")</f>
        <v/>
      </c>
      <c r="P186" s="37">
        <f>IF(L186="NO","N/A",IF(COUNTIFS('Skip Docs'!$A$2:$A$7,F186,'Skip Docs'!$C$2:$C$7,E186,'Skip Docs'!$D$2:$D$7,H186,'Skip Docs'!$E$2:$E$7,J186)=1,"YES","NO"))</f>
        <v/>
      </c>
      <c r="Q186" s="37" t="inlineStr">
        <is>
          <t>Y</t>
        </is>
      </c>
      <c r="R186" s="37" t="inlineStr">
        <is>
          <t>SUSTAINED</t>
        </is>
      </c>
      <c r="S186" s="37">
        <f>IF(B186="YES","Verified contemporaneous proof",IF(L186="NO","No justification PDF supplied",IF(M186="NO","PDF is cover-only",IF(P186="NO","PDF content does not match logged slip/reason",IF(O186="NO","Offer event does not reconcile","Assembled after skip date")))))</f>
        <v/>
      </c>
    </row>
    <row r="187">
      <c r="A187" s="37">
        <f>IF(M187="NO","Priority 1",IF(N187="LATE","Priority 2",IF(B187="YES","OK","Priority 1")))</f>
        <v/>
      </c>
      <c r="B187" s="37">
        <f>IF(AND(L187="YES",M187="YES",N187="ON/BEFORE",O187="YES",P187="YES"),"YES","NO")</f>
        <v/>
      </c>
      <c r="C187" s="37" t="inlineStr">
        <is>
          <t>SKP-2025-0277</t>
        </is>
      </c>
      <c r="D187" s="37" t="inlineStr">
        <is>
          <t>OFR-2025-1042</t>
        </is>
      </c>
      <c r="E187" s="38" t="n">
        <v>45784</v>
      </c>
      <c r="F187" s="37" t="inlineStr">
        <is>
          <t>WL-03839</t>
        </is>
      </c>
      <c r="G187" s="37">
        <f>IFERROR(INDEX(Applicants!$C$2:$C$2911,MATCH(F187,Applicants!$A$2:$A$2911,0))&amp;" "&amp;INDEX(Applicants!$B$2:$B$2911,MATCH(F187,Applicants!$A$2:$A$2911,0)),"")</f>
        <v/>
      </c>
      <c r="H187" s="37" t="inlineStr">
        <is>
          <t>EW-0209</t>
        </is>
      </c>
      <c r="I187" s="37" t="inlineStr">
        <is>
          <t>Eastwey</t>
        </is>
      </c>
      <c r="J187" s="37" t="inlineStr">
        <is>
          <t>vessel-fit</t>
        </is>
      </c>
      <c r="K187" s="38" t="n">
        <v>45789</v>
      </c>
      <c r="L187" s="37">
        <f>IF(COUNTIFS('Skip Docs'!$A$2:$A$7,F187,'Skip Docs'!$C$2:$C$7,E187)&gt;0,"YES","NO")</f>
        <v/>
      </c>
      <c r="M187" s="37">
        <f>IF(L187="NO","NO",INDEX('Skip Docs'!$G$2:$G$7,MATCH(1,INDEX(('Skip Docs'!$A$2:$A$7=F187)*('Skip Docs'!$C$2:$C$7=E187),0),0)))</f>
        <v/>
      </c>
      <c r="N187" s="37">
        <f>IF(K187&lt;=E187,"ON/BEFORE","LATE")</f>
        <v/>
      </c>
      <c r="O187" s="37">
        <f>IF(COUNTIFS(Offers!$A$2:$A$1487,D187,Offers!$C$2:$C$1487,F187,Offers!$B$2:$B$1487,E187,Offers!$E$2:$E$1487,H187,Offers!$I$2:$I$1487,"SKIPPED")=1,"YES","NO")</f>
        <v/>
      </c>
      <c r="P187" s="37">
        <f>IF(L187="NO","N/A",IF(COUNTIFS('Skip Docs'!$A$2:$A$7,F187,'Skip Docs'!$C$2:$C$7,E187,'Skip Docs'!$D$2:$D$7,H187,'Skip Docs'!$E$2:$E$7,J187)=1,"YES","NO"))</f>
        <v/>
      </c>
      <c r="Q187" s="37" t="inlineStr">
        <is>
          <t>Y</t>
        </is>
      </c>
      <c r="R187" s="37" t="inlineStr">
        <is>
          <t>SUSTAINED</t>
        </is>
      </c>
      <c r="S187" s="37">
        <f>IF(B187="YES","Verified contemporaneous proof",IF(L187="NO","No justification PDF supplied",IF(M187="NO","PDF is cover-only",IF(P187="NO","PDF content does not match logged slip/reason",IF(O187="NO","Offer event does not reconcile","Assembled after skip date")))))</f>
        <v/>
      </c>
    </row>
    <row r="188">
      <c r="A188" s="37">
        <f>IF(M188="NO","Priority 1",IF(N188="LATE","Priority 2",IF(B188="YES","OK","Priority 1")))</f>
        <v/>
      </c>
      <c r="B188" s="37">
        <f>IF(AND(L188="YES",M188="YES",N188="ON/BEFORE",O188="YES",P188="YES"),"YES","NO")</f>
        <v/>
      </c>
      <c r="C188" s="37" t="inlineStr">
        <is>
          <t>SKP-2025-0278</t>
        </is>
      </c>
      <c r="D188" s="37" t="inlineStr">
        <is>
          <t>OFR-2025-1053</t>
        </is>
      </c>
      <c r="E188" s="38" t="n">
        <v>45794</v>
      </c>
      <c r="F188" s="37" t="inlineStr">
        <is>
          <t>WL-03094</t>
        </is>
      </c>
      <c r="G188" s="37">
        <f>IFERROR(INDEX(Applicants!$C$2:$C$2911,MATCH(F188,Applicants!$A$2:$A$2911,0))&amp;" "&amp;INDEX(Applicants!$B$2:$B$2911,MATCH(F188,Applicants!$A$2:$A$2911,0)),"")</f>
        <v/>
      </c>
      <c r="H188" s="37" t="inlineStr">
        <is>
          <t>LP-0316</t>
        </is>
      </c>
      <c r="I188" s="37" t="inlineStr">
        <is>
          <t>Ledgport</t>
        </is>
      </c>
      <c r="J188" s="37" t="inlineStr">
        <is>
          <t>vessel-fit</t>
        </is>
      </c>
      <c r="K188" s="38" t="n">
        <v>45799</v>
      </c>
      <c r="L188" s="37">
        <f>IF(COUNTIFS('Skip Docs'!$A$2:$A$7,F188,'Skip Docs'!$C$2:$C$7,E188)&gt;0,"YES","NO")</f>
        <v/>
      </c>
      <c r="M188" s="37">
        <f>IF(L188="NO","NO",INDEX('Skip Docs'!$G$2:$G$7,MATCH(1,INDEX(('Skip Docs'!$A$2:$A$7=F188)*('Skip Docs'!$C$2:$C$7=E188),0),0)))</f>
        <v/>
      </c>
      <c r="N188" s="37">
        <f>IF(K188&lt;=E188,"ON/BEFORE","LATE")</f>
        <v/>
      </c>
      <c r="O188" s="37">
        <f>IF(COUNTIFS(Offers!$A$2:$A$1487,D188,Offers!$C$2:$C$1487,F188,Offers!$B$2:$B$1487,E188,Offers!$E$2:$E$1487,H188,Offers!$I$2:$I$1487,"SKIPPED")=1,"YES","NO")</f>
        <v/>
      </c>
      <c r="P188" s="37">
        <f>IF(L188="NO","N/A",IF(COUNTIFS('Skip Docs'!$A$2:$A$7,F188,'Skip Docs'!$C$2:$C$7,E188,'Skip Docs'!$D$2:$D$7,H188,'Skip Docs'!$E$2:$E$7,J188)=1,"YES","NO"))</f>
        <v/>
      </c>
      <c r="Q188" s="37" t="inlineStr">
        <is>
          <t>Y</t>
        </is>
      </c>
      <c r="R188" s="37" t="inlineStr">
        <is>
          <t>SUSTAINED</t>
        </is>
      </c>
      <c r="S188" s="37">
        <f>IF(B188="YES","Verified contemporaneous proof",IF(L188="NO","No justification PDF supplied",IF(M188="NO","PDF is cover-only",IF(P188="NO","PDF content does not match logged slip/reason",IF(O188="NO","Offer event does not reconcile","Assembled after skip date")))))</f>
        <v/>
      </c>
    </row>
    <row r="189">
      <c r="A189" s="37">
        <f>IF(M189="NO","Priority 1",IF(N189="LATE","Priority 2",IF(B189="YES","OK","Priority 1")))</f>
        <v/>
      </c>
      <c r="B189" s="37">
        <f>IF(AND(L189="YES",M189="YES",N189="ON/BEFORE",O189="YES",P189="YES"),"YES","NO")</f>
        <v/>
      </c>
      <c r="C189" s="37" t="inlineStr">
        <is>
          <t>SKP-2025-0279</t>
        </is>
      </c>
      <c r="D189" s="37" t="inlineStr">
        <is>
          <t>OFR-2025-1054</t>
        </is>
      </c>
      <c r="E189" s="38" t="n">
        <v>45782</v>
      </c>
      <c r="F189" s="37" t="inlineStr">
        <is>
          <t>WL-03662</t>
        </is>
      </c>
      <c r="G189" s="37">
        <f>IFERROR(INDEX(Applicants!$C$2:$C$2911,MATCH(F189,Applicants!$A$2:$A$2911,0))&amp;" "&amp;INDEX(Applicants!$B$2:$B$2911,MATCH(F189,Applicants!$A$2:$A$2911,0)),"")</f>
        <v/>
      </c>
      <c r="H189" s="37" t="inlineStr">
        <is>
          <t>VB-0604</t>
        </is>
      </c>
      <c r="I189" s="37" t="inlineStr">
        <is>
          <t>Vessbank</t>
        </is>
      </c>
      <c r="J189" s="37" t="inlineStr">
        <is>
          <t>not-current</t>
        </is>
      </c>
      <c r="K189" s="38" t="n">
        <v>45784</v>
      </c>
      <c r="L189" s="37">
        <f>IF(COUNTIFS('Skip Docs'!$A$2:$A$7,F189,'Skip Docs'!$C$2:$C$7,E189)&gt;0,"YES","NO")</f>
        <v/>
      </c>
      <c r="M189" s="37">
        <f>IF(L189="NO","NO",INDEX('Skip Docs'!$G$2:$G$7,MATCH(1,INDEX(('Skip Docs'!$A$2:$A$7=F189)*('Skip Docs'!$C$2:$C$7=E189),0),0)))</f>
        <v/>
      </c>
      <c r="N189" s="37">
        <f>IF(K189&lt;=E189,"ON/BEFORE","LATE")</f>
        <v/>
      </c>
      <c r="O189" s="37">
        <f>IF(COUNTIFS(Offers!$A$2:$A$1487,D189,Offers!$C$2:$C$1487,F189,Offers!$B$2:$B$1487,E189,Offers!$E$2:$E$1487,H189,Offers!$I$2:$I$1487,"SKIPPED")=1,"YES","NO")</f>
        <v/>
      </c>
      <c r="P189" s="37">
        <f>IF(L189="NO","N/A",IF(COUNTIFS('Skip Docs'!$A$2:$A$7,F189,'Skip Docs'!$C$2:$C$7,E189,'Skip Docs'!$D$2:$D$7,H189,'Skip Docs'!$E$2:$E$7,J189)=1,"YES","NO"))</f>
        <v/>
      </c>
      <c r="Q189" s="37" t="inlineStr">
        <is>
          <t>Y</t>
        </is>
      </c>
      <c r="R189" s="37" t="inlineStr">
        <is>
          <t>SUSTAINED</t>
        </is>
      </c>
      <c r="S189" s="37">
        <f>IF(B189="YES","Verified contemporaneous proof",IF(L189="NO","No justification PDF supplied",IF(M189="NO","PDF is cover-only",IF(P189="NO","PDF content does not match logged slip/reason",IF(O189="NO","Offer event does not reconcile","Assembled after skip date")))))</f>
        <v/>
      </c>
    </row>
    <row r="190">
      <c r="A190" s="37">
        <f>IF(M190="NO","Priority 1",IF(N190="LATE","Priority 2",IF(B190="YES","OK","Priority 1")))</f>
        <v/>
      </c>
      <c r="B190" s="37">
        <f>IF(AND(L190="YES",M190="YES",N190="ON/BEFORE",O190="YES",P190="YES"),"YES","NO")</f>
        <v/>
      </c>
      <c r="C190" s="37" t="inlineStr">
        <is>
          <t>SKP-2025-0280</t>
        </is>
      </c>
      <c r="D190" s="37" t="inlineStr">
        <is>
          <t>OFR-2025-1059</t>
        </is>
      </c>
      <c r="E190" s="38" t="n">
        <v>45784</v>
      </c>
      <c r="F190" s="37" t="inlineStr">
        <is>
          <t>WL-01472</t>
        </is>
      </c>
      <c r="G190" s="37">
        <f>IFERROR(INDEX(Applicants!$C$2:$C$2911,MATCH(F190,Applicants!$A$2:$A$2911,0))&amp;" "&amp;INDEX(Applicants!$B$2:$B$2911,MATCH(F190,Applicants!$A$2:$A$2911,0)),"")</f>
        <v/>
      </c>
      <c r="H190" s="37" t="inlineStr">
        <is>
          <t>SB-0720</t>
        </is>
      </c>
      <c r="I190" s="37" t="inlineStr">
        <is>
          <t>Salmonberry</t>
        </is>
      </c>
      <c r="J190" s="37" t="inlineStr">
        <is>
          <t>preference-mismatch</t>
        </is>
      </c>
      <c r="K190" s="38" t="n">
        <v>45784</v>
      </c>
      <c r="L190" s="37">
        <f>IF(COUNTIFS('Skip Docs'!$A$2:$A$7,F190,'Skip Docs'!$C$2:$C$7,E190)&gt;0,"YES","NO")</f>
        <v/>
      </c>
      <c r="M190" s="37">
        <f>IF(L190="NO","NO",INDEX('Skip Docs'!$G$2:$G$7,MATCH(1,INDEX(('Skip Docs'!$A$2:$A$7=F190)*('Skip Docs'!$C$2:$C$7=E190),0),0)))</f>
        <v/>
      </c>
      <c r="N190" s="37">
        <f>IF(K190&lt;=E190,"ON/BEFORE","LATE")</f>
        <v/>
      </c>
      <c r="O190" s="37">
        <f>IF(COUNTIFS(Offers!$A$2:$A$1487,D190,Offers!$C$2:$C$1487,F190,Offers!$B$2:$B$1487,E190,Offers!$E$2:$E$1487,H190,Offers!$I$2:$I$1487,"SKIPPED")=1,"YES","NO")</f>
        <v/>
      </c>
      <c r="P190" s="37">
        <f>IF(L190="NO","N/A",IF(COUNTIFS('Skip Docs'!$A$2:$A$7,F190,'Skip Docs'!$C$2:$C$7,E190,'Skip Docs'!$D$2:$D$7,H190,'Skip Docs'!$E$2:$E$7,J190)=1,"YES","NO"))</f>
        <v/>
      </c>
      <c r="Q190" s="37" t="inlineStr">
        <is>
          <t>Y</t>
        </is>
      </c>
      <c r="R190" s="37" t="inlineStr">
        <is>
          <t>SUSTAINED</t>
        </is>
      </c>
      <c r="S190" s="37">
        <f>IF(B190="YES","Verified contemporaneous proof",IF(L190="NO","No justification PDF supplied",IF(M190="NO","PDF is cover-only",IF(P190="NO","PDF content does not match logged slip/reason",IF(O190="NO","Offer event does not reconcile","Assembled after skip date")))))</f>
        <v/>
      </c>
    </row>
    <row r="191">
      <c r="A191" s="37">
        <f>IF(M191="NO","Priority 1",IF(N191="LATE","Priority 2",IF(B191="YES","OK","Priority 1")))</f>
        <v/>
      </c>
      <c r="B191" s="37">
        <f>IF(AND(L191="YES",M191="YES",N191="ON/BEFORE",O191="YES",P191="YES"),"YES","NO")</f>
        <v/>
      </c>
      <c r="C191" s="37" t="inlineStr">
        <is>
          <t>SKP-2025-0281</t>
        </is>
      </c>
      <c r="D191" s="37" t="inlineStr">
        <is>
          <t>OFR-2025-1068</t>
        </is>
      </c>
      <c r="E191" s="38" t="n">
        <v>45787</v>
      </c>
      <c r="F191" s="37" t="inlineStr">
        <is>
          <t>WL-03360</t>
        </is>
      </c>
      <c r="G191" s="37">
        <f>IFERROR(INDEX(Applicants!$C$2:$C$2911,MATCH(F191,Applicants!$A$2:$A$2911,0))&amp;" "&amp;INDEX(Applicants!$B$2:$B$2911,MATCH(F191,Applicants!$A$2:$A$2911,0)),"")</f>
        <v/>
      </c>
      <c r="H191" s="37" t="inlineStr">
        <is>
          <t>EW-1003</t>
        </is>
      </c>
      <c r="I191" s="37" t="inlineStr">
        <is>
          <t>Eastwey</t>
        </is>
      </c>
      <c r="J191" s="37" t="inlineStr">
        <is>
          <t>not-current</t>
        </is>
      </c>
      <c r="K191" s="38" t="n">
        <v>45792</v>
      </c>
      <c r="L191" s="37">
        <f>IF(COUNTIFS('Skip Docs'!$A$2:$A$7,F191,'Skip Docs'!$C$2:$C$7,E191)&gt;0,"YES","NO")</f>
        <v/>
      </c>
      <c r="M191" s="37">
        <f>IF(L191="NO","NO",INDEX('Skip Docs'!$G$2:$G$7,MATCH(1,INDEX(('Skip Docs'!$A$2:$A$7=F191)*('Skip Docs'!$C$2:$C$7=E191),0),0)))</f>
        <v/>
      </c>
      <c r="N191" s="37">
        <f>IF(K191&lt;=E191,"ON/BEFORE","LATE")</f>
        <v/>
      </c>
      <c r="O191" s="37">
        <f>IF(COUNTIFS(Offers!$A$2:$A$1487,D191,Offers!$C$2:$C$1487,F191,Offers!$B$2:$B$1487,E191,Offers!$E$2:$E$1487,H191,Offers!$I$2:$I$1487,"SKIPPED")=1,"YES","NO")</f>
        <v/>
      </c>
      <c r="P191" s="37">
        <f>IF(L191="NO","N/A",IF(COUNTIFS('Skip Docs'!$A$2:$A$7,F191,'Skip Docs'!$C$2:$C$7,E191,'Skip Docs'!$D$2:$D$7,H191,'Skip Docs'!$E$2:$E$7,J191)=1,"YES","NO"))</f>
        <v/>
      </c>
      <c r="Q191" s="37" t="inlineStr">
        <is>
          <t>Y</t>
        </is>
      </c>
      <c r="R191" s="37" t="inlineStr">
        <is>
          <t>SUSTAINED</t>
        </is>
      </c>
      <c r="S191" s="37">
        <f>IF(B191="YES","Verified contemporaneous proof",IF(L191="NO","No justification PDF supplied",IF(M191="NO","PDF is cover-only",IF(P191="NO","PDF content does not match logged slip/reason",IF(O191="NO","Offer event does not reconcile","Assembled after skip date")))))</f>
        <v/>
      </c>
    </row>
    <row r="192">
      <c r="A192" s="37">
        <f>IF(M192="NO","Priority 1",IF(N192="LATE","Priority 2",IF(B192="YES","OK","Priority 1")))</f>
        <v/>
      </c>
      <c r="B192" s="37">
        <f>IF(AND(L192="YES",M192="YES",N192="ON/BEFORE",O192="YES",P192="YES"),"YES","NO")</f>
        <v/>
      </c>
      <c r="C192" s="37" t="inlineStr">
        <is>
          <t>SKP-2025-0282</t>
        </is>
      </c>
      <c r="D192" s="37" t="inlineStr">
        <is>
          <t>OFR-2025-1072</t>
        </is>
      </c>
      <c r="E192" s="38" t="n">
        <v>45826</v>
      </c>
      <c r="F192" s="37" t="inlineStr">
        <is>
          <t>WL-02747</t>
        </is>
      </c>
      <c r="G192" s="37">
        <f>IFERROR(INDEX(Applicants!$C$2:$C$2911,MATCH(F192,Applicants!$A$2:$A$2911,0))&amp;" "&amp;INDEX(Applicants!$B$2:$B$2911,MATCH(F192,Applicants!$A$2:$A$2911,0)),"")</f>
        <v/>
      </c>
      <c r="H192" s="37" t="inlineStr">
        <is>
          <t>GW-0401</t>
        </is>
      </c>
      <c r="I192" s="37" t="inlineStr">
        <is>
          <t>Gullwing</t>
        </is>
      </c>
      <c r="J192" s="37" t="inlineStr">
        <is>
          <t>preference-mismatch</t>
        </is>
      </c>
      <c r="K192" s="38" t="n">
        <v>45827</v>
      </c>
      <c r="L192" s="37">
        <f>IF(COUNTIFS('Skip Docs'!$A$2:$A$7,F192,'Skip Docs'!$C$2:$C$7,E192)&gt;0,"YES","NO")</f>
        <v/>
      </c>
      <c r="M192" s="37">
        <f>IF(L192="NO","NO",INDEX('Skip Docs'!$G$2:$G$7,MATCH(1,INDEX(('Skip Docs'!$A$2:$A$7=F192)*('Skip Docs'!$C$2:$C$7=E192),0),0)))</f>
        <v/>
      </c>
      <c r="N192" s="37">
        <f>IF(K192&lt;=E192,"ON/BEFORE","LATE")</f>
        <v/>
      </c>
      <c r="O192" s="37">
        <f>IF(COUNTIFS(Offers!$A$2:$A$1487,D192,Offers!$C$2:$C$1487,F192,Offers!$B$2:$B$1487,E192,Offers!$E$2:$E$1487,H192,Offers!$I$2:$I$1487,"SKIPPED")=1,"YES","NO")</f>
        <v/>
      </c>
      <c r="P192" s="37">
        <f>IF(L192="NO","N/A",IF(COUNTIFS('Skip Docs'!$A$2:$A$7,F192,'Skip Docs'!$C$2:$C$7,E192,'Skip Docs'!$D$2:$D$7,H192,'Skip Docs'!$E$2:$E$7,J192)=1,"YES","NO"))</f>
        <v/>
      </c>
      <c r="Q192" s="37" t="inlineStr">
        <is>
          <t>Y</t>
        </is>
      </c>
      <c r="R192" s="37" t="inlineStr">
        <is>
          <t>SUSTAINED</t>
        </is>
      </c>
      <c r="S192" s="37">
        <f>IF(B192="YES","Verified contemporaneous proof",IF(L192="NO","No justification PDF supplied",IF(M192="NO","PDF is cover-only",IF(P192="NO","PDF content does not match logged slip/reason",IF(O192="NO","Offer event does not reconcile","Assembled after skip date")))))</f>
        <v/>
      </c>
    </row>
    <row r="193">
      <c r="A193" s="37">
        <f>IF(M193="NO","Priority 1",IF(N193="LATE","Priority 2",IF(B193="YES","OK","Priority 1")))</f>
        <v/>
      </c>
      <c r="B193" s="37">
        <f>IF(AND(L193="YES",M193="YES",N193="ON/BEFORE",O193="YES",P193="YES"),"YES","NO")</f>
        <v/>
      </c>
      <c r="C193" s="37" t="inlineStr">
        <is>
          <t>SKP-2025-0283</t>
        </is>
      </c>
      <c r="D193" s="37" t="inlineStr">
        <is>
          <t>OFR-2025-1075</t>
        </is>
      </c>
      <c r="E193" s="38" t="n">
        <v>45826</v>
      </c>
      <c r="F193" s="37" t="inlineStr">
        <is>
          <t>WL-01333</t>
        </is>
      </c>
      <c r="G193" s="37">
        <f>IFERROR(INDEX(Applicants!$C$2:$C$2911,MATCH(F193,Applicants!$A$2:$A$2911,0))&amp;" "&amp;INDEX(Applicants!$B$2:$B$2911,MATCH(F193,Applicants!$A$2:$A$2911,0)),"")</f>
        <v/>
      </c>
      <c r="H193" s="37" t="inlineStr">
        <is>
          <t>LP-0208</t>
        </is>
      </c>
      <c r="I193" s="37" t="inlineStr">
        <is>
          <t>Ledgport</t>
        </is>
      </c>
      <c r="J193" s="37" t="inlineStr">
        <is>
          <t>not-current</t>
        </is>
      </c>
      <c r="K193" s="38" t="n">
        <v>45828</v>
      </c>
      <c r="L193" s="37">
        <f>IF(COUNTIFS('Skip Docs'!$A$2:$A$7,F193,'Skip Docs'!$C$2:$C$7,E193)&gt;0,"YES","NO")</f>
        <v/>
      </c>
      <c r="M193" s="37">
        <f>IF(L193="NO","NO",INDEX('Skip Docs'!$G$2:$G$7,MATCH(1,INDEX(('Skip Docs'!$A$2:$A$7=F193)*('Skip Docs'!$C$2:$C$7=E193),0),0)))</f>
        <v/>
      </c>
      <c r="N193" s="37">
        <f>IF(K193&lt;=E193,"ON/BEFORE","LATE")</f>
        <v/>
      </c>
      <c r="O193" s="37">
        <f>IF(COUNTIFS(Offers!$A$2:$A$1487,D193,Offers!$C$2:$C$1487,F193,Offers!$B$2:$B$1487,E193,Offers!$E$2:$E$1487,H193,Offers!$I$2:$I$1487,"SKIPPED")=1,"YES","NO")</f>
        <v/>
      </c>
      <c r="P193" s="37">
        <f>IF(L193="NO","N/A",IF(COUNTIFS('Skip Docs'!$A$2:$A$7,F193,'Skip Docs'!$C$2:$C$7,E193,'Skip Docs'!$D$2:$D$7,H193,'Skip Docs'!$E$2:$E$7,J193)=1,"YES","NO"))</f>
        <v/>
      </c>
      <c r="Q193" s="37" t="inlineStr">
        <is>
          <t>Y</t>
        </is>
      </c>
      <c r="R193" s="37" t="inlineStr">
        <is>
          <t>SUSTAINED</t>
        </is>
      </c>
      <c r="S193" s="37">
        <f>IF(B193="YES","Verified contemporaneous proof",IF(L193="NO","No justification PDF supplied",IF(M193="NO","PDF is cover-only",IF(P193="NO","PDF content does not match logged slip/reason",IF(O193="NO","Offer event does not reconcile","Assembled after skip date")))))</f>
        <v/>
      </c>
    </row>
    <row r="194">
      <c r="A194" s="37">
        <f>IF(M194="NO","Priority 1",IF(N194="LATE","Priority 2",IF(B194="YES","OK","Priority 1")))</f>
        <v/>
      </c>
      <c r="B194" s="37">
        <f>IF(AND(L194="YES",M194="YES",N194="ON/BEFORE",O194="YES",P194="YES"),"YES","NO")</f>
        <v/>
      </c>
      <c r="C194" s="37" t="inlineStr">
        <is>
          <t>SKP-2025-0284</t>
        </is>
      </c>
      <c r="D194" s="37" t="inlineStr">
        <is>
          <t>OFR-2025-1076</t>
        </is>
      </c>
      <c r="E194" s="38" t="n">
        <v>45823</v>
      </c>
      <c r="F194" s="37" t="inlineStr">
        <is>
          <t>WL-02698</t>
        </is>
      </c>
      <c r="G194" s="37">
        <f>IFERROR(INDEX(Applicants!$C$2:$C$2911,MATCH(F194,Applicants!$A$2:$A$2911,0))&amp;" "&amp;INDEX(Applicants!$B$2:$B$2911,MATCH(F194,Applicants!$A$2:$A$2911,0)),"")</f>
        <v/>
      </c>
      <c r="H194" s="37" t="inlineStr">
        <is>
          <t>VB-0409</t>
        </is>
      </c>
      <c r="I194" s="37" t="inlineStr">
        <is>
          <t>Vessbank</t>
        </is>
      </c>
      <c r="J194" s="37" t="inlineStr">
        <is>
          <t>preference-mismatch</t>
        </is>
      </c>
      <c r="K194" s="38" t="n">
        <v>45825</v>
      </c>
      <c r="L194" s="37">
        <f>IF(COUNTIFS('Skip Docs'!$A$2:$A$7,F194,'Skip Docs'!$C$2:$C$7,E194)&gt;0,"YES","NO")</f>
        <v/>
      </c>
      <c r="M194" s="37">
        <f>IF(L194="NO","NO",INDEX('Skip Docs'!$G$2:$G$7,MATCH(1,INDEX(('Skip Docs'!$A$2:$A$7=F194)*('Skip Docs'!$C$2:$C$7=E194),0),0)))</f>
        <v/>
      </c>
      <c r="N194" s="37">
        <f>IF(K194&lt;=E194,"ON/BEFORE","LATE")</f>
        <v/>
      </c>
      <c r="O194" s="37">
        <f>IF(COUNTIFS(Offers!$A$2:$A$1487,D194,Offers!$C$2:$C$1487,F194,Offers!$B$2:$B$1487,E194,Offers!$E$2:$E$1487,H194,Offers!$I$2:$I$1487,"SKIPPED")=1,"YES","NO")</f>
        <v/>
      </c>
      <c r="P194" s="37">
        <f>IF(L194="NO","N/A",IF(COUNTIFS('Skip Docs'!$A$2:$A$7,F194,'Skip Docs'!$C$2:$C$7,E194,'Skip Docs'!$D$2:$D$7,H194,'Skip Docs'!$E$2:$E$7,J194)=1,"YES","NO"))</f>
        <v/>
      </c>
      <c r="Q194" s="37" t="inlineStr">
        <is>
          <t>Y</t>
        </is>
      </c>
      <c r="R194" s="37" t="inlineStr">
        <is>
          <t>SUSTAINED</t>
        </is>
      </c>
      <c r="S194" s="37">
        <f>IF(B194="YES","Verified contemporaneous proof",IF(L194="NO","No justification PDF supplied",IF(M194="NO","PDF is cover-only",IF(P194="NO","PDF content does not match logged slip/reason",IF(O194="NO","Offer event does not reconcile","Assembled after skip date")))))</f>
        <v/>
      </c>
    </row>
    <row r="195">
      <c r="A195" s="37">
        <f>IF(M195="NO","Priority 1",IF(N195="LATE","Priority 2",IF(B195="YES","OK","Priority 1")))</f>
        <v/>
      </c>
      <c r="B195" s="37">
        <f>IF(AND(L195="YES",M195="YES",N195="ON/BEFORE",O195="YES",P195="YES"),"YES","NO")</f>
        <v/>
      </c>
      <c r="C195" s="37" t="inlineStr">
        <is>
          <t>SKP-2025-0285</t>
        </is>
      </c>
      <c r="D195" s="37" t="inlineStr">
        <is>
          <t>OFR-2025-1079</t>
        </is>
      </c>
      <c r="E195" s="38" t="n">
        <v>45810</v>
      </c>
      <c r="F195" s="37" t="inlineStr">
        <is>
          <t>WL-03047</t>
        </is>
      </c>
      <c r="G195" s="37">
        <f>IFERROR(INDEX(Applicants!$C$2:$C$2911,MATCH(F195,Applicants!$A$2:$A$2911,0))&amp;" "&amp;INDEX(Applicants!$B$2:$B$2911,MATCH(F195,Applicants!$A$2:$A$2911,0)),"")</f>
        <v/>
      </c>
      <c r="H195" s="37" t="inlineStr">
        <is>
          <t>EW-0415</t>
        </is>
      </c>
      <c r="I195" s="37" t="inlineStr">
        <is>
          <t>Eastwey</t>
        </is>
      </c>
      <c r="J195" s="37" t="inlineStr">
        <is>
          <t>preference-mismatch</t>
        </is>
      </c>
      <c r="K195" s="38" t="n">
        <v>45811</v>
      </c>
      <c r="L195" s="37">
        <f>IF(COUNTIFS('Skip Docs'!$A$2:$A$7,F195,'Skip Docs'!$C$2:$C$7,E195)&gt;0,"YES","NO")</f>
        <v/>
      </c>
      <c r="M195" s="37">
        <f>IF(L195="NO","NO",INDEX('Skip Docs'!$G$2:$G$7,MATCH(1,INDEX(('Skip Docs'!$A$2:$A$7=F195)*('Skip Docs'!$C$2:$C$7=E195),0),0)))</f>
        <v/>
      </c>
      <c r="N195" s="37">
        <f>IF(K195&lt;=E195,"ON/BEFORE","LATE")</f>
        <v/>
      </c>
      <c r="O195" s="37">
        <f>IF(COUNTIFS(Offers!$A$2:$A$1487,D195,Offers!$C$2:$C$1487,F195,Offers!$B$2:$B$1487,E195,Offers!$E$2:$E$1487,H195,Offers!$I$2:$I$1487,"SKIPPED")=1,"YES","NO")</f>
        <v/>
      </c>
      <c r="P195" s="37">
        <f>IF(L195="NO","N/A",IF(COUNTIFS('Skip Docs'!$A$2:$A$7,F195,'Skip Docs'!$C$2:$C$7,E195,'Skip Docs'!$D$2:$D$7,H195,'Skip Docs'!$E$2:$E$7,J195)=1,"YES","NO"))</f>
        <v/>
      </c>
      <c r="Q195" s="37" t="inlineStr">
        <is>
          <t>Y</t>
        </is>
      </c>
      <c r="R195" s="37" t="inlineStr">
        <is>
          <t>SUSTAINED</t>
        </is>
      </c>
      <c r="S195" s="37">
        <f>IF(B195="YES","Verified contemporaneous proof",IF(L195="NO","No justification PDF supplied",IF(M195="NO","PDF is cover-only",IF(P195="NO","PDF content does not match logged slip/reason",IF(O195="NO","Offer event does not reconcile","Assembled after skip date")))))</f>
        <v/>
      </c>
    </row>
    <row r="196">
      <c r="A196" s="37">
        <f>IF(M196="NO","Priority 1",IF(N196="LATE","Priority 2",IF(B196="YES","OK","Priority 1")))</f>
        <v/>
      </c>
      <c r="B196" s="37">
        <f>IF(AND(L196="YES",M196="YES",N196="ON/BEFORE",O196="YES",P196="YES"),"YES","NO")</f>
        <v/>
      </c>
      <c r="C196" s="37" t="inlineStr">
        <is>
          <t>SKP-2025-0286</t>
        </is>
      </c>
      <c r="D196" s="37" t="inlineStr">
        <is>
          <t>OFR-2025-1081</t>
        </is>
      </c>
      <c r="E196" s="38" t="n">
        <v>45822</v>
      </c>
      <c r="F196" s="37" t="inlineStr">
        <is>
          <t>WL-01151</t>
        </is>
      </c>
      <c r="G196" s="37">
        <f>IFERROR(INDEX(Applicants!$C$2:$C$2911,MATCH(F196,Applicants!$A$2:$A$2911,0))&amp;" "&amp;INDEX(Applicants!$B$2:$B$2911,MATCH(F196,Applicants!$A$2:$A$2911,0)),"")</f>
        <v/>
      </c>
      <c r="H196" s="37" t="inlineStr">
        <is>
          <t>SB-0804</t>
        </is>
      </c>
      <c r="I196" s="37" t="inlineStr">
        <is>
          <t>Salmonberry</t>
        </is>
      </c>
      <c r="J196" s="37" t="inlineStr">
        <is>
          <t>not-current</t>
        </is>
      </c>
      <c r="K196" s="38" t="n">
        <v>45822</v>
      </c>
      <c r="L196" s="37">
        <f>IF(COUNTIFS('Skip Docs'!$A$2:$A$7,F196,'Skip Docs'!$C$2:$C$7,E196)&gt;0,"YES","NO")</f>
        <v/>
      </c>
      <c r="M196" s="37">
        <f>IF(L196="NO","NO",INDEX('Skip Docs'!$G$2:$G$7,MATCH(1,INDEX(('Skip Docs'!$A$2:$A$7=F196)*('Skip Docs'!$C$2:$C$7=E196),0),0)))</f>
        <v/>
      </c>
      <c r="N196" s="37">
        <f>IF(K196&lt;=E196,"ON/BEFORE","LATE")</f>
        <v/>
      </c>
      <c r="O196" s="37">
        <f>IF(COUNTIFS(Offers!$A$2:$A$1487,D196,Offers!$C$2:$C$1487,F196,Offers!$B$2:$B$1487,E196,Offers!$E$2:$E$1487,H196,Offers!$I$2:$I$1487,"SKIPPED")=1,"YES","NO")</f>
        <v/>
      </c>
      <c r="P196" s="37">
        <f>IF(L196="NO","N/A",IF(COUNTIFS('Skip Docs'!$A$2:$A$7,F196,'Skip Docs'!$C$2:$C$7,E196,'Skip Docs'!$D$2:$D$7,H196,'Skip Docs'!$E$2:$E$7,J196)=1,"YES","NO"))</f>
        <v/>
      </c>
      <c r="Q196" s="37" t="inlineStr">
        <is>
          <t>Y</t>
        </is>
      </c>
      <c r="R196" s="37" t="inlineStr">
        <is>
          <t>SUSTAINED</t>
        </is>
      </c>
      <c r="S196" s="37">
        <f>IF(B196="YES","Verified contemporaneous proof",IF(L196="NO","No justification PDF supplied",IF(M196="NO","PDF is cover-only",IF(P196="NO","PDF content does not match logged slip/reason",IF(O196="NO","Offer event does not reconcile","Assembled after skip date")))))</f>
        <v/>
      </c>
    </row>
    <row r="197">
      <c r="A197" s="37">
        <f>IF(M197="NO","Priority 1",IF(N197="LATE","Priority 2",IF(B197="YES","OK","Priority 1")))</f>
        <v/>
      </c>
      <c r="B197" s="37">
        <f>IF(AND(L197="YES",M197="YES",N197="ON/BEFORE",O197="YES",P197="YES"),"YES","NO")</f>
        <v/>
      </c>
      <c r="C197" s="37" t="inlineStr">
        <is>
          <t>SKP-2025-0287</t>
        </is>
      </c>
      <c r="D197" s="37" t="inlineStr">
        <is>
          <t>OFR-2025-1090</t>
        </is>
      </c>
      <c r="E197" s="38" t="n">
        <v>45827</v>
      </c>
      <c r="F197" s="37" t="inlineStr">
        <is>
          <t>WL-02314</t>
        </is>
      </c>
      <c r="G197" s="37">
        <f>IFERROR(INDEX(Applicants!$C$2:$C$2911,MATCH(F197,Applicants!$A$2:$A$2911,0))&amp;" "&amp;INDEX(Applicants!$B$2:$B$2911,MATCH(F197,Applicants!$A$2:$A$2911,0)),"")</f>
        <v/>
      </c>
      <c r="H197" s="37" t="inlineStr">
        <is>
          <t>LP-0124</t>
        </is>
      </c>
      <c r="I197" s="37" t="inlineStr">
        <is>
          <t>Ledgport</t>
        </is>
      </c>
      <c r="J197" s="37" t="inlineStr">
        <is>
          <t>not-current</t>
        </is>
      </c>
      <c r="K197" s="38" t="n">
        <v>45828</v>
      </c>
      <c r="L197" s="37">
        <f>IF(COUNTIFS('Skip Docs'!$A$2:$A$7,F197,'Skip Docs'!$C$2:$C$7,E197)&gt;0,"YES","NO")</f>
        <v/>
      </c>
      <c r="M197" s="37">
        <f>IF(L197="NO","NO",INDEX('Skip Docs'!$G$2:$G$7,MATCH(1,INDEX(('Skip Docs'!$A$2:$A$7=F197)*('Skip Docs'!$C$2:$C$7=E197),0),0)))</f>
        <v/>
      </c>
      <c r="N197" s="37">
        <f>IF(K197&lt;=E197,"ON/BEFORE","LATE")</f>
        <v/>
      </c>
      <c r="O197" s="37">
        <f>IF(COUNTIFS(Offers!$A$2:$A$1487,D197,Offers!$C$2:$C$1487,F197,Offers!$B$2:$B$1487,E197,Offers!$E$2:$E$1487,H197,Offers!$I$2:$I$1487,"SKIPPED")=1,"YES","NO")</f>
        <v/>
      </c>
      <c r="P197" s="37">
        <f>IF(L197="NO","N/A",IF(COUNTIFS('Skip Docs'!$A$2:$A$7,F197,'Skip Docs'!$C$2:$C$7,E197,'Skip Docs'!$D$2:$D$7,H197,'Skip Docs'!$E$2:$E$7,J197)=1,"YES","NO"))</f>
        <v/>
      </c>
      <c r="Q197" s="37" t="inlineStr">
        <is>
          <t>Y</t>
        </is>
      </c>
      <c r="R197" s="37" t="inlineStr">
        <is>
          <t>SUSTAINED</t>
        </is>
      </c>
      <c r="S197" s="37">
        <f>IF(B197="YES","Verified contemporaneous proof",IF(L197="NO","No justification PDF supplied",IF(M197="NO","PDF is cover-only",IF(P197="NO","PDF content does not match logged slip/reason",IF(O197="NO","Offer event does not reconcile","Assembled after skip date")))))</f>
        <v/>
      </c>
    </row>
    <row r="198">
      <c r="A198" s="37">
        <f>IF(M198="NO","Priority 1",IF(N198="LATE","Priority 2",IF(B198="YES","OK","Priority 1")))</f>
        <v/>
      </c>
      <c r="B198" s="37">
        <f>IF(AND(L198="YES",M198="YES",N198="ON/BEFORE",O198="YES",P198="YES"),"YES","NO")</f>
        <v/>
      </c>
      <c r="C198" s="37" t="inlineStr">
        <is>
          <t>SKP-2025-0288</t>
        </is>
      </c>
      <c r="D198" s="37" t="inlineStr">
        <is>
          <t>OFR-2025-1091</t>
        </is>
      </c>
      <c r="E198" s="38" t="n">
        <v>45817</v>
      </c>
      <c r="F198" s="37" t="inlineStr">
        <is>
          <t>WL-02356</t>
        </is>
      </c>
      <c r="G198" s="37">
        <f>IFERROR(INDEX(Applicants!$C$2:$C$2911,MATCH(F198,Applicants!$A$2:$A$2911,0))&amp;" "&amp;INDEX(Applicants!$B$2:$B$2911,MATCH(F198,Applicants!$A$2:$A$2911,0)),"")</f>
        <v/>
      </c>
      <c r="H198" s="37" t="inlineStr">
        <is>
          <t>SB-0411</t>
        </is>
      </c>
      <c r="I198" s="37" t="inlineStr">
        <is>
          <t>Salmonberry</t>
        </is>
      </c>
      <c r="J198" s="37" t="inlineStr">
        <is>
          <t>preference-mismatch</t>
        </is>
      </c>
      <c r="K198" s="38" t="n">
        <v>45818</v>
      </c>
      <c r="L198" s="37">
        <f>IF(COUNTIFS('Skip Docs'!$A$2:$A$7,F198,'Skip Docs'!$C$2:$C$7,E198)&gt;0,"YES","NO")</f>
        <v/>
      </c>
      <c r="M198" s="37">
        <f>IF(L198="NO","NO",INDEX('Skip Docs'!$G$2:$G$7,MATCH(1,INDEX(('Skip Docs'!$A$2:$A$7=F198)*('Skip Docs'!$C$2:$C$7=E198),0),0)))</f>
        <v/>
      </c>
      <c r="N198" s="37">
        <f>IF(K198&lt;=E198,"ON/BEFORE","LATE")</f>
        <v/>
      </c>
      <c r="O198" s="37">
        <f>IF(COUNTIFS(Offers!$A$2:$A$1487,D198,Offers!$C$2:$C$1487,F198,Offers!$B$2:$B$1487,E198,Offers!$E$2:$E$1487,H198,Offers!$I$2:$I$1487,"SKIPPED")=1,"YES","NO")</f>
        <v/>
      </c>
      <c r="P198" s="37">
        <f>IF(L198="NO","N/A",IF(COUNTIFS('Skip Docs'!$A$2:$A$7,F198,'Skip Docs'!$C$2:$C$7,E198,'Skip Docs'!$D$2:$D$7,H198,'Skip Docs'!$E$2:$E$7,J198)=1,"YES","NO"))</f>
        <v/>
      </c>
      <c r="Q198" s="37" t="inlineStr">
        <is>
          <t>Y</t>
        </is>
      </c>
      <c r="R198" s="37" t="inlineStr">
        <is>
          <t>SUSTAINED</t>
        </is>
      </c>
      <c r="S198" s="37">
        <f>IF(B198="YES","Verified contemporaneous proof",IF(L198="NO","No justification PDF supplied",IF(M198="NO","PDF is cover-only",IF(P198="NO","PDF content does not match logged slip/reason",IF(O198="NO","Offer event does not reconcile","Assembled after skip date")))))</f>
        <v/>
      </c>
    </row>
    <row r="199">
      <c r="A199" s="37">
        <f>IF(M199="NO","Priority 1",IF(N199="LATE","Priority 2",IF(B199="YES","OK","Priority 1")))</f>
        <v/>
      </c>
      <c r="B199" s="37">
        <f>IF(AND(L199="YES",M199="YES",N199="ON/BEFORE",O199="YES",P199="YES"),"YES","NO")</f>
        <v/>
      </c>
      <c r="C199" s="37" t="inlineStr">
        <is>
          <t>SKP-2025-0289</t>
        </is>
      </c>
      <c r="D199" s="37" t="inlineStr">
        <is>
          <t>OFR-2025-1098</t>
        </is>
      </c>
      <c r="E199" s="38" t="n">
        <v>45810</v>
      </c>
      <c r="F199" s="37" t="inlineStr">
        <is>
          <t>WL-02013</t>
        </is>
      </c>
      <c r="G199" s="37">
        <f>IFERROR(INDEX(Applicants!$C$2:$C$2911,MATCH(F199,Applicants!$A$2:$A$2911,0))&amp;" "&amp;INDEX(Applicants!$B$2:$B$2911,MATCH(F199,Applicants!$A$2:$A$2911,0)),"")</f>
        <v/>
      </c>
      <c r="H199" s="37" t="inlineStr">
        <is>
          <t>LP-0901</t>
        </is>
      </c>
      <c r="I199" s="37" t="inlineStr">
        <is>
          <t>Ledgport</t>
        </is>
      </c>
      <c r="J199" s="37" t="inlineStr">
        <is>
          <t>not-current</t>
        </is>
      </c>
      <c r="K199" s="38" t="n">
        <v>45815</v>
      </c>
      <c r="L199" s="37">
        <f>IF(COUNTIFS('Skip Docs'!$A$2:$A$7,F199,'Skip Docs'!$C$2:$C$7,E199)&gt;0,"YES","NO")</f>
        <v/>
      </c>
      <c r="M199" s="37">
        <f>IF(L199="NO","NO",INDEX('Skip Docs'!$G$2:$G$7,MATCH(1,INDEX(('Skip Docs'!$A$2:$A$7=F199)*('Skip Docs'!$C$2:$C$7=E199),0),0)))</f>
        <v/>
      </c>
      <c r="N199" s="37">
        <f>IF(K199&lt;=E199,"ON/BEFORE","LATE")</f>
        <v/>
      </c>
      <c r="O199" s="37">
        <f>IF(COUNTIFS(Offers!$A$2:$A$1487,D199,Offers!$C$2:$C$1487,F199,Offers!$B$2:$B$1487,E199,Offers!$E$2:$E$1487,H199,Offers!$I$2:$I$1487,"SKIPPED")=1,"YES","NO")</f>
        <v/>
      </c>
      <c r="P199" s="37">
        <f>IF(L199="NO","N/A",IF(COUNTIFS('Skip Docs'!$A$2:$A$7,F199,'Skip Docs'!$C$2:$C$7,E199,'Skip Docs'!$D$2:$D$7,H199,'Skip Docs'!$E$2:$E$7,J199)=1,"YES","NO"))</f>
        <v/>
      </c>
      <c r="Q199" s="37" t="inlineStr">
        <is>
          <t>Y</t>
        </is>
      </c>
      <c r="R199" s="37" t="inlineStr">
        <is>
          <t>SUSTAINED</t>
        </is>
      </c>
      <c r="S199" s="37">
        <f>IF(B199="YES","Verified contemporaneous proof",IF(L199="NO","No justification PDF supplied",IF(M199="NO","PDF is cover-only",IF(P199="NO","PDF content does not match logged slip/reason",IF(O199="NO","Offer event does not reconcile","Assembled after skip date")))))</f>
        <v/>
      </c>
    </row>
    <row r="200">
      <c r="A200" s="37">
        <f>IF(M200="NO","Priority 1",IF(N200="LATE","Priority 2",IF(B200="YES","OK","Priority 1")))</f>
        <v/>
      </c>
      <c r="B200" s="37">
        <f>IF(AND(L200="YES",M200="YES",N200="ON/BEFORE",O200="YES",P200="YES"),"YES","NO")</f>
        <v/>
      </c>
      <c r="C200" s="37" t="inlineStr">
        <is>
          <t>SKP-2025-0290</t>
        </is>
      </c>
      <c r="D200" s="37" t="inlineStr">
        <is>
          <t>OFR-2025-1101</t>
        </is>
      </c>
      <c r="E200" s="38" t="n">
        <v>45848</v>
      </c>
      <c r="F200" s="37" t="inlineStr">
        <is>
          <t>WL-01813</t>
        </is>
      </c>
      <c r="G200" s="37">
        <f>IFERROR(INDEX(Applicants!$C$2:$C$2911,MATCH(F200,Applicants!$A$2:$A$2911,0))&amp;" "&amp;INDEX(Applicants!$B$2:$B$2911,MATCH(F200,Applicants!$A$2:$A$2911,0)),"")</f>
        <v/>
      </c>
      <c r="H200" s="37" t="inlineStr">
        <is>
          <t>GW-0910</t>
        </is>
      </c>
      <c r="I200" s="37" t="inlineStr">
        <is>
          <t>Gullwing</t>
        </is>
      </c>
      <c r="J200" s="37" t="inlineStr">
        <is>
          <t>not-current</t>
        </is>
      </c>
      <c r="K200" s="38" t="n">
        <v>45850</v>
      </c>
      <c r="L200" s="37">
        <f>IF(COUNTIFS('Skip Docs'!$A$2:$A$7,F200,'Skip Docs'!$C$2:$C$7,E200)&gt;0,"YES","NO")</f>
        <v/>
      </c>
      <c r="M200" s="37">
        <f>IF(L200="NO","NO",INDEX('Skip Docs'!$G$2:$G$7,MATCH(1,INDEX(('Skip Docs'!$A$2:$A$7=F200)*('Skip Docs'!$C$2:$C$7=E200),0),0)))</f>
        <v/>
      </c>
      <c r="N200" s="37">
        <f>IF(K200&lt;=E200,"ON/BEFORE","LATE")</f>
        <v/>
      </c>
      <c r="O200" s="37">
        <f>IF(COUNTIFS(Offers!$A$2:$A$1487,D200,Offers!$C$2:$C$1487,F200,Offers!$B$2:$B$1487,E200,Offers!$E$2:$E$1487,H200,Offers!$I$2:$I$1487,"SKIPPED")=1,"YES","NO")</f>
        <v/>
      </c>
      <c r="P200" s="37">
        <f>IF(L200="NO","N/A",IF(COUNTIFS('Skip Docs'!$A$2:$A$7,F200,'Skip Docs'!$C$2:$C$7,E200,'Skip Docs'!$D$2:$D$7,H200,'Skip Docs'!$E$2:$E$7,J200)=1,"YES","NO"))</f>
        <v/>
      </c>
      <c r="Q200" s="37" t="inlineStr">
        <is>
          <t>Y</t>
        </is>
      </c>
      <c r="R200" s="37" t="inlineStr">
        <is>
          <t>SUSTAINED</t>
        </is>
      </c>
      <c r="S200" s="37">
        <f>IF(B200="YES","Verified contemporaneous proof",IF(L200="NO","No justification PDF supplied",IF(M200="NO","PDF is cover-only",IF(P200="NO","PDF content does not match logged slip/reason",IF(O200="NO","Offer event does not reconcile","Assembled after skip date")))))</f>
        <v/>
      </c>
    </row>
    <row r="201">
      <c r="A201" s="37">
        <f>IF(M201="NO","Priority 1",IF(N201="LATE","Priority 2",IF(B201="YES","OK","Priority 1")))</f>
        <v/>
      </c>
      <c r="B201" s="37">
        <f>IF(AND(L201="YES",M201="YES",N201="ON/BEFORE",O201="YES",P201="YES"),"YES","NO")</f>
        <v/>
      </c>
      <c r="C201" s="37" t="inlineStr">
        <is>
          <t>SKP-2025-0291</t>
        </is>
      </c>
      <c r="D201" s="37" t="inlineStr">
        <is>
          <t>OFR-2025-1113</t>
        </is>
      </c>
      <c r="E201" s="38" t="n">
        <v>45863</v>
      </c>
      <c r="F201" s="37" t="inlineStr">
        <is>
          <t>WL-03227</t>
        </is>
      </c>
      <c r="G201" s="37">
        <f>IFERROR(INDEX(Applicants!$C$2:$C$2911,MATCH(F201,Applicants!$A$2:$A$2911,0))&amp;" "&amp;INDEX(Applicants!$B$2:$B$2911,MATCH(F201,Applicants!$A$2:$A$2911,0)),"")</f>
        <v/>
      </c>
      <c r="H201" s="37" t="inlineStr">
        <is>
          <t>LP-0414</t>
        </is>
      </c>
      <c r="I201" s="37" t="inlineStr">
        <is>
          <t>Ledgport</t>
        </is>
      </c>
      <c r="J201" s="37" t="inlineStr">
        <is>
          <t>declined-prior-offer</t>
        </is>
      </c>
      <c r="K201" s="38" t="n">
        <v>45868</v>
      </c>
      <c r="L201" s="37">
        <f>IF(COUNTIFS('Skip Docs'!$A$2:$A$7,F201,'Skip Docs'!$C$2:$C$7,E201)&gt;0,"YES","NO")</f>
        <v/>
      </c>
      <c r="M201" s="37">
        <f>IF(L201="NO","NO",INDEX('Skip Docs'!$G$2:$G$7,MATCH(1,INDEX(('Skip Docs'!$A$2:$A$7=F201)*('Skip Docs'!$C$2:$C$7=E201),0),0)))</f>
        <v/>
      </c>
      <c r="N201" s="37">
        <f>IF(K201&lt;=E201,"ON/BEFORE","LATE")</f>
        <v/>
      </c>
      <c r="O201" s="37">
        <f>IF(COUNTIFS(Offers!$A$2:$A$1487,D201,Offers!$C$2:$C$1487,F201,Offers!$B$2:$B$1487,E201,Offers!$E$2:$E$1487,H201,Offers!$I$2:$I$1487,"SKIPPED")=1,"YES","NO")</f>
        <v/>
      </c>
      <c r="P201" s="37">
        <f>IF(L201="NO","N/A",IF(COUNTIFS('Skip Docs'!$A$2:$A$7,F201,'Skip Docs'!$C$2:$C$7,E201,'Skip Docs'!$D$2:$D$7,H201,'Skip Docs'!$E$2:$E$7,J201)=1,"YES","NO"))</f>
        <v/>
      </c>
      <c r="Q201" s="37" t="inlineStr">
        <is>
          <t>Y</t>
        </is>
      </c>
      <c r="R201" s="37" t="inlineStr">
        <is>
          <t>SUSTAINED</t>
        </is>
      </c>
      <c r="S201" s="37">
        <f>IF(B201="YES","Verified contemporaneous proof",IF(L201="NO","No justification PDF supplied",IF(M201="NO","PDF is cover-only",IF(P201="NO","PDF content does not match logged slip/reason",IF(O201="NO","Offer event does not reconcile","Assembled after skip date")))))</f>
        <v/>
      </c>
    </row>
    <row r="202">
      <c r="A202" s="37">
        <f>IF(M202="NO","Priority 1",IF(N202="LATE","Priority 2",IF(B202="YES","OK","Priority 1")))</f>
        <v/>
      </c>
      <c r="B202" s="37">
        <f>IF(AND(L202="YES",M202="YES",N202="ON/BEFORE",O202="YES",P202="YES"),"YES","NO")</f>
        <v/>
      </c>
      <c r="C202" s="37" t="inlineStr">
        <is>
          <t>SKP-2025-0292</t>
        </is>
      </c>
      <c r="D202" s="37" t="inlineStr">
        <is>
          <t>OFR-2025-1117</t>
        </is>
      </c>
      <c r="E202" s="38" t="n">
        <v>45844</v>
      </c>
      <c r="F202" s="37" t="inlineStr">
        <is>
          <t>WL-02298</t>
        </is>
      </c>
      <c r="G202" s="37">
        <f>IFERROR(INDEX(Applicants!$C$2:$C$2911,MATCH(F202,Applicants!$A$2:$A$2911,0))&amp;" "&amp;INDEX(Applicants!$B$2:$B$2911,MATCH(F202,Applicants!$A$2:$A$2911,0)),"")</f>
        <v/>
      </c>
      <c r="H202" s="37" t="inlineStr">
        <is>
          <t>GW-1017</t>
        </is>
      </c>
      <c r="I202" s="37" t="inlineStr">
        <is>
          <t>Gullwing</t>
        </is>
      </c>
      <c r="J202" s="37" t="inlineStr">
        <is>
          <t>vessel-fit</t>
        </is>
      </c>
      <c r="K202" s="38" t="n">
        <v>45849</v>
      </c>
      <c r="L202" s="37">
        <f>IF(COUNTIFS('Skip Docs'!$A$2:$A$7,F202,'Skip Docs'!$C$2:$C$7,E202)&gt;0,"YES","NO")</f>
        <v/>
      </c>
      <c r="M202" s="37">
        <f>IF(L202="NO","NO",INDEX('Skip Docs'!$G$2:$G$7,MATCH(1,INDEX(('Skip Docs'!$A$2:$A$7=F202)*('Skip Docs'!$C$2:$C$7=E202),0),0)))</f>
        <v/>
      </c>
      <c r="N202" s="37">
        <f>IF(K202&lt;=E202,"ON/BEFORE","LATE")</f>
        <v/>
      </c>
      <c r="O202" s="37">
        <f>IF(COUNTIFS(Offers!$A$2:$A$1487,D202,Offers!$C$2:$C$1487,F202,Offers!$B$2:$B$1487,E202,Offers!$E$2:$E$1487,H202,Offers!$I$2:$I$1487,"SKIPPED")=1,"YES","NO")</f>
        <v/>
      </c>
      <c r="P202" s="37">
        <f>IF(L202="NO","N/A",IF(COUNTIFS('Skip Docs'!$A$2:$A$7,F202,'Skip Docs'!$C$2:$C$7,E202,'Skip Docs'!$D$2:$D$7,H202,'Skip Docs'!$E$2:$E$7,J202)=1,"YES","NO"))</f>
        <v/>
      </c>
      <c r="Q202" s="37" t="inlineStr">
        <is>
          <t>N</t>
        </is>
      </c>
      <c r="R202" s="37" t="inlineStr">
        <is>
          <t>SUSTAINED</t>
        </is>
      </c>
      <c r="S202" s="37">
        <f>IF(B202="YES","Verified contemporaneous proof",IF(L202="NO","No justification PDF supplied",IF(M202="NO","PDF is cover-only",IF(P202="NO","PDF content does not match logged slip/reason",IF(O202="NO","Offer event does not reconcile","Assembled after skip date")))))</f>
        <v/>
      </c>
    </row>
    <row r="203">
      <c r="A203" s="37">
        <f>IF(M203="NO","Priority 1",IF(N203="LATE","Priority 2",IF(B203="YES","OK","Priority 1")))</f>
        <v/>
      </c>
      <c r="B203" s="37">
        <f>IF(AND(L203="YES",M203="YES",N203="ON/BEFORE",O203="YES",P203="YES"),"YES","NO")</f>
        <v/>
      </c>
      <c r="C203" s="37" t="inlineStr">
        <is>
          <t>SKP-2025-0293</t>
        </is>
      </c>
      <c r="D203" s="37" t="inlineStr">
        <is>
          <t>OFR-2025-1123</t>
        </is>
      </c>
      <c r="E203" s="38" t="n">
        <v>45850</v>
      </c>
      <c r="F203" s="37" t="inlineStr">
        <is>
          <t>WL-03516</t>
        </is>
      </c>
      <c r="G203" s="37">
        <f>IFERROR(INDEX(Applicants!$C$2:$C$2911,MATCH(F203,Applicants!$A$2:$A$2911,0))&amp;" "&amp;INDEX(Applicants!$B$2:$B$2911,MATCH(F203,Applicants!$A$2:$A$2911,0)),"")</f>
        <v/>
      </c>
      <c r="H203" s="37" t="inlineStr">
        <is>
          <t>VB-0209</t>
        </is>
      </c>
      <c r="I203" s="37" t="inlineStr">
        <is>
          <t>Vessbank</t>
        </is>
      </c>
      <c r="J203" s="37" t="inlineStr">
        <is>
          <t>preference-mismatch</t>
        </is>
      </c>
      <c r="K203" s="38" t="n">
        <v>45852</v>
      </c>
      <c r="L203" s="37">
        <f>IF(COUNTIFS('Skip Docs'!$A$2:$A$7,F203,'Skip Docs'!$C$2:$C$7,E203)&gt;0,"YES","NO")</f>
        <v/>
      </c>
      <c r="M203" s="37">
        <f>IF(L203="NO","NO",INDEX('Skip Docs'!$G$2:$G$7,MATCH(1,INDEX(('Skip Docs'!$A$2:$A$7=F203)*('Skip Docs'!$C$2:$C$7=E203),0),0)))</f>
        <v/>
      </c>
      <c r="N203" s="37">
        <f>IF(K203&lt;=E203,"ON/BEFORE","LATE")</f>
        <v/>
      </c>
      <c r="O203" s="37">
        <f>IF(COUNTIFS(Offers!$A$2:$A$1487,D203,Offers!$C$2:$C$1487,F203,Offers!$B$2:$B$1487,E203,Offers!$E$2:$E$1487,H203,Offers!$I$2:$I$1487,"SKIPPED")=1,"YES","NO")</f>
        <v/>
      </c>
      <c r="P203" s="37">
        <f>IF(L203="NO","N/A",IF(COUNTIFS('Skip Docs'!$A$2:$A$7,F203,'Skip Docs'!$C$2:$C$7,E203,'Skip Docs'!$D$2:$D$7,H203,'Skip Docs'!$E$2:$E$7,J203)=1,"YES","NO"))</f>
        <v/>
      </c>
      <c r="Q203" s="37" t="inlineStr">
        <is>
          <t>Y</t>
        </is>
      </c>
      <c r="R203" s="37" t="inlineStr">
        <is>
          <t>SUSTAINED</t>
        </is>
      </c>
      <c r="S203" s="37">
        <f>IF(B203="YES","Verified contemporaneous proof",IF(L203="NO","No justification PDF supplied",IF(M203="NO","PDF is cover-only",IF(P203="NO","PDF content does not match logged slip/reason",IF(O203="NO","Offer event does not reconcile","Assembled after skip date")))))</f>
        <v/>
      </c>
    </row>
    <row r="204">
      <c r="A204" s="37">
        <f>IF(M204="NO","Priority 1",IF(N204="LATE","Priority 2",IF(B204="YES","OK","Priority 1")))</f>
        <v/>
      </c>
      <c r="B204" s="37">
        <f>IF(AND(L204="YES",M204="YES",N204="ON/BEFORE",O204="YES",P204="YES"),"YES","NO")</f>
        <v/>
      </c>
      <c r="C204" s="37" t="inlineStr">
        <is>
          <t>SKP-2025-0294</t>
        </is>
      </c>
      <c r="D204" s="37" t="inlineStr">
        <is>
          <t>OFR-2025-1124</t>
        </is>
      </c>
      <c r="E204" s="38" t="n">
        <v>45849</v>
      </c>
      <c r="F204" s="37" t="inlineStr">
        <is>
          <t>WL-03579</t>
        </is>
      </c>
      <c r="G204" s="37">
        <f>IFERROR(INDEX(Applicants!$C$2:$C$2911,MATCH(F204,Applicants!$A$2:$A$2911,0))&amp;" "&amp;INDEX(Applicants!$B$2:$B$2911,MATCH(F204,Applicants!$A$2:$A$2911,0)),"")</f>
        <v/>
      </c>
      <c r="H204" s="37" t="inlineStr">
        <is>
          <t>LP-0816</t>
        </is>
      </c>
      <c r="I204" s="37" t="inlineStr">
        <is>
          <t>Ledgport</t>
        </is>
      </c>
      <c r="J204" s="37" t="inlineStr">
        <is>
          <t>declined-prior-offer</t>
        </is>
      </c>
      <c r="K204" s="38" t="n">
        <v>45851</v>
      </c>
      <c r="L204" s="37">
        <f>IF(COUNTIFS('Skip Docs'!$A$2:$A$7,F204,'Skip Docs'!$C$2:$C$7,E204)&gt;0,"YES","NO")</f>
        <v/>
      </c>
      <c r="M204" s="37">
        <f>IF(L204="NO","NO",INDEX('Skip Docs'!$G$2:$G$7,MATCH(1,INDEX(('Skip Docs'!$A$2:$A$7=F204)*('Skip Docs'!$C$2:$C$7=E204),0),0)))</f>
        <v/>
      </c>
      <c r="N204" s="37">
        <f>IF(K204&lt;=E204,"ON/BEFORE","LATE")</f>
        <v/>
      </c>
      <c r="O204" s="37">
        <f>IF(COUNTIFS(Offers!$A$2:$A$1487,D204,Offers!$C$2:$C$1487,F204,Offers!$B$2:$B$1487,E204,Offers!$E$2:$E$1487,H204,Offers!$I$2:$I$1487,"SKIPPED")=1,"YES","NO")</f>
        <v/>
      </c>
      <c r="P204" s="37">
        <f>IF(L204="NO","N/A",IF(COUNTIFS('Skip Docs'!$A$2:$A$7,F204,'Skip Docs'!$C$2:$C$7,E204,'Skip Docs'!$D$2:$D$7,H204,'Skip Docs'!$E$2:$E$7,J204)=1,"YES","NO"))</f>
        <v/>
      </c>
      <c r="Q204" s="37" t="inlineStr">
        <is>
          <t>Y</t>
        </is>
      </c>
      <c r="R204" s="37" t="inlineStr">
        <is>
          <t>SUSTAINED</t>
        </is>
      </c>
      <c r="S204" s="37">
        <f>IF(B204="YES","Verified contemporaneous proof",IF(L204="NO","No justification PDF supplied",IF(M204="NO","PDF is cover-only",IF(P204="NO","PDF content does not match logged slip/reason",IF(O204="NO","Offer event does not reconcile","Assembled after skip date")))))</f>
        <v/>
      </c>
    </row>
    <row r="205">
      <c r="A205" s="37">
        <f>IF(M205="NO","Priority 1",IF(N205="LATE","Priority 2",IF(B205="YES","OK","Priority 1")))</f>
        <v/>
      </c>
      <c r="B205" s="37">
        <f>IF(AND(L205="YES",M205="YES",N205="ON/BEFORE",O205="YES",P205="YES"),"YES","NO")</f>
        <v/>
      </c>
      <c r="C205" s="37" t="inlineStr">
        <is>
          <t>SKP-2025-0295</t>
        </is>
      </c>
      <c r="D205" s="37" t="inlineStr">
        <is>
          <t>OFR-2025-1125</t>
        </is>
      </c>
      <c r="E205" s="38" t="n">
        <v>45855</v>
      </c>
      <c r="F205" s="37" t="inlineStr">
        <is>
          <t>WL-03248</t>
        </is>
      </c>
      <c r="G205" s="37">
        <f>IFERROR(INDEX(Applicants!$C$2:$C$2911,MATCH(F205,Applicants!$A$2:$A$2911,0))&amp;" "&amp;INDEX(Applicants!$B$2:$B$2911,MATCH(F205,Applicants!$A$2:$A$2911,0)),"")</f>
        <v/>
      </c>
      <c r="H205" s="37" t="inlineStr">
        <is>
          <t>LP-0616</t>
        </is>
      </c>
      <c r="I205" s="37" t="inlineStr">
        <is>
          <t>Ledgport</t>
        </is>
      </c>
      <c r="J205" s="37" t="inlineStr">
        <is>
          <t>preference-mismatch</t>
        </is>
      </c>
      <c r="K205" s="38" t="n">
        <v>45855</v>
      </c>
      <c r="L205" s="37">
        <f>IF(COUNTIFS('Skip Docs'!$A$2:$A$7,F205,'Skip Docs'!$C$2:$C$7,E205)&gt;0,"YES","NO")</f>
        <v/>
      </c>
      <c r="M205" s="37">
        <f>IF(L205="NO","NO",INDEX('Skip Docs'!$G$2:$G$7,MATCH(1,INDEX(('Skip Docs'!$A$2:$A$7=F205)*('Skip Docs'!$C$2:$C$7=E205),0),0)))</f>
        <v/>
      </c>
      <c r="N205" s="37">
        <f>IF(K205&lt;=E205,"ON/BEFORE","LATE")</f>
        <v/>
      </c>
      <c r="O205" s="37">
        <f>IF(COUNTIFS(Offers!$A$2:$A$1487,D205,Offers!$C$2:$C$1487,F205,Offers!$B$2:$B$1487,E205,Offers!$E$2:$E$1487,H205,Offers!$I$2:$I$1487,"SKIPPED")=1,"YES","NO")</f>
        <v/>
      </c>
      <c r="P205" s="37">
        <f>IF(L205="NO","N/A",IF(COUNTIFS('Skip Docs'!$A$2:$A$7,F205,'Skip Docs'!$C$2:$C$7,E205,'Skip Docs'!$D$2:$D$7,H205,'Skip Docs'!$E$2:$E$7,J205)=1,"YES","NO"))</f>
        <v/>
      </c>
      <c r="Q205" s="37" t="inlineStr">
        <is>
          <t>Y</t>
        </is>
      </c>
      <c r="R205" s="37" t="inlineStr">
        <is>
          <t>SUSTAINED</t>
        </is>
      </c>
      <c r="S205" s="37">
        <f>IF(B205="YES","Verified contemporaneous proof",IF(L205="NO","No justification PDF supplied",IF(M205="NO","PDF is cover-only",IF(P205="NO","PDF content does not match logged slip/reason",IF(O205="NO","Offer event does not reconcile","Assembled after skip date")))))</f>
        <v/>
      </c>
    </row>
    <row r="206">
      <c r="A206" s="37">
        <f>IF(M206="NO","Priority 1",IF(N206="LATE","Priority 2",IF(B206="YES","OK","Priority 1")))</f>
        <v/>
      </c>
      <c r="B206" s="37">
        <f>IF(AND(L206="YES",M206="YES",N206="ON/BEFORE",O206="YES",P206="YES"),"YES","NO")</f>
        <v/>
      </c>
      <c r="C206" s="37" t="inlineStr">
        <is>
          <t>SKP-2025-0296</t>
        </is>
      </c>
      <c r="D206" s="37" t="inlineStr">
        <is>
          <t>OFR-2025-1126</t>
        </is>
      </c>
      <c r="E206" s="38" t="n">
        <v>45860</v>
      </c>
      <c r="F206" s="37" t="inlineStr">
        <is>
          <t>WL-03526</t>
        </is>
      </c>
      <c r="G206" s="37">
        <f>IFERROR(INDEX(Applicants!$C$2:$C$2911,MATCH(F206,Applicants!$A$2:$A$2911,0))&amp;" "&amp;INDEX(Applicants!$B$2:$B$2911,MATCH(F206,Applicants!$A$2:$A$2911,0)),"")</f>
        <v/>
      </c>
      <c r="H206" s="37" t="inlineStr">
        <is>
          <t>SB-0102</t>
        </is>
      </c>
      <c r="I206" s="37" t="inlineStr">
        <is>
          <t>Salmonberry</t>
        </is>
      </c>
      <c r="J206" s="37" t="inlineStr">
        <is>
          <t>preference-mismatch</t>
        </is>
      </c>
      <c r="K206" s="38" t="n">
        <v>45860</v>
      </c>
      <c r="L206" s="37">
        <f>IF(COUNTIFS('Skip Docs'!$A$2:$A$7,F206,'Skip Docs'!$C$2:$C$7,E206)&gt;0,"YES","NO")</f>
        <v/>
      </c>
      <c r="M206" s="37">
        <f>IF(L206="NO","NO",INDEX('Skip Docs'!$G$2:$G$7,MATCH(1,INDEX(('Skip Docs'!$A$2:$A$7=F206)*('Skip Docs'!$C$2:$C$7=E206),0),0)))</f>
        <v/>
      </c>
      <c r="N206" s="37">
        <f>IF(K206&lt;=E206,"ON/BEFORE","LATE")</f>
        <v/>
      </c>
      <c r="O206" s="37">
        <f>IF(COUNTIFS(Offers!$A$2:$A$1487,D206,Offers!$C$2:$C$1487,F206,Offers!$B$2:$B$1487,E206,Offers!$E$2:$E$1487,H206,Offers!$I$2:$I$1487,"SKIPPED")=1,"YES","NO")</f>
        <v/>
      </c>
      <c r="P206" s="37">
        <f>IF(L206="NO","N/A",IF(COUNTIFS('Skip Docs'!$A$2:$A$7,F206,'Skip Docs'!$C$2:$C$7,E206,'Skip Docs'!$D$2:$D$7,H206,'Skip Docs'!$E$2:$E$7,J206)=1,"YES","NO"))</f>
        <v/>
      </c>
      <c r="Q206" s="37" t="inlineStr">
        <is>
          <t>Y</t>
        </is>
      </c>
      <c r="R206" s="37" t="inlineStr">
        <is>
          <t>SUSTAINED</t>
        </is>
      </c>
      <c r="S206" s="37">
        <f>IF(B206="YES","Verified contemporaneous proof",IF(L206="NO","No justification PDF supplied",IF(M206="NO","PDF is cover-only",IF(P206="NO","PDF content does not match logged slip/reason",IF(O206="NO","Offer event does not reconcile","Assembled after skip date")))))</f>
        <v/>
      </c>
    </row>
    <row r="207">
      <c r="A207" s="37">
        <f>IF(M207="NO","Priority 1",IF(N207="LATE","Priority 2",IF(B207="YES","OK","Priority 1")))</f>
        <v/>
      </c>
      <c r="B207" s="37">
        <f>IF(AND(L207="YES",M207="YES",N207="ON/BEFORE",O207="YES",P207="YES"),"YES","NO")</f>
        <v/>
      </c>
      <c r="C207" s="37" t="inlineStr">
        <is>
          <t>SKP-2025-0297</t>
        </is>
      </c>
      <c r="D207" s="37" t="inlineStr">
        <is>
          <t>OFR-2025-1129</t>
        </is>
      </c>
      <c r="E207" s="38" t="n">
        <v>45866</v>
      </c>
      <c r="F207" s="37" t="inlineStr">
        <is>
          <t>WL-03094</t>
        </is>
      </c>
      <c r="G207" s="37">
        <f>IFERROR(INDEX(Applicants!$C$2:$C$2911,MATCH(F207,Applicants!$A$2:$A$2911,0))&amp;" "&amp;INDEX(Applicants!$B$2:$B$2911,MATCH(F207,Applicants!$A$2:$A$2911,0)),"")</f>
        <v/>
      </c>
      <c r="H207" s="37" t="inlineStr">
        <is>
          <t>GW-0103</t>
        </is>
      </c>
      <c r="I207" s="37" t="inlineStr">
        <is>
          <t>Gullwing</t>
        </is>
      </c>
      <c r="J207" s="37" t="inlineStr">
        <is>
          <t>not-current</t>
        </is>
      </c>
      <c r="K207" s="38" t="n">
        <v>45866</v>
      </c>
      <c r="L207" s="37">
        <f>IF(COUNTIFS('Skip Docs'!$A$2:$A$7,F207,'Skip Docs'!$C$2:$C$7,E207)&gt;0,"YES","NO")</f>
        <v/>
      </c>
      <c r="M207" s="37">
        <f>IF(L207="NO","NO",INDEX('Skip Docs'!$G$2:$G$7,MATCH(1,INDEX(('Skip Docs'!$A$2:$A$7=F207)*('Skip Docs'!$C$2:$C$7=E207),0),0)))</f>
        <v/>
      </c>
      <c r="N207" s="37">
        <f>IF(K207&lt;=E207,"ON/BEFORE","LATE")</f>
        <v/>
      </c>
      <c r="O207" s="37">
        <f>IF(COUNTIFS(Offers!$A$2:$A$1487,D207,Offers!$C$2:$C$1487,F207,Offers!$B$2:$B$1487,E207,Offers!$E$2:$E$1487,H207,Offers!$I$2:$I$1487,"SKIPPED")=1,"YES","NO")</f>
        <v/>
      </c>
      <c r="P207" s="37">
        <f>IF(L207="NO","N/A",IF(COUNTIFS('Skip Docs'!$A$2:$A$7,F207,'Skip Docs'!$C$2:$C$7,E207,'Skip Docs'!$D$2:$D$7,H207,'Skip Docs'!$E$2:$E$7,J207)=1,"YES","NO"))</f>
        <v/>
      </c>
      <c r="Q207" s="37" t="inlineStr">
        <is>
          <t>N</t>
        </is>
      </c>
      <c r="R207" s="37" t="inlineStr">
        <is>
          <t>SUSTAINED</t>
        </is>
      </c>
      <c r="S207" s="37">
        <f>IF(B207="YES","Verified contemporaneous proof",IF(L207="NO","No justification PDF supplied",IF(M207="NO","PDF is cover-only",IF(P207="NO","PDF content does not match logged slip/reason",IF(O207="NO","Offer event does not reconcile","Assembled after skip date")))))</f>
        <v/>
      </c>
    </row>
    <row r="208">
      <c r="A208" s="37">
        <f>IF(M208="NO","Priority 1",IF(N208="LATE","Priority 2",IF(B208="YES","OK","Priority 1")))</f>
        <v/>
      </c>
      <c r="B208" s="37">
        <f>IF(AND(L208="YES",M208="YES",N208="ON/BEFORE",O208="YES",P208="YES"),"YES","NO")</f>
        <v/>
      </c>
      <c r="C208" s="37" t="inlineStr">
        <is>
          <t>SKP-2025-0298</t>
        </is>
      </c>
      <c r="D208" s="37" t="inlineStr">
        <is>
          <t>OFR-2025-1134</t>
        </is>
      </c>
      <c r="E208" s="38" t="n">
        <v>45895</v>
      </c>
      <c r="F208" s="37" t="inlineStr">
        <is>
          <t>WL-02774</t>
        </is>
      </c>
      <c r="G208" s="37">
        <f>IFERROR(INDEX(Applicants!$C$2:$C$2911,MATCH(F208,Applicants!$A$2:$A$2911,0))&amp;" "&amp;INDEX(Applicants!$B$2:$B$2911,MATCH(F208,Applicants!$A$2:$A$2911,0)),"")</f>
        <v/>
      </c>
      <c r="H208" s="37" t="inlineStr">
        <is>
          <t>LP-0208</t>
        </is>
      </c>
      <c r="I208" s="37" t="inlineStr">
        <is>
          <t>Ledgport</t>
        </is>
      </c>
      <c r="J208" s="37" t="inlineStr">
        <is>
          <t>declined-prior-offer</t>
        </is>
      </c>
      <c r="K208" s="38" t="n">
        <v>45898</v>
      </c>
      <c r="L208" s="37">
        <f>IF(COUNTIFS('Skip Docs'!$A$2:$A$7,F208,'Skip Docs'!$C$2:$C$7,E208)&gt;0,"YES","NO")</f>
        <v/>
      </c>
      <c r="M208" s="37">
        <f>IF(L208="NO","NO",INDEX('Skip Docs'!$G$2:$G$7,MATCH(1,INDEX(('Skip Docs'!$A$2:$A$7=F208)*('Skip Docs'!$C$2:$C$7=E208),0),0)))</f>
        <v/>
      </c>
      <c r="N208" s="37">
        <f>IF(K208&lt;=E208,"ON/BEFORE","LATE")</f>
        <v/>
      </c>
      <c r="O208" s="37">
        <f>IF(COUNTIFS(Offers!$A$2:$A$1487,D208,Offers!$C$2:$C$1487,F208,Offers!$B$2:$B$1487,E208,Offers!$E$2:$E$1487,H208,Offers!$I$2:$I$1487,"SKIPPED")=1,"YES","NO")</f>
        <v/>
      </c>
      <c r="P208" s="37">
        <f>IF(L208="NO","N/A",IF(COUNTIFS('Skip Docs'!$A$2:$A$7,F208,'Skip Docs'!$C$2:$C$7,E208,'Skip Docs'!$D$2:$D$7,H208,'Skip Docs'!$E$2:$E$7,J208)=1,"YES","NO"))</f>
        <v/>
      </c>
      <c r="Q208" s="37" t="inlineStr">
        <is>
          <t>Y</t>
        </is>
      </c>
      <c r="R208" s="37" t="inlineStr">
        <is>
          <t>SUSTAINED</t>
        </is>
      </c>
      <c r="S208" s="37">
        <f>IF(B208="YES","Verified contemporaneous proof",IF(L208="NO","No justification PDF supplied",IF(M208="NO","PDF is cover-only",IF(P208="NO","PDF content does not match logged slip/reason",IF(O208="NO","Offer event does not reconcile","Assembled after skip date")))))</f>
        <v/>
      </c>
    </row>
    <row r="209">
      <c r="A209" s="37">
        <f>IF(M209="NO","Priority 1",IF(N209="LATE","Priority 2",IF(B209="YES","OK","Priority 1")))</f>
        <v/>
      </c>
      <c r="B209" s="37">
        <f>IF(AND(L209="YES",M209="YES",N209="ON/BEFORE",O209="YES",P209="YES"),"YES","NO")</f>
        <v/>
      </c>
      <c r="C209" s="37" t="inlineStr">
        <is>
          <t>SKP-2025-0299</t>
        </is>
      </c>
      <c r="D209" s="37" t="inlineStr">
        <is>
          <t>OFR-2025-1136</t>
        </is>
      </c>
      <c r="E209" s="38" t="n">
        <v>45895</v>
      </c>
      <c r="F209" s="37" t="inlineStr">
        <is>
          <t>WL-03311</t>
        </is>
      </c>
      <c r="G209" s="37">
        <f>IFERROR(INDEX(Applicants!$C$2:$C$2911,MATCH(F209,Applicants!$A$2:$A$2911,0))&amp;" "&amp;INDEX(Applicants!$B$2:$B$2911,MATCH(F209,Applicants!$A$2:$A$2911,0)),"")</f>
        <v/>
      </c>
      <c r="H209" s="37" t="inlineStr">
        <is>
          <t>GW-0116</t>
        </is>
      </c>
      <c r="I209" s="37" t="inlineStr">
        <is>
          <t>Gullwing</t>
        </is>
      </c>
      <c r="J209" s="37" t="inlineStr">
        <is>
          <t>preference-mismatch</t>
        </is>
      </c>
      <c r="K209" s="38" t="n">
        <v>45899</v>
      </c>
      <c r="L209" s="37">
        <f>IF(COUNTIFS('Skip Docs'!$A$2:$A$7,F209,'Skip Docs'!$C$2:$C$7,E209)&gt;0,"YES","NO")</f>
        <v/>
      </c>
      <c r="M209" s="37">
        <f>IF(L209="NO","NO",INDEX('Skip Docs'!$G$2:$G$7,MATCH(1,INDEX(('Skip Docs'!$A$2:$A$7=F209)*('Skip Docs'!$C$2:$C$7=E209),0),0)))</f>
        <v/>
      </c>
      <c r="N209" s="37">
        <f>IF(K209&lt;=E209,"ON/BEFORE","LATE")</f>
        <v/>
      </c>
      <c r="O209" s="37">
        <f>IF(COUNTIFS(Offers!$A$2:$A$1487,D209,Offers!$C$2:$C$1487,F209,Offers!$B$2:$B$1487,E209,Offers!$E$2:$E$1487,H209,Offers!$I$2:$I$1487,"SKIPPED")=1,"YES","NO")</f>
        <v/>
      </c>
      <c r="P209" s="37">
        <f>IF(L209="NO","N/A",IF(COUNTIFS('Skip Docs'!$A$2:$A$7,F209,'Skip Docs'!$C$2:$C$7,E209,'Skip Docs'!$D$2:$D$7,H209,'Skip Docs'!$E$2:$E$7,J209)=1,"YES","NO"))</f>
        <v/>
      </c>
      <c r="Q209" s="37" t="inlineStr">
        <is>
          <t>Y</t>
        </is>
      </c>
      <c r="R209" s="37" t="inlineStr">
        <is>
          <t>SUSTAINED</t>
        </is>
      </c>
      <c r="S209" s="37">
        <f>IF(B209="YES","Verified contemporaneous proof",IF(L209="NO","No justification PDF supplied",IF(M209="NO","PDF is cover-only",IF(P209="NO","PDF content does not match logged slip/reason",IF(O209="NO","Offer event does not reconcile","Assembled after skip date")))))</f>
        <v/>
      </c>
    </row>
    <row r="210">
      <c r="A210" s="37">
        <f>IF(M210="NO","Priority 1",IF(N210="LATE","Priority 2",IF(B210="YES","OK","Priority 1")))</f>
        <v/>
      </c>
      <c r="B210" s="37">
        <f>IF(AND(L210="YES",M210="YES",N210="ON/BEFORE",O210="YES",P210="YES"),"YES","NO")</f>
        <v/>
      </c>
      <c r="C210" s="37" t="inlineStr">
        <is>
          <t>SKP-2025-0300</t>
        </is>
      </c>
      <c r="D210" s="37" t="inlineStr">
        <is>
          <t>OFR-2025-1138</t>
        </is>
      </c>
      <c r="E210" s="38" t="n">
        <v>45887</v>
      </c>
      <c r="F210" s="37" t="inlineStr">
        <is>
          <t>WL-01537</t>
        </is>
      </c>
      <c r="G210" s="37">
        <f>IFERROR(INDEX(Applicants!$C$2:$C$2911,MATCH(F210,Applicants!$A$2:$A$2911,0))&amp;" "&amp;INDEX(Applicants!$B$2:$B$2911,MATCH(F210,Applicants!$A$2:$A$2911,0)),"")</f>
        <v/>
      </c>
      <c r="H210" s="37" t="inlineStr">
        <is>
          <t>GW-0701</t>
        </is>
      </c>
      <c r="I210" s="37" t="inlineStr">
        <is>
          <t>Gullwing</t>
        </is>
      </c>
      <c r="J210" s="37" t="inlineStr">
        <is>
          <t>vessel-fit</t>
        </is>
      </c>
      <c r="K210" s="38" t="n">
        <v>45891</v>
      </c>
      <c r="L210" s="37">
        <f>IF(COUNTIFS('Skip Docs'!$A$2:$A$7,F210,'Skip Docs'!$C$2:$C$7,E210)&gt;0,"YES","NO")</f>
        <v/>
      </c>
      <c r="M210" s="37">
        <f>IF(L210="NO","NO",INDEX('Skip Docs'!$G$2:$G$7,MATCH(1,INDEX(('Skip Docs'!$A$2:$A$7=F210)*('Skip Docs'!$C$2:$C$7=E210),0),0)))</f>
        <v/>
      </c>
      <c r="N210" s="37">
        <f>IF(K210&lt;=E210,"ON/BEFORE","LATE")</f>
        <v/>
      </c>
      <c r="O210" s="37">
        <f>IF(COUNTIFS(Offers!$A$2:$A$1487,D210,Offers!$C$2:$C$1487,F210,Offers!$B$2:$B$1487,E210,Offers!$E$2:$E$1487,H210,Offers!$I$2:$I$1487,"SKIPPED")=1,"YES","NO")</f>
        <v/>
      </c>
      <c r="P210" s="37">
        <f>IF(L210="NO","N/A",IF(COUNTIFS('Skip Docs'!$A$2:$A$7,F210,'Skip Docs'!$C$2:$C$7,E210,'Skip Docs'!$D$2:$D$7,H210,'Skip Docs'!$E$2:$E$7,J210)=1,"YES","NO"))</f>
        <v/>
      </c>
      <c r="Q210" s="37" t="inlineStr">
        <is>
          <t>Y</t>
        </is>
      </c>
      <c r="R210" s="37" t="inlineStr">
        <is>
          <t>SUSTAINED</t>
        </is>
      </c>
      <c r="S210" s="37">
        <f>IF(B210="YES","Verified contemporaneous proof",IF(L210="NO","No justification PDF supplied",IF(M210="NO","PDF is cover-only",IF(P210="NO","PDF content does not match logged slip/reason",IF(O210="NO","Offer event does not reconcile","Assembled after skip date")))))</f>
        <v/>
      </c>
    </row>
    <row r="211">
      <c r="A211" s="37">
        <f>IF(M211="NO","Priority 1",IF(N211="LATE","Priority 2",IF(B211="YES","OK","Priority 1")))</f>
        <v/>
      </c>
      <c r="B211" s="37">
        <f>IF(AND(L211="YES",M211="YES",N211="ON/BEFORE",O211="YES",P211="YES"),"YES","NO")</f>
        <v/>
      </c>
      <c r="C211" s="37" t="inlineStr">
        <is>
          <t>SKP-2025-0301</t>
        </is>
      </c>
      <c r="D211" s="37" t="inlineStr">
        <is>
          <t>OFR-2025-1143</t>
        </is>
      </c>
      <c r="E211" s="38" t="n">
        <v>45895</v>
      </c>
      <c r="F211" s="37" t="inlineStr">
        <is>
          <t>WL-01788</t>
        </is>
      </c>
      <c r="G211" s="37">
        <f>IFERROR(INDEX(Applicants!$C$2:$C$2911,MATCH(F211,Applicants!$A$2:$A$2911,0))&amp;" "&amp;INDEX(Applicants!$B$2:$B$2911,MATCH(F211,Applicants!$A$2:$A$2911,0)),"")</f>
        <v/>
      </c>
      <c r="H211" s="37" t="inlineStr">
        <is>
          <t>GW-0305</t>
        </is>
      </c>
      <c r="I211" s="37" t="inlineStr">
        <is>
          <t>Gullwing</t>
        </is>
      </c>
      <c r="J211" s="37" t="inlineStr">
        <is>
          <t>vessel-fit</t>
        </is>
      </c>
      <c r="K211" s="38" t="n">
        <v>45897</v>
      </c>
      <c r="L211" s="37">
        <f>IF(COUNTIFS('Skip Docs'!$A$2:$A$7,F211,'Skip Docs'!$C$2:$C$7,E211)&gt;0,"YES","NO")</f>
        <v/>
      </c>
      <c r="M211" s="37">
        <f>IF(L211="NO","NO",INDEX('Skip Docs'!$G$2:$G$7,MATCH(1,INDEX(('Skip Docs'!$A$2:$A$7=F211)*('Skip Docs'!$C$2:$C$7=E211),0),0)))</f>
        <v/>
      </c>
      <c r="N211" s="37">
        <f>IF(K211&lt;=E211,"ON/BEFORE","LATE")</f>
        <v/>
      </c>
      <c r="O211" s="37">
        <f>IF(COUNTIFS(Offers!$A$2:$A$1487,D211,Offers!$C$2:$C$1487,F211,Offers!$B$2:$B$1487,E211,Offers!$E$2:$E$1487,H211,Offers!$I$2:$I$1487,"SKIPPED")=1,"YES","NO")</f>
        <v/>
      </c>
      <c r="P211" s="37">
        <f>IF(L211="NO","N/A",IF(COUNTIFS('Skip Docs'!$A$2:$A$7,F211,'Skip Docs'!$C$2:$C$7,E211,'Skip Docs'!$D$2:$D$7,H211,'Skip Docs'!$E$2:$E$7,J211)=1,"YES","NO"))</f>
        <v/>
      </c>
      <c r="Q211" s="37" t="inlineStr">
        <is>
          <t>Y</t>
        </is>
      </c>
      <c r="R211" s="37" t="inlineStr">
        <is>
          <t>SUSTAINED</t>
        </is>
      </c>
      <c r="S211" s="37">
        <f>IF(B211="YES","Verified contemporaneous proof",IF(L211="NO","No justification PDF supplied",IF(M211="NO","PDF is cover-only",IF(P211="NO","PDF content does not match logged slip/reason",IF(O211="NO","Offer event does not reconcile","Assembled after skip date")))))</f>
        <v/>
      </c>
    </row>
    <row r="212">
      <c r="A212" s="37">
        <f>IF(M212="NO","Priority 1",IF(N212="LATE","Priority 2",IF(B212="YES","OK","Priority 1")))</f>
        <v/>
      </c>
      <c r="B212" s="37">
        <f>IF(AND(L212="YES",M212="YES",N212="ON/BEFORE",O212="YES",P212="YES"),"YES","NO")</f>
        <v/>
      </c>
      <c r="C212" s="37" t="inlineStr">
        <is>
          <t>SKP-2025-0302</t>
        </is>
      </c>
      <c r="D212" s="37" t="inlineStr">
        <is>
          <t>OFR-2025-1147</t>
        </is>
      </c>
      <c r="E212" s="38" t="n">
        <v>45891</v>
      </c>
      <c r="F212" s="37" t="inlineStr">
        <is>
          <t>WL-01702</t>
        </is>
      </c>
      <c r="G212" s="37">
        <f>IFERROR(INDEX(Applicants!$C$2:$C$2911,MATCH(F212,Applicants!$A$2:$A$2911,0))&amp;" "&amp;INDEX(Applicants!$B$2:$B$2911,MATCH(F212,Applicants!$A$2:$A$2911,0)),"")</f>
        <v/>
      </c>
      <c r="H212" s="37" t="inlineStr">
        <is>
          <t>VB-1014</t>
        </is>
      </c>
      <c r="I212" s="37" t="inlineStr">
        <is>
          <t>Vessbank</t>
        </is>
      </c>
      <c r="J212" s="37" t="inlineStr">
        <is>
          <t>vessel-fit</t>
        </is>
      </c>
      <c r="K212" s="38" t="n">
        <v>45896</v>
      </c>
      <c r="L212" s="37">
        <f>IF(COUNTIFS('Skip Docs'!$A$2:$A$7,F212,'Skip Docs'!$C$2:$C$7,E212)&gt;0,"YES","NO")</f>
        <v/>
      </c>
      <c r="M212" s="37">
        <f>IF(L212="NO","NO",INDEX('Skip Docs'!$G$2:$G$7,MATCH(1,INDEX(('Skip Docs'!$A$2:$A$7=F212)*('Skip Docs'!$C$2:$C$7=E212),0),0)))</f>
        <v/>
      </c>
      <c r="N212" s="37">
        <f>IF(K212&lt;=E212,"ON/BEFORE","LATE")</f>
        <v/>
      </c>
      <c r="O212" s="37">
        <f>IF(COUNTIFS(Offers!$A$2:$A$1487,D212,Offers!$C$2:$C$1487,F212,Offers!$B$2:$B$1487,E212,Offers!$E$2:$E$1487,H212,Offers!$I$2:$I$1487,"SKIPPED")=1,"YES","NO")</f>
        <v/>
      </c>
      <c r="P212" s="37">
        <f>IF(L212="NO","N/A",IF(COUNTIFS('Skip Docs'!$A$2:$A$7,F212,'Skip Docs'!$C$2:$C$7,E212,'Skip Docs'!$D$2:$D$7,H212,'Skip Docs'!$E$2:$E$7,J212)=1,"YES","NO"))</f>
        <v/>
      </c>
      <c r="Q212" s="37" t="inlineStr">
        <is>
          <t>Y</t>
        </is>
      </c>
      <c r="R212" s="37" t="inlineStr">
        <is>
          <t>SUSTAINED</t>
        </is>
      </c>
      <c r="S212" s="37">
        <f>IF(B212="YES","Verified contemporaneous proof",IF(L212="NO","No justification PDF supplied",IF(M212="NO","PDF is cover-only",IF(P212="NO","PDF content does not match logged slip/reason",IF(O212="NO","Offer event does not reconcile","Assembled after skip date")))))</f>
        <v/>
      </c>
    </row>
    <row r="213">
      <c r="A213" s="37">
        <f>IF(M213="NO","Priority 1",IF(N213="LATE","Priority 2",IF(B213="YES","OK","Priority 1")))</f>
        <v/>
      </c>
      <c r="B213" s="37">
        <f>IF(AND(L213="YES",M213="YES",N213="ON/BEFORE",O213="YES",P213="YES"),"YES","NO")</f>
        <v/>
      </c>
      <c r="C213" s="37" t="inlineStr">
        <is>
          <t>SKP-2025-0303</t>
        </is>
      </c>
      <c r="D213" s="37" t="inlineStr">
        <is>
          <t>OFR-2025-1153</t>
        </is>
      </c>
      <c r="E213" s="38" t="n">
        <v>45879</v>
      </c>
      <c r="F213" s="37" t="inlineStr">
        <is>
          <t>WL-02607</t>
        </is>
      </c>
      <c r="G213" s="37">
        <f>IFERROR(INDEX(Applicants!$C$2:$C$2911,MATCH(F213,Applicants!$A$2:$A$2911,0))&amp;" "&amp;INDEX(Applicants!$B$2:$B$2911,MATCH(F213,Applicants!$A$2:$A$2911,0)),"")</f>
        <v/>
      </c>
      <c r="H213" s="37" t="inlineStr">
        <is>
          <t>LP-1024</t>
        </is>
      </c>
      <c r="I213" s="37" t="inlineStr">
        <is>
          <t>Ledgport</t>
        </is>
      </c>
      <c r="J213" s="37" t="inlineStr">
        <is>
          <t>vessel-fit</t>
        </is>
      </c>
      <c r="K213" s="38" t="n">
        <v>45882</v>
      </c>
      <c r="L213" s="37">
        <f>IF(COUNTIFS('Skip Docs'!$A$2:$A$7,F213,'Skip Docs'!$C$2:$C$7,E213)&gt;0,"YES","NO")</f>
        <v/>
      </c>
      <c r="M213" s="37">
        <f>IF(L213="NO","NO",INDEX('Skip Docs'!$G$2:$G$7,MATCH(1,INDEX(('Skip Docs'!$A$2:$A$7=F213)*('Skip Docs'!$C$2:$C$7=E213),0),0)))</f>
        <v/>
      </c>
      <c r="N213" s="37">
        <f>IF(K213&lt;=E213,"ON/BEFORE","LATE")</f>
        <v/>
      </c>
      <c r="O213" s="37">
        <f>IF(COUNTIFS(Offers!$A$2:$A$1487,D213,Offers!$C$2:$C$1487,F213,Offers!$B$2:$B$1487,E213,Offers!$E$2:$E$1487,H213,Offers!$I$2:$I$1487,"SKIPPED")=1,"YES","NO")</f>
        <v/>
      </c>
      <c r="P213" s="37">
        <f>IF(L213="NO","N/A",IF(COUNTIFS('Skip Docs'!$A$2:$A$7,F213,'Skip Docs'!$C$2:$C$7,E213,'Skip Docs'!$D$2:$D$7,H213,'Skip Docs'!$E$2:$E$7,J213)=1,"YES","NO"))</f>
        <v/>
      </c>
      <c r="Q213" s="37" t="inlineStr">
        <is>
          <t>Y</t>
        </is>
      </c>
      <c r="R213" s="37" t="inlineStr">
        <is>
          <t>SUSTAINED</t>
        </is>
      </c>
      <c r="S213" s="37">
        <f>IF(B213="YES","Verified contemporaneous proof",IF(L213="NO","No justification PDF supplied",IF(M213="NO","PDF is cover-only",IF(P213="NO","PDF content does not match logged slip/reason",IF(O213="NO","Offer event does not reconcile","Assembled after skip date")))))</f>
        <v/>
      </c>
    </row>
    <row r="214">
      <c r="A214" s="37">
        <f>IF(M214="NO","Priority 1",IF(N214="LATE","Priority 2",IF(B214="YES","OK","Priority 1")))</f>
        <v/>
      </c>
      <c r="B214" s="37">
        <f>IF(AND(L214="YES",M214="YES",N214="ON/BEFORE",O214="YES",P214="YES"),"YES","NO")</f>
        <v/>
      </c>
      <c r="C214" s="37" t="inlineStr">
        <is>
          <t>SKP-2025-0304</t>
        </is>
      </c>
      <c r="D214" s="37" t="inlineStr">
        <is>
          <t>OFR-2025-1155</t>
        </is>
      </c>
      <c r="E214" s="38" t="n">
        <v>45884</v>
      </c>
      <c r="F214" s="37" t="inlineStr">
        <is>
          <t>WL-03314</t>
        </is>
      </c>
      <c r="G214" s="37">
        <f>IFERROR(INDEX(Applicants!$C$2:$C$2911,MATCH(F214,Applicants!$A$2:$A$2911,0))&amp;" "&amp;INDEX(Applicants!$B$2:$B$2911,MATCH(F214,Applicants!$A$2:$A$2911,0)),"")</f>
        <v/>
      </c>
      <c r="H214" s="37" t="inlineStr">
        <is>
          <t>LP-0319</t>
        </is>
      </c>
      <c r="I214" s="37" t="inlineStr">
        <is>
          <t>Ledgport</t>
        </is>
      </c>
      <c r="J214" s="37" t="inlineStr">
        <is>
          <t>preference-mismatch</t>
        </is>
      </c>
      <c r="K214" s="38" t="n">
        <v>45884</v>
      </c>
      <c r="L214" s="37">
        <f>IF(COUNTIFS('Skip Docs'!$A$2:$A$7,F214,'Skip Docs'!$C$2:$C$7,E214)&gt;0,"YES","NO")</f>
        <v/>
      </c>
      <c r="M214" s="37">
        <f>IF(L214="NO","NO",INDEX('Skip Docs'!$G$2:$G$7,MATCH(1,INDEX(('Skip Docs'!$A$2:$A$7=F214)*('Skip Docs'!$C$2:$C$7=E214),0),0)))</f>
        <v/>
      </c>
      <c r="N214" s="37">
        <f>IF(K214&lt;=E214,"ON/BEFORE","LATE")</f>
        <v/>
      </c>
      <c r="O214" s="37">
        <f>IF(COUNTIFS(Offers!$A$2:$A$1487,D214,Offers!$C$2:$C$1487,F214,Offers!$B$2:$B$1487,E214,Offers!$E$2:$E$1487,H214,Offers!$I$2:$I$1487,"SKIPPED")=1,"YES","NO")</f>
        <v/>
      </c>
      <c r="P214" s="37">
        <f>IF(L214="NO","N/A",IF(COUNTIFS('Skip Docs'!$A$2:$A$7,F214,'Skip Docs'!$C$2:$C$7,E214,'Skip Docs'!$D$2:$D$7,H214,'Skip Docs'!$E$2:$E$7,J214)=1,"YES","NO"))</f>
        <v/>
      </c>
      <c r="Q214" s="37" t="inlineStr">
        <is>
          <t>Y</t>
        </is>
      </c>
      <c r="R214" s="37" t="inlineStr">
        <is>
          <t>SUSTAINED</t>
        </is>
      </c>
      <c r="S214" s="37">
        <f>IF(B214="YES","Verified contemporaneous proof",IF(L214="NO","No justification PDF supplied",IF(M214="NO","PDF is cover-only",IF(P214="NO","PDF content does not match logged slip/reason",IF(O214="NO","Offer event does not reconcile","Assembled after skip date")))))</f>
        <v/>
      </c>
    </row>
    <row r="215">
      <c r="A215" s="37">
        <f>IF(M215="NO","Priority 1",IF(N215="LATE","Priority 2",IF(B215="YES","OK","Priority 1")))</f>
        <v/>
      </c>
      <c r="B215" s="37">
        <f>IF(AND(L215="YES",M215="YES",N215="ON/BEFORE",O215="YES",P215="YES"),"YES","NO")</f>
        <v/>
      </c>
      <c r="C215" s="37" t="inlineStr">
        <is>
          <t>SKP-2025-0305</t>
        </is>
      </c>
      <c r="D215" s="37" t="inlineStr">
        <is>
          <t>OFR-2025-1157</t>
        </is>
      </c>
      <c r="E215" s="38" t="n">
        <v>45883</v>
      </c>
      <c r="F215" s="37" t="inlineStr">
        <is>
          <t>WL-03134</t>
        </is>
      </c>
      <c r="G215" s="37">
        <f>IFERROR(INDEX(Applicants!$C$2:$C$2911,MATCH(F215,Applicants!$A$2:$A$2911,0))&amp;" "&amp;INDEX(Applicants!$B$2:$B$2911,MATCH(F215,Applicants!$A$2:$A$2911,0)),"")</f>
        <v/>
      </c>
      <c r="H215" s="37" t="inlineStr">
        <is>
          <t>SB-0624</t>
        </is>
      </c>
      <c r="I215" s="37" t="inlineStr">
        <is>
          <t>Salmonberry</t>
        </is>
      </c>
      <c r="J215" s="37" t="inlineStr">
        <is>
          <t>vessel-fit</t>
        </is>
      </c>
      <c r="K215" s="38" t="n">
        <v>45883</v>
      </c>
      <c r="L215" s="37">
        <f>IF(COUNTIFS('Skip Docs'!$A$2:$A$7,F215,'Skip Docs'!$C$2:$C$7,E215)&gt;0,"YES","NO")</f>
        <v/>
      </c>
      <c r="M215" s="37">
        <f>IF(L215="NO","NO",INDEX('Skip Docs'!$G$2:$G$7,MATCH(1,INDEX(('Skip Docs'!$A$2:$A$7=F215)*('Skip Docs'!$C$2:$C$7=E215),0),0)))</f>
        <v/>
      </c>
      <c r="N215" s="37">
        <f>IF(K215&lt;=E215,"ON/BEFORE","LATE")</f>
        <v/>
      </c>
      <c r="O215" s="37">
        <f>IF(COUNTIFS(Offers!$A$2:$A$1487,D215,Offers!$C$2:$C$1487,F215,Offers!$B$2:$B$1487,E215,Offers!$E$2:$E$1487,H215,Offers!$I$2:$I$1487,"SKIPPED")=1,"YES","NO")</f>
        <v/>
      </c>
      <c r="P215" s="37">
        <f>IF(L215="NO","N/A",IF(COUNTIFS('Skip Docs'!$A$2:$A$7,F215,'Skip Docs'!$C$2:$C$7,E215,'Skip Docs'!$D$2:$D$7,H215,'Skip Docs'!$E$2:$E$7,J215)=1,"YES","NO"))</f>
        <v/>
      </c>
      <c r="Q215" s="37" t="inlineStr">
        <is>
          <t>Y</t>
        </is>
      </c>
      <c r="R215" s="37" t="inlineStr">
        <is>
          <t>SUSTAINED</t>
        </is>
      </c>
      <c r="S215" s="37">
        <f>IF(B215="YES","Verified contemporaneous proof",IF(L215="NO","No justification PDF supplied",IF(M215="NO","PDF is cover-only",IF(P215="NO","PDF content does not match logged slip/reason",IF(O215="NO","Offer event does not reconcile","Assembled after skip date")))))</f>
        <v/>
      </c>
    </row>
    <row r="216">
      <c r="A216" s="37">
        <f>IF(M216="NO","Priority 1",IF(N216="LATE","Priority 2",IF(B216="YES","OK","Priority 1")))</f>
        <v/>
      </c>
      <c r="B216" s="37">
        <f>IF(AND(L216="YES",M216="YES",N216="ON/BEFORE",O216="YES",P216="YES"),"YES","NO")</f>
        <v/>
      </c>
      <c r="C216" s="37" t="inlineStr">
        <is>
          <t>SKP-2025-0306</t>
        </is>
      </c>
      <c r="D216" s="37" t="inlineStr">
        <is>
          <t>OFR-2025-1160</t>
        </is>
      </c>
      <c r="E216" s="38" t="n">
        <v>45877</v>
      </c>
      <c r="F216" s="37" t="inlineStr">
        <is>
          <t>WL-02912</t>
        </is>
      </c>
      <c r="G216" s="37">
        <f>IFERROR(INDEX(Applicants!$C$2:$C$2911,MATCH(F216,Applicants!$A$2:$A$2911,0))&amp;" "&amp;INDEX(Applicants!$B$2:$B$2911,MATCH(F216,Applicants!$A$2:$A$2911,0)),"")</f>
        <v/>
      </c>
      <c r="H216" s="37" t="inlineStr">
        <is>
          <t>SB-0420</t>
        </is>
      </c>
      <c r="I216" s="37" t="inlineStr">
        <is>
          <t>Salmonberry</t>
        </is>
      </c>
      <c r="J216" s="37" t="inlineStr">
        <is>
          <t>preference-mismatch</t>
        </is>
      </c>
      <c r="K216" s="38" t="n">
        <v>45881</v>
      </c>
      <c r="L216" s="37">
        <f>IF(COUNTIFS('Skip Docs'!$A$2:$A$7,F216,'Skip Docs'!$C$2:$C$7,E216)&gt;0,"YES","NO")</f>
        <v/>
      </c>
      <c r="M216" s="37">
        <f>IF(L216="NO","NO",INDEX('Skip Docs'!$G$2:$G$7,MATCH(1,INDEX(('Skip Docs'!$A$2:$A$7=F216)*('Skip Docs'!$C$2:$C$7=E216),0),0)))</f>
        <v/>
      </c>
      <c r="N216" s="37">
        <f>IF(K216&lt;=E216,"ON/BEFORE","LATE")</f>
        <v/>
      </c>
      <c r="O216" s="37">
        <f>IF(COUNTIFS(Offers!$A$2:$A$1487,D216,Offers!$C$2:$C$1487,F216,Offers!$B$2:$B$1487,E216,Offers!$E$2:$E$1487,H216,Offers!$I$2:$I$1487,"SKIPPED")=1,"YES","NO")</f>
        <v/>
      </c>
      <c r="P216" s="37">
        <f>IF(L216="NO","N/A",IF(COUNTIFS('Skip Docs'!$A$2:$A$7,F216,'Skip Docs'!$C$2:$C$7,E216,'Skip Docs'!$D$2:$D$7,H216,'Skip Docs'!$E$2:$E$7,J216)=1,"YES","NO"))</f>
        <v/>
      </c>
      <c r="Q216" s="37" t="inlineStr">
        <is>
          <t>Y</t>
        </is>
      </c>
      <c r="R216" s="37" t="inlineStr">
        <is>
          <t>SUSTAINED</t>
        </is>
      </c>
      <c r="S216" s="37">
        <f>IF(B216="YES","Verified contemporaneous proof",IF(L216="NO","No justification PDF supplied",IF(M216="NO","PDF is cover-only",IF(P216="NO","PDF content does not match logged slip/reason",IF(O216="NO","Offer event does not reconcile","Assembled after skip date")))))</f>
        <v/>
      </c>
    </row>
    <row r="217">
      <c r="A217" s="37">
        <f>IF(M217="NO","Priority 1",IF(N217="LATE","Priority 2",IF(B217="YES","OK","Priority 1")))</f>
        <v/>
      </c>
      <c r="B217" s="37">
        <f>IF(AND(L217="YES",M217="YES",N217="ON/BEFORE",O217="YES",P217="YES"),"YES","NO")</f>
        <v/>
      </c>
      <c r="C217" s="37" t="inlineStr">
        <is>
          <t>SKP-2025-0307</t>
        </is>
      </c>
      <c r="D217" s="37" t="inlineStr">
        <is>
          <t>OFR-2025-1164</t>
        </is>
      </c>
      <c r="E217" s="38" t="n">
        <v>45874</v>
      </c>
      <c r="F217" s="37" t="inlineStr">
        <is>
          <t>WL-02323</t>
        </is>
      </c>
      <c r="G217" s="37">
        <f>IFERROR(INDEX(Applicants!$C$2:$C$2911,MATCH(F217,Applicants!$A$2:$A$2911,0))&amp;" "&amp;INDEX(Applicants!$B$2:$B$2911,MATCH(F217,Applicants!$A$2:$A$2911,0)),"")</f>
        <v/>
      </c>
      <c r="H217" s="37" t="inlineStr">
        <is>
          <t>EW-0118</t>
        </is>
      </c>
      <c r="I217" s="37" t="inlineStr">
        <is>
          <t>Eastwey</t>
        </is>
      </c>
      <c r="J217" s="37" t="inlineStr">
        <is>
          <t>not-current</t>
        </is>
      </c>
      <c r="K217" s="38" t="n">
        <v>45879</v>
      </c>
      <c r="L217" s="37">
        <f>IF(COUNTIFS('Skip Docs'!$A$2:$A$7,F217,'Skip Docs'!$C$2:$C$7,E217)&gt;0,"YES","NO")</f>
        <v/>
      </c>
      <c r="M217" s="37">
        <f>IF(L217="NO","NO",INDEX('Skip Docs'!$G$2:$G$7,MATCH(1,INDEX(('Skip Docs'!$A$2:$A$7=F217)*('Skip Docs'!$C$2:$C$7=E217),0),0)))</f>
        <v/>
      </c>
      <c r="N217" s="37">
        <f>IF(K217&lt;=E217,"ON/BEFORE","LATE")</f>
        <v/>
      </c>
      <c r="O217" s="37">
        <f>IF(COUNTIFS(Offers!$A$2:$A$1487,D217,Offers!$C$2:$C$1487,F217,Offers!$B$2:$B$1487,E217,Offers!$E$2:$E$1487,H217,Offers!$I$2:$I$1487,"SKIPPED")=1,"YES","NO")</f>
        <v/>
      </c>
      <c r="P217" s="37">
        <f>IF(L217="NO","N/A",IF(COUNTIFS('Skip Docs'!$A$2:$A$7,F217,'Skip Docs'!$C$2:$C$7,E217,'Skip Docs'!$D$2:$D$7,H217,'Skip Docs'!$E$2:$E$7,J217)=1,"YES","NO"))</f>
        <v/>
      </c>
      <c r="Q217" s="37" t="inlineStr">
        <is>
          <t>Y</t>
        </is>
      </c>
      <c r="R217" s="37" t="inlineStr">
        <is>
          <t>SUSTAINED</t>
        </is>
      </c>
      <c r="S217" s="37">
        <f>IF(B217="YES","Verified contemporaneous proof",IF(L217="NO","No justification PDF supplied",IF(M217="NO","PDF is cover-only",IF(P217="NO","PDF content does not match logged slip/reason",IF(O217="NO","Offer event does not reconcile","Assembled after skip date")))))</f>
        <v/>
      </c>
    </row>
    <row r="218">
      <c r="A218" s="37">
        <f>IF(M218="NO","Priority 1",IF(N218="LATE","Priority 2",IF(B218="YES","OK","Priority 1")))</f>
        <v/>
      </c>
      <c r="B218" s="37">
        <f>IF(AND(L218="YES",M218="YES",N218="ON/BEFORE",O218="YES",P218="YES"),"YES","NO")</f>
        <v/>
      </c>
      <c r="C218" s="37" t="inlineStr">
        <is>
          <t>SKP-2025-0308</t>
        </is>
      </c>
      <c r="D218" s="37" t="inlineStr">
        <is>
          <t>OFR-2025-1165</t>
        </is>
      </c>
      <c r="E218" s="38" t="n">
        <v>45872</v>
      </c>
      <c r="F218" s="37" t="inlineStr">
        <is>
          <t>WL-03481</t>
        </is>
      </c>
      <c r="G218" s="37">
        <f>IFERROR(INDEX(Applicants!$C$2:$C$2911,MATCH(F218,Applicants!$A$2:$A$2911,0))&amp;" "&amp;INDEX(Applicants!$B$2:$B$2911,MATCH(F218,Applicants!$A$2:$A$2911,0)),"")</f>
        <v/>
      </c>
      <c r="H218" s="37" t="inlineStr">
        <is>
          <t>GW-0915</t>
        </is>
      </c>
      <c r="I218" s="37" t="inlineStr">
        <is>
          <t>Gullwing</t>
        </is>
      </c>
      <c r="J218" s="37" t="inlineStr">
        <is>
          <t>vessel-fit</t>
        </is>
      </c>
      <c r="K218" s="38" t="n">
        <v>45875</v>
      </c>
      <c r="L218" s="37">
        <f>IF(COUNTIFS('Skip Docs'!$A$2:$A$7,F218,'Skip Docs'!$C$2:$C$7,E218)&gt;0,"YES","NO")</f>
        <v/>
      </c>
      <c r="M218" s="37">
        <f>IF(L218="NO","NO",INDEX('Skip Docs'!$G$2:$G$7,MATCH(1,INDEX(('Skip Docs'!$A$2:$A$7=F218)*('Skip Docs'!$C$2:$C$7=E218),0),0)))</f>
        <v/>
      </c>
      <c r="N218" s="37">
        <f>IF(K218&lt;=E218,"ON/BEFORE","LATE")</f>
        <v/>
      </c>
      <c r="O218" s="37">
        <f>IF(COUNTIFS(Offers!$A$2:$A$1487,D218,Offers!$C$2:$C$1487,F218,Offers!$B$2:$B$1487,E218,Offers!$E$2:$E$1487,H218,Offers!$I$2:$I$1487,"SKIPPED")=1,"YES","NO")</f>
        <v/>
      </c>
      <c r="P218" s="37">
        <f>IF(L218="NO","N/A",IF(COUNTIFS('Skip Docs'!$A$2:$A$7,F218,'Skip Docs'!$C$2:$C$7,E218,'Skip Docs'!$D$2:$D$7,H218,'Skip Docs'!$E$2:$E$7,J218)=1,"YES","NO"))</f>
        <v/>
      </c>
      <c r="Q218" s="37" t="inlineStr">
        <is>
          <t>Y</t>
        </is>
      </c>
      <c r="R218" s="37" t="inlineStr">
        <is>
          <t>SUSTAINED</t>
        </is>
      </c>
      <c r="S218" s="37">
        <f>IF(B218="YES","Verified contemporaneous proof",IF(L218="NO","No justification PDF supplied",IF(M218="NO","PDF is cover-only",IF(P218="NO","PDF content does not match logged slip/reason",IF(O218="NO","Offer event does not reconcile","Assembled after skip date")))))</f>
        <v/>
      </c>
    </row>
    <row r="219">
      <c r="A219" s="37">
        <f>IF(M219="NO","Priority 1",IF(N219="LATE","Priority 2",IF(B219="YES","OK","Priority 1")))</f>
        <v/>
      </c>
      <c r="B219" s="37">
        <f>IF(AND(L219="YES",M219="YES",N219="ON/BEFORE",O219="YES",P219="YES"),"YES","NO")</f>
        <v/>
      </c>
      <c r="C219" s="37" t="inlineStr">
        <is>
          <t>SKP-2025-0309</t>
        </is>
      </c>
      <c r="D219" s="37" t="inlineStr">
        <is>
          <t>OFR-2025-1167</t>
        </is>
      </c>
      <c r="E219" s="38" t="n">
        <v>45897</v>
      </c>
      <c r="F219" s="37" t="inlineStr">
        <is>
          <t>WL-02838</t>
        </is>
      </c>
      <c r="G219" s="37">
        <f>IFERROR(INDEX(Applicants!$C$2:$C$2911,MATCH(F219,Applicants!$A$2:$A$2911,0))&amp;" "&amp;INDEX(Applicants!$B$2:$B$2911,MATCH(F219,Applicants!$A$2:$A$2911,0)),"")</f>
        <v/>
      </c>
      <c r="H219" s="37" t="inlineStr">
        <is>
          <t>LP-0413</t>
        </is>
      </c>
      <c r="I219" s="37" t="inlineStr">
        <is>
          <t>Ledgport</t>
        </is>
      </c>
      <c r="J219" s="37" t="inlineStr">
        <is>
          <t>declined-prior-offer</t>
        </is>
      </c>
      <c r="K219" s="38" t="n">
        <v>45898</v>
      </c>
      <c r="L219" s="37">
        <f>IF(COUNTIFS('Skip Docs'!$A$2:$A$7,F219,'Skip Docs'!$C$2:$C$7,E219)&gt;0,"YES","NO")</f>
        <v/>
      </c>
      <c r="M219" s="37">
        <f>IF(L219="NO","NO",INDEX('Skip Docs'!$G$2:$G$7,MATCH(1,INDEX(('Skip Docs'!$A$2:$A$7=F219)*('Skip Docs'!$C$2:$C$7=E219),0),0)))</f>
        <v/>
      </c>
      <c r="N219" s="37">
        <f>IF(K219&lt;=E219,"ON/BEFORE","LATE")</f>
        <v/>
      </c>
      <c r="O219" s="37">
        <f>IF(COUNTIFS(Offers!$A$2:$A$1487,D219,Offers!$C$2:$C$1487,F219,Offers!$B$2:$B$1487,E219,Offers!$E$2:$E$1487,H219,Offers!$I$2:$I$1487,"SKIPPED")=1,"YES","NO")</f>
        <v/>
      </c>
      <c r="P219" s="37">
        <f>IF(L219="NO","N/A",IF(COUNTIFS('Skip Docs'!$A$2:$A$7,F219,'Skip Docs'!$C$2:$C$7,E219,'Skip Docs'!$D$2:$D$7,H219,'Skip Docs'!$E$2:$E$7,J219)=1,"YES","NO"))</f>
        <v/>
      </c>
      <c r="Q219" s="37" t="inlineStr">
        <is>
          <t>N</t>
        </is>
      </c>
      <c r="R219" s="37" t="inlineStr">
        <is>
          <t>SUSTAINED</t>
        </is>
      </c>
      <c r="S219" s="37">
        <f>IF(B219="YES","Verified contemporaneous proof",IF(L219="NO","No justification PDF supplied",IF(M219="NO","PDF is cover-only",IF(P219="NO","PDF content does not match logged slip/reason",IF(O219="NO","Offer event does not reconcile","Assembled after skip date")))))</f>
        <v/>
      </c>
    </row>
    <row r="220">
      <c r="A220" s="37">
        <f>IF(M220="NO","Priority 1",IF(N220="LATE","Priority 2",IF(B220="YES","OK","Priority 1")))</f>
        <v/>
      </c>
      <c r="B220" s="37">
        <f>IF(AND(L220="YES",M220="YES",N220="ON/BEFORE",O220="YES",P220="YES"),"YES","NO")</f>
        <v/>
      </c>
      <c r="C220" s="37" t="inlineStr">
        <is>
          <t>SKP-2025-0310</t>
        </is>
      </c>
      <c r="D220" s="37" t="inlineStr">
        <is>
          <t>OFR-2025-1168</t>
        </is>
      </c>
      <c r="E220" s="38" t="n">
        <v>45897</v>
      </c>
      <c r="F220" s="37" t="inlineStr">
        <is>
          <t>WL-01617</t>
        </is>
      </c>
      <c r="G220" s="37">
        <f>IFERROR(INDEX(Applicants!$C$2:$C$2911,MATCH(F220,Applicants!$A$2:$A$2911,0))&amp;" "&amp;INDEX(Applicants!$B$2:$B$2911,MATCH(F220,Applicants!$A$2:$A$2911,0)),"")</f>
        <v/>
      </c>
      <c r="H220" s="37" t="inlineStr">
        <is>
          <t>VB-0813</t>
        </is>
      </c>
      <c r="I220" s="37" t="inlineStr">
        <is>
          <t>Vessbank</t>
        </is>
      </c>
      <c r="J220" s="37" t="inlineStr">
        <is>
          <t>vessel-fit</t>
        </is>
      </c>
      <c r="K220" s="38" t="n">
        <v>45902</v>
      </c>
      <c r="L220" s="37">
        <f>IF(COUNTIFS('Skip Docs'!$A$2:$A$7,F220,'Skip Docs'!$C$2:$C$7,E220)&gt;0,"YES","NO")</f>
        <v/>
      </c>
      <c r="M220" s="37">
        <f>IF(L220="NO","NO",INDEX('Skip Docs'!$G$2:$G$7,MATCH(1,INDEX(('Skip Docs'!$A$2:$A$7=F220)*('Skip Docs'!$C$2:$C$7=E220),0),0)))</f>
        <v/>
      </c>
      <c r="N220" s="37">
        <f>IF(K220&lt;=E220,"ON/BEFORE","LATE")</f>
        <v/>
      </c>
      <c r="O220" s="37">
        <f>IF(COUNTIFS(Offers!$A$2:$A$1487,D220,Offers!$C$2:$C$1487,F220,Offers!$B$2:$B$1487,E220,Offers!$E$2:$E$1487,H220,Offers!$I$2:$I$1487,"SKIPPED")=1,"YES","NO")</f>
        <v/>
      </c>
      <c r="P220" s="37">
        <f>IF(L220="NO","N/A",IF(COUNTIFS('Skip Docs'!$A$2:$A$7,F220,'Skip Docs'!$C$2:$C$7,E220,'Skip Docs'!$D$2:$D$7,H220,'Skip Docs'!$E$2:$E$7,J220)=1,"YES","NO"))</f>
        <v/>
      </c>
      <c r="Q220" s="37" t="inlineStr">
        <is>
          <t>Y</t>
        </is>
      </c>
      <c r="R220" s="37" t="inlineStr">
        <is>
          <t>SUSTAINED</t>
        </is>
      </c>
      <c r="S220" s="37">
        <f>IF(B220="YES","Verified contemporaneous proof",IF(L220="NO","No justification PDF supplied",IF(M220="NO","PDF is cover-only",IF(P220="NO","PDF content does not match logged slip/reason",IF(O220="NO","Offer event does not reconcile","Assembled after skip date")))))</f>
        <v/>
      </c>
    </row>
    <row r="221">
      <c r="A221" s="37">
        <f>IF(M221="NO","Priority 1",IF(N221="LATE","Priority 2",IF(B221="YES","OK","Priority 1")))</f>
        <v/>
      </c>
      <c r="B221" s="37">
        <f>IF(AND(L221="YES",M221="YES",N221="ON/BEFORE",O221="YES",P221="YES"),"YES","NO")</f>
        <v/>
      </c>
      <c r="C221" s="37" t="inlineStr">
        <is>
          <t>SKP-2025-0311</t>
        </is>
      </c>
      <c r="D221" s="37" t="inlineStr">
        <is>
          <t>OFR-2025-1171</t>
        </is>
      </c>
      <c r="E221" s="38" t="n">
        <v>45888</v>
      </c>
      <c r="F221" s="37" t="inlineStr">
        <is>
          <t>WL-01843</t>
        </is>
      </c>
      <c r="G221" s="37">
        <f>IFERROR(INDEX(Applicants!$C$2:$C$2911,MATCH(F221,Applicants!$A$2:$A$2911,0))&amp;" "&amp;INDEX(Applicants!$B$2:$B$2911,MATCH(F221,Applicants!$A$2:$A$2911,0)),"")</f>
        <v/>
      </c>
      <c r="H221" s="37" t="inlineStr">
        <is>
          <t>SB-0109</t>
        </is>
      </c>
      <c r="I221" s="37" t="inlineStr">
        <is>
          <t>Salmonberry</t>
        </is>
      </c>
      <c r="J221" s="37" t="inlineStr">
        <is>
          <t>preference-mismatch</t>
        </is>
      </c>
      <c r="K221" s="38" t="n">
        <v>45892</v>
      </c>
      <c r="L221" s="37">
        <f>IF(COUNTIFS('Skip Docs'!$A$2:$A$7,F221,'Skip Docs'!$C$2:$C$7,E221)&gt;0,"YES","NO")</f>
        <v/>
      </c>
      <c r="M221" s="37">
        <f>IF(L221="NO","NO",INDEX('Skip Docs'!$G$2:$G$7,MATCH(1,INDEX(('Skip Docs'!$A$2:$A$7=F221)*('Skip Docs'!$C$2:$C$7=E221),0),0)))</f>
        <v/>
      </c>
      <c r="N221" s="37">
        <f>IF(K221&lt;=E221,"ON/BEFORE","LATE")</f>
        <v/>
      </c>
      <c r="O221" s="37">
        <f>IF(COUNTIFS(Offers!$A$2:$A$1487,D221,Offers!$C$2:$C$1487,F221,Offers!$B$2:$B$1487,E221,Offers!$E$2:$E$1487,H221,Offers!$I$2:$I$1487,"SKIPPED")=1,"YES","NO")</f>
        <v/>
      </c>
      <c r="P221" s="37">
        <f>IF(L221="NO","N/A",IF(COUNTIFS('Skip Docs'!$A$2:$A$7,F221,'Skip Docs'!$C$2:$C$7,E221,'Skip Docs'!$D$2:$D$7,H221,'Skip Docs'!$E$2:$E$7,J221)=1,"YES","NO"))</f>
        <v/>
      </c>
      <c r="Q221" s="37" t="inlineStr">
        <is>
          <t>Y</t>
        </is>
      </c>
      <c r="R221" s="37" t="inlineStr">
        <is>
          <t>SUSTAINED</t>
        </is>
      </c>
      <c r="S221" s="37">
        <f>IF(B221="YES","Verified contemporaneous proof",IF(L221="NO","No justification PDF supplied",IF(M221="NO","PDF is cover-only",IF(P221="NO","PDF content does not match logged slip/reason",IF(O221="NO","Offer event does not reconcile","Assembled after skip date")))))</f>
        <v/>
      </c>
    </row>
    <row r="222">
      <c r="A222" s="37">
        <f>IF(M222="NO","Priority 1",IF(N222="LATE","Priority 2",IF(B222="YES","OK","Priority 1")))</f>
        <v/>
      </c>
      <c r="B222" s="37">
        <f>IF(AND(L222="YES",M222="YES",N222="ON/BEFORE",O222="YES",P222="YES"),"YES","NO")</f>
        <v/>
      </c>
      <c r="C222" s="37" t="inlineStr">
        <is>
          <t>SKP-2025-0312</t>
        </is>
      </c>
      <c r="D222" s="37" t="inlineStr">
        <is>
          <t>OFR-2025-1181</t>
        </is>
      </c>
      <c r="E222" s="38" t="n">
        <v>45917</v>
      </c>
      <c r="F222" s="37" t="inlineStr">
        <is>
          <t>WL-01715</t>
        </is>
      </c>
      <c r="G222" s="37">
        <f>IFERROR(INDEX(Applicants!$C$2:$C$2911,MATCH(F222,Applicants!$A$2:$A$2911,0))&amp;" "&amp;INDEX(Applicants!$B$2:$B$2911,MATCH(F222,Applicants!$A$2:$A$2911,0)),"")</f>
        <v/>
      </c>
      <c r="H222" s="37" t="inlineStr">
        <is>
          <t>GW-0216</t>
        </is>
      </c>
      <c r="I222" s="37" t="inlineStr">
        <is>
          <t>Gullwing</t>
        </is>
      </c>
      <c r="J222" s="37" t="inlineStr">
        <is>
          <t>vessel-fit</t>
        </is>
      </c>
      <c r="K222" s="38" t="n">
        <v>45922</v>
      </c>
      <c r="L222" s="37">
        <f>IF(COUNTIFS('Skip Docs'!$A$2:$A$7,F222,'Skip Docs'!$C$2:$C$7,E222)&gt;0,"YES","NO")</f>
        <v/>
      </c>
      <c r="M222" s="37">
        <f>IF(L222="NO","NO",INDEX('Skip Docs'!$G$2:$G$7,MATCH(1,INDEX(('Skip Docs'!$A$2:$A$7=F222)*('Skip Docs'!$C$2:$C$7=E222),0),0)))</f>
        <v/>
      </c>
      <c r="N222" s="37">
        <f>IF(K222&lt;=E222,"ON/BEFORE","LATE")</f>
        <v/>
      </c>
      <c r="O222" s="37">
        <f>IF(COUNTIFS(Offers!$A$2:$A$1487,D222,Offers!$C$2:$C$1487,F222,Offers!$B$2:$B$1487,E222,Offers!$E$2:$E$1487,H222,Offers!$I$2:$I$1487,"SKIPPED")=1,"YES","NO")</f>
        <v/>
      </c>
      <c r="P222" s="37">
        <f>IF(L222="NO","N/A",IF(COUNTIFS('Skip Docs'!$A$2:$A$7,F222,'Skip Docs'!$C$2:$C$7,E222,'Skip Docs'!$D$2:$D$7,H222,'Skip Docs'!$E$2:$E$7,J222)=1,"YES","NO"))</f>
        <v/>
      </c>
      <c r="Q222" s="37" t="inlineStr">
        <is>
          <t>Y</t>
        </is>
      </c>
      <c r="R222" s="37" t="inlineStr">
        <is>
          <t>SUSTAINED</t>
        </is>
      </c>
      <c r="S222" s="37">
        <f>IF(B222="YES","Verified contemporaneous proof",IF(L222="NO","No justification PDF supplied",IF(M222="NO","PDF is cover-only",IF(P222="NO","PDF content does not match logged slip/reason",IF(O222="NO","Offer event does not reconcile","Assembled after skip date")))))</f>
        <v/>
      </c>
    </row>
    <row r="223">
      <c r="A223" s="37">
        <f>IF(M223="NO","Priority 1",IF(N223="LATE","Priority 2",IF(B223="YES","OK","Priority 1")))</f>
        <v/>
      </c>
      <c r="B223" s="37">
        <f>IF(AND(L223="YES",M223="YES",N223="ON/BEFORE",O223="YES",P223="YES"),"YES","NO")</f>
        <v/>
      </c>
      <c r="C223" s="37" t="inlineStr">
        <is>
          <t>SKP-2025-0313</t>
        </is>
      </c>
      <c r="D223" s="37" t="inlineStr">
        <is>
          <t>OFR-2025-1182</t>
        </is>
      </c>
      <c r="E223" s="38" t="n">
        <v>45903</v>
      </c>
      <c r="F223" s="37" t="inlineStr">
        <is>
          <t>WL-01334</t>
        </is>
      </c>
      <c r="G223" s="37">
        <f>IFERROR(INDEX(Applicants!$C$2:$C$2911,MATCH(F223,Applicants!$A$2:$A$2911,0))&amp;" "&amp;INDEX(Applicants!$B$2:$B$2911,MATCH(F223,Applicants!$A$2:$A$2911,0)),"")</f>
        <v/>
      </c>
      <c r="H223" s="37" t="inlineStr">
        <is>
          <t>LP-0514</t>
        </is>
      </c>
      <c r="I223" s="37" t="inlineStr">
        <is>
          <t>Ledgport</t>
        </is>
      </c>
      <c r="J223" s="37" t="inlineStr">
        <is>
          <t>not-current</t>
        </is>
      </c>
      <c r="K223" s="38" t="n">
        <v>45908</v>
      </c>
      <c r="L223" s="37">
        <f>IF(COUNTIFS('Skip Docs'!$A$2:$A$7,F223,'Skip Docs'!$C$2:$C$7,E223)&gt;0,"YES","NO")</f>
        <v/>
      </c>
      <c r="M223" s="37">
        <f>IF(L223="NO","NO",INDEX('Skip Docs'!$G$2:$G$7,MATCH(1,INDEX(('Skip Docs'!$A$2:$A$7=F223)*('Skip Docs'!$C$2:$C$7=E223),0),0)))</f>
        <v/>
      </c>
      <c r="N223" s="37">
        <f>IF(K223&lt;=E223,"ON/BEFORE","LATE")</f>
        <v/>
      </c>
      <c r="O223" s="37">
        <f>IF(COUNTIFS(Offers!$A$2:$A$1487,D223,Offers!$C$2:$C$1487,F223,Offers!$B$2:$B$1487,E223,Offers!$E$2:$E$1487,H223,Offers!$I$2:$I$1487,"SKIPPED")=1,"YES","NO")</f>
        <v/>
      </c>
      <c r="P223" s="37">
        <f>IF(L223="NO","N/A",IF(COUNTIFS('Skip Docs'!$A$2:$A$7,F223,'Skip Docs'!$C$2:$C$7,E223,'Skip Docs'!$D$2:$D$7,H223,'Skip Docs'!$E$2:$E$7,J223)=1,"YES","NO"))</f>
        <v/>
      </c>
      <c r="Q223" s="37" t="inlineStr">
        <is>
          <t>Y</t>
        </is>
      </c>
      <c r="R223" s="37" t="inlineStr">
        <is>
          <t>SUSTAINED</t>
        </is>
      </c>
      <c r="S223" s="37">
        <f>IF(B223="YES","Verified contemporaneous proof",IF(L223="NO","No justification PDF supplied",IF(M223="NO","PDF is cover-only",IF(P223="NO","PDF content does not match logged slip/reason",IF(O223="NO","Offer event does not reconcile","Assembled after skip date")))))</f>
        <v/>
      </c>
    </row>
    <row r="224">
      <c r="A224" s="37">
        <f>IF(M224="NO","Priority 1",IF(N224="LATE","Priority 2",IF(B224="YES","OK","Priority 1")))</f>
        <v/>
      </c>
      <c r="B224" s="37">
        <f>IF(AND(L224="YES",M224="YES",N224="ON/BEFORE",O224="YES",P224="YES"),"YES","NO")</f>
        <v/>
      </c>
      <c r="C224" s="37" t="inlineStr">
        <is>
          <t>SKP-2025-0314</t>
        </is>
      </c>
      <c r="D224" s="37" t="inlineStr">
        <is>
          <t>OFR-2025-1185</t>
        </is>
      </c>
      <c r="E224" s="38" t="n">
        <v>45917</v>
      </c>
      <c r="F224" s="37" t="inlineStr">
        <is>
          <t>WL-02428</t>
        </is>
      </c>
      <c r="G224" s="37">
        <f>IFERROR(INDEX(Applicants!$C$2:$C$2911,MATCH(F224,Applicants!$A$2:$A$2911,0))&amp;" "&amp;INDEX(Applicants!$B$2:$B$2911,MATCH(F224,Applicants!$A$2:$A$2911,0)),"")</f>
        <v/>
      </c>
      <c r="H224" s="37" t="inlineStr">
        <is>
          <t>SB-0109</t>
        </is>
      </c>
      <c r="I224" s="37" t="inlineStr">
        <is>
          <t>Salmonberry</t>
        </is>
      </c>
      <c r="J224" s="37" t="inlineStr">
        <is>
          <t>vessel-fit</t>
        </is>
      </c>
      <c r="K224" s="38" t="n">
        <v>45919</v>
      </c>
      <c r="L224" s="37">
        <f>IF(COUNTIFS('Skip Docs'!$A$2:$A$7,F224,'Skip Docs'!$C$2:$C$7,E224)&gt;0,"YES","NO")</f>
        <v/>
      </c>
      <c r="M224" s="37">
        <f>IF(L224="NO","NO",INDEX('Skip Docs'!$G$2:$G$7,MATCH(1,INDEX(('Skip Docs'!$A$2:$A$7=F224)*('Skip Docs'!$C$2:$C$7=E224),0),0)))</f>
        <v/>
      </c>
      <c r="N224" s="37">
        <f>IF(K224&lt;=E224,"ON/BEFORE","LATE")</f>
        <v/>
      </c>
      <c r="O224" s="37">
        <f>IF(COUNTIFS(Offers!$A$2:$A$1487,D224,Offers!$C$2:$C$1487,F224,Offers!$B$2:$B$1487,E224,Offers!$E$2:$E$1487,H224,Offers!$I$2:$I$1487,"SKIPPED")=1,"YES","NO")</f>
        <v/>
      </c>
      <c r="P224" s="37">
        <f>IF(L224="NO","N/A",IF(COUNTIFS('Skip Docs'!$A$2:$A$7,F224,'Skip Docs'!$C$2:$C$7,E224,'Skip Docs'!$D$2:$D$7,H224,'Skip Docs'!$E$2:$E$7,J224)=1,"YES","NO"))</f>
        <v/>
      </c>
      <c r="Q224" s="37" t="inlineStr">
        <is>
          <t>Y</t>
        </is>
      </c>
      <c r="R224" s="37" t="inlineStr">
        <is>
          <t>SUSTAINED</t>
        </is>
      </c>
      <c r="S224" s="37">
        <f>IF(B224="YES","Verified contemporaneous proof",IF(L224="NO","No justification PDF supplied",IF(M224="NO","PDF is cover-only",IF(P224="NO","PDF content does not match logged slip/reason",IF(O224="NO","Offer event does not reconcile","Assembled after skip date")))))</f>
        <v/>
      </c>
    </row>
    <row r="225">
      <c r="A225" s="37">
        <f>IF(M225="NO","Priority 1",IF(N225="LATE","Priority 2",IF(B225="YES","OK","Priority 1")))</f>
        <v/>
      </c>
      <c r="B225" s="37">
        <f>IF(AND(L225="YES",M225="YES",N225="ON/BEFORE",O225="YES",P225="YES"),"YES","NO")</f>
        <v/>
      </c>
      <c r="C225" s="37" t="inlineStr">
        <is>
          <t>SKP-2025-0315</t>
        </is>
      </c>
      <c r="D225" s="37" t="inlineStr">
        <is>
          <t>OFR-2025-1188</t>
        </is>
      </c>
      <c r="E225" s="38" t="n">
        <v>45922</v>
      </c>
      <c r="F225" s="37" t="inlineStr">
        <is>
          <t>WL-03861</t>
        </is>
      </c>
      <c r="G225" s="37">
        <f>IFERROR(INDEX(Applicants!$C$2:$C$2911,MATCH(F225,Applicants!$A$2:$A$2911,0))&amp;" "&amp;INDEX(Applicants!$B$2:$B$2911,MATCH(F225,Applicants!$A$2:$A$2911,0)),"")</f>
        <v/>
      </c>
      <c r="H225" s="37" t="inlineStr">
        <is>
          <t>VB-0123</t>
        </is>
      </c>
      <c r="I225" s="37" t="inlineStr">
        <is>
          <t>Vessbank</t>
        </is>
      </c>
      <c r="J225" s="37" t="inlineStr">
        <is>
          <t>not-current</t>
        </is>
      </c>
      <c r="K225" s="38" t="n">
        <v>45922</v>
      </c>
      <c r="L225" s="37">
        <f>IF(COUNTIFS('Skip Docs'!$A$2:$A$7,F225,'Skip Docs'!$C$2:$C$7,E225)&gt;0,"YES","NO")</f>
        <v/>
      </c>
      <c r="M225" s="37">
        <f>IF(L225="NO","NO",INDEX('Skip Docs'!$G$2:$G$7,MATCH(1,INDEX(('Skip Docs'!$A$2:$A$7=F225)*('Skip Docs'!$C$2:$C$7=E225),0),0)))</f>
        <v/>
      </c>
      <c r="N225" s="37">
        <f>IF(K225&lt;=E225,"ON/BEFORE","LATE")</f>
        <v/>
      </c>
      <c r="O225" s="37">
        <f>IF(COUNTIFS(Offers!$A$2:$A$1487,D225,Offers!$C$2:$C$1487,F225,Offers!$B$2:$B$1487,E225,Offers!$E$2:$E$1487,H225,Offers!$I$2:$I$1487,"SKIPPED")=1,"YES","NO")</f>
        <v/>
      </c>
      <c r="P225" s="37">
        <f>IF(L225="NO","N/A",IF(COUNTIFS('Skip Docs'!$A$2:$A$7,F225,'Skip Docs'!$C$2:$C$7,E225,'Skip Docs'!$D$2:$D$7,H225,'Skip Docs'!$E$2:$E$7,J225)=1,"YES","NO"))</f>
        <v/>
      </c>
      <c r="Q225" s="37" t="inlineStr">
        <is>
          <t>Y</t>
        </is>
      </c>
      <c r="R225" s="37" t="inlineStr">
        <is>
          <t>SUSTAINED</t>
        </is>
      </c>
      <c r="S225" s="37">
        <f>IF(B225="YES","Verified contemporaneous proof",IF(L225="NO","No justification PDF supplied",IF(M225="NO","PDF is cover-only",IF(P225="NO","PDF content does not match logged slip/reason",IF(O225="NO","Offer event does not reconcile","Assembled after skip date")))))</f>
        <v/>
      </c>
    </row>
    <row r="226">
      <c r="A226" s="37">
        <f>IF(M226="NO","Priority 1",IF(N226="LATE","Priority 2",IF(B226="YES","OK","Priority 1")))</f>
        <v/>
      </c>
      <c r="B226" s="37">
        <f>IF(AND(L226="YES",M226="YES",N226="ON/BEFORE",O226="YES",P226="YES"),"YES","NO")</f>
        <v/>
      </c>
      <c r="C226" s="37" t="inlineStr">
        <is>
          <t>SKP-2025-0316</t>
        </is>
      </c>
      <c r="D226" s="37" t="inlineStr">
        <is>
          <t>OFR-2025-1189</t>
        </is>
      </c>
      <c r="E226" s="38" t="n">
        <v>45920</v>
      </c>
      <c r="F226" s="37" t="inlineStr">
        <is>
          <t>WL-02153</t>
        </is>
      </c>
      <c r="G226" s="37">
        <f>IFERROR(INDEX(Applicants!$C$2:$C$2911,MATCH(F226,Applicants!$A$2:$A$2911,0))&amp;" "&amp;INDEX(Applicants!$B$2:$B$2911,MATCH(F226,Applicants!$A$2:$A$2911,0)),"")</f>
        <v/>
      </c>
      <c r="H226" s="37" t="inlineStr">
        <is>
          <t>LP-0113</t>
        </is>
      </c>
      <c r="I226" s="37" t="inlineStr">
        <is>
          <t>Ledgport</t>
        </is>
      </c>
      <c r="J226" s="37" t="inlineStr">
        <is>
          <t>preference-mismatch</t>
        </is>
      </c>
      <c r="K226" s="38" t="n">
        <v>45920</v>
      </c>
      <c r="L226" s="37">
        <f>IF(COUNTIFS('Skip Docs'!$A$2:$A$7,F226,'Skip Docs'!$C$2:$C$7,E226)&gt;0,"YES","NO")</f>
        <v/>
      </c>
      <c r="M226" s="37">
        <f>IF(L226="NO","NO",INDEX('Skip Docs'!$G$2:$G$7,MATCH(1,INDEX(('Skip Docs'!$A$2:$A$7=F226)*('Skip Docs'!$C$2:$C$7=E226),0),0)))</f>
        <v/>
      </c>
      <c r="N226" s="37">
        <f>IF(K226&lt;=E226,"ON/BEFORE","LATE")</f>
        <v/>
      </c>
      <c r="O226" s="37">
        <f>IF(COUNTIFS(Offers!$A$2:$A$1487,D226,Offers!$C$2:$C$1487,F226,Offers!$B$2:$B$1487,E226,Offers!$E$2:$E$1487,H226,Offers!$I$2:$I$1487,"SKIPPED")=1,"YES","NO")</f>
        <v/>
      </c>
      <c r="P226" s="37">
        <f>IF(L226="NO","N/A",IF(COUNTIFS('Skip Docs'!$A$2:$A$7,F226,'Skip Docs'!$C$2:$C$7,E226,'Skip Docs'!$D$2:$D$7,H226,'Skip Docs'!$E$2:$E$7,J226)=1,"YES","NO"))</f>
        <v/>
      </c>
      <c r="Q226" s="37" t="inlineStr">
        <is>
          <t>Y</t>
        </is>
      </c>
      <c r="R226" s="37" t="inlineStr">
        <is>
          <t>SUSTAINED</t>
        </is>
      </c>
      <c r="S226" s="37">
        <f>IF(B226="YES","Verified contemporaneous proof",IF(L226="NO","No justification PDF supplied",IF(M226="NO","PDF is cover-only",IF(P226="NO","PDF content does not match logged slip/reason",IF(O226="NO","Offer event does not reconcile","Assembled after skip date")))))</f>
        <v/>
      </c>
    </row>
    <row r="227">
      <c r="A227" s="37">
        <f>IF(M227="NO","Priority 1",IF(N227="LATE","Priority 2",IF(B227="YES","OK","Priority 1")))</f>
        <v/>
      </c>
      <c r="B227" s="37">
        <f>IF(AND(L227="YES",M227="YES",N227="ON/BEFORE",O227="YES",P227="YES"),"YES","NO")</f>
        <v/>
      </c>
      <c r="C227" s="37" t="inlineStr">
        <is>
          <t>SKP-2025-0317</t>
        </is>
      </c>
      <c r="D227" s="37" t="inlineStr">
        <is>
          <t>OFR-2025-1195</t>
        </is>
      </c>
      <c r="E227" s="38" t="n">
        <v>45923</v>
      </c>
      <c r="F227" s="37" t="inlineStr">
        <is>
          <t>WL-02445</t>
        </is>
      </c>
      <c r="G227" s="37">
        <f>IFERROR(INDEX(Applicants!$C$2:$C$2911,MATCH(F227,Applicants!$A$2:$A$2911,0))&amp;" "&amp;INDEX(Applicants!$B$2:$B$2911,MATCH(F227,Applicants!$A$2:$A$2911,0)),"")</f>
        <v/>
      </c>
      <c r="H227" s="37" t="inlineStr">
        <is>
          <t>SB-0222</t>
        </is>
      </c>
      <c r="I227" s="37" t="inlineStr">
        <is>
          <t>Salmonberry</t>
        </is>
      </c>
      <c r="J227" s="37" t="inlineStr">
        <is>
          <t>vessel-fit</t>
        </is>
      </c>
      <c r="K227" s="38" t="n">
        <v>45924</v>
      </c>
      <c r="L227" s="37">
        <f>IF(COUNTIFS('Skip Docs'!$A$2:$A$7,F227,'Skip Docs'!$C$2:$C$7,E227)&gt;0,"YES","NO")</f>
        <v/>
      </c>
      <c r="M227" s="37">
        <f>IF(L227="NO","NO",INDEX('Skip Docs'!$G$2:$G$7,MATCH(1,INDEX(('Skip Docs'!$A$2:$A$7=F227)*('Skip Docs'!$C$2:$C$7=E227),0),0)))</f>
        <v/>
      </c>
      <c r="N227" s="37">
        <f>IF(K227&lt;=E227,"ON/BEFORE","LATE")</f>
        <v/>
      </c>
      <c r="O227" s="37">
        <f>IF(COUNTIFS(Offers!$A$2:$A$1487,D227,Offers!$C$2:$C$1487,F227,Offers!$B$2:$B$1487,E227,Offers!$E$2:$E$1487,H227,Offers!$I$2:$I$1487,"SKIPPED")=1,"YES","NO")</f>
        <v/>
      </c>
      <c r="P227" s="37">
        <f>IF(L227="NO","N/A",IF(COUNTIFS('Skip Docs'!$A$2:$A$7,F227,'Skip Docs'!$C$2:$C$7,E227,'Skip Docs'!$D$2:$D$7,H227,'Skip Docs'!$E$2:$E$7,J227)=1,"YES","NO"))</f>
        <v/>
      </c>
      <c r="Q227" s="37" t="inlineStr">
        <is>
          <t>Y</t>
        </is>
      </c>
      <c r="R227" s="37" t="inlineStr">
        <is>
          <t>SUSTAINED</t>
        </is>
      </c>
      <c r="S227" s="37">
        <f>IF(B227="YES","Verified contemporaneous proof",IF(L227="NO","No justification PDF supplied",IF(M227="NO","PDF is cover-only",IF(P227="NO","PDF content does not match logged slip/reason",IF(O227="NO","Offer event does not reconcile","Assembled after skip date")))))</f>
        <v/>
      </c>
    </row>
    <row r="228">
      <c r="A228" s="37">
        <f>IF(M228="NO","Priority 1",IF(N228="LATE","Priority 2",IF(B228="YES","OK","Priority 1")))</f>
        <v/>
      </c>
      <c r="B228" s="37">
        <f>IF(AND(L228="YES",M228="YES",N228="ON/BEFORE",O228="YES",P228="YES"),"YES","NO")</f>
        <v/>
      </c>
      <c r="C228" s="37" t="inlineStr">
        <is>
          <t>SKP-2025-0318</t>
        </is>
      </c>
      <c r="D228" s="37" t="inlineStr">
        <is>
          <t>OFR-2025-1197</t>
        </is>
      </c>
      <c r="E228" s="38" t="n">
        <v>45919</v>
      </c>
      <c r="F228" s="37" t="inlineStr">
        <is>
          <t>WL-02890</t>
        </is>
      </c>
      <c r="G228" s="37">
        <f>IFERROR(INDEX(Applicants!$C$2:$C$2911,MATCH(F228,Applicants!$A$2:$A$2911,0))&amp;" "&amp;INDEX(Applicants!$B$2:$B$2911,MATCH(F228,Applicants!$A$2:$A$2911,0)),"")</f>
        <v/>
      </c>
      <c r="H228" s="37" t="inlineStr">
        <is>
          <t>EW-0716</t>
        </is>
      </c>
      <c r="I228" s="37" t="inlineStr">
        <is>
          <t>Eastwey</t>
        </is>
      </c>
      <c r="J228" s="37" t="inlineStr">
        <is>
          <t>not-current</t>
        </is>
      </c>
      <c r="K228" s="38" t="n">
        <v>45922</v>
      </c>
      <c r="L228" s="37">
        <f>IF(COUNTIFS('Skip Docs'!$A$2:$A$7,F228,'Skip Docs'!$C$2:$C$7,E228)&gt;0,"YES","NO")</f>
        <v/>
      </c>
      <c r="M228" s="37">
        <f>IF(L228="NO","NO",INDEX('Skip Docs'!$G$2:$G$7,MATCH(1,INDEX(('Skip Docs'!$A$2:$A$7=F228)*('Skip Docs'!$C$2:$C$7=E228),0),0)))</f>
        <v/>
      </c>
      <c r="N228" s="37">
        <f>IF(K228&lt;=E228,"ON/BEFORE","LATE")</f>
        <v/>
      </c>
      <c r="O228" s="37">
        <f>IF(COUNTIFS(Offers!$A$2:$A$1487,D228,Offers!$C$2:$C$1487,F228,Offers!$B$2:$B$1487,E228,Offers!$E$2:$E$1487,H228,Offers!$I$2:$I$1487,"SKIPPED")=1,"YES","NO")</f>
        <v/>
      </c>
      <c r="P228" s="37">
        <f>IF(L228="NO","N/A",IF(COUNTIFS('Skip Docs'!$A$2:$A$7,F228,'Skip Docs'!$C$2:$C$7,E228,'Skip Docs'!$D$2:$D$7,H228,'Skip Docs'!$E$2:$E$7,J228)=1,"YES","NO"))</f>
        <v/>
      </c>
      <c r="Q228" s="37" t="inlineStr">
        <is>
          <t>Y</t>
        </is>
      </c>
      <c r="R228" s="37" t="inlineStr">
        <is>
          <t>SUSTAINED</t>
        </is>
      </c>
      <c r="S228" s="37">
        <f>IF(B228="YES","Verified contemporaneous proof",IF(L228="NO","No justification PDF supplied",IF(M228="NO","PDF is cover-only",IF(P228="NO","PDF content does not match logged slip/reason",IF(O228="NO","Offer event does not reconcile","Assembled after skip date")))))</f>
        <v/>
      </c>
    </row>
    <row r="229">
      <c r="A229" s="37">
        <f>IF(M229="NO","Priority 1",IF(N229="LATE","Priority 2",IF(B229="YES","OK","Priority 1")))</f>
        <v/>
      </c>
      <c r="B229" s="37">
        <f>IF(AND(L229="YES",M229="YES",N229="ON/BEFORE",O229="YES",P229="YES"),"YES","NO")</f>
        <v/>
      </c>
      <c r="C229" s="37" t="inlineStr">
        <is>
          <t>SKP-2025-0319</t>
        </is>
      </c>
      <c r="D229" s="37" t="inlineStr">
        <is>
          <t>OFR-2025-1199</t>
        </is>
      </c>
      <c r="E229" s="38" t="n">
        <v>45920</v>
      </c>
      <c r="F229" s="37" t="inlineStr">
        <is>
          <t>WL-01913</t>
        </is>
      </c>
      <c r="G229" s="37">
        <f>IFERROR(INDEX(Applicants!$C$2:$C$2911,MATCH(F229,Applicants!$A$2:$A$2911,0))&amp;" "&amp;INDEX(Applicants!$B$2:$B$2911,MATCH(F229,Applicants!$A$2:$A$2911,0)),"")</f>
        <v/>
      </c>
      <c r="H229" s="37" t="inlineStr">
        <is>
          <t>EW-0819</t>
        </is>
      </c>
      <c r="I229" s="37" t="inlineStr">
        <is>
          <t>Eastwey</t>
        </is>
      </c>
      <c r="J229" s="37" t="inlineStr">
        <is>
          <t>preference-mismatch</t>
        </is>
      </c>
      <c r="K229" s="38" t="n">
        <v>45920</v>
      </c>
      <c r="L229" s="37">
        <f>IF(COUNTIFS('Skip Docs'!$A$2:$A$7,F229,'Skip Docs'!$C$2:$C$7,E229)&gt;0,"YES","NO")</f>
        <v/>
      </c>
      <c r="M229" s="37">
        <f>IF(L229="NO","NO",INDEX('Skip Docs'!$G$2:$G$7,MATCH(1,INDEX(('Skip Docs'!$A$2:$A$7=F229)*('Skip Docs'!$C$2:$C$7=E229),0),0)))</f>
        <v/>
      </c>
      <c r="N229" s="37">
        <f>IF(K229&lt;=E229,"ON/BEFORE","LATE")</f>
        <v/>
      </c>
      <c r="O229" s="37">
        <f>IF(COUNTIFS(Offers!$A$2:$A$1487,D229,Offers!$C$2:$C$1487,F229,Offers!$B$2:$B$1487,E229,Offers!$E$2:$E$1487,H229,Offers!$I$2:$I$1487,"SKIPPED")=1,"YES","NO")</f>
        <v/>
      </c>
      <c r="P229" s="37">
        <f>IF(L229="NO","N/A",IF(COUNTIFS('Skip Docs'!$A$2:$A$7,F229,'Skip Docs'!$C$2:$C$7,E229,'Skip Docs'!$D$2:$D$7,H229,'Skip Docs'!$E$2:$E$7,J229)=1,"YES","NO"))</f>
        <v/>
      </c>
      <c r="Q229" s="37" t="inlineStr">
        <is>
          <t>Y</t>
        </is>
      </c>
      <c r="R229" s="37" t="inlineStr">
        <is>
          <t>SUSTAINED</t>
        </is>
      </c>
      <c r="S229" s="37">
        <f>IF(B229="YES","Verified contemporaneous proof",IF(L229="NO","No justification PDF supplied",IF(M229="NO","PDF is cover-only",IF(P229="NO","PDF content does not match logged slip/reason",IF(O229="NO","Offer event does not reconcile","Assembled after skip date")))))</f>
        <v/>
      </c>
    </row>
    <row r="230">
      <c r="A230" s="37">
        <f>IF(M230="NO","Priority 1",IF(N230="LATE","Priority 2",IF(B230="YES","OK","Priority 1")))</f>
        <v/>
      </c>
      <c r="B230" s="37">
        <f>IF(AND(L230="YES",M230="YES",N230="ON/BEFORE",O230="YES",P230="YES"),"YES","NO")</f>
        <v/>
      </c>
      <c r="C230" s="37" t="inlineStr">
        <is>
          <t>SKP-2025-0320</t>
        </is>
      </c>
      <c r="D230" s="37" t="inlineStr">
        <is>
          <t>OFR-2025-1201</t>
        </is>
      </c>
      <c r="E230" s="38" t="n">
        <v>45909</v>
      </c>
      <c r="F230" s="37" t="inlineStr">
        <is>
          <t>WL-02167</t>
        </is>
      </c>
      <c r="G230" s="37">
        <f>IFERROR(INDEX(Applicants!$C$2:$C$2911,MATCH(F230,Applicants!$A$2:$A$2911,0))&amp;" "&amp;INDEX(Applicants!$B$2:$B$2911,MATCH(F230,Applicants!$A$2:$A$2911,0)),"")</f>
        <v/>
      </c>
      <c r="H230" s="37" t="inlineStr">
        <is>
          <t>VB-0304</t>
        </is>
      </c>
      <c r="I230" s="37" t="inlineStr">
        <is>
          <t>Vessbank</t>
        </is>
      </c>
      <c r="J230" s="37" t="inlineStr">
        <is>
          <t>vessel-fit</t>
        </is>
      </c>
      <c r="K230" s="38" t="n">
        <v>45911</v>
      </c>
      <c r="L230" s="37">
        <f>IF(COUNTIFS('Skip Docs'!$A$2:$A$7,F230,'Skip Docs'!$C$2:$C$7,E230)&gt;0,"YES","NO")</f>
        <v/>
      </c>
      <c r="M230" s="37">
        <f>IF(L230="NO","NO",INDEX('Skip Docs'!$G$2:$G$7,MATCH(1,INDEX(('Skip Docs'!$A$2:$A$7=F230)*('Skip Docs'!$C$2:$C$7=E230),0),0)))</f>
        <v/>
      </c>
      <c r="N230" s="37">
        <f>IF(K230&lt;=E230,"ON/BEFORE","LATE")</f>
        <v/>
      </c>
      <c r="O230" s="37">
        <f>IF(COUNTIFS(Offers!$A$2:$A$1487,D230,Offers!$C$2:$C$1487,F230,Offers!$B$2:$B$1487,E230,Offers!$E$2:$E$1487,H230,Offers!$I$2:$I$1487,"SKIPPED")=1,"YES","NO")</f>
        <v/>
      </c>
      <c r="P230" s="37">
        <f>IF(L230="NO","N/A",IF(COUNTIFS('Skip Docs'!$A$2:$A$7,F230,'Skip Docs'!$C$2:$C$7,E230,'Skip Docs'!$D$2:$D$7,H230,'Skip Docs'!$E$2:$E$7,J230)=1,"YES","NO"))</f>
        <v/>
      </c>
      <c r="Q230" s="37" t="inlineStr">
        <is>
          <t>Y</t>
        </is>
      </c>
      <c r="R230" s="37" t="inlineStr">
        <is>
          <t>SUSTAINED</t>
        </is>
      </c>
      <c r="S230" s="37">
        <f>IF(B230="YES","Verified contemporaneous proof",IF(L230="NO","No justification PDF supplied",IF(M230="NO","PDF is cover-only",IF(P230="NO","PDF content does not match logged slip/reason",IF(O230="NO","Offer event does not reconcile","Assembled after skip date")))))</f>
        <v/>
      </c>
    </row>
    <row r="231">
      <c r="A231" s="37">
        <f>IF(M231="NO","Priority 1",IF(N231="LATE","Priority 2",IF(B231="YES","OK","Priority 1")))</f>
        <v/>
      </c>
      <c r="B231" s="37">
        <f>IF(AND(L231="YES",M231="YES",N231="ON/BEFORE",O231="YES",P231="YES"),"YES","NO")</f>
        <v/>
      </c>
      <c r="C231" s="37" t="inlineStr">
        <is>
          <t>SKP-2025-0321</t>
        </is>
      </c>
      <c r="D231" s="37" t="inlineStr">
        <is>
          <t>OFR-2025-1207</t>
        </is>
      </c>
      <c r="E231" s="38" t="n">
        <v>45911</v>
      </c>
      <c r="F231" s="37" t="inlineStr">
        <is>
          <t>WL-03865</t>
        </is>
      </c>
      <c r="G231" s="37">
        <f>IFERROR(INDEX(Applicants!$C$2:$C$2911,MATCH(F231,Applicants!$A$2:$A$2911,0))&amp;" "&amp;INDEX(Applicants!$B$2:$B$2911,MATCH(F231,Applicants!$A$2:$A$2911,0)),"")</f>
        <v/>
      </c>
      <c r="H231" s="37" t="inlineStr">
        <is>
          <t>SB-0106</t>
        </is>
      </c>
      <c r="I231" s="37" t="inlineStr">
        <is>
          <t>Salmonberry</t>
        </is>
      </c>
      <c r="J231" s="37" t="inlineStr">
        <is>
          <t>declined-prior-offer</t>
        </is>
      </c>
      <c r="K231" s="38" t="n">
        <v>45915</v>
      </c>
      <c r="L231" s="37">
        <f>IF(COUNTIFS('Skip Docs'!$A$2:$A$7,F231,'Skip Docs'!$C$2:$C$7,E231)&gt;0,"YES","NO")</f>
        <v/>
      </c>
      <c r="M231" s="37">
        <f>IF(L231="NO","NO",INDEX('Skip Docs'!$G$2:$G$7,MATCH(1,INDEX(('Skip Docs'!$A$2:$A$7=F231)*('Skip Docs'!$C$2:$C$7=E231),0),0)))</f>
        <v/>
      </c>
      <c r="N231" s="37">
        <f>IF(K231&lt;=E231,"ON/BEFORE","LATE")</f>
        <v/>
      </c>
      <c r="O231" s="37">
        <f>IF(COUNTIFS(Offers!$A$2:$A$1487,D231,Offers!$C$2:$C$1487,F231,Offers!$B$2:$B$1487,E231,Offers!$E$2:$E$1487,H231,Offers!$I$2:$I$1487,"SKIPPED")=1,"YES","NO")</f>
        <v/>
      </c>
      <c r="P231" s="37">
        <f>IF(L231="NO","N/A",IF(COUNTIFS('Skip Docs'!$A$2:$A$7,F231,'Skip Docs'!$C$2:$C$7,E231,'Skip Docs'!$D$2:$D$7,H231,'Skip Docs'!$E$2:$E$7,J231)=1,"YES","NO"))</f>
        <v/>
      </c>
      <c r="Q231" s="37" t="inlineStr">
        <is>
          <t>Y</t>
        </is>
      </c>
      <c r="R231" s="37" t="inlineStr">
        <is>
          <t>SUSTAINED</t>
        </is>
      </c>
      <c r="S231" s="37">
        <f>IF(B231="YES","Verified contemporaneous proof",IF(L231="NO","No justification PDF supplied",IF(M231="NO","PDF is cover-only",IF(P231="NO","PDF content does not match logged slip/reason",IF(O231="NO","Offer event does not reconcile","Assembled after skip date")))))</f>
        <v/>
      </c>
    </row>
    <row r="232">
      <c r="A232" s="37">
        <f>IF(M232="NO","Priority 1",IF(N232="LATE","Priority 2",IF(B232="YES","OK","Priority 1")))</f>
        <v/>
      </c>
      <c r="B232" s="37">
        <f>IF(AND(L232="YES",M232="YES",N232="ON/BEFORE",O232="YES",P232="YES"),"YES","NO")</f>
        <v/>
      </c>
      <c r="C232" s="37" t="inlineStr">
        <is>
          <t>SKP-2025-0322</t>
        </is>
      </c>
      <c r="D232" s="37" t="inlineStr">
        <is>
          <t>OFR-2025-1208</t>
        </is>
      </c>
      <c r="E232" s="38" t="n">
        <v>45905</v>
      </c>
      <c r="F232" s="37" t="inlineStr">
        <is>
          <t>WL-02002</t>
        </is>
      </c>
      <c r="G232" s="37">
        <f>IFERROR(INDEX(Applicants!$C$2:$C$2911,MATCH(F232,Applicants!$A$2:$A$2911,0))&amp;" "&amp;INDEX(Applicants!$B$2:$B$2911,MATCH(F232,Applicants!$A$2:$A$2911,0)),"")</f>
        <v/>
      </c>
      <c r="H232" s="37" t="inlineStr">
        <is>
          <t>LP-0822</t>
        </is>
      </c>
      <c r="I232" s="37" t="inlineStr">
        <is>
          <t>Ledgport</t>
        </is>
      </c>
      <c r="J232" s="37" t="inlineStr">
        <is>
          <t>not-current</t>
        </is>
      </c>
      <c r="K232" s="38" t="n">
        <v>45909</v>
      </c>
      <c r="L232" s="37">
        <f>IF(COUNTIFS('Skip Docs'!$A$2:$A$7,F232,'Skip Docs'!$C$2:$C$7,E232)&gt;0,"YES","NO")</f>
        <v/>
      </c>
      <c r="M232" s="37">
        <f>IF(L232="NO","NO",INDEX('Skip Docs'!$G$2:$G$7,MATCH(1,INDEX(('Skip Docs'!$A$2:$A$7=F232)*('Skip Docs'!$C$2:$C$7=E232),0),0)))</f>
        <v/>
      </c>
      <c r="N232" s="37">
        <f>IF(K232&lt;=E232,"ON/BEFORE","LATE")</f>
        <v/>
      </c>
      <c r="O232" s="37">
        <f>IF(COUNTIFS(Offers!$A$2:$A$1487,D232,Offers!$C$2:$C$1487,F232,Offers!$B$2:$B$1487,E232,Offers!$E$2:$E$1487,H232,Offers!$I$2:$I$1487,"SKIPPED")=1,"YES","NO")</f>
        <v/>
      </c>
      <c r="P232" s="37">
        <f>IF(L232="NO","N/A",IF(COUNTIFS('Skip Docs'!$A$2:$A$7,F232,'Skip Docs'!$C$2:$C$7,E232,'Skip Docs'!$D$2:$D$7,H232,'Skip Docs'!$E$2:$E$7,J232)=1,"YES","NO"))</f>
        <v/>
      </c>
      <c r="Q232" s="37" t="inlineStr">
        <is>
          <t>Y</t>
        </is>
      </c>
      <c r="R232" s="37" t="inlineStr">
        <is>
          <t>SUSTAINED</t>
        </is>
      </c>
      <c r="S232" s="37">
        <f>IF(B232="YES","Verified contemporaneous proof",IF(L232="NO","No justification PDF supplied",IF(M232="NO","PDF is cover-only",IF(P232="NO","PDF content does not match logged slip/reason",IF(O232="NO","Offer event does not reconcile","Assembled after skip date")))))</f>
        <v/>
      </c>
    </row>
    <row r="233">
      <c r="A233" s="37">
        <f>IF(M233="NO","Priority 1",IF(N233="LATE","Priority 2",IF(B233="YES","OK","Priority 1")))</f>
        <v/>
      </c>
      <c r="B233" s="37">
        <f>IF(AND(L233="YES",M233="YES",N233="ON/BEFORE",O233="YES",P233="YES"),"YES","NO")</f>
        <v/>
      </c>
      <c r="C233" s="37" t="inlineStr">
        <is>
          <t>SKP-2025-0323</t>
        </is>
      </c>
      <c r="D233" s="37" t="inlineStr">
        <is>
          <t>OFR-2025-1212</t>
        </is>
      </c>
      <c r="E233" s="38" t="n">
        <v>45956</v>
      </c>
      <c r="F233" s="37" t="inlineStr">
        <is>
          <t>WL-02284</t>
        </is>
      </c>
      <c r="G233" s="37">
        <f>IFERROR(INDEX(Applicants!$C$2:$C$2911,MATCH(F233,Applicants!$A$2:$A$2911,0))&amp;" "&amp;INDEX(Applicants!$B$2:$B$2911,MATCH(F233,Applicants!$A$2:$A$2911,0)),"")</f>
        <v/>
      </c>
      <c r="H233" s="37" t="inlineStr">
        <is>
          <t>SB-0801</t>
        </is>
      </c>
      <c r="I233" s="37" t="inlineStr">
        <is>
          <t>Salmonberry</t>
        </is>
      </c>
      <c r="J233" s="37" t="inlineStr">
        <is>
          <t>vessel-fit</t>
        </is>
      </c>
      <c r="K233" s="38" t="n">
        <v>45959</v>
      </c>
      <c r="L233" s="37">
        <f>IF(COUNTIFS('Skip Docs'!$A$2:$A$7,F233,'Skip Docs'!$C$2:$C$7,E233)&gt;0,"YES","NO")</f>
        <v/>
      </c>
      <c r="M233" s="37">
        <f>IF(L233="NO","NO",INDEX('Skip Docs'!$G$2:$G$7,MATCH(1,INDEX(('Skip Docs'!$A$2:$A$7=F233)*('Skip Docs'!$C$2:$C$7=E233),0),0)))</f>
        <v/>
      </c>
      <c r="N233" s="37">
        <f>IF(K233&lt;=E233,"ON/BEFORE","LATE")</f>
        <v/>
      </c>
      <c r="O233" s="37">
        <f>IF(COUNTIFS(Offers!$A$2:$A$1487,D233,Offers!$C$2:$C$1487,F233,Offers!$B$2:$B$1487,E233,Offers!$E$2:$E$1487,H233,Offers!$I$2:$I$1487,"SKIPPED")=1,"YES","NO")</f>
        <v/>
      </c>
      <c r="P233" s="37">
        <f>IF(L233="NO","N/A",IF(COUNTIFS('Skip Docs'!$A$2:$A$7,F233,'Skip Docs'!$C$2:$C$7,E233,'Skip Docs'!$D$2:$D$7,H233,'Skip Docs'!$E$2:$E$7,J233)=1,"YES","NO"))</f>
        <v/>
      </c>
      <c r="Q233" s="37" t="inlineStr">
        <is>
          <t>Y</t>
        </is>
      </c>
      <c r="R233" s="37" t="inlineStr">
        <is>
          <t>SUSTAINED</t>
        </is>
      </c>
      <c r="S233" s="37">
        <f>IF(B233="YES","Verified contemporaneous proof",IF(L233="NO","No justification PDF supplied",IF(M233="NO","PDF is cover-only",IF(P233="NO","PDF content does not match logged slip/reason",IF(O233="NO","Offer event does not reconcile","Assembled after skip date")))))</f>
        <v/>
      </c>
    </row>
    <row r="234">
      <c r="A234" s="37">
        <f>IF(M234="NO","Priority 1",IF(N234="LATE","Priority 2",IF(B234="YES","OK","Priority 1")))</f>
        <v/>
      </c>
      <c r="B234" s="37">
        <f>IF(AND(L234="YES",M234="YES",N234="ON/BEFORE",O234="YES",P234="YES"),"YES","NO")</f>
        <v/>
      </c>
      <c r="C234" s="37" t="inlineStr">
        <is>
          <t>SKP-2025-0324</t>
        </is>
      </c>
      <c r="D234" s="37" t="inlineStr">
        <is>
          <t>OFR-2025-1215</t>
        </is>
      </c>
      <c r="E234" s="38" t="n">
        <v>45958</v>
      </c>
      <c r="F234" s="37" t="inlineStr">
        <is>
          <t>WL-02187</t>
        </is>
      </c>
      <c r="G234" s="37">
        <f>IFERROR(INDEX(Applicants!$C$2:$C$2911,MATCH(F234,Applicants!$A$2:$A$2911,0))&amp;" "&amp;INDEX(Applicants!$B$2:$B$2911,MATCH(F234,Applicants!$A$2:$A$2911,0)),"")</f>
        <v/>
      </c>
      <c r="H234" s="37" t="inlineStr">
        <is>
          <t>SB-0806</t>
        </is>
      </c>
      <c r="I234" s="37" t="inlineStr">
        <is>
          <t>Salmonberry</t>
        </is>
      </c>
      <c r="J234" s="37" t="inlineStr">
        <is>
          <t>vessel-fit</t>
        </is>
      </c>
      <c r="K234" s="38" t="n">
        <v>45961</v>
      </c>
      <c r="L234" s="37">
        <f>IF(COUNTIFS('Skip Docs'!$A$2:$A$7,F234,'Skip Docs'!$C$2:$C$7,E234)&gt;0,"YES","NO")</f>
        <v/>
      </c>
      <c r="M234" s="37">
        <f>IF(L234="NO","NO",INDEX('Skip Docs'!$G$2:$G$7,MATCH(1,INDEX(('Skip Docs'!$A$2:$A$7=F234)*('Skip Docs'!$C$2:$C$7=E234),0),0)))</f>
        <v/>
      </c>
      <c r="N234" s="37">
        <f>IF(K234&lt;=E234,"ON/BEFORE","LATE")</f>
        <v/>
      </c>
      <c r="O234" s="37">
        <f>IF(COUNTIFS(Offers!$A$2:$A$1487,D234,Offers!$C$2:$C$1487,F234,Offers!$B$2:$B$1487,E234,Offers!$E$2:$E$1487,H234,Offers!$I$2:$I$1487,"SKIPPED")=1,"YES","NO")</f>
        <v/>
      </c>
      <c r="P234" s="37">
        <f>IF(L234="NO","N/A",IF(COUNTIFS('Skip Docs'!$A$2:$A$7,F234,'Skip Docs'!$C$2:$C$7,E234,'Skip Docs'!$D$2:$D$7,H234,'Skip Docs'!$E$2:$E$7,J234)=1,"YES","NO"))</f>
        <v/>
      </c>
      <c r="Q234" s="37" t="inlineStr">
        <is>
          <t>Y</t>
        </is>
      </c>
      <c r="R234" s="37" t="inlineStr">
        <is>
          <t>SUSTAINED</t>
        </is>
      </c>
      <c r="S234" s="37">
        <f>IF(B234="YES","Verified contemporaneous proof",IF(L234="NO","No justification PDF supplied",IF(M234="NO","PDF is cover-only",IF(P234="NO","PDF content does not match logged slip/reason",IF(O234="NO","Offer event does not reconcile","Assembled after skip date")))))</f>
        <v/>
      </c>
    </row>
    <row r="235">
      <c r="A235" s="37">
        <f>IF(M235="NO","Priority 1",IF(N235="LATE","Priority 2",IF(B235="YES","OK","Priority 1")))</f>
        <v/>
      </c>
      <c r="B235" s="37">
        <f>IF(AND(L235="YES",M235="YES",N235="ON/BEFORE",O235="YES",P235="YES"),"YES","NO")</f>
        <v/>
      </c>
      <c r="C235" s="37" t="inlineStr">
        <is>
          <t>SKP-2025-0325</t>
        </is>
      </c>
      <c r="D235" s="37" t="inlineStr">
        <is>
          <t>OFR-2025-1218</t>
        </is>
      </c>
      <c r="E235" s="38" t="n">
        <v>45933</v>
      </c>
      <c r="F235" s="37" t="inlineStr">
        <is>
          <t>WL-03750</t>
        </is>
      </c>
      <c r="G235" s="37">
        <f>IFERROR(INDEX(Applicants!$C$2:$C$2911,MATCH(F235,Applicants!$A$2:$A$2911,0))&amp;" "&amp;INDEX(Applicants!$B$2:$B$2911,MATCH(F235,Applicants!$A$2:$A$2911,0)),"")</f>
        <v/>
      </c>
      <c r="H235" s="37" t="inlineStr">
        <is>
          <t>GW-0622</t>
        </is>
      </c>
      <c r="I235" s="37" t="inlineStr">
        <is>
          <t>Gullwing</t>
        </is>
      </c>
      <c r="J235" s="37" t="inlineStr">
        <is>
          <t>vessel-fit</t>
        </is>
      </c>
      <c r="K235" s="38" t="n">
        <v>45935</v>
      </c>
      <c r="L235" s="37">
        <f>IF(COUNTIFS('Skip Docs'!$A$2:$A$7,F235,'Skip Docs'!$C$2:$C$7,E235)&gt;0,"YES","NO")</f>
        <v/>
      </c>
      <c r="M235" s="37">
        <f>IF(L235="NO","NO",INDEX('Skip Docs'!$G$2:$G$7,MATCH(1,INDEX(('Skip Docs'!$A$2:$A$7=F235)*('Skip Docs'!$C$2:$C$7=E235),0),0)))</f>
        <v/>
      </c>
      <c r="N235" s="37">
        <f>IF(K235&lt;=E235,"ON/BEFORE","LATE")</f>
        <v/>
      </c>
      <c r="O235" s="37">
        <f>IF(COUNTIFS(Offers!$A$2:$A$1487,D235,Offers!$C$2:$C$1487,F235,Offers!$B$2:$B$1487,E235,Offers!$E$2:$E$1487,H235,Offers!$I$2:$I$1487,"SKIPPED")=1,"YES","NO")</f>
        <v/>
      </c>
      <c r="P235" s="37">
        <f>IF(L235="NO","N/A",IF(COUNTIFS('Skip Docs'!$A$2:$A$7,F235,'Skip Docs'!$C$2:$C$7,E235,'Skip Docs'!$D$2:$D$7,H235,'Skip Docs'!$E$2:$E$7,J235)=1,"YES","NO"))</f>
        <v/>
      </c>
      <c r="Q235" s="37" t="inlineStr">
        <is>
          <t>Y</t>
        </is>
      </c>
      <c r="R235" s="37" t="inlineStr">
        <is>
          <t>SUSTAINED</t>
        </is>
      </c>
      <c r="S235" s="37">
        <f>IF(B235="YES","Verified contemporaneous proof",IF(L235="NO","No justification PDF supplied",IF(M235="NO","PDF is cover-only",IF(P235="NO","PDF content does not match logged slip/reason",IF(O235="NO","Offer event does not reconcile","Assembled after skip date")))))</f>
        <v/>
      </c>
    </row>
    <row r="236">
      <c r="A236" s="37">
        <f>IF(M236="NO","Priority 1",IF(N236="LATE","Priority 2",IF(B236="YES","OK","Priority 1")))</f>
        <v/>
      </c>
      <c r="B236" s="37">
        <f>IF(AND(L236="YES",M236="YES",N236="ON/BEFORE",O236="YES",P236="YES"),"YES","NO")</f>
        <v/>
      </c>
      <c r="C236" s="37" t="inlineStr">
        <is>
          <t>SKP-2025-0326</t>
        </is>
      </c>
      <c r="D236" s="37" t="inlineStr">
        <is>
          <t>OFR-2025-1219</t>
        </is>
      </c>
      <c r="E236" s="38" t="n">
        <v>45956</v>
      </c>
      <c r="F236" s="37" t="inlineStr">
        <is>
          <t>WL-03857</t>
        </is>
      </c>
      <c r="G236" s="37">
        <f>IFERROR(INDEX(Applicants!$C$2:$C$2911,MATCH(F236,Applicants!$A$2:$A$2911,0))&amp;" "&amp;INDEX(Applicants!$B$2:$B$2911,MATCH(F236,Applicants!$A$2:$A$2911,0)),"")</f>
        <v/>
      </c>
      <c r="H236" s="37" t="inlineStr">
        <is>
          <t>LP-0705</t>
        </is>
      </c>
      <c r="I236" s="37" t="inlineStr">
        <is>
          <t>Ledgport</t>
        </is>
      </c>
      <c r="J236" s="37" t="inlineStr">
        <is>
          <t>not-current</t>
        </is>
      </c>
      <c r="K236" s="38" t="n">
        <v>45956</v>
      </c>
      <c r="L236" s="37">
        <f>IF(COUNTIFS('Skip Docs'!$A$2:$A$7,F236,'Skip Docs'!$C$2:$C$7,E236)&gt;0,"YES","NO")</f>
        <v/>
      </c>
      <c r="M236" s="37">
        <f>IF(L236="NO","NO",INDEX('Skip Docs'!$G$2:$G$7,MATCH(1,INDEX(('Skip Docs'!$A$2:$A$7=F236)*('Skip Docs'!$C$2:$C$7=E236),0),0)))</f>
        <v/>
      </c>
      <c r="N236" s="37">
        <f>IF(K236&lt;=E236,"ON/BEFORE","LATE")</f>
        <v/>
      </c>
      <c r="O236" s="37">
        <f>IF(COUNTIFS(Offers!$A$2:$A$1487,D236,Offers!$C$2:$C$1487,F236,Offers!$B$2:$B$1487,E236,Offers!$E$2:$E$1487,H236,Offers!$I$2:$I$1487,"SKIPPED")=1,"YES","NO")</f>
        <v/>
      </c>
      <c r="P236" s="37">
        <f>IF(L236="NO","N/A",IF(COUNTIFS('Skip Docs'!$A$2:$A$7,F236,'Skip Docs'!$C$2:$C$7,E236,'Skip Docs'!$D$2:$D$7,H236,'Skip Docs'!$E$2:$E$7,J236)=1,"YES","NO"))</f>
        <v/>
      </c>
      <c r="Q236" s="37" t="inlineStr">
        <is>
          <t>Y</t>
        </is>
      </c>
      <c r="R236" s="37" t="inlineStr">
        <is>
          <t>SUSTAINED</t>
        </is>
      </c>
      <c r="S236" s="37">
        <f>IF(B236="YES","Verified contemporaneous proof",IF(L236="NO","No justification PDF supplied",IF(M236="NO","PDF is cover-only",IF(P236="NO","PDF content does not match logged slip/reason",IF(O236="NO","Offer event does not reconcile","Assembled after skip date")))))</f>
        <v/>
      </c>
    </row>
    <row r="237">
      <c r="A237" s="37">
        <f>IF(M237="NO","Priority 1",IF(N237="LATE","Priority 2",IF(B237="YES","OK","Priority 1")))</f>
        <v/>
      </c>
      <c r="B237" s="37">
        <f>IF(AND(L237="YES",M237="YES",N237="ON/BEFORE",O237="YES",P237="YES"),"YES","NO")</f>
        <v/>
      </c>
      <c r="C237" s="37" t="inlineStr">
        <is>
          <t>SKP-2025-0327</t>
        </is>
      </c>
      <c r="D237" s="37" t="inlineStr">
        <is>
          <t>OFR-2025-1225</t>
        </is>
      </c>
      <c r="E237" s="38" t="n">
        <v>45953</v>
      </c>
      <c r="F237" s="37" t="inlineStr">
        <is>
          <t>WL-01645</t>
        </is>
      </c>
      <c r="G237" s="37">
        <f>IFERROR(INDEX(Applicants!$C$2:$C$2911,MATCH(F237,Applicants!$A$2:$A$2911,0))&amp;" "&amp;INDEX(Applicants!$B$2:$B$2911,MATCH(F237,Applicants!$A$2:$A$2911,0)),"")</f>
        <v/>
      </c>
      <c r="H237" s="37" t="inlineStr">
        <is>
          <t>GW-1020</t>
        </is>
      </c>
      <c r="I237" s="37" t="inlineStr">
        <is>
          <t>Gullwing</t>
        </is>
      </c>
      <c r="J237" s="37" t="inlineStr">
        <is>
          <t>declined-prior-offer</t>
        </is>
      </c>
      <c r="K237" s="38" t="n">
        <v>45957</v>
      </c>
      <c r="L237" s="37">
        <f>IF(COUNTIFS('Skip Docs'!$A$2:$A$7,F237,'Skip Docs'!$C$2:$C$7,E237)&gt;0,"YES","NO")</f>
        <v/>
      </c>
      <c r="M237" s="37">
        <f>IF(L237="NO","NO",INDEX('Skip Docs'!$G$2:$G$7,MATCH(1,INDEX(('Skip Docs'!$A$2:$A$7=F237)*('Skip Docs'!$C$2:$C$7=E237),0),0)))</f>
        <v/>
      </c>
      <c r="N237" s="37">
        <f>IF(K237&lt;=E237,"ON/BEFORE","LATE")</f>
        <v/>
      </c>
      <c r="O237" s="37">
        <f>IF(COUNTIFS(Offers!$A$2:$A$1487,D237,Offers!$C$2:$C$1487,F237,Offers!$B$2:$B$1487,E237,Offers!$E$2:$E$1487,H237,Offers!$I$2:$I$1487,"SKIPPED")=1,"YES","NO")</f>
        <v/>
      </c>
      <c r="P237" s="37">
        <f>IF(L237="NO","N/A",IF(COUNTIFS('Skip Docs'!$A$2:$A$7,F237,'Skip Docs'!$C$2:$C$7,E237,'Skip Docs'!$D$2:$D$7,H237,'Skip Docs'!$E$2:$E$7,J237)=1,"YES","NO"))</f>
        <v/>
      </c>
      <c r="Q237" s="37" t="inlineStr">
        <is>
          <t>Y</t>
        </is>
      </c>
      <c r="R237" s="37" t="inlineStr">
        <is>
          <t>SUSTAINED</t>
        </is>
      </c>
      <c r="S237" s="37">
        <f>IF(B237="YES","Verified contemporaneous proof",IF(L237="NO","No justification PDF supplied",IF(M237="NO","PDF is cover-only",IF(P237="NO","PDF content does not match logged slip/reason",IF(O237="NO","Offer event does not reconcile","Assembled after skip date")))))</f>
        <v/>
      </c>
    </row>
    <row r="238">
      <c r="A238" s="37">
        <f>IF(M238="NO","Priority 1",IF(N238="LATE","Priority 2",IF(B238="YES","OK","Priority 1")))</f>
        <v/>
      </c>
      <c r="B238" s="37">
        <f>IF(AND(L238="YES",M238="YES",N238="ON/BEFORE",O238="YES",P238="YES"),"YES","NO")</f>
        <v/>
      </c>
      <c r="C238" s="37" t="inlineStr">
        <is>
          <t>SKP-2025-0328</t>
        </is>
      </c>
      <c r="D238" s="37" t="inlineStr">
        <is>
          <t>OFR-2025-1230</t>
        </is>
      </c>
      <c r="E238" s="38" t="n">
        <v>45941</v>
      </c>
      <c r="F238" s="37" t="inlineStr">
        <is>
          <t>WL-01089</t>
        </is>
      </c>
      <c r="G238" s="37">
        <f>IFERROR(INDEX(Applicants!$C$2:$C$2911,MATCH(F238,Applicants!$A$2:$A$2911,0))&amp;" "&amp;INDEX(Applicants!$B$2:$B$2911,MATCH(F238,Applicants!$A$2:$A$2911,0)),"")</f>
        <v/>
      </c>
      <c r="H238" s="37" t="inlineStr">
        <is>
          <t>SB-0115</t>
        </is>
      </c>
      <c r="I238" s="37" t="inlineStr">
        <is>
          <t>Salmonberry</t>
        </is>
      </c>
      <c r="J238" s="37" t="inlineStr">
        <is>
          <t>vessel-fit</t>
        </is>
      </c>
      <c r="K238" s="38" t="n">
        <v>45943</v>
      </c>
      <c r="L238" s="37">
        <f>IF(COUNTIFS('Skip Docs'!$A$2:$A$7,F238,'Skip Docs'!$C$2:$C$7,E238)&gt;0,"YES","NO")</f>
        <v/>
      </c>
      <c r="M238" s="37">
        <f>IF(L238="NO","NO",INDEX('Skip Docs'!$G$2:$G$7,MATCH(1,INDEX(('Skip Docs'!$A$2:$A$7=F238)*('Skip Docs'!$C$2:$C$7=E238),0),0)))</f>
        <v/>
      </c>
      <c r="N238" s="37">
        <f>IF(K238&lt;=E238,"ON/BEFORE","LATE")</f>
        <v/>
      </c>
      <c r="O238" s="37">
        <f>IF(COUNTIFS(Offers!$A$2:$A$1487,D238,Offers!$C$2:$C$1487,F238,Offers!$B$2:$B$1487,E238,Offers!$E$2:$E$1487,H238,Offers!$I$2:$I$1487,"SKIPPED")=1,"YES","NO")</f>
        <v/>
      </c>
      <c r="P238" s="37">
        <f>IF(L238="NO","N/A",IF(COUNTIFS('Skip Docs'!$A$2:$A$7,F238,'Skip Docs'!$C$2:$C$7,E238,'Skip Docs'!$D$2:$D$7,H238,'Skip Docs'!$E$2:$E$7,J238)=1,"YES","NO"))</f>
        <v/>
      </c>
      <c r="Q238" s="37" t="inlineStr">
        <is>
          <t>N</t>
        </is>
      </c>
      <c r="R238" s="37" t="inlineStr">
        <is>
          <t>SUSTAINED</t>
        </is>
      </c>
      <c r="S238" s="37">
        <f>IF(B238="YES","Verified contemporaneous proof",IF(L238="NO","No justification PDF supplied",IF(M238="NO","PDF is cover-only",IF(P238="NO","PDF content does not match logged slip/reason",IF(O238="NO","Offer event does not reconcile","Assembled after skip date")))))</f>
        <v/>
      </c>
    </row>
    <row r="239">
      <c r="A239" s="37">
        <f>IF(M239="NO","Priority 1",IF(N239="LATE","Priority 2",IF(B239="YES","OK","Priority 1")))</f>
        <v/>
      </c>
      <c r="B239" s="37">
        <f>IF(AND(L239="YES",M239="YES",N239="ON/BEFORE",O239="YES",P239="YES"),"YES","NO")</f>
        <v/>
      </c>
      <c r="C239" s="37" t="inlineStr">
        <is>
          <t>SKP-2025-0329</t>
        </is>
      </c>
      <c r="D239" s="37" t="inlineStr">
        <is>
          <t>OFR-2025-1233</t>
        </is>
      </c>
      <c r="E239" s="38" t="n">
        <v>45943</v>
      </c>
      <c r="F239" s="37" t="inlineStr">
        <is>
          <t>WL-01128</t>
        </is>
      </c>
      <c r="G239" s="37">
        <f>IFERROR(INDEX(Applicants!$C$2:$C$2911,MATCH(F239,Applicants!$A$2:$A$2911,0))&amp;" "&amp;INDEX(Applicants!$B$2:$B$2911,MATCH(F239,Applicants!$A$2:$A$2911,0)),"")</f>
        <v/>
      </c>
      <c r="H239" s="37" t="inlineStr">
        <is>
          <t>LP-0504</t>
        </is>
      </c>
      <c r="I239" s="37" t="inlineStr">
        <is>
          <t>Ledgport</t>
        </is>
      </c>
      <c r="J239" s="37" t="inlineStr">
        <is>
          <t>declined-prior-offer</t>
        </is>
      </c>
      <c r="K239" s="38" t="n">
        <v>45945</v>
      </c>
      <c r="L239" s="37">
        <f>IF(COUNTIFS('Skip Docs'!$A$2:$A$7,F239,'Skip Docs'!$C$2:$C$7,E239)&gt;0,"YES","NO")</f>
        <v/>
      </c>
      <c r="M239" s="37">
        <f>IF(L239="NO","NO",INDEX('Skip Docs'!$G$2:$G$7,MATCH(1,INDEX(('Skip Docs'!$A$2:$A$7=F239)*('Skip Docs'!$C$2:$C$7=E239),0),0)))</f>
        <v/>
      </c>
      <c r="N239" s="37">
        <f>IF(K239&lt;=E239,"ON/BEFORE","LATE")</f>
        <v/>
      </c>
      <c r="O239" s="37">
        <f>IF(COUNTIFS(Offers!$A$2:$A$1487,D239,Offers!$C$2:$C$1487,F239,Offers!$B$2:$B$1487,E239,Offers!$E$2:$E$1487,H239,Offers!$I$2:$I$1487,"SKIPPED")=1,"YES","NO")</f>
        <v/>
      </c>
      <c r="P239" s="37">
        <f>IF(L239="NO","N/A",IF(COUNTIFS('Skip Docs'!$A$2:$A$7,F239,'Skip Docs'!$C$2:$C$7,E239,'Skip Docs'!$D$2:$D$7,H239,'Skip Docs'!$E$2:$E$7,J239)=1,"YES","NO"))</f>
        <v/>
      </c>
      <c r="Q239" s="37" t="inlineStr">
        <is>
          <t>Y</t>
        </is>
      </c>
      <c r="R239" s="37" t="inlineStr">
        <is>
          <t>SUSTAINED</t>
        </is>
      </c>
      <c r="S239" s="37">
        <f>IF(B239="YES","Verified contemporaneous proof",IF(L239="NO","No justification PDF supplied",IF(M239="NO","PDF is cover-only",IF(P239="NO","PDF content does not match logged slip/reason",IF(O239="NO","Offer event does not reconcile","Assembled after skip date")))))</f>
        <v/>
      </c>
    </row>
    <row r="240">
      <c r="A240" s="37">
        <f>IF(M240="NO","Priority 1",IF(N240="LATE","Priority 2",IF(B240="YES","OK","Priority 1")))</f>
        <v/>
      </c>
      <c r="B240" s="37">
        <f>IF(AND(L240="YES",M240="YES",N240="ON/BEFORE",O240="YES",P240="YES"),"YES","NO")</f>
        <v/>
      </c>
      <c r="C240" s="37" t="inlineStr">
        <is>
          <t>SKP-2025-0330</t>
        </is>
      </c>
      <c r="D240" s="37" t="inlineStr">
        <is>
          <t>OFR-2025-1240</t>
        </is>
      </c>
      <c r="E240" s="38" t="n">
        <v>45932</v>
      </c>
      <c r="F240" s="37" t="inlineStr">
        <is>
          <t>WL-02676</t>
        </is>
      </c>
      <c r="G240" s="37">
        <f>IFERROR(INDEX(Applicants!$C$2:$C$2911,MATCH(F240,Applicants!$A$2:$A$2911,0))&amp;" "&amp;INDEX(Applicants!$B$2:$B$2911,MATCH(F240,Applicants!$A$2:$A$2911,0)),"")</f>
        <v/>
      </c>
      <c r="H240" s="37" t="inlineStr">
        <is>
          <t>EW-0124</t>
        </is>
      </c>
      <c r="I240" s="37" t="inlineStr">
        <is>
          <t>Eastwey</t>
        </is>
      </c>
      <c r="J240" s="37" t="inlineStr">
        <is>
          <t>vessel-fit</t>
        </is>
      </c>
      <c r="K240" s="38" t="n">
        <v>45934</v>
      </c>
      <c r="L240" s="37">
        <f>IF(COUNTIFS('Skip Docs'!$A$2:$A$7,F240,'Skip Docs'!$C$2:$C$7,E240)&gt;0,"YES","NO")</f>
        <v/>
      </c>
      <c r="M240" s="37">
        <f>IF(L240="NO","NO",INDEX('Skip Docs'!$G$2:$G$7,MATCH(1,INDEX(('Skip Docs'!$A$2:$A$7=F240)*('Skip Docs'!$C$2:$C$7=E240),0),0)))</f>
        <v/>
      </c>
      <c r="N240" s="37">
        <f>IF(K240&lt;=E240,"ON/BEFORE","LATE")</f>
        <v/>
      </c>
      <c r="O240" s="37">
        <f>IF(COUNTIFS(Offers!$A$2:$A$1487,D240,Offers!$C$2:$C$1487,F240,Offers!$B$2:$B$1487,E240,Offers!$E$2:$E$1487,H240,Offers!$I$2:$I$1487,"SKIPPED")=1,"YES","NO")</f>
        <v/>
      </c>
      <c r="P240" s="37">
        <f>IF(L240="NO","N/A",IF(COUNTIFS('Skip Docs'!$A$2:$A$7,F240,'Skip Docs'!$C$2:$C$7,E240,'Skip Docs'!$D$2:$D$7,H240,'Skip Docs'!$E$2:$E$7,J240)=1,"YES","NO"))</f>
        <v/>
      </c>
      <c r="Q240" s="37" t="inlineStr">
        <is>
          <t>Y</t>
        </is>
      </c>
      <c r="R240" s="37" t="inlineStr">
        <is>
          <t>SUSTAINED</t>
        </is>
      </c>
      <c r="S240" s="37">
        <f>IF(B240="YES","Verified contemporaneous proof",IF(L240="NO","No justification PDF supplied",IF(M240="NO","PDF is cover-only",IF(P240="NO","PDF content does not match logged slip/reason",IF(O240="NO","Offer event does not reconcile","Assembled after skip date")))))</f>
        <v/>
      </c>
    </row>
    <row r="241">
      <c r="A241" s="37">
        <f>IF(M241="NO","Priority 1",IF(N241="LATE","Priority 2",IF(B241="YES","OK","Priority 1")))</f>
        <v/>
      </c>
      <c r="B241" s="37">
        <f>IF(AND(L241="YES",M241="YES",N241="ON/BEFORE",O241="YES",P241="YES"),"YES","NO")</f>
        <v/>
      </c>
      <c r="C241" s="37" t="inlineStr">
        <is>
          <t>SKP-2025-0331</t>
        </is>
      </c>
      <c r="D241" s="37" t="inlineStr">
        <is>
          <t>OFR-2025-1246</t>
        </is>
      </c>
      <c r="E241" s="38" t="n">
        <v>45937</v>
      </c>
      <c r="F241" s="37" t="inlineStr">
        <is>
          <t>WL-03455</t>
        </is>
      </c>
      <c r="G241" s="37">
        <f>IFERROR(INDEX(Applicants!$C$2:$C$2911,MATCH(F241,Applicants!$A$2:$A$2911,0))&amp;" "&amp;INDEX(Applicants!$B$2:$B$2911,MATCH(F241,Applicants!$A$2:$A$2911,0)),"")</f>
        <v/>
      </c>
      <c r="H241" s="37" t="inlineStr">
        <is>
          <t>SB-0402</t>
        </is>
      </c>
      <c r="I241" s="37" t="inlineStr">
        <is>
          <t>Salmonberry</t>
        </is>
      </c>
      <c r="J241" s="37" t="inlineStr">
        <is>
          <t>vessel-fit</t>
        </is>
      </c>
      <c r="K241" s="38" t="n">
        <v>45941</v>
      </c>
      <c r="L241" s="37">
        <f>IF(COUNTIFS('Skip Docs'!$A$2:$A$7,F241,'Skip Docs'!$C$2:$C$7,E241)&gt;0,"YES","NO")</f>
        <v/>
      </c>
      <c r="M241" s="37">
        <f>IF(L241="NO","NO",INDEX('Skip Docs'!$G$2:$G$7,MATCH(1,INDEX(('Skip Docs'!$A$2:$A$7=F241)*('Skip Docs'!$C$2:$C$7=E241),0),0)))</f>
        <v/>
      </c>
      <c r="N241" s="37">
        <f>IF(K241&lt;=E241,"ON/BEFORE","LATE")</f>
        <v/>
      </c>
      <c r="O241" s="37">
        <f>IF(COUNTIFS(Offers!$A$2:$A$1487,D241,Offers!$C$2:$C$1487,F241,Offers!$B$2:$B$1487,E241,Offers!$E$2:$E$1487,H241,Offers!$I$2:$I$1487,"SKIPPED")=1,"YES","NO")</f>
        <v/>
      </c>
      <c r="P241" s="37">
        <f>IF(L241="NO","N/A",IF(COUNTIFS('Skip Docs'!$A$2:$A$7,F241,'Skip Docs'!$C$2:$C$7,E241,'Skip Docs'!$D$2:$D$7,H241,'Skip Docs'!$E$2:$E$7,J241)=1,"YES","NO"))</f>
        <v/>
      </c>
      <c r="Q241" s="37" t="inlineStr">
        <is>
          <t>Y</t>
        </is>
      </c>
      <c r="R241" s="37" t="inlineStr">
        <is>
          <t>SUSTAINED</t>
        </is>
      </c>
      <c r="S241" s="37">
        <f>IF(B241="YES","Verified contemporaneous proof",IF(L241="NO","No justification PDF supplied",IF(M241="NO","PDF is cover-only",IF(P241="NO","PDF content does not match logged slip/reason",IF(O241="NO","Offer event does not reconcile","Assembled after skip date")))))</f>
        <v/>
      </c>
    </row>
    <row r="242">
      <c r="A242" s="37">
        <f>IF(M242="NO","Priority 1",IF(N242="LATE","Priority 2",IF(B242="YES","OK","Priority 1")))</f>
        <v/>
      </c>
      <c r="B242" s="37">
        <f>IF(AND(L242="YES",M242="YES",N242="ON/BEFORE",O242="YES",P242="YES"),"YES","NO")</f>
        <v/>
      </c>
      <c r="C242" s="37" t="inlineStr">
        <is>
          <t>SKP-2025-0332</t>
        </is>
      </c>
      <c r="D242" s="37" t="inlineStr">
        <is>
          <t>OFR-2025-1247</t>
        </is>
      </c>
      <c r="E242" s="38" t="n">
        <v>45943</v>
      </c>
      <c r="F242" s="37" t="inlineStr">
        <is>
          <t>WL-02711</t>
        </is>
      </c>
      <c r="G242" s="37">
        <f>IFERROR(INDEX(Applicants!$C$2:$C$2911,MATCH(F242,Applicants!$A$2:$A$2911,0))&amp;" "&amp;INDEX(Applicants!$B$2:$B$2911,MATCH(F242,Applicants!$A$2:$A$2911,0)),"")</f>
        <v/>
      </c>
      <c r="H242" s="37" t="inlineStr">
        <is>
          <t>LP-0215</t>
        </is>
      </c>
      <c r="I242" s="37" t="inlineStr">
        <is>
          <t>Ledgport</t>
        </is>
      </c>
      <c r="J242" s="37" t="inlineStr">
        <is>
          <t>declined-prior-offer</t>
        </is>
      </c>
      <c r="K242" s="38" t="n">
        <v>45948</v>
      </c>
      <c r="L242" s="37">
        <f>IF(COUNTIFS('Skip Docs'!$A$2:$A$7,F242,'Skip Docs'!$C$2:$C$7,E242)&gt;0,"YES","NO")</f>
        <v/>
      </c>
      <c r="M242" s="37">
        <f>IF(L242="NO","NO",INDEX('Skip Docs'!$G$2:$G$7,MATCH(1,INDEX(('Skip Docs'!$A$2:$A$7=F242)*('Skip Docs'!$C$2:$C$7=E242),0),0)))</f>
        <v/>
      </c>
      <c r="N242" s="37">
        <f>IF(K242&lt;=E242,"ON/BEFORE","LATE")</f>
        <v/>
      </c>
      <c r="O242" s="37">
        <f>IF(COUNTIFS(Offers!$A$2:$A$1487,D242,Offers!$C$2:$C$1487,F242,Offers!$B$2:$B$1487,E242,Offers!$E$2:$E$1487,H242,Offers!$I$2:$I$1487,"SKIPPED")=1,"YES","NO")</f>
        <v/>
      </c>
      <c r="P242" s="37">
        <f>IF(L242="NO","N/A",IF(COUNTIFS('Skip Docs'!$A$2:$A$7,F242,'Skip Docs'!$C$2:$C$7,E242,'Skip Docs'!$D$2:$D$7,H242,'Skip Docs'!$E$2:$E$7,J242)=1,"YES","NO"))</f>
        <v/>
      </c>
      <c r="Q242" s="37" t="inlineStr">
        <is>
          <t>Y</t>
        </is>
      </c>
      <c r="R242" s="37" t="inlineStr">
        <is>
          <t>SUSTAINED</t>
        </is>
      </c>
      <c r="S242" s="37">
        <f>IF(B242="YES","Verified contemporaneous proof",IF(L242="NO","No justification PDF supplied",IF(M242="NO","PDF is cover-only",IF(P242="NO","PDF content does not match logged slip/reason",IF(O242="NO","Offer event does not reconcile","Assembled after skip date")))))</f>
        <v/>
      </c>
    </row>
    <row r="243">
      <c r="A243" s="37">
        <f>IF(M243="NO","Priority 1",IF(N243="LATE","Priority 2",IF(B243="YES","OK","Priority 1")))</f>
        <v/>
      </c>
      <c r="B243" s="37">
        <f>IF(AND(L243="YES",M243="YES",N243="ON/BEFORE",O243="YES",P243="YES"),"YES","NO")</f>
        <v/>
      </c>
      <c r="C243" s="37" t="inlineStr">
        <is>
          <t>SKP-2025-0333</t>
        </is>
      </c>
      <c r="D243" s="37" t="inlineStr">
        <is>
          <t>OFR-2025-1249</t>
        </is>
      </c>
      <c r="E243" s="38" t="n">
        <v>45943</v>
      </c>
      <c r="F243" s="37" t="inlineStr">
        <is>
          <t>WL-02448</t>
        </is>
      </c>
      <c r="G243" s="37">
        <f>IFERROR(INDEX(Applicants!$C$2:$C$2911,MATCH(F243,Applicants!$A$2:$A$2911,0))&amp;" "&amp;INDEX(Applicants!$B$2:$B$2911,MATCH(F243,Applicants!$A$2:$A$2911,0)),"")</f>
        <v/>
      </c>
      <c r="H243" s="37" t="inlineStr">
        <is>
          <t>LP-0908</t>
        </is>
      </c>
      <c r="I243" s="37" t="inlineStr">
        <is>
          <t>Ledgport</t>
        </is>
      </c>
      <c r="J243" s="37" t="inlineStr">
        <is>
          <t>vessel-fit</t>
        </is>
      </c>
      <c r="K243" s="38" t="n">
        <v>45945</v>
      </c>
      <c r="L243" s="37">
        <f>IF(COUNTIFS('Skip Docs'!$A$2:$A$7,F243,'Skip Docs'!$C$2:$C$7,E243)&gt;0,"YES","NO")</f>
        <v/>
      </c>
      <c r="M243" s="37">
        <f>IF(L243="NO","NO",INDEX('Skip Docs'!$G$2:$G$7,MATCH(1,INDEX(('Skip Docs'!$A$2:$A$7=F243)*('Skip Docs'!$C$2:$C$7=E243),0),0)))</f>
        <v/>
      </c>
      <c r="N243" s="37">
        <f>IF(K243&lt;=E243,"ON/BEFORE","LATE")</f>
        <v/>
      </c>
      <c r="O243" s="37">
        <f>IF(COUNTIFS(Offers!$A$2:$A$1487,D243,Offers!$C$2:$C$1487,F243,Offers!$B$2:$B$1487,E243,Offers!$E$2:$E$1487,H243,Offers!$I$2:$I$1487,"SKIPPED")=1,"YES","NO")</f>
        <v/>
      </c>
      <c r="P243" s="37">
        <f>IF(L243="NO","N/A",IF(COUNTIFS('Skip Docs'!$A$2:$A$7,F243,'Skip Docs'!$C$2:$C$7,E243,'Skip Docs'!$D$2:$D$7,H243,'Skip Docs'!$E$2:$E$7,J243)=1,"YES","NO"))</f>
        <v/>
      </c>
      <c r="Q243" s="37" t="inlineStr">
        <is>
          <t>Y</t>
        </is>
      </c>
      <c r="R243" s="37" t="inlineStr">
        <is>
          <t>SUSTAINED</t>
        </is>
      </c>
      <c r="S243" s="37">
        <f>IF(B243="YES","Verified contemporaneous proof",IF(L243="NO","No justification PDF supplied",IF(M243="NO","PDF is cover-only",IF(P243="NO","PDF content does not match logged slip/reason",IF(O243="NO","Offer event does not reconcile","Assembled after skip date")))))</f>
        <v/>
      </c>
    </row>
    <row r="244">
      <c r="A244" s="37">
        <f>IF(M244="NO","Priority 1",IF(N244="LATE","Priority 2",IF(B244="YES","OK","Priority 1")))</f>
        <v/>
      </c>
      <c r="B244" s="37">
        <f>IF(AND(L244="YES",M244="YES",N244="ON/BEFORE",O244="YES",P244="YES"),"YES","NO")</f>
        <v/>
      </c>
      <c r="C244" s="37" t="inlineStr">
        <is>
          <t>SKP-2025-0334</t>
        </is>
      </c>
      <c r="D244" s="37" t="inlineStr">
        <is>
          <t>OFR-2025-1253</t>
        </is>
      </c>
      <c r="E244" s="38" t="n">
        <v>45988</v>
      </c>
      <c r="F244" s="37" t="inlineStr">
        <is>
          <t>WL-01264</t>
        </is>
      </c>
      <c r="G244" s="37">
        <f>IFERROR(INDEX(Applicants!$C$2:$C$2911,MATCH(F244,Applicants!$A$2:$A$2911,0))&amp;" "&amp;INDEX(Applicants!$B$2:$B$2911,MATCH(F244,Applicants!$A$2:$A$2911,0)),"")</f>
        <v/>
      </c>
      <c r="H244" s="37" t="inlineStr">
        <is>
          <t>SB-0623</t>
        </is>
      </c>
      <c r="I244" s="37" t="inlineStr">
        <is>
          <t>Salmonberry</t>
        </is>
      </c>
      <c r="J244" s="37" t="inlineStr">
        <is>
          <t>vessel-fit</t>
        </is>
      </c>
      <c r="K244" s="38" t="n">
        <v>45993</v>
      </c>
      <c r="L244" s="37">
        <f>IF(COUNTIFS('Skip Docs'!$A$2:$A$7,F244,'Skip Docs'!$C$2:$C$7,E244)&gt;0,"YES","NO")</f>
        <v/>
      </c>
      <c r="M244" s="37">
        <f>IF(L244="NO","NO",INDEX('Skip Docs'!$G$2:$G$7,MATCH(1,INDEX(('Skip Docs'!$A$2:$A$7=F244)*('Skip Docs'!$C$2:$C$7=E244),0),0)))</f>
        <v/>
      </c>
      <c r="N244" s="37">
        <f>IF(K244&lt;=E244,"ON/BEFORE","LATE")</f>
        <v/>
      </c>
      <c r="O244" s="37">
        <f>IF(COUNTIFS(Offers!$A$2:$A$1487,D244,Offers!$C$2:$C$1487,F244,Offers!$B$2:$B$1487,E244,Offers!$E$2:$E$1487,H244,Offers!$I$2:$I$1487,"SKIPPED")=1,"YES","NO")</f>
        <v/>
      </c>
      <c r="P244" s="37">
        <f>IF(L244="NO","N/A",IF(COUNTIFS('Skip Docs'!$A$2:$A$7,F244,'Skip Docs'!$C$2:$C$7,E244,'Skip Docs'!$D$2:$D$7,H244,'Skip Docs'!$E$2:$E$7,J244)=1,"YES","NO"))</f>
        <v/>
      </c>
      <c r="Q244" s="37" t="inlineStr">
        <is>
          <t>Y</t>
        </is>
      </c>
      <c r="R244" s="37" t="inlineStr">
        <is>
          <t>SUSTAINED</t>
        </is>
      </c>
      <c r="S244" s="37">
        <f>IF(B244="YES","Verified contemporaneous proof",IF(L244="NO","No justification PDF supplied",IF(M244="NO","PDF is cover-only",IF(P244="NO","PDF content does not match logged slip/reason",IF(O244="NO","Offer event does not reconcile","Assembled after skip date")))))</f>
        <v/>
      </c>
    </row>
    <row r="245">
      <c r="A245" s="37">
        <f>IF(M245="NO","Priority 1",IF(N245="LATE","Priority 2",IF(B245="YES","OK","Priority 1")))</f>
        <v/>
      </c>
      <c r="B245" s="37">
        <f>IF(AND(L245="YES",M245="YES",N245="ON/BEFORE",O245="YES",P245="YES"),"YES","NO")</f>
        <v/>
      </c>
      <c r="C245" s="37" t="inlineStr">
        <is>
          <t>SKP-2025-0335</t>
        </is>
      </c>
      <c r="D245" s="37" t="inlineStr">
        <is>
          <t>OFR-2025-1258</t>
        </is>
      </c>
      <c r="E245" s="38" t="n">
        <v>45978</v>
      </c>
      <c r="F245" s="37" t="inlineStr">
        <is>
          <t>WL-02404</t>
        </is>
      </c>
      <c r="G245" s="37">
        <f>IFERROR(INDEX(Applicants!$C$2:$C$2911,MATCH(F245,Applicants!$A$2:$A$2911,0))&amp;" "&amp;INDEX(Applicants!$B$2:$B$2911,MATCH(F245,Applicants!$A$2:$A$2911,0)),"")</f>
        <v/>
      </c>
      <c r="H245" s="37" t="inlineStr">
        <is>
          <t>VB-0201</t>
        </is>
      </c>
      <c r="I245" s="37" t="inlineStr">
        <is>
          <t>Vessbank</t>
        </is>
      </c>
      <c r="J245" s="37" t="inlineStr">
        <is>
          <t>not-current</t>
        </is>
      </c>
      <c r="K245" s="38" t="n">
        <v>45980</v>
      </c>
      <c r="L245" s="37">
        <f>IF(COUNTIFS('Skip Docs'!$A$2:$A$7,F245,'Skip Docs'!$C$2:$C$7,E245)&gt;0,"YES","NO")</f>
        <v/>
      </c>
      <c r="M245" s="37">
        <f>IF(L245="NO","NO",INDEX('Skip Docs'!$G$2:$G$7,MATCH(1,INDEX(('Skip Docs'!$A$2:$A$7=F245)*('Skip Docs'!$C$2:$C$7=E245),0),0)))</f>
        <v/>
      </c>
      <c r="N245" s="37">
        <f>IF(K245&lt;=E245,"ON/BEFORE","LATE")</f>
        <v/>
      </c>
      <c r="O245" s="37">
        <f>IF(COUNTIFS(Offers!$A$2:$A$1487,D245,Offers!$C$2:$C$1487,F245,Offers!$B$2:$B$1487,E245,Offers!$E$2:$E$1487,H245,Offers!$I$2:$I$1487,"SKIPPED")=1,"YES","NO")</f>
        <v/>
      </c>
      <c r="P245" s="37">
        <f>IF(L245="NO","N/A",IF(COUNTIFS('Skip Docs'!$A$2:$A$7,F245,'Skip Docs'!$C$2:$C$7,E245,'Skip Docs'!$D$2:$D$7,H245,'Skip Docs'!$E$2:$E$7,J245)=1,"YES","NO"))</f>
        <v/>
      </c>
      <c r="Q245" s="37" t="inlineStr">
        <is>
          <t>Y</t>
        </is>
      </c>
      <c r="R245" s="37" t="inlineStr">
        <is>
          <t>SUSTAINED</t>
        </is>
      </c>
      <c r="S245" s="37">
        <f>IF(B245="YES","Verified contemporaneous proof",IF(L245="NO","No justification PDF supplied",IF(M245="NO","PDF is cover-only",IF(P245="NO","PDF content does not match logged slip/reason",IF(O245="NO","Offer event does not reconcile","Assembled after skip date")))))</f>
        <v/>
      </c>
    </row>
    <row r="246">
      <c r="A246" s="37">
        <f>IF(M246="NO","Priority 1",IF(N246="LATE","Priority 2",IF(B246="YES","OK","Priority 1")))</f>
        <v/>
      </c>
      <c r="B246" s="37">
        <f>IF(AND(L246="YES",M246="YES",N246="ON/BEFORE",O246="YES",P246="YES"),"YES","NO")</f>
        <v/>
      </c>
      <c r="C246" s="37" t="inlineStr">
        <is>
          <t>SKP-2025-0336</t>
        </is>
      </c>
      <c r="D246" s="37" t="inlineStr">
        <is>
          <t>OFR-2025-1265</t>
        </is>
      </c>
      <c r="E246" s="38" t="n">
        <v>46006</v>
      </c>
      <c r="F246" s="37" t="inlineStr">
        <is>
          <t>WL-01776</t>
        </is>
      </c>
      <c r="G246" s="37">
        <f>IFERROR(INDEX(Applicants!$C$2:$C$2911,MATCH(F246,Applicants!$A$2:$A$2911,0))&amp;" "&amp;INDEX(Applicants!$B$2:$B$2911,MATCH(F246,Applicants!$A$2:$A$2911,0)),"")</f>
        <v/>
      </c>
      <c r="H246" s="37" t="inlineStr">
        <is>
          <t>GW-0419</t>
        </is>
      </c>
      <c r="I246" s="37" t="inlineStr">
        <is>
          <t>Gullwing</t>
        </is>
      </c>
      <c r="J246" s="37" t="inlineStr">
        <is>
          <t>not-current</t>
        </is>
      </c>
      <c r="K246" s="38" t="n">
        <v>46008</v>
      </c>
      <c r="L246" s="37">
        <f>IF(COUNTIFS('Skip Docs'!$A$2:$A$7,F246,'Skip Docs'!$C$2:$C$7,E246)&gt;0,"YES","NO")</f>
        <v/>
      </c>
      <c r="M246" s="37">
        <f>IF(L246="NO","NO",INDEX('Skip Docs'!$G$2:$G$7,MATCH(1,INDEX(('Skip Docs'!$A$2:$A$7=F246)*('Skip Docs'!$C$2:$C$7=E246),0),0)))</f>
        <v/>
      </c>
      <c r="N246" s="37">
        <f>IF(K246&lt;=E246,"ON/BEFORE","LATE")</f>
        <v/>
      </c>
      <c r="O246" s="37">
        <f>IF(COUNTIFS(Offers!$A$2:$A$1487,D246,Offers!$C$2:$C$1487,F246,Offers!$B$2:$B$1487,E246,Offers!$E$2:$E$1487,H246,Offers!$I$2:$I$1487,"SKIPPED")=1,"YES","NO")</f>
        <v/>
      </c>
      <c r="P246" s="37">
        <f>IF(L246="NO","N/A",IF(COUNTIFS('Skip Docs'!$A$2:$A$7,F246,'Skip Docs'!$C$2:$C$7,E246,'Skip Docs'!$D$2:$D$7,H246,'Skip Docs'!$E$2:$E$7,J246)=1,"YES","NO"))</f>
        <v/>
      </c>
      <c r="Q246" s="37" t="inlineStr">
        <is>
          <t>Y</t>
        </is>
      </c>
      <c r="R246" s="37" t="inlineStr">
        <is>
          <t>SUSTAINED</t>
        </is>
      </c>
      <c r="S246" s="37">
        <f>IF(B246="YES","Verified contemporaneous proof",IF(L246="NO","No justification PDF supplied",IF(M246="NO","PDF is cover-only",IF(P246="NO","PDF content does not match logged slip/reason",IF(O246="NO","Offer event does not reconcile","Assembled after skip date")))))</f>
        <v/>
      </c>
    </row>
    <row r="247">
      <c r="A247" s="37">
        <f>IF(M247="NO","Priority 1",IF(N247="LATE","Priority 2",IF(B247="YES","OK","Priority 1")))</f>
        <v/>
      </c>
      <c r="B247" s="37">
        <f>IF(AND(L247="YES",M247="YES",N247="ON/BEFORE",O247="YES",P247="YES"),"YES","NO")</f>
        <v/>
      </c>
      <c r="C247" s="37" t="inlineStr">
        <is>
          <t>SKP-2025-0337</t>
        </is>
      </c>
      <c r="D247" s="37" t="inlineStr">
        <is>
          <t>OFR-2025-1276</t>
        </is>
      </c>
      <c r="E247" s="38" t="n">
        <v>46017</v>
      </c>
      <c r="F247" s="37" t="inlineStr">
        <is>
          <t>WL-02991</t>
        </is>
      </c>
      <c r="G247" s="37">
        <f>IFERROR(INDEX(Applicants!$C$2:$C$2911,MATCH(F247,Applicants!$A$2:$A$2911,0))&amp;" "&amp;INDEX(Applicants!$B$2:$B$2911,MATCH(F247,Applicants!$A$2:$A$2911,0)),"")</f>
        <v/>
      </c>
      <c r="H247" s="37" t="inlineStr">
        <is>
          <t>SB-0408</t>
        </is>
      </c>
      <c r="I247" s="37" t="inlineStr">
        <is>
          <t>Salmonberry</t>
        </is>
      </c>
      <c r="J247" s="37" t="inlineStr">
        <is>
          <t>vessel-fit</t>
        </is>
      </c>
      <c r="K247" s="38" t="n">
        <v>46021</v>
      </c>
      <c r="L247" s="37">
        <f>IF(COUNTIFS('Skip Docs'!$A$2:$A$7,F247,'Skip Docs'!$C$2:$C$7,E247)&gt;0,"YES","NO")</f>
        <v/>
      </c>
      <c r="M247" s="37">
        <f>IF(L247="NO","NO",INDEX('Skip Docs'!$G$2:$G$7,MATCH(1,INDEX(('Skip Docs'!$A$2:$A$7=F247)*('Skip Docs'!$C$2:$C$7=E247),0),0)))</f>
        <v/>
      </c>
      <c r="N247" s="37">
        <f>IF(K247&lt;=E247,"ON/BEFORE","LATE")</f>
        <v/>
      </c>
      <c r="O247" s="37">
        <f>IF(COUNTIFS(Offers!$A$2:$A$1487,D247,Offers!$C$2:$C$1487,F247,Offers!$B$2:$B$1487,E247,Offers!$E$2:$E$1487,H247,Offers!$I$2:$I$1487,"SKIPPED")=1,"YES","NO")</f>
        <v/>
      </c>
      <c r="P247" s="37">
        <f>IF(L247="NO","N/A",IF(COUNTIFS('Skip Docs'!$A$2:$A$7,F247,'Skip Docs'!$C$2:$C$7,E247,'Skip Docs'!$D$2:$D$7,H247,'Skip Docs'!$E$2:$E$7,J247)=1,"YES","NO"))</f>
        <v/>
      </c>
      <c r="Q247" s="37" t="inlineStr">
        <is>
          <t>Y</t>
        </is>
      </c>
      <c r="R247" s="37" t="inlineStr">
        <is>
          <t>SUSTAINED</t>
        </is>
      </c>
      <c r="S247" s="37">
        <f>IF(B247="YES","Verified contemporaneous proof",IF(L247="NO","No justification PDF supplied",IF(M247="NO","PDF is cover-only",IF(P247="NO","PDF content does not match logged slip/reason",IF(O247="NO","Offer event does not reconcile","Assembled after skip date")))))</f>
        <v/>
      </c>
    </row>
    <row r="248">
      <c r="A248" s="37">
        <f>IF(M248="NO","Priority 1",IF(N248="LATE","Priority 2",IF(B248="YES","OK","Priority 1")))</f>
        <v/>
      </c>
      <c r="B248" s="37">
        <f>IF(AND(L248="YES",M248="YES",N248="ON/BEFORE",O248="YES",P248="YES"),"YES","NO")</f>
        <v/>
      </c>
      <c r="C248" s="37" t="inlineStr">
        <is>
          <t>SKP-2026-0338</t>
        </is>
      </c>
      <c r="D248" s="37" t="inlineStr">
        <is>
          <t>OFR-2026-1278</t>
        </is>
      </c>
      <c r="E248" s="38" t="n">
        <v>46035</v>
      </c>
      <c r="F248" s="37" t="inlineStr">
        <is>
          <t>WL-03011</t>
        </is>
      </c>
      <c r="G248" s="37">
        <f>IFERROR(INDEX(Applicants!$C$2:$C$2911,MATCH(F248,Applicants!$A$2:$A$2911,0))&amp;" "&amp;INDEX(Applicants!$B$2:$B$2911,MATCH(F248,Applicants!$A$2:$A$2911,0)),"")</f>
        <v/>
      </c>
      <c r="H248" s="37" t="inlineStr">
        <is>
          <t>SB-0719</t>
        </is>
      </c>
      <c r="I248" s="37" t="inlineStr">
        <is>
          <t>Salmonberry</t>
        </is>
      </c>
      <c r="J248" s="37" t="inlineStr">
        <is>
          <t>vessel-fit</t>
        </is>
      </c>
      <c r="K248" s="38" t="n">
        <v>46040</v>
      </c>
      <c r="L248" s="37">
        <f>IF(COUNTIFS('Skip Docs'!$A$2:$A$7,F248,'Skip Docs'!$C$2:$C$7,E248)&gt;0,"YES","NO")</f>
        <v/>
      </c>
      <c r="M248" s="37">
        <f>IF(L248="NO","NO",INDEX('Skip Docs'!$G$2:$G$7,MATCH(1,INDEX(('Skip Docs'!$A$2:$A$7=F248)*('Skip Docs'!$C$2:$C$7=E248),0),0)))</f>
        <v/>
      </c>
      <c r="N248" s="37">
        <f>IF(K248&lt;=E248,"ON/BEFORE","LATE")</f>
        <v/>
      </c>
      <c r="O248" s="37">
        <f>IF(COUNTIFS(Offers!$A$2:$A$1487,D248,Offers!$C$2:$C$1487,F248,Offers!$B$2:$B$1487,E248,Offers!$E$2:$E$1487,H248,Offers!$I$2:$I$1487,"SKIPPED")=1,"YES","NO")</f>
        <v/>
      </c>
      <c r="P248" s="37">
        <f>IF(L248="NO","N/A",IF(COUNTIFS('Skip Docs'!$A$2:$A$7,F248,'Skip Docs'!$C$2:$C$7,E248,'Skip Docs'!$D$2:$D$7,H248,'Skip Docs'!$E$2:$E$7,J248)=1,"YES","NO"))</f>
        <v/>
      </c>
      <c r="Q248" s="37" t="inlineStr">
        <is>
          <t>Y</t>
        </is>
      </c>
      <c r="R248" s="37" t="inlineStr">
        <is>
          <t>SUSTAINED</t>
        </is>
      </c>
      <c r="S248" s="37">
        <f>IF(B248="YES","Verified contemporaneous proof",IF(L248="NO","No justification PDF supplied",IF(M248="NO","PDF is cover-only",IF(P248="NO","PDF content does not match logged slip/reason",IF(O248="NO","Offer event does not reconcile","Assembled after skip date")))))</f>
        <v/>
      </c>
    </row>
    <row r="249">
      <c r="A249" s="37">
        <f>IF(M249="NO","Priority 1",IF(N249="LATE","Priority 2",IF(B249="YES","OK","Priority 1")))</f>
        <v/>
      </c>
      <c r="B249" s="37">
        <f>IF(AND(L249="YES",M249="YES",N249="ON/BEFORE",O249="YES",P249="YES"),"YES","NO")</f>
        <v/>
      </c>
      <c r="C249" s="37" t="inlineStr">
        <is>
          <t>SKP-2026-0339</t>
        </is>
      </c>
      <c r="D249" s="37" t="inlineStr">
        <is>
          <t>OFR-2026-1279</t>
        </is>
      </c>
      <c r="E249" s="38" t="n">
        <v>46035</v>
      </c>
      <c r="F249" s="37" t="inlineStr">
        <is>
          <t>WL-01368</t>
        </is>
      </c>
      <c r="G249" s="37">
        <f>IFERROR(INDEX(Applicants!$C$2:$C$2911,MATCH(F249,Applicants!$A$2:$A$2911,0))&amp;" "&amp;INDEX(Applicants!$B$2:$B$2911,MATCH(F249,Applicants!$A$2:$A$2911,0)),"")</f>
        <v/>
      </c>
      <c r="H249" s="37" t="inlineStr">
        <is>
          <t>EW-0813</t>
        </is>
      </c>
      <c r="I249" s="37" t="inlineStr">
        <is>
          <t>Eastwey</t>
        </is>
      </c>
      <c r="J249" s="37" t="inlineStr">
        <is>
          <t>preference-mismatch</t>
        </is>
      </c>
      <c r="K249" s="38" t="n">
        <v>46037</v>
      </c>
      <c r="L249" s="37">
        <f>IF(COUNTIFS('Skip Docs'!$A$2:$A$7,F249,'Skip Docs'!$C$2:$C$7,E249)&gt;0,"YES","NO")</f>
        <v/>
      </c>
      <c r="M249" s="37">
        <f>IF(L249="NO","NO",INDEX('Skip Docs'!$G$2:$G$7,MATCH(1,INDEX(('Skip Docs'!$A$2:$A$7=F249)*('Skip Docs'!$C$2:$C$7=E249),0),0)))</f>
        <v/>
      </c>
      <c r="N249" s="37">
        <f>IF(K249&lt;=E249,"ON/BEFORE","LATE")</f>
        <v/>
      </c>
      <c r="O249" s="37">
        <f>IF(COUNTIFS(Offers!$A$2:$A$1487,D249,Offers!$C$2:$C$1487,F249,Offers!$B$2:$B$1487,E249,Offers!$E$2:$E$1487,H249,Offers!$I$2:$I$1487,"SKIPPED")=1,"YES","NO")</f>
        <v/>
      </c>
      <c r="P249" s="37">
        <f>IF(L249="NO","N/A",IF(COUNTIFS('Skip Docs'!$A$2:$A$7,F249,'Skip Docs'!$C$2:$C$7,E249,'Skip Docs'!$D$2:$D$7,H249,'Skip Docs'!$E$2:$E$7,J249)=1,"YES","NO"))</f>
        <v/>
      </c>
      <c r="Q249" s="37" t="inlineStr">
        <is>
          <t>Y</t>
        </is>
      </c>
      <c r="R249" s="37" t="inlineStr">
        <is>
          <t>SUSTAINED</t>
        </is>
      </c>
      <c r="S249" s="37">
        <f>IF(B249="YES","Verified contemporaneous proof",IF(L249="NO","No justification PDF supplied",IF(M249="NO","PDF is cover-only",IF(P249="NO","PDF content does not match logged slip/reason",IF(O249="NO","Offer event does not reconcile","Assembled after skip date")))))</f>
        <v/>
      </c>
    </row>
    <row r="250">
      <c r="A250" s="37">
        <f>IF(M250="NO","Priority 1",IF(N250="LATE","Priority 2",IF(B250="YES","OK","Priority 1")))</f>
        <v/>
      </c>
      <c r="B250" s="37">
        <f>IF(AND(L250="YES",M250="YES",N250="ON/BEFORE",O250="YES",P250="YES"),"YES","NO")</f>
        <v/>
      </c>
      <c r="C250" s="37" t="inlineStr">
        <is>
          <t>SKP-2026-0340</t>
        </is>
      </c>
      <c r="D250" s="37" t="inlineStr">
        <is>
          <t>OFR-2026-1280</t>
        </is>
      </c>
      <c r="E250" s="38" t="n">
        <v>46043</v>
      </c>
      <c r="F250" s="37" t="inlineStr">
        <is>
          <t>WL-01435</t>
        </is>
      </c>
      <c r="G250" s="37">
        <f>IFERROR(INDEX(Applicants!$C$2:$C$2911,MATCH(F250,Applicants!$A$2:$A$2911,0))&amp;" "&amp;INDEX(Applicants!$B$2:$B$2911,MATCH(F250,Applicants!$A$2:$A$2911,0)),"")</f>
        <v/>
      </c>
      <c r="H250" s="37" t="inlineStr">
        <is>
          <t>GW-0708</t>
        </is>
      </c>
      <c r="I250" s="37" t="inlineStr">
        <is>
          <t>Gullwing</t>
        </is>
      </c>
      <c r="J250" s="37" t="inlineStr">
        <is>
          <t>not-current</t>
        </is>
      </c>
      <c r="K250" s="38" t="n">
        <v>46044</v>
      </c>
      <c r="L250" s="37">
        <f>IF(COUNTIFS('Skip Docs'!$A$2:$A$7,F250,'Skip Docs'!$C$2:$C$7,E250)&gt;0,"YES","NO")</f>
        <v/>
      </c>
      <c r="M250" s="37">
        <f>IF(L250="NO","NO",INDEX('Skip Docs'!$G$2:$G$7,MATCH(1,INDEX(('Skip Docs'!$A$2:$A$7=F250)*('Skip Docs'!$C$2:$C$7=E250),0),0)))</f>
        <v/>
      </c>
      <c r="N250" s="37">
        <f>IF(K250&lt;=E250,"ON/BEFORE","LATE")</f>
        <v/>
      </c>
      <c r="O250" s="37">
        <f>IF(COUNTIFS(Offers!$A$2:$A$1487,D250,Offers!$C$2:$C$1487,F250,Offers!$B$2:$B$1487,E250,Offers!$E$2:$E$1487,H250,Offers!$I$2:$I$1487,"SKIPPED")=1,"YES","NO")</f>
        <v/>
      </c>
      <c r="P250" s="37">
        <f>IF(L250="NO","N/A",IF(COUNTIFS('Skip Docs'!$A$2:$A$7,F250,'Skip Docs'!$C$2:$C$7,E250,'Skip Docs'!$D$2:$D$7,H250,'Skip Docs'!$E$2:$E$7,J250)=1,"YES","NO"))</f>
        <v/>
      </c>
      <c r="Q250" s="37" t="inlineStr">
        <is>
          <t>Y</t>
        </is>
      </c>
      <c r="R250" s="37" t="inlineStr">
        <is>
          <t>SUSTAINED</t>
        </is>
      </c>
      <c r="S250" s="37">
        <f>IF(B250="YES","Verified contemporaneous proof",IF(L250="NO","No justification PDF supplied",IF(M250="NO","PDF is cover-only",IF(P250="NO","PDF content does not match logged slip/reason",IF(O250="NO","Offer event does not reconcile","Assembled after skip date")))))</f>
        <v/>
      </c>
    </row>
    <row r="251">
      <c r="A251" s="37">
        <f>IF(M251="NO","Priority 1",IF(N251="LATE","Priority 2",IF(B251="YES","OK","Priority 1")))</f>
        <v/>
      </c>
      <c r="B251" s="37">
        <f>IF(AND(L251="YES",M251="YES",N251="ON/BEFORE",O251="YES",P251="YES"),"YES","NO")</f>
        <v/>
      </c>
      <c r="C251" s="37" t="inlineStr">
        <is>
          <t>SKP-2026-0341</t>
        </is>
      </c>
      <c r="D251" s="37" t="inlineStr">
        <is>
          <t>OFR-2026-1283</t>
        </is>
      </c>
      <c r="E251" s="38" t="n">
        <v>46049</v>
      </c>
      <c r="F251" s="37" t="inlineStr">
        <is>
          <t>WL-03197</t>
        </is>
      </c>
      <c r="G251" s="37">
        <f>IFERROR(INDEX(Applicants!$C$2:$C$2911,MATCH(F251,Applicants!$A$2:$A$2911,0))&amp;" "&amp;INDEX(Applicants!$B$2:$B$2911,MATCH(F251,Applicants!$A$2:$A$2911,0)),"")</f>
        <v/>
      </c>
      <c r="H251" s="37" t="inlineStr">
        <is>
          <t>LP-1109</t>
        </is>
      </c>
      <c r="I251" s="37" t="inlineStr">
        <is>
          <t>Ledgport</t>
        </is>
      </c>
      <c r="J251" s="37" t="inlineStr">
        <is>
          <t>declined-prior-offer</t>
        </is>
      </c>
      <c r="K251" s="38" t="n">
        <v>46054</v>
      </c>
      <c r="L251" s="37">
        <f>IF(COUNTIFS('Skip Docs'!$A$2:$A$7,F251,'Skip Docs'!$C$2:$C$7,E251)&gt;0,"YES","NO")</f>
        <v/>
      </c>
      <c r="M251" s="37">
        <f>IF(L251="NO","NO",INDEX('Skip Docs'!$G$2:$G$7,MATCH(1,INDEX(('Skip Docs'!$A$2:$A$7=F251)*('Skip Docs'!$C$2:$C$7=E251),0),0)))</f>
        <v/>
      </c>
      <c r="N251" s="37">
        <f>IF(K251&lt;=E251,"ON/BEFORE","LATE")</f>
        <v/>
      </c>
      <c r="O251" s="37">
        <f>IF(COUNTIFS(Offers!$A$2:$A$1487,D251,Offers!$C$2:$C$1487,F251,Offers!$B$2:$B$1487,E251,Offers!$E$2:$E$1487,H251,Offers!$I$2:$I$1487,"SKIPPED")=1,"YES","NO")</f>
        <v/>
      </c>
      <c r="P251" s="37">
        <f>IF(L251="NO","N/A",IF(COUNTIFS('Skip Docs'!$A$2:$A$7,F251,'Skip Docs'!$C$2:$C$7,E251,'Skip Docs'!$D$2:$D$7,H251,'Skip Docs'!$E$2:$E$7,J251)=1,"YES","NO"))</f>
        <v/>
      </c>
      <c r="Q251" s="37" t="inlineStr">
        <is>
          <t>Y</t>
        </is>
      </c>
      <c r="R251" s="37" t="inlineStr">
        <is>
          <t>SUSTAINED</t>
        </is>
      </c>
      <c r="S251" s="37">
        <f>IF(B251="YES","Verified contemporaneous proof",IF(L251="NO","No justification PDF supplied",IF(M251="NO","PDF is cover-only",IF(P251="NO","PDF content does not match logged slip/reason",IF(O251="NO","Offer event does not reconcile","Assembled after skip date")))))</f>
        <v/>
      </c>
    </row>
    <row r="252">
      <c r="A252" s="37">
        <f>IF(M252="NO","Priority 1",IF(N252="LATE","Priority 2",IF(B252="YES","OK","Priority 1")))</f>
        <v/>
      </c>
      <c r="B252" s="37">
        <f>IF(AND(L252="YES",M252="YES",N252="ON/BEFORE",O252="YES",P252="YES"),"YES","NO")</f>
        <v/>
      </c>
      <c r="C252" s="37" t="inlineStr">
        <is>
          <t>SKP-2026-0342</t>
        </is>
      </c>
      <c r="D252" s="37" t="inlineStr">
        <is>
          <t>OFR-2026-1284</t>
        </is>
      </c>
      <c r="E252" s="38" t="n">
        <v>46023</v>
      </c>
      <c r="F252" s="37" t="inlineStr">
        <is>
          <t>WL-01558</t>
        </is>
      </c>
      <c r="G252" s="37">
        <f>IFERROR(INDEX(Applicants!$C$2:$C$2911,MATCH(F252,Applicants!$A$2:$A$2911,0))&amp;" "&amp;INDEX(Applicants!$B$2:$B$2911,MATCH(F252,Applicants!$A$2:$A$2911,0)),"")</f>
        <v/>
      </c>
      <c r="H252" s="37" t="inlineStr">
        <is>
          <t>EW-0421</t>
        </is>
      </c>
      <c r="I252" s="37" t="inlineStr">
        <is>
          <t>Eastwey</t>
        </is>
      </c>
      <c r="J252" s="37" t="inlineStr">
        <is>
          <t>vessel-fit</t>
        </is>
      </c>
      <c r="K252" s="38" t="n">
        <v>46025</v>
      </c>
      <c r="L252" s="37">
        <f>IF(COUNTIFS('Skip Docs'!$A$2:$A$7,F252,'Skip Docs'!$C$2:$C$7,E252)&gt;0,"YES","NO")</f>
        <v/>
      </c>
      <c r="M252" s="37">
        <f>IF(L252="NO","NO",INDEX('Skip Docs'!$G$2:$G$7,MATCH(1,INDEX(('Skip Docs'!$A$2:$A$7=F252)*('Skip Docs'!$C$2:$C$7=E252),0),0)))</f>
        <v/>
      </c>
      <c r="N252" s="37">
        <f>IF(K252&lt;=E252,"ON/BEFORE","LATE")</f>
        <v/>
      </c>
      <c r="O252" s="37">
        <f>IF(COUNTIFS(Offers!$A$2:$A$1487,D252,Offers!$C$2:$C$1487,F252,Offers!$B$2:$B$1487,E252,Offers!$E$2:$E$1487,H252,Offers!$I$2:$I$1487,"SKIPPED")=1,"YES","NO")</f>
        <v/>
      </c>
      <c r="P252" s="37">
        <f>IF(L252="NO","N/A",IF(COUNTIFS('Skip Docs'!$A$2:$A$7,F252,'Skip Docs'!$C$2:$C$7,E252,'Skip Docs'!$D$2:$D$7,H252,'Skip Docs'!$E$2:$E$7,J252)=1,"YES","NO"))</f>
        <v/>
      </c>
      <c r="Q252" s="37" t="inlineStr">
        <is>
          <t>Y</t>
        </is>
      </c>
      <c r="R252" s="37" t="inlineStr">
        <is>
          <t>SUSTAINED</t>
        </is>
      </c>
      <c r="S252" s="37">
        <f>IF(B252="YES","Verified contemporaneous proof",IF(L252="NO","No justification PDF supplied",IF(M252="NO","PDF is cover-only",IF(P252="NO","PDF content does not match logged slip/reason",IF(O252="NO","Offer event does not reconcile","Assembled after skip date")))))</f>
        <v/>
      </c>
    </row>
    <row r="253">
      <c r="A253" s="37">
        <f>IF(M253="NO","Priority 1",IF(N253="LATE","Priority 2",IF(B253="YES","OK","Priority 1")))</f>
        <v/>
      </c>
      <c r="B253" s="37">
        <f>IF(AND(L253="YES",M253="YES",N253="ON/BEFORE",O253="YES",P253="YES"),"YES","NO")</f>
        <v/>
      </c>
      <c r="C253" s="37" t="inlineStr">
        <is>
          <t>SKP-2026-0343</t>
        </is>
      </c>
      <c r="D253" s="37" t="inlineStr">
        <is>
          <t>OFR-2026-1285</t>
        </is>
      </c>
      <c r="E253" s="38" t="n">
        <v>46023</v>
      </c>
      <c r="F253" s="37" t="inlineStr">
        <is>
          <t>WL-03054</t>
        </is>
      </c>
      <c r="G253" s="37">
        <f>IFERROR(INDEX(Applicants!$C$2:$C$2911,MATCH(F253,Applicants!$A$2:$A$2911,0))&amp;" "&amp;INDEX(Applicants!$B$2:$B$2911,MATCH(F253,Applicants!$A$2:$A$2911,0)),"")</f>
        <v/>
      </c>
      <c r="H253" s="37" t="inlineStr">
        <is>
          <t>VB-0224</t>
        </is>
      </c>
      <c r="I253" s="37" t="inlineStr">
        <is>
          <t>Vessbank</t>
        </is>
      </c>
      <c r="J253" s="37" t="inlineStr">
        <is>
          <t>vessel-fit</t>
        </is>
      </c>
      <c r="K253" s="38" t="n">
        <v>46026</v>
      </c>
      <c r="L253" s="37">
        <f>IF(COUNTIFS('Skip Docs'!$A$2:$A$7,F253,'Skip Docs'!$C$2:$C$7,E253)&gt;0,"YES","NO")</f>
        <v/>
      </c>
      <c r="M253" s="37">
        <f>IF(L253="NO","NO",INDEX('Skip Docs'!$G$2:$G$7,MATCH(1,INDEX(('Skip Docs'!$A$2:$A$7=F253)*('Skip Docs'!$C$2:$C$7=E253),0),0)))</f>
        <v/>
      </c>
      <c r="N253" s="37">
        <f>IF(K253&lt;=E253,"ON/BEFORE","LATE")</f>
        <v/>
      </c>
      <c r="O253" s="37">
        <f>IF(COUNTIFS(Offers!$A$2:$A$1487,D253,Offers!$C$2:$C$1487,F253,Offers!$B$2:$B$1487,E253,Offers!$E$2:$E$1487,H253,Offers!$I$2:$I$1487,"SKIPPED")=1,"YES","NO")</f>
        <v/>
      </c>
      <c r="P253" s="37">
        <f>IF(L253="NO","N/A",IF(COUNTIFS('Skip Docs'!$A$2:$A$7,F253,'Skip Docs'!$C$2:$C$7,E253,'Skip Docs'!$D$2:$D$7,H253,'Skip Docs'!$E$2:$E$7,J253)=1,"YES","NO"))</f>
        <v/>
      </c>
      <c r="Q253" s="37" t="inlineStr">
        <is>
          <t>N</t>
        </is>
      </c>
      <c r="R253" s="37" t="inlineStr">
        <is>
          <t>SUSTAINED</t>
        </is>
      </c>
      <c r="S253" s="37">
        <f>IF(B253="YES","Verified contemporaneous proof",IF(L253="NO","No justification PDF supplied",IF(M253="NO","PDF is cover-only",IF(P253="NO","PDF content does not match logged slip/reason",IF(O253="NO","Offer event does not reconcile","Assembled after skip date")))))</f>
        <v/>
      </c>
    </row>
    <row r="254">
      <c r="A254" s="37">
        <f>IF(M254="NO","Priority 1",IF(N254="LATE","Priority 2",IF(B254="YES","OK","Priority 1")))</f>
        <v/>
      </c>
      <c r="B254" s="37">
        <f>IF(AND(L254="YES",M254="YES",N254="ON/BEFORE",O254="YES",P254="YES"),"YES","NO")</f>
        <v/>
      </c>
      <c r="C254" s="37" t="inlineStr">
        <is>
          <t>SKP-2026-0344</t>
        </is>
      </c>
      <c r="D254" s="37" t="inlineStr">
        <is>
          <t>OFR-2026-1291</t>
        </is>
      </c>
      <c r="E254" s="38" t="n">
        <v>46075</v>
      </c>
      <c r="F254" s="37" t="inlineStr">
        <is>
          <t>WL-03817</t>
        </is>
      </c>
      <c r="G254" s="37">
        <f>IFERROR(INDEX(Applicants!$C$2:$C$2911,MATCH(F254,Applicants!$A$2:$A$2911,0))&amp;" "&amp;INDEX(Applicants!$B$2:$B$2911,MATCH(F254,Applicants!$A$2:$A$2911,0)),"")</f>
        <v/>
      </c>
      <c r="H254" s="37" t="inlineStr">
        <is>
          <t>SB-0907</t>
        </is>
      </c>
      <c r="I254" s="37" t="inlineStr">
        <is>
          <t>Salmonberry</t>
        </is>
      </c>
      <c r="J254" s="37" t="inlineStr">
        <is>
          <t>vessel-fit</t>
        </is>
      </c>
      <c r="K254" s="38" t="n">
        <v>46076</v>
      </c>
      <c r="L254" s="37">
        <f>IF(COUNTIFS('Skip Docs'!$A$2:$A$7,F254,'Skip Docs'!$C$2:$C$7,E254)&gt;0,"YES","NO")</f>
        <v/>
      </c>
      <c r="M254" s="37">
        <f>IF(L254="NO","NO",INDEX('Skip Docs'!$G$2:$G$7,MATCH(1,INDEX(('Skip Docs'!$A$2:$A$7=F254)*('Skip Docs'!$C$2:$C$7=E254),0),0)))</f>
        <v/>
      </c>
      <c r="N254" s="37">
        <f>IF(K254&lt;=E254,"ON/BEFORE","LATE")</f>
        <v/>
      </c>
      <c r="O254" s="37">
        <f>IF(COUNTIFS(Offers!$A$2:$A$1487,D254,Offers!$C$2:$C$1487,F254,Offers!$B$2:$B$1487,E254,Offers!$E$2:$E$1487,H254,Offers!$I$2:$I$1487,"SKIPPED")=1,"YES","NO")</f>
        <v/>
      </c>
      <c r="P254" s="37">
        <f>IF(L254="NO","N/A",IF(COUNTIFS('Skip Docs'!$A$2:$A$7,F254,'Skip Docs'!$C$2:$C$7,E254,'Skip Docs'!$D$2:$D$7,H254,'Skip Docs'!$E$2:$E$7,J254)=1,"YES","NO"))</f>
        <v/>
      </c>
      <c r="Q254" s="37" t="inlineStr">
        <is>
          <t>Y</t>
        </is>
      </c>
      <c r="R254" s="37" t="inlineStr">
        <is>
          <t>SUSTAINED</t>
        </is>
      </c>
      <c r="S254" s="37">
        <f>IF(B254="YES","Verified contemporaneous proof",IF(L254="NO","No justification PDF supplied",IF(M254="NO","PDF is cover-only",IF(P254="NO","PDF content does not match logged slip/reason",IF(O254="NO","Offer event does not reconcile","Assembled after skip date")))))</f>
        <v/>
      </c>
    </row>
    <row r="255">
      <c r="A255" s="37">
        <f>IF(M255="NO","Priority 1",IF(N255="LATE","Priority 2",IF(B255="YES","OK","Priority 1")))</f>
        <v/>
      </c>
      <c r="B255" s="37">
        <f>IF(AND(L255="YES",M255="YES",N255="ON/BEFORE",O255="YES",P255="YES"),"YES","NO")</f>
        <v/>
      </c>
      <c r="C255" s="37" t="inlineStr">
        <is>
          <t>SKP-2026-0345</t>
        </is>
      </c>
      <c r="D255" s="37" t="inlineStr">
        <is>
          <t>OFR-2026-1297</t>
        </is>
      </c>
      <c r="E255" s="38" t="n">
        <v>46080</v>
      </c>
      <c r="F255" s="37" t="inlineStr">
        <is>
          <t>WL-03653</t>
        </is>
      </c>
      <c r="G255" s="37">
        <f>IFERROR(INDEX(Applicants!$C$2:$C$2911,MATCH(F255,Applicants!$A$2:$A$2911,0))&amp;" "&amp;INDEX(Applicants!$B$2:$B$2911,MATCH(F255,Applicants!$A$2:$A$2911,0)),"")</f>
        <v/>
      </c>
      <c r="H255" s="37" t="inlineStr">
        <is>
          <t>LP-0614</t>
        </is>
      </c>
      <c r="I255" s="37" t="inlineStr">
        <is>
          <t>Ledgport</t>
        </is>
      </c>
      <c r="J255" s="37" t="inlineStr">
        <is>
          <t>vessel-fit</t>
        </is>
      </c>
      <c r="K255" s="38" t="n">
        <v>46082</v>
      </c>
      <c r="L255" s="37">
        <f>IF(COUNTIFS('Skip Docs'!$A$2:$A$7,F255,'Skip Docs'!$C$2:$C$7,E255)&gt;0,"YES","NO")</f>
        <v/>
      </c>
      <c r="M255" s="37">
        <f>IF(L255="NO","NO",INDEX('Skip Docs'!$G$2:$G$7,MATCH(1,INDEX(('Skip Docs'!$A$2:$A$7=F255)*('Skip Docs'!$C$2:$C$7=E255),0),0)))</f>
        <v/>
      </c>
      <c r="N255" s="37">
        <f>IF(K255&lt;=E255,"ON/BEFORE","LATE")</f>
        <v/>
      </c>
      <c r="O255" s="37">
        <f>IF(COUNTIFS(Offers!$A$2:$A$1487,D255,Offers!$C$2:$C$1487,F255,Offers!$B$2:$B$1487,E255,Offers!$E$2:$E$1487,H255,Offers!$I$2:$I$1487,"SKIPPED")=1,"YES","NO")</f>
        <v/>
      </c>
      <c r="P255" s="37">
        <f>IF(L255="NO","N/A",IF(COUNTIFS('Skip Docs'!$A$2:$A$7,F255,'Skip Docs'!$C$2:$C$7,E255,'Skip Docs'!$D$2:$D$7,H255,'Skip Docs'!$E$2:$E$7,J255)=1,"YES","NO"))</f>
        <v/>
      </c>
      <c r="Q255" s="37" t="inlineStr">
        <is>
          <t>Y</t>
        </is>
      </c>
      <c r="R255" s="37" t="inlineStr">
        <is>
          <t>SUSTAINED</t>
        </is>
      </c>
      <c r="S255" s="37">
        <f>IF(B255="YES","Verified contemporaneous proof",IF(L255="NO","No justification PDF supplied",IF(M255="NO","PDF is cover-only",IF(P255="NO","PDF content does not match logged slip/reason",IF(O255="NO","Offer event does not reconcile","Assembled after skip date")))))</f>
        <v/>
      </c>
    </row>
    <row r="256">
      <c r="A256" s="37">
        <f>IF(M256="NO","Priority 1",IF(N256="LATE","Priority 2",IF(B256="YES","OK","Priority 1")))</f>
        <v/>
      </c>
      <c r="B256" s="37">
        <f>IF(AND(L256="YES",M256="YES",N256="ON/BEFORE",O256="YES",P256="YES"),"YES","NO")</f>
        <v/>
      </c>
      <c r="C256" s="37" t="inlineStr">
        <is>
          <t>SKP-2026-0346</t>
        </is>
      </c>
      <c r="D256" s="37" t="inlineStr">
        <is>
          <t>OFR-2026-1298</t>
        </is>
      </c>
      <c r="E256" s="38" t="n">
        <v>46067</v>
      </c>
      <c r="F256" s="37" t="inlineStr">
        <is>
          <t>WL-01605</t>
        </is>
      </c>
      <c r="G256" s="37">
        <f>IFERROR(INDEX(Applicants!$C$2:$C$2911,MATCH(F256,Applicants!$A$2:$A$2911,0))&amp;" "&amp;INDEX(Applicants!$B$2:$B$2911,MATCH(F256,Applicants!$A$2:$A$2911,0)),"")</f>
        <v/>
      </c>
      <c r="H256" s="37" t="inlineStr">
        <is>
          <t>VB-0912</t>
        </is>
      </c>
      <c r="I256" s="37" t="inlineStr">
        <is>
          <t>Vessbank</t>
        </is>
      </c>
      <c r="J256" s="37" t="inlineStr">
        <is>
          <t>preference-mismatch</t>
        </is>
      </c>
      <c r="K256" s="38" t="n">
        <v>46068</v>
      </c>
      <c r="L256" s="37">
        <f>IF(COUNTIFS('Skip Docs'!$A$2:$A$7,F256,'Skip Docs'!$C$2:$C$7,E256)&gt;0,"YES","NO")</f>
        <v/>
      </c>
      <c r="M256" s="37">
        <f>IF(L256="NO","NO",INDEX('Skip Docs'!$G$2:$G$7,MATCH(1,INDEX(('Skip Docs'!$A$2:$A$7=F256)*('Skip Docs'!$C$2:$C$7=E256),0),0)))</f>
        <v/>
      </c>
      <c r="N256" s="37">
        <f>IF(K256&lt;=E256,"ON/BEFORE","LATE")</f>
        <v/>
      </c>
      <c r="O256" s="37">
        <f>IF(COUNTIFS(Offers!$A$2:$A$1487,D256,Offers!$C$2:$C$1487,F256,Offers!$B$2:$B$1487,E256,Offers!$E$2:$E$1487,H256,Offers!$I$2:$I$1487,"SKIPPED")=1,"YES","NO")</f>
        <v/>
      </c>
      <c r="P256" s="37">
        <f>IF(L256="NO","N/A",IF(COUNTIFS('Skip Docs'!$A$2:$A$7,F256,'Skip Docs'!$C$2:$C$7,E256,'Skip Docs'!$D$2:$D$7,H256,'Skip Docs'!$E$2:$E$7,J256)=1,"YES","NO"))</f>
        <v/>
      </c>
      <c r="Q256" s="37" t="inlineStr">
        <is>
          <t>Y</t>
        </is>
      </c>
      <c r="R256" s="37" t="inlineStr">
        <is>
          <t>SUSTAINED</t>
        </is>
      </c>
      <c r="S256" s="37">
        <f>IF(B256="YES","Verified contemporaneous proof",IF(L256="NO","No justification PDF supplied",IF(M256="NO","PDF is cover-only",IF(P256="NO","PDF content does not match logged slip/reason",IF(O256="NO","Offer event does not reconcile","Assembled after skip date")))))</f>
        <v/>
      </c>
    </row>
    <row r="257">
      <c r="A257" s="37">
        <f>IF(M257="NO","Priority 1",IF(N257="LATE","Priority 2",IF(B257="YES","OK","Priority 1")))</f>
        <v/>
      </c>
      <c r="B257" s="37">
        <f>IF(AND(L257="YES",M257="YES",N257="ON/BEFORE",O257="YES",P257="YES"),"YES","NO")</f>
        <v/>
      </c>
      <c r="C257" s="37" t="inlineStr">
        <is>
          <t>SKP-2026-0347</t>
        </is>
      </c>
      <c r="D257" s="37" t="inlineStr">
        <is>
          <t>OFR-2026-1299</t>
        </is>
      </c>
      <c r="E257" s="38" t="n">
        <v>46075</v>
      </c>
      <c r="F257" s="37" t="inlineStr">
        <is>
          <t>WL-01550</t>
        </is>
      </c>
      <c r="G257" s="37">
        <f>IFERROR(INDEX(Applicants!$C$2:$C$2911,MATCH(F257,Applicants!$A$2:$A$2911,0))&amp;" "&amp;INDEX(Applicants!$B$2:$B$2911,MATCH(F257,Applicants!$A$2:$A$2911,0)),"")</f>
        <v/>
      </c>
      <c r="H257" s="37" t="inlineStr">
        <is>
          <t>EW-1015</t>
        </is>
      </c>
      <c r="I257" s="37" t="inlineStr">
        <is>
          <t>Eastwey</t>
        </is>
      </c>
      <c r="J257" s="37" t="inlineStr">
        <is>
          <t>vessel-fit</t>
        </is>
      </c>
      <c r="K257" s="38" t="n">
        <v>46078</v>
      </c>
      <c r="L257" s="37">
        <f>IF(COUNTIFS('Skip Docs'!$A$2:$A$7,F257,'Skip Docs'!$C$2:$C$7,E257)&gt;0,"YES","NO")</f>
        <v/>
      </c>
      <c r="M257" s="37">
        <f>IF(L257="NO","NO",INDEX('Skip Docs'!$G$2:$G$7,MATCH(1,INDEX(('Skip Docs'!$A$2:$A$7=F257)*('Skip Docs'!$C$2:$C$7=E257),0),0)))</f>
        <v/>
      </c>
      <c r="N257" s="37">
        <f>IF(K257&lt;=E257,"ON/BEFORE","LATE")</f>
        <v/>
      </c>
      <c r="O257" s="37">
        <f>IF(COUNTIFS(Offers!$A$2:$A$1487,D257,Offers!$C$2:$C$1487,F257,Offers!$B$2:$B$1487,E257,Offers!$E$2:$E$1487,H257,Offers!$I$2:$I$1487,"SKIPPED")=1,"YES","NO")</f>
        <v/>
      </c>
      <c r="P257" s="37">
        <f>IF(L257="NO","N/A",IF(COUNTIFS('Skip Docs'!$A$2:$A$7,F257,'Skip Docs'!$C$2:$C$7,E257,'Skip Docs'!$D$2:$D$7,H257,'Skip Docs'!$E$2:$E$7,J257)=1,"YES","NO"))</f>
        <v/>
      </c>
      <c r="Q257" s="37" t="inlineStr">
        <is>
          <t>Y</t>
        </is>
      </c>
      <c r="R257" s="37" t="inlineStr">
        <is>
          <t>SUSTAINED</t>
        </is>
      </c>
      <c r="S257" s="37">
        <f>IF(B257="YES","Verified contemporaneous proof",IF(L257="NO","No justification PDF supplied",IF(M257="NO","PDF is cover-only",IF(P257="NO","PDF content does not match logged slip/reason",IF(O257="NO","Offer event does not reconcile","Assembled after skip date")))))</f>
        <v/>
      </c>
    </row>
    <row r="258">
      <c r="A258" s="37">
        <f>IF(M258="NO","Priority 1",IF(N258="LATE","Priority 2",IF(B258="YES","OK","Priority 1")))</f>
        <v/>
      </c>
      <c r="B258" s="37">
        <f>IF(AND(L258="YES",M258="YES",N258="ON/BEFORE",O258="YES",P258="YES"),"YES","NO")</f>
        <v/>
      </c>
      <c r="C258" s="37" t="inlineStr">
        <is>
          <t>SKP-2026-0348</t>
        </is>
      </c>
      <c r="D258" s="37" t="inlineStr">
        <is>
          <t>OFR-2026-1305</t>
        </is>
      </c>
      <c r="E258" s="38" t="n">
        <v>46075</v>
      </c>
      <c r="F258" s="37" t="inlineStr">
        <is>
          <t>WL-02930</t>
        </is>
      </c>
      <c r="G258" s="37">
        <f>IFERROR(INDEX(Applicants!$C$2:$C$2911,MATCH(F258,Applicants!$A$2:$A$2911,0))&amp;" "&amp;INDEX(Applicants!$B$2:$B$2911,MATCH(F258,Applicants!$A$2:$A$2911,0)),"")</f>
        <v/>
      </c>
      <c r="H258" s="37" t="inlineStr">
        <is>
          <t>LP-0915</t>
        </is>
      </c>
      <c r="I258" s="37" t="inlineStr">
        <is>
          <t>Ledgport</t>
        </is>
      </c>
      <c r="J258" s="37" t="inlineStr">
        <is>
          <t>declined-prior-offer</t>
        </is>
      </c>
      <c r="K258" s="38" t="n">
        <v>46075</v>
      </c>
      <c r="L258" s="37">
        <f>IF(COUNTIFS('Skip Docs'!$A$2:$A$7,F258,'Skip Docs'!$C$2:$C$7,E258)&gt;0,"YES","NO")</f>
        <v/>
      </c>
      <c r="M258" s="37">
        <f>IF(L258="NO","NO",INDEX('Skip Docs'!$G$2:$G$7,MATCH(1,INDEX(('Skip Docs'!$A$2:$A$7=F258)*('Skip Docs'!$C$2:$C$7=E258),0),0)))</f>
        <v/>
      </c>
      <c r="N258" s="37">
        <f>IF(K258&lt;=E258,"ON/BEFORE","LATE")</f>
        <v/>
      </c>
      <c r="O258" s="37">
        <f>IF(COUNTIFS(Offers!$A$2:$A$1487,D258,Offers!$C$2:$C$1487,F258,Offers!$B$2:$B$1487,E258,Offers!$E$2:$E$1487,H258,Offers!$I$2:$I$1487,"SKIPPED")=1,"YES","NO")</f>
        <v/>
      </c>
      <c r="P258" s="37">
        <f>IF(L258="NO","N/A",IF(COUNTIFS('Skip Docs'!$A$2:$A$7,F258,'Skip Docs'!$C$2:$C$7,E258,'Skip Docs'!$D$2:$D$7,H258,'Skip Docs'!$E$2:$E$7,J258)=1,"YES","NO"))</f>
        <v/>
      </c>
      <c r="Q258" s="37" t="inlineStr">
        <is>
          <t>Y</t>
        </is>
      </c>
      <c r="R258" s="37" t="inlineStr">
        <is>
          <t>SUSTAINED</t>
        </is>
      </c>
      <c r="S258" s="37">
        <f>IF(B258="YES","Verified contemporaneous proof",IF(L258="NO","No justification PDF supplied",IF(M258="NO","PDF is cover-only",IF(P258="NO","PDF content does not match logged slip/reason",IF(O258="NO","Offer event does not reconcile","Assembled after skip date")))))</f>
        <v/>
      </c>
    </row>
    <row r="259">
      <c r="A259" s="37">
        <f>IF(M259="NO","Priority 1",IF(N259="LATE","Priority 2",IF(B259="YES","OK","Priority 1")))</f>
        <v/>
      </c>
      <c r="B259" s="37">
        <f>IF(AND(L259="YES",M259="YES",N259="ON/BEFORE",O259="YES",P259="YES"),"YES","NO")</f>
        <v/>
      </c>
      <c r="C259" s="37" t="inlineStr">
        <is>
          <t>SKP-2026-0349</t>
        </is>
      </c>
      <c r="D259" s="37" t="inlineStr">
        <is>
          <t>OFR-2026-1306</t>
        </is>
      </c>
      <c r="E259" s="38" t="n">
        <v>46060</v>
      </c>
      <c r="F259" s="37" t="inlineStr">
        <is>
          <t>WL-03816</t>
        </is>
      </c>
      <c r="G259" s="37">
        <f>IFERROR(INDEX(Applicants!$C$2:$C$2911,MATCH(F259,Applicants!$A$2:$A$2911,0))&amp;" "&amp;INDEX(Applicants!$B$2:$B$2911,MATCH(F259,Applicants!$A$2:$A$2911,0)),"")</f>
        <v/>
      </c>
      <c r="H259" s="37" t="inlineStr">
        <is>
          <t>EW-0804</t>
        </is>
      </c>
      <c r="I259" s="37" t="inlineStr">
        <is>
          <t>Eastwey</t>
        </is>
      </c>
      <c r="J259" s="37" t="inlineStr">
        <is>
          <t>vessel-fit</t>
        </is>
      </c>
      <c r="K259" s="38" t="n">
        <v>46065</v>
      </c>
      <c r="L259" s="37">
        <f>IF(COUNTIFS('Skip Docs'!$A$2:$A$7,F259,'Skip Docs'!$C$2:$C$7,E259)&gt;0,"YES","NO")</f>
        <v/>
      </c>
      <c r="M259" s="37">
        <f>IF(L259="NO","NO",INDEX('Skip Docs'!$G$2:$G$7,MATCH(1,INDEX(('Skip Docs'!$A$2:$A$7=F259)*('Skip Docs'!$C$2:$C$7=E259),0),0)))</f>
        <v/>
      </c>
      <c r="N259" s="37">
        <f>IF(K259&lt;=E259,"ON/BEFORE","LATE")</f>
        <v/>
      </c>
      <c r="O259" s="37">
        <f>IF(COUNTIFS(Offers!$A$2:$A$1487,D259,Offers!$C$2:$C$1487,F259,Offers!$B$2:$B$1487,E259,Offers!$E$2:$E$1487,H259,Offers!$I$2:$I$1487,"SKIPPED")=1,"YES","NO")</f>
        <v/>
      </c>
      <c r="P259" s="37">
        <f>IF(L259="NO","N/A",IF(COUNTIFS('Skip Docs'!$A$2:$A$7,F259,'Skip Docs'!$C$2:$C$7,E259,'Skip Docs'!$D$2:$D$7,H259,'Skip Docs'!$E$2:$E$7,J259)=1,"YES","NO"))</f>
        <v/>
      </c>
      <c r="Q259" s="37" t="inlineStr">
        <is>
          <t>Y</t>
        </is>
      </c>
      <c r="R259" s="37" t="inlineStr">
        <is>
          <t>SUSTAINED</t>
        </is>
      </c>
      <c r="S259" s="37">
        <f>IF(B259="YES","Verified contemporaneous proof",IF(L259="NO","No justification PDF supplied",IF(M259="NO","PDF is cover-only",IF(P259="NO","PDF content does not match logged slip/reason",IF(O259="NO","Offer event does not reconcile","Assembled after skip date")))))</f>
        <v/>
      </c>
    </row>
    <row r="260">
      <c r="A260" s="37">
        <f>IF(M260="NO","Priority 1",IF(N260="LATE","Priority 2",IF(B260="YES","OK","Priority 1")))</f>
        <v/>
      </c>
      <c r="B260" s="37">
        <f>IF(AND(L260="YES",M260="YES",N260="ON/BEFORE",O260="YES",P260="YES"),"YES","NO")</f>
        <v/>
      </c>
      <c r="C260" s="37" t="inlineStr">
        <is>
          <t>SKP-2026-0350</t>
        </is>
      </c>
      <c r="D260" s="37" t="inlineStr">
        <is>
          <t>OFR-2026-1310</t>
        </is>
      </c>
      <c r="E260" s="38" t="n">
        <v>46093</v>
      </c>
      <c r="F260" s="37" t="inlineStr">
        <is>
          <t>WL-01038</t>
        </is>
      </c>
      <c r="G260" s="37">
        <f>IFERROR(INDEX(Applicants!$C$2:$C$2911,MATCH(F260,Applicants!$A$2:$A$2911,0))&amp;" "&amp;INDEX(Applicants!$B$2:$B$2911,MATCH(F260,Applicants!$A$2:$A$2911,0)),"")</f>
        <v/>
      </c>
      <c r="H260" s="37" t="inlineStr">
        <is>
          <t>GW-0105</t>
        </is>
      </c>
      <c r="I260" s="37" t="inlineStr">
        <is>
          <t>Gullwing</t>
        </is>
      </c>
      <c r="J260" s="37" t="inlineStr">
        <is>
          <t>not-current</t>
        </is>
      </c>
      <c r="K260" s="38" t="n">
        <v>46098</v>
      </c>
      <c r="L260" s="37">
        <f>IF(COUNTIFS('Skip Docs'!$A$2:$A$7,F260,'Skip Docs'!$C$2:$C$7,E260)&gt;0,"YES","NO")</f>
        <v/>
      </c>
      <c r="M260" s="37">
        <f>IF(L260="NO","NO",INDEX('Skip Docs'!$G$2:$G$7,MATCH(1,INDEX(('Skip Docs'!$A$2:$A$7=F260)*('Skip Docs'!$C$2:$C$7=E260),0),0)))</f>
        <v/>
      </c>
      <c r="N260" s="37">
        <f>IF(K260&lt;=E260,"ON/BEFORE","LATE")</f>
        <v/>
      </c>
      <c r="O260" s="37">
        <f>IF(COUNTIFS(Offers!$A$2:$A$1487,D260,Offers!$C$2:$C$1487,F260,Offers!$B$2:$B$1487,E260,Offers!$E$2:$E$1487,H260,Offers!$I$2:$I$1487,"SKIPPED")=1,"YES","NO")</f>
        <v/>
      </c>
      <c r="P260" s="37">
        <f>IF(L260="NO","N/A",IF(COUNTIFS('Skip Docs'!$A$2:$A$7,F260,'Skip Docs'!$C$2:$C$7,E260,'Skip Docs'!$D$2:$D$7,H260,'Skip Docs'!$E$2:$E$7,J260)=1,"YES","NO"))</f>
        <v/>
      </c>
      <c r="Q260" s="37" t="inlineStr">
        <is>
          <t>Y</t>
        </is>
      </c>
      <c r="R260" s="37" t="inlineStr">
        <is>
          <t>SUSTAINED</t>
        </is>
      </c>
      <c r="S260" s="37">
        <f>IF(B260="YES","Verified contemporaneous proof",IF(L260="NO","No justification PDF supplied",IF(M260="NO","PDF is cover-only",IF(P260="NO","PDF content does not match logged slip/reason",IF(O260="NO","Offer event does not reconcile","Assembled after skip date")))))</f>
        <v/>
      </c>
    </row>
    <row r="261">
      <c r="A261" s="37">
        <f>IF(M261="NO","Priority 1",IF(N261="LATE","Priority 2",IF(B261="YES","OK","Priority 1")))</f>
        <v/>
      </c>
      <c r="B261" s="37">
        <f>IF(AND(L261="YES",M261="YES",N261="ON/BEFORE",O261="YES",P261="YES"),"YES","NO")</f>
        <v/>
      </c>
      <c r="C261" s="37" t="inlineStr">
        <is>
          <t>SKP-2026-0351</t>
        </is>
      </c>
      <c r="D261" s="37" t="inlineStr">
        <is>
          <t>OFR-2026-1321</t>
        </is>
      </c>
      <c r="E261" s="38" t="n">
        <v>46096</v>
      </c>
      <c r="F261" s="37" t="inlineStr">
        <is>
          <t>WL-02306</t>
        </is>
      </c>
      <c r="G261" s="37">
        <f>IFERROR(INDEX(Applicants!$C$2:$C$2911,MATCH(F261,Applicants!$A$2:$A$2911,0))&amp;" "&amp;INDEX(Applicants!$B$2:$B$2911,MATCH(F261,Applicants!$A$2:$A$2911,0)),"")</f>
        <v/>
      </c>
      <c r="H261" s="37" t="inlineStr">
        <is>
          <t>SB-0709</t>
        </is>
      </c>
      <c r="I261" s="37" t="inlineStr">
        <is>
          <t>Salmonberry</t>
        </is>
      </c>
      <c r="J261" s="37" t="inlineStr">
        <is>
          <t>not-current</t>
        </is>
      </c>
      <c r="K261" s="38" t="n">
        <v>46099</v>
      </c>
      <c r="L261" s="37">
        <f>IF(COUNTIFS('Skip Docs'!$A$2:$A$7,F261,'Skip Docs'!$C$2:$C$7,E261)&gt;0,"YES","NO")</f>
        <v/>
      </c>
      <c r="M261" s="37">
        <f>IF(L261="NO","NO",INDEX('Skip Docs'!$G$2:$G$7,MATCH(1,INDEX(('Skip Docs'!$A$2:$A$7=F261)*('Skip Docs'!$C$2:$C$7=E261),0),0)))</f>
        <v/>
      </c>
      <c r="N261" s="37">
        <f>IF(K261&lt;=E261,"ON/BEFORE","LATE")</f>
        <v/>
      </c>
      <c r="O261" s="37">
        <f>IF(COUNTIFS(Offers!$A$2:$A$1487,D261,Offers!$C$2:$C$1487,F261,Offers!$B$2:$B$1487,E261,Offers!$E$2:$E$1487,H261,Offers!$I$2:$I$1487,"SKIPPED")=1,"YES","NO")</f>
        <v/>
      </c>
      <c r="P261" s="37">
        <f>IF(L261="NO","N/A",IF(COUNTIFS('Skip Docs'!$A$2:$A$7,F261,'Skip Docs'!$C$2:$C$7,E261,'Skip Docs'!$D$2:$D$7,H261,'Skip Docs'!$E$2:$E$7,J261)=1,"YES","NO"))</f>
        <v/>
      </c>
      <c r="Q261" s="37" t="inlineStr">
        <is>
          <t>Y</t>
        </is>
      </c>
      <c r="R261" s="37" t="inlineStr">
        <is>
          <t>SUSTAINED</t>
        </is>
      </c>
      <c r="S261" s="37">
        <f>IF(B261="YES","Verified contemporaneous proof",IF(L261="NO","No justification PDF supplied",IF(M261="NO","PDF is cover-only",IF(P261="NO","PDF content does not match logged slip/reason",IF(O261="NO","Offer event does not reconcile","Assembled after skip date")))))</f>
        <v/>
      </c>
    </row>
    <row r="262">
      <c r="A262" s="37">
        <f>IF(M262="NO","Priority 1",IF(N262="LATE","Priority 2",IF(B262="YES","OK","Priority 1")))</f>
        <v/>
      </c>
      <c r="B262" s="37">
        <f>IF(AND(L262="YES",M262="YES",N262="ON/BEFORE",O262="YES",P262="YES"),"YES","NO")</f>
        <v/>
      </c>
      <c r="C262" s="37" t="inlineStr">
        <is>
          <t>SKP-2026-0352</t>
        </is>
      </c>
      <c r="D262" s="37" t="inlineStr">
        <is>
          <t>OFR-2026-1322</t>
        </is>
      </c>
      <c r="E262" s="38" t="n">
        <v>46107</v>
      </c>
      <c r="F262" s="37" t="inlineStr">
        <is>
          <t>WL-01139</t>
        </is>
      </c>
      <c r="G262" s="37">
        <f>IFERROR(INDEX(Applicants!$C$2:$C$2911,MATCH(F262,Applicants!$A$2:$A$2911,0))&amp;" "&amp;INDEX(Applicants!$B$2:$B$2911,MATCH(F262,Applicants!$A$2:$A$2911,0)),"")</f>
        <v/>
      </c>
      <c r="H262" s="37" t="inlineStr">
        <is>
          <t>GW-0314</t>
        </is>
      </c>
      <c r="I262" s="37" t="inlineStr">
        <is>
          <t>Gullwing</t>
        </is>
      </c>
      <c r="J262" s="37" t="inlineStr">
        <is>
          <t>vessel-fit</t>
        </is>
      </c>
      <c r="K262" s="38" t="n">
        <v>46109</v>
      </c>
      <c r="L262" s="37">
        <f>IF(COUNTIFS('Skip Docs'!$A$2:$A$7,F262,'Skip Docs'!$C$2:$C$7,E262)&gt;0,"YES","NO")</f>
        <v/>
      </c>
      <c r="M262" s="37">
        <f>IF(L262="NO","NO",INDEX('Skip Docs'!$G$2:$G$7,MATCH(1,INDEX(('Skip Docs'!$A$2:$A$7=F262)*('Skip Docs'!$C$2:$C$7=E262),0),0)))</f>
        <v/>
      </c>
      <c r="N262" s="37">
        <f>IF(K262&lt;=E262,"ON/BEFORE","LATE")</f>
        <v/>
      </c>
      <c r="O262" s="37">
        <f>IF(COUNTIFS(Offers!$A$2:$A$1487,D262,Offers!$C$2:$C$1487,F262,Offers!$B$2:$B$1487,E262,Offers!$E$2:$E$1487,H262,Offers!$I$2:$I$1487,"SKIPPED")=1,"YES","NO")</f>
        <v/>
      </c>
      <c r="P262" s="37">
        <f>IF(L262="NO","N/A",IF(COUNTIFS('Skip Docs'!$A$2:$A$7,F262,'Skip Docs'!$C$2:$C$7,E262,'Skip Docs'!$D$2:$D$7,H262,'Skip Docs'!$E$2:$E$7,J262)=1,"YES","NO"))</f>
        <v/>
      </c>
      <c r="Q262" s="37" t="inlineStr">
        <is>
          <t>Y</t>
        </is>
      </c>
      <c r="R262" s="37" t="inlineStr">
        <is>
          <t>SUSTAINED</t>
        </is>
      </c>
      <c r="S262" s="37">
        <f>IF(B262="YES","Verified contemporaneous proof",IF(L262="NO","No justification PDF supplied",IF(M262="NO","PDF is cover-only",IF(P262="NO","PDF content does not match logged slip/reason",IF(O262="NO","Offer event does not reconcile","Assembled after skip date")))))</f>
        <v/>
      </c>
    </row>
    <row r="263">
      <c r="A263" s="37">
        <f>IF(M263="NO","Priority 1",IF(N263="LATE","Priority 2",IF(B263="YES","OK","Priority 1")))</f>
        <v/>
      </c>
      <c r="B263" s="37">
        <f>IF(AND(L263="YES",M263="YES",N263="ON/BEFORE",O263="YES",P263="YES"),"YES","NO")</f>
        <v/>
      </c>
      <c r="C263" s="37" t="inlineStr">
        <is>
          <t>SKP-2026-0353</t>
        </is>
      </c>
      <c r="D263" s="37" t="inlineStr">
        <is>
          <t>OFR-2026-1323</t>
        </is>
      </c>
      <c r="E263" s="38" t="n">
        <v>46094</v>
      </c>
      <c r="F263" s="37" t="inlineStr">
        <is>
          <t>WL-03279</t>
        </is>
      </c>
      <c r="G263" s="37">
        <f>IFERROR(INDEX(Applicants!$C$2:$C$2911,MATCH(F263,Applicants!$A$2:$A$2911,0))&amp;" "&amp;INDEX(Applicants!$B$2:$B$2911,MATCH(F263,Applicants!$A$2:$A$2911,0)),"")</f>
        <v/>
      </c>
      <c r="H263" s="37" t="inlineStr">
        <is>
          <t>EW-0916</t>
        </is>
      </c>
      <c r="I263" s="37" t="inlineStr">
        <is>
          <t>Eastwey</t>
        </is>
      </c>
      <c r="J263" s="37" t="inlineStr">
        <is>
          <t>vessel-fit</t>
        </is>
      </c>
      <c r="K263" s="38" t="n">
        <v>46099</v>
      </c>
      <c r="L263" s="37">
        <f>IF(COUNTIFS('Skip Docs'!$A$2:$A$7,F263,'Skip Docs'!$C$2:$C$7,E263)&gt;0,"YES","NO")</f>
        <v/>
      </c>
      <c r="M263" s="37">
        <f>IF(L263="NO","NO",INDEX('Skip Docs'!$G$2:$G$7,MATCH(1,INDEX(('Skip Docs'!$A$2:$A$7=F263)*('Skip Docs'!$C$2:$C$7=E263),0),0)))</f>
        <v/>
      </c>
      <c r="N263" s="37">
        <f>IF(K263&lt;=E263,"ON/BEFORE","LATE")</f>
        <v/>
      </c>
      <c r="O263" s="37">
        <f>IF(COUNTIFS(Offers!$A$2:$A$1487,D263,Offers!$C$2:$C$1487,F263,Offers!$B$2:$B$1487,E263,Offers!$E$2:$E$1487,H263,Offers!$I$2:$I$1487,"SKIPPED")=1,"YES","NO")</f>
        <v/>
      </c>
      <c r="P263" s="37">
        <f>IF(L263="NO","N/A",IF(COUNTIFS('Skip Docs'!$A$2:$A$7,F263,'Skip Docs'!$C$2:$C$7,E263,'Skip Docs'!$D$2:$D$7,H263,'Skip Docs'!$E$2:$E$7,J263)=1,"YES","NO"))</f>
        <v/>
      </c>
      <c r="Q263" s="37" t="inlineStr">
        <is>
          <t>Y</t>
        </is>
      </c>
      <c r="R263" s="37" t="inlineStr">
        <is>
          <t>SUSTAINED</t>
        </is>
      </c>
      <c r="S263" s="37">
        <f>IF(B263="YES","Verified contemporaneous proof",IF(L263="NO","No justification PDF supplied",IF(M263="NO","PDF is cover-only",IF(P263="NO","PDF content does not match logged slip/reason",IF(O263="NO","Offer event does not reconcile","Assembled after skip date")))))</f>
        <v/>
      </c>
    </row>
    <row r="264">
      <c r="A264" s="37">
        <f>IF(M264="NO","Priority 1",IF(N264="LATE","Priority 2",IF(B264="YES","OK","Priority 1")))</f>
        <v/>
      </c>
      <c r="B264" s="37">
        <f>IF(AND(L264="YES",M264="YES",N264="ON/BEFORE",O264="YES",P264="YES"),"YES","NO")</f>
        <v/>
      </c>
      <c r="C264" s="37" t="inlineStr">
        <is>
          <t>SKP-2026-0354</t>
        </is>
      </c>
      <c r="D264" s="37" t="inlineStr">
        <is>
          <t>OFR-2026-1327</t>
        </is>
      </c>
      <c r="E264" s="38" t="n">
        <v>46107</v>
      </c>
      <c r="F264" s="37" t="inlineStr">
        <is>
          <t>WL-03305</t>
        </is>
      </c>
      <c r="G264" s="37">
        <f>IFERROR(INDEX(Applicants!$C$2:$C$2911,MATCH(F264,Applicants!$A$2:$A$2911,0))&amp;" "&amp;INDEX(Applicants!$B$2:$B$2911,MATCH(F264,Applicants!$A$2:$A$2911,0)),"")</f>
        <v/>
      </c>
      <c r="H264" s="37" t="inlineStr">
        <is>
          <t>GW-0509</t>
        </is>
      </c>
      <c r="I264" s="37" t="inlineStr">
        <is>
          <t>Gullwing</t>
        </is>
      </c>
      <c r="J264" s="37" t="inlineStr">
        <is>
          <t>declined-prior-offer</t>
        </is>
      </c>
      <c r="K264" s="38" t="n">
        <v>46112</v>
      </c>
      <c r="L264" s="37">
        <f>IF(COUNTIFS('Skip Docs'!$A$2:$A$7,F264,'Skip Docs'!$C$2:$C$7,E264)&gt;0,"YES","NO")</f>
        <v/>
      </c>
      <c r="M264" s="37">
        <f>IF(L264="NO","NO",INDEX('Skip Docs'!$G$2:$G$7,MATCH(1,INDEX(('Skip Docs'!$A$2:$A$7=F264)*('Skip Docs'!$C$2:$C$7=E264),0),0)))</f>
        <v/>
      </c>
      <c r="N264" s="37">
        <f>IF(K264&lt;=E264,"ON/BEFORE","LATE")</f>
        <v/>
      </c>
      <c r="O264" s="37">
        <f>IF(COUNTIFS(Offers!$A$2:$A$1487,D264,Offers!$C$2:$C$1487,F264,Offers!$B$2:$B$1487,E264,Offers!$E$2:$E$1487,H264,Offers!$I$2:$I$1487,"SKIPPED")=1,"YES","NO")</f>
        <v/>
      </c>
      <c r="P264" s="37">
        <f>IF(L264="NO","N/A",IF(COUNTIFS('Skip Docs'!$A$2:$A$7,F264,'Skip Docs'!$C$2:$C$7,E264,'Skip Docs'!$D$2:$D$7,H264,'Skip Docs'!$E$2:$E$7,J264)=1,"YES","NO"))</f>
        <v/>
      </c>
      <c r="Q264" s="37" t="inlineStr">
        <is>
          <t>Y</t>
        </is>
      </c>
      <c r="R264" s="37" t="inlineStr">
        <is>
          <t>SUSTAINED</t>
        </is>
      </c>
      <c r="S264" s="37">
        <f>IF(B264="YES","Verified contemporaneous proof",IF(L264="NO","No justification PDF supplied",IF(M264="NO","PDF is cover-only",IF(P264="NO","PDF content does not match logged slip/reason",IF(O264="NO","Offer event does not reconcile","Assembled after skip date")))))</f>
        <v/>
      </c>
    </row>
    <row r="265">
      <c r="A265" s="37">
        <f>IF(M265="NO","Priority 1",IF(N265="LATE","Priority 2",IF(B265="YES","OK","Priority 1")))</f>
        <v/>
      </c>
      <c r="B265" s="37">
        <f>IF(AND(L265="YES",M265="YES",N265="ON/BEFORE",O265="YES",P265="YES"),"YES","NO")</f>
        <v/>
      </c>
      <c r="C265" s="37" t="inlineStr">
        <is>
          <t>SKP-2026-0355</t>
        </is>
      </c>
      <c r="D265" s="37" t="inlineStr">
        <is>
          <t>OFR-2026-1328</t>
        </is>
      </c>
      <c r="E265" s="38" t="n">
        <v>46099</v>
      </c>
      <c r="F265" s="37" t="inlineStr">
        <is>
          <t>WL-02417</t>
        </is>
      </c>
      <c r="G265" s="37">
        <f>IFERROR(INDEX(Applicants!$C$2:$C$2911,MATCH(F265,Applicants!$A$2:$A$2911,0))&amp;" "&amp;INDEX(Applicants!$B$2:$B$2911,MATCH(F265,Applicants!$A$2:$A$2911,0)),"")</f>
        <v/>
      </c>
      <c r="H265" s="37" t="inlineStr">
        <is>
          <t>GW-0323</t>
        </is>
      </c>
      <c r="I265" s="37" t="inlineStr">
        <is>
          <t>Gullwing</t>
        </is>
      </c>
      <c r="J265" s="37" t="inlineStr">
        <is>
          <t>declined-prior-offer</t>
        </is>
      </c>
      <c r="K265" s="38" t="n">
        <v>46101</v>
      </c>
      <c r="L265" s="37">
        <f>IF(COUNTIFS('Skip Docs'!$A$2:$A$7,F265,'Skip Docs'!$C$2:$C$7,E265)&gt;0,"YES","NO")</f>
        <v/>
      </c>
      <c r="M265" s="37">
        <f>IF(L265="NO","NO",INDEX('Skip Docs'!$G$2:$G$7,MATCH(1,INDEX(('Skip Docs'!$A$2:$A$7=F265)*('Skip Docs'!$C$2:$C$7=E265),0),0)))</f>
        <v/>
      </c>
      <c r="N265" s="37">
        <f>IF(K265&lt;=E265,"ON/BEFORE","LATE")</f>
        <v/>
      </c>
      <c r="O265" s="37">
        <f>IF(COUNTIFS(Offers!$A$2:$A$1487,D265,Offers!$C$2:$C$1487,F265,Offers!$B$2:$B$1487,E265,Offers!$E$2:$E$1487,H265,Offers!$I$2:$I$1487,"SKIPPED")=1,"YES","NO")</f>
        <v/>
      </c>
      <c r="P265" s="37">
        <f>IF(L265="NO","N/A",IF(COUNTIFS('Skip Docs'!$A$2:$A$7,F265,'Skip Docs'!$C$2:$C$7,E265,'Skip Docs'!$D$2:$D$7,H265,'Skip Docs'!$E$2:$E$7,J265)=1,"YES","NO"))</f>
        <v/>
      </c>
      <c r="Q265" s="37" t="inlineStr">
        <is>
          <t>Y</t>
        </is>
      </c>
      <c r="R265" s="37" t="inlineStr">
        <is>
          <t>SUSTAINED</t>
        </is>
      </c>
      <c r="S265" s="37">
        <f>IF(B265="YES","Verified contemporaneous proof",IF(L265="NO","No justification PDF supplied",IF(M265="NO","PDF is cover-only",IF(P265="NO","PDF content does not match logged slip/reason",IF(O265="NO","Offer event does not reconcile","Assembled after skip date")))))</f>
        <v/>
      </c>
    </row>
    <row r="266">
      <c r="A266" s="37">
        <f>IF(M266="NO","Priority 1",IF(N266="LATE","Priority 2",IF(B266="YES","OK","Priority 1")))</f>
        <v/>
      </c>
      <c r="B266" s="37">
        <f>IF(AND(L266="YES",M266="YES",N266="ON/BEFORE",O266="YES",P266="YES"),"YES","NO")</f>
        <v/>
      </c>
      <c r="C266" s="37" t="inlineStr">
        <is>
          <t>SKP-2026-0356</t>
        </is>
      </c>
      <c r="D266" s="37" t="inlineStr">
        <is>
          <t>OFR-2026-1330</t>
        </is>
      </c>
      <c r="E266" s="38" t="n">
        <v>46113</v>
      </c>
      <c r="F266" s="37" t="inlineStr">
        <is>
          <t>WL-01084</t>
        </is>
      </c>
      <c r="G266" s="37">
        <f>IFERROR(INDEX(Applicants!$C$2:$C$2911,MATCH(F266,Applicants!$A$2:$A$2911,0))&amp;" "&amp;INDEX(Applicants!$B$2:$B$2911,MATCH(F266,Applicants!$A$2:$A$2911,0)),"")</f>
        <v/>
      </c>
      <c r="H266" s="37" t="inlineStr">
        <is>
          <t>SB-0419</t>
        </is>
      </c>
      <c r="I266" s="37" t="inlineStr">
        <is>
          <t>Salmonberry</t>
        </is>
      </c>
      <c r="J266" s="37" t="inlineStr">
        <is>
          <t>declined-prior-offer</t>
        </is>
      </c>
      <c r="K266" s="38" t="n">
        <v>46114</v>
      </c>
      <c r="L266" s="37">
        <f>IF(COUNTIFS('Skip Docs'!$A$2:$A$7,F266,'Skip Docs'!$C$2:$C$7,E266)&gt;0,"YES","NO")</f>
        <v/>
      </c>
      <c r="M266" s="37">
        <f>IF(L266="NO","NO",INDEX('Skip Docs'!$G$2:$G$7,MATCH(1,INDEX(('Skip Docs'!$A$2:$A$7=F266)*('Skip Docs'!$C$2:$C$7=E266),0),0)))</f>
        <v/>
      </c>
      <c r="N266" s="37">
        <f>IF(K266&lt;=E266,"ON/BEFORE","LATE")</f>
        <v/>
      </c>
      <c r="O266" s="37">
        <f>IF(COUNTIFS(Offers!$A$2:$A$1487,D266,Offers!$C$2:$C$1487,F266,Offers!$B$2:$B$1487,E266,Offers!$E$2:$E$1487,H266,Offers!$I$2:$I$1487,"SKIPPED")=1,"YES","NO")</f>
        <v/>
      </c>
      <c r="P266" s="37">
        <f>IF(L266="NO","N/A",IF(COUNTIFS('Skip Docs'!$A$2:$A$7,F266,'Skip Docs'!$C$2:$C$7,E266,'Skip Docs'!$D$2:$D$7,H266,'Skip Docs'!$E$2:$E$7,J266)=1,"YES","NO"))</f>
        <v/>
      </c>
      <c r="Q266" s="37" t="inlineStr">
        <is>
          <t>Y</t>
        </is>
      </c>
      <c r="R266" s="37" t="inlineStr">
        <is>
          <t>SUSTAINED</t>
        </is>
      </c>
      <c r="S266" s="37">
        <f>IF(B266="YES","Verified contemporaneous proof",IF(L266="NO","No justification PDF supplied",IF(M266="NO","PDF is cover-only",IF(P266="NO","PDF content does not match logged slip/reason",IF(O266="NO","Offer event does not reconcile","Assembled after skip date")))))</f>
        <v/>
      </c>
    </row>
    <row r="267">
      <c r="A267" s="37">
        <f>IF(M267="NO","Priority 1",IF(N267="LATE","Priority 2",IF(B267="YES","OK","Priority 1")))</f>
        <v/>
      </c>
      <c r="B267" s="37">
        <f>IF(AND(L267="YES",M267="YES",N267="ON/BEFORE",O267="YES",P267="YES"),"YES","NO")</f>
        <v/>
      </c>
      <c r="C267" s="37" t="inlineStr">
        <is>
          <t>SKP-2026-0357</t>
        </is>
      </c>
      <c r="D267" s="37" t="inlineStr">
        <is>
          <t>OFR-2026-1332</t>
        </is>
      </c>
      <c r="E267" s="38" t="n">
        <v>46117</v>
      </c>
      <c r="F267" s="37" t="inlineStr">
        <is>
          <t>WL-03306</t>
        </is>
      </c>
      <c r="G267" s="37">
        <f>IFERROR(INDEX(Applicants!$C$2:$C$2911,MATCH(F267,Applicants!$A$2:$A$2911,0))&amp;" "&amp;INDEX(Applicants!$B$2:$B$2911,MATCH(F267,Applicants!$A$2:$A$2911,0)),"")</f>
        <v/>
      </c>
      <c r="H267" s="37" t="inlineStr">
        <is>
          <t>SB-0307</t>
        </is>
      </c>
      <c r="I267" s="37" t="inlineStr">
        <is>
          <t>Salmonberry</t>
        </is>
      </c>
      <c r="J267" s="37" t="inlineStr">
        <is>
          <t>declined-prior-offer</t>
        </is>
      </c>
      <c r="K267" s="38" t="n">
        <v>46122</v>
      </c>
      <c r="L267" s="37">
        <f>IF(COUNTIFS('Skip Docs'!$A$2:$A$7,F267,'Skip Docs'!$C$2:$C$7,E267)&gt;0,"YES","NO")</f>
        <v/>
      </c>
      <c r="M267" s="37">
        <f>IF(L267="NO","NO",INDEX('Skip Docs'!$G$2:$G$7,MATCH(1,INDEX(('Skip Docs'!$A$2:$A$7=F267)*('Skip Docs'!$C$2:$C$7=E267),0),0)))</f>
        <v/>
      </c>
      <c r="N267" s="37">
        <f>IF(K267&lt;=E267,"ON/BEFORE","LATE")</f>
        <v/>
      </c>
      <c r="O267" s="37">
        <f>IF(COUNTIFS(Offers!$A$2:$A$1487,D267,Offers!$C$2:$C$1487,F267,Offers!$B$2:$B$1487,E267,Offers!$E$2:$E$1487,H267,Offers!$I$2:$I$1487,"SKIPPED")=1,"YES","NO")</f>
        <v/>
      </c>
      <c r="P267" s="37">
        <f>IF(L267="NO","N/A",IF(COUNTIFS('Skip Docs'!$A$2:$A$7,F267,'Skip Docs'!$C$2:$C$7,E267,'Skip Docs'!$D$2:$D$7,H267,'Skip Docs'!$E$2:$E$7,J267)=1,"YES","NO"))</f>
        <v/>
      </c>
      <c r="Q267" s="37" t="inlineStr">
        <is>
          <t>Y</t>
        </is>
      </c>
      <c r="R267" s="37" t="inlineStr">
        <is>
          <t>SUSTAINED</t>
        </is>
      </c>
      <c r="S267" s="37">
        <f>IF(B267="YES","Verified contemporaneous proof",IF(L267="NO","No justification PDF supplied",IF(M267="NO","PDF is cover-only",IF(P267="NO","PDF content does not match logged slip/reason",IF(O267="NO","Offer event does not reconcile","Assembled after skip date")))))</f>
        <v/>
      </c>
    </row>
    <row r="268">
      <c r="A268" s="37">
        <f>IF(M268="NO","Priority 1",IF(N268="LATE","Priority 2",IF(B268="YES","OK","Priority 1")))</f>
        <v/>
      </c>
      <c r="B268" s="37">
        <f>IF(AND(L268="YES",M268="YES",N268="ON/BEFORE",O268="YES",P268="YES"),"YES","NO")</f>
        <v/>
      </c>
      <c r="C268" s="37" t="inlineStr">
        <is>
          <t>SKP-2026-0358</t>
        </is>
      </c>
      <c r="D268" s="37" t="inlineStr">
        <is>
          <t>OFR-2026-1333</t>
        </is>
      </c>
      <c r="E268" s="38" t="n">
        <v>46116</v>
      </c>
      <c r="F268" s="37" t="inlineStr">
        <is>
          <t>WL-01283</t>
        </is>
      </c>
      <c r="G268" s="37">
        <f>IFERROR(INDEX(Applicants!$C$2:$C$2911,MATCH(F268,Applicants!$A$2:$A$2911,0))&amp;" "&amp;INDEX(Applicants!$B$2:$B$2911,MATCH(F268,Applicants!$A$2:$A$2911,0)),"")</f>
        <v/>
      </c>
      <c r="H268" s="37" t="inlineStr">
        <is>
          <t>SB-0911</t>
        </is>
      </c>
      <c r="I268" s="37" t="inlineStr">
        <is>
          <t>Salmonberry</t>
        </is>
      </c>
      <c r="J268" s="37" t="inlineStr">
        <is>
          <t>vessel-fit</t>
        </is>
      </c>
      <c r="K268" s="38" t="n">
        <v>46117</v>
      </c>
      <c r="L268" s="37">
        <f>IF(COUNTIFS('Skip Docs'!$A$2:$A$7,F268,'Skip Docs'!$C$2:$C$7,E268)&gt;0,"YES","NO")</f>
        <v/>
      </c>
      <c r="M268" s="37">
        <f>IF(L268="NO","NO",INDEX('Skip Docs'!$G$2:$G$7,MATCH(1,INDEX(('Skip Docs'!$A$2:$A$7=F268)*('Skip Docs'!$C$2:$C$7=E268),0),0)))</f>
        <v/>
      </c>
      <c r="N268" s="37">
        <f>IF(K268&lt;=E268,"ON/BEFORE","LATE")</f>
        <v/>
      </c>
      <c r="O268" s="37">
        <f>IF(COUNTIFS(Offers!$A$2:$A$1487,D268,Offers!$C$2:$C$1487,F268,Offers!$B$2:$B$1487,E268,Offers!$E$2:$E$1487,H268,Offers!$I$2:$I$1487,"SKIPPED")=1,"YES","NO")</f>
        <v/>
      </c>
      <c r="P268" s="37">
        <f>IF(L268="NO","N/A",IF(COUNTIFS('Skip Docs'!$A$2:$A$7,F268,'Skip Docs'!$C$2:$C$7,E268,'Skip Docs'!$D$2:$D$7,H268,'Skip Docs'!$E$2:$E$7,J268)=1,"YES","NO"))</f>
        <v/>
      </c>
      <c r="Q268" s="37" t="inlineStr">
        <is>
          <t>Y</t>
        </is>
      </c>
      <c r="R268" s="37" t="inlineStr">
        <is>
          <t>SUSTAINED</t>
        </is>
      </c>
      <c r="S268" s="37">
        <f>IF(B268="YES","Verified contemporaneous proof",IF(L268="NO","No justification PDF supplied",IF(M268="NO","PDF is cover-only",IF(P268="NO","PDF content does not match logged slip/reason",IF(O268="NO","Offer event does not reconcile","Assembled after skip date")))))</f>
        <v/>
      </c>
    </row>
    <row r="269">
      <c r="A269" s="37">
        <f>IF(M269="NO","Priority 1",IF(N269="LATE","Priority 2",IF(B269="YES","OK","Priority 1")))</f>
        <v/>
      </c>
      <c r="B269" s="37">
        <f>IF(AND(L269="YES",M269="YES",N269="ON/BEFORE",O269="YES",P269="YES"),"YES","NO")</f>
        <v/>
      </c>
      <c r="C269" s="37" t="inlineStr">
        <is>
          <t>SKP-2026-0359</t>
        </is>
      </c>
      <c r="D269" s="37" t="inlineStr">
        <is>
          <t>OFR-2026-1335</t>
        </is>
      </c>
      <c r="E269" s="38" t="n">
        <v>46113</v>
      </c>
      <c r="F269" s="37" t="inlineStr">
        <is>
          <t>WL-02766</t>
        </is>
      </c>
      <c r="G269" s="37">
        <f>IFERROR(INDEX(Applicants!$C$2:$C$2911,MATCH(F269,Applicants!$A$2:$A$2911,0))&amp;" "&amp;INDEX(Applicants!$B$2:$B$2911,MATCH(F269,Applicants!$A$2:$A$2911,0)),"")</f>
        <v/>
      </c>
      <c r="H269" s="37" t="inlineStr">
        <is>
          <t>SB-0908</t>
        </is>
      </c>
      <c r="I269" s="37" t="inlineStr">
        <is>
          <t>Salmonberry</t>
        </is>
      </c>
      <c r="J269" s="37" t="inlineStr">
        <is>
          <t>not-current</t>
        </is>
      </c>
      <c r="K269" s="38" t="n">
        <v>46117</v>
      </c>
      <c r="L269" s="37">
        <f>IF(COUNTIFS('Skip Docs'!$A$2:$A$7,F269,'Skip Docs'!$C$2:$C$7,E269)&gt;0,"YES","NO")</f>
        <v/>
      </c>
      <c r="M269" s="37">
        <f>IF(L269="NO","NO",INDEX('Skip Docs'!$G$2:$G$7,MATCH(1,INDEX(('Skip Docs'!$A$2:$A$7=F269)*('Skip Docs'!$C$2:$C$7=E269),0),0)))</f>
        <v/>
      </c>
      <c r="N269" s="37">
        <f>IF(K269&lt;=E269,"ON/BEFORE","LATE")</f>
        <v/>
      </c>
      <c r="O269" s="37">
        <f>IF(COUNTIFS(Offers!$A$2:$A$1487,D269,Offers!$C$2:$C$1487,F269,Offers!$B$2:$B$1487,E269,Offers!$E$2:$E$1487,H269,Offers!$I$2:$I$1487,"SKIPPED")=1,"YES","NO")</f>
        <v/>
      </c>
      <c r="P269" s="37">
        <f>IF(L269="NO","N/A",IF(COUNTIFS('Skip Docs'!$A$2:$A$7,F269,'Skip Docs'!$C$2:$C$7,E269,'Skip Docs'!$D$2:$D$7,H269,'Skip Docs'!$E$2:$E$7,J269)=1,"YES","NO"))</f>
        <v/>
      </c>
      <c r="Q269" s="37" t="inlineStr">
        <is>
          <t>Y</t>
        </is>
      </c>
      <c r="R269" s="37" t="inlineStr">
        <is>
          <t>SUSTAINED</t>
        </is>
      </c>
      <c r="S269" s="37">
        <f>IF(B269="YES","Verified contemporaneous proof",IF(L269="NO","No justification PDF supplied",IF(M269="NO","PDF is cover-only",IF(P269="NO","PDF content does not match logged slip/reason",IF(O269="NO","Offer event does not reconcile","Assembled after skip date")))))</f>
        <v/>
      </c>
    </row>
    <row r="270">
      <c r="A270" s="37">
        <f>IF(M270="NO","Priority 1",IF(N270="LATE","Priority 2",IF(B270="YES","OK","Priority 1")))</f>
        <v/>
      </c>
      <c r="B270" s="37">
        <f>IF(AND(L270="YES",M270="YES",N270="ON/BEFORE",O270="YES",P270="YES"),"YES","NO")</f>
        <v/>
      </c>
      <c r="C270" s="37" t="inlineStr">
        <is>
          <t>SKP-2026-0360</t>
        </is>
      </c>
      <c r="D270" s="37" t="inlineStr">
        <is>
          <t>OFR-2026-1337</t>
        </is>
      </c>
      <c r="E270" s="38" t="n">
        <v>46117</v>
      </c>
      <c r="F270" s="37" t="inlineStr">
        <is>
          <t>WL-03088</t>
        </is>
      </c>
      <c r="G270" s="37">
        <f>IFERROR(INDEX(Applicants!$C$2:$C$2911,MATCH(F270,Applicants!$A$2:$A$2911,0))&amp;" "&amp;INDEX(Applicants!$B$2:$B$2911,MATCH(F270,Applicants!$A$2:$A$2911,0)),"")</f>
        <v/>
      </c>
      <c r="H270" s="37" t="inlineStr">
        <is>
          <t>SB-0213</t>
        </is>
      </c>
      <c r="I270" s="37" t="inlineStr">
        <is>
          <t>Salmonberry</t>
        </is>
      </c>
      <c r="J270" s="37" t="inlineStr">
        <is>
          <t>declined-prior-offer</t>
        </is>
      </c>
      <c r="K270" s="38" t="n">
        <v>46122</v>
      </c>
      <c r="L270" s="37">
        <f>IF(COUNTIFS('Skip Docs'!$A$2:$A$7,F270,'Skip Docs'!$C$2:$C$7,E270)&gt;0,"YES","NO")</f>
        <v/>
      </c>
      <c r="M270" s="37">
        <f>IF(L270="NO","NO",INDEX('Skip Docs'!$G$2:$G$7,MATCH(1,INDEX(('Skip Docs'!$A$2:$A$7=F270)*('Skip Docs'!$C$2:$C$7=E270),0),0)))</f>
        <v/>
      </c>
      <c r="N270" s="37">
        <f>IF(K270&lt;=E270,"ON/BEFORE","LATE")</f>
        <v/>
      </c>
      <c r="O270" s="37">
        <f>IF(COUNTIFS(Offers!$A$2:$A$1487,D270,Offers!$C$2:$C$1487,F270,Offers!$B$2:$B$1487,E270,Offers!$E$2:$E$1487,H270,Offers!$I$2:$I$1487,"SKIPPED")=1,"YES","NO")</f>
        <v/>
      </c>
      <c r="P270" s="37">
        <f>IF(L270="NO","N/A",IF(COUNTIFS('Skip Docs'!$A$2:$A$7,F270,'Skip Docs'!$C$2:$C$7,E270,'Skip Docs'!$D$2:$D$7,H270,'Skip Docs'!$E$2:$E$7,J270)=1,"YES","NO"))</f>
        <v/>
      </c>
      <c r="Q270" s="37" t="inlineStr">
        <is>
          <t>Y</t>
        </is>
      </c>
      <c r="R270" s="37" t="inlineStr">
        <is>
          <t>SUSTAINED</t>
        </is>
      </c>
      <c r="S270" s="37">
        <f>IF(B270="YES","Verified contemporaneous proof",IF(L270="NO","No justification PDF supplied",IF(M270="NO","PDF is cover-only",IF(P270="NO","PDF content does not match logged slip/reason",IF(O270="NO","Offer event does not reconcile","Assembled after skip date")))))</f>
        <v/>
      </c>
    </row>
    <row r="271">
      <c r="A271" s="37">
        <f>IF(M271="NO","Priority 1",IF(N271="LATE","Priority 2",IF(B271="YES","OK","Priority 1")))</f>
        <v/>
      </c>
      <c r="B271" s="37">
        <f>IF(AND(L271="YES",M271="YES",N271="ON/BEFORE",O271="YES",P271="YES"),"YES","NO")</f>
        <v/>
      </c>
      <c r="C271" s="37" t="inlineStr">
        <is>
          <t>SKP-2026-0361</t>
        </is>
      </c>
      <c r="D271" s="37" t="inlineStr">
        <is>
          <t>OFR-2026-1339</t>
        </is>
      </c>
      <c r="E271" s="38" t="n">
        <v>46124</v>
      </c>
      <c r="F271" s="37" t="inlineStr">
        <is>
          <t>WL-03139</t>
        </is>
      </c>
      <c r="G271" s="37">
        <f>IFERROR(INDEX(Applicants!$C$2:$C$2911,MATCH(F271,Applicants!$A$2:$A$2911,0))&amp;" "&amp;INDEX(Applicants!$B$2:$B$2911,MATCH(F271,Applicants!$A$2:$A$2911,0)),"")</f>
        <v/>
      </c>
      <c r="H271" s="37" t="inlineStr">
        <is>
          <t>GW-0601</t>
        </is>
      </c>
      <c r="I271" s="37" t="inlineStr">
        <is>
          <t>Gullwing</t>
        </is>
      </c>
      <c r="J271" s="37" t="inlineStr">
        <is>
          <t>declined-prior-offer</t>
        </is>
      </c>
      <c r="K271" s="38" t="n">
        <v>46124</v>
      </c>
      <c r="L271" s="37">
        <f>IF(COUNTIFS('Skip Docs'!$A$2:$A$7,F271,'Skip Docs'!$C$2:$C$7,E271)&gt;0,"YES","NO")</f>
        <v/>
      </c>
      <c r="M271" s="37">
        <f>IF(L271="NO","NO",INDEX('Skip Docs'!$G$2:$G$7,MATCH(1,INDEX(('Skip Docs'!$A$2:$A$7=F271)*('Skip Docs'!$C$2:$C$7=E271),0),0)))</f>
        <v/>
      </c>
      <c r="N271" s="37">
        <f>IF(K271&lt;=E271,"ON/BEFORE","LATE")</f>
        <v/>
      </c>
      <c r="O271" s="37">
        <f>IF(COUNTIFS(Offers!$A$2:$A$1487,D271,Offers!$C$2:$C$1487,F271,Offers!$B$2:$B$1487,E271,Offers!$E$2:$E$1487,H271,Offers!$I$2:$I$1487,"SKIPPED")=1,"YES","NO")</f>
        <v/>
      </c>
      <c r="P271" s="37">
        <f>IF(L271="NO","N/A",IF(COUNTIFS('Skip Docs'!$A$2:$A$7,F271,'Skip Docs'!$C$2:$C$7,E271,'Skip Docs'!$D$2:$D$7,H271,'Skip Docs'!$E$2:$E$7,J271)=1,"YES","NO"))</f>
        <v/>
      </c>
      <c r="Q271" s="37" t="inlineStr">
        <is>
          <t>Y</t>
        </is>
      </c>
      <c r="R271" s="37" t="inlineStr">
        <is>
          <t>SUSTAINED</t>
        </is>
      </c>
      <c r="S271" s="37">
        <f>IF(B271="YES","Verified contemporaneous proof",IF(L271="NO","No justification PDF supplied",IF(M271="NO","PDF is cover-only",IF(P271="NO","PDF content does not match logged slip/reason",IF(O271="NO","Offer event does not reconcile","Assembled after skip date")))))</f>
        <v/>
      </c>
    </row>
    <row r="272">
      <c r="A272" s="37">
        <f>IF(M272="NO","Priority 1",IF(N272="LATE","Priority 2",IF(B272="YES","OK","Priority 1")))</f>
        <v/>
      </c>
      <c r="B272" s="37">
        <f>IF(AND(L272="YES",M272="YES",N272="ON/BEFORE",O272="YES",P272="YES"),"YES","NO")</f>
        <v/>
      </c>
      <c r="C272" s="37" t="inlineStr">
        <is>
          <t>SKP-2026-0362</t>
        </is>
      </c>
      <c r="D272" s="37" t="inlineStr">
        <is>
          <t>OFR-2026-1344</t>
        </is>
      </c>
      <c r="E272" s="38" t="n">
        <v>46125</v>
      </c>
      <c r="F272" s="37" t="inlineStr">
        <is>
          <t>WL-02120</t>
        </is>
      </c>
      <c r="G272" s="37">
        <f>IFERROR(INDEX(Applicants!$C$2:$C$2911,MATCH(F272,Applicants!$A$2:$A$2911,0))&amp;" "&amp;INDEX(Applicants!$B$2:$B$2911,MATCH(F272,Applicants!$A$2:$A$2911,0)),"")</f>
        <v/>
      </c>
      <c r="H272" s="37" t="inlineStr">
        <is>
          <t>LP-0312</t>
        </is>
      </c>
      <c r="I272" s="37" t="inlineStr">
        <is>
          <t>Ledgport</t>
        </is>
      </c>
      <c r="J272" s="37" t="inlineStr">
        <is>
          <t>vessel-fit</t>
        </is>
      </c>
      <c r="K272" s="38" t="n">
        <v>46127</v>
      </c>
      <c r="L272" s="37">
        <f>IF(COUNTIFS('Skip Docs'!$A$2:$A$7,F272,'Skip Docs'!$C$2:$C$7,E272)&gt;0,"YES","NO")</f>
        <v/>
      </c>
      <c r="M272" s="37">
        <f>IF(L272="NO","NO",INDEX('Skip Docs'!$G$2:$G$7,MATCH(1,INDEX(('Skip Docs'!$A$2:$A$7=F272)*('Skip Docs'!$C$2:$C$7=E272),0),0)))</f>
        <v/>
      </c>
      <c r="N272" s="37">
        <f>IF(K272&lt;=E272,"ON/BEFORE","LATE")</f>
        <v/>
      </c>
      <c r="O272" s="37">
        <f>IF(COUNTIFS(Offers!$A$2:$A$1487,D272,Offers!$C$2:$C$1487,F272,Offers!$B$2:$B$1487,E272,Offers!$E$2:$E$1487,H272,Offers!$I$2:$I$1487,"SKIPPED")=1,"YES","NO")</f>
        <v/>
      </c>
      <c r="P272" s="37">
        <f>IF(L272="NO","N/A",IF(COUNTIFS('Skip Docs'!$A$2:$A$7,F272,'Skip Docs'!$C$2:$C$7,E272,'Skip Docs'!$D$2:$D$7,H272,'Skip Docs'!$E$2:$E$7,J272)=1,"YES","NO"))</f>
        <v/>
      </c>
      <c r="Q272" s="37" t="inlineStr">
        <is>
          <t>Y</t>
        </is>
      </c>
      <c r="R272" s="37" t="inlineStr">
        <is>
          <t>SUSTAINED</t>
        </is>
      </c>
      <c r="S272" s="37">
        <f>IF(B272="YES","Verified contemporaneous proof",IF(L272="NO","No justification PDF supplied",IF(M272="NO","PDF is cover-only",IF(P272="NO","PDF content does not match logged slip/reason",IF(O272="NO","Offer event does not reconcile","Assembled after skip date")))))</f>
        <v/>
      </c>
    </row>
    <row r="273">
      <c r="A273" s="37">
        <f>IF(M273="NO","Priority 1",IF(N273="LATE","Priority 2",IF(B273="YES","OK","Priority 1")))</f>
        <v/>
      </c>
      <c r="B273" s="37">
        <f>IF(AND(L273="YES",M273="YES",N273="ON/BEFORE",O273="YES",P273="YES"),"YES","NO")</f>
        <v/>
      </c>
      <c r="C273" s="37" t="inlineStr">
        <is>
          <t>SKP-2026-0363</t>
        </is>
      </c>
      <c r="D273" s="37" t="inlineStr">
        <is>
          <t>OFR-2026-1345</t>
        </is>
      </c>
      <c r="E273" s="38" t="n">
        <v>46118</v>
      </c>
      <c r="F273" s="37" t="inlineStr">
        <is>
          <t>WL-02353</t>
        </is>
      </c>
      <c r="G273" s="37">
        <f>IFERROR(INDEX(Applicants!$C$2:$C$2911,MATCH(F273,Applicants!$A$2:$A$2911,0))&amp;" "&amp;INDEX(Applicants!$B$2:$B$2911,MATCH(F273,Applicants!$A$2:$A$2911,0)),"")</f>
        <v/>
      </c>
      <c r="H273" s="37" t="inlineStr">
        <is>
          <t>LP-0601</t>
        </is>
      </c>
      <c r="I273" s="37" t="inlineStr">
        <is>
          <t>Ledgport</t>
        </is>
      </c>
      <c r="J273" s="37" t="inlineStr">
        <is>
          <t>preference-mismatch</t>
        </is>
      </c>
      <c r="K273" s="38" t="n">
        <v>46120</v>
      </c>
      <c r="L273" s="37">
        <f>IF(COUNTIFS('Skip Docs'!$A$2:$A$7,F273,'Skip Docs'!$C$2:$C$7,E273)&gt;0,"YES","NO")</f>
        <v/>
      </c>
      <c r="M273" s="37">
        <f>IF(L273="NO","NO",INDEX('Skip Docs'!$G$2:$G$7,MATCH(1,INDEX(('Skip Docs'!$A$2:$A$7=F273)*('Skip Docs'!$C$2:$C$7=E273),0),0)))</f>
        <v/>
      </c>
      <c r="N273" s="37">
        <f>IF(K273&lt;=E273,"ON/BEFORE","LATE")</f>
        <v/>
      </c>
      <c r="O273" s="37">
        <f>IF(COUNTIFS(Offers!$A$2:$A$1487,D273,Offers!$C$2:$C$1487,F273,Offers!$B$2:$B$1487,E273,Offers!$E$2:$E$1487,H273,Offers!$I$2:$I$1487,"SKIPPED")=1,"YES","NO")</f>
        <v/>
      </c>
      <c r="P273" s="37">
        <f>IF(L273="NO","N/A",IF(COUNTIFS('Skip Docs'!$A$2:$A$7,F273,'Skip Docs'!$C$2:$C$7,E273,'Skip Docs'!$D$2:$D$7,H273,'Skip Docs'!$E$2:$E$7,J273)=1,"YES","NO"))</f>
        <v/>
      </c>
      <c r="Q273" s="37" t="inlineStr">
        <is>
          <t>Y</t>
        </is>
      </c>
      <c r="R273" s="37" t="inlineStr">
        <is>
          <t>SUSTAINED</t>
        </is>
      </c>
      <c r="S273" s="37">
        <f>IF(B273="YES","Verified contemporaneous proof",IF(L273="NO","No justification PDF supplied",IF(M273="NO","PDF is cover-only",IF(P273="NO","PDF content does not match logged slip/reason",IF(O273="NO","Offer event does not reconcile","Assembled after skip date")))))</f>
        <v/>
      </c>
    </row>
    <row r="274">
      <c r="A274" s="37">
        <f>IF(M274="NO","Priority 1",IF(N274="LATE","Priority 2",IF(B274="YES","OK","Priority 1")))</f>
        <v/>
      </c>
      <c r="B274" s="37">
        <f>IF(AND(L274="YES",M274="YES",N274="ON/BEFORE",O274="YES",P274="YES"),"YES","NO")</f>
        <v/>
      </c>
      <c r="C274" s="37" t="inlineStr">
        <is>
          <t>SKP-2026-0364</t>
        </is>
      </c>
      <c r="D274" s="37" t="inlineStr">
        <is>
          <t>OFR-2026-1346</t>
        </is>
      </c>
      <c r="E274" s="38" t="n">
        <v>46131</v>
      </c>
      <c r="F274" s="37" t="inlineStr">
        <is>
          <t>WL-02504</t>
        </is>
      </c>
      <c r="G274" s="37">
        <f>IFERROR(INDEX(Applicants!$C$2:$C$2911,MATCH(F274,Applicants!$A$2:$A$2911,0))&amp;" "&amp;INDEX(Applicants!$B$2:$B$2911,MATCH(F274,Applicants!$A$2:$A$2911,0)),"")</f>
        <v/>
      </c>
      <c r="H274" s="37" t="inlineStr">
        <is>
          <t>SB-0104</t>
        </is>
      </c>
      <c r="I274" s="37" t="inlineStr">
        <is>
          <t>Salmonberry</t>
        </is>
      </c>
      <c r="J274" s="37" t="inlineStr">
        <is>
          <t>not-current</t>
        </is>
      </c>
      <c r="K274" s="38" t="n">
        <v>46132</v>
      </c>
      <c r="L274" s="37">
        <f>IF(COUNTIFS('Skip Docs'!$A$2:$A$7,F274,'Skip Docs'!$C$2:$C$7,E274)&gt;0,"YES","NO")</f>
        <v/>
      </c>
      <c r="M274" s="37">
        <f>IF(L274="NO","NO",INDEX('Skip Docs'!$G$2:$G$7,MATCH(1,INDEX(('Skip Docs'!$A$2:$A$7=F274)*('Skip Docs'!$C$2:$C$7=E274),0),0)))</f>
        <v/>
      </c>
      <c r="N274" s="37">
        <f>IF(K274&lt;=E274,"ON/BEFORE","LATE")</f>
        <v/>
      </c>
      <c r="O274" s="37">
        <f>IF(COUNTIFS(Offers!$A$2:$A$1487,D274,Offers!$C$2:$C$1487,F274,Offers!$B$2:$B$1487,E274,Offers!$E$2:$E$1487,H274,Offers!$I$2:$I$1487,"SKIPPED")=1,"YES","NO")</f>
        <v/>
      </c>
      <c r="P274" s="37">
        <f>IF(L274="NO","N/A",IF(COUNTIFS('Skip Docs'!$A$2:$A$7,F274,'Skip Docs'!$C$2:$C$7,E274,'Skip Docs'!$D$2:$D$7,H274,'Skip Docs'!$E$2:$E$7,J274)=1,"YES","NO"))</f>
        <v/>
      </c>
      <c r="Q274" s="37" t="inlineStr">
        <is>
          <t>Y</t>
        </is>
      </c>
      <c r="R274" s="37" t="inlineStr">
        <is>
          <t>SUSTAINED</t>
        </is>
      </c>
      <c r="S274" s="37">
        <f>IF(B274="YES","Verified contemporaneous proof",IF(L274="NO","No justification PDF supplied",IF(M274="NO","PDF is cover-only",IF(P274="NO","PDF content does not match logged slip/reason",IF(O274="NO","Offer event does not reconcile","Assembled after skip date")))))</f>
        <v/>
      </c>
    </row>
    <row r="275">
      <c r="A275" s="37">
        <f>IF(M275="NO","Priority 1",IF(N275="LATE","Priority 2",IF(B275="YES","OK","Priority 1")))</f>
        <v/>
      </c>
      <c r="B275" s="37">
        <f>IF(AND(L275="YES",M275="YES",N275="ON/BEFORE",O275="YES",P275="YES"),"YES","NO")</f>
        <v/>
      </c>
      <c r="C275" s="37" t="inlineStr">
        <is>
          <t>SKP-2026-0365</t>
        </is>
      </c>
      <c r="D275" s="37" t="inlineStr">
        <is>
          <t>OFR-2026-1347</t>
        </is>
      </c>
      <c r="E275" s="38" t="n">
        <v>46129</v>
      </c>
      <c r="F275" s="37" t="inlineStr">
        <is>
          <t>WL-02706</t>
        </is>
      </c>
      <c r="G275" s="37">
        <f>IFERROR(INDEX(Applicants!$C$2:$C$2911,MATCH(F275,Applicants!$A$2:$A$2911,0))&amp;" "&amp;INDEX(Applicants!$B$2:$B$2911,MATCH(F275,Applicants!$A$2:$A$2911,0)),"")</f>
        <v/>
      </c>
      <c r="H275" s="37" t="inlineStr">
        <is>
          <t>GW-0513</t>
        </is>
      </c>
      <c r="I275" s="37" t="inlineStr">
        <is>
          <t>Gullwing</t>
        </is>
      </c>
      <c r="J275" s="37" t="inlineStr">
        <is>
          <t>not-current</t>
        </is>
      </c>
      <c r="K275" s="38" t="n">
        <v>46134</v>
      </c>
      <c r="L275" s="37">
        <f>IF(COUNTIFS('Skip Docs'!$A$2:$A$7,F275,'Skip Docs'!$C$2:$C$7,E275)&gt;0,"YES","NO")</f>
        <v/>
      </c>
      <c r="M275" s="37">
        <f>IF(L275="NO","NO",INDEX('Skip Docs'!$G$2:$G$7,MATCH(1,INDEX(('Skip Docs'!$A$2:$A$7=F275)*('Skip Docs'!$C$2:$C$7=E275),0),0)))</f>
        <v/>
      </c>
      <c r="N275" s="37">
        <f>IF(K275&lt;=E275,"ON/BEFORE","LATE")</f>
        <v/>
      </c>
      <c r="O275" s="37">
        <f>IF(COUNTIFS(Offers!$A$2:$A$1487,D275,Offers!$C$2:$C$1487,F275,Offers!$B$2:$B$1487,E275,Offers!$E$2:$E$1487,H275,Offers!$I$2:$I$1487,"SKIPPED")=1,"YES","NO")</f>
        <v/>
      </c>
      <c r="P275" s="37">
        <f>IF(L275="NO","N/A",IF(COUNTIFS('Skip Docs'!$A$2:$A$7,F275,'Skip Docs'!$C$2:$C$7,E275,'Skip Docs'!$D$2:$D$7,H275,'Skip Docs'!$E$2:$E$7,J275)=1,"YES","NO"))</f>
        <v/>
      </c>
      <c r="Q275" s="37" t="inlineStr">
        <is>
          <t>Y</t>
        </is>
      </c>
      <c r="R275" s="37" t="inlineStr">
        <is>
          <t>SUSTAINED</t>
        </is>
      </c>
      <c r="S275" s="37">
        <f>IF(B275="YES","Verified contemporaneous proof",IF(L275="NO","No justification PDF supplied",IF(M275="NO","PDF is cover-only",IF(P275="NO","PDF content does not match logged slip/reason",IF(O275="NO","Offer event does not reconcile","Assembled after skip date")))))</f>
        <v/>
      </c>
    </row>
    <row r="276">
      <c r="A276" s="37">
        <f>IF(M276="NO","Priority 1",IF(N276="LATE","Priority 2",IF(B276="YES","OK","Priority 1")))</f>
        <v/>
      </c>
      <c r="B276" s="37">
        <f>IF(AND(L276="YES",M276="YES",N276="ON/BEFORE",O276="YES",P276="YES"),"YES","NO")</f>
        <v/>
      </c>
      <c r="C276" s="37" t="inlineStr">
        <is>
          <t>SKP-2026-0366</t>
        </is>
      </c>
      <c r="D276" s="37" t="inlineStr">
        <is>
          <t>OFR-2026-1348</t>
        </is>
      </c>
      <c r="E276" s="38" t="n">
        <v>46114</v>
      </c>
      <c r="F276" s="37" t="inlineStr">
        <is>
          <t>WL-01288</t>
        </is>
      </c>
      <c r="G276" s="37">
        <f>IFERROR(INDEX(Applicants!$C$2:$C$2911,MATCH(F276,Applicants!$A$2:$A$2911,0))&amp;" "&amp;INDEX(Applicants!$B$2:$B$2911,MATCH(F276,Applicants!$A$2:$A$2911,0)),"")</f>
        <v/>
      </c>
      <c r="H276" s="37" t="inlineStr">
        <is>
          <t>VB-0916</t>
        </is>
      </c>
      <c r="I276" s="37" t="inlineStr">
        <is>
          <t>Vessbank</t>
        </is>
      </c>
      <c r="J276" s="37" t="inlineStr">
        <is>
          <t>declined-prior-offer</t>
        </is>
      </c>
      <c r="K276" s="38" t="n">
        <v>46116</v>
      </c>
      <c r="L276" s="37">
        <f>IF(COUNTIFS('Skip Docs'!$A$2:$A$7,F276,'Skip Docs'!$C$2:$C$7,E276)&gt;0,"YES","NO")</f>
        <v/>
      </c>
      <c r="M276" s="37">
        <f>IF(L276="NO","NO",INDEX('Skip Docs'!$G$2:$G$7,MATCH(1,INDEX(('Skip Docs'!$A$2:$A$7=F276)*('Skip Docs'!$C$2:$C$7=E276),0),0)))</f>
        <v/>
      </c>
      <c r="N276" s="37">
        <f>IF(K276&lt;=E276,"ON/BEFORE","LATE")</f>
        <v/>
      </c>
      <c r="O276" s="37">
        <f>IF(COUNTIFS(Offers!$A$2:$A$1487,D276,Offers!$C$2:$C$1487,F276,Offers!$B$2:$B$1487,E276,Offers!$E$2:$E$1487,H276,Offers!$I$2:$I$1487,"SKIPPED")=1,"YES","NO")</f>
        <v/>
      </c>
      <c r="P276" s="37">
        <f>IF(L276="NO","N/A",IF(COUNTIFS('Skip Docs'!$A$2:$A$7,F276,'Skip Docs'!$C$2:$C$7,E276,'Skip Docs'!$D$2:$D$7,H276,'Skip Docs'!$E$2:$E$7,J276)=1,"YES","NO"))</f>
        <v/>
      </c>
      <c r="Q276" s="37" t="inlineStr">
        <is>
          <t>Y</t>
        </is>
      </c>
      <c r="R276" s="37" t="inlineStr">
        <is>
          <t>SUSTAINED</t>
        </is>
      </c>
      <c r="S276" s="37">
        <f>IF(B276="YES","Verified contemporaneous proof",IF(L276="NO","No justification PDF supplied",IF(M276="NO","PDF is cover-only",IF(P276="NO","PDF content does not match logged slip/reason",IF(O276="NO","Offer event does not reconcile","Assembled after skip date")))))</f>
        <v/>
      </c>
    </row>
    <row r="277">
      <c r="A277" s="37">
        <f>IF(M277="NO","Priority 1",IF(N277="LATE","Priority 2",IF(B277="YES","OK","Priority 1")))</f>
        <v/>
      </c>
      <c r="B277" s="37">
        <f>IF(AND(L277="YES",M277="YES",N277="ON/BEFORE",O277="YES",P277="YES"),"YES","NO")</f>
        <v/>
      </c>
      <c r="C277" s="37" t="inlineStr">
        <is>
          <t>SKP-2026-0367</t>
        </is>
      </c>
      <c r="D277" s="37" t="inlineStr">
        <is>
          <t>OFR-2026-1350</t>
        </is>
      </c>
      <c r="E277" s="38" t="n">
        <v>46119</v>
      </c>
      <c r="F277" s="37" t="inlineStr">
        <is>
          <t>WL-02639</t>
        </is>
      </c>
      <c r="G277" s="37">
        <f>IFERROR(INDEX(Applicants!$C$2:$C$2911,MATCH(F277,Applicants!$A$2:$A$2911,0))&amp;" "&amp;INDEX(Applicants!$B$2:$B$2911,MATCH(F277,Applicants!$A$2:$A$2911,0)),"")</f>
        <v/>
      </c>
      <c r="H277" s="37" t="inlineStr">
        <is>
          <t>LP-1102</t>
        </is>
      </c>
      <c r="I277" s="37" t="inlineStr">
        <is>
          <t>Ledgport</t>
        </is>
      </c>
      <c r="J277" s="37" t="inlineStr">
        <is>
          <t>vessel-fit</t>
        </is>
      </c>
      <c r="K277" s="38" t="n">
        <v>46122</v>
      </c>
      <c r="L277" s="37">
        <f>IF(COUNTIFS('Skip Docs'!$A$2:$A$7,F277,'Skip Docs'!$C$2:$C$7,E277)&gt;0,"YES","NO")</f>
        <v/>
      </c>
      <c r="M277" s="37">
        <f>IF(L277="NO","NO",INDEX('Skip Docs'!$G$2:$G$7,MATCH(1,INDEX(('Skip Docs'!$A$2:$A$7=F277)*('Skip Docs'!$C$2:$C$7=E277),0),0)))</f>
        <v/>
      </c>
      <c r="N277" s="37">
        <f>IF(K277&lt;=E277,"ON/BEFORE","LATE")</f>
        <v/>
      </c>
      <c r="O277" s="37">
        <f>IF(COUNTIFS(Offers!$A$2:$A$1487,D277,Offers!$C$2:$C$1487,F277,Offers!$B$2:$B$1487,E277,Offers!$E$2:$E$1487,H277,Offers!$I$2:$I$1487,"SKIPPED")=1,"YES","NO")</f>
        <v/>
      </c>
      <c r="P277" s="37">
        <f>IF(L277="NO","N/A",IF(COUNTIFS('Skip Docs'!$A$2:$A$7,F277,'Skip Docs'!$C$2:$C$7,E277,'Skip Docs'!$D$2:$D$7,H277,'Skip Docs'!$E$2:$E$7,J277)=1,"YES","NO"))</f>
        <v/>
      </c>
      <c r="Q277" s="37" t="inlineStr">
        <is>
          <t>Y</t>
        </is>
      </c>
      <c r="R277" s="37" t="inlineStr">
        <is>
          <t>SUSTAINED</t>
        </is>
      </c>
      <c r="S277" s="37">
        <f>IF(B277="YES","Verified contemporaneous proof",IF(L277="NO","No justification PDF supplied",IF(M277="NO","PDF is cover-only",IF(P277="NO","PDF content does not match logged slip/reason",IF(O277="NO","Offer event does not reconcile","Assembled after skip date")))))</f>
        <v/>
      </c>
    </row>
    <row r="278">
      <c r="A278" s="37">
        <f>IF(M278="NO","Priority 1",IF(N278="LATE","Priority 2",IF(B278="YES","OK","Priority 1")))</f>
        <v/>
      </c>
      <c r="B278" s="37">
        <f>IF(AND(L278="YES",M278="YES",N278="ON/BEFORE",O278="YES",P278="YES"),"YES","NO")</f>
        <v/>
      </c>
      <c r="C278" s="37" t="inlineStr">
        <is>
          <t>SKP-2026-0368</t>
        </is>
      </c>
      <c r="D278" s="37" t="inlineStr">
        <is>
          <t>OFR-2026-1358</t>
        </is>
      </c>
      <c r="E278" s="38" t="n">
        <v>46151</v>
      </c>
      <c r="F278" s="37" t="inlineStr">
        <is>
          <t>WL-03754</t>
        </is>
      </c>
      <c r="G278" s="37">
        <f>IFERROR(INDEX(Applicants!$C$2:$C$2911,MATCH(F278,Applicants!$A$2:$A$2911,0))&amp;" "&amp;INDEX(Applicants!$B$2:$B$2911,MATCH(F278,Applicants!$A$2:$A$2911,0)),"")</f>
        <v/>
      </c>
      <c r="H278" s="37" t="inlineStr">
        <is>
          <t>LP-0923</t>
        </is>
      </c>
      <c r="I278" s="37" t="inlineStr">
        <is>
          <t>Ledgport</t>
        </is>
      </c>
      <c r="J278" s="37" t="inlineStr">
        <is>
          <t>not-current</t>
        </is>
      </c>
      <c r="K278" s="38" t="n">
        <v>46151</v>
      </c>
      <c r="L278" s="37">
        <f>IF(COUNTIFS('Skip Docs'!$A$2:$A$7,F278,'Skip Docs'!$C$2:$C$7,E278)&gt;0,"YES","NO")</f>
        <v/>
      </c>
      <c r="M278" s="37">
        <f>IF(L278="NO","NO",INDEX('Skip Docs'!$G$2:$G$7,MATCH(1,INDEX(('Skip Docs'!$A$2:$A$7=F278)*('Skip Docs'!$C$2:$C$7=E278),0),0)))</f>
        <v/>
      </c>
      <c r="N278" s="37">
        <f>IF(K278&lt;=E278,"ON/BEFORE","LATE")</f>
        <v/>
      </c>
      <c r="O278" s="37">
        <f>IF(COUNTIFS(Offers!$A$2:$A$1487,D278,Offers!$C$2:$C$1487,F278,Offers!$B$2:$B$1487,E278,Offers!$E$2:$E$1487,H278,Offers!$I$2:$I$1487,"SKIPPED")=1,"YES","NO")</f>
        <v/>
      </c>
      <c r="P278" s="37">
        <f>IF(L278="NO","N/A",IF(COUNTIFS('Skip Docs'!$A$2:$A$7,F278,'Skip Docs'!$C$2:$C$7,E278,'Skip Docs'!$D$2:$D$7,H278,'Skip Docs'!$E$2:$E$7,J278)=1,"YES","NO"))</f>
        <v/>
      </c>
      <c r="Q278" s="37" t="inlineStr">
        <is>
          <t>Y</t>
        </is>
      </c>
      <c r="R278" s="37" t="inlineStr">
        <is>
          <t>SUSTAINED</t>
        </is>
      </c>
      <c r="S278" s="37">
        <f>IF(B278="YES","Verified contemporaneous proof",IF(L278="NO","No justification PDF supplied",IF(M278="NO","PDF is cover-only",IF(P278="NO","PDF content does not match logged slip/reason",IF(O278="NO","Offer event does not reconcile","Assembled after skip date")))))</f>
        <v/>
      </c>
    </row>
    <row r="279">
      <c r="A279" s="37">
        <f>IF(M279="NO","Priority 1",IF(N279="LATE","Priority 2",IF(B279="YES","OK","Priority 1")))</f>
        <v/>
      </c>
      <c r="B279" s="37">
        <f>IF(AND(L279="YES",M279="YES",N279="ON/BEFORE",O279="YES",P279="YES"),"YES","NO")</f>
        <v/>
      </c>
      <c r="C279" s="37" t="inlineStr">
        <is>
          <t>SKP-2026-0369</t>
        </is>
      </c>
      <c r="D279" s="37" t="inlineStr">
        <is>
          <t>OFR-2026-1360</t>
        </is>
      </c>
      <c r="E279" s="38" t="n">
        <v>46148</v>
      </c>
      <c r="F279" s="37" t="inlineStr">
        <is>
          <t>WL-01205</t>
        </is>
      </c>
      <c r="G279" s="37">
        <f>IFERROR(INDEX(Applicants!$C$2:$C$2911,MATCH(F279,Applicants!$A$2:$A$2911,0))&amp;" "&amp;INDEX(Applicants!$B$2:$B$2911,MATCH(F279,Applicants!$A$2:$A$2911,0)),"")</f>
        <v/>
      </c>
      <c r="H279" s="37" t="inlineStr">
        <is>
          <t>GW-0620</t>
        </is>
      </c>
      <c r="I279" s="37" t="inlineStr">
        <is>
          <t>Gullwing</t>
        </is>
      </c>
      <c r="J279" s="37" t="inlineStr">
        <is>
          <t>preference-mismatch</t>
        </is>
      </c>
      <c r="K279" s="38" t="n">
        <v>46151</v>
      </c>
      <c r="L279" s="37">
        <f>IF(COUNTIFS('Skip Docs'!$A$2:$A$7,F279,'Skip Docs'!$C$2:$C$7,E279)&gt;0,"YES","NO")</f>
        <v/>
      </c>
      <c r="M279" s="37">
        <f>IF(L279="NO","NO",INDEX('Skip Docs'!$G$2:$G$7,MATCH(1,INDEX(('Skip Docs'!$A$2:$A$7=F279)*('Skip Docs'!$C$2:$C$7=E279),0),0)))</f>
        <v/>
      </c>
      <c r="N279" s="37">
        <f>IF(K279&lt;=E279,"ON/BEFORE","LATE")</f>
        <v/>
      </c>
      <c r="O279" s="37">
        <f>IF(COUNTIFS(Offers!$A$2:$A$1487,D279,Offers!$C$2:$C$1487,F279,Offers!$B$2:$B$1487,E279,Offers!$E$2:$E$1487,H279,Offers!$I$2:$I$1487,"SKIPPED")=1,"YES","NO")</f>
        <v/>
      </c>
      <c r="P279" s="37">
        <f>IF(L279="NO","N/A",IF(COUNTIFS('Skip Docs'!$A$2:$A$7,F279,'Skip Docs'!$C$2:$C$7,E279,'Skip Docs'!$D$2:$D$7,H279,'Skip Docs'!$E$2:$E$7,J279)=1,"YES","NO"))</f>
        <v/>
      </c>
      <c r="Q279" s="37" t="inlineStr">
        <is>
          <t>Y</t>
        </is>
      </c>
      <c r="R279" s="37" t="inlineStr">
        <is>
          <t>SUSTAINED</t>
        </is>
      </c>
      <c r="S279" s="37">
        <f>IF(B279="YES","Verified contemporaneous proof",IF(L279="NO","No justification PDF supplied",IF(M279="NO","PDF is cover-only",IF(P279="NO","PDF content does not match logged slip/reason",IF(O279="NO","Offer event does not reconcile","Assembled after skip date")))))</f>
        <v/>
      </c>
    </row>
    <row r="280">
      <c r="A280" s="37">
        <f>IF(M280="NO","Priority 1",IF(N280="LATE","Priority 2",IF(B280="YES","OK","Priority 1")))</f>
        <v/>
      </c>
      <c r="B280" s="37">
        <f>IF(AND(L280="YES",M280="YES",N280="ON/BEFORE",O280="YES",P280="YES"),"YES","NO")</f>
        <v/>
      </c>
      <c r="C280" s="37" t="inlineStr">
        <is>
          <t>SKP-2026-0370</t>
        </is>
      </c>
      <c r="D280" s="37" t="inlineStr">
        <is>
          <t>OFR-2026-1361</t>
        </is>
      </c>
      <c r="E280" s="38" t="n">
        <v>46160</v>
      </c>
      <c r="F280" s="37" t="inlineStr">
        <is>
          <t>WL-03607</t>
        </is>
      </c>
      <c r="G280" s="37">
        <f>IFERROR(INDEX(Applicants!$C$2:$C$2911,MATCH(F280,Applicants!$A$2:$A$2911,0))&amp;" "&amp;INDEX(Applicants!$B$2:$B$2911,MATCH(F280,Applicants!$A$2:$A$2911,0)),"")</f>
        <v/>
      </c>
      <c r="H280" s="37" t="inlineStr">
        <is>
          <t>LP-1105</t>
        </is>
      </c>
      <c r="I280" s="37" t="inlineStr">
        <is>
          <t>Ledgport</t>
        </is>
      </c>
      <c r="J280" s="37" t="inlineStr">
        <is>
          <t>not-current</t>
        </is>
      </c>
      <c r="K280" s="38" t="n">
        <v>46163</v>
      </c>
      <c r="L280" s="37">
        <f>IF(COUNTIFS('Skip Docs'!$A$2:$A$7,F280,'Skip Docs'!$C$2:$C$7,E280)&gt;0,"YES","NO")</f>
        <v/>
      </c>
      <c r="M280" s="37">
        <f>IF(L280="NO","NO",INDEX('Skip Docs'!$G$2:$G$7,MATCH(1,INDEX(('Skip Docs'!$A$2:$A$7=F280)*('Skip Docs'!$C$2:$C$7=E280),0),0)))</f>
        <v/>
      </c>
      <c r="N280" s="37">
        <f>IF(K280&lt;=E280,"ON/BEFORE","LATE")</f>
        <v/>
      </c>
      <c r="O280" s="37">
        <f>IF(COUNTIFS(Offers!$A$2:$A$1487,D280,Offers!$C$2:$C$1487,F280,Offers!$B$2:$B$1487,E280,Offers!$E$2:$E$1487,H280,Offers!$I$2:$I$1487,"SKIPPED")=1,"YES","NO")</f>
        <v/>
      </c>
      <c r="P280" s="37">
        <f>IF(L280="NO","N/A",IF(COUNTIFS('Skip Docs'!$A$2:$A$7,F280,'Skip Docs'!$C$2:$C$7,E280,'Skip Docs'!$D$2:$D$7,H280,'Skip Docs'!$E$2:$E$7,J280)=1,"YES","NO"))</f>
        <v/>
      </c>
      <c r="Q280" s="37" t="inlineStr">
        <is>
          <t>Y</t>
        </is>
      </c>
      <c r="R280" s="37" t="inlineStr">
        <is>
          <t>SUSTAINED</t>
        </is>
      </c>
      <c r="S280" s="37">
        <f>IF(B280="YES","Verified contemporaneous proof",IF(L280="NO","No justification PDF supplied",IF(M280="NO","PDF is cover-only",IF(P280="NO","PDF content does not match logged slip/reason",IF(O280="NO","Offer event does not reconcile","Assembled after skip date")))))</f>
        <v/>
      </c>
    </row>
    <row r="281">
      <c r="A281" s="37">
        <f>IF(M281="NO","Priority 1",IF(N281="LATE","Priority 2",IF(B281="YES","OK","Priority 1")))</f>
        <v/>
      </c>
      <c r="B281" s="37">
        <f>IF(AND(L281="YES",M281="YES",N281="ON/BEFORE",O281="YES",P281="YES"),"YES","NO")</f>
        <v/>
      </c>
      <c r="C281" s="37" t="inlineStr">
        <is>
          <t>SKP-2026-0371</t>
        </is>
      </c>
      <c r="D281" s="37" t="inlineStr">
        <is>
          <t>OFR-2026-1363</t>
        </is>
      </c>
      <c r="E281" s="38" t="n">
        <v>46150</v>
      </c>
      <c r="F281" s="37" t="inlineStr">
        <is>
          <t>WL-03896</t>
        </is>
      </c>
      <c r="G281" s="37">
        <f>IFERROR(INDEX(Applicants!$C$2:$C$2911,MATCH(F281,Applicants!$A$2:$A$2911,0))&amp;" "&amp;INDEX(Applicants!$B$2:$B$2911,MATCH(F281,Applicants!$A$2:$A$2911,0)),"")</f>
        <v/>
      </c>
      <c r="H281" s="37" t="inlineStr">
        <is>
          <t>LP-0220</t>
        </is>
      </c>
      <c r="I281" s="37" t="inlineStr">
        <is>
          <t>Ledgport</t>
        </is>
      </c>
      <c r="J281" s="37" t="inlineStr">
        <is>
          <t>vessel-fit</t>
        </is>
      </c>
      <c r="K281" s="38" t="n">
        <v>46150</v>
      </c>
      <c r="L281" s="37">
        <f>IF(COUNTIFS('Skip Docs'!$A$2:$A$7,F281,'Skip Docs'!$C$2:$C$7,E281)&gt;0,"YES","NO")</f>
        <v/>
      </c>
      <c r="M281" s="37">
        <f>IF(L281="NO","NO",INDEX('Skip Docs'!$G$2:$G$7,MATCH(1,INDEX(('Skip Docs'!$A$2:$A$7=F281)*('Skip Docs'!$C$2:$C$7=E281),0),0)))</f>
        <v/>
      </c>
      <c r="N281" s="37">
        <f>IF(K281&lt;=E281,"ON/BEFORE","LATE")</f>
        <v/>
      </c>
      <c r="O281" s="37">
        <f>IF(COUNTIFS(Offers!$A$2:$A$1487,D281,Offers!$C$2:$C$1487,F281,Offers!$B$2:$B$1487,E281,Offers!$E$2:$E$1487,H281,Offers!$I$2:$I$1487,"SKIPPED")=1,"YES","NO")</f>
        <v/>
      </c>
      <c r="P281" s="37">
        <f>IF(L281="NO","N/A",IF(COUNTIFS('Skip Docs'!$A$2:$A$7,F281,'Skip Docs'!$C$2:$C$7,E281,'Skip Docs'!$D$2:$D$7,H281,'Skip Docs'!$E$2:$E$7,J281)=1,"YES","NO"))</f>
        <v/>
      </c>
      <c r="Q281" s="37" t="inlineStr">
        <is>
          <t>N</t>
        </is>
      </c>
      <c r="R281" s="37" t="inlineStr">
        <is>
          <t>SUSTAINED</t>
        </is>
      </c>
      <c r="S281" s="37">
        <f>IF(B281="YES","Verified contemporaneous proof",IF(L281="NO","No justification PDF supplied",IF(M281="NO","PDF is cover-only",IF(P281="NO","PDF content does not match logged slip/reason",IF(O281="NO","Offer event does not reconcile","Assembled after skip date")))))</f>
        <v/>
      </c>
    </row>
    <row r="282">
      <c r="A282" s="37">
        <f>IF(M282="NO","Priority 1",IF(N282="LATE","Priority 2",IF(B282="YES","OK","Priority 1")))</f>
        <v/>
      </c>
      <c r="B282" s="37">
        <f>IF(AND(L282="YES",M282="YES",N282="ON/BEFORE",O282="YES",P282="YES"),"YES","NO")</f>
        <v/>
      </c>
      <c r="C282" s="37" t="inlineStr">
        <is>
          <t>SKP-2026-0372</t>
        </is>
      </c>
      <c r="D282" s="37" t="inlineStr">
        <is>
          <t>OFR-2026-1366</t>
        </is>
      </c>
      <c r="E282" s="38" t="n">
        <v>46166</v>
      </c>
      <c r="F282" s="37" t="inlineStr">
        <is>
          <t>WL-03247</t>
        </is>
      </c>
      <c r="G282" s="37">
        <f>IFERROR(INDEX(Applicants!$C$2:$C$2911,MATCH(F282,Applicants!$A$2:$A$2911,0))&amp;" "&amp;INDEX(Applicants!$B$2:$B$2911,MATCH(F282,Applicants!$A$2:$A$2911,0)),"")</f>
        <v/>
      </c>
      <c r="H282" s="37" t="inlineStr">
        <is>
          <t>VB-0916</t>
        </is>
      </c>
      <c r="I282" s="37" t="inlineStr">
        <is>
          <t>Vessbank</t>
        </is>
      </c>
      <c r="J282" s="37" t="inlineStr">
        <is>
          <t>vessel-fit</t>
        </is>
      </c>
      <c r="K282" s="38" t="n">
        <v>46171</v>
      </c>
      <c r="L282" s="37">
        <f>IF(COUNTIFS('Skip Docs'!$A$2:$A$7,F282,'Skip Docs'!$C$2:$C$7,E282)&gt;0,"YES","NO")</f>
        <v/>
      </c>
      <c r="M282" s="37">
        <f>IF(L282="NO","NO",INDEX('Skip Docs'!$G$2:$G$7,MATCH(1,INDEX(('Skip Docs'!$A$2:$A$7=F282)*('Skip Docs'!$C$2:$C$7=E282),0),0)))</f>
        <v/>
      </c>
      <c r="N282" s="37">
        <f>IF(K282&lt;=E282,"ON/BEFORE","LATE")</f>
        <v/>
      </c>
      <c r="O282" s="37">
        <f>IF(COUNTIFS(Offers!$A$2:$A$1487,D282,Offers!$C$2:$C$1487,F282,Offers!$B$2:$B$1487,E282,Offers!$E$2:$E$1487,H282,Offers!$I$2:$I$1487,"SKIPPED")=1,"YES","NO")</f>
        <v/>
      </c>
      <c r="P282" s="37">
        <f>IF(L282="NO","N/A",IF(COUNTIFS('Skip Docs'!$A$2:$A$7,F282,'Skip Docs'!$C$2:$C$7,E282,'Skip Docs'!$D$2:$D$7,H282,'Skip Docs'!$E$2:$E$7,J282)=1,"YES","NO"))</f>
        <v/>
      </c>
      <c r="Q282" s="37" t="inlineStr">
        <is>
          <t>Y</t>
        </is>
      </c>
      <c r="R282" s="37" t="inlineStr">
        <is>
          <t>SUSTAINED</t>
        </is>
      </c>
      <c r="S282" s="37">
        <f>IF(B282="YES","Verified contemporaneous proof",IF(L282="NO","No justification PDF supplied",IF(M282="NO","PDF is cover-only",IF(P282="NO","PDF content does not match logged slip/reason",IF(O282="NO","Offer event does not reconcile","Assembled after skip date")))))</f>
        <v/>
      </c>
    </row>
    <row r="283">
      <c r="A283" s="37">
        <f>IF(M283="NO","Priority 1",IF(N283="LATE","Priority 2",IF(B283="YES","OK","Priority 1")))</f>
        <v/>
      </c>
      <c r="B283" s="37">
        <f>IF(AND(L283="YES",M283="YES",N283="ON/BEFORE",O283="YES",P283="YES"),"YES","NO")</f>
        <v/>
      </c>
      <c r="C283" s="37" t="inlineStr">
        <is>
          <t>SKP-2026-0373</t>
        </is>
      </c>
      <c r="D283" s="37" t="inlineStr">
        <is>
          <t>OFR-2026-1372</t>
        </is>
      </c>
      <c r="E283" s="38" t="n">
        <v>46144</v>
      </c>
      <c r="F283" s="37" t="inlineStr">
        <is>
          <t>WL-02671</t>
        </is>
      </c>
      <c r="G283" s="37">
        <f>IFERROR(INDEX(Applicants!$C$2:$C$2911,MATCH(F283,Applicants!$A$2:$A$2911,0))&amp;" "&amp;INDEX(Applicants!$B$2:$B$2911,MATCH(F283,Applicants!$A$2:$A$2911,0)),"")</f>
        <v/>
      </c>
      <c r="H283" s="37" t="inlineStr">
        <is>
          <t>LP-1019</t>
        </is>
      </c>
      <c r="I283" s="37" t="inlineStr">
        <is>
          <t>Ledgport</t>
        </is>
      </c>
      <c r="J283" s="37" t="inlineStr">
        <is>
          <t>vessel-fit</t>
        </is>
      </c>
      <c r="K283" s="38" t="n">
        <v>46145</v>
      </c>
      <c r="L283" s="37">
        <f>IF(COUNTIFS('Skip Docs'!$A$2:$A$7,F283,'Skip Docs'!$C$2:$C$7,E283)&gt;0,"YES","NO")</f>
        <v/>
      </c>
      <c r="M283" s="37">
        <f>IF(L283="NO","NO",INDEX('Skip Docs'!$G$2:$G$7,MATCH(1,INDEX(('Skip Docs'!$A$2:$A$7=F283)*('Skip Docs'!$C$2:$C$7=E283),0),0)))</f>
        <v/>
      </c>
      <c r="N283" s="37">
        <f>IF(K283&lt;=E283,"ON/BEFORE","LATE")</f>
        <v/>
      </c>
      <c r="O283" s="37">
        <f>IF(COUNTIFS(Offers!$A$2:$A$1487,D283,Offers!$C$2:$C$1487,F283,Offers!$B$2:$B$1487,E283,Offers!$E$2:$E$1487,H283,Offers!$I$2:$I$1487,"SKIPPED")=1,"YES","NO")</f>
        <v/>
      </c>
      <c r="P283" s="37">
        <f>IF(L283="NO","N/A",IF(COUNTIFS('Skip Docs'!$A$2:$A$7,F283,'Skip Docs'!$C$2:$C$7,E283,'Skip Docs'!$D$2:$D$7,H283,'Skip Docs'!$E$2:$E$7,J283)=1,"YES","NO"))</f>
        <v/>
      </c>
      <c r="Q283" s="37" t="inlineStr">
        <is>
          <t>Y</t>
        </is>
      </c>
      <c r="R283" s="37" t="inlineStr">
        <is>
          <t>SUSTAINED</t>
        </is>
      </c>
      <c r="S283" s="37">
        <f>IF(B283="YES","Verified contemporaneous proof",IF(L283="NO","No justification PDF supplied",IF(M283="NO","PDF is cover-only",IF(P283="NO","PDF content does not match logged slip/reason",IF(O283="NO","Offer event does not reconcile","Assembled after skip date")))))</f>
        <v/>
      </c>
    </row>
    <row r="284">
      <c r="A284" s="37">
        <f>IF(M284="NO","Priority 1",IF(N284="LATE","Priority 2",IF(B284="YES","OK","Priority 1")))</f>
        <v/>
      </c>
      <c r="B284" s="37">
        <f>IF(AND(L284="YES",M284="YES",N284="ON/BEFORE",O284="YES",P284="YES"),"YES","NO")</f>
        <v/>
      </c>
      <c r="C284" s="37" t="inlineStr">
        <is>
          <t>SKP-2026-0374</t>
        </is>
      </c>
      <c r="D284" s="37" t="inlineStr">
        <is>
          <t>OFR-2026-1375</t>
        </is>
      </c>
      <c r="E284" s="38" t="n">
        <v>46153</v>
      </c>
      <c r="F284" s="37" t="inlineStr">
        <is>
          <t>WL-01404</t>
        </is>
      </c>
      <c r="G284" s="37">
        <f>IFERROR(INDEX(Applicants!$C$2:$C$2911,MATCH(F284,Applicants!$A$2:$A$2911,0))&amp;" "&amp;INDEX(Applicants!$B$2:$B$2911,MATCH(F284,Applicants!$A$2:$A$2911,0)),"")</f>
        <v/>
      </c>
      <c r="H284" s="37" t="inlineStr">
        <is>
          <t>VB-0619</t>
        </is>
      </c>
      <c r="I284" s="37" t="inlineStr">
        <is>
          <t>Vessbank</t>
        </is>
      </c>
      <c r="J284" s="37" t="inlineStr">
        <is>
          <t>not-current</t>
        </is>
      </c>
      <c r="K284" s="38" t="n">
        <v>46157</v>
      </c>
      <c r="L284" s="37">
        <f>IF(COUNTIFS('Skip Docs'!$A$2:$A$7,F284,'Skip Docs'!$C$2:$C$7,E284)&gt;0,"YES","NO")</f>
        <v/>
      </c>
      <c r="M284" s="37">
        <f>IF(L284="NO","NO",INDEX('Skip Docs'!$G$2:$G$7,MATCH(1,INDEX(('Skip Docs'!$A$2:$A$7=F284)*('Skip Docs'!$C$2:$C$7=E284),0),0)))</f>
        <v/>
      </c>
      <c r="N284" s="37">
        <f>IF(K284&lt;=E284,"ON/BEFORE","LATE")</f>
        <v/>
      </c>
      <c r="O284" s="37">
        <f>IF(COUNTIFS(Offers!$A$2:$A$1487,D284,Offers!$C$2:$C$1487,F284,Offers!$B$2:$B$1487,E284,Offers!$E$2:$E$1487,H284,Offers!$I$2:$I$1487,"SKIPPED")=1,"YES","NO")</f>
        <v/>
      </c>
      <c r="P284" s="37">
        <f>IF(L284="NO","N/A",IF(COUNTIFS('Skip Docs'!$A$2:$A$7,F284,'Skip Docs'!$C$2:$C$7,E284,'Skip Docs'!$D$2:$D$7,H284,'Skip Docs'!$E$2:$E$7,J284)=1,"YES","NO"))</f>
        <v/>
      </c>
      <c r="Q284" s="37" t="inlineStr">
        <is>
          <t>Y</t>
        </is>
      </c>
      <c r="R284" s="37" t="inlineStr">
        <is>
          <t>SUSTAINED</t>
        </is>
      </c>
      <c r="S284" s="37">
        <f>IF(B284="YES","Verified contemporaneous proof",IF(L284="NO","No justification PDF supplied",IF(M284="NO","PDF is cover-only",IF(P284="NO","PDF content does not match logged slip/reason",IF(O284="NO","Offer event does not reconcile","Assembled after skip date")))))</f>
        <v/>
      </c>
    </row>
    <row r="285">
      <c r="A285" s="37">
        <f>IF(M285="NO","Priority 1",IF(N285="LATE","Priority 2",IF(B285="YES","OK","Priority 1")))</f>
        <v/>
      </c>
      <c r="B285" s="37">
        <f>IF(AND(L285="YES",M285="YES",N285="ON/BEFORE",O285="YES",P285="YES"),"YES","NO")</f>
        <v/>
      </c>
      <c r="C285" s="37" t="inlineStr">
        <is>
          <t>SKP-2026-0375</t>
        </is>
      </c>
      <c r="D285" s="37" t="inlineStr">
        <is>
          <t>OFR-2026-1378</t>
        </is>
      </c>
      <c r="E285" s="38" t="n">
        <v>46160</v>
      </c>
      <c r="F285" s="37" t="inlineStr">
        <is>
          <t>WL-01299</t>
        </is>
      </c>
      <c r="G285" s="37">
        <f>IFERROR(INDEX(Applicants!$C$2:$C$2911,MATCH(F285,Applicants!$A$2:$A$2911,0))&amp;" "&amp;INDEX(Applicants!$B$2:$B$2911,MATCH(F285,Applicants!$A$2:$A$2911,0)),"")</f>
        <v/>
      </c>
      <c r="H285" s="37" t="inlineStr">
        <is>
          <t>GW-0814</t>
        </is>
      </c>
      <c r="I285" s="37" t="inlineStr">
        <is>
          <t>Gullwing</t>
        </is>
      </c>
      <c r="J285" s="37" t="inlineStr">
        <is>
          <t>not-current</t>
        </is>
      </c>
      <c r="K285" s="38" t="n">
        <v>46161</v>
      </c>
      <c r="L285" s="37">
        <f>IF(COUNTIFS('Skip Docs'!$A$2:$A$7,F285,'Skip Docs'!$C$2:$C$7,E285)&gt;0,"YES","NO")</f>
        <v/>
      </c>
      <c r="M285" s="37">
        <f>IF(L285="NO","NO",INDEX('Skip Docs'!$G$2:$G$7,MATCH(1,INDEX(('Skip Docs'!$A$2:$A$7=F285)*('Skip Docs'!$C$2:$C$7=E285),0),0)))</f>
        <v/>
      </c>
      <c r="N285" s="37">
        <f>IF(K285&lt;=E285,"ON/BEFORE","LATE")</f>
        <v/>
      </c>
      <c r="O285" s="37">
        <f>IF(COUNTIFS(Offers!$A$2:$A$1487,D285,Offers!$C$2:$C$1487,F285,Offers!$B$2:$B$1487,E285,Offers!$E$2:$E$1487,H285,Offers!$I$2:$I$1487,"SKIPPED")=1,"YES","NO")</f>
        <v/>
      </c>
      <c r="P285" s="37">
        <f>IF(L285="NO","N/A",IF(COUNTIFS('Skip Docs'!$A$2:$A$7,F285,'Skip Docs'!$C$2:$C$7,E285,'Skip Docs'!$D$2:$D$7,H285,'Skip Docs'!$E$2:$E$7,J285)=1,"YES","NO"))</f>
        <v/>
      </c>
      <c r="Q285" s="37" t="inlineStr">
        <is>
          <t>Y</t>
        </is>
      </c>
      <c r="R285" s="37" t="inlineStr">
        <is>
          <t>SUSTAINED</t>
        </is>
      </c>
      <c r="S285" s="37">
        <f>IF(B285="YES","Verified contemporaneous proof",IF(L285="NO","No justification PDF supplied",IF(M285="NO","PDF is cover-only",IF(P285="NO","PDF content does not match logged slip/reason",IF(O285="NO","Offer event does not reconcile","Assembled after skip date")))))</f>
        <v/>
      </c>
    </row>
    <row r="286">
      <c r="A286" s="37">
        <f>IF(M286="NO","Priority 1",IF(N286="LATE","Priority 2",IF(B286="YES","OK","Priority 1")))</f>
        <v/>
      </c>
      <c r="B286" s="37">
        <f>IF(AND(L286="YES",M286="YES",N286="ON/BEFORE",O286="YES",P286="YES"),"YES","NO")</f>
        <v/>
      </c>
      <c r="C286" s="37" t="inlineStr">
        <is>
          <t>SKP-2026-0376</t>
        </is>
      </c>
      <c r="D286" s="37" t="inlineStr">
        <is>
          <t>OFR-2026-1380</t>
        </is>
      </c>
      <c r="E286" s="38" t="n">
        <v>46144</v>
      </c>
      <c r="F286" s="37" t="inlineStr">
        <is>
          <t>WL-03152</t>
        </is>
      </c>
      <c r="G286" s="37">
        <f>IFERROR(INDEX(Applicants!$C$2:$C$2911,MATCH(F286,Applicants!$A$2:$A$2911,0))&amp;" "&amp;INDEX(Applicants!$B$2:$B$2911,MATCH(F286,Applicants!$A$2:$A$2911,0)),"")</f>
        <v/>
      </c>
      <c r="H286" s="37" t="inlineStr">
        <is>
          <t>LP-0104</t>
        </is>
      </c>
      <c r="I286" s="37" t="inlineStr">
        <is>
          <t>Ledgport</t>
        </is>
      </c>
      <c r="J286" s="37" t="inlineStr">
        <is>
          <t>preference-mismatch</t>
        </is>
      </c>
      <c r="K286" s="38" t="n">
        <v>46145</v>
      </c>
      <c r="L286" s="37">
        <f>IF(COUNTIFS('Skip Docs'!$A$2:$A$7,F286,'Skip Docs'!$C$2:$C$7,E286)&gt;0,"YES","NO")</f>
        <v/>
      </c>
      <c r="M286" s="37">
        <f>IF(L286="NO","NO",INDEX('Skip Docs'!$G$2:$G$7,MATCH(1,INDEX(('Skip Docs'!$A$2:$A$7=F286)*('Skip Docs'!$C$2:$C$7=E286),0),0)))</f>
        <v/>
      </c>
      <c r="N286" s="37">
        <f>IF(K286&lt;=E286,"ON/BEFORE","LATE")</f>
        <v/>
      </c>
      <c r="O286" s="37">
        <f>IF(COUNTIFS(Offers!$A$2:$A$1487,D286,Offers!$C$2:$C$1487,F286,Offers!$B$2:$B$1487,E286,Offers!$E$2:$E$1487,H286,Offers!$I$2:$I$1487,"SKIPPED")=1,"YES","NO")</f>
        <v/>
      </c>
      <c r="P286" s="37">
        <f>IF(L286="NO","N/A",IF(COUNTIFS('Skip Docs'!$A$2:$A$7,F286,'Skip Docs'!$C$2:$C$7,E286,'Skip Docs'!$D$2:$D$7,H286,'Skip Docs'!$E$2:$E$7,J286)=1,"YES","NO"))</f>
        <v/>
      </c>
      <c r="Q286" s="37" t="inlineStr">
        <is>
          <t>Y</t>
        </is>
      </c>
      <c r="R286" s="37" t="inlineStr">
        <is>
          <t>SUSTAINED</t>
        </is>
      </c>
      <c r="S286" s="37">
        <f>IF(B286="YES","Verified contemporaneous proof",IF(L286="NO","No justification PDF supplied",IF(M286="NO","PDF is cover-only",IF(P286="NO","PDF content does not match logged slip/reason",IF(O286="NO","Offer event does not reconcile","Assembled after skip date")))))</f>
        <v/>
      </c>
    </row>
    <row r="287">
      <c r="A287" s="37">
        <f>IF(M287="NO","Priority 1",IF(N287="LATE","Priority 2",IF(B287="YES","OK","Priority 1")))</f>
        <v/>
      </c>
      <c r="B287" s="37">
        <f>IF(AND(L287="YES",M287="YES",N287="ON/BEFORE",O287="YES",P287="YES"),"YES","NO")</f>
        <v/>
      </c>
      <c r="C287" s="37" t="inlineStr">
        <is>
          <t>SKP-2026-0377</t>
        </is>
      </c>
      <c r="D287" s="37" t="inlineStr">
        <is>
          <t>OFR-2026-1381</t>
        </is>
      </c>
      <c r="E287" s="38" t="n">
        <v>46156</v>
      </c>
      <c r="F287" s="37" t="inlineStr">
        <is>
          <t>WL-01255</t>
        </is>
      </c>
      <c r="G287" s="37">
        <f>IFERROR(INDEX(Applicants!$C$2:$C$2911,MATCH(F287,Applicants!$A$2:$A$2911,0))&amp;" "&amp;INDEX(Applicants!$B$2:$B$2911,MATCH(F287,Applicants!$A$2:$A$2911,0)),"")</f>
        <v/>
      </c>
      <c r="H287" s="37" t="inlineStr">
        <is>
          <t>EW-0522</t>
        </is>
      </c>
      <c r="I287" s="37" t="inlineStr">
        <is>
          <t>Eastwey</t>
        </is>
      </c>
      <c r="J287" s="37" t="inlineStr">
        <is>
          <t>not-current</t>
        </is>
      </c>
      <c r="K287" s="38" t="n">
        <v>46160</v>
      </c>
      <c r="L287" s="37">
        <f>IF(COUNTIFS('Skip Docs'!$A$2:$A$7,F287,'Skip Docs'!$C$2:$C$7,E287)&gt;0,"YES","NO")</f>
        <v/>
      </c>
      <c r="M287" s="37">
        <f>IF(L287="NO","NO",INDEX('Skip Docs'!$G$2:$G$7,MATCH(1,INDEX(('Skip Docs'!$A$2:$A$7=F287)*('Skip Docs'!$C$2:$C$7=E287),0),0)))</f>
        <v/>
      </c>
      <c r="N287" s="37">
        <f>IF(K287&lt;=E287,"ON/BEFORE","LATE")</f>
        <v/>
      </c>
      <c r="O287" s="37">
        <f>IF(COUNTIFS(Offers!$A$2:$A$1487,D287,Offers!$C$2:$C$1487,F287,Offers!$B$2:$B$1487,E287,Offers!$E$2:$E$1487,H287,Offers!$I$2:$I$1487,"SKIPPED")=1,"YES","NO")</f>
        <v/>
      </c>
      <c r="P287" s="37">
        <f>IF(L287="NO","N/A",IF(COUNTIFS('Skip Docs'!$A$2:$A$7,F287,'Skip Docs'!$C$2:$C$7,E287,'Skip Docs'!$D$2:$D$7,H287,'Skip Docs'!$E$2:$E$7,J287)=1,"YES","NO"))</f>
        <v/>
      </c>
      <c r="Q287" s="37" t="inlineStr">
        <is>
          <t>Y</t>
        </is>
      </c>
      <c r="R287" s="37" t="inlineStr">
        <is>
          <t>SUSTAINED</t>
        </is>
      </c>
      <c r="S287" s="37">
        <f>IF(B287="YES","Verified contemporaneous proof",IF(L287="NO","No justification PDF supplied",IF(M287="NO","PDF is cover-only",IF(P287="NO","PDF content does not match logged slip/reason",IF(O287="NO","Offer event does not reconcile","Assembled after skip date")))))</f>
        <v/>
      </c>
    </row>
    <row r="288">
      <c r="A288" s="37">
        <f>IF(M288="NO","Priority 1",IF(N288="LATE","Priority 2",IF(B288="YES","OK","Priority 1")))</f>
        <v/>
      </c>
      <c r="B288" s="37">
        <f>IF(AND(L288="YES",M288="YES",N288="ON/BEFORE",O288="YES",P288="YES"),"YES","NO")</f>
        <v/>
      </c>
      <c r="C288" s="37" t="inlineStr">
        <is>
          <t>SKP-2026-0378</t>
        </is>
      </c>
      <c r="D288" s="37" t="inlineStr">
        <is>
          <t>OFR-2026-1384</t>
        </is>
      </c>
      <c r="E288" s="38" t="n">
        <v>46152</v>
      </c>
      <c r="F288" s="37" t="inlineStr">
        <is>
          <t>WL-01109</t>
        </is>
      </c>
      <c r="G288" s="37">
        <f>IFERROR(INDEX(Applicants!$C$2:$C$2911,MATCH(F288,Applicants!$A$2:$A$2911,0))&amp;" "&amp;INDEX(Applicants!$B$2:$B$2911,MATCH(F288,Applicants!$A$2:$A$2911,0)),"")</f>
        <v/>
      </c>
      <c r="H288" s="37" t="inlineStr">
        <is>
          <t>LP-0820</t>
        </is>
      </c>
      <c r="I288" s="37" t="inlineStr">
        <is>
          <t>Ledgport</t>
        </is>
      </c>
      <c r="J288" s="37" t="inlineStr">
        <is>
          <t>preference-mismatch</t>
        </is>
      </c>
      <c r="K288" s="38" t="n">
        <v>46153</v>
      </c>
      <c r="L288" s="37">
        <f>IF(COUNTIFS('Skip Docs'!$A$2:$A$7,F288,'Skip Docs'!$C$2:$C$7,E288)&gt;0,"YES","NO")</f>
        <v/>
      </c>
      <c r="M288" s="37">
        <f>IF(L288="NO","NO",INDEX('Skip Docs'!$G$2:$G$7,MATCH(1,INDEX(('Skip Docs'!$A$2:$A$7=F288)*('Skip Docs'!$C$2:$C$7=E288),0),0)))</f>
        <v/>
      </c>
      <c r="N288" s="37">
        <f>IF(K288&lt;=E288,"ON/BEFORE","LATE")</f>
        <v/>
      </c>
      <c r="O288" s="37">
        <f>IF(COUNTIFS(Offers!$A$2:$A$1487,D288,Offers!$C$2:$C$1487,F288,Offers!$B$2:$B$1487,E288,Offers!$E$2:$E$1487,H288,Offers!$I$2:$I$1487,"SKIPPED")=1,"YES","NO")</f>
        <v/>
      </c>
      <c r="P288" s="37">
        <f>IF(L288="NO","N/A",IF(COUNTIFS('Skip Docs'!$A$2:$A$7,F288,'Skip Docs'!$C$2:$C$7,E288,'Skip Docs'!$D$2:$D$7,H288,'Skip Docs'!$E$2:$E$7,J288)=1,"YES","NO"))</f>
        <v/>
      </c>
      <c r="Q288" s="37" t="inlineStr">
        <is>
          <t>Y</t>
        </is>
      </c>
      <c r="R288" s="37" t="inlineStr">
        <is>
          <t>SUSTAINED</t>
        </is>
      </c>
      <c r="S288" s="37">
        <f>IF(B288="YES","Verified contemporaneous proof",IF(L288="NO","No justification PDF supplied",IF(M288="NO","PDF is cover-only",IF(P288="NO","PDF content does not match logged slip/reason",IF(O288="NO","Offer event does not reconcile","Assembled after skip date")))))</f>
        <v/>
      </c>
    </row>
    <row r="289">
      <c r="A289" s="37">
        <f>IF(M289="NO","Priority 1",IF(N289="LATE","Priority 2",IF(B289="YES","OK","Priority 1")))</f>
        <v/>
      </c>
      <c r="B289" s="37">
        <f>IF(AND(L289="YES",M289="YES",N289="ON/BEFORE",O289="YES",P289="YES"),"YES","NO")</f>
        <v/>
      </c>
      <c r="C289" s="37" t="inlineStr">
        <is>
          <t>SKP-2026-0379</t>
        </is>
      </c>
      <c r="D289" s="37" t="inlineStr">
        <is>
          <t>OFR-2026-1387</t>
        </is>
      </c>
      <c r="E289" s="38" t="n">
        <v>46175</v>
      </c>
      <c r="F289" s="37" t="inlineStr">
        <is>
          <t>WL-02315</t>
        </is>
      </c>
      <c r="G289" s="37">
        <f>IFERROR(INDEX(Applicants!$C$2:$C$2911,MATCH(F289,Applicants!$A$2:$A$2911,0))&amp;" "&amp;INDEX(Applicants!$B$2:$B$2911,MATCH(F289,Applicants!$A$2:$A$2911,0)),"")</f>
        <v/>
      </c>
      <c r="H289" s="37" t="inlineStr">
        <is>
          <t>SB-0302</t>
        </is>
      </c>
      <c r="I289" s="37" t="inlineStr">
        <is>
          <t>Salmonberry</t>
        </is>
      </c>
      <c r="J289" s="37" t="inlineStr">
        <is>
          <t>not-current</t>
        </is>
      </c>
      <c r="K289" s="38" t="n">
        <v>46175</v>
      </c>
      <c r="L289" s="37">
        <f>IF(COUNTIFS('Skip Docs'!$A$2:$A$7,F289,'Skip Docs'!$C$2:$C$7,E289)&gt;0,"YES","NO")</f>
        <v/>
      </c>
      <c r="M289" s="37">
        <f>IF(L289="NO","NO",INDEX('Skip Docs'!$G$2:$G$7,MATCH(1,INDEX(('Skip Docs'!$A$2:$A$7=F289)*('Skip Docs'!$C$2:$C$7=E289),0),0)))</f>
        <v/>
      </c>
      <c r="N289" s="37">
        <f>IF(K289&lt;=E289,"ON/BEFORE","LATE")</f>
        <v/>
      </c>
      <c r="O289" s="37">
        <f>IF(COUNTIFS(Offers!$A$2:$A$1487,D289,Offers!$C$2:$C$1487,F289,Offers!$B$2:$B$1487,E289,Offers!$E$2:$E$1487,H289,Offers!$I$2:$I$1487,"SKIPPED")=1,"YES","NO")</f>
        <v/>
      </c>
      <c r="P289" s="37">
        <f>IF(L289="NO","N/A",IF(COUNTIFS('Skip Docs'!$A$2:$A$7,F289,'Skip Docs'!$C$2:$C$7,E289,'Skip Docs'!$D$2:$D$7,H289,'Skip Docs'!$E$2:$E$7,J289)=1,"YES","NO"))</f>
        <v/>
      </c>
      <c r="Q289" s="37" t="inlineStr">
        <is>
          <t>Y</t>
        </is>
      </c>
      <c r="R289" s="37" t="inlineStr">
        <is>
          <t>SUSTAINED</t>
        </is>
      </c>
      <c r="S289" s="37">
        <f>IF(B289="YES","Verified contemporaneous proof",IF(L289="NO","No justification PDF supplied",IF(M289="NO","PDF is cover-only",IF(P289="NO","PDF content does not match logged slip/reason",IF(O289="NO","Offer event does not reconcile","Assembled after skip date")))))</f>
        <v/>
      </c>
    </row>
    <row r="290">
      <c r="A290" s="37">
        <f>IF(M290="NO","Priority 1",IF(N290="LATE","Priority 2",IF(B290="YES","OK","Priority 1")))</f>
        <v/>
      </c>
      <c r="B290" s="37">
        <f>IF(AND(L290="YES",M290="YES",N290="ON/BEFORE",O290="YES",P290="YES"),"YES","NO")</f>
        <v/>
      </c>
      <c r="C290" s="37" t="inlineStr">
        <is>
          <t>SKP-2026-0380</t>
        </is>
      </c>
      <c r="D290" s="37" t="inlineStr">
        <is>
          <t>OFR-2026-1391</t>
        </is>
      </c>
      <c r="E290" s="38" t="n">
        <v>46194</v>
      </c>
      <c r="F290" s="37" t="inlineStr">
        <is>
          <t>WL-03078</t>
        </is>
      </c>
      <c r="G290" s="37">
        <f>IFERROR(INDEX(Applicants!$C$2:$C$2911,MATCH(F290,Applicants!$A$2:$A$2911,0))&amp;" "&amp;INDEX(Applicants!$B$2:$B$2911,MATCH(F290,Applicants!$A$2:$A$2911,0)),"")</f>
        <v/>
      </c>
      <c r="H290" s="37" t="inlineStr">
        <is>
          <t>VB-0415</t>
        </is>
      </c>
      <c r="I290" s="37" t="inlineStr">
        <is>
          <t>Vessbank</t>
        </is>
      </c>
      <c r="J290" s="37" t="inlineStr">
        <is>
          <t>declined-prior-offer</t>
        </is>
      </c>
      <c r="K290" s="38" t="n">
        <v>46197</v>
      </c>
      <c r="L290" s="37">
        <f>IF(COUNTIFS('Skip Docs'!$A$2:$A$7,F290,'Skip Docs'!$C$2:$C$7,E290)&gt;0,"YES","NO")</f>
        <v/>
      </c>
      <c r="M290" s="37">
        <f>IF(L290="NO","NO",INDEX('Skip Docs'!$G$2:$G$7,MATCH(1,INDEX(('Skip Docs'!$A$2:$A$7=F290)*('Skip Docs'!$C$2:$C$7=E290),0),0)))</f>
        <v/>
      </c>
      <c r="N290" s="37">
        <f>IF(K290&lt;=E290,"ON/BEFORE","LATE")</f>
        <v/>
      </c>
      <c r="O290" s="37">
        <f>IF(COUNTIFS(Offers!$A$2:$A$1487,D290,Offers!$C$2:$C$1487,F290,Offers!$B$2:$B$1487,E290,Offers!$E$2:$E$1487,H290,Offers!$I$2:$I$1487,"SKIPPED")=1,"YES","NO")</f>
        <v/>
      </c>
      <c r="P290" s="37">
        <f>IF(L290="NO","N/A",IF(COUNTIFS('Skip Docs'!$A$2:$A$7,F290,'Skip Docs'!$C$2:$C$7,E290,'Skip Docs'!$D$2:$D$7,H290,'Skip Docs'!$E$2:$E$7,J290)=1,"YES","NO"))</f>
        <v/>
      </c>
      <c r="Q290" s="37" t="inlineStr">
        <is>
          <t>Y</t>
        </is>
      </c>
      <c r="R290" s="37" t="inlineStr">
        <is>
          <t>SUSTAINED</t>
        </is>
      </c>
      <c r="S290" s="37">
        <f>IF(B290="YES","Verified contemporaneous proof",IF(L290="NO","No justification PDF supplied",IF(M290="NO","PDF is cover-only",IF(P290="NO","PDF content does not match logged slip/reason",IF(O290="NO","Offer event does not reconcile","Assembled after skip date")))))</f>
        <v/>
      </c>
    </row>
    <row r="291">
      <c r="A291" s="37">
        <f>IF(M291="NO","Priority 1",IF(N291="LATE","Priority 2",IF(B291="YES","OK","Priority 1")))</f>
        <v/>
      </c>
      <c r="B291" s="37">
        <f>IF(AND(L291="YES",M291="YES",N291="ON/BEFORE",O291="YES",P291="YES"),"YES","NO")</f>
        <v/>
      </c>
      <c r="C291" s="37" t="inlineStr">
        <is>
          <t>SKP-2026-0381</t>
        </is>
      </c>
      <c r="D291" s="37" t="inlineStr">
        <is>
          <t>OFR-2026-1398</t>
        </is>
      </c>
      <c r="E291" s="38" t="n">
        <v>46182</v>
      </c>
      <c r="F291" s="37" t="inlineStr">
        <is>
          <t>WL-01954</t>
        </is>
      </c>
      <c r="G291" s="37">
        <f>IFERROR(INDEX(Applicants!$C$2:$C$2911,MATCH(F291,Applicants!$A$2:$A$2911,0))&amp;" "&amp;INDEX(Applicants!$B$2:$B$2911,MATCH(F291,Applicants!$A$2:$A$2911,0)),"")</f>
        <v/>
      </c>
      <c r="H291" s="37" t="inlineStr">
        <is>
          <t>SB-0416</t>
        </is>
      </c>
      <c r="I291" s="37" t="inlineStr">
        <is>
          <t>Salmonberry</t>
        </is>
      </c>
      <c r="J291" s="37" t="inlineStr">
        <is>
          <t>preference-mismatch</t>
        </is>
      </c>
      <c r="K291" s="38" t="n">
        <v>46183</v>
      </c>
      <c r="L291" s="37">
        <f>IF(COUNTIFS('Skip Docs'!$A$2:$A$7,F291,'Skip Docs'!$C$2:$C$7,E291)&gt;0,"YES","NO")</f>
        <v/>
      </c>
      <c r="M291" s="37">
        <f>IF(L291="NO","NO",INDEX('Skip Docs'!$G$2:$G$7,MATCH(1,INDEX(('Skip Docs'!$A$2:$A$7=F291)*('Skip Docs'!$C$2:$C$7=E291),0),0)))</f>
        <v/>
      </c>
      <c r="N291" s="37">
        <f>IF(K291&lt;=E291,"ON/BEFORE","LATE")</f>
        <v/>
      </c>
      <c r="O291" s="37">
        <f>IF(COUNTIFS(Offers!$A$2:$A$1487,D291,Offers!$C$2:$C$1487,F291,Offers!$B$2:$B$1487,E291,Offers!$E$2:$E$1487,H291,Offers!$I$2:$I$1487,"SKIPPED")=1,"YES","NO")</f>
        <v/>
      </c>
      <c r="P291" s="37">
        <f>IF(L291="NO","N/A",IF(COUNTIFS('Skip Docs'!$A$2:$A$7,F291,'Skip Docs'!$C$2:$C$7,E291,'Skip Docs'!$D$2:$D$7,H291,'Skip Docs'!$E$2:$E$7,J291)=1,"YES","NO"))</f>
        <v/>
      </c>
      <c r="Q291" s="37" t="inlineStr">
        <is>
          <t>Y</t>
        </is>
      </c>
      <c r="R291" s="37" t="inlineStr">
        <is>
          <t>SUSTAINED</t>
        </is>
      </c>
      <c r="S291" s="37">
        <f>IF(B291="YES","Verified contemporaneous proof",IF(L291="NO","No justification PDF supplied",IF(M291="NO","PDF is cover-only",IF(P291="NO","PDF content does not match logged slip/reason",IF(O291="NO","Offer event does not reconcile","Assembled after skip date")))))</f>
        <v/>
      </c>
    </row>
    <row r="292">
      <c r="A292" s="37">
        <f>IF(M292="NO","Priority 1",IF(N292="LATE","Priority 2",IF(B292="YES","OK","Priority 1")))</f>
        <v/>
      </c>
      <c r="B292" s="37">
        <f>IF(AND(L292="YES",M292="YES",N292="ON/BEFORE",O292="YES",P292="YES"),"YES","NO")</f>
        <v/>
      </c>
      <c r="C292" s="37" t="inlineStr">
        <is>
          <t>SKP-2026-0382</t>
        </is>
      </c>
      <c r="D292" s="37" t="inlineStr">
        <is>
          <t>OFR-2026-1399</t>
        </is>
      </c>
      <c r="E292" s="38" t="n">
        <v>46201</v>
      </c>
      <c r="F292" s="37" t="inlineStr">
        <is>
          <t>WL-02098</t>
        </is>
      </c>
      <c r="G292" s="37">
        <f>IFERROR(INDEX(Applicants!$C$2:$C$2911,MATCH(F292,Applicants!$A$2:$A$2911,0))&amp;" "&amp;INDEX(Applicants!$B$2:$B$2911,MATCH(F292,Applicants!$A$2:$A$2911,0)),"")</f>
        <v/>
      </c>
      <c r="H292" s="37" t="inlineStr">
        <is>
          <t>VB-0707</t>
        </is>
      </c>
      <c r="I292" s="37" t="inlineStr">
        <is>
          <t>Vessbank</t>
        </is>
      </c>
      <c r="J292" s="37" t="inlineStr">
        <is>
          <t>vessel-fit</t>
        </is>
      </c>
      <c r="K292" s="38" t="n">
        <v>46201</v>
      </c>
      <c r="L292" s="37">
        <f>IF(COUNTIFS('Skip Docs'!$A$2:$A$7,F292,'Skip Docs'!$C$2:$C$7,E292)&gt;0,"YES","NO")</f>
        <v/>
      </c>
      <c r="M292" s="37">
        <f>IF(L292="NO","NO",INDEX('Skip Docs'!$G$2:$G$7,MATCH(1,INDEX(('Skip Docs'!$A$2:$A$7=F292)*('Skip Docs'!$C$2:$C$7=E292),0),0)))</f>
        <v/>
      </c>
      <c r="N292" s="37">
        <f>IF(K292&lt;=E292,"ON/BEFORE","LATE")</f>
        <v/>
      </c>
      <c r="O292" s="37">
        <f>IF(COUNTIFS(Offers!$A$2:$A$1487,D292,Offers!$C$2:$C$1487,F292,Offers!$B$2:$B$1487,E292,Offers!$E$2:$E$1487,H292,Offers!$I$2:$I$1487,"SKIPPED")=1,"YES","NO")</f>
        <v/>
      </c>
      <c r="P292" s="37">
        <f>IF(L292="NO","N/A",IF(COUNTIFS('Skip Docs'!$A$2:$A$7,F292,'Skip Docs'!$C$2:$C$7,E292,'Skip Docs'!$D$2:$D$7,H292,'Skip Docs'!$E$2:$E$7,J292)=1,"YES","NO"))</f>
        <v/>
      </c>
      <c r="Q292" s="37" t="inlineStr">
        <is>
          <t>Y</t>
        </is>
      </c>
      <c r="R292" s="37" t="inlineStr">
        <is>
          <t>SUSTAINED</t>
        </is>
      </c>
      <c r="S292" s="37">
        <f>IF(B292="YES","Verified contemporaneous proof",IF(L292="NO","No justification PDF supplied",IF(M292="NO","PDF is cover-only",IF(P292="NO","PDF content does not match logged slip/reason",IF(O292="NO","Offer event does not reconcile","Assembled after skip date")))))</f>
        <v/>
      </c>
    </row>
    <row r="293">
      <c r="A293" s="37">
        <f>IF(M293="NO","Priority 1",IF(N293="LATE","Priority 2",IF(B293="YES","OK","Priority 1")))</f>
        <v/>
      </c>
      <c r="B293" s="37">
        <f>IF(AND(L293="YES",M293="YES",N293="ON/BEFORE",O293="YES",P293="YES"),"YES","NO")</f>
        <v/>
      </c>
      <c r="C293" s="37" t="inlineStr">
        <is>
          <t>SKP-2026-0383</t>
        </is>
      </c>
      <c r="D293" s="37" t="inlineStr">
        <is>
          <t>OFR-2026-1400</t>
        </is>
      </c>
      <c r="E293" s="38" t="n">
        <v>46193</v>
      </c>
      <c r="F293" s="37" t="inlineStr">
        <is>
          <t>WL-01256</t>
        </is>
      </c>
      <c r="G293" s="37">
        <f>IFERROR(INDEX(Applicants!$C$2:$C$2911,MATCH(F293,Applicants!$A$2:$A$2911,0))&amp;" "&amp;INDEX(Applicants!$B$2:$B$2911,MATCH(F293,Applicants!$A$2:$A$2911,0)),"")</f>
        <v/>
      </c>
      <c r="H293" s="37" t="inlineStr">
        <is>
          <t>LP-1103</t>
        </is>
      </c>
      <c r="I293" s="37" t="inlineStr">
        <is>
          <t>Ledgport</t>
        </is>
      </c>
      <c r="J293" s="37" t="inlineStr">
        <is>
          <t>not-current</t>
        </is>
      </c>
      <c r="K293" s="38" t="n">
        <v>46197</v>
      </c>
      <c r="L293" s="37">
        <f>IF(COUNTIFS('Skip Docs'!$A$2:$A$7,F293,'Skip Docs'!$C$2:$C$7,E293)&gt;0,"YES","NO")</f>
        <v/>
      </c>
      <c r="M293" s="37">
        <f>IF(L293="NO","NO",INDEX('Skip Docs'!$G$2:$G$7,MATCH(1,INDEX(('Skip Docs'!$A$2:$A$7=F293)*('Skip Docs'!$C$2:$C$7=E293),0),0)))</f>
        <v/>
      </c>
      <c r="N293" s="37">
        <f>IF(K293&lt;=E293,"ON/BEFORE","LATE")</f>
        <v/>
      </c>
      <c r="O293" s="37">
        <f>IF(COUNTIFS(Offers!$A$2:$A$1487,D293,Offers!$C$2:$C$1487,F293,Offers!$B$2:$B$1487,E293,Offers!$E$2:$E$1487,H293,Offers!$I$2:$I$1487,"SKIPPED")=1,"YES","NO")</f>
        <v/>
      </c>
      <c r="P293" s="37">
        <f>IF(L293="NO","N/A",IF(COUNTIFS('Skip Docs'!$A$2:$A$7,F293,'Skip Docs'!$C$2:$C$7,E293,'Skip Docs'!$D$2:$D$7,H293,'Skip Docs'!$E$2:$E$7,J293)=1,"YES","NO"))</f>
        <v/>
      </c>
      <c r="Q293" s="37" t="inlineStr">
        <is>
          <t>Y</t>
        </is>
      </c>
      <c r="R293" s="37" t="inlineStr">
        <is>
          <t>SUSTAINED</t>
        </is>
      </c>
      <c r="S293" s="37">
        <f>IF(B293="YES","Verified contemporaneous proof",IF(L293="NO","No justification PDF supplied",IF(M293="NO","PDF is cover-only",IF(P293="NO","PDF content does not match logged slip/reason",IF(O293="NO","Offer event does not reconcile","Assembled after skip date")))))</f>
        <v/>
      </c>
    </row>
    <row r="294">
      <c r="A294" s="37">
        <f>IF(M294="NO","Priority 1",IF(N294="LATE","Priority 2",IF(B294="YES","OK","Priority 1")))</f>
        <v/>
      </c>
      <c r="B294" s="37">
        <f>IF(AND(L294="YES",M294="YES",N294="ON/BEFORE",O294="YES",P294="YES"),"YES","NO")</f>
        <v/>
      </c>
      <c r="C294" s="37" t="inlineStr">
        <is>
          <t>SKP-2026-0384</t>
        </is>
      </c>
      <c r="D294" s="37" t="inlineStr">
        <is>
          <t>OFR-2026-1402</t>
        </is>
      </c>
      <c r="E294" s="38" t="n">
        <v>46195</v>
      </c>
      <c r="F294" s="37" t="inlineStr">
        <is>
          <t>WL-01936</t>
        </is>
      </c>
      <c r="G294" s="37">
        <f>IFERROR(INDEX(Applicants!$C$2:$C$2911,MATCH(F294,Applicants!$A$2:$A$2911,0))&amp;" "&amp;INDEX(Applicants!$B$2:$B$2911,MATCH(F294,Applicants!$A$2:$A$2911,0)),"")</f>
        <v/>
      </c>
      <c r="H294" s="37" t="inlineStr">
        <is>
          <t>VB-0507</t>
        </is>
      </c>
      <c r="I294" s="37" t="inlineStr">
        <is>
          <t>Vessbank</t>
        </is>
      </c>
      <c r="J294" s="37" t="inlineStr">
        <is>
          <t>not-current</t>
        </is>
      </c>
      <c r="K294" s="38" t="n">
        <v>46200</v>
      </c>
      <c r="L294" s="37">
        <f>IF(COUNTIFS('Skip Docs'!$A$2:$A$7,F294,'Skip Docs'!$C$2:$C$7,E294)&gt;0,"YES","NO")</f>
        <v/>
      </c>
      <c r="M294" s="37">
        <f>IF(L294="NO","NO",INDEX('Skip Docs'!$G$2:$G$7,MATCH(1,INDEX(('Skip Docs'!$A$2:$A$7=F294)*('Skip Docs'!$C$2:$C$7=E294),0),0)))</f>
        <v/>
      </c>
      <c r="N294" s="37">
        <f>IF(K294&lt;=E294,"ON/BEFORE","LATE")</f>
        <v/>
      </c>
      <c r="O294" s="37">
        <f>IF(COUNTIFS(Offers!$A$2:$A$1487,D294,Offers!$C$2:$C$1487,F294,Offers!$B$2:$B$1487,E294,Offers!$E$2:$E$1487,H294,Offers!$I$2:$I$1487,"SKIPPED")=1,"YES","NO")</f>
        <v/>
      </c>
      <c r="P294" s="37">
        <f>IF(L294="NO","N/A",IF(COUNTIFS('Skip Docs'!$A$2:$A$7,F294,'Skip Docs'!$C$2:$C$7,E294,'Skip Docs'!$D$2:$D$7,H294,'Skip Docs'!$E$2:$E$7,J294)=1,"YES","NO"))</f>
        <v/>
      </c>
      <c r="Q294" s="37" t="inlineStr">
        <is>
          <t>N</t>
        </is>
      </c>
      <c r="R294" s="37" t="inlineStr">
        <is>
          <t>SUSTAINED</t>
        </is>
      </c>
      <c r="S294" s="37">
        <f>IF(B294="YES","Verified contemporaneous proof",IF(L294="NO","No justification PDF supplied",IF(M294="NO","PDF is cover-only",IF(P294="NO","PDF content does not match logged slip/reason",IF(O294="NO","Offer event does not reconcile","Assembled after skip date")))))</f>
        <v/>
      </c>
    </row>
    <row r="295">
      <c r="A295" s="37">
        <f>IF(M295="NO","Priority 1",IF(N295="LATE","Priority 2",IF(B295="YES","OK","Priority 1")))</f>
        <v/>
      </c>
      <c r="B295" s="37">
        <f>IF(AND(L295="YES",M295="YES",N295="ON/BEFORE",O295="YES",P295="YES"),"YES","NO")</f>
        <v/>
      </c>
      <c r="C295" s="37" t="inlineStr">
        <is>
          <t>SKP-2026-0385</t>
        </is>
      </c>
      <c r="D295" s="37" t="inlineStr">
        <is>
          <t>OFR-2026-1403</t>
        </is>
      </c>
      <c r="E295" s="38" t="n">
        <v>46198</v>
      </c>
      <c r="F295" s="37" t="inlineStr">
        <is>
          <t>WL-03690</t>
        </is>
      </c>
      <c r="G295" s="37">
        <f>IFERROR(INDEX(Applicants!$C$2:$C$2911,MATCH(F295,Applicants!$A$2:$A$2911,0))&amp;" "&amp;INDEX(Applicants!$B$2:$B$2911,MATCH(F295,Applicants!$A$2:$A$2911,0)),"")</f>
        <v/>
      </c>
      <c r="H295" s="37" t="inlineStr">
        <is>
          <t>VB-0312</t>
        </is>
      </c>
      <c r="I295" s="37" t="inlineStr">
        <is>
          <t>Vessbank</t>
        </is>
      </c>
      <c r="J295" s="37" t="inlineStr">
        <is>
          <t>vessel-fit</t>
        </is>
      </c>
      <c r="K295" s="38" t="n">
        <v>46200</v>
      </c>
      <c r="L295" s="37">
        <f>IF(COUNTIFS('Skip Docs'!$A$2:$A$7,F295,'Skip Docs'!$C$2:$C$7,E295)&gt;0,"YES","NO")</f>
        <v/>
      </c>
      <c r="M295" s="37">
        <f>IF(L295="NO","NO",INDEX('Skip Docs'!$G$2:$G$7,MATCH(1,INDEX(('Skip Docs'!$A$2:$A$7=F295)*('Skip Docs'!$C$2:$C$7=E295),0),0)))</f>
        <v/>
      </c>
      <c r="N295" s="37">
        <f>IF(K295&lt;=E295,"ON/BEFORE","LATE")</f>
        <v/>
      </c>
      <c r="O295" s="37">
        <f>IF(COUNTIFS(Offers!$A$2:$A$1487,D295,Offers!$C$2:$C$1487,F295,Offers!$B$2:$B$1487,E295,Offers!$E$2:$E$1487,H295,Offers!$I$2:$I$1487,"SKIPPED")=1,"YES","NO")</f>
        <v/>
      </c>
      <c r="P295" s="37">
        <f>IF(L295="NO","N/A",IF(COUNTIFS('Skip Docs'!$A$2:$A$7,F295,'Skip Docs'!$C$2:$C$7,E295,'Skip Docs'!$D$2:$D$7,H295,'Skip Docs'!$E$2:$E$7,J295)=1,"YES","NO"))</f>
        <v/>
      </c>
      <c r="Q295" s="37" t="inlineStr">
        <is>
          <t>Y</t>
        </is>
      </c>
      <c r="R295" s="37" t="inlineStr">
        <is>
          <t>SUSTAINED</t>
        </is>
      </c>
      <c r="S295" s="37">
        <f>IF(B295="YES","Verified contemporaneous proof",IF(L295="NO","No justification PDF supplied",IF(M295="NO","PDF is cover-only",IF(P295="NO","PDF content does not match logged slip/reason",IF(O295="NO","Offer event does not reconcile","Assembled after skip date")))))</f>
        <v/>
      </c>
    </row>
    <row r="296">
      <c r="A296" s="37">
        <f>IF(M296="NO","Priority 1",IF(N296="LATE","Priority 2",IF(B296="YES","OK","Priority 1")))</f>
        <v/>
      </c>
      <c r="B296" s="37">
        <f>IF(AND(L296="YES",M296="YES",N296="ON/BEFORE",O296="YES",P296="YES"),"YES","NO")</f>
        <v/>
      </c>
      <c r="C296" s="37" t="inlineStr">
        <is>
          <t>SKP-2026-0386</t>
        </is>
      </c>
      <c r="D296" s="37" t="inlineStr">
        <is>
          <t>OFR-2026-1410</t>
        </is>
      </c>
      <c r="E296" s="38" t="n">
        <v>46176</v>
      </c>
      <c r="F296" s="37" t="inlineStr">
        <is>
          <t>WL-03787</t>
        </is>
      </c>
      <c r="G296" s="37">
        <f>IFERROR(INDEX(Applicants!$C$2:$C$2911,MATCH(F296,Applicants!$A$2:$A$2911,0))&amp;" "&amp;INDEX(Applicants!$B$2:$B$2911,MATCH(F296,Applicants!$A$2:$A$2911,0)),"")</f>
        <v/>
      </c>
      <c r="H296" s="37" t="inlineStr">
        <is>
          <t>GW-0214</t>
        </is>
      </c>
      <c r="I296" s="37" t="inlineStr">
        <is>
          <t>Gullwing</t>
        </is>
      </c>
      <c r="J296" s="37" t="inlineStr">
        <is>
          <t>declined-prior-offer</t>
        </is>
      </c>
      <c r="K296" s="38" t="n">
        <v>46181</v>
      </c>
      <c r="L296" s="37">
        <f>IF(COUNTIFS('Skip Docs'!$A$2:$A$7,F296,'Skip Docs'!$C$2:$C$7,E296)&gt;0,"YES","NO")</f>
        <v/>
      </c>
      <c r="M296" s="37">
        <f>IF(L296="NO","NO",INDEX('Skip Docs'!$G$2:$G$7,MATCH(1,INDEX(('Skip Docs'!$A$2:$A$7=F296)*('Skip Docs'!$C$2:$C$7=E296),0),0)))</f>
        <v/>
      </c>
      <c r="N296" s="37">
        <f>IF(K296&lt;=E296,"ON/BEFORE","LATE")</f>
        <v/>
      </c>
      <c r="O296" s="37">
        <f>IF(COUNTIFS(Offers!$A$2:$A$1487,D296,Offers!$C$2:$C$1487,F296,Offers!$B$2:$B$1487,E296,Offers!$E$2:$E$1487,H296,Offers!$I$2:$I$1487,"SKIPPED")=1,"YES","NO")</f>
        <v/>
      </c>
      <c r="P296" s="37">
        <f>IF(L296="NO","N/A",IF(COUNTIFS('Skip Docs'!$A$2:$A$7,F296,'Skip Docs'!$C$2:$C$7,E296,'Skip Docs'!$D$2:$D$7,H296,'Skip Docs'!$E$2:$E$7,J296)=1,"YES","NO"))</f>
        <v/>
      </c>
      <c r="Q296" s="37" t="inlineStr">
        <is>
          <t>Y</t>
        </is>
      </c>
      <c r="R296" s="37" t="inlineStr">
        <is>
          <t>SUSTAINED</t>
        </is>
      </c>
      <c r="S296" s="37">
        <f>IF(B296="YES","Verified contemporaneous proof",IF(L296="NO","No justification PDF supplied",IF(M296="NO","PDF is cover-only",IF(P296="NO","PDF content does not match logged slip/reason",IF(O296="NO","Offer event does not reconcile","Assembled after skip date")))))</f>
        <v/>
      </c>
    </row>
    <row r="297">
      <c r="A297" s="37">
        <f>IF(M297="NO","Priority 1",IF(N297="LATE","Priority 2",IF(B297="YES","OK","Priority 1")))</f>
        <v/>
      </c>
      <c r="B297" s="37">
        <f>IF(AND(L297="YES",M297="YES",N297="ON/BEFORE",O297="YES",P297="YES"),"YES","NO")</f>
        <v/>
      </c>
      <c r="C297" s="37" t="inlineStr">
        <is>
          <t>SKP-2026-0387</t>
        </is>
      </c>
      <c r="D297" s="37" t="inlineStr">
        <is>
          <t>OFR-2026-1411</t>
        </is>
      </c>
      <c r="E297" s="38" t="n">
        <v>46198</v>
      </c>
      <c r="F297" s="37" t="inlineStr">
        <is>
          <t>WL-01843</t>
        </is>
      </c>
      <c r="G297" s="37">
        <f>IFERROR(INDEX(Applicants!$C$2:$C$2911,MATCH(F297,Applicants!$A$2:$A$2911,0))&amp;" "&amp;INDEX(Applicants!$B$2:$B$2911,MATCH(F297,Applicants!$A$2:$A$2911,0)),"")</f>
        <v/>
      </c>
      <c r="H297" s="37" t="inlineStr">
        <is>
          <t>VB-0402</t>
        </is>
      </c>
      <c r="I297" s="37" t="inlineStr">
        <is>
          <t>Vessbank</t>
        </is>
      </c>
      <c r="J297" s="37" t="inlineStr">
        <is>
          <t>not-current</t>
        </is>
      </c>
      <c r="K297" s="38" t="n">
        <v>46199</v>
      </c>
      <c r="L297" s="37">
        <f>IF(COUNTIFS('Skip Docs'!$A$2:$A$7,F297,'Skip Docs'!$C$2:$C$7,E297)&gt;0,"YES","NO")</f>
        <v/>
      </c>
      <c r="M297" s="37">
        <f>IF(L297="NO","NO",INDEX('Skip Docs'!$G$2:$G$7,MATCH(1,INDEX(('Skip Docs'!$A$2:$A$7=F297)*('Skip Docs'!$C$2:$C$7=E297),0),0)))</f>
        <v/>
      </c>
      <c r="N297" s="37">
        <f>IF(K297&lt;=E297,"ON/BEFORE","LATE")</f>
        <v/>
      </c>
      <c r="O297" s="37">
        <f>IF(COUNTIFS(Offers!$A$2:$A$1487,D297,Offers!$C$2:$C$1487,F297,Offers!$B$2:$B$1487,E297,Offers!$E$2:$E$1487,H297,Offers!$I$2:$I$1487,"SKIPPED")=1,"YES","NO")</f>
        <v/>
      </c>
      <c r="P297" s="37">
        <f>IF(L297="NO","N/A",IF(COUNTIFS('Skip Docs'!$A$2:$A$7,F297,'Skip Docs'!$C$2:$C$7,E297,'Skip Docs'!$D$2:$D$7,H297,'Skip Docs'!$E$2:$E$7,J297)=1,"YES","NO"))</f>
        <v/>
      </c>
      <c r="Q297" s="37" t="inlineStr">
        <is>
          <t>Y</t>
        </is>
      </c>
      <c r="R297" s="37" t="inlineStr">
        <is>
          <t>SUSTAINED</t>
        </is>
      </c>
      <c r="S297" s="37">
        <f>IF(B297="YES","Verified contemporaneous proof",IF(L297="NO","No justification PDF supplied",IF(M297="NO","PDF is cover-only",IF(P297="NO","PDF content does not match logged slip/reason",IF(O297="NO","Offer event does not reconcile","Assembled after skip date")))))</f>
        <v/>
      </c>
    </row>
    <row r="298">
      <c r="A298" s="37">
        <f>IF(M298="NO","Priority 1",IF(N298="LATE","Priority 2",IF(B298="YES","OK","Priority 1")))</f>
        <v/>
      </c>
      <c r="B298" s="37">
        <f>IF(AND(L298="YES",M298="YES",N298="ON/BEFORE",O298="YES",P298="YES"),"YES","NO")</f>
        <v/>
      </c>
      <c r="C298" s="37" t="inlineStr">
        <is>
          <t>SKP-2026-0388</t>
        </is>
      </c>
      <c r="D298" s="37" t="inlineStr">
        <is>
          <t>OFR-2026-1412</t>
        </is>
      </c>
      <c r="E298" s="38" t="n">
        <v>46177</v>
      </c>
      <c r="F298" s="37" t="inlineStr">
        <is>
          <t>WL-01982</t>
        </is>
      </c>
      <c r="G298" s="37">
        <f>IFERROR(INDEX(Applicants!$C$2:$C$2911,MATCH(F298,Applicants!$A$2:$A$2911,0))&amp;" "&amp;INDEX(Applicants!$B$2:$B$2911,MATCH(F298,Applicants!$A$2:$A$2911,0)),"")</f>
        <v/>
      </c>
      <c r="H298" s="37" t="inlineStr">
        <is>
          <t>GW-0305</t>
        </is>
      </c>
      <c r="I298" s="37" t="inlineStr">
        <is>
          <t>Gullwing</t>
        </is>
      </c>
      <c r="J298" s="37" t="inlineStr">
        <is>
          <t>vessel-fit</t>
        </is>
      </c>
      <c r="K298" s="38" t="n">
        <v>46181</v>
      </c>
      <c r="L298" s="37">
        <f>IF(COUNTIFS('Skip Docs'!$A$2:$A$7,F298,'Skip Docs'!$C$2:$C$7,E298)&gt;0,"YES","NO")</f>
        <v/>
      </c>
      <c r="M298" s="37">
        <f>IF(L298="NO","NO",INDEX('Skip Docs'!$G$2:$G$7,MATCH(1,INDEX(('Skip Docs'!$A$2:$A$7=F298)*('Skip Docs'!$C$2:$C$7=E298),0),0)))</f>
        <v/>
      </c>
      <c r="N298" s="37">
        <f>IF(K298&lt;=E298,"ON/BEFORE","LATE")</f>
        <v/>
      </c>
      <c r="O298" s="37">
        <f>IF(COUNTIFS(Offers!$A$2:$A$1487,D298,Offers!$C$2:$C$1487,F298,Offers!$B$2:$B$1487,E298,Offers!$E$2:$E$1487,H298,Offers!$I$2:$I$1487,"SKIPPED")=1,"YES","NO")</f>
        <v/>
      </c>
      <c r="P298" s="37">
        <f>IF(L298="NO","N/A",IF(COUNTIFS('Skip Docs'!$A$2:$A$7,F298,'Skip Docs'!$C$2:$C$7,E298,'Skip Docs'!$D$2:$D$7,H298,'Skip Docs'!$E$2:$E$7,J298)=1,"YES","NO"))</f>
        <v/>
      </c>
      <c r="Q298" s="37" t="inlineStr">
        <is>
          <t>Y</t>
        </is>
      </c>
      <c r="R298" s="37" t="inlineStr">
        <is>
          <t>SUSTAINED</t>
        </is>
      </c>
      <c r="S298" s="37">
        <f>IF(B298="YES","Verified contemporaneous proof",IF(L298="NO","No justification PDF supplied",IF(M298="NO","PDF is cover-only",IF(P298="NO","PDF content does not match logged slip/reason",IF(O298="NO","Offer event does not reconcile","Assembled after skip date")))))</f>
        <v/>
      </c>
    </row>
    <row r="299">
      <c r="A299" s="37">
        <f>IF(M299="NO","Priority 1",IF(N299="LATE","Priority 2",IF(B299="YES","OK","Priority 1")))</f>
        <v/>
      </c>
      <c r="B299" s="37">
        <f>IF(AND(L299="YES",M299="YES",N299="ON/BEFORE",O299="YES",P299="YES"),"YES","NO")</f>
        <v/>
      </c>
      <c r="C299" s="37" t="inlineStr">
        <is>
          <t>SKP-2026-0389</t>
        </is>
      </c>
      <c r="D299" s="37" t="inlineStr">
        <is>
          <t>OFR-2026-1419</t>
        </is>
      </c>
      <c r="E299" s="38" t="n">
        <v>46220</v>
      </c>
      <c r="F299" s="37" t="inlineStr">
        <is>
          <t>WL-02013</t>
        </is>
      </c>
      <c r="G299" s="37">
        <f>IFERROR(INDEX(Applicants!$C$2:$C$2911,MATCH(F299,Applicants!$A$2:$A$2911,0))&amp;" "&amp;INDEX(Applicants!$B$2:$B$2911,MATCH(F299,Applicants!$A$2:$A$2911,0)),"")</f>
        <v/>
      </c>
      <c r="H299" s="37" t="inlineStr">
        <is>
          <t>SB-0902</t>
        </is>
      </c>
      <c r="I299" s="37" t="inlineStr">
        <is>
          <t>Salmonberry</t>
        </is>
      </c>
      <c r="J299" s="37" t="inlineStr">
        <is>
          <t>not-current</t>
        </is>
      </c>
      <c r="K299" s="38" t="n">
        <v>46220</v>
      </c>
      <c r="L299" s="37">
        <f>IF(COUNTIFS('Skip Docs'!$A$2:$A$7,F299,'Skip Docs'!$C$2:$C$7,E299)&gt;0,"YES","NO")</f>
        <v/>
      </c>
      <c r="M299" s="37">
        <f>IF(L299="NO","NO",INDEX('Skip Docs'!$G$2:$G$7,MATCH(1,INDEX(('Skip Docs'!$A$2:$A$7=F299)*('Skip Docs'!$C$2:$C$7=E299),0),0)))</f>
        <v/>
      </c>
      <c r="N299" s="37">
        <f>IF(K299&lt;=E299,"ON/BEFORE","LATE")</f>
        <v/>
      </c>
      <c r="O299" s="37">
        <f>IF(COUNTIFS(Offers!$A$2:$A$1487,D299,Offers!$C$2:$C$1487,F299,Offers!$B$2:$B$1487,E299,Offers!$E$2:$E$1487,H299,Offers!$I$2:$I$1487,"SKIPPED")=1,"YES","NO")</f>
        <v/>
      </c>
      <c r="P299" s="37">
        <f>IF(L299="NO","N/A",IF(COUNTIFS('Skip Docs'!$A$2:$A$7,F299,'Skip Docs'!$C$2:$C$7,E299,'Skip Docs'!$D$2:$D$7,H299,'Skip Docs'!$E$2:$E$7,J299)=1,"YES","NO"))</f>
        <v/>
      </c>
      <c r="Q299" s="37" t="inlineStr">
        <is>
          <t>Y</t>
        </is>
      </c>
      <c r="R299" s="37" t="inlineStr">
        <is>
          <t>SUSTAINED</t>
        </is>
      </c>
      <c r="S299" s="37">
        <f>IF(B299="YES","Verified contemporaneous proof",IF(L299="NO","No justification PDF supplied",IF(M299="NO","PDF is cover-only",IF(P299="NO","PDF content does not match logged slip/reason",IF(O299="NO","Offer event does not reconcile","Assembled after skip date")))))</f>
        <v/>
      </c>
    </row>
    <row r="300">
      <c r="A300" s="37">
        <f>IF(M300="NO","Priority 1",IF(N300="LATE","Priority 2",IF(B300="YES","OK","Priority 1")))</f>
        <v/>
      </c>
      <c r="B300" s="37">
        <f>IF(AND(L300="YES",M300="YES",N300="ON/BEFORE",O300="YES",P300="YES"),"YES","NO")</f>
        <v/>
      </c>
      <c r="C300" s="37" t="inlineStr">
        <is>
          <t>SKP-2026-0390</t>
        </is>
      </c>
      <c r="D300" s="37" t="inlineStr">
        <is>
          <t>OFR-2026-1422</t>
        </is>
      </c>
      <c r="E300" s="38" t="n">
        <v>46228</v>
      </c>
      <c r="F300" s="37" t="inlineStr">
        <is>
          <t>WL-03071</t>
        </is>
      </c>
      <c r="G300" s="37">
        <f>IFERROR(INDEX(Applicants!$C$2:$C$2911,MATCH(F300,Applicants!$A$2:$A$2911,0))&amp;" "&amp;INDEX(Applicants!$B$2:$B$2911,MATCH(F300,Applicants!$A$2:$A$2911,0)),"")</f>
        <v/>
      </c>
      <c r="H300" s="37" t="inlineStr">
        <is>
          <t>SB-0411</t>
        </is>
      </c>
      <c r="I300" s="37" t="inlineStr">
        <is>
          <t>Salmonberry</t>
        </is>
      </c>
      <c r="J300" s="37" t="inlineStr">
        <is>
          <t>vessel-fit</t>
        </is>
      </c>
      <c r="K300" s="38" t="n">
        <v>46229</v>
      </c>
      <c r="L300" s="37">
        <f>IF(COUNTIFS('Skip Docs'!$A$2:$A$7,F300,'Skip Docs'!$C$2:$C$7,E300)&gt;0,"YES","NO")</f>
        <v/>
      </c>
      <c r="M300" s="37">
        <f>IF(L300="NO","NO",INDEX('Skip Docs'!$G$2:$G$7,MATCH(1,INDEX(('Skip Docs'!$A$2:$A$7=F300)*('Skip Docs'!$C$2:$C$7=E300),0),0)))</f>
        <v/>
      </c>
      <c r="N300" s="37">
        <f>IF(K300&lt;=E300,"ON/BEFORE","LATE")</f>
        <v/>
      </c>
      <c r="O300" s="37">
        <f>IF(COUNTIFS(Offers!$A$2:$A$1487,D300,Offers!$C$2:$C$1487,F300,Offers!$B$2:$B$1487,E300,Offers!$E$2:$E$1487,H300,Offers!$I$2:$I$1487,"SKIPPED")=1,"YES","NO")</f>
        <v/>
      </c>
      <c r="P300" s="37">
        <f>IF(L300="NO","N/A",IF(COUNTIFS('Skip Docs'!$A$2:$A$7,F300,'Skip Docs'!$C$2:$C$7,E300,'Skip Docs'!$D$2:$D$7,H300,'Skip Docs'!$E$2:$E$7,J300)=1,"YES","NO"))</f>
        <v/>
      </c>
      <c r="Q300" s="37" t="inlineStr">
        <is>
          <t>Y</t>
        </is>
      </c>
      <c r="R300" s="37" t="inlineStr">
        <is>
          <t>SUSTAINED</t>
        </is>
      </c>
      <c r="S300" s="37">
        <f>IF(B300="YES","Verified contemporaneous proof",IF(L300="NO","No justification PDF supplied",IF(M300="NO","PDF is cover-only",IF(P300="NO","PDF content does not match logged slip/reason",IF(O300="NO","Offer event does not reconcile","Assembled after skip date")))))</f>
        <v/>
      </c>
    </row>
    <row r="301">
      <c r="A301" s="37">
        <f>IF(M301="NO","Priority 1",IF(N301="LATE","Priority 2",IF(B301="YES","OK","Priority 1")))</f>
        <v/>
      </c>
      <c r="B301" s="37">
        <f>IF(AND(L301="YES",M301="YES",N301="ON/BEFORE",O301="YES",P301="YES"),"YES","NO")</f>
        <v/>
      </c>
      <c r="C301" s="37" t="inlineStr">
        <is>
          <t>SKP-2026-0391</t>
        </is>
      </c>
      <c r="D301" s="37" t="inlineStr">
        <is>
          <t>OFR-2026-1429</t>
        </is>
      </c>
      <c r="E301" s="38" t="n">
        <v>46224</v>
      </c>
      <c r="F301" s="37" t="inlineStr">
        <is>
          <t>WL-03106</t>
        </is>
      </c>
      <c r="G301" s="37">
        <f>IFERROR(INDEX(Applicants!$C$2:$C$2911,MATCH(F301,Applicants!$A$2:$A$2911,0))&amp;" "&amp;INDEX(Applicants!$B$2:$B$2911,MATCH(F301,Applicants!$A$2:$A$2911,0)),"")</f>
        <v/>
      </c>
      <c r="H301" s="37" t="inlineStr">
        <is>
          <t>LP-0609</t>
        </is>
      </c>
      <c r="I301" s="37" t="inlineStr">
        <is>
          <t>Ledgport</t>
        </is>
      </c>
      <c r="J301" s="37" t="inlineStr">
        <is>
          <t>not-current</t>
        </is>
      </c>
      <c r="K301" s="38" t="n">
        <v>46227</v>
      </c>
      <c r="L301" s="37">
        <f>IF(COUNTIFS('Skip Docs'!$A$2:$A$7,F301,'Skip Docs'!$C$2:$C$7,E301)&gt;0,"YES","NO")</f>
        <v/>
      </c>
      <c r="M301" s="37">
        <f>IF(L301="NO","NO",INDEX('Skip Docs'!$G$2:$G$7,MATCH(1,INDEX(('Skip Docs'!$A$2:$A$7=F301)*('Skip Docs'!$C$2:$C$7=E301),0),0)))</f>
        <v/>
      </c>
      <c r="N301" s="37">
        <f>IF(K301&lt;=E301,"ON/BEFORE","LATE")</f>
        <v/>
      </c>
      <c r="O301" s="37">
        <f>IF(COUNTIFS(Offers!$A$2:$A$1487,D301,Offers!$C$2:$C$1487,F301,Offers!$B$2:$B$1487,E301,Offers!$E$2:$E$1487,H301,Offers!$I$2:$I$1487,"SKIPPED")=1,"YES","NO")</f>
        <v/>
      </c>
      <c r="P301" s="37">
        <f>IF(L301="NO","N/A",IF(COUNTIFS('Skip Docs'!$A$2:$A$7,F301,'Skip Docs'!$C$2:$C$7,E301,'Skip Docs'!$D$2:$D$7,H301,'Skip Docs'!$E$2:$E$7,J301)=1,"YES","NO"))</f>
        <v/>
      </c>
      <c r="Q301" s="37" t="inlineStr">
        <is>
          <t>Y</t>
        </is>
      </c>
      <c r="R301" s="37" t="inlineStr">
        <is>
          <t>SUSTAINED</t>
        </is>
      </c>
      <c r="S301" s="37">
        <f>IF(B301="YES","Verified contemporaneous proof",IF(L301="NO","No justification PDF supplied",IF(M301="NO","PDF is cover-only",IF(P301="NO","PDF content does not match logged slip/reason",IF(O301="NO","Offer event does not reconcile","Assembled after skip date")))))</f>
        <v/>
      </c>
    </row>
    <row r="302">
      <c r="A302" s="37">
        <f>IF(M302="NO","Priority 1",IF(N302="LATE","Priority 2",IF(B302="YES","OK","Priority 1")))</f>
        <v/>
      </c>
      <c r="B302" s="37">
        <f>IF(AND(L302="YES",M302="YES",N302="ON/BEFORE",O302="YES",P302="YES"),"YES","NO")</f>
        <v/>
      </c>
      <c r="C302" s="37" t="inlineStr">
        <is>
          <t>SKP-2026-0392</t>
        </is>
      </c>
      <c r="D302" s="37" t="inlineStr">
        <is>
          <t>OFR-2026-1432</t>
        </is>
      </c>
      <c r="E302" s="38" t="n">
        <v>46205</v>
      </c>
      <c r="F302" s="37" t="inlineStr">
        <is>
          <t>WL-03260</t>
        </is>
      </c>
      <c r="G302" s="37">
        <f>IFERROR(INDEX(Applicants!$C$2:$C$2911,MATCH(F302,Applicants!$A$2:$A$2911,0))&amp;" "&amp;INDEX(Applicants!$B$2:$B$2911,MATCH(F302,Applicants!$A$2:$A$2911,0)),"")</f>
        <v/>
      </c>
      <c r="H302" s="37" t="inlineStr">
        <is>
          <t>EW-0104</t>
        </is>
      </c>
      <c r="I302" s="37" t="inlineStr">
        <is>
          <t>Eastwey</t>
        </is>
      </c>
      <c r="J302" s="37" t="inlineStr">
        <is>
          <t>preference-mismatch</t>
        </is>
      </c>
      <c r="K302" s="38" t="n">
        <v>46206</v>
      </c>
      <c r="L302" s="37">
        <f>IF(COUNTIFS('Skip Docs'!$A$2:$A$7,F302,'Skip Docs'!$C$2:$C$7,E302)&gt;0,"YES","NO")</f>
        <v/>
      </c>
      <c r="M302" s="37">
        <f>IF(L302="NO","NO",INDEX('Skip Docs'!$G$2:$G$7,MATCH(1,INDEX(('Skip Docs'!$A$2:$A$7=F302)*('Skip Docs'!$C$2:$C$7=E302),0),0)))</f>
        <v/>
      </c>
      <c r="N302" s="37">
        <f>IF(K302&lt;=E302,"ON/BEFORE","LATE")</f>
        <v/>
      </c>
      <c r="O302" s="37">
        <f>IF(COUNTIFS(Offers!$A$2:$A$1487,D302,Offers!$C$2:$C$1487,F302,Offers!$B$2:$B$1487,E302,Offers!$E$2:$E$1487,H302,Offers!$I$2:$I$1487,"SKIPPED")=1,"YES","NO")</f>
        <v/>
      </c>
      <c r="P302" s="37">
        <f>IF(L302="NO","N/A",IF(COUNTIFS('Skip Docs'!$A$2:$A$7,F302,'Skip Docs'!$C$2:$C$7,E302,'Skip Docs'!$D$2:$D$7,H302,'Skip Docs'!$E$2:$E$7,J302)=1,"YES","NO"))</f>
        <v/>
      </c>
      <c r="Q302" s="37" t="inlineStr">
        <is>
          <t>Y</t>
        </is>
      </c>
      <c r="R302" s="37" t="inlineStr">
        <is>
          <t>SUSTAINED</t>
        </is>
      </c>
      <c r="S302" s="37">
        <f>IF(B302="YES","Verified contemporaneous proof",IF(L302="NO","No justification PDF supplied",IF(M302="NO","PDF is cover-only",IF(P302="NO","PDF content does not match logged slip/reason",IF(O302="NO","Offer event does not reconcile","Assembled after skip date")))))</f>
        <v/>
      </c>
    </row>
    <row r="303">
      <c r="A303" s="37">
        <f>IF(M303="NO","Priority 1",IF(N303="LATE","Priority 2",IF(B303="YES","OK","Priority 1")))</f>
        <v/>
      </c>
      <c r="B303" s="37">
        <f>IF(AND(L303="YES",M303="YES",N303="ON/BEFORE",O303="YES",P303="YES"),"YES","NO")</f>
        <v/>
      </c>
      <c r="C303" s="37" t="inlineStr">
        <is>
          <t>SKP-2026-0393</t>
        </is>
      </c>
      <c r="D303" s="37" t="inlineStr">
        <is>
          <t>OFR-2026-1436</t>
        </is>
      </c>
      <c r="E303" s="38" t="n">
        <v>46217</v>
      </c>
      <c r="F303" s="37" t="inlineStr">
        <is>
          <t>WL-02358</t>
        </is>
      </c>
      <c r="G303" s="37">
        <f>IFERROR(INDEX(Applicants!$C$2:$C$2911,MATCH(F303,Applicants!$A$2:$A$2911,0))&amp;" "&amp;INDEX(Applicants!$B$2:$B$2911,MATCH(F303,Applicants!$A$2:$A$2911,0)),"")</f>
        <v/>
      </c>
      <c r="H303" s="37" t="inlineStr">
        <is>
          <t>LP-1009</t>
        </is>
      </c>
      <c r="I303" s="37" t="inlineStr">
        <is>
          <t>Ledgport</t>
        </is>
      </c>
      <c r="J303" s="37" t="inlineStr">
        <is>
          <t>declined-prior-offer</t>
        </is>
      </c>
      <c r="K303" s="38" t="n">
        <v>46220</v>
      </c>
      <c r="L303" s="37">
        <f>IF(COUNTIFS('Skip Docs'!$A$2:$A$7,F303,'Skip Docs'!$C$2:$C$7,E303)&gt;0,"YES","NO")</f>
        <v/>
      </c>
      <c r="M303" s="37">
        <f>IF(L303="NO","NO",INDEX('Skip Docs'!$G$2:$G$7,MATCH(1,INDEX(('Skip Docs'!$A$2:$A$7=F303)*('Skip Docs'!$C$2:$C$7=E303),0),0)))</f>
        <v/>
      </c>
      <c r="N303" s="37">
        <f>IF(K303&lt;=E303,"ON/BEFORE","LATE")</f>
        <v/>
      </c>
      <c r="O303" s="37">
        <f>IF(COUNTIFS(Offers!$A$2:$A$1487,D303,Offers!$C$2:$C$1487,F303,Offers!$B$2:$B$1487,E303,Offers!$E$2:$E$1487,H303,Offers!$I$2:$I$1487,"SKIPPED")=1,"YES","NO")</f>
        <v/>
      </c>
      <c r="P303" s="37">
        <f>IF(L303="NO","N/A",IF(COUNTIFS('Skip Docs'!$A$2:$A$7,F303,'Skip Docs'!$C$2:$C$7,E303,'Skip Docs'!$D$2:$D$7,H303,'Skip Docs'!$E$2:$E$7,J303)=1,"YES","NO"))</f>
        <v/>
      </c>
      <c r="Q303" s="37" t="inlineStr">
        <is>
          <t>Y</t>
        </is>
      </c>
      <c r="R303" s="37" t="inlineStr">
        <is>
          <t>SUSTAINED</t>
        </is>
      </c>
      <c r="S303" s="37">
        <f>IF(B303="YES","Verified contemporaneous proof",IF(L303="NO","No justification PDF supplied",IF(M303="NO","PDF is cover-only",IF(P303="NO","PDF content does not match logged slip/reason",IF(O303="NO","Offer event does not reconcile","Assembled after skip date")))))</f>
        <v/>
      </c>
    </row>
    <row r="304">
      <c r="A304" s="37">
        <f>IF(M304="NO","Priority 1",IF(N304="LATE","Priority 2",IF(B304="YES","OK","Priority 1")))</f>
        <v/>
      </c>
      <c r="B304" s="37">
        <f>IF(AND(L304="YES",M304="YES",N304="ON/BEFORE",O304="YES",P304="YES"),"YES","NO")</f>
        <v/>
      </c>
      <c r="C304" s="37" t="inlineStr">
        <is>
          <t>SKP-2026-0394</t>
        </is>
      </c>
      <c r="D304" s="37" t="inlineStr">
        <is>
          <t>OFR-2026-1441</t>
        </is>
      </c>
      <c r="E304" s="38" t="n">
        <v>46206</v>
      </c>
      <c r="F304" s="37" t="inlineStr">
        <is>
          <t>WL-03397</t>
        </is>
      </c>
      <c r="G304" s="37">
        <f>IFERROR(INDEX(Applicants!$C$2:$C$2911,MATCH(F304,Applicants!$A$2:$A$2911,0))&amp;" "&amp;INDEX(Applicants!$B$2:$B$2911,MATCH(F304,Applicants!$A$2:$A$2911,0)),"")</f>
        <v/>
      </c>
      <c r="H304" s="37" t="inlineStr">
        <is>
          <t>LP-0104</t>
        </is>
      </c>
      <c r="I304" s="37" t="inlineStr">
        <is>
          <t>Ledgport</t>
        </is>
      </c>
      <c r="J304" s="37" t="inlineStr">
        <is>
          <t>declined-prior-offer</t>
        </is>
      </c>
      <c r="K304" s="38" t="n">
        <v>46210</v>
      </c>
      <c r="L304" s="37">
        <f>IF(COUNTIFS('Skip Docs'!$A$2:$A$7,F304,'Skip Docs'!$C$2:$C$7,E304)&gt;0,"YES","NO")</f>
        <v/>
      </c>
      <c r="M304" s="37">
        <f>IF(L304="NO","NO",INDEX('Skip Docs'!$G$2:$G$7,MATCH(1,INDEX(('Skip Docs'!$A$2:$A$7=F304)*('Skip Docs'!$C$2:$C$7=E304),0),0)))</f>
        <v/>
      </c>
      <c r="N304" s="37">
        <f>IF(K304&lt;=E304,"ON/BEFORE","LATE")</f>
        <v/>
      </c>
      <c r="O304" s="37">
        <f>IF(COUNTIFS(Offers!$A$2:$A$1487,D304,Offers!$C$2:$C$1487,F304,Offers!$B$2:$B$1487,E304,Offers!$E$2:$E$1487,H304,Offers!$I$2:$I$1487,"SKIPPED")=1,"YES","NO")</f>
        <v/>
      </c>
      <c r="P304" s="37">
        <f>IF(L304="NO","N/A",IF(COUNTIFS('Skip Docs'!$A$2:$A$7,F304,'Skip Docs'!$C$2:$C$7,E304,'Skip Docs'!$D$2:$D$7,H304,'Skip Docs'!$E$2:$E$7,J304)=1,"YES","NO"))</f>
        <v/>
      </c>
      <c r="Q304" s="37" t="inlineStr">
        <is>
          <t>Y</t>
        </is>
      </c>
      <c r="R304" s="37" t="inlineStr">
        <is>
          <t>SUSTAINED</t>
        </is>
      </c>
      <c r="S304" s="37">
        <f>IF(B304="YES","Verified contemporaneous proof",IF(L304="NO","No justification PDF supplied",IF(M304="NO","PDF is cover-only",IF(P304="NO","PDF content does not match logged slip/reason",IF(O304="NO","Offer event does not reconcile","Assembled after skip date")))))</f>
        <v/>
      </c>
    </row>
    <row r="305">
      <c r="A305" s="37">
        <f>IF(M305="NO","Priority 1",IF(N305="LATE","Priority 2",IF(B305="YES","OK","Priority 1")))</f>
        <v/>
      </c>
      <c r="B305" s="37">
        <f>IF(AND(L305="YES",M305="YES",N305="ON/BEFORE",O305="YES",P305="YES"),"YES","NO")</f>
        <v/>
      </c>
      <c r="C305" s="37" t="inlineStr">
        <is>
          <t>SKP-2026-0395</t>
        </is>
      </c>
      <c r="D305" s="37" t="inlineStr">
        <is>
          <t>OFR-2026-1442</t>
        </is>
      </c>
      <c r="E305" s="38" t="n">
        <v>46210</v>
      </c>
      <c r="F305" s="37" t="inlineStr">
        <is>
          <t>WL-02900</t>
        </is>
      </c>
      <c r="G305" s="37">
        <f>IFERROR(INDEX(Applicants!$C$2:$C$2911,MATCH(F305,Applicants!$A$2:$A$2911,0))&amp;" "&amp;INDEX(Applicants!$B$2:$B$2911,MATCH(F305,Applicants!$A$2:$A$2911,0)),"")</f>
        <v/>
      </c>
      <c r="H305" s="37" t="inlineStr">
        <is>
          <t>GW-0415</t>
        </is>
      </c>
      <c r="I305" s="37" t="inlineStr">
        <is>
          <t>Gullwing</t>
        </is>
      </c>
      <c r="J305" s="37" t="inlineStr">
        <is>
          <t>preference-mismatch</t>
        </is>
      </c>
      <c r="K305" s="38" t="n">
        <v>46214</v>
      </c>
      <c r="L305" s="37">
        <f>IF(COUNTIFS('Skip Docs'!$A$2:$A$7,F305,'Skip Docs'!$C$2:$C$7,E305)&gt;0,"YES","NO")</f>
        <v/>
      </c>
      <c r="M305" s="37">
        <f>IF(L305="NO","NO",INDEX('Skip Docs'!$G$2:$G$7,MATCH(1,INDEX(('Skip Docs'!$A$2:$A$7=F305)*('Skip Docs'!$C$2:$C$7=E305),0),0)))</f>
        <v/>
      </c>
      <c r="N305" s="37">
        <f>IF(K305&lt;=E305,"ON/BEFORE","LATE")</f>
        <v/>
      </c>
      <c r="O305" s="37">
        <f>IF(COUNTIFS(Offers!$A$2:$A$1487,D305,Offers!$C$2:$C$1487,F305,Offers!$B$2:$B$1487,E305,Offers!$E$2:$E$1487,H305,Offers!$I$2:$I$1487,"SKIPPED")=1,"YES","NO")</f>
        <v/>
      </c>
      <c r="P305" s="37">
        <f>IF(L305="NO","N/A",IF(COUNTIFS('Skip Docs'!$A$2:$A$7,F305,'Skip Docs'!$C$2:$C$7,E305,'Skip Docs'!$D$2:$D$7,H305,'Skip Docs'!$E$2:$E$7,J305)=1,"YES","NO"))</f>
        <v/>
      </c>
      <c r="Q305" s="37" t="inlineStr">
        <is>
          <t>Y</t>
        </is>
      </c>
      <c r="R305" s="37" t="inlineStr">
        <is>
          <t>SUSTAINED</t>
        </is>
      </c>
      <c r="S305" s="37">
        <f>IF(B305="YES","Verified contemporaneous proof",IF(L305="NO","No justification PDF supplied",IF(M305="NO","PDF is cover-only",IF(P305="NO","PDF content does not match logged slip/reason",IF(O305="NO","Offer event does not reconcile","Assembled after skip date")))))</f>
        <v/>
      </c>
    </row>
    <row r="306">
      <c r="A306" s="37">
        <f>IF(M306="NO","Priority 1",IF(N306="LATE","Priority 2",IF(B306="YES","OK","Priority 1")))</f>
        <v/>
      </c>
      <c r="B306" s="37">
        <f>IF(AND(L306="YES",M306="YES",N306="ON/BEFORE",O306="YES",P306="YES"),"YES","NO")</f>
        <v/>
      </c>
      <c r="C306" s="37" t="inlineStr">
        <is>
          <t>SKP-2026-0396</t>
        </is>
      </c>
      <c r="D306" s="37" t="inlineStr">
        <is>
          <t>OFR-2026-1443</t>
        </is>
      </c>
      <c r="E306" s="38" t="n">
        <v>46218</v>
      </c>
      <c r="F306" s="37" t="inlineStr">
        <is>
          <t>WL-02436</t>
        </is>
      </c>
      <c r="G306" s="37">
        <f>IFERROR(INDEX(Applicants!$C$2:$C$2911,MATCH(F306,Applicants!$A$2:$A$2911,0))&amp;" "&amp;INDEX(Applicants!$B$2:$B$2911,MATCH(F306,Applicants!$A$2:$A$2911,0)),"")</f>
        <v/>
      </c>
      <c r="H306" s="37" t="inlineStr">
        <is>
          <t>SB-0905</t>
        </is>
      </c>
      <c r="I306" s="37" t="inlineStr">
        <is>
          <t>Salmonberry</t>
        </is>
      </c>
      <c r="J306" s="37" t="inlineStr">
        <is>
          <t>preference-mismatch</t>
        </is>
      </c>
      <c r="K306" s="38" t="n">
        <v>46220</v>
      </c>
      <c r="L306" s="37">
        <f>IF(COUNTIFS('Skip Docs'!$A$2:$A$7,F306,'Skip Docs'!$C$2:$C$7,E306)&gt;0,"YES","NO")</f>
        <v/>
      </c>
      <c r="M306" s="37">
        <f>IF(L306="NO","NO",INDEX('Skip Docs'!$G$2:$G$7,MATCH(1,INDEX(('Skip Docs'!$A$2:$A$7=F306)*('Skip Docs'!$C$2:$C$7=E306),0),0)))</f>
        <v/>
      </c>
      <c r="N306" s="37">
        <f>IF(K306&lt;=E306,"ON/BEFORE","LATE")</f>
        <v/>
      </c>
      <c r="O306" s="37">
        <f>IF(COUNTIFS(Offers!$A$2:$A$1487,D306,Offers!$C$2:$C$1487,F306,Offers!$B$2:$B$1487,E306,Offers!$E$2:$E$1487,H306,Offers!$I$2:$I$1487,"SKIPPED")=1,"YES","NO")</f>
        <v/>
      </c>
      <c r="P306" s="37">
        <f>IF(L306="NO","N/A",IF(COUNTIFS('Skip Docs'!$A$2:$A$7,F306,'Skip Docs'!$C$2:$C$7,E306,'Skip Docs'!$D$2:$D$7,H306,'Skip Docs'!$E$2:$E$7,J306)=1,"YES","NO"))</f>
        <v/>
      </c>
      <c r="Q306" s="37" t="inlineStr">
        <is>
          <t>Y</t>
        </is>
      </c>
      <c r="R306" s="37" t="inlineStr">
        <is>
          <t>SUSTAINED</t>
        </is>
      </c>
      <c r="S306" s="37">
        <f>IF(B306="YES","Verified contemporaneous proof",IF(L306="NO","No justification PDF supplied",IF(M306="NO","PDF is cover-only",IF(P306="NO","PDF content does not match logged slip/reason",IF(O306="NO","Offer event does not reconcile","Assembled after skip date")))))</f>
        <v/>
      </c>
    </row>
    <row r="307">
      <c r="A307" s="37">
        <f>IF(M307="NO","Priority 1",IF(N307="LATE","Priority 2",IF(B307="YES","OK","Priority 1")))</f>
        <v/>
      </c>
      <c r="B307" s="37">
        <f>IF(AND(L307="YES",M307="YES",N307="ON/BEFORE",O307="YES",P307="YES"),"YES","NO")</f>
        <v/>
      </c>
      <c r="C307" s="37" t="inlineStr">
        <is>
          <t>SKP-2026-0397</t>
        </is>
      </c>
      <c r="D307" s="37" t="inlineStr">
        <is>
          <t>OFR-2026-1447</t>
        </is>
      </c>
      <c r="E307" s="38" t="n">
        <v>46224</v>
      </c>
      <c r="F307" s="37" t="inlineStr">
        <is>
          <t>WL-01722</t>
        </is>
      </c>
      <c r="G307" s="37">
        <f>IFERROR(INDEX(Applicants!$C$2:$C$2911,MATCH(F307,Applicants!$A$2:$A$2911,0))&amp;" "&amp;INDEX(Applicants!$B$2:$B$2911,MATCH(F307,Applicants!$A$2:$A$2911,0)),"")</f>
        <v/>
      </c>
      <c r="H307" s="37" t="inlineStr">
        <is>
          <t>VB-0404</t>
        </is>
      </c>
      <c r="I307" s="37" t="inlineStr">
        <is>
          <t>Vessbank</t>
        </is>
      </c>
      <c r="J307" s="37" t="inlineStr">
        <is>
          <t>not-current</t>
        </is>
      </c>
      <c r="K307" s="38" t="n">
        <v>46227</v>
      </c>
      <c r="L307" s="37">
        <f>IF(COUNTIFS('Skip Docs'!$A$2:$A$7,F307,'Skip Docs'!$C$2:$C$7,E307)&gt;0,"YES","NO")</f>
        <v/>
      </c>
      <c r="M307" s="37">
        <f>IF(L307="NO","NO",INDEX('Skip Docs'!$G$2:$G$7,MATCH(1,INDEX(('Skip Docs'!$A$2:$A$7=F307)*('Skip Docs'!$C$2:$C$7=E307),0),0)))</f>
        <v/>
      </c>
      <c r="N307" s="37">
        <f>IF(K307&lt;=E307,"ON/BEFORE","LATE")</f>
        <v/>
      </c>
      <c r="O307" s="37">
        <f>IF(COUNTIFS(Offers!$A$2:$A$1487,D307,Offers!$C$2:$C$1487,F307,Offers!$B$2:$B$1487,E307,Offers!$E$2:$E$1487,H307,Offers!$I$2:$I$1487,"SKIPPED")=1,"YES","NO")</f>
        <v/>
      </c>
      <c r="P307" s="37">
        <f>IF(L307="NO","N/A",IF(COUNTIFS('Skip Docs'!$A$2:$A$7,F307,'Skip Docs'!$C$2:$C$7,E307,'Skip Docs'!$D$2:$D$7,H307,'Skip Docs'!$E$2:$E$7,J307)=1,"YES","NO"))</f>
        <v/>
      </c>
      <c r="Q307" s="37" t="inlineStr">
        <is>
          <t>Y</t>
        </is>
      </c>
      <c r="R307" s="37" t="inlineStr">
        <is>
          <t>SUSTAINED</t>
        </is>
      </c>
      <c r="S307" s="37">
        <f>IF(B307="YES","Verified contemporaneous proof",IF(L307="NO","No justification PDF supplied",IF(M307="NO","PDF is cover-only",IF(P307="NO","PDF content does not match logged slip/reason",IF(O307="NO","Offer event does not reconcile","Assembled after skip date")))))</f>
        <v/>
      </c>
    </row>
    <row r="308">
      <c r="A308" s="37">
        <f>IF(M308="NO","Priority 1",IF(N308="LATE","Priority 2",IF(B308="YES","OK","Priority 1")))</f>
        <v/>
      </c>
      <c r="B308" s="37">
        <f>IF(AND(L308="YES",M308="YES",N308="ON/BEFORE",O308="YES",P308="YES"),"YES","NO")</f>
        <v/>
      </c>
      <c r="C308" s="37" t="inlineStr">
        <is>
          <t>SKP-2026-0398</t>
        </is>
      </c>
      <c r="D308" s="37" t="inlineStr">
        <is>
          <t>OFR-2026-1452</t>
        </is>
      </c>
      <c r="E308" s="38" t="n">
        <v>46208</v>
      </c>
      <c r="F308" s="37" t="inlineStr">
        <is>
          <t>WL-03059</t>
        </is>
      </c>
      <c r="G308" s="37">
        <f>IFERROR(INDEX(Applicants!$C$2:$C$2911,MATCH(F308,Applicants!$A$2:$A$2911,0))&amp;" "&amp;INDEX(Applicants!$B$2:$B$2911,MATCH(F308,Applicants!$A$2:$A$2911,0)),"")</f>
        <v/>
      </c>
      <c r="H308" s="37" t="inlineStr">
        <is>
          <t>GW-0223</t>
        </is>
      </c>
      <c r="I308" s="37" t="inlineStr">
        <is>
          <t>Gullwing</t>
        </is>
      </c>
      <c r="J308" s="37" t="inlineStr">
        <is>
          <t>not-current</t>
        </is>
      </c>
      <c r="K308" s="38" t="n">
        <v>46210</v>
      </c>
      <c r="L308" s="37">
        <f>IF(COUNTIFS('Skip Docs'!$A$2:$A$7,F308,'Skip Docs'!$C$2:$C$7,E308)&gt;0,"YES","NO")</f>
        <v/>
      </c>
      <c r="M308" s="37">
        <f>IF(L308="NO","NO",INDEX('Skip Docs'!$G$2:$G$7,MATCH(1,INDEX(('Skip Docs'!$A$2:$A$7=F308)*('Skip Docs'!$C$2:$C$7=E308),0),0)))</f>
        <v/>
      </c>
      <c r="N308" s="37">
        <f>IF(K308&lt;=E308,"ON/BEFORE","LATE")</f>
        <v/>
      </c>
      <c r="O308" s="37">
        <f>IF(COUNTIFS(Offers!$A$2:$A$1487,D308,Offers!$C$2:$C$1487,F308,Offers!$B$2:$B$1487,E308,Offers!$E$2:$E$1487,H308,Offers!$I$2:$I$1487,"SKIPPED")=1,"YES","NO")</f>
        <v/>
      </c>
      <c r="P308" s="37">
        <f>IF(L308="NO","N/A",IF(COUNTIFS('Skip Docs'!$A$2:$A$7,F308,'Skip Docs'!$C$2:$C$7,E308,'Skip Docs'!$D$2:$D$7,H308,'Skip Docs'!$E$2:$E$7,J308)=1,"YES","NO"))</f>
        <v/>
      </c>
      <c r="Q308" s="37" t="inlineStr">
        <is>
          <t>Y</t>
        </is>
      </c>
      <c r="R308" s="37" t="inlineStr">
        <is>
          <t>SUSTAINED</t>
        </is>
      </c>
      <c r="S308" s="37">
        <f>IF(B308="YES","Verified contemporaneous proof",IF(L308="NO","No justification PDF supplied",IF(M308="NO","PDF is cover-only",IF(P308="NO","PDF content does not match logged slip/reason",IF(O308="NO","Offer event does not reconcile","Assembled after skip date")))))</f>
        <v/>
      </c>
    </row>
    <row r="309">
      <c r="A309" s="37">
        <f>IF(M309="NO","Priority 1",IF(N309="LATE","Priority 2",IF(B309="YES","OK","Priority 1")))</f>
        <v/>
      </c>
      <c r="B309" s="37">
        <f>IF(AND(L309="YES",M309="YES",N309="ON/BEFORE",O309="YES",P309="YES"),"YES","NO")</f>
        <v/>
      </c>
      <c r="C309" s="37" t="inlineStr">
        <is>
          <t>SKP-2023-0408</t>
        </is>
      </c>
      <c r="D309" s="37" t="inlineStr">
        <is>
          <t>OFR-2023-1487</t>
        </is>
      </c>
      <c r="E309" s="38" t="n">
        <v>45048</v>
      </c>
      <c r="F309" s="37" t="inlineStr">
        <is>
          <t>WL-02618</t>
        </is>
      </c>
      <c r="G309" s="37">
        <f>IFERROR(INDEX(Applicants!$C$2:$C$2911,MATCH(F309,Applicants!$A$2:$A$2911,0))&amp;" "&amp;INDEX(Applicants!$B$2:$B$2911,MATCH(F309,Applicants!$A$2:$A$2911,0)),"")</f>
        <v/>
      </c>
      <c r="H309" s="37" t="inlineStr">
        <is>
          <t>GW-0610</t>
        </is>
      </c>
      <c r="I309" s="37" t="inlineStr">
        <is>
          <t>Gullwing</t>
        </is>
      </c>
      <c r="J309" s="37" t="inlineStr">
        <is>
          <t>vessel-fit</t>
        </is>
      </c>
      <c r="K309" s="38" t="n">
        <v>45050</v>
      </c>
      <c r="L309" s="37">
        <f>IF(COUNTIFS('Skip Docs'!$A$2:$A$7,F309,'Skip Docs'!$C$2:$C$7,E309)&gt;0,"YES","NO")</f>
        <v/>
      </c>
      <c r="M309" s="37">
        <f>IF(L309="NO","NO",INDEX('Skip Docs'!$G$2:$G$7,MATCH(1,INDEX(('Skip Docs'!$A$2:$A$7=F309)*('Skip Docs'!$C$2:$C$7=E309),0),0)))</f>
        <v/>
      </c>
      <c r="N309" s="37">
        <f>IF(K309&lt;=E309,"ON/BEFORE","LATE")</f>
        <v/>
      </c>
      <c r="O309" s="37">
        <f>IF(COUNTIFS(Offers!$A$2:$A$1487,D309,Offers!$C$2:$C$1487,F309,Offers!$B$2:$B$1487,E309,Offers!$E$2:$E$1487,H309,Offers!$I$2:$I$1487,"SKIPPED")=1,"YES","NO")</f>
        <v/>
      </c>
      <c r="P309" s="37">
        <f>IF(L309="NO","N/A",IF(COUNTIFS('Skip Docs'!$A$2:$A$7,F309,'Skip Docs'!$C$2:$C$7,E309,'Skip Docs'!$D$2:$D$7,H309,'Skip Docs'!$E$2:$E$7,J309)=1,"YES","NO"))</f>
        <v/>
      </c>
      <c r="Q309" s="37" t="inlineStr">
        <is>
          <t>N</t>
        </is>
      </c>
      <c r="R309" s="37" t="inlineStr">
        <is>
          <t>SUSTAINED</t>
        </is>
      </c>
      <c r="S309" s="37">
        <f>IF(B309="YES","Verified contemporaneous proof",IF(L309="NO","No justification PDF supplied",IF(M309="NO","PDF is cover-only",IF(P309="NO","PDF content does not match logged slip/reason",IF(O309="NO","Offer event does not reconcile","Assembled after skip date")))))</f>
        <v/>
      </c>
    </row>
    <row r="310">
      <c r="A310" s="37">
        <f>IF(M310="NO","Priority 1",IF(N310="LATE","Priority 2",IF(B310="YES","OK","Priority 1")))</f>
        <v/>
      </c>
      <c r="B310" s="37">
        <f>IF(AND(L310="YES",M310="YES",N310="ON/BEFORE",O310="YES",P310="YES"),"YES","NO")</f>
        <v/>
      </c>
      <c r="C310" s="37" t="inlineStr">
        <is>
          <t>SKP-2024-0409</t>
        </is>
      </c>
      <c r="D310" s="37" t="inlineStr">
        <is>
          <t>OFR-2024-1487</t>
        </is>
      </c>
      <c r="E310" s="38" t="n">
        <v>45342</v>
      </c>
      <c r="F310" s="37" t="inlineStr">
        <is>
          <t>WL-03044</t>
        </is>
      </c>
      <c r="G310" s="37">
        <f>IFERROR(INDEX(Applicants!$C$2:$C$2911,MATCH(F310,Applicants!$A$2:$A$2911,0))&amp;" "&amp;INDEX(Applicants!$B$2:$B$2911,MATCH(F310,Applicants!$A$2:$A$2911,0)),"")</f>
        <v/>
      </c>
      <c r="H310" s="37" t="inlineStr">
        <is>
          <t>VB-0904</t>
        </is>
      </c>
      <c r="I310" s="37" t="inlineStr">
        <is>
          <t>Vessbank</t>
        </is>
      </c>
      <c r="J310" s="37" t="inlineStr">
        <is>
          <t>preference-mismatch</t>
        </is>
      </c>
      <c r="K310" s="38" t="n">
        <v>45344</v>
      </c>
      <c r="L310" s="37">
        <f>IF(COUNTIFS('Skip Docs'!$A$2:$A$7,F310,'Skip Docs'!$C$2:$C$7,E310)&gt;0,"YES","NO")</f>
        <v/>
      </c>
      <c r="M310" s="37">
        <f>IF(L310="NO","NO",INDEX('Skip Docs'!$G$2:$G$7,MATCH(1,INDEX(('Skip Docs'!$A$2:$A$7=F310)*('Skip Docs'!$C$2:$C$7=E310),0),0)))</f>
        <v/>
      </c>
      <c r="N310" s="37">
        <f>IF(K310&lt;=E310,"ON/BEFORE","LATE")</f>
        <v/>
      </c>
      <c r="O310" s="37">
        <f>IF(COUNTIFS(Offers!$A$2:$A$1487,D310,Offers!$C$2:$C$1487,F310,Offers!$B$2:$B$1487,E310,Offers!$E$2:$E$1487,H310,Offers!$I$2:$I$1487,"SKIPPED")=1,"YES","NO")</f>
        <v/>
      </c>
      <c r="P310" s="37">
        <f>IF(L310="NO","N/A",IF(COUNTIFS('Skip Docs'!$A$2:$A$7,F310,'Skip Docs'!$C$2:$C$7,E310,'Skip Docs'!$D$2:$D$7,H310,'Skip Docs'!$E$2:$E$7,J310)=1,"YES","NO"))</f>
        <v/>
      </c>
      <c r="Q310" s="37" t="inlineStr">
        <is>
          <t>N</t>
        </is>
      </c>
      <c r="R310" s="37" t="inlineStr">
        <is>
          <t>SUSTAINED</t>
        </is>
      </c>
      <c r="S310" s="37">
        <f>IF(B310="YES","Verified contemporaneous proof",IF(L310="NO","No justification PDF supplied",IF(M310="NO","PDF is cover-only",IF(P310="NO","PDF content does not match logged slip/reason",IF(O310="NO","Offer event does not reconcile","Assembled after skip date")))))</f>
        <v/>
      </c>
    </row>
    <row r="311">
      <c r="A311" s="37">
        <f>IF(M311="NO","Priority 1",IF(N311="LATE","Priority 2",IF(B311="YES","OK","Priority 1")))</f>
        <v/>
      </c>
      <c r="B311" s="37">
        <f>IF(AND(L311="YES",M311="YES",N311="ON/BEFORE",O311="YES",P311="YES"),"YES","NO")</f>
        <v/>
      </c>
      <c r="C311" s="37" t="inlineStr">
        <is>
          <t>SKP-2024-0410</t>
        </is>
      </c>
      <c r="D311" s="37" t="inlineStr">
        <is>
          <t>OFR-2024-1487</t>
        </is>
      </c>
      <c r="E311" s="38" t="n">
        <v>45601</v>
      </c>
      <c r="F311" s="37" t="inlineStr">
        <is>
          <t>WL-03390</t>
        </is>
      </c>
      <c r="G311" s="37">
        <f>IFERROR(INDEX(Applicants!$C$2:$C$2911,MATCH(F311,Applicants!$A$2:$A$2911,0))&amp;" "&amp;INDEX(Applicants!$B$2:$B$2911,MATCH(F311,Applicants!$A$2:$A$2911,0)),"")</f>
        <v/>
      </c>
      <c r="H311" s="37" t="inlineStr">
        <is>
          <t>SB-0120</t>
        </is>
      </c>
      <c r="I311" s="37" t="inlineStr">
        <is>
          <t>Salmonberry</t>
        </is>
      </c>
      <c r="J311" s="37" t="inlineStr">
        <is>
          <t>declined-prior-offer</t>
        </is>
      </c>
      <c r="K311" s="38" t="n">
        <v>45603</v>
      </c>
      <c r="L311" s="37">
        <f>IF(COUNTIFS('Skip Docs'!$A$2:$A$7,F311,'Skip Docs'!$C$2:$C$7,E311)&gt;0,"YES","NO")</f>
        <v/>
      </c>
      <c r="M311" s="37">
        <f>IF(L311="NO","NO",INDEX('Skip Docs'!$G$2:$G$7,MATCH(1,INDEX(('Skip Docs'!$A$2:$A$7=F311)*('Skip Docs'!$C$2:$C$7=E311),0),0)))</f>
        <v/>
      </c>
      <c r="N311" s="37">
        <f>IF(K311&lt;=E311,"ON/BEFORE","LATE")</f>
        <v/>
      </c>
      <c r="O311" s="37">
        <f>IF(COUNTIFS(Offers!$A$2:$A$1487,D311,Offers!$C$2:$C$1487,F311,Offers!$B$2:$B$1487,E311,Offers!$E$2:$E$1487,H311,Offers!$I$2:$I$1487,"SKIPPED")=1,"YES","NO")</f>
        <v/>
      </c>
      <c r="P311" s="37">
        <f>IF(L311="NO","N/A",IF(COUNTIFS('Skip Docs'!$A$2:$A$7,F311,'Skip Docs'!$C$2:$C$7,E311,'Skip Docs'!$D$2:$D$7,H311,'Skip Docs'!$E$2:$E$7,J311)=1,"YES","NO"))</f>
        <v/>
      </c>
      <c r="Q311" s="37" t="inlineStr">
        <is>
          <t>N</t>
        </is>
      </c>
      <c r="R311" s="37" t="inlineStr">
        <is>
          <t>SUSTAINED</t>
        </is>
      </c>
      <c r="S311" s="37">
        <f>IF(B311="YES","Verified contemporaneous proof",IF(L311="NO","No justification PDF supplied",IF(M311="NO","PDF is cover-only",IF(P311="NO","PDF content does not match logged slip/reason",IF(O311="NO","Offer event does not reconcile","Assembled after skip date")))))</f>
        <v/>
      </c>
    </row>
    <row r="312">
      <c r="A312" s="37">
        <f>IF(M312="NO","Priority 1",IF(N312="LATE","Priority 2",IF(B312="YES","OK","Priority 1")))</f>
        <v/>
      </c>
      <c r="B312" s="37">
        <f>IF(AND(L312="YES",M312="YES",N312="ON/BEFORE",O312="YES",P312="YES"),"YES","NO")</f>
        <v/>
      </c>
      <c r="C312" s="37" t="inlineStr">
        <is>
          <t>SKP-2024-0411</t>
        </is>
      </c>
      <c r="D312" s="37" t="inlineStr">
        <is>
          <t>OFR-2024-1487</t>
        </is>
      </c>
      <c r="E312" s="38" t="n">
        <v>45370</v>
      </c>
      <c r="F312" s="37" t="inlineStr">
        <is>
          <t>WL-02877</t>
        </is>
      </c>
      <c r="G312" s="37">
        <f>IFERROR(INDEX(Applicants!$C$2:$C$2911,MATCH(F312,Applicants!$A$2:$A$2911,0))&amp;" "&amp;INDEX(Applicants!$B$2:$B$2911,MATCH(F312,Applicants!$A$2:$A$2911,0)),"")</f>
        <v/>
      </c>
      <c r="H312" s="37" t="inlineStr">
        <is>
          <t>GW-1012</t>
        </is>
      </c>
      <c r="I312" s="37" t="inlineStr">
        <is>
          <t>Gullwing</t>
        </is>
      </c>
      <c r="J312" s="37" t="inlineStr">
        <is>
          <t>vessel-fit</t>
        </is>
      </c>
      <c r="K312" s="38" t="n">
        <v>45372</v>
      </c>
      <c r="L312" s="37">
        <f>IF(COUNTIFS('Skip Docs'!$A$2:$A$7,F312,'Skip Docs'!$C$2:$C$7,E312)&gt;0,"YES","NO")</f>
        <v/>
      </c>
      <c r="M312" s="37">
        <f>IF(L312="NO","NO",INDEX('Skip Docs'!$G$2:$G$7,MATCH(1,INDEX(('Skip Docs'!$A$2:$A$7=F312)*('Skip Docs'!$C$2:$C$7=E312),0),0)))</f>
        <v/>
      </c>
      <c r="N312" s="37">
        <f>IF(K312&lt;=E312,"ON/BEFORE","LATE")</f>
        <v/>
      </c>
      <c r="O312" s="37">
        <f>IF(COUNTIFS(Offers!$A$2:$A$1487,D312,Offers!$C$2:$C$1487,F312,Offers!$B$2:$B$1487,E312,Offers!$E$2:$E$1487,H312,Offers!$I$2:$I$1487,"SKIPPED")=1,"YES","NO")</f>
        <v/>
      </c>
      <c r="P312" s="37">
        <f>IF(L312="NO","N/A",IF(COUNTIFS('Skip Docs'!$A$2:$A$7,F312,'Skip Docs'!$C$2:$C$7,E312,'Skip Docs'!$D$2:$D$7,H312,'Skip Docs'!$E$2:$E$7,J312)=1,"YES","NO"))</f>
        <v/>
      </c>
      <c r="Q312" s="37" t="inlineStr">
        <is>
          <t>Y</t>
        </is>
      </c>
      <c r="R312" s="37" t="inlineStr">
        <is>
          <t>SUSTAINED</t>
        </is>
      </c>
      <c r="S312" s="37">
        <f>IF(B312="YES","Verified contemporaneous proof",IF(L312="NO","No justification PDF supplied",IF(M312="NO","PDF is cover-only",IF(P312="NO","PDF content does not match logged slip/reason",IF(O312="NO","Offer event does not reconcile","Assembled after skip date")))))</f>
        <v/>
      </c>
    </row>
    <row r="313">
      <c r="A313" s="37">
        <f>IF(M313="NO","Priority 1",IF(N313="LATE","Priority 2",IF(B313="YES","OK","Priority 1")))</f>
        <v/>
      </c>
      <c r="B313" s="37">
        <f>IF(AND(L313="YES",M313="YES",N313="ON/BEFORE",O313="YES",P313="YES"),"YES","NO")</f>
        <v/>
      </c>
      <c r="C313" s="37" t="inlineStr">
        <is>
          <t>SKP-2025-0412</t>
        </is>
      </c>
      <c r="D313" s="37" t="inlineStr">
        <is>
          <t>OFR-2025-1487</t>
        </is>
      </c>
      <c r="E313" s="38" t="n">
        <v>45909</v>
      </c>
      <c r="F313" s="37" t="inlineStr">
        <is>
          <t>WL-03102</t>
        </is>
      </c>
      <c r="G313" s="37">
        <f>IFERROR(INDEX(Applicants!$C$2:$C$2911,MATCH(F313,Applicants!$A$2:$A$2911,0))&amp;" "&amp;INDEX(Applicants!$B$2:$B$2911,MATCH(F313,Applicants!$A$2:$A$2911,0)),"")</f>
        <v/>
      </c>
      <c r="H313" s="37" t="inlineStr">
        <is>
          <t>LP-0806</t>
        </is>
      </c>
      <c r="I313" s="37" t="inlineStr">
        <is>
          <t>Ledgport</t>
        </is>
      </c>
      <c r="J313" s="37" t="inlineStr">
        <is>
          <t>preference-mismatch</t>
        </is>
      </c>
      <c r="K313" s="38" t="n">
        <v>45911</v>
      </c>
      <c r="L313" s="37">
        <f>IF(COUNTIFS('Skip Docs'!$A$2:$A$7,F313,'Skip Docs'!$C$2:$C$7,E313)&gt;0,"YES","NO")</f>
        <v/>
      </c>
      <c r="M313" s="37">
        <f>IF(L313="NO","NO",INDEX('Skip Docs'!$G$2:$G$7,MATCH(1,INDEX(('Skip Docs'!$A$2:$A$7=F313)*('Skip Docs'!$C$2:$C$7=E313),0),0)))</f>
        <v/>
      </c>
      <c r="N313" s="37">
        <f>IF(K313&lt;=E313,"ON/BEFORE","LATE")</f>
        <v/>
      </c>
      <c r="O313" s="37">
        <f>IF(COUNTIFS(Offers!$A$2:$A$1487,D313,Offers!$C$2:$C$1487,F313,Offers!$B$2:$B$1487,E313,Offers!$E$2:$E$1487,H313,Offers!$I$2:$I$1487,"SKIPPED")=1,"YES","NO")</f>
        <v/>
      </c>
      <c r="P313" s="37">
        <f>IF(L313="NO","N/A",IF(COUNTIFS('Skip Docs'!$A$2:$A$7,F313,'Skip Docs'!$C$2:$C$7,E313,'Skip Docs'!$D$2:$D$7,H313,'Skip Docs'!$E$2:$E$7,J313)=1,"YES","NO"))</f>
        <v/>
      </c>
      <c r="Q313" s="37" t="inlineStr">
        <is>
          <t>Y</t>
        </is>
      </c>
      <c r="R313" s="37" t="inlineStr">
        <is>
          <t>SUSTAINED</t>
        </is>
      </c>
      <c r="S313" s="37">
        <f>IF(B313="YES","Verified contemporaneous proof",IF(L313="NO","No justification PDF supplied",IF(M313="NO","PDF is cover-only",IF(P313="NO","PDF content does not match logged slip/reason",IF(O313="NO","Offer event does not reconcile","Assembled after skip date")))))</f>
        <v/>
      </c>
    </row>
  </sheetData>
  <autoFilter ref="A4:S313"/>
  <mergeCells count="2">
    <mergeCell ref="A1:S1"/>
    <mergeCell ref="A2:S2"/>
  </mergeCells>
  <conditionalFormatting sqref="A5:A313">
    <cfRule type="cellIs" priority="1" operator="equal" dxfId="0">
      <formula>"Priority 1"</formula>
    </cfRule>
    <cfRule type="cellIs" priority="2" operator="equal" dxfId="1">
      <formula>"Priority 2"</formula>
    </cfRule>
  </conditionalFormatting>
  <pageMargins left="0.25" right="0.25" top="0.35" bottom="0.4" header="0.5" footer="0.5"/>
  <pageSetup orientation="landscape" paperSize="5" fitToHeight="0" fitToWidth="1"/>
  <headerFooter>
    <oddHeader/>
    <oddFooter>&amp;CChaldale Harbor Moorage Audit | August 7, 2026&amp;RPage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3" customWidth="1" min="4" max="4"/>
    <col width="22" customWidth="1" min="5" max="5"/>
    <col width="10" customWidth="1" min="6" max="6"/>
    <col width="10" customWidth="1" min="7" max="7"/>
    <col width="38" customWidth="1" min="8" max="8"/>
    <col width="14" customWidth="1" min="9" max="9"/>
    <col width="14" customWidth="1" min="10" max="10"/>
    <col width="14" customWidth="1" min="11" max="11"/>
    <col width="18" customWidth="1" min="12" max="12"/>
    <col width="42" customWidth="1" min="13" max="13"/>
    <col width="20" customWidth="1" min="14" max="14"/>
    <col width="16" customWidth="1" min="15" max="15"/>
  </cols>
  <sheetData>
    <row r="1" ht="30" customHeight="1">
      <c r="A1" s="1" t="inlineStr">
        <is>
          <t>LOA Amendment Audit</t>
        </is>
      </c>
    </row>
    <row r="2" ht="28" customHeight="1">
      <c r="A2" s="2" t="inlineStr">
        <is>
          <t>Population: amendment_log_2022_2026.csv, LOA entries from 2022-08-01 through the audit date. Actual supplied files, not source_document labels, control support status.</t>
        </is>
      </c>
    </row>
    <row r="3"/>
    <row r="4" ht="30" customHeight="1">
      <c r="A4" s="36" t="inlineStr">
        <is>
          <t>Priority</t>
        </is>
      </c>
      <c r="B4" s="36" t="inlineStr">
        <is>
          <t>Amendment ID</t>
        </is>
      </c>
      <c r="C4" s="36" t="inlineStr">
        <is>
          <t>Amendment Date</t>
        </is>
      </c>
      <c r="D4" s="36" t="inlineStr">
        <is>
          <t>Applicant ID</t>
        </is>
      </c>
      <c r="E4" s="36" t="inlineStr">
        <is>
          <t>Applicant Name</t>
        </is>
      </c>
      <c r="F4" s="36" t="inlineStr">
        <is>
          <t>Old LOA</t>
        </is>
      </c>
      <c r="G4" s="36" t="inlineStr">
        <is>
          <t>New LOA</t>
        </is>
      </c>
      <c r="H4" s="36" t="inlineStr">
        <is>
          <t>Source Document Label</t>
        </is>
      </c>
      <c r="I4" s="36" t="inlineStr">
        <is>
          <t>Certificate PDF Present</t>
        </is>
      </c>
      <c r="J4" s="36" t="inlineStr">
        <is>
          <t>Valid Support Match</t>
        </is>
      </c>
      <c r="K4" s="36" t="inlineStr">
        <is>
          <t>Downstream Skip Count</t>
        </is>
      </c>
      <c r="L4" s="36" t="inlineStr">
        <is>
          <t>First Downstream Skip</t>
        </is>
      </c>
      <c r="M4" s="36" t="inlineStr">
        <is>
          <t>Finding</t>
        </is>
      </c>
      <c r="N4" s="36" t="inlineStr">
        <is>
          <t>Counter Log</t>
        </is>
      </c>
      <c r="O4" s="36" t="inlineStr">
        <is>
          <t>Workstation</t>
        </is>
      </c>
    </row>
    <row r="5">
      <c r="A5" s="37">
        <f>IF(J5="YES","OK",IF(K5&gt;0,"Priority 1","Priority 2"))</f>
        <v/>
      </c>
      <c r="B5" s="37" t="inlineStr">
        <is>
          <t>AMD-000285</t>
        </is>
      </c>
      <c r="C5" s="38" t="n">
        <v>44778</v>
      </c>
      <c r="D5" s="37" t="inlineStr">
        <is>
          <t>WL-02933</t>
        </is>
      </c>
      <c r="E5" s="37">
        <f>IFERROR(INDEX(Applicants!$C$2:$C$2911,MATCH(D5,Applicants!$A$2:$A$2911,0))&amp;" "&amp;INDEX(Applicants!$B$2:$B$2911,MATCH(D5,Applicants!$A$2:$A$2911,0)),"")</f>
        <v/>
      </c>
      <c r="F5" s="39" t="n">
        <v>44.5</v>
      </c>
      <c r="G5" s="39" t="n">
        <v>46.4</v>
      </c>
      <c r="H5" s="37" t="inlineStr">
        <is>
          <t>Foldview Marine Services haul-out sheet 2022-08-02</t>
        </is>
      </c>
      <c r="I5" s="37">
        <f>IF(COUNTIF('Cert Docs'!$A$2:$A$3,D5)&gt;0,"YES","NO")</f>
        <v/>
      </c>
      <c r="J5" s="37">
        <f>IF(COUNTIFS('Cert Docs'!$A$2:$A$3,D5,'Cert Docs'!$E$2:$E$3,G5,'Cert Docs'!$H$2:$H$3,"YES",'Cert Docs'!$D$2:$D$3,"&lt;="&amp;C5)&gt;0,"YES","NO")</f>
        <v/>
      </c>
      <c r="K5" s="37">
        <f>COUNTIFS('Skip Audit'!$F$5:$F$313,D5,'Skip Audit'!$E$5:$E$313,"&gt;="&amp;C5)</f>
        <v/>
      </c>
      <c r="M5" s="37">
        <f>IF(J5="YES","Substantiated by supplied signed certificate",IF(I5="YES","Supplied certificate does not match amendment date/value","No signed certificate or yard sheet supplied"))</f>
        <v/>
      </c>
      <c r="N5" s="37" t="inlineStr">
        <is>
          <t>day log 2022-08-05</t>
        </is>
      </c>
      <c r="O5" s="37" t="inlineStr">
        <is>
          <t>HB-COUNTER-2</t>
        </is>
      </c>
    </row>
    <row r="6">
      <c r="A6" s="37">
        <f>IF(J6="YES","OK",IF(K6&gt;0,"Priority 1","Priority 2"))</f>
        <v/>
      </c>
      <c r="B6" s="37" t="inlineStr">
        <is>
          <t>AMD-000287</t>
        </is>
      </c>
      <c r="C6" s="38" t="n">
        <v>44782</v>
      </c>
      <c r="D6" s="37" t="inlineStr">
        <is>
          <t>WL-01893</t>
        </is>
      </c>
      <c r="E6" s="37">
        <f>IFERROR(INDEX(Applicants!$C$2:$C$2911,MATCH(D6,Applicants!$A$2:$A$2911,0))&amp;" "&amp;INDEX(Applicants!$B$2:$B$2911,MATCH(D6,Applicants!$A$2:$A$2911,0)),"")</f>
        <v/>
      </c>
      <c r="F6" s="39" t="n">
        <v>26.4</v>
      </c>
      <c r="G6" s="39" t="n">
        <v>25.8</v>
      </c>
      <c r="H6" s="37" t="inlineStr">
        <is>
          <t>Foldview Marine Services haul-out sheet 2022-08-08</t>
        </is>
      </c>
      <c r="I6" s="37">
        <f>IF(COUNTIF('Cert Docs'!$A$2:$A$3,D6)&gt;0,"YES","NO")</f>
        <v/>
      </c>
      <c r="J6" s="37">
        <f>IF(COUNTIFS('Cert Docs'!$A$2:$A$3,D6,'Cert Docs'!$E$2:$E$3,G6,'Cert Docs'!$H$2:$H$3,"YES",'Cert Docs'!$D$2:$D$3,"&lt;="&amp;C6)&gt;0,"YES","NO")</f>
        <v/>
      </c>
      <c r="K6" s="37">
        <f>COUNTIFS('Skip Audit'!$F$5:$F$313,D6,'Skip Audit'!$E$5:$E$313,"&gt;="&amp;C6)</f>
        <v/>
      </c>
      <c r="M6" s="37">
        <f>IF(J6="YES","Substantiated by supplied signed certificate",IF(I6="YES","Supplied certificate does not match amendment date/value","No signed certificate or yard sheet supplied"))</f>
        <v/>
      </c>
      <c r="N6" s="37" t="inlineStr">
        <is>
          <t>day log 2022-08-09</t>
        </is>
      </c>
      <c r="O6" s="37" t="inlineStr">
        <is>
          <t>HB-COUNTER-2</t>
        </is>
      </c>
    </row>
    <row r="7">
      <c r="A7" s="37">
        <f>IF(J7="YES","OK",IF(K7&gt;0,"Priority 1","Priority 2"))</f>
        <v/>
      </c>
      <c r="B7" s="37" t="inlineStr">
        <is>
          <t>AMD-000288</t>
        </is>
      </c>
      <c r="C7" s="38" t="n">
        <v>44782</v>
      </c>
      <c r="D7" s="37" t="inlineStr">
        <is>
          <t>WL-03054</t>
        </is>
      </c>
      <c r="E7" s="37">
        <f>IFERROR(INDEX(Applicants!$C$2:$C$2911,MATCH(D7,Applicants!$A$2:$A$2911,0))&amp;" "&amp;INDEX(Applicants!$B$2:$B$2911,MATCH(D7,Applicants!$A$2:$A$2911,0)),"")</f>
        <v/>
      </c>
      <c r="F7" s="39" t="n">
        <v>46.9</v>
      </c>
      <c r="G7" s="39" t="n">
        <v>45.3</v>
      </c>
      <c r="H7" s="37" t="inlineStr">
        <is>
          <t>MC-2022-0411</t>
        </is>
      </c>
      <c r="I7" s="37">
        <f>IF(COUNTIF('Cert Docs'!$A$2:$A$3,D7)&gt;0,"YES","NO")</f>
        <v/>
      </c>
      <c r="J7" s="37">
        <f>IF(COUNTIFS('Cert Docs'!$A$2:$A$3,D7,'Cert Docs'!$E$2:$E$3,G7,'Cert Docs'!$H$2:$H$3,"YES",'Cert Docs'!$D$2:$D$3,"&lt;="&amp;C7)&gt;0,"YES","NO")</f>
        <v/>
      </c>
      <c r="K7" s="37">
        <f>COUNTIFS('Skip Audit'!$F$5:$F$313,D7,'Skip Audit'!$E$5:$E$313,"&gt;="&amp;C7)</f>
        <v/>
      </c>
      <c r="L7" s="37" t="inlineStr">
        <is>
          <t>SKP-2026-0343</t>
        </is>
      </c>
      <c r="M7" s="37">
        <f>IF(J7="YES","Substantiated by supplied signed certificate",IF(I7="YES","Supplied certificate does not match amendment date/value","No signed certificate or yard sheet supplied"))</f>
        <v/>
      </c>
      <c r="N7" s="37" t="inlineStr">
        <is>
          <t>day log 2022-08-09</t>
        </is>
      </c>
      <c r="O7" s="37" t="inlineStr">
        <is>
          <t>HB-COUNTER-2</t>
        </is>
      </c>
    </row>
    <row r="8">
      <c r="A8" s="37">
        <f>IF(J8="YES","OK",IF(K8&gt;0,"Priority 1","Priority 2"))</f>
        <v/>
      </c>
      <c r="B8" s="37" t="inlineStr">
        <is>
          <t>AMD-000289</t>
        </is>
      </c>
      <c r="C8" s="38" t="n">
        <v>44783</v>
      </c>
      <c r="D8" s="37" t="inlineStr">
        <is>
          <t>WL-03103</t>
        </is>
      </c>
      <c r="E8" s="37">
        <f>IFERROR(INDEX(Applicants!$C$2:$C$2911,MATCH(D8,Applicants!$A$2:$A$2911,0))&amp;" "&amp;INDEX(Applicants!$B$2:$B$2911,MATCH(D8,Applicants!$A$2:$A$2911,0)),"")</f>
        <v/>
      </c>
      <c r="F8" s="39" t="n">
        <v>51</v>
      </c>
      <c r="G8" s="39" t="n">
        <v>51.1</v>
      </c>
      <c r="H8" s="37" t="inlineStr">
        <is>
          <t>Foldview Marine Services haul-out sheet 2022-08-04</t>
        </is>
      </c>
      <c r="I8" s="37">
        <f>IF(COUNTIF('Cert Docs'!$A$2:$A$3,D8)&gt;0,"YES","NO")</f>
        <v/>
      </c>
      <c r="J8" s="37">
        <f>IF(COUNTIFS('Cert Docs'!$A$2:$A$3,D8,'Cert Docs'!$E$2:$E$3,G8,'Cert Docs'!$H$2:$H$3,"YES",'Cert Docs'!$D$2:$D$3,"&lt;="&amp;C8)&gt;0,"YES","NO")</f>
        <v/>
      </c>
      <c r="K8" s="37">
        <f>COUNTIFS('Skip Audit'!$F$5:$F$313,D8,'Skip Audit'!$E$5:$E$313,"&gt;="&amp;C8)</f>
        <v/>
      </c>
      <c r="M8" s="37">
        <f>IF(J8="YES","Substantiated by supplied signed certificate",IF(I8="YES","Supplied certificate does not match amendment date/value","No signed certificate or yard sheet supplied"))</f>
        <v/>
      </c>
      <c r="N8" s="37" t="inlineStr">
        <is>
          <t>day log 2022-08-10</t>
        </is>
      </c>
      <c r="O8" s="37" t="inlineStr">
        <is>
          <t>HB-COUNTER-2</t>
        </is>
      </c>
    </row>
    <row r="9">
      <c r="A9" s="37">
        <f>IF(J9="YES","OK",IF(K9&gt;0,"Priority 1","Priority 2"))</f>
        <v/>
      </c>
      <c r="B9" s="37" t="inlineStr">
        <is>
          <t>AMD-000316</t>
        </is>
      </c>
      <c r="C9" s="38" t="n">
        <v>44805</v>
      </c>
      <c r="D9" s="37" t="inlineStr">
        <is>
          <t>WL-03085</t>
        </is>
      </c>
      <c r="E9" s="37">
        <f>IFERROR(INDEX(Applicants!$C$2:$C$2911,MATCH(D9,Applicants!$A$2:$A$2911,0))&amp;" "&amp;INDEX(Applicants!$B$2:$B$2911,MATCH(D9,Applicants!$A$2:$A$2911,0)),"")</f>
        <v/>
      </c>
      <c r="F9" s="39" t="n">
        <v>28.7</v>
      </c>
      <c r="G9" s="39" t="n">
        <v>26.4</v>
      </c>
      <c r="H9" s="37" t="inlineStr">
        <is>
          <t>Foldview Marine Services haul-out sheet 2022-08-03</t>
        </is>
      </c>
      <c r="I9" s="37">
        <f>IF(COUNTIF('Cert Docs'!$A$2:$A$3,D9)&gt;0,"YES","NO")</f>
        <v/>
      </c>
      <c r="J9" s="37">
        <f>IF(COUNTIFS('Cert Docs'!$A$2:$A$3,D9,'Cert Docs'!$E$2:$E$3,G9,'Cert Docs'!$H$2:$H$3,"YES",'Cert Docs'!$D$2:$D$3,"&lt;="&amp;C9)&gt;0,"YES","NO")</f>
        <v/>
      </c>
      <c r="K9" s="37">
        <f>COUNTIFS('Skip Audit'!$F$5:$F$313,D9,'Skip Audit'!$E$5:$E$313,"&gt;="&amp;C9)</f>
        <v/>
      </c>
      <c r="M9" s="37">
        <f>IF(J9="YES","Substantiated by supplied signed certificate",IF(I9="YES","Supplied certificate does not match amendment date/value","No signed certificate or yard sheet supplied"))</f>
        <v/>
      </c>
      <c r="N9" s="37" t="inlineStr">
        <is>
          <t>day log 2022-09-01</t>
        </is>
      </c>
      <c r="O9" s="37" t="inlineStr">
        <is>
          <t>HB-COUNTER-2</t>
        </is>
      </c>
    </row>
    <row r="10">
      <c r="A10" s="37">
        <f>IF(J10="YES","OK",IF(K10&gt;0,"Priority 1","Priority 2"))</f>
        <v/>
      </c>
      <c r="B10" s="37" t="inlineStr">
        <is>
          <t>AMD-000322</t>
        </is>
      </c>
      <c r="C10" s="38" t="n">
        <v>44811</v>
      </c>
      <c r="D10" s="37" t="inlineStr">
        <is>
          <t>WL-01962</t>
        </is>
      </c>
      <c r="E10" s="37">
        <f>IFERROR(INDEX(Applicants!$C$2:$C$2911,MATCH(D10,Applicants!$A$2:$A$2911,0))&amp;" "&amp;INDEX(Applicants!$B$2:$B$2911,MATCH(D10,Applicants!$A$2:$A$2911,0)),"")</f>
        <v/>
      </c>
      <c r="F10" s="39" t="n">
        <v>30.4</v>
      </c>
      <c r="G10" s="39" t="n">
        <v>31.5</v>
      </c>
      <c r="H10" s="37" t="inlineStr">
        <is>
          <t>Foldview Marine Services haul-out sheet 2022-09-01</t>
        </is>
      </c>
      <c r="I10" s="37">
        <f>IF(COUNTIF('Cert Docs'!$A$2:$A$3,D10)&gt;0,"YES","NO")</f>
        <v/>
      </c>
      <c r="J10" s="37">
        <f>IF(COUNTIFS('Cert Docs'!$A$2:$A$3,D10,'Cert Docs'!$E$2:$E$3,G10,'Cert Docs'!$H$2:$H$3,"YES",'Cert Docs'!$D$2:$D$3,"&lt;="&amp;C10)&gt;0,"YES","NO")</f>
        <v/>
      </c>
      <c r="K10" s="37">
        <f>COUNTIFS('Skip Audit'!$F$5:$F$313,D10,'Skip Audit'!$E$5:$E$313,"&gt;="&amp;C10)</f>
        <v/>
      </c>
      <c r="M10" s="37">
        <f>IF(J10="YES","Substantiated by supplied signed certificate",IF(I10="YES","Supplied certificate does not match amendment date/value","No signed certificate or yard sheet supplied"))</f>
        <v/>
      </c>
      <c r="N10" s="37" t="inlineStr">
        <is>
          <t>day log 2022-09-07</t>
        </is>
      </c>
      <c r="O10" s="37" t="inlineStr">
        <is>
          <t>HB-COUNTER-2</t>
        </is>
      </c>
    </row>
    <row r="11">
      <c r="A11" s="37">
        <f>IF(J11="YES","OK",IF(K11&gt;0,"Priority 1","Priority 2"))</f>
        <v/>
      </c>
      <c r="B11" s="37" t="inlineStr">
        <is>
          <t>AMD-000338</t>
        </is>
      </c>
      <c r="C11" s="38" t="n">
        <v>44824</v>
      </c>
      <c r="D11" s="37" t="inlineStr">
        <is>
          <t>WL-03600</t>
        </is>
      </c>
      <c r="E11" s="37">
        <f>IFERROR(INDEX(Applicants!$C$2:$C$2911,MATCH(D11,Applicants!$A$2:$A$2911,0))&amp;" "&amp;INDEX(Applicants!$B$2:$B$2911,MATCH(D11,Applicants!$A$2:$A$2911,0)),"")</f>
        <v/>
      </c>
      <c r="F11" s="39" t="n">
        <v>51.4</v>
      </c>
      <c r="G11" s="39" t="n">
        <v>49</v>
      </c>
      <c r="H11" s="37" t="n">
        <v/>
      </c>
      <c r="I11" s="37">
        <f>IF(COUNTIF('Cert Docs'!$A$2:$A$3,D11)&gt;0,"YES","NO")</f>
        <v/>
      </c>
      <c r="J11" s="37">
        <f>IF(COUNTIFS('Cert Docs'!$A$2:$A$3,D11,'Cert Docs'!$E$2:$E$3,G11,'Cert Docs'!$H$2:$H$3,"YES",'Cert Docs'!$D$2:$D$3,"&lt;="&amp;C11)&gt;0,"YES","NO")</f>
        <v/>
      </c>
      <c r="K11" s="37">
        <f>COUNTIFS('Skip Audit'!$F$5:$F$313,D11,'Skip Audit'!$E$5:$E$313,"&gt;="&amp;C11)</f>
        <v/>
      </c>
      <c r="M11" s="37">
        <f>IF(J11="YES","Substantiated by supplied signed certificate",IF(I11="YES","Supplied certificate does not match amendment date/value","No signed certificate or yard sheet supplied"))</f>
        <v/>
      </c>
      <c r="N11" s="37" t="inlineStr">
        <is>
          <t>day log 2022-09-20</t>
        </is>
      </c>
      <c r="O11" s="37" t="inlineStr">
        <is>
          <t>HB-COUNTER-2</t>
        </is>
      </c>
    </row>
    <row r="12">
      <c r="A12" s="37">
        <f>IF(J12="YES","OK",IF(K12&gt;0,"Priority 1","Priority 2"))</f>
        <v/>
      </c>
      <c r="B12" s="37" t="inlineStr">
        <is>
          <t>AMD-000339</t>
        </is>
      </c>
      <c r="C12" s="38" t="n">
        <v>44826</v>
      </c>
      <c r="D12" s="37" t="inlineStr">
        <is>
          <t>WL-02493</t>
        </is>
      </c>
      <c r="E12" s="37">
        <f>IFERROR(INDEX(Applicants!$C$2:$C$2911,MATCH(D12,Applicants!$A$2:$A$2911,0))&amp;" "&amp;INDEX(Applicants!$B$2:$B$2911,MATCH(D12,Applicants!$A$2:$A$2911,0)),"")</f>
        <v/>
      </c>
      <c r="F12" s="39" t="n">
        <v>42.8</v>
      </c>
      <c r="G12" s="39" t="n">
        <v>42.9</v>
      </c>
      <c r="H12" s="37" t="inlineStr">
        <is>
          <t>Foldview Marine Services haul-out sheet 2022-08-21</t>
        </is>
      </c>
      <c r="I12" s="37">
        <f>IF(COUNTIF('Cert Docs'!$A$2:$A$3,D12)&gt;0,"YES","NO")</f>
        <v/>
      </c>
      <c r="J12" s="37">
        <f>IF(COUNTIFS('Cert Docs'!$A$2:$A$3,D12,'Cert Docs'!$E$2:$E$3,G12,'Cert Docs'!$H$2:$H$3,"YES",'Cert Docs'!$D$2:$D$3,"&lt;="&amp;C12)&gt;0,"YES","NO")</f>
        <v/>
      </c>
      <c r="K12" s="37">
        <f>COUNTIFS('Skip Audit'!$F$5:$F$313,D12,'Skip Audit'!$E$5:$E$313,"&gt;="&amp;C12)</f>
        <v/>
      </c>
      <c r="M12" s="37">
        <f>IF(J12="YES","Substantiated by supplied signed certificate",IF(I12="YES","Supplied certificate does not match amendment date/value","No signed certificate or yard sheet supplied"))</f>
        <v/>
      </c>
      <c r="N12" s="37" t="inlineStr">
        <is>
          <t>day log 2022-09-22</t>
        </is>
      </c>
      <c r="O12" s="37" t="inlineStr">
        <is>
          <t>HB-COUNTER-2</t>
        </is>
      </c>
    </row>
    <row r="13">
      <c r="A13" s="37">
        <f>IF(J13="YES","OK",IF(K13&gt;0,"Priority 1","Priority 2"))</f>
        <v/>
      </c>
      <c r="B13" s="37" t="inlineStr">
        <is>
          <t>AMD-000343</t>
        </is>
      </c>
      <c r="C13" s="38" t="n">
        <v>44827</v>
      </c>
      <c r="D13" s="37" t="inlineStr">
        <is>
          <t>WL-03241</t>
        </is>
      </c>
      <c r="E13" s="37">
        <f>IFERROR(INDEX(Applicants!$C$2:$C$2911,MATCH(D13,Applicants!$A$2:$A$2911,0))&amp;" "&amp;INDEX(Applicants!$B$2:$B$2911,MATCH(D13,Applicants!$A$2:$A$2911,0)),"")</f>
        <v/>
      </c>
      <c r="F13" s="39" t="n">
        <v>37.1</v>
      </c>
      <c r="G13" s="39" t="n">
        <v>38.3</v>
      </c>
      <c r="H13" s="37" t="inlineStr">
        <is>
          <t>MC-2022-0705</t>
        </is>
      </c>
      <c r="I13" s="37">
        <f>IF(COUNTIF('Cert Docs'!$A$2:$A$3,D13)&gt;0,"YES","NO")</f>
        <v/>
      </c>
      <c r="J13" s="37">
        <f>IF(COUNTIFS('Cert Docs'!$A$2:$A$3,D13,'Cert Docs'!$E$2:$E$3,G13,'Cert Docs'!$H$2:$H$3,"YES",'Cert Docs'!$D$2:$D$3,"&lt;="&amp;C13)&gt;0,"YES","NO")</f>
        <v/>
      </c>
      <c r="K13" s="37">
        <f>COUNTIFS('Skip Audit'!$F$5:$F$313,D13,'Skip Audit'!$E$5:$E$313,"&gt;="&amp;C13)</f>
        <v/>
      </c>
      <c r="M13" s="37">
        <f>IF(J13="YES","Substantiated by supplied signed certificate",IF(I13="YES","Supplied certificate does not match amendment date/value","No signed certificate or yard sheet supplied"))</f>
        <v/>
      </c>
      <c r="N13" s="37" t="inlineStr">
        <is>
          <t>day log 2022-09-23</t>
        </is>
      </c>
      <c r="O13" s="37" t="inlineStr">
        <is>
          <t>HB-COUNTER-2</t>
        </is>
      </c>
    </row>
    <row r="14">
      <c r="A14" s="37">
        <f>IF(J14="YES","OK",IF(K14&gt;0,"Priority 1","Priority 2"))</f>
        <v/>
      </c>
      <c r="B14" s="37" t="inlineStr">
        <is>
          <t>AMD-000356</t>
        </is>
      </c>
      <c r="C14" s="38" t="n">
        <v>44839</v>
      </c>
      <c r="D14" s="37" t="inlineStr">
        <is>
          <t>WL-01333</t>
        </is>
      </c>
      <c r="E14" s="37">
        <f>IFERROR(INDEX(Applicants!$C$2:$C$2911,MATCH(D14,Applicants!$A$2:$A$2911,0))&amp;" "&amp;INDEX(Applicants!$B$2:$B$2911,MATCH(D14,Applicants!$A$2:$A$2911,0)),"")</f>
        <v/>
      </c>
      <c r="F14" s="39" t="n">
        <v>22.6</v>
      </c>
      <c r="G14" s="39" t="n">
        <v>20.2</v>
      </c>
      <c r="H14" s="37" t="inlineStr">
        <is>
          <t>MC-2022-0134</t>
        </is>
      </c>
      <c r="I14" s="37">
        <f>IF(COUNTIF('Cert Docs'!$A$2:$A$3,D14)&gt;0,"YES","NO")</f>
        <v/>
      </c>
      <c r="J14" s="37">
        <f>IF(COUNTIFS('Cert Docs'!$A$2:$A$3,D14,'Cert Docs'!$E$2:$E$3,G14,'Cert Docs'!$H$2:$H$3,"YES",'Cert Docs'!$D$2:$D$3,"&lt;="&amp;C14)&gt;0,"YES","NO")</f>
        <v/>
      </c>
      <c r="K14" s="37">
        <f>COUNTIFS('Skip Audit'!$F$5:$F$313,D14,'Skip Audit'!$E$5:$E$313,"&gt;="&amp;C14)</f>
        <v/>
      </c>
      <c r="L14" s="37" t="inlineStr">
        <is>
          <t>SKP-2025-0283</t>
        </is>
      </c>
      <c r="M14" s="37">
        <f>IF(J14="YES","Substantiated by supplied signed certificate",IF(I14="YES","Supplied certificate does not match amendment date/value","No signed certificate or yard sheet supplied"))</f>
        <v/>
      </c>
      <c r="N14" s="37" t="inlineStr">
        <is>
          <t>day log 2022-10-05</t>
        </is>
      </c>
      <c r="O14" s="37" t="inlineStr">
        <is>
          <t>HB-COUNTER-2</t>
        </is>
      </c>
    </row>
    <row r="15">
      <c r="A15" s="37">
        <f>IF(J15="YES","OK",IF(K15&gt;0,"Priority 1","Priority 2"))</f>
        <v/>
      </c>
      <c r="B15" s="37" t="inlineStr">
        <is>
          <t>AMD-000368</t>
        </is>
      </c>
      <c r="C15" s="38" t="n">
        <v>44846</v>
      </c>
      <c r="D15" s="37" t="inlineStr">
        <is>
          <t>WL-01115</t>
        </is>
      </c>
      <c r="E15" s="37">
        <f>IFERROR(INDEX(Applicants!$C$2:$C$2911,MATCH(D15,Applicants!$A$2:$A$2911,0))&amp;" "&amp;INDEX(Applicants!$B$2:$B$2911,MATCH(D15,Applicants!$A$2:$A$2911,0)),"")</f>
        <v/>
      </c>
      <c r="F15" s="39" t="n">
        <v>42.1</v>
      </c>
      <c r="G15" s="39" t="n">
        <v>43.7</v>
      </c>
      <c r="H15" s="37" t="inlineStr">
        <is>
          <t>MC-2022-0882</t>
        </is>
      </c>
      <c r="I15" s="37">
        <f>IF(COUNTIF('Cert Docs'!$A$2:$A$3,D15)&gt;0,"YES","NO")</f>
        <v/>
      </c>
      <c r="J15" s="37">
        <f>IF(COUNTIFS('Cert Docs'!$A$2:$A$3,D15,'Cert Docs'!$E$2:$E$3,G15,'Cert Docs'!$H$2:$H$3,"YES",'Cert Docs'!$D$2:$D$3,"&lt;="&amp;C15)&gt;0,"YES","NO")</f>
        <v/>
      </c>
      <c r="K15" s="37">
        <f>COUNTIFS('Skip Audit'!$F$5:$F$313,D15,'Skip Audit'!$E$5:$E$313,"&gt;="&amp;C15)</f>
        <v/>
      </c>
      <c r="M15" s="37">
        <f>IF(J15="YES","Substantiated by supplied signed certificate",IF(I15="YES","Supplied certificate does not match amendment date/value","No signed certificate or yard sheet supplied"))</f>
        <v/>
      </c>
      <c r="N15" s="37" t="inlineStr">
        <is>
          <t>day log 2022-10-12</t>
        </is>
      </c>
      <c r="O15" s="37" t="inlineStr">
        <is>
          <t>HB-COUNTER-2</t>
        </is>
      </c>
    </row>
    <row r="16">
      <c r="A16" s="37">
        <f>IF(J16="YES","OK",IF(K16&gt;0,"Priority 1","Priority 2"))</f>
        <v/>
      </c>
      <c r="B16" s="37" t="inlineStr">
        <is>
          <t>AMD-000380</t>
        </is>
      </c>
      <c r="C16" s="38" t="n">
        <v>44851</v>
      </c>
      <c r="D16" s="37" t="inlineStr">
        <is>
          <t>WL-02120</t>
        </is>
      </c>
      <c r="E16" s="37">
        <f>IFERROR(INDEX(Applicants!$C$2:$C$2911,MATCH(D16,Applicants!$A$2:$A$2911,0))&amp;" "&amp;INDEX(Applicants!$B$2:$B$2911,MATCH(D16,Applicants!$A$2:$A$2911,0)),"")</f>
        <v/>
      </c>
      <c r="F16" s="39" t="n">
        <v>43.5</v>
      </c>
      <c r="G16" s="39" t="n">
        <v>42.6</v>
      </c>
      <c r="H16" s="37" t="inlineStr">
        <is>
          <t>MC-2022-0916</t>
        </is>
      </c>
      <c r="I16" s="37">
        <f>IF(COUNTIF('Cert Docs'!$A$2:$A$3,D16)&gt;0,"YES","NO")</f>
        <v/>
      </c>
      <c r="J16" s="37">
        <f>IF(COUNTIFS('Cert Docs'!$A$2:$A$3,D16,'Cert Docs'!$E$2:$E$3,G16,'Cert Docs'!$H$2:$H$3,"YES",'Cert Docs'!$D$2:$D$3,"&lt;="&amp;C16)&gt;0,"YES","NO")</f>
        <v/>
      </c>
      <c r="K16" s="37">
        <f>COUNTIFS('Skip Audit'!$F$5:$F$313,D16,'Skip Audit'!$E$5:$E$313,"&gt;="&amp;C16)</f>
        <v/>
      </c>
      <c r="L16" s="37" t="inlineStr">
        <is>
          <t>SKP-2026-0362</t>
        </is>
      </c>
      <c r="M16" s="37">
        <f>IF(J16="YES","Substantiated by supplied signed certificate",IF(I16="YES","Supplied certificate does not match amendment date/value","No signed certificate or yard sheet supplied"))</f>
        <v/>
      </c>
      <c r="N16" s="37" t="inlineStr">
        <is>
          <t>day log 2022-10-17</t>
        </is>
      </c>
      <c r="O16" s="37" t="inlineStr">
        <is>
          <t>HB-COUNTER-2</t>
        </is>
      </c>
    </row>
    <row r="17">
      <c r="A17" s="37">
        <f>IF(J17="YES","OK",IF(K17&gt;0,"Priority 1","Priority 2"))</f>
        <v/>
      </c>
      <c r="B17" s="37" t="inlineStr">
        <is>
          <t>AMD-000403</t>
        </is>
      </c>
      <c r="C17" s="38" t="n">
        <v>44873</v>
      </c>
      <c r="D17" s="37" t="inlineStr">
        <is>
          <t>WL-01088</t>
        </is>
      </c>
      <c r="E17" s="37">
        <f>IFERROR(INDEX(Applicants!$C$2:$C$2911,MATCH(D17,Applicants!$A$2:$A$2911,0))&amp;" "&amp;INDEX(Applicants!$B$2:$B$2911,MATCH(D17,Applicants!$A$2:$A$2911,0)),"")</f>
        <v/>
      </c>
      <c r="F17" s="39" t="n">
        <v>28.2</v>
      </c>
      <c r="G17" s="39" t="n">
        <v>28.9</v>
      </c>
      <c r="H17" s="37" t="inlineStr">
        <is>
          <t>Foldview Marine Services haul-out sheet 2022-10-02</t>
        </is>
      </c>
      <c r="I17" s="37">
        <f>IF(COUNTIF('Cert Docs'!$A$2:$A$3,D17)&gt;0,"YES","NO")</f>
        <v/>
      </c>
      <c r="J17" s="37">
        <f>IF(COUNTIFS('Cert Docs'!$A$2:$A$3,D17,'Cert Docs'!$E$2:$E$3,G17,'Cert Docs'!$H$2:$H$3,"YES",'Cert Docs'!$D$2:$D$3,"&lt;="&amp;C17)&gt;0,"YES","NO")</f>
        <v/>
      </c>
      <c r="K17" s="37">
        <f>COUNTIFS('Skip Audit'!$F$5:$F$313,D17,'Skip Audit'!$E$5:$E$313,"&gt;="&amp;C17)</f>
        <v/>
      </c>
      <c r="M17" s="37">
        <f>IF(J17="YES","Substantiated by supplied signed certificate",IF(I17="YES","Supplied certificate does not match amendment date/value","No signed certificate or yard sheet supplied"))</f>
        <v/>
      </c>
      <c r="N17" s="37" t="inlineStr">
        <is>
          <t>day log 2022-11-08</t>
        </is>
      </c>
      <c r="O17" s="37" t="inlineStr">
        <is>
          <t>HB-COUNTER-2</t>
        </is>
      </c>
    </row>
    <row r="18">
      <c r="A18" s="37">
        <f>IF(J18="YES","OK",IF(K18&gt;0,"Priority 1","Priority 2"))</f>
        <v/>
      </c>
      <c r="B18" s="37" t="inlineStr">
        <is>
          <t>AMD-000413</t>
        </is>
      </c>
      <c r="C18" s="38" t="n">
        <v>44878</v>
      </c>
      <c r="D18" s="37" t="inlineStr">
        <is>
          <t>WL-02512</t>
        </is>
      </c>
      <c r="E18" s="37">
        <f>IFERROR(INDEX(Applicants!$C$2:$C$2911,MATCH(D18,Applicants!$A$2:$A$2911,0))&amp;" "&amp;INDEX(Applicants!$B$2:$B$2911,MATCH(D18,Applicants!$A$2:$A$2911,0)),"")</f>
        <v/>
      </c>
      <c r="F18" s="39" t="n">
        <v>41.9</v>
      </c>
      <c r="G18" s="39" t="n">
        <v>40.7</v>
      </c>
      <c r="H18" s="37" t="inlineStr">
        <is>
          <t>MC-2022-0143</t>
        </is>
      </c>
      <c r="I18" s="37">
        <f>IF(COUNTIF('Cert Docs'!$A$2:$A$3,D18)&gt;0,"YES","NO")</f>
        <v/>
      </c>
      <c r="J18" s="37">
        <f>IF(COUNTIFS('Cert Docs'!$A$2:$A$3,D18,'Cert Docs'!$E$2:$E$3,G18,'Cert Docs'!$H$2:$H$3,"YES",'Cert Docs'!$D$2:$D$3,"&lt;="&amp;C18)&gt;0,"YES","NO")</f>
        <v/>
      </c>
      <c r="K18" s="37">
        <f>COUNTIFS('Skip Audit'!$F$5:$F$313,D18,'Skip Audit'!$E$5:$E$313,"&gt;="&amp;C18)</f>
        <v/>
      </c>
      <c r="M18" s="37">
        <f>IF(J18="YES","Substantiated by supplied signed certificate",IF(I18="YES","Supplied certificate does not match amendment date/value","No signed certificate or yard sheet supplied"))</f>
        <v/>
      </c>
      <c r="N18" s="37" t="inlineStr">
        <is>
          <t>day log 2022-11-13</t>
        </is>
      </c>
      <c r="O18" s="37" t="inlineStr">
        <is>
          <t>HB-COUNTER-2</t>
        </is>
      </c>
    </row>
    <row r="19">
      <c r="A19" s="37">
        <f>IF(J19="YES","OK",IF(K19&gt;0,"Priority 1","Priority 2"))</f>
        <v/>
      </c>
      <c r="B19" s="37" t="inlineStr">
        <is>
          <t>AMD-000415</t>
        </is>
      </c>
      <c r="C19" s="38" t="n">
        <v>44881</v>
      </c>
      <c r="D19" s="37" t="inlineStr">
        <is>
          <t>WL-02107</t>
        </is>
      </c>
      <c r="E19" s="37">
        <f>IFERROR(INDEX(Applicants!$C$2:$C$2911,MATCH(D19,Applicants!$A$2:$A$2911,0))&amp;" "&amp;INDEX(Applicants!$B$2:$B$2911,MATCH(D19,Applicants!$A$2:$A$2911,0)),"")</f>
        <v/>
      </c>
      <c r="F19" s="39" t="n">
        <v>48.4</v>
      </c>
      <c r="G19" s="39" t="n">
        <v>47.3</v>
      </c>
      <c r="H19" s="37" t="inlineStr">
        <is>
          <t>Foldview Marine Services haul-out sheet 2022-09-01</t>
        </is>
      </c>
      <c r="I19" s="37">
        <f>IF(COUNTIF('Cert Docs'!$A$2:$A$3,D19)&gt;0,"YES","NO")</f>
        <v/>
      </c>
      <c r="J19" s="37">
        <f>IF(COUNTIFS('Cert Docs'!$A$2:$A$3,D19,'Cert Docs'!$E$2:$E$3,G19,'Cert Docs'!$H$2:$H$3,"YES",'Cert Docs'!$D$2:$D$3,"&lt;="&amp;C19)&gt;0,"YES","NO")</f>
        <v/>
      </c>
      <c r="K19" s="37">
        <f>COUNTIFS('Skip Audit'!$F$5:$F$313,D19,'Skip Audit'!$E$5:$E$313,"&gt;="&amp;C19)</f>
        <v/>
      </c>
      <c r="M19" s="37">
        <f>IF(J19="YES","Substantiated by supplied signed certificate",IF(I19="YES","Supplied certificate does not match amendment date/value","No signed certificate or yard sheet supplied"))</f>
        <v/>
      </c>
      <c r="N19" s="37" t="inlineStr">
        <is>
          <t>day log 2022-11-16</t>
        </is>
      </c>
      <c r="O19" s="37" t="inlineStr">
        <is>
          <t>HB-COUNTER-2</t>
        </is>
      </c>
    </row>
    <row r="20">
      <c r="A20" s="37">
        <f>IF(J20="YES","OK",IF(K20&gt;0,"Priority 1","Priority 2"))</f>
        <v/>
      </c>
      <c r="B20" s="37" t="inlineStr">
        <is>
          <t>AMD-000416</t>
        </is>
      </c>
      <c r="C20" s="38" t="n">
        <v>44881</v>
      </c>
      <c r="D20" s="37" t="inlineStr">
        <is>
          <t>WL-03636</t>
        </is>
      </c>
      <c r="E20" s="37">
        <f>IFERROR(INDEX(Applicants!$C$2:$C$2911,MATCH(D20,Applicants!$A$2:$A$2911,0))&amp;" "&amp;INDEX(Applicants!$B$2:$B$2911,MATCH(D20,Applicants!$A$2:$A$2911,0)),"")</f>
        <v/>
      </c>
      <c r="F20" s="39" t="n">
        <v>23</v>
      </c>
      <c r="G20" s="39" t="n">
        <v>24.8</v>
      </c>
      <c r="H20" s="37" t="inlineStr">
        <is>
          <t>Foldview Marine Services haul-out sheet 2022-09-21</t>
        </is>
      </c>
      <c r="I20" s="37">
        <f>IF(COUNTIF('Cert Docs'!$A$2:$A$3,D20)&gt;0,"YES","NO")</f>
        <v/>
      </c>
      <c r="J20" s="37">
        <f>IF(COUNTIFS('Cert Docs'!$A$2:$A$3,D20,'Cert Docs'!$E$2:$E$3,G20,'Cert Docs'!$H$2:$H$3,"YES",'Cert Docs'!$D$2:$D$3,"&lt;="&amp;C20)&gt;0,"YES","NO")</f>
        <v/>
      </c>
      <c r="K20" s="37">
        <f>COUNTIFS('Skip Audit'!$F$5:$F$313,D20,'Skip Audit'!$E$5:$E$313,"&gt;="&amp;C20)</f>
        <v/>
      </c>
      <c r="M20" s="37">
        <f>IF(J20="YES","Substantiated by supplied signed certificate",IF(I20="YES","Supplied certificate does not match amendment date/value","No signed certificate or yard sheet supplied"))</f>
        <v/>
      </c>
      <c r="N20" s="37" t="inlineStr">
        <is>
          <t>day log 2022-11-16</t>
        </is>
      </c>
      <c r="O20" s="37" t="inlineStr">
        <is>
          <t>HB-COUNTER-2</t>
        </is>
      </c>
    </row>
    <row r="21">
      <c r="A21" s="37">
        <f>IF(J21="YES","OK",IF(K21&gt;0,"Priority 1","Priority 2"))</f>
        <v/>
      </c>
      <c r="B21" s="37" t="inlineStr">
        <is>
          <t>AMD-000425</t>
        </is>
      </c>
      <c r="C21" s="38" t="n">
        <v>44889</v>
      </c>
      <c r="D21" s="37" t="inlineStr">
        <is>
          <t>WL-03350</t>
        </is>
      </c>
      <c r="E21" s="37">
        <f>IFERROR(INDEX(Applicants!$C$2:$C$2911,MATCH(D21,Applicants!$A$2:$A$2911,0))&amp;" "&amp;INDEX(Applicants!$B$2:$B$2911,MATCH(D21,Applicants!$A$2:$A$2911,0)),"")</f>
        <v/>
      </c>
      <c r="F21" s="39" t="n">
        <v>37.5</v>
      </c>
      <c r="G21" s="39" t="n">
        <v>35.2</v>
      </c>
      <c r="H21" s="37" t="inlineStr">
        <is>
          <t>MC-2022-0209</t>
        </is>
      </c>
      <c r="I21" s="37">
        <f>IF(COUNTIF('Cert Docs'!$A$2:$A$3,D21)&gt;0,"YES","NO")</f>
        <v/>
      </c>
      <c r="J21" s="37">
        <f>IF(COUNTIFS('Cert Docs'!$A$2:$A$3,D21,'Cert Docs'!$E$2:$E$3,G21,'Cert Docs'!$H$2:$H$3,"YES",'Cert Docs'!$D$2:$D$3,"&lt;="&amp;C21)&gt;0,"YES","NO")</f>
        <v/>
      </c>
      <c r="K21" s="37">
        <f>COUNTIFS('Skip Audit'!$F$5:$F$313,D21,'Skip Audit'!$E$5:$E$313,"&gt;="&amp;C21)</f>
        <v/>
      </c>
      <c r="M21" s="37">
        <f>IF(J21="YES","Substantiated by supplied signed certificate",IF(I21="YES","Supplied certificate does not match amendment date/value","No signed certificate or yard sheet supplied"))</f>
        <v/>
      </c>
      <c r="N21" s="37" t="inlineStr">
        <is>
          <t>day log 2022-11-24</t>
        </is>
      </c>
      <c r="O21" s="37" t="inlineStr">
        <is>
          <t>HB-COUNTER-2</t>
        </is>
      </c>
    </row>
    <row r="22">
      <c r="A22" s="37">
        <f>IF(J22="YES","OK",IF(K22&gt;0,"Priority 1","Priority 2"))</f>
        <v/>
      </c>
      <c r="B22" s="37" t="inlineStr">
        <is>
          <t>AMD-000431</t>
        </is>
      </c>
      <c r="C22" s="38" t="n">
        <v>44893</v>
      </c>
      <c r="D22" s="37" t="inlineStr">
        <is>
          <t>WL-03727</t>
        </is>
      </c>
      <c r="E22" s="37">
        <f>IFERROR(INDEX(Applicants!$C$2:$C$2911,MATCH(D22,Applicants!$A$2:$A$2911,0))&amp;" "&amp;INDEX(Applicants!$B$2:$B$2911,MATCH(D22,Applicants!$A$2:$A$2911,0)),"")</f>
        <v/>
      </c>
      <c r="F22" s="39" t="n">
        <v>42.3</v>
      </c>
      <c r="G22" s="39" t="n">
        <v>44</v>
      </c>
      <c r="H22" s="37" t="inlineStr">
        <is>
          <t>Foldview Marine Services haul-out sheet 2022-08-20</t>
        </is>
      </c>
      <c r="I22" s="37">
        <f>IF(COUNTIF('Cert Docs'!$A$2:$A$3,D22)&gt;0,"YES","NO")</f>
        <v/>
      </c>
      <c r="J22" s="37">
        <f>IF(COUNTIFS('Cert Docs'!$A$2:$A$3,D22,'Cert Docs'!$E$2:$E$3,G22,'Cert Docs'!$H$2:$H$3,"YES",'Cert Docs'!$D$2:$D$3,"&lt;="&amp;C22)&gt;0,"YES","NO")</f>
        <v/>
      </c>
      <c r="K22" s="37">
        <f>COUNTIFS('Skip Audit'!$F$5:$F$313,D22,'Skip Audit'!$E$5:$E$313,"&gt;="&amp;C22)</f>
        <v/>
      </c>
      <c r="M22" s="37">
        <f>IF(J22="YES","Substantiated by supplied signed certificate",IF(I22="YES","Supplied certificate does not match amendment date/value","No signed certificate or yard sheet supplied"))</f>
        <v/>
      </c>
      <c r="N22" s="37" t="inlineStr">
        <is>
          <t>day log 2022-11-28</t>
        </is>
      </c>
      <c r="O22" s="37" t="inlineStr">
        <is>
          <t>HB-COUNTER-2</t>
        </is>
      </c>
    </row>
    <row r="23">
      <c r="A23" s="37">
        <f>IF(J23="YES","OK",IF(K23&gt;0,"Priority 1","Priority 2"))</f>
        <v/>
      </c>
      <c r="B23" s="37" t="inlineStr">
        <is>
          <t>AMD-000435</t>
        </is>
      </c>
      <c r="C23" s="38" t="n">
        <v>44895</v>
      </c>
      <c r="D23" s="37" t="inlineStr">
        <is>
          <t>WL-03758</t>
        </is>
      </c>
      <c r="E23" s="37">
        <f>IFERROR(INDEX(Applicants!$C$2:$C$2911,MATCH(D23,Applicants!$A$2:$A$2911,0))&amp;" "&amp;INDEX(Applicants!$B$2:$B$2911,MATCH(D23,Applicants!$A$2:$A$2911,0)),"")</f>
        <v/>
      </c>
      <c r="F23" s="39" t="n">
        <v>53.2</v>
      </c>
      <c r="G23" s="39" t="n">
        <v>51.4</v>
      </c>
      <c r="H23" s="37" t="inlineStr">
        <is>
          <t>MC-2022-0410</t>
        </is>
      </c>
      <c r="I23" s="37">
        <f>IF(COUNTIF('Cert Docs'!$A$2:$A$3,D23)&gt;0,"YES","NO")</f>
        <v/>
      </c>
      <c r="J23" s="37">
        <f>IF(COUNTIFS('Cert Docs'!$A$2:$A$3,D23,'Cert Docs'!$E$2:$E$3,G23,'Cert Docs'!$H$2:$H$3,"YES",'Cert Docs'!$D$2:$D$3,"&lt;="&amp;C23)&gt;0,"YES","NO")</f>
        <v/>
      </c>
      <c r="K23" s="37">
        <f>COUNTIFS('Skip Audit'!$F$5:$F$313,D23,'Skip Audit'!$E$5:$E$313,"&gt;="&amp;C23)</f>
        <v/>
      </c>
      <c r="L23" s="37" t="inlineStr">
        <is>
          <t>SKP-2023-0136</t>
        </is>
      </c>
      <c r="M23" s="37">
        <f>IF(J23="YES","Substantiated by supplied signed certificate",IF(I23="YES","Supplied certificate does not match amendment date/value","No signed certificate or yard sheet supplied"))</f>
        <v/>
      </c>
      <c r="N23" s="37" t="inlineStr">
        <is>
          <t>day log 2022-11-30</t>
        </is>
      </c>
      <c r="O23" s="37" t="inlineStr">
        <is>
          <t>HB-COUNTER-2</t>
        </is>
      </c>
    </row>
    <row r="24">
      <c r="A24" s="37">
        <f>IF(J24="YES","OK",IF(K24&gt;0,"Priority 1","Priority 2"))</f>
        <v/>
      </c>
      <c r="B24" s="37" t="inlineStr">
        <is>
          <t>AMD-000436</t>
        </is>
      </c>
      <c r="C24" s="38" t="n">
        <v>44897</v>
      </c>
      <c r="D24" s="37" t="inlineStr">
        <is>
          <t>WL-02036</t>
        </is>
      </c>
      <c r="E24" s="37">
        <f>IFERROR(INDEX(Applicants!$C$2:$C$2911,MATCH(D24,Applicants!$A$2:$A$2911,0))&amp;" "&amp;INDEX(Applicants!$B$2:$B$2911,MATCH(D24,Applicants!$A$2:$A$2911,0)),"")</f>
        <v/>
      </c>
      <c r="F24" s="39" t="n">
        <v>23.5</v>
      </c>
      <c r="G24" s="39" t="n">
        <v>23.5</v>
      </c>
      <c r="H24" s="37" t="inlineStr">
        <is>
          <t>MC-2022-0629</t>
        </is>
      </c>
      <c r="I24" s="37">
        <f>IF(COUNTIF('Cert Docs'!$A$2:$A$3,D24)&gt;0,"YES","NO")</f>
        <v/>
      </c>
      <c r="J24" s="37">
        <f>IF(COUNTIFS('Cert Docs'!$A$2:$A$3,D24,'Cert Docs'!$E$2:$E$3,G24,'Cert Docs'!$H$2:$H$3,"YES",'Cert Docs'!$D$2:$D$3,"&lt;="&amp;C24)&gt;0,"YES","NO")</f>
        <v/>
      </c>
      <c r="K24" s="37">
        <f>COUNTIFS('Skip Audit'!$F$5:$F$313,D24,'Skip Audit'!$E$5:$E$313,"&gt;="&amp;C24)</f>
        <v/>
      </c>
      <c r="M24" s="37">
        <f>IF(J24="YES","Substantiated by supplied signed certificate",IF(I24="YES","Supplied certificate does not match amendment date/value","No signed certificate or yard sheet supplied"))</f>
        <v/>
      </c>
      <c r="N24" s="37" t="inlineStr">
        <is>
          <t>day log 2022-12-02</t>
        </is>
      </c>
      <c r="O24" s="37" t="inlineStr">
        <is>
          <t>HB-COUNTER-2</t>
        </is>
      </c>
    </row>
    <row r="25">
      <c r="A25" s="37">
        <f>IF(J25="YES","OK",IF(K25&gt;0,"Priority 1","Priority 2"))</f>
        <v/>
      </c>
      <c r="B25" s="37" t="inlineStr">
        <is>
          <t>AMD-000461</t>
        </is>
      </c>
      <c r="C25" s="38" t="n">
        <v>44915</v>
      </c>
      <c r="D25" s="37" t="inlineStr">
        <is>
          <t>WL-03633</t>
        </is>
      </c>
      <c r="E25" s="37">
        <f>IFERROR(INDEX(Applicants!$C$2:$C$2911,MATCH(D25,Applicants!$A$2:$A$2911,0))&amp;" "&amp;INDEX(Applicants!$B$2:$B$2911,MATCH(D25,Applicants!$A$2:$A$2911,0)),"")</f>
        <v/>
      </c>
      <c r="F25" s="39" t="n">
        <v>30.8</v>
      </c>
      <c r="G25" s="39" t="n">
        <v>33.4</v>
      </c>
      <c r="H25" s="37" t="inlineStr">
        <is>
          <t>Foldview Marine Services haul-out sheet 2022-09-09</t>
        </is>
      </c>
      <c r="I25" s="37">
        <f>IF(COUNTIF('Cert Docs'!$A$2:$A$3,D25)&gt;0,"YES","NO")</f>
        <v/>
      </c>
      <c r="J25" s="37">
        <f>IF(COUNTIFS('Cert Docs'!$A$2:$A$3,D25,'Cert Docs'!$E$2:$E$3,G25,'Cert Docs'!$H$2:$H$3,"YES",'Cert Docs'!$D$2:$D$3,"&lt;="&amp;C25)&gt;0,"YES","NO")</f>
        <v/>
      </c>
      <c r="K25" s="37">
        <f>COUNTIFS('Skip Audit'!$F$5:$F$313,D25,'Skip Audit'!$E$5:$E$313,"&gt;="&amp;C25)</f>
        <v/>
      </c>
      <c r="M25" s="37">
        <f>IF(J25="YES","Substantiated by supplied signed certificate",IF(I25="YES","Supplied certificate does not match amendment date/value","No signed certificate or yard sheet supplied"))</f>
        <v/>
      </c>
      <c r="N25" s="37" t="inlineStr">
        <is>
          <t>day log 2022-12-20</t>
        </is>
      </c>
      <c r="O25" s="37" t="inlineStr">
        <is>
          <t>HB-COUNTER-2</t>
        </is>
      </c>
    </row>
    <row r="26">
      <c r="A26" s="37">
        <f>IF(J26="YES","OK",IF(K26&gt;0,"Priority 1","Priority 2"))</f>
        <v/>
      </c>
      <c r="B26" s="37" t="inlineStr">
        <is>
          <t>AMD-000462</t>
        </is>
      </c>
      <c r="C26" s="38" t="n">
        <v>44916</v>
      </c>
      <c r="D26" s="37" t="inlineStr">
        <is>
          <t>WL-02309</t>
        </is>
      </c>
      <c r="E26" s="37">
        <f>IFERROR(INDEX(Applicants!$C$2:$C$2911,MATCH(D26,Applicants!$A$2:$A$2911,0))&amp;" "&amp;INDEX(Applicants!$B$2:$B$2911,MATCH(D26,Applicants!$A$2:$A$2911,0)),"")</f>
        <v/>
      </c>
      <c r="F26" s="39" t="n">
        <v>32.1</v>
      </c>
      <c r="G26" s="39" t="n">
        <v>29.7</v>
      </c>
      <c r="H26" s="37" t="inlineStr">
        <is>
          <t>MC-2022-0151</t>
        </is>
      </c>
      <c r="I26" s="37">
        <f>IF(COUNTIF('Cert Docs'!$A$2:$A$3,D26)&gt;0,"YES","NO")</f>
        <v/>
      </c>
      <c r="J26" s="37">
        <f>IF(COUNTIFS('Cert Docs'!$A$2:$A$3,D26,'Cert Docs'!$E$2:$E$3,G26,'Cert Docs'!$H$2:$H$3,"YES",'Cert Docs'!$D$2:$D$3,"&lt;="&amp;C26)&gt;0,"YES","NO")</f>
        <v/>
      </c>
      <c r="K26" s="37">
        <f>COUNTIFS('Skip Audit'!$F$5:$F$313,D26,'Skip Audit'!$E$5:$E$313,"&gt;="&amp;C26)</f>
        <v/>
      </c>
      <c r="M26" s="37">
        <f>IF(J26="YES","Substantiated by supplied signed certificate",IF(I26="YES","Supplied certificate does not match amendment date/value","No signed certificate or yard sheet supplied"))</f>
        <v/>
      </c>
      <c r="N26" s="37" t="inlineStr">
        <is>
          <t>day log 2022-12-21</t>
        </is>
      </c>
      <c r="O26" s="37" t="inlineStr">
        <is>
          <t>HB-COUNTER-2</t>
        </is>
      </c>
    </row>
    <row r="27">
      <c r="A27" s="37">
        <f>IF(J27="YES","OK",IF(K27&gt;0,"Priority 1","Priority 2"))</f>
        <v/>
      </c>
      <c r="B27" s="37" t="inlineStr">
        <is>
          <t>AMD-000471</t>
        </is>
      </c>
      <c r="C27" s="38" t="n">
        <v>44921</v>
      </c>
      <c r="D27" s="37" t="inlineStr">
        <is>
          <t>WL-02957</t>
        </is>
      </c>
      <c r="E27" s="37">
        <f>IFERROR(INDEX(Applicants!$C$2:$C$2911,MATCH(D27,Applicants!$A$2:$A$2911,0))&amp;" "&amp;INDEX(Applicants!$B$2:$B$2911,MATCH(D27,Applicants!$A$2:$A$2911,0)),"")</f>
        <v/>
      </c>
      <c r="F27" s="39" t="n">
        <v>50.6</v>
      </c>
      <c r="G27" s="39" t="n">
        <v>48.9</v>
      </c>
      <c r="H27" s="37" t="inlineStr">
        <is>
          <t>MC-2022-0675</t>
        </is>
      </c>
      <c r="I27" s="37">
        <f>IF(COUNTIF('Cert Docs'!$A$2:$A$3,D27)&gt;0,"YES","NO")</f>
        <v/>
      </c>
      <c r="J27" s="37">
        <f>IF(COUNTIFS('Cert Docs'!$A$2:$A$3,D27,'Cert Docs'!$E$2:$E$3,G27,'Cert Docs'!$H$2:$H$3,"YES",'Cert Docs'!$D$2:$D$3,"&lt;="&amp;C27)&gt;0,"YES","NO")</f>
        <v/>
      </c>
      <c r="K27" s="37">
        <f>COUNTIFS('Skip Audit'!$F$5:$F$313,D27,'Skip Audit'!$E$5:$E$313,"&gt;="&amp;C27)</f>
        <v/>
      </c>
      <c r="M27" s="37">
        <f>IF(J27="YES","Substantiated by supplied signed certificate",IF(I27="YES","Supplied certificate does not match amendment date/value","No signed certificate or yard sheet supplied"))</f>
        <v/>
      </c>
      <c r="N27" s="37" t="inlineStr">
        <is>
          <t>day log 2022-12-26</t>
        </is>
      </c>
      <c r="O27" s="37" t="inlineStr">
        <is>
          <t>HB-COUNTER-2</t>
        </is>
      </c>
    </row>
    <row r="28">
      <c r="A28" s="37">
        <f>IF(J28="YES","OK",IF(K28&gt;0,"Priority 1","Priority 2"))</f>
        <v/>
      </c>
      <c r="B28" s="37" t="inlineStr">
        <is>
          <t>AMD-000478</t>
        </is>
      </c>
      <c r="C28" s="38" t="n">
        <v>44925</v>
      </c>
      <c r="D28" s="37" t="inlineStr">
        <is>
          <t>WL-03274</t>
        </is>
      </c>
      <c r="E28" s="37">
        <f>IFERROR(INDEX(Applicants!$C$2:$C$2911,MATCH(D28,Applicants!$A$2:$A$2911,0))&amp;" "&amp;INDEX(Applicants!$B$2:$B$2911,MATCH(D28,Applicants!$A$2:$A$2911,0)),"")</f>
        <v/>
      </c>
      <c r="F28" s="39" t="n">
        <v>26.3</v>
      </c>
      <c r="G28" s="39" t="n">
        <v>27.5</v>
      </c>
      <c r="H28" s="37" t="inlineStr">
        <is>
          <t>MC-2022-0649</t>
        </is>
      </c>
      <c r="I28" s="37">
        <f>IF(COUNTIF('Cert Docs'!$A$2:$A$3,D28)&gt;0,"YES","NO")</f>
        <v/>
      </c>
      <c r="J28" s="37">
        <f>IF(COUNTIFS('Cert Docs'!$A$2:$A$3,D28,'Cert Docs'!$E$2:$E$3,G28,'Cert Docs'!$H$2:$H$3,"YES",'Cert Docs'!$D$2:$D$3,"&lt;="&amp;C28)&gt;0,"YES","NO")</f>
        <v/>
      </c>
      <c r="K28" s="37">
        <f>COUNTIFS('Skip Audit'!$F$5:$F$313,D28,'Skip Audit'!$E$5:$E$313,"&gt;="&amp;C28)</f>
        <v/>
      </c>
      <c r="M28" s="37">
        <f>IF(J28="YES","Substantiated by supplied signed certificate",IF(I28="YES","Supplied certificate does not match amendment date/value","No signed certificate or yard sheet supplied"))</f>
        <v/>
      </c>
      <c r="N28" s="37" t="inlineStr">
        <is>
          <t>day log 2022-12-30</t>
        </is>
      </c>
      <c r="O28" s="37" t="inlineStr">
        <is>
          <t>HB-COUNTER-2</t>
        </is>
      </c>
    </row>
    <row r="29">
      <c r="A29" s="37">
        <f>IF(J29="YES","OK",IF(K29&gt;0,"Priority 1","Priority 2"))</f>
        <v/>
      </c>
      <c r="B29" s="37" t="inlineStr">
        <is>
          <t>AMD-000482</t>
        </is>
      </c>
      <c r="C29" s="38" t="n">
        <v>44927</v>
      </c>
      <c r="D29" s="37" t="inlineStr">
        <is>
          <t>WL-03883</t>
        </is>
      </c>
      <c r="E29" s="37">
        <f>IFERROR(INDEX(Applicants!$C$2:$C$2911,MATCH(D29,Applicants!$A$2:$A$2911,0))&amp;" "&amp;INDEX(Applicants!$B$2:$B$2911,MATCH(D29,Applicants!$A$2:$A$2911,0)),"")</f>
        <v/>
      </c>
      <c r="F29" s="39" t="n">
        <v>23.8</v>
      </c>
      <c r="G29" s="39" t="n">
        <v>24</v>
      </c>
      <c r="H29" s="37" t="inlineStr">
        <is>
          <t>MC-2023-0263</t>
        </is>
      </c>
      <c r="I29" s="37">
        <f>IF(COUNTIF('Cert Docs'!$A$2:$A$3,D29)&gt;0,"YES","NO")</f>
        <v/>
      </c>
      <c r="J29" s="37">
        <f>IF(COUNTIFS('Cert Docs'!$A$2:$A$3,D29,'Cert Docs'!$E$2:$E$3,G29,'Cert Docs'!$H$2:$H$3,"YES",'Cert Docs'!$D$2:$D$3,"&lt;="&amp;C29)&gt;0,"YES","NO")</f>
        <v/>
      </c>
      <c r="K29" s="37">
        <f>COUNTIFS('Skip Audit'!$F$5:$F$313,D29,'Skip Audit'!$E$5:$E$313,"&gt;="&amp;C29)</f>
        <v/>
      </c>
      <c r="M29" s="37">
        <f>IF(J29="YES","Substantiated by supplied signed certificate",IF(I29="YES","Supplied certificate does not match amendment date/value","No signed certificate or yard sheet supplied"))</f>
        <v/>
      </c>
      <c r="N29" s="37" t="inlineStr">
        <is>
          <t>day log 2023-01-01</t>
        </is>
      </c>
      <c r="O29" s="37" t="inlineStr">
        <is>
          <t>HB-COUNTER-2</t>
        </is>
      </c>
    </row>
    <row r="30">
      <c r="A30" s="37">
        <f>IF(J30="YES","OK",IF(K30&gt;0,"Priority 1","Priority 2"))</f>
        <v/>
      </c>
      <c r="B30" s="37" t="inlineStr">
        <is>
          <t>AMD-000506</t>
        </is>
      </c>
      <c r="C30" s="38" t="n">
        <v>44948</v>
      </c>
      <c r="D30" s="37" t="inlineStr">
        <is>
          <t>WL-02724</t>
        </is>
      </c>
      <c r="E30" s="37">
        <f>IFERROR(INDEX(Applicants!$C$2:$C$2911,MATCH(D30,Applicants!$A$2:$A$2911,0))&amp;" "&amp;INDEX(Applicants!$B$2:$B$2911,MATCH(D30,Applicants!$A$2:$A$2911,0)),"")</f>
        <v/>
      </c>
      <c r="F30" s="39" t="n">
        <v>45.4</v>
      </c>
      <c r="G30" s="39" t="n">
        <v>44.5</v>
      </c>
      <c r="H30" s="37" t="inlineStr">
        <is>
          <t>MC-2023-0238</t>
        </is>
      </c>
      <c r="I30" s="37">
        <f>IF(COUNTIF('Cert Docs'!$A$2:$A$3,D30)&gt;0,"YES","NO")</f>
        <v/>
      </c>
      <c r="J30" s="37">
        <f>IF(COUNTIFS('Cert Docs'!$A$2:$A$3,D30,'Cert Docs'!$E$2:$E$3,G30,'Cert Docs'!$H$2:$H$3,"YES",'Cert Docs'!$D$2:$D$3,"&lt;="&amp;C30)&gt;0,"YES","NO")</f>
        <v/>
      </c>
      <c r="K30" s="37">
        <f>COUNTIFS('Skip Audit'!$F$5:$F$313,D30,'Skip Audit'!$E$5:$E$313,"&gt;="&amp;C30)</f>
        <v/>
      </c>
      <c r="M30" s="37">
        <f>IF(J30="YES","Substantiated by supplied signed certificate",IF(I30="YES","Supplied certificate does not match amendment date/value","No signed certificate or yard sheet supplied"))</f>
        <v/>
      </c>
      <c r="N30" s="37" t="inlineStr">
        <is>
          <t>day log 2023-01-22</t>
        </is>
      </c>
      <c r="O30" s="37" t="inlineStr">
        <is>
          <t>HB-COUNTER-2</t>
        </is>
      </c>
    </row>
    <row r="31">
      <c r="A31" s="37">
        <f>IF(J31="YES","OK",IF(K31&gt;0,"Priority 1","Priority 2"))</f>
        <v/>
      </c>
      <c r="B31" s="37" t="inlineStr">
        <is>
          <t>AMD-000526</t>
        </is>
      </c>
      <c r="C31" s="38" t="n">
        <v>44960</v>
      </c>
      <c r="D31" s="37" t="inlineStr">
        <is>
          <t>WL-03429</t>
        </is>
      </c>
      <c r="E31" s="37">
        <f>IFERROR(INDEX(Applicants!$C$2:$C$2911,MATCH(D31,Applicants!$A$2:$A$2911,0))&amp;" "&amp;INDEX(Applicants!$B$2:$B$2911,MATCH(D31,Applicants!$A$2:$A$2911,0)),"")</f>
        <v/>
      </c>
      <c r="F31" s="39" t="n">
        <v>20.4</v>
      </c>
      <c r="G31" s="39" t="n">
        <v>23.1</v>
      </c>
      <c r="H31" s="37" t="inlineStr">
        <is>
          <t>MC-2023-0961</t>
        </is>
      </c>
      <c r="I31" s="37">
        <f>IF(COUNTIF('Cert Docs'!$A$2:$A$3,D31)&gt;0,"YES","NO")</f>
        <v/>
      </c>
      <c r="J31" s="37">
        <f>IF(COUNTIFS('Cert Docs'!$A$2:$A$3,D31,'Cert Docs'!$E$2:$E$3,G31,'Cert Docs'!$H$2:$H$3,"YES",'Cert Docs'!$D$2:$D$3,"&lt;="&amp;C31)&gt;0,"YES","NO")</f>
        <v/>
      </c>
      <c r="K31" s="37">
        <f>COUNTIFS('Skip Audit'!$F$5:$F$313,D31,'Skip Audit'!$E$5:$E$313,"&gt;="&amp;C31)</f>
        <v/>
      </c>
      <c r="M31" s="37">
        <f>IF(J31="YES","Substantiated by supplied signed certificate",IF(I31="YES","Supplied certificate does not match amendment date/value","No signed certificate or yard sheet supplied"))</f>
        <v/>
      </c>
      <c r="N31" s="37" t="inlineStr">
        <is>
          <t>day log 2023-02-03</t>
        </is>
      </c>
      <c r="O31" s="37" t="inlineStr">
        <is>
          <t>HB-COUNTER-2</t>
        </is>
      </c>
    </row>
    <row r="32">
      <c r="A32" s="37">
        <f>IF(J32="YES","OK",IF(K32&gt;0,"Priority 1","Priority 2"))</f>
        <v/>
      </c>
      <c r="B32" s="37" t="inlineStr">
        <is>
          <t>AMD-000528</t>
        </is>
      </c>
      <c r="C32" s="38" t="n">
        <v>44960</v>
      </c>
      <c r="D32" s="37" t="inlineStr">
        <is>
          <t>WL-01746</t>
        </is>
      </c>
      <c r="E32" s="37">
        <f>IFERROR(INDEX(Applicants!$C$2:$C$2911,MATCH(D32,Applicants!$A$2:$A$2911,0))&amp;" "&amp;INDEX(Applicants!$B$2:$B$2911,MATCH(D32,Applicants!$A$2:$A$2911,0)),"")</f>
        <v/>
      </c>
      <c r="F32" s="39" t="n">
        <v>53.7</v>
      </c>
      <c r="G32" s="39" t="n">
        <v>54.4</v>
      </c>
      <c r="H32" s="37" t="inlineStr">
        <is>
          <t>MC-2023-0335</t>
        </is>
      </c>
      <c r="I32" s="37">
        <f>IF(COUNTIF('Cert Docs'!$A$2:$A$3,D32)&gt;0,"YES","NO")</f>
        <v/>
      </c>
      <c r="J32" s="37">
        <f>IF(COUNTIFS('Cert Docs'!$A$2:$A$3,D32,'Cert Docs'!$E$2:$E$3,G32,'Cert Docs'!$H$2:$H$3,"YES",'Cert Docs'!$D$2:$D$3,"&lt;="&amp;C32)&gt;0,"YES","NO")</f>
        <v/>
      </c>
      <c r="K32" s="37">
        <f>COUNTIFS('Skip Audit'!$F$5:$F$313,D32,'Skip Audit'!$E$5:$E$313,"&gt;="&amp;C32)</f>
        <v/>
      </c>
      <c r="L32" s="37" t="inlineStr">
        <is>
          <t>SKP-2023-0165</t>
        </is>
      </c>
      <c r="M32" s="37">
        <f>IF(J32="YES","Substantiated by supplied signed certificate",IF(I32="YES","Supplied certificate does not match amendment date/value","No signed certificate or yard sheet supplied"))</f>
        <v/>
      </c>
      <c r="N32" s="37" t="inlineStr">
        <is>
          <t>day log 2023-02-03</t>
        </is>
      </c>
      <c r="O32" s="37" t="inlineStr">
        <is>
          <t>HB-COUNTER-2</t>
        </is>
      </c>
    </row>
    <row r="33">
      <c r="A33" s="37">
        <f>IF(J33="YES","OK",IF(K33&gt;0,"Priority 1","Priority 2"))</f>
        <v/>
      </c>
      <c r="B33" s="37" t="inlineStr">
        <is>
          <t>AMD-000580</t>
        </is>
      </c>
      <c r="C33" s="38" t="n">
        <v>44996</v>
      </c>
      <c r="D33" s="37" t="inlineStr">
        <is>
          <t>WL-03115</t>
        </is>
      </c>
      <c r="E33" s="37">
        <f>IFERROR(INDEX(Applicants!$C$2:$C$2911,MATCH(D33,Applicants!$A$2:$A$2911,0))&amp;" "&amp;INDEX(Applicants!$B$2:$B$2911,MATCH(D33,Applicants!$A$2:$A$2911,0)),"")</f>
        <v/>
      </c>
      <c r="F33" s="39" t="n">
        <v>53.7</v>
      </c>
      <c r="G33" s="39" t="n">
        <v>51.8</v>
      </c>
      <c r="H33" s="37" t="inlineStr">
        <is>
          <t>MC-2023-0485</t>
        </is>
      </c>
      <c r="I33" s="37">
        <f>IF(COUNTIF('Cert Docs'!$A$2:$A$3,D33)&gt;0,"YES","NO")</f>
        <v/>
      </c>
      <c r="J33" s="37">
        <f>IF(COUNTIFS('Cert Docs'!$A$2:$A$3,D33,'Cert Docs'!$E$2:$E$3,G33,'Cert Docs'!$H$2:$H$3,"YES",'Cert Docs'!$D$2:$D$3,"&lt;="&amp;C33)&gt;0,"YES","NO")</f>
        <v/>
      </c>
      <c r="K33" s="37">
        <f>COUNTIFS('Skip Audit'!$F$5:$F$313,D33,'Skip Audit'!$E$5:$E$313,"&gt;="&amp;C33)</f>
        <v/>
      </c>
      <c r="M33" s="37">
        <f>IF(J33="YES","Substantiated by supplied signed certificate",IF(I33="YES","Supplied certificate does not match amendment date/value","No signed certificate or yard sheet supplied"))</f>
        <v/>
      </c>
      <c r="N33" s="37" t="inlineStr">
        <is>
          <t>day log 2023-03-11</t>
        </is>
      </c>
      <c r="O33" s="37" t="inlineStr">
        <is>
          <t>HB-COUNTER-2</t>
        </is>
      </c>
    </row>
    <row r="34">
      <c r="A34" s="37">
        <f>IF(J34="YES","OK",IF(K34&gt;0,"Priority 1","Priority 2"))</f>
        <v/>
      </c>
      <c r="B34" s="37" t="inlineStr">
        <is>
          <t>AMD-000584</t>
        </is>
      </c>
      <c r="C34" s="38" t="n">
        <v>44999</v>
      </c>
      <c r="D34" s="37" t="inlineStr">
        <is>
          <t>WL-03617</t>
        </is>
      </c>
      <c r="E34" s="37">
        <f>IFERROR(INDEX(Applicants!$C$2:$C$2911,MATCH(D34,Applicants!$A$2:$A$2911,0))&amp;" "&amp;INDEX(Applicants!$B$2:$B$2911,MATCH(D34,Applicants!$A$2:$A$2911,0)),"")</f>
        <v/>
      </c>
      <c r="F34" s="39" t="n">
        <v>25.5</v>
      </c>
      <c r="G34" s="39" t="n">
        <v>26.7</v>
      </c>
      <c r="H34" s="37" t="inlineStr">
        <is>
          <t>Foldview Marine Services haul-out sheet 2022-09-09</t>
        </is>
      </c>
      <c r="I34" s="37">
        <f>IF(COUNTIF('Cert Docs'!$A$2:$A$3,D34)&gt;0,"YES","NO")</f>
        <v/>
      </c>
      <c r="J34" s="37">
        <f>IF(COUNTIFS('Cert Docs'!$A$2:$A$3,D34,'Cert Docs'!$E$2:$E$3,G34,'Cert Docs'!$H$2:$H$3,"YES",'Cert Docs'!$D$2:$D$3,"&lt;="&amp;C34)&gt;0,"YES","NO")</f>
        <v/>
      </c>
      <c r="K34" s="37">
        <f>COUNTIFS('Skip Audit'!$F$5:$F$313,D34,'Skip Audit'!$E$5:$E$313,"&gt;="&amp;C34)</f>
        <v/>
      </c>
      <c r="M34" s="37">
        <f>IF(J34="YES","Substantiated by supplied signed certificate",IF(I34="YES","Supplied certificate does not match amendment date/value","No signed certificate or yard sheet supplied"))</f>
        <v/>
      </c>
      <c r="N34" s="37" t="inlineStr">
        <is>
          <t>day log 2023-03-14</t>
        </is>
      </c>
      <c r="O34" s="37" t="inlineStr">
        <is>
          <t>HB-COUNTER-2</t>
        </is>
      </c>
    </row>
    <row r="35">
      <c r="A35" s="37">
        <f>IF(J35="YES","OK",IF(K35&gt;0,"Priority 1","Priority 2"))</f>
        <v/>
      </c>
      <c r="B35" s="37" t="inlineStr">
        <is>
          <t>AMD-000601</t>
        </is>
      </c>
      <c r="C35" s="38" t="n">
        <v>45010</v>
      </c>
      <c r="D35" s="37" t="inlineStr">
        <is>
          <t>WL-01670</t>
        </is>
      </c>
      <c r="E35" s="37">
        <f>IFERROR(INDEX(Applicants!$C$2:$C$2911,MATCH(D35,Applicants!$A$2:$A$2911,0))&amp;" "&amp;INDEX(Applicants!$B$2:$B$2911,MATCH(D35,Applicants!$A$2:$A$2911,0)),"")</f>
        <v/>
      </c>
      <c r="F35" s="39" t="n">
        <v>28.8</v>
      </c>
      <c r="G35" s="39" t="n">
        <v>29.6</v>
      </c>
      <c r="H35" s="37" t="inlineStr">
        <is>
          <t>MC-2023-0255</t>
        </is>
      </c>
      <c r="I35" s="37">
        <f>IF(COUNTIF('Cert Docs'!$A$2:$A$3,D35)&gt;0,"YES","NO")</f>
        <v/>
      </c>
      <c r="J35" s="37">
        <f>IF(COUNTIFS('Cert Docs'!$A$2:$A$3,D35,'Cert Docs'!$E$2:$E$3,G35,'Cert Docs'!$H$2:$H$3,"YES",'Cert Docs'!$D$2:$D$3,"&lt;="&amp;C35)&gt;0,"YES","NO")</f>
        <v/>
      </c>
      <c r="K35" s="37">
        <f>COUNTIFS('Skip Audit'!$F$5:$F$313,D35,'Skip Audit'!$E$5:$E$313,"&gt;="&amp;C35)</f>
        <v/>
      </c>
      <c r="M35" s="37">
        <f>IF(J35="YES","Substantiated by supplied signed certificate",IF(I35="YES","Supplied certificate does not match amendment date/value","No signed certificate or yard sheet supplied"))</f>
        <v/>
      </c>
      <c r="N35" s="37" t="inlineStr">
        <is>
          <t>day log 2023-03-25</t>
        </is>
      </c>
      <c r="O35" s="37" t="inlineStr">
        <is>
          <t>HB-COUNTER-2</t>
        </is>
      </c>
    </row>
    <row r="36">
      <c r="A36" s="37">
        <f>IF(J36="YES","OK",IF(K36&gt;0,"Priority 1","Priority 2"))</f>
        <v/>
      </c>
      <c r="B36" s="37" t="inlineStr">
        <is>
          <t>AMD-000610</t>
        </is>
      </c>
      <c r="C36" s="38" t="n">
        <v>45023</v>
      </c>
      <c r="D36" s="37" t="inlineStr">
        <is>
          <t>WL-02695</t>
        </is>
      </c>
      <c r="E36" s="37">
        <f>IFERROR(INDEX(Applicants!$C$2:$C$2911,MATCH(D36,Applicants!$A$2:$A$2911,0))&amp;" "&amp;INDEX(Applicants!$B$2:$B$2911,MATCH(D36,Applicants!$A$2:$A$2911,0)),"")</f>
        <v/>
      </c>
      <c r="F36" s="39" t="n">
        <v>52.1</v>
      </c>
      <c r="G36" s="39" t="n">
        <v>52.5</v>
      </c>
      <c r="H36" s="37" t="inlineStr">
        <is>
          <t>Foldview Marine Services haul-out sheet 2022-11-25</t>
        </is>
      </c>
      <c r="I36" s="37">
        <f>IF(COUNTIF('Cert Docs'!$A$2:$A$3,D36)&gt;0,"YES","NO")</f>
        <v/>
      </c>
      <c r="J36" s="37">
        <f>IF(COUNTIFS('Cert Docs'!$A$2:$A$3,D36,'Cert Docs'!$E$2:$E$3,G36,'Cert Docs'!$H$2:$H$3,"YES",'Cert Docs'!$D$2:$D$3,"&lt;="&amp;C36)&gt;0,"YES","NO")</f>
        <v/>
      </c>
      <c r="K36" s="37">
        <f>COUNTIFS('Skip Audit'!$F$5:$F$313,D36,'Skip Audit'!$E$5:$E$313,"&gt;="&amp;C36)</f>
        <v/>
      </c>
      <c r="M36" s="37">
        <f>IF(J36="YES","Substantiated by supplied signed certificate",IF(I36="YES","Supplied certificate does not match amendment date/value","No signed certificate or yard sheet supplied"))</f>
        <v/>
      </c>
      <c r="N36" s="37" t="inlineStr">
        <is>
          <t>day log 2023-04-07</t>
        </is>
      </c>
      <c r="O36" s="37" t="inlineStr">
        <is>
          <t>HB-COUNTER-2</t>
        </is>
      </c>
    </row>
    <row r="37">
      <c r="A37" s="37">
        <f>IF(J37="YES","OK",IF(K37&gt;0,"Priority 1","Priority 2"))</f>
        <v/>
      </c>
      <c r="B37" s="37" t="inlineStr">
        <is>
          <t>AMD-000627</t>
        </is>
      </c>
      <c r="C37" s="38" t="n">
        <v>45038</v>
      </c>
      <c r="D37" s="37" t="inlineStr">
        <is>
          <t>WL-01438</t>
        </is>
      </c>
      <c r="E37" s="37">
        <f>IFERROR(INDEX(Applicants!$C$2:$C$2911,MATCH(D37,Applicants!$A$2:$A$2911,0))&amp;" "&amp;INDEX(Applicants!$B$2:$B$2911,MATCH(D37,Applicants!$A$2:$A$2911,0)),"")</f>
        <v/>
      </c>
      <c r="F37" s="39" t="n">
        <v>21.7</v>
      </c>
      <c r="G37" s="39" t="n">
        <v>21.3</v>
      </c>
      <c r="H37" s="37" t="inlineStr">
        <is>
          <t>MC-2023-0423</t>
        </is>
      </c>
      <c r="I37" s="37">
        <f>IF(COUNTIF('Cert Docs'!$A$2:$A$3,D37)&gt;0,"YES","NO")</f>
        <v/>
      </c>
      <c r="J37" s="37">
        <f>IF(COUNTIFS('Cert Docs'!$A$2:$A$3,D37,'Cert Docs'!$E$2:$E$3,G37,'Cert Docs'!$H$2:$H$3,"YES",'Cert Docs'!$D$2:$D$3,"&lt;="&amp;C37)&gt;0,"YES","NO")</f>
        <v/>
      </c>
      <c r="K37" s="37">
        <f>COUNTIFS('Skip Audit'!$F$5:$F$313,D37,'Skip Audit'!$E$5:$E$313,"&gt;="&amp;C37)</f>
        <v/>
      </c>
      <c r="M37" s="37">
        <f>IF(J37="YES","Substantiated by supplied signed certificate",IF(I37="YES","Supplied certificate does not match amendment date/value","No signed certificate or yard sheet supplied"))</f>
        <v/>
      </c>
      <c r="N37" s="37" t="inlineStr">
        <is>
          <t>day log 2023-04-22</t>
        </is>
      </c>
      <c r="O37" s="37" t="inlineStr">
        <is>
          <t>HB-COUNTER-2</t>
        </is>
      </c>
    </row>
    <row r="38">
      <c r="A38" s="37">
        <f>IF(J38="YES","OK",IF(K38&gt;0,"Priority 1","Priority 2"))</f>
        <v/>
      </c>
      <c r="B38" s="37" t="inlineStr">
        <is>
          <t>AMD-000646</t>
        </is>
      </c>
      <c r="C38" s="38" t="n">
        <v>45050</v>
      </c>
      <c r="D38" s="37" t="inlineStr">
        <is>
          <t>WL-02496</t>
        </is>
      </c>
      <c r="E38" s="37">
        <f>IFERROR(INDEX(Applicants!$C$2:$C$2911,MATCH(D38,Applicants!$A$2:$A$2911,0))&amp;" "&amp;INDEX(Applicants!$B$2:$B$2911,MATCH(D38,Applicants!$A$2:$A$2911,0)),"")</f>
        <v/>
      </c>
      <c r="F38" s="39" t="n">
        <v>24.2</v>
      </c>
      <c r="G38" s="39" t="n">
        <v>24.3</v>
      </c>
      <c r="H38" s="37" t="n">
        <v/>
      </c>
      <c r="I38" s="37">
        <f>IF(COUNTIF('Cert Docs'!$A$2:$A$3,D38)&gt;0,"YES","NO")</f>
        <v/>
      </c>
      <c r="J38" s="37">
        <f>IF(COUNTIFS('Cert Docs'!$A$2:$A$3,D38,'Cert Docs'!$E$2:$E$3,G38,'Cert Docs'!$H$2:$H$3,"YES",'Cert Docs'!$D$2:$D$3,"&lt;="&amp;C38)&gt;0,"YES","NO")</f>
        <v/>
      </c>
      <c r="K38" s="37">
        <f>COUNTIFS('Skip Audit'!$F$5:$F$313,D38,'Skip Audit'!$E$5:$E$313,"&gt;="&amp;C38)</f>
        <v/>
      </c>
      <c r="M38" s="37">
        <f>IF(J38="YES","Substantiated by supplied signed certificate",IF(I38="YES","Supplied certificate does not match amendment date/value","No signed certificate or yard sheet supplied"))</f>
        <v/>
      </c>
      <c r="N38" s="37" t="inlineStr">
        <is>
          <t>day log 2023-05-04</t>
        </is>
      </c>
      <c r="O38" s="37" t="inlineStr">
        <is>
          <t>HB-COUNTER-2</t>
        </is>
      </c>
    </row>
    <row r="39">
      <c r="A39" s="37">
        <f>IF(J39="YES","OK",IF(K39&gt;0,"Priority 1","Priority 2"))</f>
        <v/>
      </c>
      <c r="B39" s="37" t="inlineStr">
        <is>
          <t>AMD-000661</t>
        </is>
      </c>
      <c r="C39" s="38" t="n">
        <v>45067</v>
      </c>
      <c r="D39" s="37" t="inlineStr">
        <is>
          <t>WL-02263</t>
        </is>
      </c>
      <c r="E39" s="37">
        <f>IFERROR(INDEX(Applicants!$C$2:$C$2911,MATCH(D39,Applicants!$A$2:$A$2911,0))&amp;" "&amp;INDEX(Applicants!$B$2:$B$2911,MATCH(D39,Applicants!$A$2:$A$2911,0)),"")</f>
        <v/>
      </c>
      <c r="F39" s="39" t="n">
        <v>54</v>
      </c>
      <c r="G39" s="39" t="n">
        <v>53.9</v>
      </c>
      <c r="H39" s="37" t="inlineStr">
        <is>
          <t>Foldview Marine Services haul-out sheet 2023-04-18</t>
        </is>
      </c>
      <c r="I39" s="37">
        <f>IF(COUNTIF('Cert Docs'!$A$2:$A$3,D39)&gt;0,"YES","NO")</f>
        <v/>
      </c>
      <c r="J39" s="37">
        <f>IF(COUNTIFS('Cert Docs'!$A$2:$A$3,D39,'Cert Docs'!$E$2:$E$3,G39,'Cert Docs'!$H$2:$H$3,"YES",'Cert Docs'!$D$2:$D$3,"&lt;="&amp;C39)&gt;0,"YES","NO")</f>
        <v/>
      </c>
      <c r="K39" s="37">
        <f>COUNTIFS('Skip Audit'!$F$5:$F$313,D39,'Skip Audit'!$E$5:$E$313,"&gt;="&amp;C39)</f>
        <v/>
      </c>
      <c r="M39" s="37">
        <f>IF(J39="YES","Substantiated by supplied signed certificate",IF(I39="YES","Supplied certificate does not match amendment date/value","No signed certificate or yard sheet supplied"))</f>
        <v/>
      </c>
      <c r="N39" s="37" t="inlineStr">
        <is>
          <t>day log 2023-05-21</t>
        </is>
      </c>
      <c r="O39" s="37" t="inlineStr">
        <is>
          <t>HB-COUNTER-2</t>
        </is>
      </c>
    </row>
    <row r="40">
      <c r="A40" s="37">
        <f>IF(J40="YES","OK",IF(K40&gt;0,"Priority 1","Priority 2"))</f>
        <v/>
      </c>
      <c r="B40" s="37" t="inlineStr">
        <is>
          <t>AMD-000662</t>
        </is>
      </c>
      <c r="C40" s="38" t="n">
        <v>45067</v>
      </c>
      <c r="D40" s="37" t="inlineStr">
        <is>
          <t>WL-02278</t>
        </is>
      </c>
      <c r="E40" s="37">
        <f>IFERROR(INDEX(Applicants!$C$2:$C$2911,MATCH(D40,Applicants!$A$2:$A$2911,0))&amp;" "&amp;INDEX(Applicants!$B$2:$B$2911,MATCH(D40,Applicants!$A$2:$A$2911,0)),"")</f>
        <v/>
      </c>
      <c r="F40" s="39" t="n">
        <v>44.4</v>
      </c>
      <c r="G40" s="39" t="n">
        <v>44.9</v>
      </c>
      <c r="H40" s="37" t="inlineStr">
        <is>
          <t>MC-2023-0309</t>
        </is>
      </c>
      <c r="I40" s="37">
        <f>IF(COUNTIF('Cert Docs'!$A$2:$A$3,D40)&gt;0,"YES","NO")</f>
        <v/>
      </c>
      <c r="J40" s="37">
        <f>IF(COUNTIFS('Cert Docs'!$A$2:$A$3,D40,'Cert Docs'!$E$2:$E$3,G40,'Cert Docs'!$H$2:$H$3,"YES",'Cert Docs'!$D$2:$D$3,"&lt;="&amp;C40)&gt;0,"YES","NO")</f>
        <v/>
      </c>
      <c r="K40" s="37">
        <f>COUNTIFS('Skip Audit'!$F$5:$F$313,D40,'Skip Audit'!$E$5:$E$313,"&gt;="&amp;C40)</f>
        <v/>
      </c>
      <c r="M40" s="37">
        <f>IF(J40="YES","Substantiated by supplied signed certificate",IF(I40="YES","Supplied certificate does not match amendment date/value","No signed certificate or yard sheet supplied"))</f>
        <v/>
      </c>
      <c r="N40" s="37" t="inlineStr">
        <is>
          <t>day log 2023-05-21</t>
        </is>
      </c>
      <c r="O40" s="37" t="inlineStr">
        <is>
          <t>HB-COUNTER-2</t>
        </is>
      </c>
    </row>
    <row r="41">
      <c r="A41" s="37">
        <f>IF(J41="YES","OK",IF(K41&gt;0,"Priority 1","Priority 2"))</f>
        <v/>
      </c>
      <c r="B41" s="37" t="inlineStr">
        <is>
          <t>AMD-000682</t>
        </is>
      </c>
      <c r="C41" s="38" t="n">
        <v>45081</v>
      </c>
      <c r="D41" s="37" t="inlineStr">
        <is>
          <t>WL-02641</t>
        </is>
      </c>
      <c r="E41" s="37">
        <f>IFERROR(INDEX(Applicants!$C$2:$C$2911,MATCH(D41,Applicants!$A$2:$A$2911,0))&amp;" "&amp;INDEX(Applicants!$B$2:$B$2911,MATCH(D41,Applicants!$A$2:$A$2911,0)),"")</f>
        <v/>
      </c>
      <c r="F41" s="39" t="n">
        <v>35.5</v>
      </c>
      <c r="G41" s="39" t="n">
        <v>37.5</v>
      </c>
      <c r="H41" s="37" t="inlineStr">
        <is>
          <t>Foldview Marine Services haul-out sheet 2022-12-15</t>
        </is>
      </c>
      <c r="I41" s="37">
        <f>IF(COUNTIF('Cert Docs'!$A$2:$A$3,D41)&gt;0,"YES","NO")</f>
        <v/>
      </c>
      <c r="J41" s="37">
        <f>IF(COUNTIFS('Cert Docs'!$A$2:$A$3,D41,'Cert Docs'!$E$2:$E$3,G41,'Cert Docs'!$H$2:$H$3,"YES",'Cert Docs'!$D$2:$D$3,"&lt;="&amp;C41)&gt;0,"YES","NO")</f>
        <v/>
      </c>
      <c r="K41" s="37">
        <f>COUNTIFS('Skip Audit'!$F$5:$F$313,D41,'Skip Audit'!$E$5:$E$313,"&gt;="&amp;C41)</f>
        <v/>
      </c>
      <c r="M41" s="37">
        <f>IF(J41="YES","Substantiated by supplied signed certificate",IF(I41="YES","Supplied certificate does not match amendment date/value","No signed certificate or yard sheet supplied"))</f>
        <v/>
      </c>
      <c r="N41" s="37" t="inlineStr">
        <is>
          <t>day log 2023-06-04</t>
        </is>
      </c>
      <c r="O41" s="37" t="inlineStr">
        <is>
          <t>HB-COUNTER-2</t>
        </is>
      </c>
    </row>
    <row r="42">
      <c r="A42" s="37">
        <f>IF(J42="YES","OK",IF(K42&gt;0,"Priority 1","Priority 2"))</f>
        <v/>
      </c>
      <c r="B42" s="37" t="inlineStr">
        <is>
          <t>AMD-000691</t>
        </is>
      </c>
      <c r="C42" s="38" t="n">
        <v>45085</v>
      </c>
      <c r="D42" s="37" t="inlineStr">
        <is>
          <t>WL-03455</t>
        </is>
      </c>
      <c r="E42" s="37">
        <f>IFERROR(INDEX(Applicants!$C$2:$C$2911,MATCH(D42,Applicants!$A$2:$A$2911,0))&amp;" "&amp;INDEX(Applicants!$B$2:$B$2911,MATCH(D42,Applicants!$A$2:$A$2911,0)),"")</f>
        <v/>
      </c>
      <c r="F42" s="39" t="n">
        <v>36.5</v>
      </c>
      <c r="G42" s="39" t="n">
        <v>39</v>
      </c>
      <c r="H42" s="37" t="inlineStr">
        <is>
          <t>MC-2023-0192</t>
        </is>
      </c>
      <c r="I42" s="37">
        <f>IF(COUNTIF('Cert Docs'!$A$2:$A$3,D42)&gt;0,"YES","NO")</f>
        <v/>
      </c>
      <c r="J42" s="37">
        <f>IF(COUNTIFS('Cert Docs'!$A$2:$A$3,D42,'Cert Docs'!$E$2:$E$3,G42,'Cert Docs'!$H$2:$H$3,"YES",'Cert Docs'!$D$2:$D$3,"&lt;="&amp;C42)&gt;0,"YES","NO")</f>
        <v/>
      </c>
      <c r="K42" s="37">
        <f>COUNTIFS('Skip Audit'!$F$5:$F$313,D42,'Skip Audit'!$E$5:$E$313,"&gt;="&amp;C42)</f>
        <v/>
      </c>
      <c r="L42" s="37" t="inlineStr">
        <is>
          <t>SKP-2025-0331</t>
        </is>
      </c>
      <c r="M42" s="37">
        <f>IF(J42="YES","Substantiated by supplied signed certificate",IF(I42="YES","Supplied certificate does not match amendment date/value","No signed certificate or yard sheet supplied"))</f>
        <v/>
      </c>
      <c r="N42" s="37" t="inlineStr">
        <is>
          <t>day log 2023-06-08</t>
        </is>
      </c>
      <c r="O42" s="37" t="inlineStr">
        <is>
          <t>HB-COUNTER-2</t>
        </is>
      </c>
    </row>
    <row r="43">
      <c r="A43" s="37">
        <f>IF(J43="YES","OK",IF(K43&gt;0,"Priority 1","Priority 2"))</f>
        <v/>
      </c>
      <c r="B43" s="37" t="inlineStr">
        <is>
          <t>AMD-000694</t>
        </is>
      </c>
      <c r="C43" s="38" t="n">
        <v>45086</v>
      </c>
      <c r="D43" s="37" t="inlineStr">
        <is>
          <t>WL-03698</t>
        </is>
      </c>
      <c r="E43" s="37">
        <f>IFERROR(INDEX(Applicants!$C$2:$C$2911,MATCH(D43,Applicants!$A$2:$A$2911,0))&amp;" "&amp;INDEX(Applicants!$B$2:$B$2911,MATCH(D43,Applicants!$A$2:$A$2911,0)),"")</f>
        <v/>
      </c>
      <c r="F43" s="39" t="n">
        <v>38</v>
      </c>
      <c r="G43" s="39" t="n">
        <v>37.8</v>
      </c>
      <c r="H43" s="37" t="inlineStr">
        <is>
          <t>Foldview Marine Services haul-out sheet 2022-10-31</t>
        </is>
      </c>
      <c r="I43" s="37">
        <f>IF(COUNTIF('Cert Docs'!$A$2:$A$3,D43)&gt;0,"YES","NO")</f>
        <v/>
      </c>
      <c r="J43" s="37">
        <f>IF(COUNTIFS('Cert Docs'!$A$2:$A$3,D43,'Cert Docs'!$E$2:$E$3,G43,'Cert Docs'!$H$2:$H$3,"YES",'Cert Docs'!$D$2:$D$3,"&lt;="&amp;C43)&gt;0,"YES","NO")</f>
        <v/>
      </c>
      <c r="K43" s="37">
        <f>COUNTIFS('Skip Audit'!$F$5:$F$313,D43,'Skip Audit'!$E$5:$E$313,"&gt;="&amp;C43)</f>
        <v/>
      </c>
      <c r="M43" s="37">
        <f>IF(J43="YES","Substantiated by supplied signed certificate",IF(I43="YES","Supplied certificate does not match amendment date/value","No signed certificate or yard sheet supplied"))</f>
        <v/>
      </c>
      <c r="N43" s="37" t="inlineStr">
        <is>
          <t>day log 2023-06-09</t>
        </is>
      </c>
      <c r="O43" s="37" t="inlineStr">
        <is>
          <t>HB-COUNTER-2</t>
        </is>
      </c>
    </row>
    <row r="44">
      <c r="A44" s="37">
        <f>IF(J44="YES","OK",IF(K44&gt;0,"Priority 1","Priority 2"))</f>
        <v/>
      </c>
      <c r="B44" s="37" t="inlineStr">
        <is>
          <t>AMD-000705</t>
        </is>
      </c>
      <c r="C44" s="38" t="n">
        <v>45095</v>
      </c>
      <c r="D44" s="37" t="inlineStr">
        <is>
          <t>WL-02747</t>
        </is>
      </c>
      <c r="E44" s="37">
        <f>IFERROR(INDEX(Applicants!$C$2:$C$2911,MATCH(D44,Applicants!$A$2:$A$2911,0))&amp;" "&amp;INDEX(Applicants!$B$2:$B$2911,MATCH(D44,Applicants!$A$2:$A$2911,0)),"")</f>
        <v/>
      </c>
      <c r="F44" s="39" t="n">
        <v>53.3</v>
      </c>
      <c r="G44" s="39" t="n">
        <v>51.8</v>
      </c>
      <c r="H44" s="37" t="inlineStr">
        <is>
          <t>MC-2023-0222</t>
        </is>
      </c>
      <c r="I44" s="37">
        <f>IF(COUNTIF('Cert Docs'!$A$2:$A$3,D44)&gt;0,"YES","NO")</f>
        <v/>
      </c>
      <c r="J44" s="37">
        <f>IF(COUNTIFS('Cert Docs'!$A$2:$A$3,D44,'Cert Docs'!$E$2:$E$3,G44,'Cert Docs'!$H$2:$H$3,"YES",'Cert Docs'!$D$2:$D$3,"&lt;="&amp;C44)&gt;0,"YES","NO")</f>
        <v/>
      </c>
      <c r="K44" s="37">
        <f>COUNTIFS('Skip Audit'!$F$5:$F$313,D44,'Skip Audit'!$E$5:$E$313,"&gt;="&amp;C44)</f>
        <v/>
      </c>
      <c r="L44" s="37" t="inlineStr">
        <is>
          <t>SKP-2025-0282</t>
        </is>
      </c>
      <c r="M44" s="37">
        <f>IF(J44="YES","Substantiated by supplied signed certificate",IF(I44="YES","Supplied certificate does not match amendment date/value","No signed certificate or yard sheet supplied"))</f>
        <v/>
      </c>
      <c r="N44" s="37" t="inlineStr">
        <is>
          <t>day log 2023-06-18</t>
        </is>
      </c>
      <c r="O44" s="37" t="inlineStr">
        <is>
          <t>HB-COUNTER-2</t>
        </is>
      </c>
    </row>
    <row r="45">
      <c r="A45" s="37">
        <f>IF(J45="YES","OK",IF(K45&gt;0,"Priority 1","Priority 2"))</f>
        <v/>
      </c>
      <c r="B45" s="37" t="inlineStr">
        <is>
          <t>AMD-000709</t>
        </is>
      </c>
      <c r="C45" s="38" t="n">
        <v>45097</v>
      </c>
      <c r="D45" s="37" t="inlineStr">
        <is>
          <t>WL-01302</t>
        </is>
      </c>
      <c r="E45" s="37">
        <f>IFERROR(INDEX(Applicants!$C$2:$C$2911,MATCH(D45,Applicants!$A$2:$A$2911,0))&amp;" "&amp;INDEX(Applicants!$B$2:$B$2911,MATCH(D45,Applicants!$A$2:$A$2911,0)),"")</f>
        <v/>
      </c>
      <c r="F45" s="39" t="n">
        <v>25.2</v>
      </c>
      <c r="G45" s="39" t="n">
        <v>26.6</v>
      </c>
      <c r="H45" s="37" t="inlineStr">
        <is>
          <t>MC-2023-0266</t>
        </is>
      </c>
      <c r="I45" s="37">
        <f>IF(COUNTIF('Cert Docs'!$A$2:$A$3,D45)&gt;0,"YES","NO")</f>
        <v/>
      </c>
      <c r="J45" s="37">
        <f>IF(COUNTIFS('Cert Docs'!$A$2:$A$3,D45,'Cert Docs'!$E$2:$E$3,G45,'Cert Docs'!$H$2:$H$3,"YES",'Cert Docs'!$D$2:$D$3,"&lt;="&amp;C45)&gt;0,"YES","NO")</f>
        <v/>
      </c>
      <c r="K45" s="37">
        <f>COUNTIFS('Skip Audit'!$F$5:$F$313,D45,'Skip Audit'!$E$5:$E$313,"&gt;="&amp;C45)</f>
        <v/>
      </c>
      <c r="M45" s="37">
        <f>IF(J45="YES","Substantiated by supplied signed certificate",IF(I45="YES","Supplied certificate does not match amendment date/value","No signed certificate or yard sheet supplied"))</f>
        <v/>
      </c>
      <c r="N45" s="37" t="inlineStr">
        <is>
          <t>day log 2023-06-20</t>
        </is>
      </c>
      <c r="O45" s="37" t="inlineStr">
        <is>
          <t>HB-COUNTER-2</t>
        </is>
      </c>
    </row>
    <row r="46">
      <c r="A46" s="37">
        <f>IF(J46="YES","OK",IF(K46&gt;0,"Priority 1","Priority 2"))</f>
        <v/>
      </c>
      <c r="B46" s="37" t="inlineStr">
        <is>
          <t>AMD-000712</t>
        </is>
      </c>
      <c r="C46" s="38" t="n">
        <v>45100</v>
      </c>
      <c r="D46" s="37" t="inlineStr">
        <is>
          <t>WL-01762</t>
        </is>
      </c>
      <c r="E46" s="37">
        <f>IFERROR(INDEX(Applicants!$C$2:$C$2911,MATCH(D46,Applicants!$A$2:$A$2911,0))&amp;" "&amp;INDEX(Applicants!$B$2:$B$2911,MATCH(D46,Applicants!$A$2:$A$2911,0)),"")</f>
        <v/>
      </c>
      <c r="F46" s="39" t="n">
        <v>33.5</v>
      </c>
      <c r="G46" s="39" t="n">
        <v>34.3</v>
      </c>
      <c r="H46" s="37" t="inlineStr">
        <is>
          <t>MC-2023-0225</t>
        </is>
      </c>
      <c r="I46" s="37">
        <f>IF(COUNTIF('Cert Docs'!$A$2:$A$3,D46)&gt;0,"YES","NO")</f>
        <v/>
      </c>
      <c r="J46" s="37">
        <f>IF(COUNTIFS('Cert Docs'!$A$2:$A$3,D46,'Cert Docs'!$E$2:$E$3,G46,'Cert Docs'!$H$2:$H$3,"YES",'Cert Docs'!$D$2:$D$3,"&lt;="&amp;C46)&gt;0,"YES","NO")</f>
        <v/>
      </c>
      <c r="K46" s="37">
        <f>COUNTIFS('Skip Audit'!$F$5:$F$313,D46,'Skip Audit'!$E$5:$E$313,"&gt;="&amp;C46)</f>
        <v/>
      </c>
      <c r="M46" s="37">
        <f>IF(J46="YES","Substantiated by supplied signed certificate",IF(I46="YES","Supplied certificate does not match amendment date/value","No signed certificate or yard sheet supplied"))</f>
        <v/>
      </c>
      <c r="N46" s="37" t="inlineStr">
        <is>
          <t>day log 2023-06-23</t>
        </is>
      </c>
      <c r="O46" s="37" t="inlineStr">
        <is>
          <t>HB-COUNTER-2</t>
        </is>
      </c>
    </row>
    <row r="47">
      <c r="A47" s="37">
        <f>IF(J47="YES","OK",IF(K47&gt;0,"Priority 1","Priority 2"))</f>
        <v/>
      </c>
      <c r="B47" s="37" t="inlineStr">
        <is>
          <t>AMD-000714</t>
        </is>
      </c>
      <c r="C47" s="38" t="n">
        <v>45101</v>
      </c>
      <c r="D47" s="37" t="inlineStr">
        <is>
          <t>WL-01959</t>
        </is>
      </c>
      <c r="E47" s="37">
        <f>IFERROR(INDEX(Applicants!$C$2:$C$2911,MATCH(D47,Applicants!$A$2:$A$2911,0))&amp;" "&amp;INDEX(Applicants!$B$2:$B$2911,MATCH(D47,Applicants!$A$2:$A$2911,0)),"")</f>
        <v/>
      </c>
      <c r="F47" s="39" t="n">
        <v>32.3</v>
      </c>
      <c r="G47" s="39" t="n">
        <v>34.6</v>
      </c>
      <c r="H47" s="37" t="inlineStr">
        <is>
          <t>Foldview Marine Services haul-out sheet 2023-01-12</t>
        </is>
      </c>
      <c r="I47" s="37">
        <f>IF(COUNTIF('Cert Docs'!$A$2:$A$3,D47)&gt;0,"YES","NO")</f>
        <v/>
      </c>
      <c r="J47" s="37">
        <f>IF(COUNTIFS('Cert Docs'!$A$2:$A$3,D47,'Cert Docs'!$E$2:$E$3,G47,'Cert Docs'!$H$2:$H$3,"YES",'Cert Docs'!$D$2:$D$3,"&lt;="&amp;C47)&gt;0,"YES","NO")</f>
        <v/>
      </c>
      <c r="K47" s="37">
        <f>COUNTIFS('Skip Audit'!$F$5:$F$313,D47,'Skip Audit'!$E$5:$E$313,"&gt;="&amp;C47)</f>
        <v/>
      </c>
      <c r="M47" s="37">
        <f>IF(J47="YES","Substantiated by supplied signed certificate",IF(I47="YES","Supplied certificate does not match amendment date/value","No signed certificate or yard sheet supplied"))</f>
        <v/>
      </c>
      <c r="N47" s="37" t="inlineStr">
        <is>
          <t>day log 2023-06-24</t>
        </is>
      </c>
      <c r="O47" s="37" t="inlineStr">
        <is>
          <t>HB-COUNTER-2</t>
        </is>
      </c>
    </row>
    <row r="48">
      <c r="A48" s="37">
        <f>IF(J48="YES","OK",IF(K48&gt;0,"Priority 1","Priority 2"))</f>
        <v/>
      </c>
      <c r="B48" s="37" t="inlineStr">
        <is>
          <t>AMD-000750</t>
        </is>
      </c>
      <c r="C48" s="38" t="n">
        <v>45132</v>
      </c>
      <c r="D48" s="37" t="inlineStr">
        <is>
          <t>WL-03333</t>
        </is>
      </c>
      <c r="E48" s="37">
        <f>IFERROR(INDEX(Applicants!$C$2:$C$2911,MATCH(D48,Applicants!$A$2:$A$2911,0))&amp;" "&amp;INDEX(Applicants!$B$2:$B$2911,MATCH(D48,Applicants!$A$2:$A$2911,0)),"")</f>
        <v/>
      </c>
      <c r="F48" s="39" t="n">
        <v>29.1</v>
      </c>
      <c r="G48" s="39" t="n">
        <v>26.9</v>
      </c>
      <c r="H48" s="37" t="inlineStr">
        <is>
          <t>Foldview Marine Services haul-out sheet 2022-11-09</t>
        </is>
      </c>
      <c r="I48" s="37">
        <f>IF(COUNTIF('Cert Docs'!$A$2:$A$3,D48)&gt;0,"YES","NO")</f>
        <v/>
      </c>
      <c r="J48" s="37">
        <f>IF(COUNTIFS('Cert Docs'!$A$2:$A$3,D48,'Cert Docs'!$E$2:$E$3,G48,'Cert Docs'!$H$2:$H$3,"YES",'Cert Docs'!$D$2:$D$3,"&lt;="&amp;C48)&gt;0,"YES","NO")</f>
        <v/>
      </c>
      <c r="K48" s="37">
        <f>COUNTIFS('Skip Audit'!$F$5:$F$313,D48,'Skip Audit'!$E$5:$E$313,"&gt;="&amp;C48)</f>
        <v/>
      </c>
      <c r="M48" s="37">
        <f>IF(J48="YES","Substantiated by supplied signed certificate",IF(I48="YES","Supplied certificate does not match amendment date/value","No signed certificate or yard sheet supplied"))</f>
        <v/>
      </c>
      <c r="N48" s="37" t="inlineStr">
        <is>
          <t>day log 2023-07-25</t>
        </is>
      </c>
      <c r="O48" s="37" t="inlineStr">
        <is>
          <t>HB-COUNTER-2</t>
        </is>
      </c>
    </row>
    <row r="49">
      <c r="A49" s="37">
        <f>IF(J49="YES","OK",IF(K49&gt;0,"Priority 1","Priority 2"))</f>
        <v/>
      </c>
      <c r="B49" s="37" t="inlineStr">
        <is>
          <t>AMD-000760</t>
        </is>
      </c>
      <c r="C49" s="38" t="n">
        <v>45141</v>
      </c>
      <c r="D49" s="37" t="inlineStr">
        <is>
          <t>WL-03183</t>
        </is>
      </c>
      <c r="E49" s="37">
        <f>IFERROR(INDEX(Applicants!$C$2:$C$2911,MATCH(D49,Applicants!$A$2:$A$2911,0))&amp;" "&amp;INDEX(Applicants!$B$2:$B$2911,MATCH(D49,Applicants!$A$2:$A$2911,0)),"")</f>
        <v/>
      </c>
      <c r="F49" s="39" t="n">
        <v>38.8</v>
      </c>
      <c r="G49" s="39" t="n">
        <v>39.8</v>
      </c>
      <c r="H49" s="37" t="inlineStr">
        <is>
          <t>MC-2023-0648</t>
        </is>
      </c>
      <c r="I49" s="37">
        <f>IF(COUNTIF('Cert Docs'!$A$2:$A$3,D49)&gt;0,"YES","NO")</f>
        <v/>
      </c>
      <c r="J49" s="37">
        <f>IF(COUNTIFS('Cert Docs'!$A$2:$A$3,D49,'Cert Docs'!$E$2:$E$3,G49,'Cert Docs'!$H$2:$H$3,"YES",'Cert Docs'!$D$2:$D$3,"&lt;="&amp;C49)&gt;0,"YES","NO")</f>
        <v/>
      </c>
      <c r="K49" s="37">
        <f>COUNTIFS('Skip Audit'!$F$5:$F$313,D49,'Skip Audit'!$E$5:$E$313,"&gt;="&amp;C49)</f>
        <v/>
      </c>
      <c r="M49" s="37">
        <f>IF(J49="YES","Substantiated by supplied signed certificate",IF(I49="YES","Supplied certificate does not match amendment date/value","No signed certificate or yard sheet supplied"))</f>
        <v/>
      </c>
      <c r="N49" s="37" t="inlineStr">
        <is>
          <t>day log 2023-08-03</t>
        </is>
      </c>
      <c r="O49" s="37" t="inlineStr">
        <is>
          <t>HB-COUNTER-2</t>
        </is>
      </c>
    </row>
    <row r="50">
      <c r="A50" s="37">
        <f>IF(J50="YES","OK",IF(K50&gt;0,"Priority 1","Priority 2"))</f>
        <v/>
      </c>
      <c r="B50" s="37" t="inlineStr">
        <is>
          <t>AMD-000763</t>
        </is>
      </c>
      <c r="C50" s="38" t="n">
        <v>45142</v>
      </c>
      <c r="D50" s="37" t="inlineStr">
        <is>
          <t>WL-02205</t>
        </is>
      </c>
      <c r="E50" s="37">
        <f>IFERROR(INDEX(Applicants!$C$2:$C$2911,MATCH(D50,Applicants!$A$2:$A$2911,0))&amp;" "&amp;INDEX(Applicants!$B$2:$B$2911,MATCH(D50,Applicants!$A$2:$A$2911,0)),"")</f>
        <v/>
      </c>
      <c r="F50" s="39" t="n">
        <v>38.6</v>
      </c>
      <c r="G50" s="39" t="n">
        <v>37.8</v>
      </c>
      <c r="H50" s="37" t="inlineStr">
        <is>
          <t>MC-2023-0129</t>
        </is>
      </c>
      <c r="I50" s="37">
        <f>IF(COUNTIF('Cert Docs'!$A$2:$A$3,D50)&gt;0,"YES","NO")</f>
        <v/>
      </c>
      <c r="J50" s="37">
        <f>IF(COUNTIFS('Cert Docs'!$A$2:$A$3,D50,'Cert Docs'!$E$2:$E$3,G50,'Cert Docs'!$H$2:$H$3,"YES",'Cert Docs'!$D$2:$D$3,"&lt;="&amp;C50)&gt;0,"YES","NO")</f>
        <v/>
      </c>
      <c r="K50" s="37">
        <f>COUNTIFS('Skip Audit'!$F$5:$F$313,D50,'Skip Audit'!$E$5:$E$313,"&gt;="&amp;C50)</f>
        <v/>
      </c>
      <c r="M50" s="37">
        <f>IF(J50="YES","Substantiated by supplied signed certificate",IF(I50="YES","Supplied certificate does not match amendment date/value","No signed certificate or yard sheet supplied"))</f>
        <v/>
      </c>
      <c r="N50" s="37" t="inlineStr">
        <is>
          <t>day log 2023-08-04</t>
        </is>
      </c>
      <c r="O50" s="37" t="inlineStr">
        <is>
          <t>HB-COUNTER-2</t>
        </is>
      </c>
    </row>
    <row r="51">
      <c r="A51" s="37">
        <f>IF(J51="YES","OK",IF(K51&gt;0,"Priority 1","Priority 2"))</f>
        <v/>
      </c>
      <c r="B51" s="37" t="inlineStr">
        <is>
          <t>AMD-000772</t>
        </is>
      </c>
      <c r="C51" s="38" t="n">
        <v>45148</v>
      </c>
      <c r="D51" s="37" t="inlineStr">
        <is>
          <t>WL-01594</t>
        </is>
      </c>
      <c r="E51" s="37">
        <f>IFERROR(INDEX(Applicants!$C$2:$C$2911,MATCH(D51,Applicants!$A$2:$A$2911,0))&amp;" "&amp;INDEX(Applicants!$B$2:$B$2911,MATCH(D51,Applicants!$A$2:$A$2911,0)),"")</f>
        <v/>
      </c>
      <c r="F51" s="39" t="n">
        <v>24</v>
      </c>
      <c r="G51" s="39" t="n">
        <v>23.5</v>
      </c>
      <c r="H51" s="37" t="inlineStr">
        <is>
          <t>Foldview Marine Services haul-out sheet 2022-09-12</t>
        </is>
      </c>
      <c r="I51" s="37">
        <f>IF(COUNTIF('Cert Docs'!$A$2:$A$3,D51)&gt;0,"YES","NO")</f>
        <v/>
      </c>
      <c r="J51" s="37">
        <f>IF(COUNTIFS('Cert Docs'!$A$2:$A$3,D51,'Cert Docs'!$E$2:$E$3,G51,'Cert Docs'!$H$2:$H$3,"YES",'Cert Docs'!$D$2:$D$3,"&lt;="&amp;C51)&gt;0,"YES","NO")</f>
        <v/>
      </c>
      <c r="K51" s="37">
        <f>COUNTIFS('Skip Audit'!$F$5:$F$313,D51,'Skip Audit'!$E$5:$E$313,"&gt;="&amp;C51)</f>
        <v/>
      </c>
      <c r="L51" s="37" t="inlineStr">
        <is>
          <t>SKP-2023-0176</t>
        </is>
      </c>
      <c r="M51" s="37">
        <f>IF(J51="YES","Substantiated by supplied signed certificate",IF(I51="YES","Supplied certificate does not match amendment date/value","No signed certificate or yard sheet supplied"))</f>
        <v/>
      </c>
      <c r="N51" s="37" t="inlineStr">
        <is>
          <t>day log 2023-08-10</t>
        </is>
      </c>
      <c r="O51" s="37" t="inlineStr">
        <is>
          <t>HB-COUNTER-2</t>
        </is>
      </c>
    </row>
    <row r="52">
      <c r="A52" s="37">
        <f>IF(J52="YES","OK",IF(K52&gt;0,"Priority 1","Priority 2"))</f>
        <v/>
      </c>
      <c r="B52" s="37" t="inlineStr">
        <is>
          <t>AMD-000777</t>
        </is>
      </c>
      <c r="C52" s="38" t="n">
        <v>45152</v>
      </c>
      <c r="D52" s="37" t="inlineStr">
        <is>
          <t>WL-02881</t>
        </is>
      </c>
      <c r="E52" s="37">
        <f>IFERROR(INDEX(Applicants!$C$2:$C$2911,MATCH(D52,Applicants!$A$2:$A$2911,0))&amp;" "&amp;INDEX(Applicants!$B$2:$B$2911,MATCH(D52,Applicants!$A$2:$A$2911,0)),"")</f>
        <v/>
      </c>
      <c r="F52" s="39" t="n">
        <v>40.5</v>
      </c>
      <c r="G52" s="39" t="n">
        <v>42.8</v>
      </c>
      <c r="H52" s="37" t="inlineStr">
        <is>
          <t>MC-2023-0628</t>
        </is>
      </c>
      <c r="I52" s="37">
        <f>IF(COUNTIF('Cert Docs'!$A$2:$A$3,D52)&gt;0,"YES","NO")</f>
        <v/>
      </c>
      <c r="J52" s="37">
        <f>IF(COUNTIFS('Cert Docs'!$A$2:$A$3,D52,'Cert Docs'!$E$2:$E$3,G52,'Cert Docs'!$H$2:$H$3,"YES",'Cert Docs'!$D$2:$D$3,"&lt;="&amp;C52)&gt;0,"YES","NO")</f>
        <v/>
      </c>
      <c r="K52" s="37">
        <f>COUNTIFS('Skip Audit'!$F$5:$F$313,D52,'Skip Audit'!$E$5:$E$313,"&gt;="&amp;C52)</f>
        <v/>
      </c>
      <c r="M52" s="37">
        <f>IF(J52="YES","Substantiated by supplied signed certificate",IF(I52="YES","Supplied certificate does not match amendment date/value","No signed certificate or yard sheet supplied"))</f>
        <v/>
      </c>
      <c r="N52" s="37" t="inlineStr">
        <is>
          <t>day log 2023-08-14</t>
        </is>
      </c>
      <c r="O52" s="37" t="inlineStr">
        <is>
          <t>HB-COUNTER-2</t>
        </is>
      </c>
    </row>
    <row r="53">
      <c r="A53" s="37">
        <f>IF(J53="YES","OK",IF(K53&gt;0,"Priority 1","Priority 2"))</f>
        <v/>
      </c>
      <c r="B53" s="37" t="inlineStr">
        <is>
          <t>AMD-000779</t>
        </is>
      </c>
      <c r="C53" s="38" t="n">
        <v>45154</v>
      </c>
      <c r="D53" s="37" t="inlineStr">
        <is>
          <t>WL-01864</t>
        </is>
      </c>
      <c r="E53" s="37">
        <f>IFERROR(INDEX(Applicants!$C$2:$C$2911,MATCH(D53,Applicants!$A$2:$A$2911,0))&amp;" "&amp;INDEX(Applicants!$B$2:$B$2911,MATCH(D53,Applicants!$A$2:$A$2911,0)),"")</f>
        <v/>
      </c>
      <c r="F53" s="39" t="n">
        <v>39.5</v>
      </c>
      <c r="G53" s="39" t="n">
        <v>41.3</v>
      </c>
      <c r="H53" s="37" t="inlineStr">
        <is>
          <t>Foldview Marine Services haul-out sheet 2022-09-13</t>
        </is>
      </c>
      <c r="I53" s="37">
        <f>IF(COUNTIF('Cert Docs'!$A$2:$A$3,D53)&gt;0,"YES","NO")</f>
        <v/>
      </c>
      <c r="J53" s="37">
        <f>IF(COUNTIFS('Cert Docs'!$A$2:$A$3,D53,'Cert Docs'!$E$2:$E$3,G53,'Cert Docs'!$H$2:$H$3,"YES",'Cert Docs'!$D$2:$D$3,"&lt;="&amp;C53)&gt;0,"YES","NO")</f>
        <v/>
      </c>
      <c r="K53" s="37">
        <f>COUNTIFS('Skip Audit'!$F$5:$F$313,D53,'Skip Audit'!$E$5:$E$313,"&gt;="&amp;C53)</f>
        <v/>
      </c>
      <c r="M53" s="37">
        <f>IF(J53="YES","Substantiated by supplied signed certificate",IF(I53="YES","Supplied certificate does not match amendment date/value","No signed certificate or yard sheet supplied"))</f>
        <v/>
      </c>
      <c r="N53" s="37" t="inlineStr">
        <is>
          <t>day log 2023-08-16</t>
        </is>
      </c>
      <c r="O53" s="37" t="inlineStr">
        <is>
          <t>HB-COUNTER-2</t>
        </is>
      </c>
    </row>
    <row r="54">
      <c r="A54" s="37">
        <f>IF(J54="YES","OK",IF(K54&gt;0,"Priority 1","Priority 2"))</f>
        <v/>
      </c>
      <c r="B54" s="37" t="inlineStr">
        <is>
          <t>AMD-000782</t>
        </is>
      </c>
      <c r="C54" s="38" t="n">
        <v>45156</v>
      </c>
      <c r="D54" s="37" t="inlineStr">
        <is>
          <t>WL-03250</t>
        </is>
      </c>
      <c r="E54" s="37">
        <f>IFERROR(INDEX(Applicants!$C$2:$C$2911,MATCH(D54,Applicants!$A$2:$A$2911,0))&amp;" "&amp;INDEX(Applicants!$B$2:$B$2911,MATCH(D54,Applicants!$A$2:$A$2911,0)),"")</f>
        <v/>
      </c>
      <c r="F54" s="39" t="n">
        <v>49</v>
      </c>
      <c r="G54" s="39" t="n">
        <v>51.2</v>
      </c>
      <c r="H54" s="37" t="inlineStr">
        <is>
          <t>Foldview Marine Services haul-out sheet 2023-01-11</t>
        </is>
      </c>
      <c r="I54" s="37">
        <f>IF(COUNTIF('Cert Docs'!$A$2:$A$3,D54)&gt;0,"YES","NO")</f>
        <v/>
      </c>
      <c r="J54" s="37">
        <f>IF(COUNTIFS('Cert Docs'!$A$2:$A$3,D54,'Cert Docs'!$E$2:$E$3,G54,'Cert Docs'!$H$2:$H$3,"YES",'Cert Docs'!$D$2:$D$3,"&lt;="&amp;C54)&gt;0,"YES","NO")</f>
        <v/>
      </c>
      <c r="K54" s="37">
        <f>COUNTIFS('Skip Audit'!$F$5:$F$313,D54,'Skip Audit'!$E$5:$E$313,"&gt;="&amp;C54)</f>
        <v/>
      </c>
      <c r="M54" s="37">
        <f>IF(J54="YES","Substantiated by supplied signed certificate",IF(I54="YES","Supplied certificate does not match amendment date/value","No signed certificate or yard sheet supplied"))</f>
        <v/>
      </c>
      <c r="N54" s="37" t="inlineStr">
        <is>
          <t>day log 2023-08-18</t>
        </is>
      </c>
      <c r="O54" s="37" t="inlineStr">
        <is>
          <t>HB-COUNTER-2</t>
        </is>
      </c>
    </row>
    <row r="55">
      <c r="A55" s="37">
        <f>IF(J55="YES","OK",IF(K55&gt;0,"Priority 1","Priority 2"))</f>
        <v/>
      </c>
      <c r="B55" s="37" t="inlineStr">
        <is>
          <t>AMD-000785</t>
        </is>
      </c>
      <c r="C55" s="38" t="n">
        <v>45158</v>
      </c>
      <c r="D55" s="37" t="inlineStr">
        <is>
          <t>WL-03293</t>
        </is>
      </c>
      <c r="E55" s="37">
        <f>IFERROR(INDEX(Applicants!$C$2:$C$2911,MATCH(D55,Applicants!$A$2:$A$2911,0))&amp;" "&amp;INDEX(Applicants!$B$2:$B$2911,MATCH(D55,Applicants!$A$2:$A$2911,0)),"")</f>
        <v/>
      </c>
      <c r="F55" s="39" t="n">
        <v>39.4</v>
      </c>
      <c r="G55" s="39" t="n">
        <v>39.3</v>
      </c>
      <c r="H55" s="37" t="inlineStr">
        <is>
          <t>MC-2023-0127</t>
        </is>
      </c>
      <c r="I55" s="37">
        <f>IF(COUNTIF('Cert Docs'!$A$2:$A$3,D55)&gt;0,"YES","NO")</f>
        <v/>
      </c>
      <c r="J55" s="37">
        <f>IF(COUNTIFS('Cert Docs'!$A$2:$A$3,D55,'Cert Docs'!$E$2:$E$3,G55,'Cert Docs'!$H$2:$H$3,"YES",'Cert Docs'!$D$2:$D$3,"&lt;="&amp;C55)&gt;0,"YES","NO")</f>
        <v/>
      </c>
      <c r="K55" s="37">
        <f>COUNTIFS('Skip Audit'!$F$5:$F$313,D55,'Skip Audit'!$E$5:$E$313,"&gt;="&amp;C55)</f>
        <v/>
      </c>
      <c r="M55" s="37">
        <f>IF(J55="YES","Substantiated by supplied signed certificate",IF(I55="YES","Supplied certificate does not match amendment date/value","No signed certificate or yard sheet supplied"))</f>
        <v/>
      </c>
      <c r="N55" s="37" t="inlineStr">
        <is>
          <t>day log 2023-08-20</t>
        </is>
      </c>
      <c r="O55" s="37" t="inlineStr">
        <is>
          <t>HB-COUNTER-2</t>
        </is>
      </c>
    </row>
    <row r="56">
      <c r="A56" s="37">
        <f>IF(J56="YES","OK",IF(K56&gt;0,"Priority 1","Priority 2"))</f>
        <v/>
      </c>
      <c r="B56" s="37" t="inlineStr">
        <is>
          <t>AMD-000803</t>
        </is>
      </c>
      <c r="C56" s="38" t="n">
        <v>45169</v>
      </c>
      <c r="D56" s="37" t="inlineStr">
        <is>
          <t>WL-03666</t>
        </is>
      </c>
      <c r="E56" s="37">
        <f>IFERROR(INDEX(Applicants!$C$2:$C$2911,MATCH(D56,Applicants!$A$2:$A$2911,0))&amp;" "&amp;INDEX(Applicants!$B$2:$B$2911,MATCH(D56,Applicants!$A$2:$A$2911,0)),"")</f>
        <v/>
      </c>
      <c r="F56" s="39" t="n">
        <v>20.8</v>
      </c>
      <c r="G56" s="39" t="n">
        <v>23.7</v>
      </c>
      <c r="H56" s="37" t="inlineStr">
        <is>
          <t>MC-2023-0932</t>
        </is>
      </c>
      <c r="I56" s="37">
        <f>IF(COUNTIF('Cert Docs'!$A$2:$A$3,D56)&gt;0,"YES","NO")</f>
        <v/>
      </c>
      <c r="J56" s="37">
        <f>IF(COUNTIFS('Cert Docs'!$A$2:$A$3,D56,'Cert Docs'!$E$2:$E$3,G56,'Cert Docs'!$H$2:$H$3,"YES",'Cert Docs'!$D$2:$D$3,"&lt;="&amp;C56)&gt;0,"YES","NO")</f>
        <v/>
      </c>
      <c r="K56" s="37">
        <f>COUNTIFS('Skip Audit'!$F$5:$F$313,D56,'Skip Audit'!$E$5:$E$313,"&gt;="&amp;C56)</f>
        <v/>
      </c>
      <c r="M56" s="37">
        <f>IF(J56="YES","Substantiated by supplied signed certificate",IF(I56="YES","Supplied certificate does not match amendment date/value","No signed certificate or yard sheet supplied"))</f>
        <v/>
      </c>
      <c r="N56" s="37" t="inlineStr">
        <is>
          <t>day log 2023-08-31</t>
        </is>
      </c>
      <c r="O56" s="37" t="inlineStr">
        <is>
          <t>HB-COUNTER-2</t>
        </is>
      </c>
    </row>
    <row r="57">
      <c r="A57" s="37">
        <f>IF(J57="YES","OK",IF(K57&gt;0,"Priority 1","Priority 2"))</f>
        <v/>
      </c>
      <c r="B57" s="37" t="inlineStr">
        <is>
          <t>AMD-000808</t>
        </is>
      </c>
      <c r="C57" s="38" t="n">
        <v>45172</v>
      </c>
      <c r="D57" s="37" t="inlineStr">
        <is>
          <t>WL-03319</t>
        </is>
      </c>
      <c r="E57" s="37">
        <f>IFERROR(INDEX(Applicants!$C$2:$C$2911,MATCH(D57,Applicants!$A$2:$A$2911,0))&amp;" "&amp;INDEX(Applicants!$B$2:$B$2911,MATCH(D57,Applicants!$A$2:$A$2911,0)),"")</f>
        <v/>
      </c>
      <c r="F57" s="39" t="n">
        <v>38.6</v>
      </c>
      <c r="G57" s="39" t="n">
        <v>37.8</v>
      </c>
      <c r="H57" s="37" t="n">
        <v/>
      </c>
      <c r="I57" s="37">
        <f>IF(COUNTIF('Cert Docs'!$A$2:$A$3,D57)&gt;0,"YES","NO")</f>
        <v/>
      </c>
      <c r="J57" s="37">
        <f>IF(COUNTIFS('Cert Docs'!$A$2:$A$3,D57,'Cert Docs'!$E$2:$E$3,G57,'Cert Docs'!$H$2:$H$3,"YES",'Cert Docs'!$D$2:$D$3,"&lt;="&amp;C57)&gt;0,"YES","NO")</f>
        <v/>
      </c>
      <c r="K57" s="37">
        <f>COUNTIFS('Skip Audit'!$F$5:$F$313,D57,'Skip Audit'!$E$5:$E$313,"&gt;="&amp;C57)</f>
        <v/>
      </c>
      <c r="M57" s="37">
        <f>IF(J57="YES","Substantiated by supplied signed certificate",IF(I57="YES","Supplied certificate does not match amendment date/value","No signed certificate or yard sheet supplied"))</f>
        <v/>
      </c>
      <c r="N57" s="37" t="inlineStr">
        <is>
          <t>day log 2023-09-03</t>
        </is>
      </c>
      <c r="O57" s="37" t="inlineStr">
        <is>
          <t>HB-COUNTER-2</t>
        </is>
      </c>
    </row>
    <row r="58">
      <c r="A58" s="37">
        <f>IF(J58="YES","OK",IF(K58&gt;0,"Priority 1","Priority 2"))</f>
        <v/>
      </c>
      <c r="B58" s="37" t="inlineStr">
        <is>
          <t>AMD-000848</t>
        </is>
      </c>
      <c r="C58" s="38" t="n">
        <v>45213</v>
      </c>
      <c r="D58" s="37" t="inlineStr">
        <is>
          <t>WL-02342</t>
        </is>
      </c>
      <c r="E58" s="37">
        <f>IFERROR(INDEX(Applicants!$C$2:$C$2911,MATCH(D58,Applicants!$A$2:$A$2911,0))&amp;" "&amp;INDEX(Applicants!$B$2:$B$2911,MATCH(D58,Applicants!$A$2:$A$2911,0)),"")</f>
        <v/>
      </c>
      <c r="F58" s="39" t="n">
        <v>38.1</v>
      </c>
      <c r="G58" s="39" t="n">
        <v>35.9</v>
      </c>
      <c r="H58" s="37" t="inlineStr">
        <is>
          <t>MC-2023-0955</t>
        </is>
      </c>
      <c r="I58" s="37">
        <f>IF(COUNTIF('Cert Docs'!$A$2:$A$3,D58)&gt;0,"YES","NO")</f>
        <v/>
      </c>
      <c r="J58" s="37">
        <f>IF(COUNTIFS('Cert Docs'!$A$2:$A$3,D58,'Cert Docs'!$E$2:$E$3,G58,'Cert Docs'!$H$2:$H$3,"YES",'Cert Docs'!$D$2:$D$3,"&lt;="&amp;C58)&gt;0,"YES","NO")</f>
        <v/>
      </c>
      <c r="K58" s="37">
        <f>COUNTIFS('Skip Audit'!$F$5:$F$313,D58,'Skip Audit'!$E$5:$E$313,"&gt;="&amp;C58)</f>
        <v/>
      </c>
      <c r="M58" s="37">
        <f>IF(J58="YES","Substantiated by supplied signed certificate",IF(I58="YES","Supplied certificate does not match amendment date/value","No signed certificate or yard sheet supplied"))</f>
        <v/>
      </c>
      <c r="N58" s="37" t="inlineStr">
        <is>
          <t>day log 2023-10-14</t>
        </is>
      </c>
      <c r="O58" s="37" t="inlineStr">
        <is>
          <t>HB-COUNTER-2</t>
        </is>
      </c>
    </row>
    <row r="59">
      <c r="A59" s="37">
        <f>IF(J59="YES","OK",IF(K59&gt;0,"Priority 1","Priority 2"))</f>
        <v/>
      </c>
      <c r="B59" s="37" t="inlineStr">
        <is>
          <t>AMD-000876</t>
        </is>
      </c>
      <c r="C59" s="38" t="n">
        <v>45237</v>
      </c>
      <c r="D59" s="37" t="inlineStr">
        <is>
          <t>WL-03908</t>
        </is>
      </c>
      <c r="E59" s="37">
        <f>IFERROR(INDEX(Applicants!$C$2:$C$2911,MATCH(D59,Applicants!$A$2:$A$2911,0))&amp;" "&amp;INDEX(Applicants!$B$2:$B$2911,MATCH(D59,Applicants!$A$2:$A$2911,0)),"")</f>
        <v/>
      </c>
      <c r="F59" s="39" t="n">
        <v>33.9</v>
      </c>
      <c r="G59" s="39" t="n">
        <v>31.8</v>
      </c>
      <c r="H59" s="37" t="inlineStr">
        <is>
          <t>Foldview Marine Services haul-out sheet 2023-10-24</t>
        </is>
      </c>
      <c r="I59" s="37">
        <f>IF(COUNTIF('Cert Docs'!$A$2:$A$3,D59)&gt;0,"YES","NO")</f>
        <v/>
      </c>
      <c r="J59" s="37">
        <f>IF(COUNTIFS('Cert Docs'!$A$2:$A$3,D59,'Cert Docs'!$E$2:$E$3,G59,'Cert Docs'!$H$2:$H$3,"YES",'Cert Docs'!$D$2:$D$3,"&lt;="&amp;C59)&gt;0,"YES","NO")</f>
        <v/>
      </c>
      <c r="K59" s="37">
        <f>COUNTIFS('Skip Audit'!$F$5:$F$313,D59,'Skip Audit'!$E$5:$E$313,"&gt;="&amp;C59)</f>
        <v/>
      </c>
      <c r="M59" s="37">
        <f>IF(J59="YES","Substantiated by supplied signed certificate",IF(I59="YES","Supplied certificate does not match amendment date/value","No signed certificate or yard sheet supplied"))</f>
        <v/>
      </c>
      <c r="N59" s="37" t="inlineStr">
        <is>
          <t>day log 2023-11-07</t>
        </is>
      </c>
      <c r="O59" s="37" t="inlineStr">
        <is>
          <t>HB-COUNTER-2</t>
        </is>
      </c>
    </row>
    <row r="60">
      <c r="A60" s="37">
        <f>IF(J60="YES","OK",IF(K60&gt;0,"Priority 1","Priority 2"))</f>
        <v/>
      </c>
      <c r="B60" s="37" t="inlineStr">
        <is>
          <t>AMD-000887</t>
        </is>
      </c>
      <c r="C60" s="38" t="n">
        <v>45244</v>
      </c>
      <c r="D60" s="37" t="inlineStr">
        <is>
          <t>WL-02969</t>
        </is>
      </c>
      <c r="E60" s="37">
        <f>IFERROR(INDEX(Applicants!$C$2:$C$2911,MATCH(D60,Applicants!$A$2:$A$2911,0))&amp;" "&amp;INDEX(Applicants!$B$2:$B$2911,MATCH(D60,Applicants!$A$2:$A$2911,0)),"")</f>
        <v/>
      </c>
      <c r="F60" s="39" t="n">
        <v>50.4</v>
      </c>
      <c r="G60" s="39" t="n">
        <v>50.5</v>
      </c>
      <c r="H60" s="37" t="inlineStr">
        <is>
          <t>MC-2023-0909</t>
        </is>
      </c>
      <c r="I60" s="37">
        <f>IF(COUNTIF('Cert Docs'!$A$2:$A$3,D60)&gt;0,"YES","NO")</f>
        <v/>
      </c>
      <c r="J60" s="37">
        <f>IF(COUNTIFS('Cert Docs'!$A$2:$A$3,D60,'Cert Docs'!$E$2:$E$3,G60,'Cert Docs'!$H$2:$H$3,"YES",'Cert Docs'!$D$2:$D$3,"&lt;="&amp;C60)&gt;0,"YES","NO")</f>
        <v/>
      </c>
      <c r="K60" s="37">
        <f>COUNTIFS('Skip Audit'!$F$5:$F$313,D60,'Skip Audit'!$E$5:$E$313,"&gt;="&amp;C60)</f>
        <v/>
      </c>
      <c r="M60" s="37">
        <f>IF(J60="YES","Substantiated by supplied signed certificate",IF(I60="YES","Supplied certificate does not match amendment date/value","No signed certificate or yard sheet supplied"))</f>
        <v/>
      </c>
      <c r="N60" s="37" t="inlineStr">
        <is>
          <t>day log 2023-11-14</t>
        </is>
      </c>
      <c r="O60" s="37" t="inlineStr">
        <is>
          <t>HB-COUNTER-2</t>
        </is>
      </c>
    </row>
    <row r="61">
      <c r="A61" s="37">
        <f>IF(J61="YES","OK",IF(K61&gt;0,"Priority 1","Priority 2"))</f>
        <v/>
      </c>
      <c r="B61" s="37" t="inlineStr">
        <is>
          <t>AMD-000890</t>
        </is>
      </c>
      <c r="C61" s="38" t="n">
        <v>45246</v>
      </c>
      <c r="D61" s="37" t="inlineStr">
        <is>
          <t>WL-02279</t>
        </is>
      </c>
      <c r="E61" s="37">
        <f>IFERROR(INDEX(Applicants!$C$2:$C$2911,MATCH(D61,Applicants!$A$2:$A$2911,0))&amp;" "&amp;INDEX(Applicants!$B$2:$B$2911,MATCH(D61,Applicants!$A$2:$A$2911,0)),"")</f>
        <v/>
      </c>
      <c r="F61" s="39" t="n">
        <v>50</v>
      </c>
      <c r="G61" s="39" t="n">
        <v>47.1</v>
      </c>
      <c r="H61" s="37" t="inlineStr">
        <is>
          <t>Foldview Marine Services haul-out sheet 2023-10-23</t>
        </is>
      </c>
      <c r="I61" s="37">
        <f>IF(COUNTIF('Cert Docs'!$A$2:$A$3,D61)&gt;0,"YES","NO")</f>
        <v/>
      </c>
      <c r="J61" s="37">
        <f>IF(COUNTIFS('Cert Docs'!$A$2:$A$3,D61,'Cert Docs'!$E$2:$E$3,G61,'Cert Docs'!$H$2:$H$3,"YES",'Cert Docs'!$D$2:$D$3,"&lt;="&amp;C61)&gt;0,"YES","NO")</f>
        <v/>
      </c>
      <c r="K61" s="37">
        <f>COUNTIFS('Skip Audit'!$F$5:$F$313,D61,'Skip Audit'!$E$5:$E$313,"&gt;="&amp;C61)</f>
        <v/>
      </c>
      <c r="M61" s="37">
        <f>IF(J61="YES","Substantiated by supplied signed certificate",IF(I61="YES","Supplied certificate does not match amendment date/value","No signed certificate or yard sheet supplied"))</f>
        <v/>
      </c>
      <c r="N61" s="37" t="inlineStr">
        <is>
          <t>day log 2023-11-16</t>
        </is>
      </c>
      <c r="O61" s="37" t="inlineStr">
        <is>
          <t>HB-COUNTER-2</t>
        </is>
      </c>
    </row>
    <row r="62">
      <c r="A62" s="37">
        <f>IF(J62="YES","OK",IF(K62&gt;0,"Priority 1","Priority 2"))</f>
        <v/>
      </c>
      <c r="B62" s="37" t="inlineStr">
        <is>
          <t>AMD-000893</t>
        </is>
      </c>
      <c r="C62" s="38" t="n">
        <v>45246</v>
      </c>
      <c r="D62" s="37" t="inlineStr">
        <is>
          <t>WL-01874</t>
        </is>
      </c>
      <c r="E62" s="37">
        <f>IFERROR(INDEX(Applicants!$C$2:$C$2911,MATCH(D62,Applicants!$A$2:$A$2911,0))&amp;" "&amp;INDEX(Applicants!$B$2:$B$2911,MATCH(D62,Applicants!$A$2:$A$2911,0)),"")</f>
        <v/>
      </c>
      <c r="F62" s="39" t="n">
        <v>47.3</v>
      </c>
      <c r="G62" s="39" t="n">
        <v>45.3</v>
      </c>
      <c r="H62" s="37" t="inlineStr">
        <is>
          <t>Foldview Marine Services haul-out sheet 2023-07-17</t>
        </is>
      </c>
      <c r="I62" s="37">
        <f>IF(COUNTIF('Cert Docs'!$A$2:$A$3,D62)&gt;0,"YES","NO")</f>
        <v/>
      </c>
      <c r="J62" s="37">
        <f>IF(COUNTIFS('Cert Docs'!$A$2:$A$3,D62,'Cert Docs'!$E$2:$E$3,G62,'Cert Docs'!$H$2:$H$3,"YES",'Cert Docs'!$D$2:$D$3,"&lt;="&amp;C62)&gt;0,"YES","NO")</f>
        <v/>
      </c>
      <c r="K62" s="37">
        <f>COUNTIFS('Skip Audit'!$F$5:$F$313,D62,'Skip Audit'!$E$5:$E$313,"&gt;="&amp;C62)</f>
        <v/>
      </c>
      <c r="M62" s="37">
        <f>IF(J62="YES","Substantiated by supplied signed certificate",IF(I62="YES","Supplied certificate does not match amendment date/value","No signed certificate or yard sheet supplied"))</f>
        <v/>
      </c>
      <c r="N62" s="37" t="inlineStr">
        <is>
          <t>day log 2023-11-16</t>
        </is>
      </c>
      <c r="O62" s="37" t="inlineStr">
        <is>
          <t>HB-COUNTER-2</t>
        </is>
      </c>
    </row>
    <row r="63">
      <c r="A63" s="37">
        <f>IF(J63="YES","OK",IF(K63&gt;0,"Priority 1","Priority 2"))</f>
        <v/>
      </c>
      <c r="B63" s="37" t="inlineStr">
        <is>
          <t>AMD-000913</t>
        </is>
      </c>
      <c r="C63" s="38" t="n">
        <v>45255</v>
      </c>
      <c r="D63" s="37" t="inlineStr">
        <is>
          <t>WL-03638</t>
        </is>
      </c>
      <c r="E63" s="37">
        <f>IFERROR(INDEX(Applicants!$C$2:$C$2911,MATCH(D63,Applicants!$A$2:$A$2911,0))&amp;" "&amp;INDEX(Applicants!$B$2:$B$2911,MATCH(D63,Applicants!$A$2:$A$2911,0)),"")</f>
        <v/>
      </c>
      <c r="F63" s="39" t="n">
        <v>44.9</v>
      </c>
      <c r="G63" s="39" t="n">
        <v>47.4</v>
      </c>
      <c r="H63" s="37" t="inlineStr">
        <is>
          <t>MC-2023-0800</t>
        </is>
      </c>
      <c r="I63" s="37">
        <f>IF(COUNTIF('Cert Docs'!$A$2:$A$3,D63)&gt;0,"YES","NO")</f>
        <v/>
      </c>
      <c r="J63" s="37">
        <f>IF(COUNTIFS('Cert Docs'!$A$2:$A$3,D63,'Cert Docs'!$E$2:$E$3,G63,'Cert Docs'!$H$2:$H$3,"YES",'Cert Docs'!$D$2:$D$3,"&lt;="&amp;C63)&gt;0,"YES","NO")</f>
        <v/>
      </c>
      <c r="K63" s="37">
        <f>COUNTIFS('Skip Audit'!$F$5:$F$313,D63,'Skip Audit'!$E$5:$E$313,"&gt;="&amp;C63)</f>
        <v/>
      </c>
      <c r="M63" s="37">
        <f>IF(J63="YES","Substantiated by supplied signed certificate",IF(I63="YES","Supplied certificate does not match amendment date/value","No signed certificate or yard sheet supplied"))</f>
        <v/>
      </c>
      <c r="N63" s="37" t="inlineStr">
        <is>
          <t>day log 2023-11-25</t>
        </is>
      </c>
      <c r="O63" s="37" t="inlineStr">
        <is>
          <t>HB-COUNTER-2</t>
        </is>
      </c>
    </row>
    <row r="64">
      <c r="A64" s="37">
        <f>IF(J64="YES","OK",IF(K64&gt;0,"Priority 1","Priority 2"))</f>
        <v/>
      </c>
      <c r="B64" s="37" t="inlineStr">
        <is>
          <t>AMD-000930</t>
        </is>
      </c>
      <c r="C64" s="38" t="n">
        <v>45265</v>
      </c>
      <c r="D64" s="37" t="inlineStr">
        <is>
          <t>WL-02495</t>
        </is>
      </c>
      <c r="E64" s="37">
        <f>IFERROR(INDEX(Applicants!$C$2:$C$2911,MATCH(D64,Applicants!$A$2:$A$2911,0))&amp;" "&amp;INDEX(Applicants!$B$2:$B$2911,MATCH(D64,Applicants!$A$2:$A$2911,0)),"")</f>
        <v/>
      </c>
      <c r="F64" s="39" t="n">
        <v>48.8</v>
      </c>
      <c r="G64" s="39" t="n">
        <v>47.6</v>
      </c>
      <c r="H64" s="37" t="inlineStr">
        <is>
          <t>Foldview Marine Services haul-out sheet 2022-10-07</t>
        </is>
      </c>
      <c r="I64" s="37">
        <f>IF(COUNTIF('Cert Docs'!$A$2:$A$3,D64)&gt;0,"YES","NO")</f>
        <v/>
      </c>
      <c r="J64" s="37">
        <f>IF(COUNTIFS('Cert Docs'!$A$2:$A$3,D64,'Cert Docs'!$E$2:$E$3,G64,'Cert Docs'!$H$2:$H$3,"YES",'Cert Docs'!$D$2:$D$3,"&lt;="&amp;C64)&gt;0,"YES","NO")</f>
        <v/>
      </c>
      <c r="K64" s="37">
        <f>COUNTIFS('Skip Audit'!$F$5:$F$313,D64,'Skip Audit'!$E$5:$E$313,"&gt;="&amp;C64)</f>
        <v/>
      </c>
      <c r="M64" s="37">
        <f>IF(J64="YES","Substantiated by supplied signed certificate",IF(I64="YES","Supplied certificate does not match amendment date/value","No signed certificate or yard sheet supplied"))</f>
        <v/>
      </c>
      <c r="N64" s="37" t="inlineStr">
        <is>
          <t>day log 2023-12-05</t>
        </is>
      </c>
      <c r="O64" s="37" t="inlineStr">
        <is>
          <t>HB-COUNTER-2</t>
        </is>
      </c>
    </row>
    <row r="65">
      <c r="A65" s="37">
        <f>IF(J65="YES","OK",IF(K65&gt;0,"Priority 1","Priority 2"))</f>
        <v/>
      </c>
      <c r="B65" s="37" t="inlineStr">
        <is>
          <t>AMD-000935</t>
        </is>
      </c>
      <c r="C65" s="38" t="n">
        <v>45269</v>
      </c>
      <c r="D65" s="37" t="inlineStr">
        <is>
          <t>WL-01361</t>
        </is>
      </c>
      <c r="E65" s="37">
        <f>IFERROR(INDEX(Applicants!$C$2:$C$2911,MATCH(D65,Applicants!$A$2:$A$2911,0))&amp;" "&amp;INDEX(Applicants!$B$2:$B$2911,MATCH(D65,Applicants!$A$2:$A$2911,0)),"")</f>
        <v/>
      </c>
      <c r="F65" s="39" t="n">
        <v>30</v>
      </c>
      <c r="G65" s="39" t="n">
        <v>28.6</v>
      </c>
      <c r="H65" s="37" t="inlineStr">
        <is>
          <t>MC-2023-0786</t>
        </is>
      </c>
      <c r="I65" s="37">
        <f>IF(COUNTIF('Cert Docs'!$A$2:$A$3,D65)&gt;0,"YES","NO")</f>
        <v/>
      </c>
      <c r="J65" s="37">
        <f>IF(COUNTIFS('Cert Docs'!$A$2:$A$3,D65,'Cert Docs'!$E$2:$E$3,G65,'Cert Docs'!$H$2:$H$3,"YES",'Cert Docs'!$D$2:$D$3,"&lt;="&amp;C65)&gt;0,"YES","NO")</f>
        <v/>
      </c>
      <c r="K65" s="37">
        <f>COUNTIFS('Skip Audit'!$F$5:$F$313,D65,'Skip Audit'!$E$5:$E$313,"&gt;="&amp;C65)</f>
        <v/>
      </c>
      <c r="M65" s="37">
        <f>IF(J65="YES","Substantiated by supplied signed certificate",IF(I65="YES","Supplied certificate does not match amendment date/value","No signed certificate or yard sheet supplied"))</f>
        <v/>
      </c>
      <c r="N65" s="37" t="inlineStr">
        <is>
          <t>day log 2023-12-09</t>
        </is>
      </c>
      <c r="O65" s="37" t="inlineStr">
        <is>
          <t>HB-COUNTER-2</t>
        </is>
      </c>
    </row>
    <row r="66">
      <c r="A66" s="37">
        <f>IF(J66="YES","OK",IF(K66&gt;0,"Priority 1","Priority 2"))</f>
        <v/>
      </c>
      <c r="B66" s="37" t="inlineStr">
        <is>
          <t>AMD-000967</t>
        </is>
      </c>
      <c r="C66" s="38" t="n">
        <v>45291</v>
      </c>
      <c r="D66" s="37" t="inlineStr">
        <is>
          <t>WL-01675</t>
        </is>
      </c>
      <c r="E66" s="37">
        <f>IFERROR(INDEX(Applicants!$C$2:$C$2911,MATCH(D66,Applicants!$A$2:$A$2911,0))&amp;" "&amp;INDEX(Applicants!$B$2:$B$2911,MATCH(D66,Applicants!$A$2:$A$2911,0)),"")</f>
        <v/>
      </c>
      <c r="F66" s="39" t="n">
        <v>31.4</v>
      </c>
      <c r="G66" s="39" t="n">
        <v>34</v>
      </c>
      <c r="H66" s="37" t="inlineStr">
        <is>
          <t>Foldview Marine Services haul-out sheet 2023-09-16</t>
        </is>
      </c>
      <c r="I66" s="37">
        <f>IF(COUNTIF('Cert Docs'!$A$2:$A$3,D66)&gt;0,"YES","NO")</f>
        <v/>
      </c>
      <c r="J66" s="37">
        <f>IF(COUNTIFS('Cert Docs'!$A$2:$A$3,D66,'Cert Docs'!$E$2:$E$3,G66,'Cert Docs'!$H$2:$H$3,"YES",'Cert Docs'!$D$2:$D$3,"&lt;="&amp;C66)&gt;0,"YES","NO")</f>
        <v/>
      </c>
      <c r="K66" s="37">
        <f>COUNTIFS('Skip Audit'!$F$5:$F$313,D66,'Skip Audit'!$E$5:$E$313,"&gt;="&amp;C66)</f>
        <v/>
      </c>
      <c r="L66" s="37" t="inlineStr">
        <is>
          <t>SKP-2024-0209</t>
        </is>
      </c>
      <c r="M66" s="37">
        <f>IF(J66="YES","Substantiated by supplied signed certificate",IF(I66="YES","Supplied certificate does not match amendment date/value","No signed certificate or yard sheet supplied"))</f>
        <v/>
      </c>
      <c r="N66" s="37" t="inlineStr">
        <is>
          <t>day log 2023-12-31</t>
        </is>
      </c>
      <c r="O66" s="37" t="inlineStr">
        <is>
          <t>HB-COUNTER-2</t>
        </is>
      </c>
    </row>
    <row r="67">
      <c r="A67" s="37">
        <f>IF(J67="YES","OK",IF(K67&gt;0,"Priority 1","Priority 2"))</f>
        <v/>
      </c>
      <c r="B67" s="37" t="inlineStr">
        <is>
          <t>AMD-000971</t>
        </is>
      </c>
      <c r="C67" s="38" t="n">
        <v>45294</v>
      </c>
      <c r="D67" s="37" t="inlineStr">
        <is>
          <t>WL-01323</t>
        </is>
      </c>
      <c r="E67" s="37">
        <f>IFERROR(INDEX(Applicants!$C$2:$C$2911,MATCH(D67,Applicants!$A$2:$A$2911,0))&amp;" "&amp;INDEX(Applicants!$B$2:$B$2911,MATCH(D67,Applicants!$A$2:$A$2911,0)),"")</f>
        <v/>
      </c>
      <c r="F67" s="39" t="n">
        <v>41.1</v>
      </c>
      <c r="G67" s="39" t="n">
        <v>38.9</v>
      </c>
      <c r="H67" s="37" t="inlineStr">
        <is>
          <t>Foldview Marine Services haul-out sheet 2022-09-04</t>
        </is>
      </c>
      <c r="I67" s="37">
        <f>IF(COUNTIF('Cert Docs'!$A$2:$A$3,D67)&gt;0,"YES","NO")</f>
        <v/>
      </c>
      <c r="J67" s="37">
        <f>IF(COUNTIFS('Cert Docs'!$A$2:$A$3,D67,'Cert Docs'!$E$2:$E$3,G67,'Cert Docs'!$H$2:$H$3,"YES",'Cert Docs'!$D$2:$D$3,"&lt;="&amp;C67)&gt;0,"YES","NO")</f>
        <v/>
      </c>
      <c r="K67" s="37">
        <f>COUNTIFS('Skip Audit'!$F$5:$F$313,D67,'Skip Audit'!$E$5:$E$313,"&gt;="&amp;C67)</f>
        <v/>
      </c>
      <c r="M67" s="37">
        <f>IF(J67="YES","Substantiated by supplied signed certificate",IF(I67="YES","Supplied certificate does not match amendment date/value","No signed certificate or yard sheet supplied"))</f>
        <v/>
      </c>
      <c r="N67" s="37" t="inlineStr">
        <is>
          <t>day log 2024-01-03</t>
        </is>
      </c>
      <c r="O67" s="37" t="inlineStr">
        <is>
          <t>HB-COUNTER-2</t>
        </is>
      </c>
    </row>
    <row r="68">
      <c r="A68" s="37">
        <f>IF(J68="YES","OK",IF(K68&gt;0,"Priority 1","Priority 2"))</f>
        <v/>
      </c>
      <c r="B68" s="37" t="inlineStr">
        <is>
          <t>AMD-000977</t>
        </is>
      </c>
      <c r="C68" s="38" t="n">
        <v>45298</v>
      </c>
      <c r="D68" s="37" t="inlineStr">
        <is>
          <t>WL-01619</t>
        </is>
      </c>
      <c r="E68" s="37">
        <f>IFERROR(INDEX(Applicants!$C$2:$C$2911,MATCH(D68,Applicants!$A$2:$A$2911,0))&amp;" "&amp;INDEX(Applicants!$B$2:$B$2911,MATCH(D68,Applicants!$A$2:$A$2911,0)),"")</f>
        <v/>
      </c>
      <c r="F68" s="39" t="n">
        <v>35.4</v>
      </c>
      <c r="G68" s="39" t="n">
        <v>34.3</v>
      </c>
      <c r="H68" s="37" t="inlineStr">
        <is>
          <t>MC-2024-0516</t>
        </is>
      </c>
      <c r="I68" s="37">
        <f>IF(COUNTIF('Cert Docs'!$A$2:$A$3,D68)&gt;0,"YES","NO")</f>
        <v/>
      </c>
      <c r="J68" s="37">
        <f>IF(COUNTIFS('Cert Docs'!$A$2:$A$3,D68,'Cert Docs'!$E$2:$E$3,G68,'Cert Docs'!$H$2:$H$3,"YES",'Cert Docs'!$D$2:$D$3,"&lt;="&amp;C68)&gt;0,"YES","NO")</f>
        <v/>
      </c>
      <c r="K68" s="37">
        <f>COUNTIFS('Skip Audit'!$F$5:$F$313,D68,'Skip Audit'!$E$5:$E$313,"&gt;="&amp;C68)</f>
        <v/>
      </c>
      <c r="M68" s="37">
        <f>IF(J68="YES","Substantiated by supplied signed certificate",IF(I68="YES","Supplied certificate does not match amendment date/value","No signed certificate or yard sheet supplied"))</f>
        <v/>
      </c>
      <c r="N68" s="37" t="inlineStr">
        <is>
          <t>day log 2024-01-07</t>
        </is>
      </c>
      <c r="O68" s="37" t="inlineStr">
        <is>
          <t>HB-COUNTER-2</t>
        </is>
      </c>
    </row>
    <row r="69">
      <c r="A69" s="37">
        <f>IF(J69="YES","OK",IF(K69&gt;0,"Priority 1","Priority 2"))</f>
        <v/>
      </c>
      <c r="B69" s="37" t="inlineStr">
        <is>
          <t>AMD-000982</t>
        </is>
      </c>
      <c r="C69" s="38" t="n">
        <v>45302</v>
      </c>
      <c r="D69" s="37" t="inlineStr">
        <is>
          <t>WL-01621</t>
        </is>
      </c>
      <c r="E69" s="37">
        <f>IFERROR(INDEX(Applicants!$C$2:$C$2911,MATCH(D69,Applicants!$A$2:$A$2911,0))&amp;" "&amp;INDEX(Applicants!$B$2:$B$2911,MATCH(D69,Applicants!$A$2:$A$2911,0)),"")</f>
        <v/>
      </c>
      <c r="F69" s="39" t="n">
        <v>45.3</v>
      </c>
      <c r="G69" s="39" t="n">
        <v>47</v>
      </c>
      <c r="H69" s="37" t="inlineStr">
        <is>
          <t>MC-2024-0232</t>
        </is>
      </c>
      <c r="I69" s="37">
        <f>IF(COUNTIF('Cert Docs'!$A$2:$A$3,D69)&gt;0,"YES","NO")</f>
        <v/>
      </c>
      <c r="J69" s="37">
        <f>IF(COUNTIFS('Cert Docs'!$A$2:$A$3,D69,'Cert Docs'!$E$2:$E$3,G69,'Cert Docs'!$H$2:$H$3,"YES",'Cert Docs'!$D$2:$D$3,"&lt;="&amp;C69)&gt;0,"YES","NO")</f>
        <v/>
      </c>
      <c r="K69" s="37">
        <f>COUNTIFS('Skip Audit'!$F$5:$F$313,D69,'Skip Audit'!$E$5:$E$313,"&gt;="&amp;C69)</f>
        <v/>
      </c>
      <c r="M69" s="37">
        <f>IF(J69="YES","Substantiated by supplied signed certificate",IF(I69="YES","Supplied certificate does not match amendment date/value","No signed certificate or yard sheet supplied"))</f>
        <v/>
      </c>
      <c r="N69" s="37" t="inlineStr">
        <is>
          <t>day log 2024-01-11</t>
        </is>
      </c>
      <c r="O69" s="37" t="inlineStr">
        <is>
          <t>HB-COUNTER-2</t>
        </is>
      </c>
    </row>
    <row r="70">
      <c r="A70" s="37">
        <f>IF(J70="YES","OK",IF(K70&gt;0,"Priority 1","Priority 2"))</f>
        <v/>
      </c>
      <c r="B70" s="37" t="inlineStr">
        <is>
          <t>AMD-000999</t>
        </is>
      </c>
      <c r="C70" s="38" t="n">
        <v>45314</v>
      </c>
      <c r="D70" s="37" t="inlineStr">
        <is>
          <t>WL-01937</t>
        </is>
      </c>
      <c r="E70" s="37">
        <f>IFERROR(INDEX(Applicants!$C$2:$C$2911,MATCH(D70,Applicants!$A$2:$A$2911,0))&amp;" "&amp;INDEX(Applicants!$B$2:$B$2911,MATCH(D70,Applicants!$A$2:$A$2911,0)),"")</f>
        <v/>
      </c>
      <c r="F70" s="39" t="n">
        <v>21.2</v>
      </c>
      <c r="G70" s="39" t="n">
        <v>18.8</v>
      </c>
      <c r="H70" s="37" t="inlineStr">
        <is>
          <t>MC-2024-0198</t>
        </is>
      </c>
      <c r="I70" s="37">
        <f>IF(COUNTIF('Cert Docs'!$A$2:$A$3,D70)&gt;0,"YES","NO")</f>
        <v/>
      </c>
      <c r="J70" s="37">
        <f>IF(COUNTIFS('Cert Docs'!$A$2:$A$3,D70,'Cert Docs'!$E$2:$E$3,G70,'Cert Docs'!$H$2:$H$3,"YES",'Cert Docs'!$D$2:$D$3,"&lt;="&amp;C70)&gt;0,"YES","NO")</f>
        <v/>
      </c>
      <c r="K70" s="37">
        <f>COUNTIFS('Skip Audit'!$F$5:$F$313,D70,'Skip Audit'!$E$5:$E$313,"&gt;="&amp;C70)</f>
        <v/>
      </c>
      <c r="M70" s="37">
        <f>IF(J70="YES","Substantiated by supplied signed certificate",IF(I70="YES","Supplied certificate does not match amendment date/value","No signed certificate or yard sheet supplied"))</f>
        <v/>
      </c>
      <c r="N70" s="37" t="inlineStr">
        <is>
          <t>day log 2024-01-23</t>
        </is>
      </c>
      <c r="O70" s="37" t="inlineStr">
        <is>
          <t>HB-COUNTER-2</t>
        </is>
      </c>
    </row>
    <row r="71">
      <c r="A71" s="37">
        <f>IF(J71="YES","OK",IF(K71&gt;0,"Priority 1","Priority 2"))</f>
        <v/>
      </c>
      <c r="B71" s="37" t="inlineStr">
        <is>
          <t>AMD-001016</t>
        </is>
      </c>
      <c r="C71" s="38" t="n">
        <v>45329</v>
      </c>
      <c r="D71" s="37" t="inlineStr">
        <is>
          <t>WL-01018</t>
        </is>
      </c>
      <c r="E71" s="37">
        <f>IFERROR(INDEX(Applicants!$C$2:$C$2911,MATCH(D71,Applicants!$A$2:$A$2911,0))&amp;" "&amp;INDEX(Applicants!$B$2:$B$2911,MATCH(D71,Applicants!$A$2:$A$2911,0)),"")</f>
        <v/>
      </c>
      <c r="F71" s="39" t="n">
        <v>30.3</v>
      </c>
      <c r="G71" s="39" t="n">
        <v>30</v>
      </c>
      <c r="H71" s="37" t="inlineStr">
        <is>
          <t>Foldview Marine Services haul-out sheet 2022-10-24</t>
        </is>
      </c>
      <c r="I71" s="37">
        <f>IF(COUNTIF('Cert Docs'!$A$2:$A$3,D71)&gt;0,"YES","NO")</f>
        <v/>
      </c>
      <c r="J71" s="37">
        <f>IF(COUNTIFS('Cert Docs'!$A$2:$A$3,D71,'Cert Docs'!$E$2:$E$3,G71,'Cert Docs'!$H$2:$H$3,"YES",'Cert Docs'!$D$2:$D$3,"&lt;="&amp;C71)&gt;0,"YES","NO")</f>
        <v/>
      </c>
      <c r="K71" s="37">
        <f>COUNTIFS('Skip Audit'!$F$5:$F$313,D71,'Skip Audit'!$E$5:$E$313,"&gt;="&amp;C71)</f>
        <v/>
      </c>
      <c r="M71" s="37">
        <f>IF(J71="YES","Substantiated by supplied signed certificate",IF(I71="YES","Supplied certificate does not match amendment date/value","No signed certificate or yard sheet supplied"))</f>
        <v/>
      </c>
      <c r="N71" s="37" t="inlineStr">
        <is>
          <t>day log 2024-02-07</t>
        </is>
      </c>
      <c r="O71" s="37" t="inlineStr">
        <is>
          <t>HB-COUNTER-2</t>
        </is>
      </c>
    </row>
    <row r="72">
      <c r="A72" s="37">
        <f>IF(J72="YES","OK",IF(K72&gt;0,"Priority 1","Priority 2"))</f>
        <v/>
      </c>
      <c r="B72" s="37" t="inlineStr">
        <is>
          <t>AMD-001027</t>
        </is>
      </c>
      <c r="C72" s="38" t="n">
        <v>45340</v>
      </c>
      <c r="D72" s="37" t="inlineStr">
        <is>
          <t>WL-01929</t>
        </is>
      </c>
      <c r="E72" s="37">
        <f>IFERROR(INDEX(Applicants!$C$2:$C$2911,MATCH(D72,Applicants!$A$2:$A$2911,0))&amp;" "&amp;INDEX(Applicants!$B$2:$B$2911,MATCH(D72,Applicants!$A$2:$A$2911,0)),"")</f>
        <v/>
      </c>
      <c r="F72" s="39" t="n">
        <v>49.1</v>
      </c>
      <c r="G72" s="39" t="n">
        <v>50.4</v>
      </c>
      <c r="H72" s="37" t="inlineStr">
        <is>
          <t>Foldview Marine Services haul-out sheet 2023-01-26</t>
        </is>
      </c>
      <c r="I72" s="37">
        <f>IF(COUNTIF('Cert Docs'!$A$2:$A$3,D72)&gt;0,"YES","NO")</f>
        <v/>
      </c>
      <c r="J72" s="37">
        <f>IF(COUNTIFS('Cert Docs'!$A$2:$A$3,D72,'Cert Docs'!$E$2:$E$3,G72,'Cert Docs'!$H$2:$H$3,"YES",'Cert Docs'!$D$2:$D$3,"&lt;="&amp;C72)&gt;0,"YES","NO")</f>
        <v/>
      </c>
      <c r="K72" s="37">
        <f>COUNTIFS('Skip Audit'!$F$5:$F$313,D72,'Skip Audit'!$E$5:$E$313,"&gt;="&amp;C72)</f>
        <v/>
      </c>
      <c r="M72" s="37">
        <f>IF(J72="YES","Substantiated by supplied signed certificate",IF(I72="YES","Supplied certificate does not match amendment date/value","No signed certificate or yard sheet supplied"))</f>
        <v/>
      </c>
      <c r="N72" s="37" t="inlineStr">
        <is>
          <t>day log 2024-02-18</t>
        </is>
      </c>
      <c r="O72" s="37" t="inlineStr">
        <is>
          <t>HB-COUNTER-2</t>
        </is>
      </c>
    </row>
    <row r="73">
      <c r="A73" s="37">
        <f>IF(J73="YES","OK",IF(K73&gt;0,"Priority 1","Priority 2"))</f>
        <v/>
      </c>
      <c r="B73" s="37" t="inlineStr">
        <is>
          <t>AMD-001059</t>
        </is>
      </c>
      <c r="C73" s="38" t="n">
        <v>45360</v>
      </c>
      <c r="D73" s="37" t="inlineStr">
        <is>
          <t>WL-03272</t>
        </is>
      </c>
      <c r="E73" s="37">
        <f>IFERROR(INDEX(Applicants!$C$2:$C$2911,MATCH(D73,Applicants!$A$2:$A$2911,0))&amp;" "&amp;INDEX(Applicants!$B$2:$B$2911,MATCH(D73,Applicants!$A$2:$A$2911,0)),"")</f>
        <v/>
      </c>
      <c r="F73" s="39" t="n">
        <v>48.8</v>
      </c>
      <c r="G73" s="39" t="n">
        <v>48.7</v>
      </c>
      <c r="H73" s="37" t="inlineStr">
        <is>
          <t>Foldview Marine Services haul-out sheet 2023-11-17</t>
        </is>
      </c>
      <c r="I73" s="37">
        <f>IF(COUNTIF('Cert Docs'!$A$2:$A$3,D73)&gt;0,"YES","NO")</f>
        <v/>
      </c>
      <c r="J73" s="37">
        <f>IF(COUNTIFS('Cert Docs'!$A$2:$A$3,D73,'Cert Docs'!$E$2:$E$3,G73,'Cert Docs'!$H$2:$H$3,"YES",'Cert Docs'!$D$2:$D$3,"&lt;="&amp;C73)&gt;0,"YES","NO")</f>
        <v/>
      </c>
      <c r="K73" s="37">
        <f>COUNTIFS('Skip Audit'!$F$5:$F$313,D73,'Skip Audit'!$E$5:$E$313,"&gt;="&amp;C73)</f>
        <v/>
      </c>
      <c r="M73" s="37">
        <f>IF(J73="YES","Substantiated by supplied signed certificate",IF(I73="YES","Supplied certificate does not match amendment date/value","No signed certificate or yard sheet supplied"))</f>
        <v/>
      </c>
      <c r="N73" s="37" t="inlineStr">
        <is>
          <t>day log 2024-03-09</t>
        </is>
      </c>
      <c r="O73" s="37" t="inlineStr">
        <is>
          <t>HB-COUNTER-2</t>
        </is>
      </c>
    </row>
    <row r="74">
      <c r="A74" s="37">
        <f>IF(J74="YES","OK",IF(K74&gt;0,"Priority 1","Priority 2"))</f>
        <v/>
      </c>
      <c r="B74" s="37" t="inlineStr">
        <is>
          <t>AMD-001092</t>
        </is>
      </c>
      <c r="C74" s="38" t="n">
        <v>45381</v>
      </c>
      <c r="D74" s="37" t="inlineStr">
        <is>
          <t>WL-01999</t>
        </is>
      </c>
      <c r="E74" s="37">
        <f>IFERROR(INDEX(Applicants!$C$2:$C$2911,MATCH(D74,Applicants!$A$2:$A$2911,0))&amp;" "&amp;INDEX(Applicants!$B$2:$B$2911,MATCH(D74,Applicants!$A$2:$A$2911,0)),"")</f>
        <v/>
      </c>
      <c r="F74" s="39" t="n">
        <v>22.8</v>
      </c>
      <c r="G74" s="39" t="n">
        <v>19.9</v>
      </c>
      <c r="H74" s="37" t="n">
        <v/>
      </c>
      <c r="I74" s="37">
        <f>IF(COUNTIF('Cert Docs'!$A$2:$A$3,D74)&gt;0,"YES","NO")</f>
        <v/>
      </c>
      <c r="J74" s="37">
        <f>IF(COUNTIFS('Cert Docs'!$A$2:$A$3,D74,'Cert Docs'!$E$2:$E$3,G74,'Cert Docs'!$H$2:$H$3,"YES",'Cert Docs'!$D$2:$D$3,"&lt;="&amp;C74)&gt;0,"YES","NO")</f>
        <v/>
      </c>
      <c r="K74" s="37">
        <f>COUNTIFS('Skip Audit'!$F$5:$F$313,D74,'Skip Audit'!$E$5:$E$313,"&gt;="&amp;C74)</f>
        <v/>
      </c>
      <c r="M74" s="37">
        <f>IF(J74="YES","Substantiated by supplied signed certificate",IF(I74="YES","Supplied certificate does not match amendment date/value","No signed certificate or yard sheet supplied"))</f>
        <v/>
      </c>
      <c r="N74" s="37" t="inlineStr">
        <is>
          <t>day log 2024-03-30</t>
        </is>
      </c>
      <c r="O74" s="37" t="inlineStr">
        <is>
          <t>HB-COUNTER-2</t>
        </is>
      </c>
    </row>
    <row r="75">
      <c r="A75" s="37">
        <f>IF(J75="YES","OK",IF(K75&gt;0,"Priority 1","Priority 2"))</f>
        <v/>
      </c>
      <c r="B75" s="37" t="inlineStr">
        <is>
          <t>AMD-001093</t>
        </is>
      </c>
      <c r="C75" s="38" t="n">
        <v>45383</v>
      </c>
      <c r="D75" s="37" t="inlineStr">
        <is>
          <t>WL-01027</t>
        </is>
      </c>
      <c r="E75" s="37">
        <f>IFERROR(INDEX(Applicants!$C$2:$C$2911,MATCH(D75,Applicants!$A$2:$A$2911,0))&amp;" "&amp;INDEX(Applicants!$B$2:$B$2911,MATCH(D75,Applicants!$A$2:$A$2911,0)),"")</f>
        <v/>
      </c>
      <c r="F75" s="39" t="n">
        <v>22.4</v>
      </c>
      <c r="G75" s="39" t="n">
        <v>23</v>
      </c>
      <c r="H75" s="37" t="inlineStr">
        <is>
          <t>Foldview Marine Services haul-out sheet 2022-10-23</t>
        </is>
      </c>
      <c r="I75" s="37">
        <f>IF(COUNTIF('Cert Docs'!$A$2:$A$3,D75)&gt;0,"YES","NO")</f>
        <v/>
      </c>
      <c r="J75" s="37">
        <f>IF(COUNTIFS('Cert Docs'!$A$2:$A$3,D75,'Cert Docs'!$E$2:$E$3,G75,'Cert Docs'!$H$2:$H$3,"YES",'Cert Docs'!$D$2:$D$3,"&lt;="&amp;C75)&gt;0,"YES","NO")</f>
        <v/>
      </c>
      <c r="K75" s="37">
        <f>COUNTIFS('Skip Audit'!$F$5:$F$313,D75,'Skip Audit'!$E$5:$E$313,"&gt;="&amp;C75)</f>
        <v/>
      </c>
      <c r="M75" s="37">
        <f>IF(J75="YES","Substantiated by supplied signed certificate",IF(I75="YES","Supplied certificate does not match amendment date/value","No signed certificate or yard sheet supplied"))</f>
        <v/>
      </c>
      <c r="N75" s="37" t="inlineStr">
        <is>
          <t>day log 2024-04-01</t>
        </is>
      </c>
      <c r="O75" s="37" t="inlineStr">
        <is>
          <t>HB-COUNTER-2</t>
        </is>
      </c>
    </row>
    <row r="76">
      <c r="A76" s="37">
        <f>IF(J76="YES","OK",IF(K76&gt;0,"Priority 1","Priority 2"))</f>
        <v/>
      </c>
      <c r="B76" s="37" t="inlineStr">
        <is>
          <t>AMD-001105</t>
        </is>
      </c>
      <c r="C76" s="38" t="n">
        <v>45393</v>
      </c>
      <c r="D76" s="37" t="inlineStr">
        <is>
          <t>WL-02950</t>
        </is>
      </c>
      <c r="E76" s="37">
        <f>IFERROR(INDEX(Applicants!$C$2:$C$2911,MATCH(D76,Applicants!$A$2:$A$2911,0))&amp;" "&amp;INDEX(Applicants!$B$2:$B$2911,MATCH(D76,Applicants!$A$2:$A$2911,0)),"")</f>
        <v/>
      </c>
      <c r="F76" s="39" t="n">
        <v>32.2</v>
      </c>
      <c r="G76" s="39" t="n">
        <v>29.9</v>
      </c>
      <c r="H76" s="37" t="inlineStr">
        <is>
          <t>MC-2024-0771</t>
        </is>
      </c>
      <c r="I76" s="37">
        <f>IF(COUNTIF('Cert Docs'!$A$2:$A$3,D76)&gt;0,"YES","NO")</f>
        <v/>
      </c>
      <c r="J76" s="37">
        <f>IF(COUNTIFS('Cert Docs'!$A$2:$A$3,D76,'Cert Docs'!$E$2:$E$3,G76,'Cert Docs'!$H$2:$H$3,"YES",'Cert Docs'!$D$2:$D$3,"&lt;="&amp;C76)&gt;0,"YES","NO")</f>
        <v/>
      </c>
      <c r="K76" s="37">
        <f>COUNTIFS('Skip Audit'!$F$5:$F$313,D76,'Skip Audit'!$E$5:$E$313,"&gt;="&amp;C76)</f>
        <v/>
      </c>
      <c r="M76" s="37">
        <f>IF(J76="YES","Substantiated by supplied signed certificate",IF(I76="YES","Supplied certificate does not match amendment date/value","No signed certificate or yard sheet supplied"))</f>
        <v/>
      </c>
      <c r="N76" s="37" t="inlineStr">
        <is>
          <t>day log 2024-04-11</t>
        </is>
      </c>
      <c r="O76" s="37" t="inlineStr">
        <is>
          <t>HB-COUNTER-2</t>
        </is>
      </c>
    </row>
    <row r="77">
      <c r="A77" s="37">
        <f>IF(J77="YES","OK",IF(K77&gt;0,"Priority 1","Priority 2"))</f>
        <v/>
      </c>
      <c r="B77" s="37" t="inlineStr">
        <is>
          <t>AMD-001109</t>
        </is>
      </c>
      <c r="C77" s="38" t="n">
        <v>45395</v>
      </c>
      <c r="D77" s="37" t="inlineStr">
        <is>
          <t>WL-02167</t>
        </is>
      </c>
      <c r="E77" s="37">
        <f>IFERROR(INDEX(Applicants!$C$2:$C$2911,MATCH(D77,Applicants!$A$2:$A$2911,0))&amp;" "&amp;INDEX(Applicants!$B$2:$B$2911,MATCH(D77,Applicants!$A$2:$A$2911,0)),"")</f>
        <v/>
      </c>
      <c r="F77" s="39" t="n">
        <v>34.8</v>
      </c>
      <c r="G77" s="39" t="n">
        <v>34.9</v>
      </c>
      <c r="H77" s="37" t="inlineStr">
        <is>
          <t>MC-2024-0712</t>
        </is>
      </c>
      <c r="I77" s="37">
        <f>IF(COUNTIF('Cert Docs'!$A$2:$A$3,D77)&gt;0,"YES","NO")</f>
        <v/>
      </c>
      <c r="J77" s="37">
        <f>IF(COUNTIFS('Cert Docs'!$A$2:$A$3,D77,'Cert Docs'!$E$2:$E$3,G77,'Cert Docs'!$H$2:$H$3,"YES",'Cert Docs'!$D$2:$D$3,"&lt;="&amp;C77)&gt;0,"YES","NO")</f>
        <v/>
      </c>
      <c r="K77" s="37">
        <f>COUNTIFS('Skip Audit'!$F$5:$F$313,D77,'Skip Audit'!$E$5:$E$313,"&gt;="&amp;C77)</f>
        <v/>
      </c>
      <c r="L77" s="37" t="inlineStr">
        <is>
          <t>SKP-2025-0320</t>
        </is>
      </c>
      <c r="M77" s="37">
        <f>IF(J77="YES","Substantiated by supplied signed certificate",IF(I77="YES","Supplied certificate does not match amendment date/value","No signed certificate or yard sheet supplied"))</f>
        <v/>
      </c>
      <c r="N77" s="37" t="inlineStr">
        <is>
          <t>day log 2024-04-13</t>
        </is>
      </c>
      <c r="O77" s="37" t="inlineStr">
        <is>
          <t>HB-COUNTER-2</t>
        </is>
      </c>
    </row>
    <row r="78">
      <c r="A78" s="37">
        <f>IF(J78="YES","OK",IF(K78&gt;0,"Priority 1","Priority 2"))</f>
        <v/>
      </c>
      <c r="B78" s="37" t="inlineStr">
        <is>
          <t>AMD-001117</t>
        </is>
      </c>
      <c r="C78" s="38" t="n">
        <v>45399</v>
      </c>
      <c r="D78" s="37" t="inlineStr">
        <is>
          <t>WL-02128</t>
        </is>
      </c>
      <c r="E78" s="37">
        <f>IFERROR(INDEX(Applicants!$C$2:$C$2911,MATCH(D78,Applicants!$A$2:$A$2911,0))&amp;" "&amp;INDEX(Applicants!$B$2:$B$2911,MATCH(D78,Applicants!$A$2:$A$2911,0)),"")</f>
        <v/>
      </c>
      <c r="F78" s="39" t="n">
        <v>27.4</v>
      </c>
      <c r="G78" s="39" t="n">
        <v>26.4</v>
      </c>
      <c r="H78" s="37" t="inlineStr">
        <is>
          <t>MC-2024-0136</t>
        </is>
      </c>
      <c r="I78" s="37">
        <f>IF(COUNTIF('Cert Docs'!$A$2:$A$3,D78)&gt;0,"YES","NO")</f>
        <v/>
      </c>
      <c r="J78" s="37">
        <f>IF(COUNTIFS('Cert Docs'!$A$2:$A$3,D78,'Cert Docs'!$E$2:$E$3,G78,'Cert Docs'!$H$2:$H$3,"YES",'Cert Docs'!$D$2:$D$3,"&lt;="&amp;C78)&gt;0,"YES","NO")</f>
        <v/>
      </c>
      <c r="K78" s="37">
        <f>COUNTIFS('Skip Audit'!$F$5:$F$313,D78,'Skip Audit'!$E$5:$E$313,"&gt;="&amp;C78)</f>
        <v/>
      </c>
      <c r="M78" s="37">
        <f>IF(J78="YES","Substantiated by supplied signed certificate",IF(I78="YES","Supplied certificate does not match amendment date/value","No signed certificate or yard sheet supplied"))</f>
        <v/>
      </c>
      <c r="N78" s="37" t="inlineStr">
        <is>
          <t>day log 2024-04-17</t>
        </is>
      </c>
      <c r="O78" s="37" t="inlineStr">
        <is>
          <t>HB-COUNTER-2</t>
        </is>
      </c>
    </row>
    <row r="79">
      <c r="A79" s="37">
        <f>IF(J79="YES","OK",IF(K79&gt;0,"Priority 1","Priority 2"))</f>
        <v/>
      </c>
      <c r="B79" s="37" t="inlineStr">
        <is>
          <t>AMD-001120</t>
        </is>
      </c>
      <c r="C79" s="38" t="n">
        <v>45402</v>
      </c>
      <c r="D79" s="37" t="inlineStr">
        <is>
          <t>WL-02592</t>
        </is>
      </c>
      <c r="E79" s="37">
        <f>IFERROR(INDEX(Applicants!$C$2:$C$2911,MATCH(D79,Applicants!$A$2:$A$2911,0))&amp;" "&amp;INDEX(Applicants!$B$2:$B$2911,MATCH(D79,Applicants!$A$2:$A$2911,0)),"")</f>
        <v/>
      </c>
      <c r="F79" s="39" t="n">
        <v>39.3</v>
      </c>
      <c r="G79" s="39" t="n">
        <v>42.2</v>
      </c>
      <c r="H79" s="37" t="inlineStr">
        <is>
          <t>Foldview Marine Services haul-out sheet 2023-08-05</t>
        </is>
      </c>
      <c r="I79" s="37">
        <f>IF(COUNTIF('Cert Docs'!$A$2:$A$3,D79)&gt;0,"YES","NO")</f>
        <v/>
      </c>
      <c r="J79" s="37">
        <f>IF(COUNTIFS('Cert Docs'!$A$2:$A$3,D79,'Cert Docs'!$E$2:$E$3,G79,'Cert Docs'!$H$2:$H$3,"YES",'Cert Docs'!$D$2:$D$3,"&lt;="&amp;C79)&gt;0,"YES","NO")</f>
        <v/>
      </c>
      <c r="K79" s="37">
        <f>COUNTIFS('Skip Audit'!$F$5:$F$313,D79,'Skip Audit'!$E$5:$E$313,"&gt;="&amp;C79)</f>
        <v/>
      </c>
      <c r="M79" s="37">
        <f>IF(J79="YES","Substantiated by supplied signed certificate",IF(I79="YES","Supplied certificate does not match amendment date/value","No signed certificate or yard sheet supplied"))</f>
        <v/>
      </c>
      <c r="N79" s="37" t="inlineStr">
        <is>
          <t>day log 2024-04-20</t>
        </is>
      </c>
      <c r="O79" s="37" t="inlineStr">
        <is>
          <t>HB-COUNTER-2</t>
        </is>
      </c>
    </row>
    <row r="80">
      <c r="A80" s="37">
        <f>IF(J80="YES","OK",IF(K80&gt;0,"Priority 1","Priority 2"))</f>
        <v/>
      </c>
      <c r="B80" s="37" t="inlineStr">
        <is>
          <t>AMD-001151</t>
        </is>
      </c>
      <c r="C80" s="38" t="n">
        <v>45426</v>
      </c>
      <c r="D80" s="37" t="inlineStr">
        <is>
          <t>WL-02647</t>
        </is>
      </c>
      <c r="E80" s="37">
        <f>IFERROR(INDEX(Applicants!$C$2:$C$2911,MATCH(D80,Applicants!$A$2:$A$2911,0))&amp;" "&amp;INDEX(Applicants!$B$2:$B$2911,MATCH(D80,Applicants!$A$2:$A$2911,0)),"")</f>
        <v/>
      </c>
      <c r="F80" s="39" t="n">
        <v>44.6</v>
      </c>
      <c r="G80" s="39" t="n">
        <v>41.8</v>
      </c>
      <c r="H80" s="37" t="inlineStr">
        <is>
          <t>Foldview Marine Services haul-out sheet 2023-04-25</t>
        </is>
      </c>
      <c r="I80" s="37">
        <f>IF(COUNTIF('Cert Docs'!$A$2:$A$3,D80)&gt;0,"YES","NO")</f>
        <v/>
      </c>
      <c r="J80" s="37">
        <f>IF(COUNTIFS('Cert Docs'!$A$2:$A$3,D80,'Cert Docs'!$E$2:$E$3,G80,'Cert Docs'!$H$2:$H$3,"YES",'Cert Docs'!$D$2:$D$3,"&lt;="&amp;C80)&gt;0,"YES","NO")</f>
        <v/>
      </c>
      <c r="K80" s="37">
        <f>COUNTIFS('Skip Audit'!$F$5:$F$313,D80,'Skip Audit'!$E$5:$E$313,"&gt;="&amp;C80)</f>
        <v/>
      </c>
      <c r="M80" s="37">
        <f>IF(J80="YES","Substantiated by supplied signed certificate",IF(I80="YES","Supplied certificate does not match amendment date/value","No signed certificate or yard sheet supplied"))</f>
        <v/>
      </c>
      <c r="N80" s="37" t="inlineStr">
        <is>
          <t>day log 2024-05-14</t>
        </is>
      </c>
      <c r="O80" s="37" t="inlineStr">
        <is>
          <t>HB-COUNTER-2</t>
        </is>
      </c>
    </row>
    <row r="81">
      <c r="A81" s="37">
        <f>IF(J81="YES","OK",IF(K81&gt;0,"Priority 1","Priority 2"))</f>
        <v/>
      </c>
      <c r="B81" s="37" t="inlineStr">
        <is>
          <t>AMD-001166</t>
        </is>
      </c>
      <c r="C81" s="38" t="n">
        <v>45439</v>
      </c>
      <c r="D81" s="37" t="inlineStr">
        <is>
          <t>WL-01054</t>
        </is>
      </c>
      <c r="E81" s="37">
        <f>IFERROR(INDEX(Applicants!$C$2:$C$2911,MATCH(D81,Applicants!$A$2:$A$2911,0))&amp;" "&amp;INDEX(Applicants!$B$2:$B$2911,MATCH(D81,Applicants!$A$2:$A$2911,0)),"")</f>
        <v/>
      </c>
      <c r="F81" s="39" t="n">
        <v>37.1</v>
      </c>
      <c r="G81" s="39" t="n">
        <v>34.5</v>
      </c>
      <c r="H81" s="37" t="inlineStr">
        <is>
          <t>MC-2024-0375</t>
        </is>
      </c>
      <c r="I81" s="37">
        <f>IF(COUNTIF('Cert Docs'!$A$2:$A$3,D81)&gt;0,"YES","NO")</f>
        <v/>
      </c>
      <c r="J81" s="37">
        <f>IF(COUNTIFS('Cert Docs'!$A$2:$A$3,D81,'Cert Docs'!$E$2:$E$3,G81,'Cert Docs'!$H$2:$H$3,"YES",'Cert Docs'!$D$2:$D$3,"&lt;="&amp;C81)&gt;0,"YES","NO")</f>
        <v/>
      </c>
      <c r="K81" s="37">
        <f>COUNTIFS('Skip Audit'!$F$5:$F$313,D81,'Skip Audit'!$E$5:$E$313,"&gt;="&amp;C81)</f>
        <v/>
      </c>
      <c r="M81" s="37">
        <f>IF(J81="YES","Substantiated by supplied signed certificate",IF(I81="YES","Supplied certificate does not match amendment date/value","No signed certificate or yard sheet supplied"))</f>
        <v/>
      </c>
      <c r="N81" s="37" t="inlineStr">
        <is>
          <t>day log 2024-05-27</t>
        </is>
      </c>
      <c r="O81" s="37" t="inlineStr">
        <is>
          <t>HB-COUNTER-2</t>
        </is>
      </c>
    </row>
    <row r="82">
      <c r="A82" s="37">
        <f>IF(J82="YES","OK",IF(K82&gt;0,"Priority 1","Priority 2"))</f>
        <v/>
      </c>
      <c r="B82" s="37" t="inlineStr">
        <is>
          <t>AMD-001167</t>
        </is>
      </c>
      <c r="C82" s="38" t="n">
        <v>45440</v>
      </c>
      <c r="D82" s="37" t="inlineStr">
        <is>
          <t>WL-01816</t>
        </is>
      </c>
      <c r="E82" s="37">
        <f>IFERROR(INDEX(Applicants!$C$2:$C$2911,MATCH(D82,Applicants!$A$2:$A$2911,0))&amp;" "&amp;INDEX(Applicants!$B$2:$B$2911,MATCH(D82,Applicants!$A$2:$A$2911,0)),"")</f>
        <v/>
      </c>
      <c r="F82" s="39" t="n">
        <v>33</v>
      </c>
      <c r="G82" s="39" t="n">
        <v>34.8</v>
      </c>
      <c r="H82" s="37" t="inlineStr">
        <is>
          <t>MC-2024-0510</t>
        </is>
      </c>
      <c r="I82" s="37">
        <f>IF(COUNTIF('Cert Docs'!$A$2:$A$3,D82)&gt;0,"YES","NO")</f>
        <v/>
      </c>
      <c r="J82" s="37">
        <f>IF(COUNTIFS('Cert Docs'!$A$2:$A$3,D82,'Cert Docs'!$E$2:$E$3,G82,'Cert Docs'!$H$2:$H$3,"YES",'Cert Docs'!$D$2:$D$3,"&lt;="&amp;C82)&gt;0,"YES","NO")</f>
        <v/>
      </c>
      <c r="K82" s="37">
        <f>COUNTIFS('Skip Audit'!$F$5:$F$313,D82,'Skip Audit'!$E$5:$E$313,"&gt;="&amp;C82)</f>
        <v/>
      </c>
      <c r="M82" s="37">
        <f>IF(J82="YES","Substantiated by supplied signed certificate",IF(I82="YES","Supplied certificate does not match amendment date/value","No signed certificate or yard sheet supplied"))</f>
        <v/>
      </c>
      <c r="N82" s="37" t="inlineStr">
        <is>
          <t>day log 2024-05-28</t>
        </is>
      </c>
      <c r="O82" s="37" t="inlineStr">
        <is>
          <t>HB-COUNTER-2</t>
        </is>
      </c>
    </row>
    <row r="83">
      <c r="A83" s="37">
        <f>IF(J83="YES","OK",IF(K83&gt;0,"Priority 1","Priority 2"))</f>
        <v/>
      </c>
      <c r="B83" s="37" t="inlineStr">
        <is>
          <t>AMD-001170</t>
        </is>
      </c>
      <c r="C83" s="38" t="n">
        <v>45441</v>
      </c>
      <c r="D83" s="37" t="inlineStr">
        <is>
          <t>WL-01411</t>
        </is>
      </c>
      <c r="E83" s="37">
        <f>IFERROR(INDEX(Applicants!$C$2:$C$2911,MATCH(D83,Applicants!$A$2:$A$2911,0))&amp;" "&amp;INDEX(Applicants!$B$2:$B$2911,MATCH(D83,Applicants!$A$2:$A$2911,0)),"")</f>
        <v/>
      </c>
      <c r="F83" s="39" t="n">
        <v>42.5</v>
      </c>
      <c r="G83" s="39" t="n">
        <v>41.8</v>
      </c>
      <c r="H83" s="37" t="inlineStr">
        <is>
          <t>Foldview Marine Services haul-out sheet 2023-08-23</t>
        </is>
      </c>
      <c r="I83" s="37">
        <f>IF(COUNTIF('Cert Docs'!$A$2:$A$3,D83)&gt;0,"YES","NO")</f>
        <v/>
      </c>
      <c r="J83" s="37">
        <f>IF(COUNTIFS('Cert Docs'!$A$2:$A$3,D83,'Cert Docs'!$E$2:$E$3,G83,'Cert Docs'!$H$2:$H$3,"YES",'Cert Docs'!$D$2:$D$3,"&lt;="&amp;C83)&gt;0,"YES","NO")</f>
        <v/>
      </c>
      <c r="K83" s="37">
        <f>COUNTIFS('Skip Audit'!$F$5:$F$313,D83,'Skip Audit'!$E$5:$E$313,"&gt;="&amp;C83)</f>
        <v/>
      </c>
      <c r="M83" s="37">
        <f>IF(J83="YES","Substantiated by supplied signed certificate",IF(I83="YES","Supplied certificate does not match amendment date/value","No signed certificate or yard sheet supplied"))</f>
        <v/>
      </c>
      <c r="N83" s="37" t="inlineStr">
        <is>
          <t>day log 2024-05-29</t>
        </is>
      </c>
      <c r="O83" s="37" t="inlineStr">
        <is>
          <t>HB-COUNTER-2</t>
        </is>
      </c>
    </row>
    <row r="84">
      <c r="A84" s="37">
        <f>IF(J84="YES","OK",IF(K84&gt;0,"Priority 1","Priority 2"))</f>
        <v/>
      </c>
      <c r="B84" s="37" t="inlineStr">
        <is>
          <t>AMD-001192</t>
        </is>
      </c>
      <c r="C84" s="38" t="n">
        <v>45464</v>
      </c>
      <c r="D84" s="37" t="inlineStr">
        <is>
          <t>WL-01001</t>
        </is>
      </c>
      <c r="E84" s="37">
        <f>IFERROR(INDEX(Applicants!$C$2:$C$2911,MATCH(D84,Applicants!$A$2:$A$2911,0))&amp;" "&amp;INDEX(Applicants!$B$2:$B$2911,MATCH(D84,Applicants!$A$2:$A$2911,0)),"")</f>
        <v/>
      </c>
      <c r="F84" s="39" t="n">
        <v>50.6</v>
      </c>
      <c r="G84" s="39" t="n">
        <v>50.8</v>
      </c>
      <c r="H84" s="37" t="inlineStr">
        <is>
          <t>MC-2024-0630</t>
        </is>
      </c>
      <c r="I84" s="37">
        <f>IF(COUNTIF('Cert Docs'!$A$2:$A$3,D84)&gt;0,"YES","NO")</f>
        <v/>
      </c>
      <c r="J84" s="37">
        <f>IF(COUNTIFS('Cert Docs'!$A$2:$A$3,D84,'Cert Docs'!$E$2:$E$3,G84,'Cert Docs'!$H$2:$H$3,"YES",'Cert Docs'!$D$2:$D$3,"&lt;="&amp;C84)&gt;0,"YES","NO")</f>
        <v/>
      </c>
      <c r="K84" s="37">
        <f>COUNTIFS('Skip Audit'!$F$5:$F$313,D84,'Skip Audit'!$E$5:$E$313,"&gt;="&amp;C84)</f>
        <v/>
      </c>
      <c r="L84" s="37" t="inlineStr">
        <is>
          <t>SKP-2024-0228</t>
        </is>
      </c>
      <c r="M84" s="37">
        <f>IF(J84="YES","Substantiated by supplied signed certificate",IF(I84="YES","Supplied certificate does not match amendment date/value","No signed certificate or yard sheet supplied"))</f>
        <v/>
      </c>
      <c r="N84" s="37" t="inlineStr">
        <is>
          <t>day log 2024-06-21</t>
        </is>
      </c>
      <c r="O84" s="37" t="inlineStr">
        <is>
          <t>HB-COUNTER-2</t>
        </is>
      </c>
    </row>
    <row r="85">
      <c r="A85" s="37">
        <f>IF(J85="YES","OK",IF(K85&gt;0,"Priority 1","Priority 2"))</f>
        <v/>
      </c>
      <c r="B85" s="37" t="inlineStr">
        <is>
          <t>AMD-001200</t>
        </is>
      </c>
      <c r="C85" s="38" t="n">
        <v>45471</v>
      </c>
      <c r="D85" s="37" t="inlineStr">
        <is>
          <t>WL-02663</t>
        </is>
      </c>
      <c r="E85" s="37">
        <f>IFERROR(INDEX(Applicants!$C$2:$C$2911,MATCH(D85,Applicants!$A$2:$A$2911,0))&amp;" "&amp;INDEX(Applicants!$B$2:$B$2911,MATCH(D85,Applicants!$A$2:$A$2911,0)),"")</f>
        <v/>
      </c>
      <c r="F85" s="39" t="n">
        <v>39.6</v>
      </c>
      <c r="G85" s="39" t="n">
        <v>37.7</v>
      </c>
      <c r="H85" s="37" t="inlineStr">
        <is>
          <t>Foldview Marine Services haul-out sheet 2023-09-03</t>
        </is>
      </c>
      <c r="I85" s="37">
        <f>IF(COUNTIF('Cert Docs'!$A$2:$A$3,D85)&gt;0,"YES","NO")</f>
        <v/>
      </c>
      <c r="J85" s="37">
        <f>IF(COUNTIFS('Cert Docs'!$A$2:$A$3,D85,'Cert Docs'!$E$2:$E$3,G85,'Cert Docs'!$H$2:$H$3,"YES",'Cert Docs'!$D$2:$D$3,"&lt;="&amp;C85)&gt;0,"YES","NO")</f>
        <v/>
      </c>
      <c r="K85" s="37">
        <f>COUNTIFS('Skip Audit'!$F$5:$F$313,D85,'Skip Audit'!$E$5:$E$313,"&gt;="&amp;C85)</f>
        <v/>
      </c>
      <c r="M85" s="37">
        <f>IF(J85="YES","Substantiated by supplied signed certificate",IF(I85="YES","Supplied certificate does not match amendment date/value","No signed certificate or yard sheet supplied"))</f>
        <v/>
      </c>
      <c r="N85" s="37" t="inlineStr">
        <is>
          <t>day log 2024-06-28</t>
        </is>
      </c>
      <c r="O85" s="37" t="inlineStr">
        <is>
          <t>HB-COUNTER-2</t>
        </is>
      </c>
    </row>
    <row r="86">
      <c r="A86" s="37">
        <f>IF(J86="YES","OK",IF(K86&gt;0,"Priority 1","Priority 2"))</f>
        <v/>
      </c>
      <c r="B86" s="37" t="inlineStr">
        <is>
          <t>AMD-001204</t>
        </is>
      </c>
      <c r="C86" s="38" t="n">
        <v>45474</v>
      </c>
      <c r="D86" s="37" t="inlineStr">
        <is>
          <t>WL-01550</t>
        </is>
      </c>
      <c r="E86" s="37">
        <f>IFERROR(INDEX(Applicants!$C$2:$C$2911,MATCH(D86,Applicants!$A$2:$A$2911,0))&amp;" "&amp;INDEX(Applicants!$B$2:$B$2911,MATCH(D86,Applicants!$A$2:$A$2911,0)),"")</f>
        <v/>
      </c>
      <c r="F86" s="39" t="n">
        <v>44.2</v>
      </c>
      <c r="G86" s="39" t="n">
        <v>43</v>
      </c>
      <c r="H86" s="37" t="inlineStr">
        <is>
          <t>Foldview Marine Services haul-out sheet 2024-02-12</t>
        </is>
      </c>
      <c r="I86" s="37">
        <f>IF(COUNTIF('Cert Docs'!$A$2:$A$3,D86)&gt;0,"YES","NO")</f>
        <v/>
      </c>
      <c r="J86" s="37">
        <f>IF(COUNTIFS('Cert Docs'!$A$2:$A$3,D86,'Cert Docs'!$E$2:$E$3,G86,'Cert Docs'!$H$2:$H$3,"YES",'Cert Docs'!$D$2:$D$3,"&lt;="&amp;C86)&gt;0,"YES","NO")</f>
        <v/>
      </c>
      <c r="K86" s="37">
        <f>COUNTIFS('Skip Audit'!$F$5:$F$313,D86,'Skip Audit'!$E$5:$E$313,"&gt;="&amp;C86)</f>
        <v/>
      </c>
      <c r="L86" s="37" t="inlineStr">
        <is>
          <t>SKP-2026-0347</t>
        </is>
      </c>
      <c r="M86" s="37">
        <f>IF(J86="YES","Substantiated by supplied signed certificate",IF(I86="YES","Supplied certificate does not match amendment date/value","No signed certificate or yard sheet supplied"))</f>
        <v/>
      </c>
      <c r="N86" s="37" t="inlineStr">
        <is>
          <t>day log 2024-07-01</t>
        </is>
      </c>
      <c r="O86" s="37" t="inlineStr">
        <is>
          <t>HB-COUNTER-2</t>
        </is>
      </c>
    </row>
    <row r="87">
      <c r="A87" s="37">
        <f>IF(J87="YES","OK",IF(K87&gt;0,"Priority 1","Priority 2"))</f>
        <v/>
      </c>
      <c r="B87" s="37" t="inlineStr">
        <is>
          <t>AMD-001230</t>
        </is>
      </c>
      <c r="C87" s="38" t="n">
        <v>45496</v>
      </c>
      <c r="D87" s="37" t="inlineStr">
        <is>
          <t>WL-01607</t>
        </is>
      </c>
      <c r="E87" s="37">
        <f>IFERROR(INDEX(Applicants!$C$2:$C$2911,MATCH(D87,Applicants!$A$2:$A$2911,0))&amp;" "&amp;INDEX(Applicants!$B$2:$B$2911,MATCH(D87,Applicants!$A$2:$A$2911,0)),"")</f>
        <v/>
      </c>
      <c r="F87" s="39" t="n">
        <v>54.1</v>
      </c>
      <c r="G87" s="39" t="n">
        <v>54.8</v>
      </c>
      <c r="H87" s="37" t="inlineStr">
        <is>
          <t>Foldview Marine Services haul-out sheet 2022-09-15</t>
        </is>
      </c>
      <c r="I87" s="37">
        <f>IF(COUNTIF('Cert Docs'!$A$2:$A$3,D87)&gt;0,"YES","NO")</f>
        <v/>
      </c>
      <c r="J87" s="37">
        <f>IF(COUNTIFS('Cert Docs'!$A$2:$A$3,D87,'Cert Docs'!$E$2:$E$3,G87,'Cert Docs'!$H$2:$H$3,"YES",'Cert Docs'!$D$2:$D$3,"&lt;="&amp;C87)&gt;0,"YES","NO")</f>
        <v/>
      </c>
      <c r="K87" s="37">
        <f>COUNTIFS('Skip Audit'!$F$5:$F$313,D87,'Skip Audit'!$E$5:$E$313,"&gt;="&amp;C87)</f>
        <v/>
      </c>
      <c r="M87" s="37">
        <f>IF(J87="YES","Substantiated by supplied signed certificate",IF(I87="YES","Supplied certificate does not match amendment date/value","No signed certificate or yard sheet supplied"))</f>
        <v/>
      </c>
      <c r="N87" s="37" t="inlineStr">
        <is>
          <t>day log 2024-07-23</t>
        </is>
      </c>
      <c r="O87" s="37" t="inlineStr">
        <is>
          <t>HB-COUNTER-2</t>
        </is>
      </c>
    </row>
    <row r="88">
      <c r="A88" s="37">
        <f>IF(J88="YES","OK",IF(K88&gt;0,"Priority 1","Priority 2"))</f>
        <v/>
      </c>
      <c r="B88" s="37" t="inlineStr">
        <is>
          <t>AMD-001231</t>
        </is>
      </c>
      <c r="C88" s="38" t="n">
        <v>45501</v>
      </c>
      <c r="D88" s="37" t="inlineStr">
        <is>
          <t>WL-01289</t>
        </is>
      </c>
      <c r="E88" s="37">
        <f>IFERROR(INDEX(Applicants!$C$2:$C$2911,MATCH(D88,Applicants!$A$2:$A$2911,0))&amp;" "&amp;INDEX(Applicants!$B$2:$B$2911,MATCH(D88,Applicants!$A$2:$A$2911,0)),"")</f>
        <v/>
      </c>
      <c r="F88" s="39" t="n">
        <v>21.1</v>
      </c>
      <c r="G88" s="39" t="n">
        <v>21.4</v>
      </c>
      <c r="H88" s="37" t="inlineStr">
        <is>
          <t>Foldview Marine Services haul-out sheet 2023-01-05</t>
        </is>
      </c>
      <c r="I88" s="37">
        <f>IF(COUNTIF('Cert Docs'!$A$2:$A$3,D88)&gt;0,"YES","NO")</f>
        <v/>
      </c>
      <c r="J88" s="37">
        <f>IF(COUNTIFS('Cert Docs'!$A$2:$A$3,D88,'Cert Docs'!$E$2:$E$3,G88,'Cert Docs'!$H$2:$H$3,"YES",'Cert Docs'!$D$2:$D$3,"&lt;="&amp;C88)&gt;0,"YES","NO")</f>
        <v/>
      </c>
      <c r="K88" s="37">
        <f>COUNTIFS('Skip Audit'!$F$5:$F$313,D88,'Skip Audit'!$E$5:$E$313,"&gt;="&amp;C88)</f>
        <v/>
      </c>
      <c r="M88" s="37">
        <f>IF(J88="YES","Substantiated by supplied signed certificate",IF(I88="YES","Supplied certificate does not match amendment date/value","No signed certificate or yard sheet supplied"))</f>
        <v/>
      </c>
      <c r="N88" s="37" t="inlineStr">
        <is>
          <t>day log 2024-07-28</t>
        </is>
      </c>
      <c r="O88" s="37" t="inlineStr">
        <is>
          <t>HB-COUNTER-2</t>
        </is>
      </c>
    </row>
    <row r="89">
      <c r="A89" s="37">
        <f>IF(J89="YES","OK",IF(K89&gt;0,"Priority 1","Priority 2"))</f>
        <v/>
      </c>
      <c r="B89" s="37" t="inlineStr">
        <is>
          <t>AMD-001232</t>
        </is>
      </c>
      <c r="C89" s="38" t="n">
        <v>45504</v>
      </c>
      <c r="D89" s="37" t="inlineStr">
        <is>
          <t>WL-01573</t>
        </is>
      </c>
      <c r="E89" s="37">
        <f>IFERROR(INDEX(Applicants!$C$2:$C$2911,MATCH(D89,Applicants!$A$2:$A$2911,0))&amp;" "&amp;INDEX(Applicants!$B$2:$B$2911,MATCH(D89,Applicants!$A$2:$A$2911,0)),"")</f>
        <v/>
      </c>
      <c r="F89" s="39" t="n">
        <v>40.3</v>
      </c>
      <c r="G89" s="39" t="n">
        <v>37.3</v>
      </c>
      <c r="H89" s="37" t="inlineStr">
        <is>
          <t>MC-2024-0489</t>
        </is>
      </c>
      <c r="I89" s="37">
        <f>IF(COUNTIF('Cert Docs'!$A$2:$A$3,D89)&gt;0,"YES","NO")</f>
        <v/>
      </c>
      <c r="J89" s="37">
        <f>IF(COUNTIFS('Cert Docs'!$A$2:$A$3,D89,'Cert Docs'!$E$2:$E$3,G89,'Cert Docs'!$H$2:$H$3,"YES",'Cert Docs'!$D$2:$D$3,"&lt;="&amp;C89)&gt;0,"YES","NO")</f>
        <v/>
      </c>
      <c r="K89" s="37">
        <f>COUNTIFS('Skip Audit'!$F$5:$F$313,D89,'Skip Audit'!$E$5:$E$313,"&gt;="&amp;C89)</f>
        <v/>
      </c>
      <c r="M89" s="37">
        <f>IF(J89="YES","Substantiated by supplied signed certificate",IF(I89="YES","Supplied certificate does not match amendment date/value","No signed certificate or yard sheet supplied"))</f>
        <v/>
      </c>
      <c r="N89" s="37" t="inlineStr">
        <is>
          <t>day log 2024-07-31</t>
        </is>
      </c>
      <c r="O89" s="37" t="inlineStr">
        <is>
          <t>HB-COUNTER-2</t>
        </is>
      </c>
    </row>
    <row r="90">
      <c r="A90" s="37">
        <f>IF(J90="YES","OK",IF(K90&gt;0,"Priority 1","Priority 2"))</f>
        <v/>
      </c>
      <c r="B90" s="37" t="inlineStr">
        <is>
          <t>AMD-001241</t>
        </is>
      </c>
      <c r="C90" s="38" t="n">
        <v>45509</v>
      </c>
      <c r="D90" s="37" t="inlineStr">
        <is>
          <t>WL-02437</t>
        </is>
      </c>
      <c r="E90" s="37">
        <f>IFERROR(INDEX(Applicants!$C$2:$C$2911,MATCH(D90,Applicants!$A$2:$A$2911,0))&amp;" "&amp;INDEX(Applicants!$B$2:$B$2911,MATCH(D90,Applicants!$A$2:$A$2911,0)),"")</f>
        <v/>
      </c>
      <c r="F90" s="39" t="n">
        <v>22.4</v>
      </c>
      <c r="G90" s="39" t="n">
        <v>20.1</v>
      </c>
      <c r="H90" s="37" t="inlineStr">
        <is>
          <t>MC-2024-0891</t>
        </is>
      </c>
      <c r="I90" s="37">
        <f>IF(COUNTIF('Cert Docs'!$A$2:$A$3,D90)&gt;0,"YES","NO")</f>
        <v/>
      </c>
      <c r="J90" s="37">
        <f>IF(COUNTIFS('Cert Docs'!$A$2:$A$3,D90,'Cert Docs'!$E$2:$E$3,G90,'Cert Docs'!$H$2:$H$3,"YES",'Cert Docs'!$D$2:$D$3,"&lt;="&amp;C90)&gt;0,"YES","NO")</f>
        <v/>
      </c>
      <c r="K90" s="37">
        <f>COUNTIFS('Skip Audit'!$F$5:$F$313,D90,'Skip Audit'!$E$5:$E$313,"&gt;="&amp;C90)</f>
        <v/>
      </c>
      <c r="M90" s="37">
        <f>IF(J90="YES","Substantiated by supplied signed certificate",IF(I90="YES","Supplied certificate does not match amendment date/value","No signed certificate or yard sheet supplied"))</f>
        <v/>
      </c>
      <c r="N90" s="37" t="inlineStr">
        <is>
          <t>day log 2024-08-05</t>
        </is>
      </c>
      <c r="O90" s="37" t="inlineStr">
        <is>
          <t>HB-COUNTER-2</t>
        </is>
      </c>
    </row>
    <row r="91">
      <c r="A91" s="37">
        <f>IF(J91="YES","OK",IF(K91&gt;0,"Priority 1","Priority 2"))</f>
        <v/>
      </c>
      <c r="B91" s="37" t="inlineStr">
        <is>
          <t>AMD-001244</t>
        </is>
      </c>
      <c r="C91" s="38" t="n">
        <v>45510</v>
      </c>
      <c r="D91" s="37" t="inlineStr">
        <is>
          <t>WL-01492</t>
        </is>
      </c>
      <c r="E91" s="37">
        <f>IFERROR(INDEX(Applicants!$C$2:$C$2911,MATCH(D91,Applicants!$A$2:$A$2911,0))&amp;" "&amp;INDEX(Applicants!$B$2:$B$2911,MATCH(D91,Applicants!$A$2:$A$2911,0)),"")</f>
        <v/>
      </c>
      <c r="F91" s="39" t="n">
        <v>51.6</v>
      </c>
      <c r="G91" s="39" t="n">
        <v>49</v>
      </c>
      <c r="H91" s="37" t="inlineStr">
        <is>
          <t>Foldview Marine Services haul-out sheet 2024-01-03</t>
        </is>
      </c>
      <c r="I91" s="37">
        <f>IF(COUNTIF('Cert Docs'!$A$2:$A$3,D91)&gt;0,"YES","NO")</f>
        <v/>
      </c>
      <c r="J91" s="37">
        <f>IF(COUNTIFS('Cert Docs'!$A$2:$A$3,D91,'Cert Docs'!$E$2:$E$3,G91,'Cert Docs'!$H$2:$H$3,"YES",'Cert Docs'!$D$2:$D$3,"&lt;="&amp;C91)&gt;0,"YES","NO")</f>
        <v/>
      </c>
      <c r="K91" s="37">
        <f>COUNTIFS('Skip Audit'!$F$5:$F$313,D91,'Skip Audit'!$E$5:$E$313,"&gt;="&amp;C91)</f>
        <v/>
      </c>
      <c r="M91" s="37">
        <f>IF(J91="YES","Substantiated by supplied signed certificate",IF(I91="YES","Supplied certificate does not match amendment date/value","No signed certificate or yard sheet supplied"))</f>
        <v/>
      </c>
      <c r="N91" s="37" t="inlineStr">
        <is>
          <t>day log 2024-08-06</t>
        </is>
      </c>
      <c r="O91" s="37" t="inlineStr">
        <is>
          <t>HB-COUNTER-2</t>
        </is>
      </c>
    </row>
    <row r="92">
      <c r="A92" s="37">
        <f>IF(J92="YES","OK",IF(K92&gt;0,"Priority 1","Priority 2"))</f>
        <v/>
      </c>
      <c r="B92" s="37" t="inlineStr">
        <is>
          <t>AMD-001260</t>
        </is>
      </c>
      <c r="C92" s="38" t="n">
        <v>45518</v>
      </c>
      <c r="D92" s="37" t="inlineStr">
        <is>
          <t>WL-03524</t>
        </is>
      </c>
      <c r="E92" s="37">
        <f>IFERROR(INDEX(Applicants!$C$2:$C$2911,MATCH(D92,Applicants!$A$2:$A$2911,0))&amp;" "&amp;INDEX(Applicants!$B$2:$B$2911,MATCH(D92,Applicants!$A$2:$A$2911,0)),"")</f>
        <v/>
      </c>
      <c r="F92" s="39" t="n">
        <v>31.3</v>
      </c>
      <c r="G92" s="39" t="n">
        <v>29.7</v>
      </c>
      <c r="H92" s="37" t="inlineStr">
        <is>
          <t>Foldview Marine Services haul-out sheet 2024-07-21</t>
        </is>
      </c>
      <c r="I92" s="37">
        <f>IF(COUNTIF('Cert Docs'!$A$2:$A$3,D92)&gt;0,"YES","NO")</f>
        <v/>
      </c>
      <c r="J92" s="37">
        <f>IF(COUNTIFS('Cert Docs'!$A$2:$A$3,D92,'Cert Docs'!$E$2:$E$3,G92,'Cert Docs'!$H$2:$H$3,"YES",'Cert Docs'!$D$2:$D$3,"&lt;="&amp;C92)&gt;0,"YES","NO")</f>
        <v/>
      </c>
      <c r="K92" s="37">
        <f>COUNTIFS('Skip Audit'!$F$5:$F$313,D92,'Skip Audit'!$E$5:$E$313,"&gt;="&amp;C92)</f>
        <v/>
      </c>
      <c r="M92" s="37">
        <f>IF(J92="YES","Substantiated by supplied signed certificate",IF(I92="YES","Supplied certificate does not match amendment date/value","No signed certificate or yard sheet supplied"))</f>
        <v/>
      </c>
      <c r="N92" s="37" t="inlineStr">
        <is>
          <t>day log 2024-08-14</t>
        </is>
      </c>
      <c r="O92" s="37" t="inlineStr">
        <is>
          <t>HB-COUNTER-2</t>
        </is>
      </c>
    </row>
    <row r="93">
      <c r="A93" s="37">
        <f>IF(J93="YES","OK",IF(K93&gt;0,"Priority 1","Priority 2"))</f>
        <v/>
      </c>
      <c r="B93" s="37" t="inlineStr">
        <is>
          <t>AMD-001263</t>
        </is>
      </c>
      <c r="C93" s="38" t="n">
        <v>45522</v>
      </c>
      <c r="D93" s="37" t="inlineStr">
        <is>
          <t>WL-03800</t>
        </is>
      </c>
      <c r="E93" s="37">
        <f>IFERROR(INDEX(Applicants!$C$2:$C$2911,MATCH(D93,Applicants!$A$2:$A$2911,0))&amp;" "&amp;INDEX(Applicants!$B$2:$B$2911,MATCH(D93,Applicants!$A$2:$A$2911,0)),"")</f>
        <v/>
      </c>
      <c r="F93" s="39" t="n">
        <v>35.4</v>
      </c>
      <c r="G93" s="39" t="n">
        <v>32.5</v>
      </c>
      <c r="H93" s="37" t="inlineStr">
        <is>
          <t>MC-2024-0608</t>
        </is>
      </c>
      <c r="I93" s="37">
        <f>IF(COUNTIF('Cert Docs'!$A$2:$A$3,D93)&gt;0,"YES","NO")</f>
        <v/>
      </c>
      <c r="J93" s="37">
        <f>IF(COUNTIFS('Cert Docs'!$A$2:$A$3,D93,'Cert Docs'!$E$2:$E$3,G93,'Cert Docs'!$H$2:$H$3,"YES",'Cert Docs'!$D$2:$D$3,"&lt;="&amp;C93)&gt;0,"YES","NO")</f>
        <v/>
      </c>
      <c r="K93" s="37">
        <f>COUNTIFS('Skip Audit'!$F$5:$F$313,D93,'Skip Audit'!$E$5:$E$313,"&gt;="&amp;C93)</f>
        <v/>
      </c>
      <c r="M93" s="37">
        <f>IF(J93="YES","Substantiated by supplied signed certificate",IF(I93="YES","Supplied certificate does not match amendment date/value","No signed certificate or yard sheet supplied"))</f>
        <v/>
      </c>
      <c r="N93" s="37" t="inlineStr">
        <is>
          <t>day log 2024-08-18</t>
        </is>
      </c>
      <c r="O93" s="37" t="inlineStr">
        <is>
          <t>HB-COUNTER-2</t>
        </is>
      </c>
    </row>
    <row r="94">
      <c r="A94" s="37">
        <f>IF(J94="YES","OK",IF(K94&gt;0,"Priority 1","Priority 2"))</f>
        <v/>
      </c>
      <c r="B94" s="37" t="inlineStr">
        <is>
          <t>AMD-001267</t>
        </is>
      </c>
      <c r="C94" s="38" t="n">
        <v>45524</v>
      </c>
      <c r="D94" s="37" t="inlineStr">
        <is>
          <t>WL-03433</t>
        </is>
      </c>
      <c r="E94" s="37">
        <f>IFERROR(INDEX(Applicants!$C$2:$C$2911,MATCH(D94,Applicants!$A$2:$A$2911,0))&amp;" "&amp;INDEX(Applicants!$B$2:$B$2911,MATCH(D94,Applicants!$A$2:$A$2911,0)),"")</f>
        <v/>
      </c>
      <c r="F94" s="39" t="n">
        <v>45.4</v>
      </c>
      <c r="G94" s="39" t="n">
        <v>43.4</v>
      </c>
      <c r="H94" s="37" t="inlineStr">
        <is>
          <t>MC-2024-0755</t>
        </is>
      </c>
      <c r="I94" s="37">
        <f>IF(COUNTIF('Cert Docs'!$A$2:$A$3,D94)&gt;0,"YES","NO")</f>
        <v/>
      </c>
      <c r="J94" s="37">
        <f>IF(COUNTIFS('Cert Docs'!$A$2:$A$3,D94,'Cert Docs'!$E$2:$E$3,G94,'Cert Docs'!$H$2:$H$3,"YES",'Cert Docs'!$D$2:$D$3,"&lt;="&amp;C94)&gt;0,"YES","NO")</f>
        <v/>
      </c>
      <c r="K94" s="37">
        <f>COUNTIFS('Skip Audit'!$F$5:$F$313,D94,'Skip Audit'!$E$5:$E$313,"&gt;="&amp;C94)</f>
        <v/>
      </c>
      <c r="M94" s="37">
        <f>IF(J94="YES","Substantiated by supplied signed certificate",IF(I94="YES","Supplied certificate does not match amendment date/value","No signed certificate or yard sheet supplied"))</f>
        <v/>
      </c>
      <c r="N94" s="37" t="inlineStr">
        <is>
          <t>day log 2024-08-20</t>
        </is>
      </c>
      <c r="O94" s="37" t="inlineStr">
        <is>
          <t>HB-COUNTER-2</t>
        </is>
      </c>
    </row>
    <row r="95">
      <c r="A95" s="37">
        <f>IF(J95="YES","OK",IF(K95&gt;0,"Priority 1","Priority 2"))</f>
        <v/>
      </c>
      <c r="B95" s="37" t="inlineStr">
        <is>
          <t>AMD-001278</t>
        </is>
      </c>
      <c r="C95" s="38" t="n">
        <v>45533</v>
      </c>
      <c r="D95" s="37" t="inlineStr">
        <is>
          <t>WL-02527</t>
        </is>
      </c>
      <c r="E95" s="37">
        <f>IFERROR(INDEX(Applicants!$C$2:$C$2911,MATCH(D95,Applicants!$A$2:$A$2911,0))&amp;" "&amp;INDEX(Applicants!$B$2:$B$2911,MATCH(D95,Applicants!$A$2:$A$2911,0)),"")</f>
        <v/>
      </c>
      <c r="F95" s="39" t="n">
        <v>40.6</v>
      </c>
      <c r="G95" s="39" t="n">
        <v>39.8</v>
      </c>
      <c r="H95" s="37" t="inlineStr">
        <is>
          <t>Foldview Marine Services haul-out sheet 2022-11-26</t>
        </is>
      </c>
      <c r="I95" s="37">
        <f>IF(COUNTIF('Cert Docs'!$A$2:$A$3,D95)&gt;0,"YES","NO")</f>
        <v/>
      </c>
      <c r="J95" s="37">
        <f>IF(COUNTIFS('Cert Docs'!$A$2:$A$3,D95,'Cert Docs'!$E$2:$E$3,G95,'Cert Docs'!$H$2:$H$3,"YES",'Cert Docs'!$D$2:$D$3,"&lt;="&amp;C95)&gt;0,"YES","NO")</f>
        <v/>
      </c>
      <c r="K95" s="37">
        <f>COUNTIFS('Skip Audit'!$F$5:$F$313,D95,'Skip Audit'!$E$5:$E$313,"&gt;="&amp;C95)</f>
        <v/>
      </c>
      <c r="M95" s="37">
        <f>IF(J95="YES","Substantiated by supplied signed certificate",IF(I95="YES","Supplied certificate does not match amendment date/value","No signed certificate or yard sheet supplied"))</f>
        <v/>
      </c>
      <c r="N95" s="37" t="inlineStr">
        <is>
          <t>day log 2024-08-29</t>
        </is>
      </c>
      <c r="O95" s="37" t="inlineStr">
        <is>
          <t>HB-COUNTER-2</t>
        </is>
      </c>
    </row>
    <row r="96">
      <c r="A96" s="37">
        <f>IF(J96="YES","OK",IF(K96&gt;0,"Priority 1","Priority 2"))</f>
        <v/>
      </c>
      <c r="B96" s="37" t="inlineStr">
        <is>
          <t>AMD-001279</t>
        </is>
      </c>
      <c r="C96" s="38" t="n">
        <v>45534</v>
      </c>
      <c r="D96" s="37" t="inlineStr">
        <is>
          <t>WL-02561</t>
        </is>
      </c>
      <c r="E96" s="37">
        <f>IFERROR(INDEX(Applicants!$C$2:$C$2911,MATCH(D96,Applicants!$A$2:$A$2911,0))&amp;" "&amp;INDEX(Applicants!$B$2:$B$2911,MATCH(D96,Applicants!$A$2:$A$2911,0)),"")</f>
        <v/>
      </c>
      <c r="F96" s="39" t="n">
        <v>30.8</v>
      </c>
      <c r="G96" s="39" t="n">
        <v>32.3</v>
      </c>
      <c r="H96" s="37" t="inlineStr">
        <is>
          <t>Foldview Marine Services haul-out sheet 2023-05-28</t>
        </is>
      </c>
      <c r="I96" s="37">
        <f>IF(COUNTIF('Cert Docs'!$A$2:$A$3,D96)&gt;0,"YES","NO")</f>
        <v/>
      </c>
      <c r="J96" s="37">
        <f>IF(COUNTIFS('Cert Docs'!$A$2:$A$3,D96,'Cert Docs'!$E$2:$E$3,G96,'Cert Docs'!$H$2:$H$3,"YES",'Cert Docs'!$D$2:$D$3,"&lt;="&amp;C96)&gt;0,"YES","NO")</f>
        <v/>
      </c>
      <c r="K96" s="37">
        <f>COUNTIFS('Skip Audit'!$F$5:$F$313,D96,'Skip Audit'!$E$5:$E$313,"&gt;="&amp;C96)</f>
        <v/>
      </c>
      <c r="M96" s="37">
        <f>IF(J96="YES","Substantiated by supplied signed certificate",IF(I96="YES","Supplied certificate does not match amendment date/value","No signed certificate or yard sheet supplied"))</f>
        <v/>
      </c>
      <c r="N96" s="37" t="inlineStr">
        <is>
          <t>day log 2024-08-30</t>
        </is>
      </c>
      <c r="O96" s="37" t="inlineStr">
        <is>
          <t>HB-COUNTER-2</t>
        </is>
      </c>
    </row>
    <row r="97">
      <c r="A97" s="37">
        <f>IF(J97="YES","OK",IF(K97&gt;0,"Priority 1","Priority 2"))</f>
        <v/>
      </c>
      <c r="B97" s="37" t="inlineStr">
        <is>
          <t>AMD-001287</t>
        </is>
      </c>
      <c r="C97" s="38" t="n">
        <v>45539</v>
      </c>
      <c r="D97" s="37" t="inlineStr">
        <is>
          <t>WL-03381</t>
        </is>
      </c>
      <c r="E97" s="37">
        <f>IFERROR(INDEX(Applicants!$C$2:$C$2911,MATCH(D97,Applicants!$A$2:$A$2911,0))&amp;" "&amp;INDEX(Applicants!$B$2:$B$2911,MATCH(D97,Applicants!$A$2:$A$2911,0)),"")</f>
        <v/>
      </c>
      <c r="F97" s="39" t="n">
        <v>44.7</v>
      </c>
      <c r="G97" s="39" t="n">
        <v>42.9</v>
      </c>
      <c r="H97" s="37" t="inlineStr">
        <is>
          <t>MC-2024-0411</t>
        </is>
      </c>
      <c r="I97" s="37">
        <f>IF(COUNTIF('Cert Docs'!$A$2:$A$3,D97)&gt;0,"YES","NO")</f>
        <v/>
      </c>
      <c r="J97" s="37">
        <f>IF(COUNTIFS('Cert Docs'!$A$2:$A$3,D97,'Cert Docs'!$E$2:$E$3,G97,'Cert Docs'!$H$2:$H$3,"YES",'Cert Docs'!$D$2:$D$3,"&lt;="&amp;C97)&gt;0,"YES","NO")</f>
        <v/>
      </c>
      <c r="K97" s="37">
        <f>COUNTIFS('Skip Audit'!$F$5:$F$313,D97,'Skip Audit'!$E$5:$E$313,"&gt;="&amp;C97)</f>
        <v/>
      </c>
      <c r="M97" s="37">
        <f>IF(J97="YES","Substantiated by supplied signed certificate",IF(I97="YES","Supplied certificate does not match amendment date/value","No signed certificate or yard sheet supplied"))</f>
        <v/>
      </c>
      <c r="N97" s="37" t="inlineStr">
        <is>
          <t>day log 2024-09-04</t>
        </is>
      </c>
      <c r="O97" s="37" t="inlineStr">
        <is>
          <t>HB-COUNTER-2</t>
        </is>
      </c>
    </row>
    <row r="98">
      <c r="A98" s="37">
        <f>IF(J98="YES","OK",IF(K98&gt;0,"Priority 1","Priority 2"))</f>
        <v/>
      </c>
      <c r="B98" s="37" t="inlineStr">
        <is>
          <t>AMD-001288</t>
        </is>
      </c>
      <c r="C98" s="38" t="n">
        <v>45540</v>
      </c>
      <c r="D98" s="37" t="inlineStr">
        <is>
          <t>WL-02401</t>
        </is>
      </c>
      <c r="E98" s="37">
        <f>IFERROR(INDEX(Applicants!$C$2:$C$2911,MATCH(D98,Applicants!$A$2:$A$2911,0))&amp;" "&amp;INDEX(Applicants!$B$2:$B$2911,MATCH(D98,Applicants!$A$2:$A$2911,0)),"")</f>
        <v/>
      </c>
      <c r="F98" s="39" t="n">
        <v>31.2</v>
      </c>
      <c r="G98" s="39" t="n">
        <v>31.7</v>
      </c>
      <c r="H98" s="37" t="inlineStr">
        <is>
          <t>MC-2024-0091</t>
        </is>
      </c>
      <c r="I98" s="37">
        <f>IF(COUNTIF('Cert Docs'!$A$2:$A$3,D98)&gt;0,"YES","NO")</f>
        <v/>
      </c>
      <c r="J98" s="37">
        <f>IF(COUNTIFS('Cert Docs'!$A$2:$A$3,D98,'Cert Docs'!$E$2:$E$3,G98,'Cert Docs'!$H$2:$H$3,"YES",'Cert Docs'!$D$2:$D$3,"&lt;="&amp;C98)&gt;0,"YES","NO")</f>
        <v/>
      </c>
      <c r="K98" s="37">
        <f>COUNTIFS('Skip Audit'!$F$5:$F$313,D98,'Skip Audit'!$E$5:$E$313,"&gt;="&amp;C98)</f>
        <v/>
      </c>
      <c r="M98" s="37">
        <f>IF(J98="YES","Substantiated by supplied signed certificate",IF(I98="YES","Supplied certificate does not match amendment date/value","No signed certificate or yard sheet supplied"))</f>
        <v/>
      </c>
      <c r="N98" s="37" t="inlineStr">
        <is>
          <t>day log 2024-09-05</t>
        </is>
      </c>
      <c r="O98" s="37" t="inlineStr">
        <is>
          <t>HB-COUNTER-2</t>
        </is>
      </c>
    </row>
    <row r="99">
      <c r="A99" s="37">
        <f>IF(J99="YES","OK",IF(K99&gt;0,"Priority 1","Priority 2"))</f>
        <v/>
      </c>
      <c r="B99" s="37" t="inlineStr">
        <is>
          <t>AMD-001294</t>
        </is>
      </c>
      <c r="C99" s="38" t="n">
        <v>45543</v>
      </c>
      <c r="D99" s="37" t="inlineStr">
        <is>
          <t>WL-01766</t>
        </is>
      </c>
      <c r="E99" s="37">
        <f>IFERROR(INDEX(Applicants!$C$2:$C$2911,MATCH(D99,Applicants!$A$2:$A$2911,0))&amp;" "&amp;INDEX(Applicants!$B$2:$B$2911,MATCH(D99,Applicants!$A$2:$A$2911,0)),"")</f>
        <v/>
      </c>
      <c r="F99" s="39" t="n">
        <v>33.7</v>
      </c>
      <c r="G99" s="39" t="n">
        <v>32.4</v>
      </c>
      <c r="H99" s="37" t="inlineStr">
        <is>
          <t>Foldview Marine Services haul-out sheet 2023-11-26</t>
        </is>
      </c>
      <c r="I99" s="37">
        <f>IF(COUNTIF('Cert Docs'!$A$2:$A$3,D99)&gt;0,"YES","NO")</f>
        <v/>
      </c>
      <c r="J99" s="37">
        <f>IF(COUNTIFS('Cert Docs'!$A$2:$A$3,D99,'Cert Docs'!$E$2:$E$3,G99,'Cert Docs'!$H$2:$H$3,"YES",'Cert Docs'!$D$2:$D$3,"&lt;="&amp;C99)&gt;0,"YES","NO")</f>
        <v/>
      </c>
      <c r="K99" s="37">
        <f>COUNTIFS('Skip Audit'!$F$5:$F$313,D99,'Skip Audit'!$E$5:$E$313,"&gt;="&amp;C99)</f>
        <v/>
      </c>
      <c r="M99" s="37">
        <f>IF(J99="YES","Substantiated by supplied signed certificate",IF(I99="YES","Supplied certificate does not match amendment date/value","No signed certificate or yard sheet supplied"))</f>
        <v/>
      </c>
      <c r="N99" s="37" t="inlineStr">
        <is>
          <t>day log 2024-09-08</t>
        </is>
      </c>
      <c r="O99" s="37" t="inlineStr">
        <is>
          <t>HB-COUNTER-2</t>
        </is>
      </c>
    </row>
    <row r="100">
      <c r="A100" s="37">
        <f>IF(J100="YES","OK",IF(K100&gt;0,"Priority 1","Priority 2"))</f>
        <v/>
      </c>
      <c r="B100" s="37" t="inlineStr">
        <is>
          <t>AMD-001311</t>
        </is>
      </c>
      <c r="C100" s="38" t="n">
        <v>45555</v>
      </c>
      <c r="D100" s="37" t="inlineStr">
        <is>
          <t>WL-02239</t>
        </is>
      </c>
      <c r="E100" s="37">
        <f>IFERROR(INDEX(Applicants!$C$2:$C$2911,MATCH(D100,Applicants!$A$2:$A$2911,0))&amp;" "&amp;INDEX(Applicants!$B$2:$B$2911,MATCH(D100,Applicants!$A$2:$A$2911,0)),"")</f>
        <v/>
      </c>
      <c r="F100" s="39" t="n">
        <v>23.8</v>
      </c>
      <c r="G100" s="39" t="n">
        <v>24.4</v>
      </c>
      <c r="H100" s="37" t="inlineStr">
        <is>
          <t>MC-2024-0324</t>
        </is>
      </c>
      <c r="I100" s="37">
        <f>IF(COUNTIF('Cert Docs'!$A$2:$A$3,D100)&gt;0,"YES","NO")</f>
        <v/>
      </c>
      <c r="J100" s="37">
        <f>IF(COUNTIFS('Cert Docs'!$A$2:$A$3,D100,'Cert Docs'!$E$2:$E$3,G100,'Cert Docs'!$H$2:$H$3,"YES",'Cert Docs'!$D$2:$D$3,"&lt;="&amp;C100)&gt;0,"YES","NO")</f>
        <v/>
      </c>
      <c r="K100" s="37">
        <f>COUNTIFS('Skip Audit'!$F$5:$F$313,D100,'Skip Audit'!$E$5:$E$313,"&gt;="&amp;C100)</f>
        <v/>
      </c>
      <c r="M100" s="37">
        <f>IF(J100="YES","Substantiated by supplied signed certificate",IF(I100="YES","Supplied certificate does not match amendment date/value","No signed certificate or yard sheet supplied"))</f>
        <v/>
      </c>
      <c r="N100" s="37" t="inlineStr">
        <is>
          <t>day log 2024-09-20</t>
        </is>
      </c>
      <c r="O100" s="37" t="inlineStr">
        <is>
          <t>HB-COUNTER-2</t>
        </is>
      </c>
    </row>
    <row r="101">
      <c r="A101" s="37">
        <f>IF(J101="YES","OK",IF(K101&gt;0,"Priority 1","Priority 2"))</f>
        <v/>
      </c>
      <c r="B101" s="37" t="inlineStr">
        <is>
          <t>AMD-001313</t>
        </is>
      </c>
      <c r="C101" s="38" t="n">
        <v>45556</v>
      </c>
      <c r="D101" s="37" t="inlineStr">
        <is>
          <t>WL-02310</t>
        </is>
      </c>
      <c r="E101" s="37">
        <f>IFERROR(INDEX(Applicants!$C$2:$C$2911,MATCH(D101,Applicants!$A$2:$A$2911,0))&amp;" "&amp;INDEX(Applicants!$B$2:$B$2911,MATCH(D101,Applicants!$A$2:$A$2911,0)),"")</f>
        <v/>
      </c>
      <c r="F101" s="39" t="n">
        <v>29.5</v>
      </c>
      <c r="G101" s="39" t="n">
        <v>28</v>
      </c>
      <c r="H101" s="37" t="inlineStr">
        <is>
          <t>Foldview Marine Services haul-out sheet 2022-10-15</t>
        </is>
      </c>
      <c r="I101" s="37">
        <f>IF(COUNTIF('Cert Docs'!$A$2:$A$3,D101)&gt;0,"YES","NO")</f>
        <v/>
      </c>
      <c r="J101" s="37">
        <f>IF(COUNTIFS('Cert Docs'!$A$2:$A$3,D101,'Cert Docs'!$E$2:$E$3,G101,'Cert Docs'!$H$2:$H$3,"YES",'Cert Docs'!$D$2:$D$3,"&lt;="&amp;C101)&gt;0,"YES","NO")</f>
        <v/>
      </c>
      <c r="K101" s="37">
        <f>COUNTIFS('Skip Audit'!$F$5:$F$313,D101,'Skip Audit'!$E$5:$E$313,"&gt;="&amp;C101)</f>
        <v/>
      </c>
      <c r="M101" s="37">
        <f>IF(J101="YES","Substantiated by supplied signed certificate",IF(I101="YES","Supplied certificate does not match amendment date/value","No signed certificate or yard sheet supplied"))</f>
        <v/>
      </c>
      <c r="N101" s="37" t="inlineStr">
        <is>
          <t>day log 2024-09-21</t>
        </is>
      </c>
      <c r="O101" s="37" t="inlineStr">
        <is>
          <t>HB-COUNTER-2</t>
        </is>
      </c>
    </row>
    <row r="102">
      <c r="A102" s="37">
        <f>IF(J102="YES","OK",IF(K102&gt;0,"Priority 1","Priority 2"))</f>
        <v/>
      </c>
      <c r="B102" s="37" t="inlineStr">
        <is>
          <t>AMD-001323</t>
        </is>
      </c>
      <c r="C102" s="38" t="n">
        <v>45569</v>
      </c>
      <c r="D102" s="37" t="inlineStr">
        <is>
          <t>WL-01430</t>
        </is>
      </c>
      <c r="E102" s="37">
        <f>IFERROR(INDEX(Applicants!$C$2:$C$2911,MATCH(D102,Applicants!$A$2:$A$2911,0))&amp;" "&amp;INDEX(Applicants!$B$2:$B$2911,MATCH(D102,Applicants!$A$2:$A$2911,0)),"")</f>
        <v/>
      </c>
      <c r="F102" s="39" t="n">
        <v>27.2</v>
      </c>
      <c r="G102" s="39" t="n">
        <v>27.1</v>
      </c>
      <c r="H102" s="37" t="inlineStr">
        <is>
          <t>Foldview Marine Services haul-out sheet 2023-02-17</t>
        </is>
      </c>
      <c r="I102" s="37">
        <f>IF(COUNTIF('Cert Docs'!$A$2:$A$3,D102)&gt;0,"YES","NO")</f>
        <v/>
      </c>
      <c r="J102" s="37">
        <f>IF(COUNTIFS('Cert Docs'!$A$2:$A$3,D102,'Cert Docs'!$E$2:$E$3,G102,'Cert Docs'!$H$2:$H$3,"YES",'Cert Docs'!$D$2:$D$3,"&lt;="&amp;C102)&gt;0,"YES","NO")</f>
        <v/>
      </c>
      <c r="K102" s="37">
        <f>COUNTIFS('Skip Audit'!$F$5:$F$313,D102,'Skip Audit'!$E$5:$E$313,"&gt;="&amp;C102)</f>
        <v/>
      </c>
      <c r="M102" s="37">
        <f>IF(J102="YES","Substantiated by supplied signed certificate",IF(I102="YES","Supplied certificate does not match amendment date/value","No signed certificate or yard sheet supplied"))</f>
        <v/>
      </c>
      <c r="N102" s="37" t="inlineStr">
        <is>
          <t>day log 2024-10-04</t>
        </is>
      </c>
      <c r="O102" s="37" t="inlineStr">
        <is>
          <t>HB-COUNTER-2</t>
        </is>
      </c>
    </row>
    <row r="103">
      <c r="A103" s="37">
        <f>IF(J103="YES","OK",IF(K103&gt;0,"Priority 1","Priority 2"))</f>
        <v/>
      </c>
      <c r="B103" s="37" t="inlineStr">
        <is>
          <t>AMD-001327</t>
        </is>
      </c>
      <c r="C103" s="38" t="n">
        <v>45573</v>
      </c>
      <c r="D103" s="37" t="inlineStr">
        <is>
          <t>WL-02607</t>
        </is>
      </c>
      <c r="E103" s="37">
        <f>IFERROR(INDEX(Applicants!$C$2:$C$2911,MATCH(D103,Applicants!$A$2:$A$2911,0))&amp;" "&amp;INDEX(Applicants!$B$2:$B$2911,MATCH(D103,Applicants!$A$2:$A$2911,0)),"")</f>
        <v/>
      </c>
      <c r="F103" s="39" t="n">
        <v>24.7</v>
      </c>
      <c r="G103" s="39" t="n">
        <v>27.7</v>
      </c>
      <c r="H103" s="37" t="inlineStr">
        <is>
          <t>Foldview Marine Services haul-out sheet 2024-01-01</t>
        </is>
      </c>
      <c r="I103" s="37">
        <f>IF(COUNTIF('Cert Docs'!$A$2:$A$3,D103)&gt;0,"YES","NO")</f>
        <v/>
      </c>
      <c r="J103" s="37">
        <f>IF(COUNTIFS('Cert Docs'!$A$2:$A$3,D103,'Cert Docs'!$E$2:$E$3,G103,'Cert Docs'!$H$2:$H$3,"YES",'Cert Docs'!$D$2:$D$3,"&lt;="&amp;C103)&gt;0,"YES","NO")</f>
        <v/>
      </c>
      <c r="K103" s="37">
        <f>COUNTIFS('Skip Audit'!$F$5:$F$313,D103,'Skip Audit'!$E$5:$E$313,"&gt;="&amp;C103)</f>
        <v/>
      </c>
      <c r="L103" s="37" t="inlineStr">
        <is>
          <t>SKP-2025-0303</t>
        </is>
      </c>
      <c r="M103" s="37">
        <f>IF(J103="YES","Substantiated by supplied signed certificate",IF(I103="YES","Supplied certificate does not match amendment date/value","No signed certificate or yard sheet supplied"))</f>
        <v/>
      </c>
      <c r="N103" s="37" t="inlineStr">
        <is>
          <t>day log 2024-10-08</t>
        </is>
      </c>
      <c r="O103" s="37" t="inlineStr">
        <is>
          <t>HB-COUNTER-2</t>
        </is>
      </c>
    </row>
    <row r="104">
      <c r="A104" s="37">
        <f>IF(J104="YES","OK",IF(K104&gt;0,"Priority 1","Priority 2"))</f>
        <v/>
      </c>
      <c r="B104" s="37" t="inlineStr">
        <is>
          <t>AMD-001328</t>
        </is>
      </c>
      <c r="C104" s="38" t="n">
        <v>45573</v>
      </c>
      <c r="D104" s="37" t="inlineStr">
        <is>
          <t>WL-03547</t>
        </is>
      </c>
      <c r="E104" s="37">
        <f>IFERROR(INDEX(Applicants!$C$2:$C$2911,MATCH(D104,Applicants!$A$2:$A$2911,0))&amp;" "&amp;INDEX(Applicants!$B$2:$B$2911,MATCH(D104,Applicants!$A$2:$A$2911,0)),"")</f>
        <v/>
      </c>
      <c r="F104" s="39" t="n">
        <v>44.9</v>
      </c>
      <c r="G104" s="39" t="n">
        <v>44.6</v>
      </c>
      <c r="H104" s="37" t="inlineStr">
        <is>
          <t>Foldview Marine Services haul-out sheet 2022-08-11</t>
        </is>
      </c>
      <c r="I104" s="37">
        <f>IF(COUNTIF('Cert Docs'!$A$2:$A$3,D104)&gt;0,"YES","NO")</f>
        <v/>
      </c>
      <c r="J104" s="37">
        <f>IF(COUNTIFS('Cert Docs'!$A$2:$A$3,D104,'Cert Docs'!$E$2:$E$3,G104,'Cert Docs'!$H$2:$H$3,"YES",'Cert Docs'!$D$2:$D$3,"&lt;="&amp;C104)&gt;0,"YES","NO")</f>
        <v/>
      </c>
      <c r="K104" s="37">
        <f>COUNTIFS('Skip Audit'!$F$5:$F$313,D104,'Skip Audit'!$E$5:$E$313,"&gt;="&amp;C104)</f>
        <v/>
      </c>
      <c r="M104" s="37">
        <f>IF(J104="YES","Substantiated by supplied signed certificate",IF(I104="YES","Supplied certificate does not match amendment date/value","No signed certificate or yard sheet supplied"))</f>
        <v/>
      </c>
      <c r="N104" s="37" t="inlineStr">
        <is>
          <t>day log 2024-10-08</t>
        </is>
      </c>
      <c r="O104" s="37" t="inlineStr">
        <is>
          <t>HB-COUNTER-2</t>
        </is>
      </c>
    </row>
    <row r="105">
      <c r="A105" s="37">
        <f>IF(J105="YES","OK",IF(K105&gt;0,"Priority 1","Priority 2"))</f>
        <v/>
      </c>
      <c r="B105" s="37" t="inlineStr">
        <is>
          <t>AMD-001331</t>
        </is>
      </c>
      <c r="C105" s="38" t="n">
        <v>45576</v>
      </c>
      <c r="D105" s="37" t="inlineStr">
        <is>
          <t>WL-03757</t>
        </is>
      </c>
      <c r="E105" s="37">
        <f>IFERROR(INDEX(Applicants!$C$2:$C$2911,MATCH(D105,Applicants!$A$2:$A$2911,0))&amp;" "&amp;INDEX(Applicants!$B$2:$B$2911,MATCH(D105,Applicants!$A$2:$A$2911,0)),"")</f>
        <v/>
      </c>
      <c r="F105" s="39" t="n">
        <v>52.8</v>
      </c>
      <c r="G105" s="39" t="n">
        <v>52.7</v>
      </c>
      <c r="H105" s="37" t="inlineStr">
        <is>
          <t>MC-2024-0126</t>
        </is>
      </c>
      <c r="I105" s="37">
        <f>IF(COUNTIF('Cert Docs'!$A$2:$A$3,D105)&gt;0,"YES","NO")</f>
        <v/>
      </c>
      <c r="J105" s="37">
        <f>IF(COUNTIFS('Cert Docs'!$A$2:$A$3,D105,'Cert Docs'!$E$2:$E$3,G105,'Cert Docs'!$H$2:$H$3,"YES",'Cert Docs'!$D$2:$D$3,"&lt;="&amp;C105)&gt;0,"YES","NO")</f>
        <v/>
      </c>
      <c r="K105" s="37">
        <f>COUNTIFS('Skip Audit'!$F$5:$F$313,D105,'Skip Audit'!$E$5:$E$313,"&gt;="&amp;C105)</f>
        <v/>
      </c>
      <c r="M105" s="37">
        <f>IF(J105="YES","Substantiated by supplied signed certificate",IF(I105="YES","Supplied certificate does not match amendment date/value","No signed certificate or yard sheet supplied"))</f>
        <v/>
      </c>
      <c r="N105" s="37" t="inlineStr">
        <is>
          <t>day log 2024-10-11</t>
        </is>
      </c>
      <c r="O105" s="37" t="inlineStr">
        <is>
          <t>HB-COUNTER-2</t>
        </is>
      </c>
    </row>
    <row r="106">
      <c r="A106" s="37">
        <f>IF(J106="YES","OK",IF(K106&gt;0,"Priority 1","Priority 2"))</f>
        <v/>
      </c>
      <c r="B106" s="37" t="inlineStr">
        <is>
          <t>AMD-001350</t>
        </is>
      </c>
      <c r="C106" s="38" t="n">
        <v>45594</v>
      </c>
      <c r="D106" s="37" t="inlineStr">
        <is>
          <t>WL-02398</t>
        </is>
      </c>
      <c r="E106" s="37">
        <f>IFERROR(INDEX(Applicants!$C$2:$C$2911,MATCH(D106,Applicants!$A$2:$A$2911,0))&amp;" "&amp;INDEX(Applicants!$B$2:$B$2911,MATCH(D106,Applicants!$A$2:$A$2911,0)),"")</f>
        <v/>
      </c>
      <c r="F106" s="39" t="n">
        <v>38.6</v>
      </c>
      <c r="G106" s="39" t="n">
        <v>36.6</v>
      </c>
      <c r="H106" s="37" t="inlineStr">
        <is>
          <t>Foldview Marine Services haul-out sheet 2022-09-24</t>
        </is>
      </c>
      <c r="I106" s="37">
        <f>IF(COUNTIF('Cert Docs'!$A$2:$A$3,D106)&gt;0,"YES","NO")</f>
        <v/>
      </c>
      <c r="J106" s="37">
        <f>IF(COUNTIFS('Cert Docs'!$A$2:$A$3,D106,'Cert Docs'!$E$2:$E$3,G106,'Cert Docs'!$H$2:$H$3,"YES",'Cert Docs'!$D$2:$D$3,"&lt;="&amp;C106)&gt;0,"YES","NO")</f>
        <v/>
      </c>
      <c r="K106" s="37">
        <f>COUNTIFS('Skip Audit'!$F$5:$F$313,D106,'Skip Audit'!$E$5:$E$313,"&gt;="&amp;C106)</f>
        <v/>
      </c>
      <c r="M106" s="37">
        <f>IF(J106="YES","Substantiated by supplied signed certificate",IF(I106="YES","Supplied certificate does not match amendment date/value","No signed certificate or yard sheet supplied"))</f>
        <v/>
      </c>
      <c r="N106" s="37" t="inlineStr">
        <is>
          <t>day log 2024-10-29</t>
        </is>
      </c>
      <c r="O106" s="37" t="inlineStr">
        <is>
          <t>HB-COUNTER-2</t>
        </is>
      </c>
    </row>
    <row r="107">
      <c r="A107" s="37">
        <f>IF(J107="YES","OK",IF(K107&gt;0,"Priority 1","Priority 2"))</f>
        <v/>
      </c>
      <c r="B107" s="37" t="inlineStr">
        <is>
          <t>AMD-001362</t>
        </is>
      </c>
      <c r="C107" s="38" t="n">
        <v>45601</v>
      </c>
      <c r="D107" s="37" t="inlineStr">
        <is>
          <t>WL-03050</t>
        </is>
      </c>
      <c r="E107" s="37">
        <f>IFERROR(INDEX(Applicants!$C$2:$C$2911,MATCH(D107,Applicants!$A$2:$A$2911,0))&amp;" "&amp;INDEX(Applicants!$B$2:$B$2911,MATCH(D107,Applicants!$A$2:$A$2911,0)),"")</f>
        <v/>
      </c>
      <c r="F107" s="39" t="n">
        <v>39.5</v>
      </c>
      <c r="G107" s="39" t="n">
        <v>42.3</v>
      </c>
      <c r="H107" s="37" t="inlineStr">
        <is>
          <t>MC-2024-0375</t>
        </is>
      </c>
      <c r="I107" s="37">
        <f>IF(COUNTIF('Cert Docs'!$A$2:$A$3,D107)&gt;0,"YES","NO")</f>
        <v/>
      </c>
      <c r="J107" s="37">
        <f>IF(COUNTIFS('Cert Docs'!$A$2:$A$3,D107,'Cert Docs'!$E$2:$E$3,G107,'Cert Docs'!$H$2:$H$3,"YES",'Cert Docs'!$D$2:$D$3,"&lt;="&amp;C107)&gt;0,"YES","NO")</f>
        <v/>
      </c>
      <c r="K107" s="37">
        <f>COUNTIFS('Skip Audit'!$F$5:$F$313,D107,'Skip Audit'!$E$5:$E$313,"&gt;="&amp;C107)</f>
        <v/>
      </c>
      <c r="M107" s="37">
        <f>IF(J107="YES","Substantiated by supplied signed certificate",IF(I107="YES","Supplied certificate does not match amendment date/value","No signed certificate or yard sheet supplied"))</f>
        <v/>
      </c>
      <c r="N107" s="37" t="inlineStr">
        <is>
          <t>day log 2024-11-05</t>
        </is>
      </c>
      <c r="O107" s="37" t="inlineStr">
        <is>
          <t>HB-COUNTER-2</t>
        </is>
      </c>
    </row>
    <row r="108">
      <c r="A108" s="37">
        <f>IF(J108="YES","OK",IF(K108&gt;0,"Priority 1","Priority 2"))</f>
        <v/>
      </c>
      <c r="B108" s="37" t="inlineStr">
        <is>
          <t>AMD-001384</t>
        </is>
      </c>
      <c r="C108" s="38" t="n">
        <v>45615</v>
      </c>
      <c r="D108" s="37" t="inlineStr">
        <is>
          <t>WL-02442</t>
        </is>
      </c>
      <c r="E108" s="37">
        <f>IFERROR(INDEX(Applicants!$C$2:$C$2911,MATCH(D108,Applicants!$A$2:$A$2911,0))&amp;" "&amp;INDEX(Applicants!$B$2:$B$2911,MATCH(D108,Applicants!$A$2:$A$2911,0)),"")</f>
        <v/>
      </c>
      <c r="F108" s="39" t="n">
        <v>37.6</v>
      </c>
      <c r="G108" s="39" t="n">
        <v>38.1</v>
      </c>
      <c r="H108" s="37" t="inlineStr">
        <is>
          <t>MC-2024-0282</t>
        </is>
      </c>
      <c r="I108" s="37">
        <f>IF(COUNTIF('Cert Docs'!$A$2:$A$3,D108)&gt;0,"YES","NO")</f>
        <v/>
      </c>
      <c r="J108" s="37">
        <f>IF(COUNTIFS('Cert Docs'!$A$2:$A$3,D108,'Cert Docs'!$E$2:$E$3,G108,'Cert Docs'!$H$2:$H$3,"YES",'Cert Docs'!$D$2:$D$3,"&lt;="&amp;C108)&gt;0,"YES","NO")</f>
        <v/>
      </c>
      <c r="K108" s="37">
        <f>COUNTIFS('Skip Audit'!$F$5:$F$313,D108,'Skip Audit'!$E$5:$E$313,"&gt;="&amp;C108)</f>
        <v/>
      </c>
      <c r="M108" s="37">
        <f>IF(J108="YES","Substantiated by supplied signed certificate",IF(I108="YES","Supplied certificate does not match amendment date/value","No signed certificate or yard sheet supplied"))</f>
        <v/>
      </c>
      <c r="N108" s="37" t="inlineStr">
        <is>
          <t>day log 2024-11-19</t>
        </is>
      </c>
      <c r="O108" s="37" t="inlineStr">
        <is>
          <t>HB-COUNTER-2</t>
        </is>
      </c>
    </row>
    <row r="109">
      <c r="A109" s="37">
        <f>IF(J109="YES","OK",IF(K109&gt;0,"Priority 1","Priority 2"))</f>
        <v/>
      </c>
      <c r="B109" s="37" t="inlineStr">
        <is>
          <t>AMD-001400</t>
        </is>
      </c>
      <c r="C109" s="38" t="n">
        <v>45624</v>
      </c>
      <c r="D109" s="37" t="inlineStr">
        <is>
          <t>WL-03511</t>
        </is>
      </c>
      <c r="E109" s="37">
        <f>IFERROR(INDEX(Applicants!$C$2:$C$2911,MATCH(D109,Applicants!$A$2:$A$2911,0))&amp;" "&amp;INDEX(Applicants!$B$2:$B$2911,MATCH(D109,Applicants!$A$2:$A$2911,0)),"")</f>
        <v/>
      </c>
      <c r="F109" s="39" t="n">
        <v>24.5</v>
      </c>
      <c r="G109" s="39" t="n">
        <v>22.8</v>
      </c>
      <c r="H109" s="37" t="inlineStr">
        <is>
          <t>Foldview Marine Services haul-out sheet 2023-01-03</t>
        </is>
      </c>
      <c r="I109" s="37">
        <f>IF(COUNTIF('Cert Docs'!$A$2:$A$3,D109)&gt;0,"YES","NO")</f>
        <v/>
      </c>
      <c r="J109" s="37">
        <f>IF(COUNTIFS('Cert Docs'!$A$2:$A$3,D109,'Cert Docs'!$E$2:$E$3,G109,'Cert Docs'!$H$2:$H$3,"YES",'Cert Docs'!$D$2:$D$3,"&lt;="&amp;C109)&gt;0,"YES","NO")</f>
        <v/>
      </c>
      <c r="K109" s="37">
        <f>COUNTIFS('Skip Audit'!$F$5:$F$313,D109,'Skip Audit'!$E$5:$E$313,"&gt;="&amp;C109)</f>
        <v/>
      </c>
      <c r="M109" s="37">
        <f>IF(J109="YES","Substantiated by supplied signed certificate",IF(I109="YES","Supplied certificate does not match amendment date/value","No signed certificate or yard sheet supplied"))</f>
        <v/>
      </c>
      <c r="N109" s="37" t="inlineStr">
        <is>
          <t>day log 2024-11-28</t>
        </is>
      </c>
      <c r="O109" s="37" t="inlineStr">
        <is>
          <t>HB-COUNTER-2</t>
        </is>
      </c>
    </row>
    <row r="110">
      <c r="A110" s="37">
        <f>IF(J110="YES","OK",IF(K110&gt;0,"Priority 1","Priority 2"))</f>
        <v/>
      </c>
      <c r="B110" s="37" t="inlineStr">
        <is>
          <t>AMD-001403</t>
        </is>
      </c>
      <c r="C110" s="38" t="n">
        <v>45626</v>
      </c>
      <c r="D110" s="37" t="inlineStr">
        <is>
          <t>WL-02150</t>
        </is>
      </c>
      <c r="E110" s="37">
        <f>IFERROR(INDEX(Applicants!$C$2:$C$2911,MATCH(D110,Applicants!$A$2:$A$2911,0))&amp;" "&amp;INDEX(Applicants!$B$2:$B$2911,MATCH(D110,Applicants!$A$2:$A$2911,0)),"")</f>
        <v/>
      </c>
      <c r="F110" s="39" t="n">
        <v>34.3</v>
      </c>
      <c r="G110" s="39" t="n">
        <v>32.9</v>
      </c>
      <c r="H110" s="37" t="inlineStr">
        <is>
          <t>MC-2024-0438</t>
        </is>
      </c>
      <c r="I110" s="37">
        <f>IF(COUNTIF('Cert Docs'!$A$2:$A$3,D110)&gt;0,"YES","NO")</f>
        <v/>
      </c>
      <c r="J110" s="37">
        <f>IF(COUNTIFS('Cert Docs'!$A$2:$A$3,D110,'Cert Docs'!$E$2:$E$3,G110,'Cert Docs'!$H$2:$H$3,"YES",'Cert Docs'!$D$2:$D$3,"&lt;="&amp;C110)&gt;0,"YES","NO")</f>
        <v/>
      </c>
      <c r="K110" s="37">
        <f>COUNTIFS('Skip Audit'!$F$5:$F$313,D110,'Skip Audit'!$E$5:$E$313,"&gt;="&amp;C110)</f>
        <v/>
      </c>
      <c r="M110" s="37">
        <f>IF(J110="YES","Substantiated by supplied signed certificate",IF(I110="YES","Supplied certificate does not match amendment date/value","No signed certificate or yard sheet supplied"))</f>
        <v/>
      </c>
      <c r="N110" s="37" t="inlineStr">
        <is>
          <t>day log 2024-11-30</t>
        </is>
      </c>
      <c r="O110" s="37" t="inlineStr">
        <is>
          <t>HB-COUNTER-2</t>
        </is>
      </c>
    </row>
    <row r="111">
      <c r="A111" s="37">
        <f>IF(J111="YES","OK",IF(K111&gt;0,"Priority 1","Priority 2"))</f>
        <v/>
      </c>
      <c r="B111" s="37" t="inlineStr">
        <is>
          <t>AMD-001406</t>
        </is>
      </c>
      <c r="C111" s="38" t="n">
        <v>45628</v>
      </c>
      <c r="D111" s="37" t="inlineStr">
        <is>
          <t>WL-03583</t>
        </is>
      </c>
      <c r="E111" s="37">
        <f>IFERROR(INDEX(Applicants!$C$2:$C$2911,MATCH(D111,Applicants!$A$2:$A$2911,0))&amp;" "&amp;INDEX(Applicants!$B$2:$B$2911,MATCH(D111,Applicants!$A$2:$A$2911,0)),"")</f>
        <v/>
      </c>
      <c r="F111" s="39" t="n">
        <v>50.6</v>
      </c>
      <c r="G111" s="39" t="n">
        <v>49</v>
      </c>
      <c r="H111" s="37" t="inlineStr">
        <is>
          <t>MC-2024-0227</t>
        </is>
      </c>
      <c r="I111" s="37">
        <f>IF(COUNTIF('Cert Docs'!$A$2:$A$3,D111)&gt;0,"YES","NO")</f>
        <v/>
      </c>
      <c r="J111" s="37">
        <f>IF(COUNTIFS('Cert Docs'!$A$2:$A$3,D111,'Cert Docs'!$E$2:$E$3,G111,'Cert Docs'!$H$2:$H$3,"YES",'Cert Docs'!$D$2:$D$3,"&lt;="&amp;C111)&gt;0,"YES","NO")</f>
        <v/>
      </c>
      <c r="K111" s="37">
        <f>COUNTIFS('Skip Audit'!$F$5:$F$313,D111,'Skip Audit'!$E$5:$E$313,"&gt;="&amp;C111)</f>
        <v/>
      </c>
      <c r="M111" s="37">
        <f>IF(J111="YES","Substantiated by supplied signed certificate",IF(I111="YES","Supplied certificate does not match amendment date/value","No signed certificate or yard sheet supplied"))</f>
        <v/>
      </c>
      <c r="N111" s="37" t="inlineStr">
        <is>
          <t>day log 2024-12-02</t>
        </is>
      </c>
      <c r="O111" s="37" t="inlineStr">
        <is>
          <t>HB-COUNTER-2</t>
        </is>
      </c>
    </row>
    <row r="112">
      <c r="A112" s="37">
        <f>IF(J112="YES","OK",IF(K112&gt;0,"Priority 1","Priority 2"))</f>
        <v/>
      </c>
      <c r="B112" s="37" t="inlineStr">
        <is>
          <t>AMD-001408</t>
        </is>
      </c>
      <c r="C112" s="38" t="n">
        <v>45631</v>
      </c>
      <c r="D112" s="37" t="inlineStr">
        <is>
          <t>WL-02001</t>
        </is>
      </c>
      <c r="E112" s="37">
        <f>IFERROR(INDEX(Applicants!$C$2:$C$2911,MATCH(D112,Applicants!$A$2:$A$2911,0))&amp;" "&amp;INDEX(Applicants!$B$2:$B$2911,MATCH(D112,Applicants!$A$2:$A$2911,0)),"")</f>
        <v/>
      </c>
      <c r="F112" s="39" t="n">
        <v>46.3</v>
      </c>
      <c r="G112" s="39" t="n">
        <v>46.8</v>
      </c>
      <c r="H112" s="37" t="inlineStr">
        <is>
          <t>MC-2024-0801</t>
        </is>
      </c>
      <c r="I112" s="37">
        <f>IF(COUNTIF('Cert Docs'!$A$2:$A$3,D112)&gt;0,"YES","NO")</f>
        <v/>
      </c>
      <c r="J112" s="37">
        <f>IF(COUNTIFS('Cert Docs'!$A$2:$A$3,D112,'Cert Docs'!$E$2:$E$3,G112,'Cert Docs'!$H$2:$H$3,"YES",'Cert Docs'!$D$2:$D$3,"&lt;="&amp;C112)&gt;0,"YES","NO")</f>
        <v/>
      </c>
      <c r="K112" s="37">
        <f>COUNTIFS('Skip Audit'!$F$5:$F$313,D112,'Skip Audit'!$E$5:$E$313,"&gt;="&amp;C112)</f>
        <v/>
      </c>
      <c r="M112" s="37">
        <f>IF(J112="YES","Substantiated by supplied signed certificate",IF(I112="YES","Supplied certificate does not match amendment date/value","No signed certificate or yard sheet supplied"))</f>
        <v/>
      </c>
      <c r="N112" s="37" t="inlineStr">
        <is>
          <t>day log 2024-12-05</t>
        </is>
      </c>
      <c r="O112" s="37" t="inlineStr">
        <is>
          <t>HB-COUNTER-2</t>
        </is>
      </c>
    </row>
    <row r="113">
      <c r="A113" s="37">
        <f>IF(J113="YES","OK",IF(K113&gt;0,"Priority 1","Priority 2"))</f>
        <v/>
      </c>
      <c r="B113" s="37" t="inlineStr">
        <is>
          <t>AMD-001409</t>
        </is>
      </c>
      <c r="C113" s="38" t="n">
        <v>45631</v>
      </c>
      <c r="D113" s="37" t="inlineStr">
        <is>
          <t>WL-02133</t>
        </is>
      </c>
      <c r="E113" s="37">
        <f>IFERROR(INDEX(Applicants!$C$2:$C$2911,MATCH(D113,Applicants!$A$2:$A$2911,0))&amp;" "&amp;INDEX(Applicants!$B$2:$B$2911,MATCH(D113,Applicants!$A$2:$A$2911,0)),"")</f>
        <v/>
      </c>
      <c r="F113" s="39" t="n">
        <v>28.2</v>
      </c>
      <c r="G113" s="39" t="n">
        <v>28.4</v>
      </c>
      <c r="H113" s="37" t="inlineStr">
        <is>
          <t>MC-2024-0696</t>
        </is>
      </c>
      <c r="I113" s="37">
        <f>IF(COUNTIF('Cert Docs'!$A$2:$A$3,D113)&gt;0,"YES","NO")</f>
        <v/>
      </c>
      <c r="J113" s="37">
        <f>IF(COUNTIFS('Cert Docs'!$A$2:$A$3,D113,'Cert Docs'!$E$2:$E$3,G113,'Cert Docs'!$H$2:$H$3,"YES",'Cert Docs'!$D$2:$D$3,"&lt;="&amp;C113)&gt;0,"YES","NO")</f>
        <v/>
      </c>
      <c r="K113" s="37">
        <f>COUNTIFS('Skip Audit'!$F$5:$F$313,D113,'Skip Audit'!$E$5:$E$313,"&gt;="&amp;C113)</f>
        <v/>
      </c>
      <c r="M113" s="37">
        <f>IF(J113="YES","Substantiated by supplied signed certificate",IF(I113="YES","Supplied certificate does not match amendment date/value","No signed certificate or yard sheet supplied"))</f>
        <v/>
      </c>
      <c r="N113" s="37" t="inlineStr">
        <is>
          <t>day log 2024-12-05</t>
        </is>
      </c>
      <c r="O113" s="37" t="inlineStr">
        <is>
          <t>HB-COUNTER-2</t>
        </is>
      </c>
    </row>
    <row r="114">
      <c r="A114" s="37">
        <f>IF(J114="YES","OK",IF(K114&gt;0,"Priority 1","Priority 2"))</f>
        <v/>
      </c>
      <c r="B114" s="37" t="inlineStr">
        <is>
          <t>AMD-001411</t>
        </is>
      </c>
      <c r="C114" s="38" t="n">
        <v>45633</v>
      </c>
      <c r="D114" s="37" t="inlineStr">
        <is>
          <t>WL-02026</t>
        </is>
      </c>
      <c r="E114" s="37">
        <f>IFERROR(INDEX(Applicants!$C$2:$C$2911,MATCH(D114,Applicants!$A$2:$A$2911,0))&amp;" "&amp;INDEX(Applicants!$B$2:$B$2911,MATCH(D114,Applicants!$A$2:$A$2911,0)),"")</f>
        <v/>
      </c>
      <c r="F114" s="39" t="n">
        <v>25.7</v>
      </c>
      <c r="G114" s="39" t="n">
        <v>23</v>
      </c>
      <c r="H114" s="37" t="inlineStr">
        <is>
          <t>Foldview Marine Services haul-out sheet 2022-10-14</t>
        </is>
      </c>
      <c r="I114" s="37">
        <f>IF(COUNTIF('Cert Docs'!$A$2:$A$3,D114)&gt;0,"YES","NO")</f>
        <v/>
      </c>
      <c r="J114" s="37">
        <f>IF(COUNTIFS('Cert Docs'!$A$2:$A$3,D114,'Cert Docs'!$E$2:$E$3,G114,'Cert Docs'!$H$2:$H$3,"YES",'Cert Docs'!$D$2:$D$3,"&lt;="&amp;C114)&gt;0,"YES","NO")</f>
        <v/>
      </c>
      <c r="K114" s="37">
        <f>COUNTIFS('Skip Audit'!$F$5:$F$313,D114,'Skip Audit'!$E$5:$E$313,"&gt;="&amp;C114)</f>
        <v/>
      </c>
      <c r="M114" s="37">
        <f>IF(J114="YES","Substantiated by supplied signed certificate",IF(I114="YES","Supplied certificate does not match amendment date/value","No signed certificate or yard sheet supplied"))</f>
        <v/>
      </c>
      <c r="N114" s="37" t="inlineStr">
        <is>
          <t>day log 2024-12-07</t>
        </is>
      </c>
      <c r="O114" s="37" t="inlineStr">
        <is>
          <t>HB-COUNTER-2</t>
        </is>
      </c>
    </row>
    <row r="115">
      <c r="A115" s="37">
        <f>IF(J115="YES","OK",IF(K115&gt;0,"Priority 1","Priority 2"))</f>
        <v/>
      </c>
      <c r="B115" s="37" t="inlineStr">
        <is>
          <t>AMD-001414</t>
        </is>
      </c>
      <c r="C115" s="38" t="n">
        <v>45637</v>
      </c>
      <c r="D115" s="37" t="inlineStr">
        <is>
          <t>WL-03890</t>
        </is>
      </c>
      <c r="E115" s="37">
        <f>IFERROR(INDEX(Applicants!$C$2:$C$2911,MATCH(D115,Applicants!$A$2:$A$2911,0))&amp;" "&amp;INDEX(Applicants!$B$2:$B$2911,MATCH(D115,Applicants!$A$2:$A$2911,0)),"")</f>
        <v/>
      </c>
      <c r="F115" s="39" t="n">
        <v>51.3</v>
      </c>
      <c r="G115" s="39" t="n">
        <v>49.6</v>
      </c>
      <c r="H115" s="37" t="inlineStr">
        <is>
          <t>MC-2024-0118</t>
        </is>
      </c>
      <c r="I115" s="37">
        <f>IF(COUNTIF('Cert Docs'!$A$2:$A$3,D115)&gt;0,"YES","NO")</f>
        <v/>
      </c>
      <c r="J115" s="37">
        <f>IF(COUNTIFS('Cert Docs'!$A$2:$A$3,D115,'Cert Docs'!$E$2:$E$3,G115,'Cert Docs'!$H$2:$H$3,"YES",'Cert Docs'!$D$2:$D$3,"&lt;="&amp;C115)&gt;0,"YES","NO")</f>
        <v/>
      </c>
      <c r="K115" s="37">
        <f>COUNTIFS('Skip Audit'!$F$5:$F$313,D115,'Skip Audit'!$E$5:$E$313,"&gt;="&amp;C115)</f>
        <v/>
      </c>
      <c r="M115" s="37">
        <f>IF(J115="YES","Substantiated by supplied signed certificate",IF(I115="YES","Supplied certificate does not match amendment date/value","No signed certificate or yard sheet supplied"))</f>
        <v/>
      </c>
      <c r="N115" s="37" t="inlineStr">
        <is>
          <t>day log 2024-12-11</t>
        </is>
      </c>
      <c r="O115" s="37" t="inlineStr">
        <is>
          <t>HB-COUNTER-2</t>
        </is>
      </c>
    </row>
    <row r="116">
      <c r="A116" s="37">
        <f>IF(J116="YES","OK",IF(K116&gt;0,"Priority 1","Priority 2"))</f>
        <v/>
      </c>
      <c r="B116" s="37" t="inlineStr">
        <is>
          <t>AMD-001427</t>
        </is>
      </c>
      <c r="C116" s="38" t="n">
        <v>45648</v>
      </c>
      <c r="D116" s="37" t="inlineStr">
        <is>
          <t>WL-03470</t>
        </is>
      </c>
      <c r="E116" s="37">
        <f>IFERROR(INDEX(Applicants!$C$2:$C$2911,MATCH(D116,Applicants!$A$2:$A$2911,0))&amp;" "&amp;INDEX(Applicants!$B$2:$B$2911,MATCH(D116,Applicants!$A$2:$A$2911,0)),"")</f>
        <v/>
      </c>
      <c r="F116" s="39" t="n">
        <v>37</v>
      </c>
      <c r="G116" s="39" t="n">
        <v>36.4</v>
      </c>
      <c r="H116" s="37" t="inlineStr">
        <is>
          <t>MC-2024-0864</t>
        </is>
      </c>
      <c r="I116" s="37">
        <f>IF(COUNTIF('Cert Docs'!$A$2:$A$3,D116)&gt;0,"YES","NO")</f>
        <v/>
      </c>
      <c r="J116" s="37">
        <f>IF(COUNTIFS('Cert Docs'!$A$2:$A$3,D116,'Cert Docs'!$E$2:$E$3,G116,'Cert Docs'!$H$2:$H$3,"YES",'Cert Docs'!$D$2:$D$3,"&lt;="&amp;C116)&gt;0,"YES","NO")</f>
        <v/>
      </c>
      <c r="K116" s="37">
        <f>COUNTIFS('Skip Audit'!$F$5:$F$313,D116,'Skip Audit'!$E$5:$E$313,"&gt;="&amp;C116)</f>
        <v/>
      </c>
      <c r="M116" s="37">
        <f>IF(J116="YES","Substantiated by supplied signed certificate",IF(I116="YES","Supplied certificate does not match amendment date/value","No signed certificate or yard sheet supplied"))</f>
        <v/>
      </c>
      <c r="N116" s="37" t="inlineStr">
        <is>
          <t>day log 2024-12-22</t>
        </is>
      </c>
      <c r="O116" s="37" t="inlineStr">
        <is>
          <t>HB-COUNTER-2</t>
        </is>
      </c>
    </row>
    <row r="117">
      <c r="A117" s="37">
        <f>IF(J117="YES","OK",IF(K117&gt;0,"Priority 1","Priority 2"))</f>
        <v/>
      </c>
      <c r="B117" s="37" t="inlineStr">
        <is>
          <t>AMD-001430</t>
        </is>
      </c>
      <c r="C117" s="38" t="n">
        <v>45650</v>
      </c>
      <c r="D117" s="37" t="inlineStr">
        <is>
          <t>WL-03335</t>
        </is>
      </c>
      <c r="E117" s="37">
        <f>IFERROR(INDEX(Applicants!$C$2:$C$2911,MATCH(D117,Applicants!$A$2:$A$2911,0))&amp;" "&amp;INDEX(Applicants!$B$2:$B$2911,MATCH(D117,Applicants!$A$2:$A$2911,0)),"")</f>
        <v/>
      </c>
      <c r="F117" s="39" t="n">
        <v>54.8</v>
      </c>
      <c r="G117" s="39" t="n">
        <v>52</v>
      </c>
      <c r="H117" s="37" t="inlineStr">
        <is>
          <t>MC-2024-0969</t>
        </is>
      </c>
      <c r="I117" s="37">
        <f>IF(COUNTIF('Cert Docs'!$A$2:$A$3,D117)&gt;0,"YES","NO")</f>
        <v/>
      </c>
      <c r="J117" s="37">
        <f>IF(COUNTIFS('Cert Docs'!$A$2:$A$3,D117,'Cert Docs'!$E$2:$E$3,G117,'Cert Docs'!$H$2:$H$3,"YES",'Cert Docs'!$D$2:$D$3,"&lt;="&amp;C117)&gt;0,"YES","NO")</f>
        <v/>
      </c>
      <c r="K117" s="37">
        <f>COUNTIFS('Skip Audit'!$F$5:$F$313,D117,'Skip Audit'!$E$5:$E$313,"&gt;="&amp;C117)</f>
        <v/>
      </c>
      <c r="M117" s="37">
        <f>IF(J117="YES","Substantiated by supplied signed certificate",IF(I117="YES","Supplied certificate does not match amendment date/value","No signed certificate or yard sheet supplied"))</f>
        <v/>
      </c>
      <c r="N117" s="37" t="inlineStr">
        <is>
          <t>day log 2024-12-24</t>
        </is>
      </c>
      <c r="O117" s="37" t="inlineStr">
        <is>
          <t>HB-COUNTER-2</t>
        </is>
      </c>
    </row>
    <row r="118">
      <c r="A118" s="37">
        <f>IF(J118="YES","OK",IF(K118&gt;0,"Priority 1","Priority 2"))</f>
        <v/>
      </c>
      <c r="B118" s="37" t="inlineStr">
        <is>
          <t>AMD-001444</t>
        </is>
      </c>
      <c r="C118" s="38" t="n">
        <v>45666</v>
      </c>
      <c r="D118" s="37" t="inlineStr">
        <is>
          <t>WL-02327</t>
        </is>
      </c>
      <c r="E118" s="37">
        <f>IFERROR(INDEX(Applicants!$C$2:$C$2911,MATCH(D118,Applicants!$A$2:$A$2911,0))&amp;" "&amp;INDEX(Applicants!$B$2:$B$2911,MATCH(D118,Applicants!$A$2:$A$2911,0)),"")</f>
        <v/>
      </c>
      <c r="F118" s="39" t="n">
        <v>26.7</v>
      </c>
      <c r="G118" s="39" t="n">
        <v>25</v>
      </c>
      <c r="H118" s="37" t="inlineStr">
        <is>
          <t>MC-2025-0967</t>
        </is>
      </c>
      <c r="I118" s="37">
        <f>IF(COUNTIF('Cert Docs'!$A$2:$A$3,D118)&gt;0,"YES","NO")</f>
        <v/>
      </c>
      <c r="J118" s="37">
        <f>IF(COUNTIFS('Cert Docs'!$A$2:$A$3,D118,'Cert Docs'!$E$2:$E$3,G118,'Cert Docs'!$H$2:$H$3,"YES",'Cert Docs'!$D$2:$D$3,"&lt;="&amp;C118)&gt;0,"YES","NO")</f>
        <v/>
      </c>
      <c r="K118" s="37">
        <f>COUNTIFS('Skip Audit'!$F$5:$F$313,D118,'Skip Audit'!$E$5:$E$313,"&gt;="&amp;C118)</f>
        <v/>
      </c>
      <c r="M118" s="37">
        <f>IF(J118="YES","Substantiated by supplied signed certificate",IF(I118="YES","Supplied certificate does not match amendment date/value","No signed certificate or yard sheet supplied"))</f>
        <v/>
      </c>
      <c r="N118" s="37" t="inlineStr">
        <is>
          <t>day log 2025-01-09</t>
        </is>
      </c>
      <c r="O118" s="37" t="inlineStr">
        <is>
          <t>HB-COUNTER-2</t>
        </is>
      </c>
    </row>
    <row r="119">
      <c r="A119" s="37">
        <f>IF(J119="YES","OK",IF(K119&gt;0,"Priority 1","Priority 2"))</f>
        <v/>
      </c>
      <c r="B119" s="37" t="inlineStr">
        <is>
          <t>AMD-001449</t>
        </is>
      </c>
      <c r="C119" s="38" t="n">
        <v>45670</v>
      </c>
      <c r="D119" s="37" t="inlineStr">
        <is>
          <t>WL-01855</t>
        </is>
      </c>
      <c r="E119" s="37">
        <f>IFERROR(INDEX(Applicants!$C$2:$C$2911,MATCH(D119,Applicants!$A$2:$A$2911,0))&amp;" "&amp;INDEX(Applicants!$B$2:$B$2911,MATCH(D119,Applicants!$A$2:$A$2911,0)),"")</f>
        <v/>
      </c>
      <c r="F119" s="39" t="n">
        <v>31.7</v>
      </c>
      <c r="G119" s="39" t="n">
        <v>34.4</v>
      </c>
      <c r="H119" s="37" t="inlineStr">
        <is>
          <t>MC-2025-0216</t>
        </is>
      </c>
      <c r="I119" s="37">
        <f>IF(COUNTIF('Cert Docs'!$A$2:$A$3,D119)&gt;0,"YES","NO")</f>
        <v/>
      </c>
      <c r="J119" s="37">
        <f>IF(COUNTIFS('Cert Docs'!$A$2:$A$3,D119,'Cert Docs'!$E$2:$E$3,G119,'Cert Docs'!$H$2:$H$3,"YES",'Cert Docs'!$D$2:$D$3,"&lt;="&amp;C119)&gt;0,"YES","NO")</f>
        <v/>
      </c>
      <c r="K119" s="37">
        <f>COUNTIFS('Skip Audit'!$F$5:$F$313,D119,'Skip Audit'!$E$5:$E$313,"&gt;="&amp;C119)</f>
        <v/>
      </c>
      <c r="M119" s="37">
        <f>IF(J119="YES","Substantiated by supplied signed certificate",IF(I119="YES","Supplied certificate does not match amendment date/value","No signed certificate or yard sheet supplied"))</f>
        <v/>
      </c>
      <c r="N119" s="37" t="inlineStr">
        <is>
          <t>day log 2025-01-13</t>
        </is>
      </c>
      <c r="O119" s="37" t="inlineStr">
        <is>
          <t>HB-COUNTER-2</t>
        </is>
      </c>
    </row>
    <row r="120">
      <c r="A120" s="37">
        <f>IF(J120="YES","OK",IF(K120&gt;0,"Priority 1","Priority 2"))</f>
        <v/>
      </c>
      <c r="B120" s="37" t="inlineStr">
        <is>
          <t>AMD-001453</t>
        </is>
      </c>
      <c r="C120" s="38" t="n">
        <v>45671</v>
      </c>
      <c r="D120" s="37" t="inlineStr">
        <is>
          <t>WL-03650</t>
        </is>
      </c>
      <c r="E120" s="37">
        <f>IFERROR(INDEX(Applicants!$C$2:$C$2911,MATCH(D120,Applicants!$A$2:$A$2911,0))&amp;" "&amp;INDEX(Applicants!$B$2:$B$2911,MATCH(D120,Applicants!$A$2:$A$2911,0)),"")</f>
        <v/>
      </c>
      <c r="F120" s="39" t="n">
        <v>49.2</v>
      </c>
      <c r="G120" s="39" t="n">
        <v>47.5</v>
      </c>
      <c r="H120" s="37" t="n">
        <v/>
      </c>
      <c r="I120" s="37">
        <f>IF(COUNTIF('Cert Docs'!$A$2:$A$3,D120)&gt;0,"YES","NO")</f>
        <v/>
      </c>
      <c r="J120" s="37">
        <f>IF(COUNTIFS('Cert Docs'!$A$2:$A$3,D120,'Cert Docs'!$E$2:$E$3,G120,'Cert Docs'!$H$2:$H$3,"YES",'Cert Docs'!$D$2:$D$3,"&lt;="&amp;C120)&gt;0,"YES","NO")</f>
        <v/>
      </c>
      <c r="K120" s="37">
        <f>COUNTIFS('Skip Audit'!$F$5:$F$313,D120,'Skip Audit'!$E$5:$E$313,"&gt;="&amp;C120)</f>
        <v/>
      </c>
      <c r="M120" s="37">
        <f>IF(J120="YES","Substantiated by supplied signed certificate",IF(I120="YES","Supplied certificate does not match amendment date/value","No signed certificate or yard sheet supplied"))</f>
        <v/>
      </c>
      <c r="N120" s="37" t="inlineStr">
        <is>
          <t>day log 2025-01-14</t>
        </is>
      </c>
      <c r="O120" s="37" t="inlineStr">
        <is>
          <t>HB-COUNTER-2</t>
        </is>
      </c>
    </row>
    <row r="121">
      <c r="A121" s="37">
        <f>IF(J121="YES","OK",IF(K121&gt;0,"Priority 1","Priority 2"))</f>
        <v/>
      </c>
      <c r="B121" s="37" t="inlineStr">
        <is>
          <t>AMD-001460</t>
        </is>
      </c>
      <c r="C121" s="38" t="n">
        <v>45674</v>
      </c>
      <c r="D121" s="37" t="inlineStr">
        <is>
          <t>WL-02180</t>
        </is>
      </c>
      <c r="E121" s="37">
        <f>IFERROR(INDEX(Applicants!$C$2:$C$2911,MATCH(D121,Applicants!$A$2:$A$2911,0))&amp;" "&amp;INDEX(Applicants!$B$2:$B$2911,MATCH(D121,Applicants!$A$2:$A$2911,0)),"")</f>
        <v/>
      </c>
      <c r="F121" s="39" t="n">
        <v>22.6</v>
      </c>
      <c r="G121" s="39" t="n">
        <v>24.1</v>
      </c>
      <c r="H121" s="37" t="inlineStr">
        <is>
          <t>MC-2025-0415</t>
        </is>
      </c>
      <c r="I121" s="37">
        <f>IF(COUNTIF('Cert Docs'!$A$2:$A$3,D121)&gt;0,"YES","NO")</f>
        <v/>
      </c>
      <c r="J121" s="37">
        <f>IF(COUNTIFS('Cert Docs'!$A$2:$A$3,D121,'Cert Docs'!$E$2:$E$3,G121,'Cert Docs'!$H$2:$H$3,"YES",'Cert Docs'!$D$2:$D$3,"&lt;="&amp;C121)&gt;0,"YES","NO")</f>
        <v/>
      </c>
      <c r="K121" s="37">
        <f>COUNTIFS('Skip Audit'!$F$5:$F$313,D121,'Skip Audit'!$E$5:$E$313,"&gt;="&amp;C121)</f>
        <v/>
      </c>
      <c r="M121" s="37">
        <f>IF(J121="YES","Substantiated by supplied signed certificate",IF(I121="YES","Supplied certificate does not match amendment date/value","No signed certificate or yard sheet supplied"))</f>
        <v/>
      </c>
      <c r="N121" s="37" t="inlineStr">
        <is>
          <t>day log 2025-01-17</t>
        </is>
      </c>
      <c r="O121" s="37" t="inlineStr">
        <is>
          <t>HB-COUNTER-2</t>
        </is>
      </c>
    </row>
    <row r="122">
      <c r="A122" s="37">
        <f>IF(J122="YES","OK",IF(K122&gt;0,"Priority 1","Priority 2"))</f>
        <v/>
      </c>
      <c r="B122" s="37" t="inlineStr">
        <is>
          <t>AMD-001468</t>
        </is>
      </c>
      <c r="C122" s="38" t="n">
        <v>45680</v>
      </c>
      <c r="D122" s="37" t="inlineStr">
        <is>
          <t>WL-02459</t>
        </is>
      </c>
      <c r="E122" s="37">
        <f>IFERROR(INDEX(Applicants!$C$2:$C$2911,MATCH(D122,Applicants!$A$2:$A$2911,0))&amp;" "&amp;INDEX(Applicants!$B$2:$B$2911,MATCH(D122,Applicants!$A$2:$A$2911,0)),"")</f>
        <v/>
      </c>
      <c r="F122" s="39" t="n">
        <v>24.1</v>
      </c>
      <c r="G122" s="39" t="n">
        <v>21.5</v>
      </c>
      <c r="H122" s="37" t="inlineStr">
        <is>
          <t>Foldview Marine Services haul-out sheet 2022-12-04</t>
        </is>
      </c>
      <c r="I122" s="37">
        <f>IF(COUNTIF('Cert Docs'!$A$2:$A$3,D122)&gt;0,"YES","NO")</f>
        <v/>
      </c>
      <c r="J122" s="37">
        <f>IF(COUNTIFS('Cert Docs'!$A$2:$A$3,D122,'Cert Docs'!$E$2:$E$3,G122,'Cert Docs'!$H$2:$H$3,"YES",'Cert Docs'!$D$2:$D$3,"&lt;="&amp;C122)&gt;0,"YES","NO")</f>
        <v/>
      </c>
      <c r="K122" s="37">
        <f>COUNTIFS('Skip Audit'!$F$5:$F$313,D122,'Skip Audit'!$E$5:$E$313,"&gt;="&amp;C122)</f>
        <v/>
      </c>
      <c r="M122" s="37">
        <f>IF(J122="YES","Substantiated by supplied signed certificate",IF(I122="YES","Supplied certificate does not match amendment date/value","No signed certificate or yard sheet supplied"))</f>
        <v/>
      </c>
      <c r="N122" s="37" t="inlineStr">
        <is>
          <t>day log 2025-01-23</t>
        </is>
      </c>
      <c r="O122" s="37" t="inlineStr">
        <is>
          <t>HB-COUNTER-2</t>
        </is>
      </c>
    </row>
    <row r="123">
      <c r="A123" s="37">
        <f>IF(J123="YES","OK",IF(K123&gt;0,"Priority 1","Priority 2"))</f>
        <v/>
      </c>
      <c r="B123" s="37" t="inlineStr">
        <is>
          <t>AMD-001481</t>
        </is>
      </c>
      <c r="C123" s="38" t="n">
        <v>45687</v>
      </c>
      <c r="D123" s="37" t="inlineStr">
        <is>
          <t>WL-02143</t>
        </is>
      </c>
      <c r="E123" s="37">
        <f>IFERROR(INDEX(Applicants!$C$2:$C$2911,MATCH(D123,Applicants!$A$2:$A$2911,0))&amp;" "&amp;INDEX(Applicants!$B$2:$B$2911,MATCH(D123,Applicants!$A$2:$A$2911,0)),"")</f>
        <v/>
      </c>
      <c r="F123" s="39" t="n">
        <v>49.6</v>
      </c>
      <c r="G123" s="39" t="n">
        <v>48.4</v>
      </c>
      <c r="H123" s="37" t="inlineStr">
        <is>
          <t>Foldview Marine Services haul-out sheet 2024-10-22</t>
        </is>
      </c>
      <c r="I123" s="37">
        <f>IF(COUNTIF('Cert Docs'!$A$2:$A$3,D123)&gt;0,"YES","NO")</f>
        <v/>
      </c>
      <c r="J123" s="37">
        <f>IF(COUNTIFS('Cert Docs'!$A$2:$A$3,D123,'Cert Docs'!$E$2:$E$3,G123,'Cert Docs'!$H$2:$H$3,"YES",'Cert Docs'!$D$2:$D$3,"&lt;="&amp;C123)&gt;0,"YES","NO")</f>
        <v/>
      </c>
      <c r="K123" s="37">
        <f>COUNTIFS('Skip Audit'!$F$5:$F$313,D123,'Skip Audit'!$E$5:$E$313,"&gt;="&amp;C123)</f>
        <v/>
      </c>
      <c r="M123" s="37">
        <f>IF(J123="YES","Substantiated by supplied signed certificate",IF(I123="YES","Supplied certificate does not match amendment date/value","No signed certificate or yard sheet supplied"))</f>
        <v/>
      </c>
      <c r="N123" s="37" t="inlineStr">
        <is>
          <t>day log 2025-01-30</t>
        </is>
      </c>
      <c r="O123" s="37" t="inlineStr">
        <is>
          <t>HB-COUNTER-2</t>
        </is>
      </c>
    </row>
    <row r="124">
      <c r="A124" s="37">
        <f>IF(J124="YES","OK",IF(K124&gt;0,"Priority 1","Priority 2"))</f>
        <v/>
      </c>
      <c r="B124" s="37" t="inlineStr">
        <is>
          <t>AMD-001519</t>
        </is>
      </c>
      <c r="C124" s="38" t="n">
        <v>45710</v>
      </c>
      <c r="D124" s="37" t="inlineStr">
        <is>
          <t>WL-02035</t>
        </is>
      </c>
      <c r="E124" s="37">
        <f>IFERROR(INDEX(Applicants!$C$2:$C$2911,MATCH(D124,Applicants!$A$2:$A$2911,0))&amp;" "&amp;INDEX(Applicants!$B$2:$B$2911,MATCH(D124,Applicants!$A$2:$A$2911,0)),"")</f>
        <v/>
      </c>
      <c r="F124" s="39" t="n">
        <v>31.1</v>
      </c>
      <c r="G124" s="39" t="n">
        <v>29.6</v>
      </c>
      <c r="H124" s="37" t="inlineStr">
        <is>
          <t>MC-2025-0618</t>
        </is>
      </c>
      <c r="I124" s="37">
        <f>IF(COUNTIF('Cert Docs'!$A$2:$A$3,D124)&gt;0,"YES","NO")</f>
        <v/>
      </c>
      <c r="J124" s="37">
        <f>IF(COUNTIFS('Cert Docs'!$A$2:$A$3,D124,'Cert Docs'!$E$2:$E$3,G124,'Cert Docs'!$H$2:$H$3,"YES",'Cert Docs'!$D$2:$D$3,"&lt;="&amp;C124)&gt;0,"YES","NO")</f>
        <v/>
      </c>
      <c r="K124" s="37">
        <f>COUNTIFS('Skip Audit'!$F$5:$F$313,D124,'Skip Audit'!$E$5:$E$313,"&gt;="&amp;C124)</f>
        <v/>
      </c>
      <c r="M124" s="37">
        <f>IF(J124="YES","Substantiated by supplied signed certificate",IF(I124="YES","Supplied certificate does not match amendment date/value","No signed certificate or yard sheet supplied"))</f>
        <v/>
      </c>
      <c r="N124" s="37" t="inlineStr">
        <is>
          <t>day log 2025-02-22</t>
        </is>
      </c>
      <c r="O124" s="37" t="inlineStr">
        <is>
          <t>HB-COUNTER-2</t>
        </is>
      </c>
    </row>
    <row r="125">
      <c r="A125" s="37">
        <f>IF(J125="YES","OK",IF(K125&gt;0,"Priority 1","Priority 2"))</f>
        <v/>
      </c>
      <c r="B125" s="37" t="inlineStr">
        <is>
          <t>AMD-001525</t>
        </is>
      </c>
      <c r="C125" s="38" t="n">
        <v>45716</v>
      </c>
      <c r="D125" s="37" t="inlineStr">
        <is>
          <t>WL-01612</t>
        </is>
      </c>
      <c r="E125" s="37">
        <f>IFERROR(INDEX(Applicants!$C$2:$C$2911,MATCH(D125,Applicants!$A$2:$A$2911,0))&amp;" "&amp;INDEX(Applicants!$B$2:$B$2911,MATCH(D125,Applicants!$A$2:$A$2911,0)),"")</f>
        <v/>
      </c>
      <c r="F125" s="39" t="n">
        <v>29.6</v>
      </c>
      <c r="G125" s="39" t="n">
        <v>27.6</v>
      </c>
      <c r="H125" s="37" t="inlineStr">
        <is>
          <t>MC-2025-0220</t>
        </is>
      </c>
      <c r="I125" s="37">
        <f>IF(COUNTIF('Cert Docs'!$A$2:$A$3,D125)&gt;0,"YES","NO")</f>
        <v/>
      </c>
      <c r="J125" s="37">
        <f>IF(COUNTIFS('Cert Docs'!$A$2:$A$3,D125,'Cert Docs'!$E$2:$E$3,G125,'Cert Docs'!$H$2:$H$3,"YES",'Cert Docs'!$D$2:$D$3,"&lt;="&amp;C125)&gt;0,"YES","NO")</f>
        <v/>
      </c>
      <c r="K125" s="37">
        <f>COUNTIFS('Skip Audit'!$F$5:$F$313,D125,'Skip Audit'!$E$5:$E$313,"&gt;="&amp;C125)</f>
        <v/>
      </c>
      <c r="M125" s="37">
        <f>IF(J125="YES","Substantiated by supplied signed certificate",IF(I125="YES","Supplied certificate does not match amendment date/value","No signed certificate or yard sheet supplied"))</f>
        <v/>
      </c>
      <c r="N125" s="37" t="inlineStr">
        <is>
          <t>day log 2025-02-28</t>
        </is>
      </c>
      <c r="O125" s="37" t="inlineStr">
        <is>
          <t>HB-COUNTER-2</t>
        </is>
      </c>
    </row>
    <row r="126">
      <c r="A126" s="37">
        <f>IF(J126="YES","OK",IF(K126&gt;0,"Priority 1","Priority 2"))</f>
        <v/>
      </c>
      <c r="B126" s="37" t="inlineStr">
        <is>
          <t>AMD-001535</t>
        </is>
      </c>
      <c r="C126" s="38" t="n">
        <v>45725</v>
      </c>
      <c r="D126" s="37" t="inlineStr">
        <is>
          <t>WL-02431</t>
        </is>
      </c>
      <c r="E126" s="37">
        <f>IFERROR(INDEX(Applicants!$C$2:$C$2911,MATCH(D126,Applicants!$A$2:$A$2911,0))&amp;" "&amp;INDEX(Applicants!$B$2:$B$2911,MATCH(D126,Applicants!$A$2:$A$2911,0)),"")</f>
        <v/>
      </c>
      <c r="F126" s="39" t="n">
        <v>26.7</v>
      </c>
      <c r="G126" s="39" t="n">
        <v>29.1</v>
      </c>
      <c r="H126" s="37" t="inlineStr">
        <is>
          <t>Foldview Marine Services haul-out sheet 2025-01-27</t>
        </is>
      </c>
      <c r="I126" s="37">
        <f>IF(COUNTIF('Cert Docs'!$A$2:$A$3,D126)&gt;0,"YES","NO")</f>
        <v/>
      </c>
      <c r="J126" s="37">
        <f>IF(COUNTIFS('Cert Docs'!$A$2:$A$3,D126,'Cert Docs'!$E$2:$E$3,G126,'Cert Docs'!$H$2:$H$3,"YES",'Cert Docs'!$D$2:$D$3,"&lt;="&amp;C126)&gt;0,"YES","NO")</f>
        <v/>
      </c>
      <c r="K126" s="37">
        <f>COUNTIFS('Skip Audit'!$F$5:$F$313,D126,'Skip Audit'!$E$5:$E$313,"&gt;="&amp;C126)</f>
        <v/>
      </c>
      <c r="M126" s="37">
        <f>IF(J126="YES","Substantiated by supplied signed certificate",IF(I126="YES","Supplied certificate does not match amendment date/value","No signed certificate or yard sheet supplied"))</f>
        <v/>
      </c>
      <c r="N126" s="37" t="inlineStr">
        <is>
          <t>day log 2025-03-09</t>
        </is>
      </c>
      <c r="O126" s="37" t="inlineStr">
        <is>
          <t>HB-COUNTER-2</t>
        </is>
      </c>
    </row>
    <row r="127">
      <c r="A127" s="37">
        <f>IF(J127="YES","OK",IF(K127&gt;0,"Priority 1","Priority 2"))</f>
        <v/>
      </c>
      <c r="B127" s="37" t="inlineStr">
        <is>
          <t>AMD-001545</t>
        </is>
      </c>
      <c r="C127" s="38" t="n">
        <v>45731</v>
      </c>
      <c r="D127" s="37" t="inlineStr">
        <is>
          <t>WL-02150</t>
        </is>
      </c>
      <c r="E127" s="37">
        <f>IFERROR(INDEX(Applicants!$C$2:$C$2911,MATCH(D127,Applicants!$A$2:$A$2911,0))&amp;" "&amp;INDEX(Applicants!$B$2:$B$2911,MATCH(D127,Applicants!$A$2:$A$2911,0)),"")</f>
        <v/>
      </c>
      <c r="F127" s="39" t="n">
        <v>33.7</v>
      </c>
      <c r="G127" s="39" t="n">
        <v>36.3</v>
      </c>
      <c r="H127" s="37" t="inlineStr">
        <is>
          <t>MC-2025-0576</t>
        </is>
      </c>
      <c r="I127" s="37">
        <f>IF(COUNTIF('Cert Docs'!$A$2:$A$3,D127)&gt;0,"YES","NO")</f>
        <v/>
      </c>
      <c r="J127" s="37">
        <f>IF(COUNTIFS('Cert Docs'!$A$2:$A$3,D127,'Cert Docs'!$E$2:$E$3,G127,'Cert Docs'!$H$2:$H$3,"YES",'Cert Docs'!$D$2:$D$3,"&lt;="&amp;C127)&gt;0,"YES","NO")</f>
        <v/>
      </c>
      <c r="K127" s="37">
        <f>COUNTIFS('Skip Audit'!$F$5:$F$313,D127,'Skip Audit'!$E$5:$E$313,"&gt;="&amp;C127)</f>
        <v/>
      </c>
      <c r="M127" s="37">
        <f>IF(J127="YES","Substantiated by supplied signed certificate",IF(I127="YES","Supplied certificate does not match amendment date/value","No signed certificate or yard sheet supplied"))</f>
        <v/>
      </c>
      <c r="N127" s="37" t="inlineStr">
        <is>
          <t>day log 2025-03-15</t>
        </is>
      </c>
      <c r="O127" s="37" t="inlineStr">
        <is>
          <t>HB-COUNTER-2</t>
        </is>
      </c>
    </row>
    <row r="128">
      <c r="A128" s="37">
        <f>IF(J128="YES","OK",IF(K128&gt;0,"Priority 1","Priority 2"))</f>
        <v/>
      </c>
      <c r="B128" s="37" t="inlineStr">
        <is>
          <t>AMD-001557</t>
        </is>
      </c>
      <c r="C128" s="38" t="n">
        <v>45742</v>
      </c>
      <c r="D128" s="37" t="inlineStr">
        <is>
          <t>WL-01173</t>
        </is>
      </c>
      <c r="E128" s="37">
        <f>IFERROR(INDEX(Applicants!$C$2:$C$2911,MATCH(D128,Applicants!$A$2:$A$2911,0))&amp;" "&amp;INDEX(Applicants!$B$2:$B$2911,MATCH(D128,Applicants!$A$2:$A$2911,0)),"")</f>
        <v/>
      </c>
      <c r="F128" s="39" t="n">
        <v>20.5</v>
      </c>
      <c r="G128" s="39" t="n">
        <v>20.8</v>
      </c>
      <c r="H128" s="37" t="inlineStr">
        <is>
          <t>MC-2025-0745</t>
        </is>
      </c>
      <c r="I128" s="37">
        <f>IF(COUNTIF('Cert Docs'!$A$2:$A$3,D128)&gt;0,"YES","NO")</f>
        <v/>
      </c>
      <c r="J128" s="37">
        <f>IF(COUNTIFS('Cert Docs'!$A$2:$A$3,D128,'Cert Docs'!$E$2:$E$3,G128,'Cert Docs'!$H$2:$H$3,"YES",'Cert Docs'!$D$2:$D$3,"&lt;="&amp;C128)&gt;0,"YES","NO")</f>
        <v/>
      </c>
      <c r="K128" s="37">
        <f>COUNTIFS('Skip Audit'!$F$5:$F$313,D128,'Skip Audit'!$E$5:$E$313,"&gt;="&amp;C128)</f>
        <v/>
      </c>
      <c r="M128" s="37">
        <f>IF(J128="YES","Substantiated by supplied signed certificate",IF(I128="YES","Supplied certificate does not match amendment date/value","No signed certificate or yard sheet supplied"))</f>
        <v/>
      </c>
      <c r="N128" s="37" t="inlineStr">
        <is>
          <t>day log 2025-03-26</t>
        </is>
      </c>
      <c r="O128" s="37" t="inlineStr">
        <is>
          <t>HB-COUNTER-2</t>
        </is>
      </c>
    </row>
    <row r="129">
      <c r="A129" s="37">
        <f>IF(J129="YES","OK",IF(K129&gt;0,"Priority 1","Priority 2"))</f>
        <v/>
      </c>
      <c r="B129" s="37" t="inlineStr">
        <is>
          <t>AMD-001563</t>
        </is>
      </c>
      <c r="C129" s="38" t="n">
        <v>45745</v>
      </c>
      <c r="D129" s="37" t="inlineStr">
        <is>
          <t>WL-01350</t>
        </is>
      </c>
      <c r="E129" s="37">
        <f>IFERROR(INDEX(Applicants!$C$2:$C$2911,MATCH(D129,Applicants!$A$2:$A$2911,0))&amp;" "&amp;INDEX(Applicants!$B$2:$B$2911,MATCH(D129,Applicants!$A$2:$A$2911,0)),"")</f>
        <v/>
      </c>
      <c r="F129" s="39" t="n">
        <v>38</v>
      </c>
      <c r="G129" s="39" t="n">
        <v>38.8</v>
      </c>
      <c r="H129" s="37" t="inlineStr">
        <is>
          <t>MC-2025-0538</t>
        </is>
      </c>
      <c r="I129" s="37">
        <f>IF(COUNTIF('Cert Docs'!$A$2:$A$3,D129)&gt;0,"YES","NO")</f>
        <v/>
      </c>
      <c r="J129" s="37">
        <f>IF(COUNTIFS('Cert Docs'!$A$2:$A$3,D129,'Cert Docs'!$E$2:$E$3,G129,'Cert Docs'!$H$2:$H$3,"YES",'Cert Docs'!$D$2:$D$3,"&lt;="&amp;C129)&gt;0,"YES","NO")</f>
        <v/>
      </c>
      <c r="K129" s="37">
        <f>COUNTIFS('Skip Audit'!$F$5:$F$313,D129,'Skip Audit'!$E$5:$E$313,"&gt;="&amp;C129)</f>
        <v/>
      </c>
      <c r="M129" s="37">
        <f>IF(J129="YES","Substantiated by supplied signed certificate",IF(I129="YES","Supplied certificate does not match amendment date/value","No signed certificate or yard sheet supplied"))</f>
        <v/>
      </c>
      <c r="N129" s="37" t="inlineStr">
        <is>
          <t>day log 2025-03-29</t>
        </is>
      </c>
      <c r="O129" s="37" t="inlineStr">
        <is>
          <t>HB-COUNTER-2</t>
        </is>
      </c>
    </row>
    <row r="130">
      <c r="A130" s="37">
        <f>IF(J130="YES","OK",IF(K130&gt;0,"Priority 1","Priority 2"))</f>
        <v/>
      </c>
      <c r="B130" s="37" t="inlineStr">
        <is>
          <t>AMD-001565</t>
        </is>
      </c>
      <c r="C130" s="38" t="n">
        <v>45746</v>
      </c>
      <c r="D130" s="37" t="inlineStr">
        <is>
          <t>WL-01349</t>
        </is>
      </c>
      <c r="E130" s="37">
        <f>IFERROR(INDEX(Applicants!$C$2:$C$2911,MATCH(D130,Applicants!$A$2:$A$2911,0))&amp;" "&amp;INDEX(Applicants!$B$2:$B$2911,MATCH(D130,Applicants!$A$2:$A$2911,0)),"")</f>
        <v/>
      </c>
      <c r="F130" s="39" t="n">
        <v>32.9</v>
      </c>
      <c r="G130" s="39" t="n">
        <v>32.4</v>
      </c>
      <c r="H130" s="37" t="inlineStr">
        <is>
          <t>MC-2025-0226</t>
        </is>
      </c>
      <c r="I130" s="37">
        <f>IF(COUNTIF('Cert Docs'!$A$2:$A$3,D130)&gt;0,"YES","NO")</f>
        <v/>
      </c>
      <c r="J130" s="37">
        <f>IF(COUNTIFS('Cert Docs'!$A$2:$A$3,D130,'Cert Docs'!$E$2:$E$3,G130,'Cert Docs'!$H$2:$H$3,"YES",'Cert Docs'!$D$2:$D$3,"&lt;="&amp;C130)&gt;0,"YES","NO")</f>
        <v/>
      </c>
      <c r="K130" s="37">
        <f>COUNTIFS('Skip Audit'!$F$5:$F$313,D130,'Skip Audit'!$E$5:$E$313,"&gt;="&amp;C130)</f>
        <v/>
      </c>
      <c r="M130" s="37">
        <f>IF(J130="YES","Substantiated by supplied signed certificate",IF(I130="YES","Supplied certificate does not match amendment date/value","No signed certificate or yard sheet supplied"))</f>
        <v/>
      </c>
      <c r="N130" s="37" t="inlineStr">
        <is>
          <t>day log 2025-03-30</t>
        </is>
      </c>
      <c r="O130" s="37" t="inlineStr">
        <is>
          <t>HB-COUNTER-2</t>
        </is>
      </c>
    </row>
    <row r="131">
      <c r="A131" s="37">
        <f>IF(J131="YES","OK",IF(K131&gt;0,"Priority 1","Priority 2"))</f>
        <v/>
      </c>
      <c r="B131" s="37" t="inlineStr">
        <is>
          <t>AMD-001568</t>
        </is>
      </c>
      <c r="C131" s="38" t="n">
        <v>45747</v>
      </c>
      <c r="D131" s="37" t="inlineStr">
        <is>
          <t>WL-03245</t>
        </is>
      </c>
      <c r="E131" s="37">
        <f>IFERROR(INDEX(Applicants!$C$2:$C$2911,MATCH(D131,Applicants!$A$2:$A$2911,0))&amp;" "&amp;INDEX(Applicants!$B$2:$B$2911,MATCH(D131,Applicants!$A$2:$A$2911,0)),"")</f>
        <v/>
      </c>
      <c r="F131" s="39" t="n">
        <v>33</v>
      </c>
      <c r="G131" s="39" t="n">
        <v>32.2</v>
      </c>
      <c r="H131" s="37" t="inlineStr">
        <is>
          <t>MC-2025-0526</t>
        </is>
      </c>
      <c r="I131" s="37">
        <f>IF(COUNTIF('Cert Docs'!$A$2:$A$3,D131)&gt;0,"YES","NO")</f>
        <v/>
      </c>
      <c r="J131" s="37">
        <f>IF(COUNTIFS('Cert Docs'!$A$2:$A$3,D131,'Cert Docs'!$E$2:$E$3,G131,'Cert Docs'!$H$2:$H$3,"YES",'Cert Docs'!$D$2:$D$3,"&lt;="&amp;C131)&gt;0,"YES","NO")</f>
        <v/>
      </c>
      <c r="K131" s="37">
        <f>COUNTIFS('Skip Audit'!$F$5:$F$313,D131,'Skip Audit'!$E$5:$E$313,"&gt;="&amp;C131)</f>
        <v/>
      </c>
      <c r="M131" s="37">
        <f>IF(J131="YES","Substantiated by supplied signed certificate",IF(I131="YES","Supplied certificate does not match amendment date/value","No signed certificate or yard sheet supplied"))</f>
        <v/>
      </c>
      <c r="N131" s="37" t="inlineStr">
        <is>
          <t>day log 2025-03-31</t>
        </is>
      </c>
      <c r="O131" s="37" t="inlineStr">
        <is>
          <t>HB-COUNTER-2</t>
        </is>
      </c>
    </row>
    <row r="132">
      <c r="A132" s="37">
        <f>IF(J132="YES","OK",IF(K132&gt;0,"Priority 1","Priority 2"))</f>
        <v/>
      </c>
      <c r="B132" s="37" t="inlineStr">
        <is>
          <t>AMD-001570</t>
        </is>
      </c>
      <c r="C132" s="38" t="n">
        <v>45748</v>
      </c>
      <c r="D132" s="37" t="inlineStr">
        <is>
          <t>WL-02799</t>
        </is>
      </c>
      <c r="E132" s="37">
        <f>IFERROR(INDEX(Applicants!$C$2:$C$2911,MATCH(D132,Applicants!$A$2:$A$2911,0))&amp;" "&amp;INDEX(Applicants!$B$2:$B$2911,MATCH(D132,Applicants!$A$2:$A$2911,0)),"")</f>
        <v/>
      </c>
      <c r="F132" s="39" t="n">
        <v>48.5</v>
      </c>
      <c r="G132" s="39" t="n">
        <v>46.4</v>
      </c>
      <c r="H132" s="37" t="inlineStr">
        <is>
          <t>MC-2025-0900</t>
        </is>
      </c>
      <c r="I132" s="37">
        <f>IF(COUNTIF('Cert Docs'!$A$2:$A$3,D132)&gt;0,"YES","NO")</f>
        <v/>
      </c>
      <c r="J132" s="37">
        <f>IF(COUNTIFS('Cert Docs'!$A$2:$A$3,D132,'Cert Docs'!$E$2:$E$3,G132,'Cert Docs'!$H$2:$H$3,"YES",'Cert Docs'!$D$2:$D$3,"&lt;="&amp;C132)&gt;0,"YES","NO")</f>
        <v/>
      </c>
      <c r="K132" s="37">
        <f>COUNTIFS('Skip Audit'!$F$5:$F$313,D132,'Skip Audit'!$E$5:$E$313,"&gt;="&amp;C132)</f>
        <v/>
      </c>
      <c r="M132" s="37">
        <f>IF(J132="YES","Substantiated by supplied signed certificate",IF(I132="YES","Supplied certificate does not match amendment date/value","No signed certificate or yard sheet supplied"))</f>
        <v/>
      </c>
      <c r="N132" s="37" t="inlineStr">
        <is>
          <t>day log 2025-04-01</t>
        </is>
      </c>
      <c r="O132" s="37" t="inlineStr">
        <is>
          <t>HB-COUNTER-2</t>
        </is>
      </c>
    </row>
    <row r="133">
      <c r="A133" s="37">
        <f>IF(J133="YES","OK",IF(K133&gt;0,"Priority 1","Priority 2"))</f>
        <v/>
      </c>
      <c r="B133" s="37" t="inlineStr">
        <is>
          <t>AMD-001577</t>
        </is>
      </c>
      <c r="C133" s="38" t="n">
        <v>45756</v>
      </c>
      <c r="D133" s="37" t="inlineStr">
        <is>
          <t>WL-03646</t>
        </is>
      </c>
      <c r="E133" s="37">
        <f>IFERROR(INDEX(Applicants!$C$2:$C$2911,MATCH(D133,Applicants!$A$2:$A$2911,0))&amp;" "&amp;INDEX(Applicants!$B$2:$B$2911,MATCH(D133,Applicants!$A$2:$A$2911,0)),"")</f>
        <v/>
      </c>
      <c r="F133" s="39" t="n">
        <v>28</v>
      </c>
      <c r="G133" s="39" t="n">
        <v>28.8</v>
      </c>
      <c r="H133" s="37" t="inlineStr">
        <is>
          <t>MC-2025-0799</t>
        </is>
      </c>
      <c r="I133" s="37">
        <f>IF(COUNTIF('Cert Docs'!$A$2:$A$3,D133)&gt;0,"YES","NO")</f>
        <v/>
      </c>
      <c r="J133" s="37">
        <f>IF(COUNTIFS('Cert Docs'!$A$2:$A$3,D133,'Cert Docs'!$E$2:$E$3,G133,'Cert Docs'!$H$2:$H$3,"YES",'Cert Docs'!$D$2:$D$3,"&lt;="&amp;C133)&gt;0,"YES","NO")</f>
        <v/>
      </c>
      <c r="K133" s="37">
        <f>COUNTIFS('Skip Audit'!$F$5:$F$313,D133,'Skip Audit'!$E$5:$E$313,"&gt;="&amp;C133)</f>
        <v/>
      </c>
      <c r="M133" s="37">
        <f>IF(J133="YES","Substantiated by supplied signed certificate",IF(I133="YES","Supplied certificate does not match amendment date/value","No signed certificate or yard sheet supplied"))</f>
        <v/>
      </c>
      <c r="N133" s="37" t="inlineStr">
        <is>
          <t>day log 2025-04-09</t>
        </is>
      </c>
      <c r="O133" s="37" t="inlineStr">
        <is>
          <t>HB-COUNTER-2</t>
        </is>
      </c>
    </row>
    <row r="134">
      <c r="A134" s="37">
        <f>IF(J134="YES","OK",IF(K134&gt;0,"Priority 1","Priority 2"))</f>
        <v/>
      </c>
      <c r="B134" s="37" t="inlineStr">
        <is>
          <t>AMD-001591</t>
        </is>
      </c>
      <c r="C134" s="38" t="n">
        <v>45765</v>
      </c>
      <c r="D134" s="37" t="inlineStr">
        <is>
          <t>WL-02821</t>
        </is>
      </c>
      <c r="E134" s="37">
        <f>IFERROR(INDEX(Applicants!$C$2:$C$2911,MATCH(D134,Applicants!$A$2:$A$2911,0))&amp;" "&amp;INDEX(Applicants!$B$2:$B$2911,MATCH(D134,Applicants!$A$2:$A$2911,0)),"")</f>
        <v/>
      </c>
      <c r="F134" s="39" t="n">
        <v>48.4</v>
      </c>
      <c r="G134" s="39" t="n">
        <v>48.5</v>
      </c>
      <c r="H134" s="37" t="inlineStr">
        <is>
          <t>Foldview Marine Services haul-out sheet 2023-09-02</t>
        </is>
      </c>
      <c r="I134" s="37">
        <f>IF(COUNTIF('Cert Docs'!$A$2:$A$3,D134)&gt;0,"YES","NO")</f>
        <v/>
      </c>
      <c r="J134" s="37">
        <f>IF(COUNTIFS('Cert Docs'!$A$2:$A$3,D134,'Cert Docs'!$E$2:$E$3,G134,'Cert Docs'!$H$2:$H$3,"YES",'Cert Docs'!$D$2:$D$3,"&lt;="&amp;C134)&gt;0,"YES","NO")</f>
        <v/>
      </c>
      <c r="K134" s="37">
        <f>COUNTIFS('Skip Audit'!$F$5:$F$313,D134,'Skip Audit'!$E$5:$E$313,"&gt;="&amp;C134)</f>
        <v/>
      </c>
      <c r="M134" s="37">
        <f>IF(J134="YES","Substantiated by supplied signed certificate",IF(I134="YES","Supplied certificate does not match amendment date/value","No signed certificate or yard sheet supplied"))</f>
        <v/>
      </c>
      <c r="N134" s="37" t="inlineStr">
        <is>
          <t>day log 2025-04-18</t>
        </is>
      </c>
      <c r="O134" s="37" t="inlineStr">
        <is>
          <t>HB-COUNTER-2</t>
        </is>
      </c>
    </row>
    <row r="135">
      <c r="A135" s="37">
        <f>IF(J135="YES","OK",IF(K135&gt;0,"Priority 1","Priority 2"))</f>
        <v/>
      </c>
      <c r="B135" s="37" t="inlineStr">
        <is>
          <t>AMD-001597</t>
        </is>
      </c>
      <c r="C135" s="38" t="n">
        <v>45770</v>
      </c>
      <c r="D135" s="37" t="inlineStr">
        <is>
          <t>WL-03413</t>
        </is>
      </c>
      <c r="E135" s="37">
        <f>IFERROR(INDEX(Applicants!$C$2:$C$2911,MATCH(D135,Applicants!$A$2:$A$2911,0))&amp;" "&amp;INDEX(Applicants!$B$2:$B$2911,MATCH(D135,Applicants!$A$2:$A$2911,0)),"")</f>
        <v/>
      </c>
      <c r="F135" s="39" t="n">
        <v>33.9</v>
      </c>
      <c r="G135" s="39" t="n">
        <v>34.4</v>
      </c>
      <c r="H135" s="37" t="inlineStr">
        <is>
          <t>MC-2025-0314</t>
        </is>
      </c>
      <c r="I135" s="37">
        <f>IF(COUNTIF('Cert Docs'!$A$2:$A$3,D135)&gt;0,"YES","NO")</f>
        <v/>
      </c>
      <c r="J135" s="37">
        <f>IF(COUNTIFS('Cert Docs'!$A$2:$A$3,D135,'Cert Docs'!$E$2:$E$3,G135,'Cert Docs'!$H$2:$H$3,"YES",'Cert Docs'!$D$2:$D$3,"&lt;="&amp;C135)&gt;0,"YES","NO")</f>
        <v/>
      </c>
      <c r="K135" s="37">
        <f>COUNTIFS('Skip Audit'!$F$5:$F$313,D135,'Skip Audit'!$E$5:$E$313,"&gt;="&amp;C135)</f>
        <v/>
      </c>
      <c r="M135" s="37">
        <f>IF(J135="YES","Substantiated by supplied signed certificate",IF(I135="YES","Supplied certificate does not match amendment date/value","No signed certificate or yard sheet supplied"))</f>
        <v/>
      </c>
      <c r="N135" s="37" t="inlineStr">
        <is>
          <t>day log 2025-04-23</t>
        </is>
      </c>
      <c r="O135" s="37" t="inlineStr">
        <is>
          <t>HB-COUNTER-2</t>
        </is>
      </c>
    </row>
    <row r="136">
      <c r="A136" s="37">
        <f>IF(J136="YES","OK",IF(K136&gt;0,"Priority 1","Priority 2"))</f>
        <v/>
      </c>
      <c r="B136" s="37" t="inlineStr">
        <is>
          <t>AMD-001598</t>
        </is>
      </c>
      <c r="C136" s="38" t="n">
        <v>45770</v>
      </c>
      <c r="D136" s="37" t="inlineStr">
        <is>
          <t>WL-03035</t>
        </is>
      </c>
      <c r="E136" s="37">
        <f>IFERROR(INDEX(Applicants!$C$2:$C$2911,MATCH(D136,Applicants!$A$2:$A$2911,0))&amp;" "&amp;INDEX(Applicants!$B$2:$B$2911,MATCH(D136,Applicants!$A$2:$A$2911,0)),"")</f>
        <v/>
      </c>
      <c r="F136" s="39" t="n">
        <v>25.5</v>
      </c>
      <c r="G136" s="39" t="n">
        <v>27</v>
      </c>
      <c r="H136" s="37" t="inlineStr">
        <is>
          <t>MC-2025-0956</t>
        </is>
      </c>
      <c r="I136" s="37">
        <f>IF(COUNTIF('Cert Docs'!$A$2:$A$3,D136)&gt;0,"YES","NO")</f>
        <v/>
      </c>
      <c r="J136" s="37">
        <f>IF(COUNTIFS('Cert Docs'!$A$2:$A$3,D136,'Cert Docs'!$E$2:$E$3,G136,'Cert Docs'!$H$2:$H$3,"YES",'Cert Docs'!$D$2:$D$3,"&lt;="&amp;C136)&gt;0,"YES","NO")</f>
        <v/>
      </c>
      <c r="K136" s="37">
        <f>COUNTIFS('Skip Audit'!$F$5:$F$313,D136,'Skip Audit'!$E$5:$E$313,"&gt;="&amp;C136)</f>
        <v/>
      </c>
      <c r="M136" s="37">
        <f>IF(J136="YES","Substantiated by supplied signed certificate",IF(I136="YES","Supplied certificate does not match amendment date/value","No signed certificate or yard sheet supplied"))</f>
        <v/>
      </c>
      <c r="N136" s="37" t="inlineStr">
        <is>
          <t>day log 2025-04-23</t>
        </is>
      </c>
      <c r="O136" s="37" t="inlineStr">
        <is>
          <t>HB-COUNTER-2</t>
        </is>
      </c>
    </row>
    <row r="137">
      <c r="A137" s="37">
        <f>IF(J137="YES","OK",IF(K137&gt;0,"Priority 1","Priority 2"))</f>
        <v/>
      </c>
      <c r="B137" s="37" t="inlineStr">
        <is>
          <t>AMD-001604</t>
        </is>
      </c>
      <c r="C137" s="38" t="n">
        <v>45773</v>
      </c>
      <c r="D137" s="37" t="inlineStr">
        <is>
          <t>WL-03135</t>
        </is>
      </c>
      <c r="E137" s="37">
        <f>IFERROR(INDEX(Applicants!$C$2:$C$2911,MATCH(D137,Applicants!$A$2:$A$2911,0))&amp;" "&amp;INDEX(Applicants!$B$2:$B$2911,MATCH(D137,Applicants!$A$2:$A$2911,0)),"")</f>
        <v/>
      </c>
      <c r="F137" s="39" t="n">
        <v>33.2</v>
      </c>
      <c r="G137" s="39" t="n">
        <v>31.7</v>
      </c>
      <c r="H137" s="37" t="inlineStr">
        <is>
          <t>MC-2025-0228</t>
        </is>
      </c>
      <c r="I137" s="37">
        <f>IF(COUNTIF('Cert Docs'!$A$2:$A$3,D137)&gt;0,"YES","NO")</f>
        <v/>
      </c>
      <c r="J137" s="37">
        <f>IF(COUNTIFS('Cert Docs'!$A$2:$A$3,D137,'Cert Docs'!$E$2:$E$3,G137,'Cert Docs'!$H$2:$H$3,"YES",'Cert Docs'!$D$2:$D$3,"&lt;="&amp;C137)&gt;0,"YES","NO")</f>
        <v/>
      </c>
      <c r="K137" s="37">
        <f>COUNTIFS('Skip Audit'!$F$5:$F$313,D137,'Skip Audit'!$E$5:$E$313,"&gt;="&amp;C137)</f>
        <v/>
      </c>
      <c r="M137" s="37">
        <f>IF(J137="YES","Substantiated by supplied signed certificate",IF(I137="YES","Supplied certificate does not match amendment date/value","No signed certificate or yard sheet supplied"))</f>
        <v/>
      </c>
      <c r="N137" s="37" t="inlineStr">
        <is>
          <t>day log 2025-04-26</t>
        </is>
      </c>
      <c r="O137" s="37" t="inlineStr">
        <is>
          <t>HB-COUNTER-2</t>
        </is>
      </c>
    </row>
    <row r="138">
      <c r="A138" s="37">
        <f>IF(J138="YES","OK",IF(K138&gt;0,"Priority 1","Priority 2"))</f>
        <v/>
      </c>
      <c r="B138" s="37" t="inlineStr">
        <is>
          <t>AMD-001606</t>
        </is>
      </c>
      <c r="C138" s="38" t="n">
        <v>45775</v>
      </c>
      <c r="D138" s="37" t="inlineStr">
        <is>
          <t>WL-02090</t>
        </is>
      </c>
      <c r="E138" s="37">
        <f>IFERROR(INDEX(Applicants!$C$2:$C$2911,MATCH(D138,Applicants!$A$2:$A$2911,0))&amp;" "&amp;INDEX(Applicants!$B$2:$B$2911,MATCH(D138,Applicants!$A$2:$A$2911,0)),"")</f>
        <v/>
      </c>
      <c r="F138" s="39" t="n">
        <v>20.7</v>
      </c>
      <c r="G138" s="39" t="n">
        <v>18.1</v>
      </c>
      <c r="H138" s="37" t="inlineStr">
        <is>
          <t>MC-2025-0913</t>
        </is>
      </c>
      <c r="I138" s="37">
        <f>IF(COUNTIF('Cert Docs'!$A$2:$A$3,D138)&gt;0,"YES","NO")</f>
        <v/>
      </c>
      <c r="J138" s="37">
        <f>IF(COUNTIFS('Cert Docs'!$A$2:$A$3,D138,'Cert Docs'!$E$2:$E$3,G138,'Cert Docs'!$H$2:$H$3,"YES",'Cert Docs'!$D$2:$D$3,"&lt;="&amp;C138)&gt;0,"YES","NO")</f>
        <v/>
      </c>
      <c r="K138" s="37">
        <f>COUNTIFS('Skip Audit'!$F$5:$F$313,D138,'Skip Audit'!$E$5:$E$313,"&gt;="&amp;C138)</f>
        <v/>
      </c>
      <c r="M138" s="37">
        <f>IF(J138="YES","Substantiated by supplied signed certificate",IF(I138="YES","Supplied certificate does not match amendment date/value","No signed certificate or yard sheet supplied"))</f>
        <v/>
      </c>
      <c r="N138" s="37" t="inlineStr">
        <is>
          <t>day log 2025-04-28</t>
        </is>
      </c>
      <c r="O138" s="37" t="inlineStr">
        <is>
          <t>HB-COUNTER-2</t>
        </is>
      </c>
    </row>
    <row r="139">
      <c r="A139" s="37">
        <f>IF(J139="YES","OK",IF(K139&gt;0,"Priority 1","Priority 2"))</f>
        <v/>
      </c>
      <c r="B139" s="37" t="inlineStr">
        <is>
          <t>AMD-001608</t>
        </is>
      </c>
      <c r="C139" s="38" t="n">
        <v>45778</v>
      </c>
      <c r="D139" s="37" t="inlineStr">
        <is>
          <t>WL-02816</t>
        </is>
      </c>
      <c r="E139" s="37">
        <f>IFERROR(INDEX(Applicants!$C$2:$C$2911,MATCH(D139,Applicants!$A$2:$A$2911,0))&amp;" "&amp;INDEX(Applicants!$B$2:$B$2911,MATCH(D139,Applicants!$A$2:$A$2911,0)),"")</f>
        <v/>
      </c>
      <c r="F139" s="39" t="n">
        <v>40.9</v>
      </c>
      <c r="G139" s="39" t="n">
        <v>40.4</v>
      </c>
      <c r="H139" s="37" t="inlineStr">
        <is>
          <t>Foldview Marine Services haul-out sheet 2024-03-15</t>
        </is>
      </c>
      <c r="I139" s="37">
        <f>IF(COUNTIF('Cert Docs'!$A$2:$A$3,D139)&gt;0,"YES","NO")</f>
        <v/>
      </c>
      <c r="J139" s="37">
        <f>IF(COUNTIFS('Cert Docs'!$A$2:$A$3,D139,'Cert Docs'!$E$2:$E$3,G139,'Cert Docs'!$H$2:$H$3,"YES",'Cert Docs'!$D$2:$D$3,"&lt;="&amp;C139)&gt;0,"YES","NO")</f>
        <v/>
      </c>
      <c r="K139" s="37">
        <f>COUNTIFS('Skip Audit'!$F$5:$F$313,D139,'Skip Audit'!$E$5:$E$313,"&gt;="&amp;C139)</f>
        <v/>
      </c>
      <c r="M139" s="37">
        <f>IF(J139="YES","Substantiated by supplied signed certificate",IF(I139="YES","Supplied certificate does not match amendment date/value","No signed certificate or yard sheet supplied"))</f>
        <v/>
      </c>
      <c r="N139" s="37" t="inlineStr">
        <is>
          <t>day log 2025-05-01</t>
        </is>
      </c>
      <c r="O139" s="37" t="inlineStr">
        <is>
          <t>HB-COUNTER-2</t>
        </is>
      </c>
    </row>
    <row r="140">
      <c r="A140" s="37">
        <f>IF(J140="YES","OK",IF(K140&gt;0,"Priority 1","Priority 2"))</f>
        <v/>
      </c>
      <c r="B140" s="37" t="inlineStr">
        <is>
          <t>AMD-001620</t>
        </is>
      </c>
      <c r="C140" s="38" t="n">
        <v>45783</v>
      </c>
      <c r="D140" s="37" t="inlineStr">
        <is>
          <t>WL-01328</t>
        </is>
      </c>
      <c r="E140" s="37">
        <f>IFERROR(INDEX(Applicants!$C$2:$C$2911,MATCH(D140,Applicants!$A$2:$A$2911,0))&amp;" "&amp;INDEX(Applicants!$B$2:$B$2911,MATCH(D140,Applicants!$A$2:$A$2911,0)),"")</f>
        <v/>
      </c>
      <c r="F140" s="39" t="n">
        <v>41.9</v>
      </c>
      <c r="G140" s="39" t="n">
        <v>43</v>
      </c>
      <c r="H140" s="37" t="inlineStr">
        <is>
          <t>MC-2025-0852</t>
        </is>
      </c>
      <c r="I140" s="37">
        <f>IF(COUNTIF('Cert Docs'!$A$2:$A$3,D140)&gt;0,"YES","NO")</f>
        <v/>
      </c>
      <c r="J140" s="37">
        <f>IF(COUNTIFS('Cert Docs'!$A$2:$A$3,D140,'Cert Docs'!$E$2:$E$3,G140,'Cert Docs'!$H$2:$H$3,"YES",'Cert Docs'!$D$2:$D$3,"&lt;="&amp;C140)&gt;0,"YES","NO")</f>
        <v/>
      </c>
      <c r="K140" s="37">
        <f>COUNTIFS('Skip Audit'!$F$5:$F$313,D140,'Skip Audit'!$E$5:$E$313,"&gt;="&amp;C140)</f>
        <v/>
      </c>
      <c r="M140" s="37">
        <f>IF(J140="YES","Substantiated by supplied signed certificate",IF(I140="YES","Supplied certificate does not match amendment date/value","No signed certificate or yard sheet supplied"))</f>
        <v/>
      </c>
      <c r="N140" s="37" t="inlineStr">
        <is>
          <t>day log 2025-05-06</t>
        </is>
      </c>
      <c r="O140" s="37" t="inlineStr">
        <is>
          <t>HB-COUNTER-2</t>
        </is>
      </c>
    </row>
    <row r="141">
      <c r="A141" s="37">
        <f>IF(J141="YES","OK",IF(K141&gt;0,"Priority 1","Priority 2"))</f>
        <v/>
      </c>
      <c r="B141" s="37" t="inlineStr">
        <is>
          <t>AMD-001635</t>
        </is>
      </c>
      <c r="C141" s="38" t="n">
        <v>45793</v>
      </c>
      <c r="D141" s="37" t="inlineStr">
        <is>
          <t>WL-03261</t>
        </is>
      </c>
      <c r="E141" s="37">
        <f>IFERROR(INDEX(Applicants!$C$2:$C$2911,MATCH(D141,Applicants!$A$2:$A$2911,0))&amp;" "&amp;INDEX(Applicants!$B$2:$B$2911,MATCH(D141,Applicants!$A$2:$A$2911,0)),"")</f>
        <v/>
      </c>
      <c r="F141" s="39" t="n">
        <v>49.6</v>
      </c>
      <c r="G141" s="39" t="n">
        <v>47.6</v>
      </c>
      <c r="H141" s="37" t="inlineStr">
        <is>
          <t>MC-2025-0420</t>
        </is>
      </c>
      <c r="I141" s="37">
        <f>IF(COUNTIF('Cert Docs'!$A$2:$A$3,D141)&gt;0,"YES","NO")</f>
        <v/>
      </c>
      <c r="J141" s="37">
        <f>IF(COUNTIFS('Cert Docs'!$A$2:$A$3,D141,'Cert Docs'!$E$2:$E$3,G141,'Cert Docs'!$H$2:$H$3,"YES",'Cert Docs'!$D$2:$D$3,"&lt;="&amp;C141)&gt;0,"YES","NO")</f>
        <v/>
      </c>
      <c r="K141" s="37">
        <f>COUNTIFS('Skip Audit'!$F$5:$F$313,D141,'Skip Audit'!$E$5:$E$313,"&gt;="&amp;C141)</f>
        <v/>
      </c>
      <c r="M141" s="37">
        <f>IF(J141="YES","Substantiated by supplied signed certificate",IF(I141="YES","Supplied certificate does not match amendment date/value","No signed certificate or yard sheet supplied"))</f>
        <v/>
      </c>
      <c r="N141" s="37" t="inlineStr">
        <is>
          <t>day log 2025-05-16</t>
        </is>
      </c>
      <c r="O141" s="37" t="inlineStr">
        <is>
          <t>HB-COUNTER-2</t>
        </is>
      </c>
    </row>
    <row r="142">
      <c r="A142" s="37">
        <f>IF(J142="YES","OK",IF(K142&gt;0,"Priority 1","Priority 2"))</f>
        <v/>
      </c>
      <c r="B142" s="37" t="inlineStr">
        <is>
          <t>AMD-001646</t>
        </is>
      </c>
      <c r="C142" s="38" t="n">
        <v>45800</v>
      </c>
      <c r="D142" s="37" t="inlineStr">
        <is>
          <t>WL-01993</t>
        </is>
      </c>
      <c r="E142" s="37">
        <f>IFERROR(INDEX(Applicants!$C$2:$C$2911,MATCH(D142,Applicants!$A$2:$A$2911,0))&amp;" "&amp;INDEX(Applicants!$B$2:$B$2911,MATCH(D142,Applicants!$A$2:$A$2911,0)),"")</f>
        <v/>
      </c>
      <c r="F142" s="39" t="n">
        <v>20.4</v>
      </c>
      <c r="G142" s="39" t="n">
        <v>20.3</v>
      </c>
      <c r="H142" s="37" t="inlineStr">
        <is>
          <t>Foldview Marine Services haul-out sheet 2023-08-13</t>
        </is>
      </c>
      <c r="I142" s="37">
        <f>IF(COUNTIF('Cert Docs'!$A$2:$A$3,D142)&gt;0,"YES","NO")</f>
        <v/>
      </c>
      <c r="J142" s="37">
        <f>IF(COUNTIFS('Cert Docs'!$A$2:$A$3,D142,'Cert Docs'!$E$2:$E$3,G142,'Cert Docs'!$H$2:$H$3,"YES",'Cert Docs'!$D$2:$D$3,"&lt;="&amp;C142)&gt;0,"YES","NO")</f>
        <v/>
      </c>
      <c r="K142" s="37">
        <f>COUNTIFS('Skip Audit'!$F$5:$F$313,D142,'Skip Audit'!$E$5:$E$313,"&gt;="&amp;C142)</f>
        <v/>
      </c>
      <c r="M142" s="37">
        <f>IF(J142="YES","Substantiated by supplied signed certificate",IF(I142="YES","Supplied certificate does not match amendment date/value","No signed certificate or yard sheet supplied"))</f>
        <v/>
      </c>
      <c r="N142" s="37" t="inlineStr">
        <is>
          <t>day log 2025-05-23</t>
        </is>
      </c>
      <c r="O142" s="37" t="inlineStr">
        <is>
          <t>HB-COUNTER-2</t>
        </is>
      </c>
    </row>
    <row r="143">
      <c r="A143" s="37">
        <f>IF(J143="YES","OK",IF(K143&gt;0,"Priority 1","Priority 2"))</f>
        <v/>
      </c>
      <c r="B143" s="37" t="inlineStr">
        <is>
          <t>AMD-001647</t>
        </is>
      </c>
      <c r="C143" s="38" t="n">
        <v>45800</v>
      </c>
      <c r="D143" s="37" t="inlineStr">
        <is>
          <t>WL-02083</t>
        </is>
      </c>
      <c r="E143" s="37">
        <f>IFERROR(INDEX(Applicants!$C$2:$C$2911,MATCH(D143,Applicants!$A$2:$A$2911,0))&amp;" "&amp;INDEX(Applicants!$B$2:$B$2911,MATCH(D143,Applicants!$A$2:$A$2911,0)),"")</f>
        <v/>
      </c>
      <c r="F143" s="39" t="n">
        <v>37.1</v>
      </c>
      <c r="G143" s="39" t="n">
        <v>35</v>
      </c>
      <c r="H143" s="37" t="inlineStr">
        <is>
          <t>MC-2025-0442</t>
        </is>
      </c>
      <c r="I143" s="37">
        <f>IF(COUNTIF('Cert Docs'!$A$2:$A$3,D143)&gt;0,"YES","NO")</f>
        <v/>
      </c>
      <c r="J143" s="37">
        <f>IF(COUNTIFS('Cert Docs'!$A$2:$A$3,D143,'Cert Docs'!$E$2:$E$3,G143,'Cert Docs'!$H$2:$H$3,"YES",'Cert Docs'!$D$2:$D$3,"&lt;="&amp;C143)&gt;0,"YES","NO")</f>
        <v/>
      </c>
      <c r="K143" s="37">
        <f>COUNTIFS('Skip Audit'!$F$5:$F$313,D143,'Skip Audit'!$E$5:$E$313,"&gt;="&amp;C143)</f>
        <v/>
      </c>
      <c r="M143" s="37">
        <f>IF(J143="YES","Substantiated by supplied signed certificate",IF(I143="YES","Supplied certificate does not match amendment date/value","No signed certificate or yard sheet supplied"))</f>
        <v/>
      </c>
      <c r="N143" s="37" t="inlineStr">
        <is>
          <t>day log 2025-05-23</t>
        </is>
      </c>
      <c r="O143" s="37" t="inlineStr">
        <is>
          <t>HB-COUNTER-2</t>
        </is>
      </c>
    </row>
    <row r="144">
      <c r="A144" s="37">
        <f>IF(J144="YES","OK",IF(K144&gt;0,"Priority 1","Priority 2"))</f>
        <v/>
      </c>
      <c r="B144" s="37" t="inlineStr">
        <is>
          <t>AMD-001655</t>
        </is>
      </c>
      <c r="C144" s="38" t="n">
        <v>45803</v>
      </c>
      <c r="D144" s="37" t="inlineStr">
        <is>
          <t>WL-03503</t>
        </is>
      </c>
      <c r="E144" s="37">
        <f>IFERROR(INDEX(Applicants!$C$2:$C$2911,MATCH(D144,Applicants!$A$2:$A$2911,0))&amp;" "&amp;INDEX(Applicants!$B$2:$B$2911,MATCH(D144,Applicants!$A$2:$A$2911,0)),"")</f>
        <v/>
      </c>
      <c r="F144" s="39" t="n">
        <v>46.2</v>
      </c>
      <c r="G144" s="39" t="n">
        <v>48.2</v>
      </c>
      <c r="H144" s="37" t="inlineStr">
        <is>
          <t>MC-2025-0353</t>
        </is>
      </c>
      <c r="I144" s="37">
        <f>IF(COUNTIF('Cert Docs'!$A$2:$A$3,D144)&gt;0,"YES","NO")</f>
        <v/>
      </c>
      <c r="J144" s="37">
        <f>IF(COUNTIFS('Cert Docs'!$A$2:$A$3,D144,'Cert Docs'!$E$2:$E$3,G144,'Cert Docs'!$H$2:$H$3,"YES",'Cert Docs'!$D$2:$D$3,"&lt;="&amp;C144)&gt;0,"YES","NO")</f>
        <v/>
      </c>
      <c r="K144" s="37">
        <f>COUNTIFS('Skip Audit'!$F$5:$F$313,D144,'Skip Audit'!$E$5:$E$313,"&gt;="&amp;C144)</f>
        <v/>
      </c>
      <c r="M144" s="37">
        <f>IF(J144="YES","Substantiated by supplied signed certificate",IF(I144="YES","Supplied certificate does not match amendment date/value","No signed certificate or yard sheet supplied"))</f>
        <v/>
      </c>
      <c r="N144" s="37" t="inlineStr">
        <is>
          <t>day log 2025-05-26</t>
        </is>
      </c>
      <c r="O144" s="37" t="inlineStr">
        <is>
          <t>HB-COUNTER-2</t>
        </is>
      </c>
    </row>
    <row r="145">
      <c r="A145" s="37">
        <f>IF(J145="YES","OK",IF(K145&gt;0,"Priority 1","Priority 2"))</f>
        <v/>
      </c>
      <c r="B145" s="37" t="inlineStr">
        <is>
          <t>AMD-001659</t>
        </is>
      </c>
      <c r="C145" s="38" t="n">
        <v>45804</v>
      </c>
      <c r="D145" s="37" t="inlineStr">
        <is>
          <t>WL-01977</t>
        </is>
      </c>
      <c r="E145" s="37">
        <f>IFERROR(INDEX(Applicants!$C$2:$C$2911,MATCH(D145,Applicants!$A$2:$A$2911,0))&amp;" "&amp;INDEX(Applicants!$B$2:$B$2911,MATCH(D145,Applicants!$A$2:$A$2911,0)),"")</f>
        <v/>
      </c>
      <c r="F145" s="39" t="n">
        <v>23.5</v>
      </c>
      <c r="G145" s="39" t="n">
        <v>23.3</v>
      </c>
      <c r="H145" s="37" t="inlineStr">
        <is>
          <t>MC-2025-0974</t>
        </is>
      </c>
      <c r="I145" s="37">
        <f>IF(COUNTIF('Cert Docs'!$A$2:$A$3,D145)&gt;0,"YES","NO")</f>
        <v/>
      </c>
      <c r="J145" s="37">
        <f>IF(COUNTIFS('Cert Docs'!$A$2:$A$3,D145,'Cert Docs'!$E$2:$E$3,G145,'Cert Docs'!$H$2:$H$3,"YES",'Cert Docs'!$D$2:$D$3,"&lt;="&amp;C145)&gt;0,"YES","NO")</f>
        <v/>
      </c>
      <c r="K145" s="37">
        <f>COUNTIFS('Skip Audit'!$F$5:$F$313,D145,'Skip Audit'!$E$5:$E$313,"&gt;="&amp;C145)</f>
        <v/>
      </c>
      <c r="M145" s="37">
        <f>IF(J145="YES","Substantiated by supplied signed certificate",IF(I145="YES","Supplied certificate does not match amendment date/value","No signed certificate or yard sheet supplied"))</f>
        <v/>
      </c>
      <c r="N145" s="37" t="inlineStr">
        <is>
          <t>day log 2025-05-27</t>
        </is>
      </c>
      <c r="O145" s="37" t="inlineStr">
        <is>
          <t>HB-COUNTER-2</t>
        </is>
      </c>
    </row>
    <row r="146">
      <c r="A146" s="37">
        <f>IF(J146="YES","OK",IF(K146&gt;0,"Priority 1","Priority 2"))</f>
        <v/>
      </c>
      <c r="B146" s="37" t="inlineStr">
        <is>
          <t>AMD-001681</t>
        </is>
      </c>
      <c r="C146" s="38" t="n">
        <v>45826</v>
      </c>
      <c r="D146" s="37" t="inlineStr">
        <is>
          <t>WL-01556</t>
        </is>
      </c>
      <c r="E146" s="37">
        <f>IFERROR(INDEX(Applicants!$C$2:$C$2911,MATCH(D146,Applicants!$A$2:$A$2911,0))&amp;" "&amp;INDEX(Applicants!$B$2:$B$2911,MATCH(D146,Applicants!$A$2:$A$2911,0)),"")</f>
        <v/>
      </c>
      <c r="F146" s="39" t="n">
        <v>25.6</v>
      </c>
      <c r="G146" s="39" t="n">
        <v>27.3</v>
      </c>
      <c r="H146" s="37" t="inlineStr">
        <is>
          <t>Foldview Marine Services haul-out sheet 2023-09-08</t>
        </is>
      </c>
      <c r="I146" s="37">
        <f>IF(COUNTIF('Cert Docs'!$A$2:$A$3,D146)&gt;0,"YES","NO")</f>
        <v/>
      </c>
      <c r="J146" s="37">
        <f>IF(COUNTIFS('Cert Docs'!$A$2:$A$3,D146,'Cert Docs'!$E$2:$E$3,G146,'Cert Docs'!$H$2:$H$3,"YES",'Cert Docs'!$D$2:$D$3,"&lt;="&amp;C146)&gt;0,"YES","NO")</f>
        <v/>
      </c>
      <c r="K146" s="37">
        <f>COUNTIFS('Skip Audit'!$F$5:$F$313,D146,'Skip Audit'!$E$5:$E$313,"&gt;="&amp;C146)</f>
        <v/>
      </c>
      <c r="M146" s="37">
        <f>IF(J146="YES","Substantiated by supplied signed certificate",IF(I146="YES","Supplied certificate does not match amendment date/value","No signed certificate or yard sheet supplied"))</f>
        <v/>
      </c>
      <c r="N146" s="37" t="inlineStr">
        <is>
          <t>day log 2025-06-18</t>
        </is>
      </c>
      <c r="O146" s="37" t="inlineStr">
        <is>
          <t>HB-COUNTER-2</t>
        </is>
      </c>
    </row>
    <row r="147">
      <c r="A147" s="37">
        <f>IF(J147="YES","OK",IF(K147&gt;0,"Priority 1","Priority 2"))</f>
        <v/>
      </c>
      <c r="B147" s="37" t="inlineStr">
        <is>
          <t>AMD-001691</t>
        </is>
      </c>
      <c r="C147" s="38" t="n">
        <v>45833</v>
      </c>
      <c r="D147" s="37" t="inlineStr">
        <is>
          <t>WL-02109</t>
        </is>
      </c>
      <c r="E147" s="37">
        <f>IFERROR(INDEX(Applicants!$C$2:$C$2911,MATCH(D147,Applicants!$A$2:$A$2911,0))&amp;" "&amp;INDEX(Applicants!$B$2:$B$2911,MATCH(D147,Applicants!$A$2:$A$2911,0)),"")</f>
        <v/>
      </c>
      <c r="F147" s="39" t="n">
        <v>28</v>
      </c>
      <c r="G147" s="39" t="n">
        <v>30.9</v>
      </c>
      <c r="H147" s="37" t="inlineStr">
        <is>
          <t>MC-2025-0282</t>
        </is>
      </c>
      <c r="I147" s="37">
        <f>IF(COUNTIF('Cert Docs'!$A$2:$A$3,D147)&gt;0,"YES","NO")</f>
        <v/>
      </c>
      <c r="J147" s="37">
        <f>IF(COUNTIFS('Cert Docs'!$A$2:$A$3,D147,'Cert Docs'!$E$2:$E$3,G147,'Cert Docs'!$H$2:$H$3,"YES",'Cert Docs'!$D$2:$D$3,"&lt;="&amp;C147)&gt;0,"YES","NO")</f>
        <v/>
      </c>
      <c r="K147" s="37">
        <f>COUNTIFS('Skip Audit'!$F$5:$F$313,D147,'Skip Audit'!$E$5:$E$313,"&gt;="&amp;C147)</f>
        <v/>
      </c>
      <c r="M147" s="37">
        <f>IF(J147="YES","Substantiated by supplied signed certificate",IF(I147="YES","Supplied certificate does not match amendment date/value","No signed certificate or yard sheet supplied"))</f>
        <v/>
      </c>
      <c r="N147" s="37" t="inlineStr">
        <is>
          <t>day log 2025-06-25</t>
        </is>
      </c>
      <c r="O147" s="37" t="inlineStr">
        <is>
          <t>HB-COUNTER-2</t>
        </is>
      </c>
    </row>
    <row r="148">
      <c r="A148" s="37">
        <f>IF(J148="YES","OK",IF(K148&gt;0,"Priority 1","Priority 2"))</f>
        <v/>
      </c>
      <c r="B148" s="37" t="inlineStr">
        <is>
          <t>AMD-001695</t>
        </is>
      </c>
      <c r="C148" s="38" t="n">
        <v>45834</v>
      </c>
      <c r="D148" s="37" t="inlineStr">
        <is>
          <t>WL-02213</t>
        </is>
      </c>
      <c r="E148" s="37">
        <f>IFERROR(INDEX(Applicants!$C$2:$C$2911,MATCH(D148,Applicants!$A$2:$A$2911,0))&amp;" "&amp;INDEX(Applicants!$B$2:$B$2911,MATCH(D148,Applicants!$A$2:$A$2911,0)),"")</f>
        <v/>
      </c>
      <c r="F148" s="39" t="n">
        <v>52.8</v>
      </c>
      <c r="G148" s="39" t="n">
        <v>52</v>
      </c>
      <c r="H148" s="37" t="inlineStr">
        <is>
          <t>MC-2025-0835</t>
        </is>
      </c>
      <c r="I148" s="37">
        <f>IF(COUNTIF('Cert Docs'!$A$2:$A$3,D148)&gt;0,"YES","NO")</f>
        <v/>
      </c>
      <c r="J148" s="37">
        <f>IF(COUNTIFS('Cert Docs'!$A$2:$A$3,D148,'Cert Docs'!$E$2:$E$3,G148,'Cert Docs'!$H$2:$H$3,"YES",'Cert Docs'!$D$2:$D$3,"&lt;="&amp;C148)&gt;0,"YES","NO")</f>
        <v/>
      </c>
      <c r="K148" s="37">
        <f>COUNTIFS('Skip Audit'!$F$5:$F$313,D148,'Skip Audit'!$E$5:$E$313,"&gt;="&amp;C148)</f>
        <v/>
      </c>
      <c r="M148" s="37">
        <f>IF(J148="YES","Substantiated by supplied signed certificate",IF(I148="YES","Supplied certificate does not match amendment date/value","No signed certificate or yard sheet supplied"))</f>
        <v/>
      </c>
      <c r="N148" s="37" t="inlineStr">
        <is>
          <t>day log 2025-06-26</t>
        </is>
      </c>
      <c r="O148" s="37" t="inlineStr">
        <is>
          <t>HB-COUNTER-2</t>
        </is>
      </c>
    </row>
    <row r="149">
      <c r="A149" s="37">
        <f>IF(J149="YES","OK",IF(K149&gt;0,"Priority 1","Priority 2"))</f>
        <v/>
      </c>
      <c r="B149" s="37" t="inlineStr">
        <is>
          <t>AMD-001700</t>
        </is>
      </c>
      <c r="C149" s="38" t="n">
        <v>45838</v>
      </c>
      <c r="D149" s="37" t="inlineStr">
        <is>
          <t>WL-01474</t>
        </is>
      </c>
      <c r="E149" s="37">
        <f>IFERROR(INDEX(Applicants!$C$2:$C$2911,MATCH(D149,Applicants!$A$2:$A$2911,0))&amp;" "&amp;INDEX(Applicants!$B$2:$B$2911,MATCH(D149,Applicants!$A$2:$A$2911,0)),"")</f>
        <v/>
      </c>
      <c r="F149" s="39" t="n">
        <v>37.7</v>
      </c>
      <c r="G149" s="39" t="n">
        <v>40.2</v>
      </c>
      <c r="H149" s="37" t="inlineStr">
        <is>
          <t>Foldview Marine Services haul-out sheet 2022-08-04</t>
        </is>
      </c>
      <c r="I149" s="37">
        <f>IF(COUNTIF('Cert Docs'!$A$2:$A$3,D149)&gt;0,"YES","NO")</f>
        <v/>
      </c>
      <c r="J149" s="37">
        <f>IF(COUNTIFS('Cert Docs'!$A$2:$A$3,D149,'Cert Docs'!$E$2:$E$3,G149,'Cert Docs'!$H$2:$H$3,"YES",'Cert Docs'!$D$2:$D$3,"&lt;="&amp;C149)&gt;0,"YES","NO")</f>
        <v/>
      </c>
      <c r="K149" s="37">
        <f>COUNTIFS('Skip Audit'!$F$5:$F$313,D149,'Skip Audit'!$E$5:$E$313,"&gt;="&amp;C149)</f>
        <v/>
      </c>
      <c r="M149" s="37">
        <f>IF(J149="YES","Substantiated by supplied signed certificate",IF(I149="YES","Supplied certificate does not match amendment date/value","No signed certificate or yard sheet supplied"))</f>
        <v/>
      </c>
      <c r="N149" s="37" t="inlineStr">
        <is>
          <t>day log 2025-06-30</t>
        </is>
      </c>
      <c r="O149" s="37" t="inlineStr">
        <is>
          <t>HB-COUNTER-2</t>
        </is>
      </c>
    </row>
    <row r="150">
      <c r="A150" s="37">
        <f>IF(J150="YES","OK",IF(K150&gt;0,"Priority 1","Priority 2"))</f>
        <v/>
      </c>
      <c r="B150" s="37" t="inlineStr">
        <is>
          <t>AMD-001702</t>
        </is>
      </c>
      <c r="C150" s="38" t="n">
        <v>45839</v>
      </c>
      <c r="D150" s="37" t="inlineStr">
        <is>
          <t>WL-03102</t>
        </is>
      </c>
      <c r="E150" s="37">
        <f>IFERROR(INDEX(Applicants!$C$2:$C$2911,MATCH(D150,Applicants!$A$2:$A$2911,0))&amp;" "&amp;INDEX(Applicants!$B$2:$B$2911,MATCH(D150,Applicants!$A$2:$A$2911,0)),"")</f>
        <v/>
      </c>
      <c r="F150" s="39" t="n">
        <v>36.4</v>
      </c>
      <c r="G150" s="39" t="n">
        <v>35.8</v>
      </c>
      <c r="H150" s="37" t="inlineStr">
        <is>
          <t>Foldview Marine Services haul-out measurement sheet 2025-06-29</t>
        </is>
      </c>
      <c r="I150" s="37">
        <f>IF(COUNTIF('Cert Docs'!$A$2:$A$3,D150)&gt;0,"YES","NO")</f>
        <v/>
      </c>
      <c r="J150" s="37">
        <f>IF(COUNTIFS('Cert Docs'!$A$2:$A$3,D150,'Cert Docs'!$E$2:$E$3,G150,'Cert Docs'!$H$2:$H$3,"YES",'Cert Docs'!$D$2:$D$3,"&lt;="&amp;C150)&gt;0,"YES","NO")</f>
        <v/>
      </c>
      <c r="K150" s="37">
        <f>COUNTIFS('Skip Audit'!$F$5:$F$313,D150,'Skip Audit'!$E$5:$E$313,"&gt;="&amp;C150)</f>
        <v/>
      </c>
      <c r="L150" s="37" t="inlineStr">
        <is>
          <t>SKP-2025-0412</t>
        </is>
      </c>
      <c r="M150" s="37">
        <f>IF(J150="YES","Substantiated by supplied signed certificate",IF(I150="YES","Supplied certificate does not match amendment date/value","No signed certificate or yard sheet supplied"))</f>
        <v/>
      </c>
      <c r="N150" s="37" t="inlineStr">
        <is>
          <t>day log 2025-07-01</t>
        </is>
      </c>
      <c r="O150" s="37" t="inlineStr">
        <is>
          <t>HB-COUNTER-2</t>
        </is>
      </c>
    </row>
    <row r="151">
      <c r="A151" s="37">
        <f>IF(J151="YES","OK",IF(K151&gt;0,"Priority 1","Priority 2"))</f>
        <v/>
      </c>
      <c r="B151" s="37" t="inlineStr">
        <is>
          <t>AMD-001705</t>
        </is>
      </c>
      <c r="C151" s="38" t="n">
        <v>45842</v>
      </c>
      <c r="D151" s="37" t="inlineStr">
        <is>
          <t>WL-03031</t>
        </is>
      </c>
      <c r="E151" s="37">
        <f>IFERROR(INDEX(Applicants!$C$2:$C$2911,MATCH(D151,Applicants!$A$2:$A$2911,0))&amp;" "&amp;INDEX(Applicants!$B$2:$B$2911,MATCH(D151,Applicants!$A$2:$A$2911,0)),"")</f>
        <v/>
      </c>
      <c r="F151" s="39" t="n">
        <v>44.3</v>
      </c>
      <c r="G151" s="39" t="n">
        <v>41.7</v>
      </c>
      <c r="H151" s="37" t="inlineStr">
        <is>
          <t>MC-2025-0532</t>
        </is>
      </c>
      <c r="I151" s="37">
        <f>IF(COUNTIF('Cert Docs'!$A$2:$A$3,D151)&gt;0,"YES","NO")</f>
        <v/>
      </c>
      <c r="J151" s="37">
        <f>IF(COUNTIFS('Cert Docs'!$A$2:$A$3,D151,'Cert Docs'!$E$2:$E$3,G151,'Cert Docs'!$H$2:$H$3,"YES",'Cert Docs'!$D$2:$D$3,"&lt;="&amp;C151)&gt;0,"YES","NO")</f>
        <v/>
      </c>
      <c r="K151" s="37">
        <f>COUNTIFS('Skip Audit'!$F$5:$F$313,D151,'Skip Audit'!$E$5:$E$313,"&gt;="&amp;C151)</f>
        <v/>
      </c>
      <c r="M151" s="37">
        <f>IF(J151="YES","Substantiated by supplied signed certificate",IF(I151="YES","Supplied certificate does not match amendment date/value","No signed certificate or yard sheet supplied"))</f>
        <v/>
      </c>
      <c r="N151" s="37" t="inlineStr">
        <is>
          <t>day log 2025-07-04</t>
        </is>
      </c>
      <c r="O151" s="37" t="inlineStr">
        <is>
          <t>HB-COUNTER-2</t>
        </is>
      </c>
    </row>
    <row r="152">
      <c r="A152" s="37">
        <f>IF(J152="YES","OK",IF(K152&gt;0,"Priority 1","Priority 2"))</f>
        <v/>
      </c>
      <c r="B152" s="37" t="inlineStr">
        <is>
          <t>AMD-001727</t>
        </is>
      </c>
      <c r="C152" s="38" t="n">
        <v>45861</v>
      </c>
      <c r="D152" s="37" t="inlineStr">
        <is>
          <t>WL-02506</t>
        </is>
      </c>
      <c r="E152" s="37">
        <f>IFERROR(INDEX(Applicants!$C$2:$C$2911,MATCH(D152,Applicants!$A$2:$A$2911,0))&amp;" "&amp;INDEX(Applicants!$B$2:$B$2911,MATCH(D152,Applicants!$A$2:$A$2911,0)),"")</f>
        <v/>
      </c>
      <c r="F152" s="39" t="n">
        <v>26.3</v>
      </c>
      <c r="G152" s="39" t="n">
        <v>28.5</v>
      </c>
      <c r="H152" s="37" t="inlineStr">
        <is>
          <t>MC-2025-0701</t>
        </is>
      </c>
      <c r="I152" s="37">
        <f>IF(COUNTIF('Cert Docs'!$A$2:$A$3,D152)&gt;0,"YES","NO")</f>
        <v/>
      </c>
      <c r="J152" s="37">
        <f>IF(COUNTIFS('Cert Docs'!$A$2:$A$3,D152,'Cert Docs'!$E$2:$E$3,G152,'Cert Docs'!$H$2:$H$3,"YES",'Cert Docs'!$D$2:$D$3,"&lt;="&amp;C152)&gt;0,"YES","NO")</f>
        <v/>
      </c>
      <c r="K152" s="37">
        <f>COUNTIFS('Skip Audit'!$F$5:$F$313,D152,'Skip Audit'!$E$5:$E$313,"&gt;="&amp;C152)</f>
        <v/>
      </c>
      <c r="M152" s="37">
        <f>IF(J152="YES","Substantiated by supplied signed certificate",IF(I152="YES","Supplied certificate does not match amendment date/value","No signed certificate or yard sheet supplied"))</f>
        <v/>
      </c>
      <c r="N152" s="37" t="inlineStr">
        <is>
          <t>day log 2025-07-23</t>
        </is>
      </c>
      <c r="O152" s="37" t="inlineStr">
        <is>
          <t>HB-COUNTER-2</t>
        </is>
      </c>
    </row>
    <row r="153">
      <c r="A153" s="37">
        <f>IF(J153="YES","OK",IF(K153&gt;0,"Priority 1","Priority 2"))</f>
        <v/>
      </c>
      <c r="B153" s="37" t="inlineStr">
        <is>
          <t>AMD-001749</t>
        </is>
      </c>
      <c r="C153" s="38" t="n">
        <v>45878</v>
      </c>
      <c r="D153" s="37" t="inlineStr">
        <is>
          <t>WL-01867</t>
        </is>
      </c>
      <c r="E153" s="37">
        <f>IFERROR(INDEX(Applicants!$C$2:$C$2911,MATCH(D153,Applicants!$A$2:$A$2911,0))&amp;" "&amp;INDEX(Applicants!$B$2:$B$2911,MATCH(D153,Applicants!$A$2:$A$2911,0)),"")</f>
        <v/>
      </c>
      <c r="F153" s="39" t="n">
        <v>48.9</v>
      </c>
      <c r="G153" s="39" t="n">
        <v>49.3</v>
      </c>
      <c r="H153" s="37" t="inlineStr">
        <is>
          <t>MC-2025-0894</t>
        </is>
      </c>
      <c r="I153" s="37">
        <f>IF(COUNTIF('Cert Docs'!$A$2:$A$3,D153)&gt;0,"YES","NO")</f>
        <v/>
      </c>
      <c r="J153" s="37">
        <f>IF(COUNTIFS('Cert Docs'!$A$2:$A$3,D153,'Cert Docs'!$E$2:$E$3,G153,'Cert Docs'!$H$2:$H$3,"YES",'Cert Docs'!$D$2:$D$3,"&lt;="&amp;C153)&gt;0,"YES","NO")</f>
        <v/>
      </c>
      <c r="K153" s="37">
        <f>COUNTIFS('Skip Audit'!$F$5:$F$313,D153,'Skip Audit'!$E$5:$E$313,"&gt;="&amp;C153)</f>
        <v/>
      </c>
      <c r="M153" s="37">
        <f>IF(J153="YES","Substantiated by supplied signed certificate",IF(I153="YES","Supplied certificate does not match amendment date/value","No signed certificate or yard sheet supplied"))</f>
        <v/>
      </c>
      <c r="N153" s="37" t="inlineStr">
        <is>
          <t>day log 2025-08-09</t>
        </is>
      </c>
      <c r="O153" s="37" t="inlineStr">
        <is>
          <t>HB-COUNTER-2</t>
        </is>
      </c>
    </row>
    <row r="154">
      <c r="A154" s="37">
        <f>IF(J154="YES","OK",IF(K154&gt;0,"Priority 1","Priority 2"))</f>
        <v/>
      </c>
      <c r="B154" s="37" t="inlineStr">
        <is>
          <t>AMD-001778</t>
        </is>
      </c>
      <c r="C154" s="38" t="n">
        <v>45903</v>
      </c>
      <c r="D154" s="37" t="inlineStr">
        <is>
          <t>WL-02031</t>
        </is>
      </c>
      <c r="E154" s="37">
        <f>IFERROR(INDEX(Applicants!$C$2:$C$2911,MATCH(D154,Applicants!$A$2:$A$2911,0))&amp;" "&amp;INDEX(Applicants!$B$2:$B$2911,MATCH(D154,Applicants!$A$2:$A$2911,0)),"")</f>
        <v/>
      </c>
      <c r="F154" s="39" t="n">
        <v>22.5</v>
      </c>
      <c r="G154" s="39" t="n">
        <v>22.1</v>
      </c>
      <c r="H154" s="37" t="inlineStr">
        <is>
          <t>Foldview Marine Services haul-out sheet 2024-11-05</t>
        </is>
      </c>
      <c r="I154" s="37">
        <f>IF(COUNTIF('Cert Docs'!$A$2:$A$3,D154)&gt;0,"YES","NO")</f>
        <v/>
      </c>
      <c r="J154" s="37">
        <f>IF(COUNTIFS('Cert Docs'!$A$2:$A$3,D154,'Cert Docs'!$E$2:$E$3,G154,'Cert Docs'!$H$2:$H$3,"YES",'Cert Docs'!$D$2:$D$3,"&lt;="&amp;C154)&gt;0,"YES","NO")</f>
        <v/>
      </c>
      <c r="K154" s="37">
        <f>COUNTIFS('Skip Audit'!$F$5:$F$313,D154,'Skip Audit'!$E$5:$E$313,"&gt;="&amp;C154)</f>
        <v/>
      </c>
      <c r="M154" s="37">
        <f>IF(J154="YES","Substantiated by supplied signed certificate",IF(I154="YES","Supplied certificate does not match amendment date/value","No signed certificate or yard sheet supplied"))</f>
        <v/>
      </c>
      <c r="N154" s="37" t="inlineStr">
        <is>
          <t>day log 2025-09-03</t>
        </is>
      </c>
      <c r="O154" s="37" t="inlineStr">
        <is>
          <t>HB-COUNTER-2</t>
        </is>
      </c>
    </row>
    <row r="155">
      <c r="A155" s="37">
        <f>IF(J155="YES","OK",IF(K155&gt;0,"Priority 1","Priority 2"))</f>
        <v/>
      </c>
      <c r="B155" s="37" t="inlineStr">
        <is>
          <t>AMD-001779</t>
        </is>
      </c>
      <c r="C155" s="38" t="n">
        <v>45903</v>
      </c>
      <c r="D155" s="37" t="inlineStr">
        <is>
          <t>WL-01603</t>
        </is>
      </c>
      <c r="E155" s="37">
        <f>IFERROR(INDEX(Applicants!$C$2:$C$2911,MATCH(D155,Applicants!$A$2:$A$2911,0))&amp;" "&amp;INDEX(Applicants!$B$2:$B$2911,MATCH(D155,Applicants!$A$2:$A$2911,0)),"")</f>
        <v/>
      </c>
      <c r="F155" s="39" t="n">
        <v>33</v>
      </c>
      <c r="G155" s="39" t="n">
        <v>34</v>
      </c>
      <c r="H155" s="37" t="inlineStr">
        <is>
          <t>Foldview Marine Services haul-out sheet 2024-03-27</t>
        </is>
      </c>
      <c r="I155" s="37">
        <f>IF(COUNTIF('Cert Docs'!$A$2:$A$3,D155)&gt;0,"YES","NO")</f>
        <v/>
      </c>
      <c r="J155" s="37">
        <f>IF(COUNTIFS('Cert Docs'!$A$2:$A$3,D155,'Cert Docs'!$E$2:$E$3,G155,'Cert Docs'!$H$2:$H$3,"YES",'Cert Docs'!$D$2:$D$3,"&lt;="&amp;C155)&gt;0,"YES","NO")</f>
        <v/>
      </c>
      <c r="K155" s="37">
        <f>COUNTIFS('Skip Audit'!$F$5:$F$313,D155,'Skip Audit'!$E$5:$E$313,"&gt;="&amp;C155)</f>
        <v/>
      </c>
      <c r="M155" s="37">
        <f>IF(J155="YES","Substantiated by supplied signed certificate",IF(I155="YES","Supplied certificate does not match amendment date/value","No signed certificate or yard sheet supplied"))</f>
        <v/>
      </c>
      <c r="N155" s="37" t="inlineStr">
        <is>
          <t>day log 2025-09-03</t>
        </is>
      </c>
      <c r="O155" s="37" t="inlineStr">
        <is>
          <t>HB-COUNTER-2</t>
        </is>
      </c>
    </row>
    <row r="156">
      <c r="A156" s="37">
        <f>IF(J156="YES","OK",IF(K156&gt;0,"Priority 1","Priority 2"))</f>
        <v/>
      </c>
      <c r="B156" s="37" t="inlineStr">
        <is>
          <t>AMD-001799</t>
        </is>
      </c>
      <c r="C156" s="38" t="n">
        <v>45915</v>
      </c>
      <c r="D156" s="37" t="inlineStr">
        <is>
          <t>WL-03292</t>
        </is>
      </c>
      <c r="E156" s="37">
        <f>IFERROR(INDEX(Applicants!$C$2:$C$2911,MATCH(D156,Applicants!$A$2:$A$2911,0))&amp;" "&amp;INDEX(Applicants!$B$2:$B$2911,MATCH(D156,Applicants!$A$2:$A$2911,0)),"")</f>
        <v/>
      </c>
      <c r="F156" s="39" t="n">
        <v>49.8</v>
      </c>
      <c r="G156" s="39" t="n">
        <v>47.9</v>
      </c>
      <c r="H156" s="37" t="inlineStr">
        <is>
          <t>Foldview Marine Services haul-out sheet 2023-09-15</t>
        </is>
      </c>
      <c r="I156" s="37">
        <f>IF(COUNTIF('Cert Docs'!$A$2:$A$3,D156)&gt;0,"YES","NO")</f>
        <v/>
      </c>
      <c r="J156" s="37">
        <f>IF(COUNTIFS('Cert Docs'!$A$2:$A$3,D156,'Cert Docs'!$E$2:$E$3,G156,'Cert Docs'!$H$2:$H$3,"YES",'Cert Docs'!$D$2:$D$3,"&lt;="&amp;C156)&gt;0,"YES","NO")</f>
        <v/>
      </c>
      <c r="K156" s="37">
        <f>COUNTIFS('Skip Audit'!$F$5:$F$313,D156,'Skip Audit'!$E$5:$E$313,"&gt;="&amp;C156)</f>
        <v/>
      </c>
      <c r="M156" s="37">
        <f>IF(J156="YES","Substantiated by supplied signed certificate",IF(I156="YES","Supplied certificate does not match amendment date/value","No signed certificate or yard sheet supplied"))</f>
        <v/>
      </c>
      <c r="N156" s="37" t="inlineStr">
        <is>
          <t>day log 2025-09-15</t>
        </is>
      </c>
      <c r="O156" s="37" t="inlineStr">
        <is>
          <t>HB-COUNTER-2</t>
        </is>
      </c>
    </row>
    <row r="157">
      <c r="A157" s="37">
        <f>IF(J157="YES","OK",IF(K157&gt;0,"Priority 1","Priority 2"))</f>
        <v/>
      </c>
      <c r="B157" s="37" t="inlineStr">
        <is>
          <t>AMD-001803</t>
        </is>
      </c>
      <c r="C157" s="38" t="n">
        <v>45917</v>
      </c>
      <c r="D157" s="37" t="inlineStr">
        <is>
          <t>WL-01275</t>
        </is>
      </c>
      <c r="E157" s="37">
        <f>IFERROR(INDEX(Applicants!$C$2:$C$2911,MATCH(D157,Applicants!$A$2:$A$2911,0))&amp;" "&amp;INDEX(Applicants!$B$2:$B$2911,MATCH(D157,Applicants!$A$2:$A$2911,0)),"")</f>
        <v/>
      </c>
      <c r="F157" s="39" t="n">
        <v>49.3</v>
      </c>
      <c r="G157" s="39" t="n">
        <v>51.7</v>
      </c>
      <c r="H157" s="37" t="inlineStr">
        <is>
          <t>MC-2025-0384</t>
        </is>
      </c>
      <c r="I157" s="37">
        <f>IF(COUNTIF('Cert Docs'!$A$2:$A$3,D157)&gt;0,"YES","NO")</f>
        <v/>
      </c>
      <c r="J157" s="37">
        <f>IF(COUNTIFS('Cert Docs'!$A$2:$A$3,D157,'Cert Docs'!$E$2:$E$3,G157,'Cert Docs'!$H$2:$H$3,"YES",'Cert Docs'!$D$2:$D$3,"&lt;="&amp;C157)&gt;0,"YES","NO")</f>
        <v/>
      </c>
      <c r="K157" s="37">
        <f>COUNTIFS('Skip Audit'!$F$5:$F$313,D157,'Skip Audit'!$E$5:$E$313,"&gt;="&amp;C157)</f>
        <v/>
      </c>
      <c r="M157" s="37">
        <f>IF(J157="YES","Substantiated by supplied signed certificate",IF(I157="YES","Supplied certificate does not match amendment date/value","No signed certificate or yard sheet supplied"))</f>
        <v/>
      </c>
      <c r="N157" s="37" t="inlineStr">
        <is>
          <t>day log 2025-09-17</t>
        </is>
      </c>
      <c r="O157" s="37" t="inlineStr">
        <is>
          <t>HB-COUNTER-2</t>
        </is>
      </c>
    </row>
    <row r="158">
      <c r="A158" s="37">
        <f>IF(J158="YES","OK",IF(K158&gt;0,"Priority 1","Priority 2"))</f>
        <v/>
      </c>
      <c r="B158" s="37" t="inlineStr">
        <is>
          <t>AMD-001820</t>
        </is>
      </c>
      <c r="C158" s="38" t="n">
        <v>45936</v>
      </c>
      <c r="D158" s="37" t="inlineStr">
        <is>
          <t>WL-01357</t>
        </is>
      </c>
      <c r="E158" s="37">
        <f>IFERROR(INDEX(Applicants!$C$2:$C$2911,MATCH(D158,Applicants!$A$2:$A$2911,0))&amp;" "&amp;INDEX(Applicants!$B$2:$B$2911,MATCH(D158,Applicants!$A$2:$A$2911,0)),"")</f>
        <v/>
      </c>
      <c r="F158" s="39" t="n">
        <v>54.5</v>
      </c>
      <c r="G158" s="39" t="n">
        <v>55.6</v>
      </c>
      <c r="H158" s="37" t="inlineStr">
        <is>
          <t>Foldview Marine Services haul-out sheet 2025-06-20</t>
        </is>
      </c>
      <c r="I158" s="37">
        <f>IF(COUNTIF('Cert Docs'!$A$2:$A$3,D158)&gt;0,"YES","NO")</f>
        <v/>
      </c>
      <c r="J158" s="37">
        <f>IF(COUNTIFS('Cert Docs'!$A$2:$A$3,D158,'Cert Docs'!$E$2:$E$3,G158,'Cert Docs'!$H$2:$H$3,"YES",'Cert Docs'!$D$2:$D$3,"&lt;="&amp;C158)&gt;0,"YES","NO")</f>
        <v/>
      </c>
      <c r="K158" s="37">
        <f>COUNTIFS('Skip Audit'!$F$5:$F$313,D158,'Skip Audit'!$E$5:$E$313,"&gt;="&amp;C158)</f>
        <v/>
      </c>
      <c r="M158" s="37">
        <f>IF(J158="YES","Substantiated by supplied signed certificate",IF(I158="YES","Supplied certificate does not match amendment date/value","No signed certificate or yard sheet supplied"))</f>
        <v/>
      </c>
      <c r="N158" s="37" t="inlineStr">
        <is>
          <t>day log 2025-10-06</t>
        </is>
      </c>
      <c r="O158" s="37" t="inlineStr">
        <is>
          <t>HB-COUNTER-2</t>
        </is>
      </c>
    </row>
    <row r="159">
      <c r="A159" s="37">
        <f>IF(J159="YES","OK",IF(K159&gt;0,"Priority 1","Priority 2"))</f>
        <v/>
      </c>
      <c r="B159" s="37" t="inlineStr">
        <is>
          <t>AMD-001821</t>
        </is>
      </c>
      <c r="C159" s="38" t="n">
        <v>45937</v>
      </c>
      <c r="D159" s="37" t="inlineStr">
        <is>
          <t>WL-01113</t>
        </is>
      </c>
      <c r="E159" s="37">
        <f>IFERROR(INDEX(Applicants!$C$2:$C$2911,MATCH(D159,Applicants!$A$2:$A$2911,0))&amp;" "&amp;INDEX(Applicants!$B$2:$B$2911,MATCH(D159,Applicants!$A$2:$A$2911,0)),"")</f>
        <v/>
      </c>
      <c r="F159" s="39" t="n">
        <v>53.7</v>
      </c>
      <c r="G159" s="39" t="n">
        <v>56.3</v>
      </c>
      <c r="H159" s="37" t="inlineStr">
        <is>
          <t>MC-2025-0245</t>
        </is>
      </c>
      <c r="I159" s="37">
        <f>IF(COUNTIF('Cert Docs'!$A$2:$A$3,D159)&gt;0,"YES","NO")</f>
        <v/>
      </c>
      <c r="J159" s="37">
        <f>IF(COUNTIFS('Cert Docs'!$A$2:$A$3,D159,'Cert Docs'!$E$2:$E$3,G159,'Cert Docs'!$H$2:$H$3,"YES",'Cert Docs'!$D$2:$D$3,"&lt;="&amp;C159)&gt;0,"YES","NO")</f>
        <v/>
      </c>
      <c r="K159" s="37">
        <f>COUNTIFS('Skip Audit'!$F$5:$F$313,D159,'Skip Audit'!$E$5:$E$313,"&gt;="&amp;C159)</f>
        <v/>
      </c>
      <c r="M159" s="37">
        <f>IF(J159="YES","Substantiated by supplied signed certificate",IF(I159="YES","Supplied certificate does not match amendment date/value","No signed certificate or yard sheet supplied"))</f>
        <v/>
      </c>
      <c r="N159" s="37" t="inlineStr">
        <is>
          <t>day log 2025-10-07</t>
        </is>
      </c>
      <c r="O159" s="37" t="inlineStr">
        <is>
          <t>HB-COUNTER-2</t>
        </is>
      </c>
    </row>
    <row r="160">
      <c r="A160" s="37">
        <f>IF(J160="YES","OK",IF(K160&gt;0,"Priority 1","Priority 2"))</f>
        <v/>
      </c>
      <c r="B160" s="37" t="inlineStr">
        <is>
          <t>AMD-001826</t>
        </is>
      </c>
      <c r="C160" s="38" t="n">
        <v>45941</v>
      </c>
      <c r="D160" s="37" t="inlineStr">
        <is>
          <t>WL-01845</t>
        </is>
      </c>
      <c r="E160" s="37">
        <f>IFERROR(INDEX(Applicants!$C$2:$C$2911,MATCH(D160,Applicants!$A$2:$A$2911,0))&amp;" "&amp;INDEX(Applicants!$B$2:$B$2911,MATCH(D160,Applicants!$A$2:$A$2911,0)),"")</f>
        <v/>
      </c>
      <c r="F160" s="39" t="n">
        <v>54.2</v>
      </c>
      <c r="G160" s="39" t="n">
        <v>53.2</v>
      </c>
      <c r="H160" s="37" t="n">
        <v/>
      </c>
      <c r="I160" s="37">
        <f>IF(COUNTIF('Cert Docs'!$A$2:$A$3,D160)&gt;0,"YES","NO")</f>
        <v/>
      </c>
      <c r="J160" s="37">
        <f>IF(COUNTIFS('Cert Docs'!$A$2:$A$3,D160,'Cert Docs'!$E$2:$E$3,G160,'Cert Docs'!$H$2:$H$3,"YES",'Cert Docs'!$D$2:$D$3,"&lt;="&amp;C160)&gt;0,"YES","NO")</f>
        <v/>
      </c>
      <c r="K160" s="37">
        <f>COUNTIFS('Skip Audit'!$F$5:$F$313,D160,'Skip Audit'!$E$5:$E$313,"&gt;="&amp;C160)</f>
        <v/>
      </c>
      <c r="M160" s="37">
        <f>IF(J160="YES","Substantiated by supplied signed certificate",IF(I160="YES","Supplied certificate does not match amendment date/value","No signed certificate or yard sheet supplied"))</f>
        <v/>
      </c>
      <c r="N160" s="37" t="inlineStr">
        <is>
          <t>day log 2025-10-11</t>
        </is>
      </c>
      <c r="O160" s="37" t="inlineStr">
        <is>
          <t>HB-COUNTER-2</t>
        </is>
      </c>
    </row>
    <row r="161">
      <c r="A161" s="37">
        <f>IF(J161="YES","OK",IF(K161&gt;0,"Priority 1","Priority 2"))</f>
        <v/>
      </c>
      <c r="B161" s="37" t="inlineStr">
        <is>
          <t>AMD-001830</t>
        </is>
      </c>
      <c r="C161" s="38" t="n">
        <v>45943</v>
      </c>
      <c r="D161" s="37" t="inlineStr">
        <is>
          <t>WL-01423</t>
        </is>
      </c>
      <c r="E161" s="37">
        <f>IFERROR(INDEX(Applicants!$C$2:$C$2911,MATCH(D161,Applicants!$A$2:$A$2911,0))&amp;" "&amp;INDEX(Applicants!$B$2:$B$2911,MATCH(D161,Applicants!$A$2:$A$2911,0)),"")</f>
        <v/>
      </c>
      <c r="F161" s="39" t="n">
        <v>25.5</v>
      </c>
      <c r="G161" s="39" t="n">
        <v>27.2</v>
      </c>
      <c r="H161" s="37" t="inlineStr">
        <is>
          <t>Foldview Marine Services haul-out sheet 2024-08-24</t>
        </is>
      </c>
      <c r="I161" s="37">
        <f>IF(COUNTIF('Cert Docs'!$A$2:$A$3,D161)&gt;0,"YES","NO")</f>
        <v/>
      </c>
      <c r="J161" s="37">
        <f>IF(COUNTIFS('Cert Docs'!$A$2:$A$3,D161,'Cert Docs'!$E$2:$E$3,G161,'Cert Docs'!$H$2:$H$3,"YES",'Cert Docs'!$D$2:$D$3,"&lt;="&amp;C161)&gt;0,"YES","NO")</f>
        <v/>
      </c>
      <c r="K161" s="37">
        <f>COUNTIFS('Skip Audit'!$F$5:$F$313,D161,'Skip Audit'!$E$5:$E$313,"&gt;="&amp;C161)</f>
        <v/>
      </c>
      <c r="M161" s="37">
        <f>IF(J161="YES","Substantiated by supplied signed certificate",IF(I161="YES","Supplied certificate does not match amendment date/value","No signed certificate or yard sheet supplied"))</f>
        <v/>
      </c>
      <c r="N161" s="37" t="inlineStr">
        <is>
          <t>day log 2025-10-13</t>
        </is>
      </c>
      <c r="O161" s="37" t="inlineStr">
        <is>
          <t>HB-COUNTER-2</t>
        </is>
      </c>
    </row>
    <row r="162">
      <c r="A162" s="37">
        <f>IF(J162="YES","OK",IF(K162&gt;0,"Priority 1","Priority 2"))</f>
        <v/>
      </c>
      <c r="B162" s="37" t="inlineStr">
        <is>
          <t>AMD-001832</t>
        </is>
      </c>
      <c r="C162" s="38" t="n">
        <v>45944</v>
      </c>
      <c r="D162" s="37" t="inlineStr">
        <is>
          <t>WL-03048</t>
        </is>
      </c>
      <c r="E162" s="37">
        <f>IFERROR(INDEX(Applicants!$C$2:$C$2911,MATCH(D162,Applicants!$A$2:$A$2911,0))&amp;" "&amp;INDEX(Applicants!$B$2:$B$2911,MATCH(D162,Applicants!$A$2:$A$2911,0)),"")</f>
        <v/>
      </c>
      <c r="F162" s="39" t="n">
        <v>42.8</v>
      </c>
      <c r="G162" s="39" t="n">
        <v>41.9</v>
      </c>
      <c r="H162" s="37" t="inlineStr">
        <is>
          <t>Foldview Marine Services haul-out sheet 2023-05-25</t>
        </is>
      </c>
      <c r="I162" s="37">
        <f>IF(COUNTIF('Cert Docs'!$A$2:$A$3,D162)&gt;0,"YES","NO")</f>
        <v/>
      </c>
      <c r="J162" s="37">
        <f>IF(COUNTIFS('Cert Docs'!$A$2:$A$3,D162,'Cert Docs'!$E$2:$E$3,G162,'Cert Docs'!$H$2:$H$3,"YES",'Cert Docs'!$D$2:$D$3,"&lt;="&amp;C162)&gt;0,"YES","NO")</f>
        <v/>
      </c>
      <c r="K162" s="37">
        <f>COUNTIFS('Skip Audit'!$F$5:$F$313,D162,'Skip Audit'!$E$5:$E$313,"&gt;="&amp;C162)</f>
        <v/>
      </c>
      <c r="M162" s="37">
        <f>IF(J162="YES","Substantiated by supplied signed certificate",IF(I162="YES","Supplied certificate does not match amendment date/value","No signed certificate or yard sheet supplied"))</f>
        <v/>
      </c>
      <c r="N162" s="37" t="inlineStr">
        <is>
          <t>day log 2025-10-14</t>
        </is>
      </c>
      <c r="O162" s="37" t="inlineStr">
        <is>
          <t>HB-COUNTER-2</t>
        </is>
      </c>
    </row>
    <row r="163">
      <c r="A163" s="37">
        <f>IF(J163="YES","OK",IF(K163&gt;0,"Priority 1","Priority 2"))</f>
        <v/>
      </c>
      <c r="B163" s="37" t="inlineStr">
        <is>
          <t>AMD-001833</t>
        </is>
      </c>
      <c r="C163" s="38" t="n">
        <v>45944</v>
      </c>
      <c r="D163" s="37" t="inlineStr">
        <is>
          <t>WL-03181</t>
        </is>
      </c>
      <c r="E163" s="37">
        <f>IFERROR(INDEX(Applicants!$C$2:$C$2911,MATCH(D163,Applicants!$A$2:$A$2911,0))&amp;" "&amp;INDEX(Applicants!$B$2:$B$2911,MATCH(D163,Applicants!$A$2:$A$2911,0)),"")</f>
        <v/>
      </c>
      <c r="F163" s="39" t="n">
        <v>46.6</v>
      </c>
      <c r="G163" s="39" t="n">
        <v>47.1</v>
      </c>
      <c r="H163" s="37" t="inlineStr">
        <is>
          <t>MC-2025-0906</t>
        </is>
      </c>
      <c r="I163" s="37">
        <f>IF(COUNTIF('Cert Docs'!$A$2:$A$3,D163)&gt;0,"YES","NO")</f>
        <v/>
      </c>
      <c r="J163" s="37">
        <f>IF(COUNTIFS('Cert Docs'!$A$2:$A$3,D163,'Cert Docs'!$E$2:$E$3,G163,'Cert Docs'!$H$2:$H$3,"YES",'Cert Docs'!$D$2:$D$3,"&lt;="&amp;C163)&gt;0,"YES","NO")</f>
        <v/>
      </c>
      <c r="K163" s="37">
        <f>COUNTIFS('Skip Audit'!$F$5:$F$313,D163,'Skip Audit'!$E$5:$E$313,"&gt;="&amp;C163)</f>
        <v/>
      </c>
      <c r="M163" s="37">
        <f>IF(J163="YES","Substantiated by supplied signed certificate",IF(I163="YES","Supplied certificate does not match amendment date/value","No signed certificate or yard sheet supplied"))</f>
        <v/>
      </c>
      <c r="N163" s="37" t="inlineStr">
        <is>
          <t>day log 2025-10-14</t>
        </is>
      </c>
      <c r="O163" s="37" t="inlineStr">
        <is>
          <t>HB-COUNTER-2</t>
        </is>
      </c>
    </row>
    <row r="164">
      <c r="A164" s="37">
        <f>IF(J164="YES","OK",IF(K164&gt;0,"Priority 1","Priority 2"))</f>
        <v/>
      </c>
      <c r="B164" s="37" t="inlineStr">
        <is>
          <t>AMD-001834</t>
        </is>
      </c>
      <c r="C164" s="38" t="n">
        <v>45945</v>
      </c>
      <c r="D164" s="37" t="inlineStr">
        <is>
          <t>WL-03679</t>
        </is>
      </c>
      <c r="E164" s="37">
        <f>IFERROR(INDEX(Applicants!$C$2:$C$2911,MATCH(D164,Applicants!$A$2:$A$2911,0))&amp;" "&amp;INDEX(Applicants!$B$2:$B$2911,MATCH(D164,Applicants!$A$2:$A$2911,0)),"")</f>
        <v/>
      </c>
      <c r="F164" s="39" t="n">
        <v>23</v>
      </c>
      <c r="G164" s="39" t="n">
        <v>23</v>
      </c>
      <c r="H164" s="37" t="inlineStr">
        <is>
          <t>MC-2025-0464</t>
        </is>
      </c>
      <c r="I164" s="37">
        <f>IF(COUNTIF('Cert Docs'!$A$2:$A$3,D164)&gt;0,"YES","NO")</f>
        <v/>
      </c>
      <c r="J164" s="37">
        <f>IF(COUNTIFS('Cert Docs'!$A$2:$A$3,D164,'Cert Docs'!$E$2:$E$3,G164,'Cert Docs'!$H$2:$H$3,"YES",'Cert Docs'!$D$2:$D$3,"&lt;="&amp;C164)&gt;0,"YES","NO")</f>
        <v/>
      </c>
      <c r="K164" s="37">
        <f>COUNTIFS('Skip Audit'!$F$5:$F$313,D164,'Skip Audit'!$E$5:$E$313,"&gt;="&amp;C164)</f>
        <v/>
      </c>
      <c r="M164" s="37">
        <f>IF(J164="YES","Substantiated by supplied signed certificate",IF(I164="YES","Supplied certificate does not match amendment date/value","No signed certificate or yard sheet supplied"))</f>
        <v/>
      </c>
      <c r="N164" s="37" t="inlineStr">
        <is>
          <t>day log 2025-10-15</t>
        </is>
      </c>
      <c r="O164" s="37" t="inlineStr">
        <is>
          <t>HB-COUNTER-2</t>
        </is>
      </c>
    </row>
    <row r="165">
      <c r="A165" s="37">
        <f>IF(J165="YES","OK",IF(K165&gt;0,"Priority 1","Priority 2"))</f>
        <v/>
      </c>
      <c r="B165" s="37" t="inlineStr">
        <is>
          <t>AMD-001837</t>
        </is>
      </c>
      <c r="C165" s="38" t="n">
        <v>45949</v>
      </c>
      <c r="D165" s="37" t="inlineStr">
        <is>
          <t>WL-01057</t>
        </is>
      </c>
      <c r="E165" s="37">
        <f>IFERROR(INDEX(Applicants!$C$2:$C$2911,MATCH(D165,Applicants!$A$2:$A$2911,0))&amp;" "&amp;INDEX(Applicants!$B$2:$B$2911,MATCH(D165,Applicants!$A$2:$A$2911,0)),"")</f>
        <v/>
      </c>
      <c r="F165" s="39" t="n">
        <v>52.5</v>
      </c>
      <c r="G165" s="39" t="n">
        <v>51</v>
      </c>
      <c r="H165" s="37" t="inlineStr">
        <is>
          <t>Foldview Marine Services haul-out sheet 2024-03-18</t>
        </is>
      </c>
      <c r="I165" s="37">
        <f>IF(COUNTIF('Cert Docs'!$A$2:$A$3,D165)&gt;0,"YES","NO")</f>
        <v/>
      </c>
      <c r="J165" s="37">
        <f>IF(COUNTIFS('Cert Docs'!$A$2:$A$3,D165,'Cert Docs'!$E$2:$E$3,G165,'Cert Docs'!$H$2:$H$3,"YES",'Cert Docs'!$D$2:$D$3,"&lt;="&amp;C165)&gt;0,"YES","NO")</f>
        <v/>
      </c>
      <c r="K165" s="37">
        <f>COUNTIFS('Skip Audit'!$F$5:$F$313,D165,'Skip Audit'!$E$5:$E$313,"&gt;="&amp;C165)</f>
        <v/>
      </c>
      <c r="M165" s="37">
        <f>IF(J165="YES","Substantiated by supplied signed certificate",IF(I165="YES","Supplied certificate does not match amendment date/value","No signed certificate or yard sheet supplied"))</f>
        <v/>
      </c>
      <c r="N165" s="37" t="inlineStr">
        <is>
          <t>day log 2025-10-19</t>
        </is>
      </c>
      <c r="O165" s="37" t="inlineStr">
        <is>
          <t>HB-COUNTER-2</t>
        </is>
      </c>
    </row>
    <row r="166">
      <c r="A166" s="37">
        <f>IF(J166="YES","OK",IF(K166&gt;0,"Priority 1","Priority 2"))</f>
        <v/>
      </c>
      <c r="B166" s="37" t="inlineStr">
        <is>
          <t>AMD-001852</t>
        </is>
      </c>
      <c r="C166" s="38" t="n">
        <v>45956</v>
      </c>
      <c r="D166" s="37" t="inlineStr">
        <is>
          <t>WL-01995</t>
        </is>
      </c>
      <c r="E166" s="37">
        <f>IFERROR(INDEX(Applicants!$C$2:$C$2911,MATCH(D166,Applicants!$A$2:$A$2911,0))&amp;" "&amp;INDEX(Applicants!$B$2:$B$2911,MATCH(D166,Applicants!$A$2:$A$2911,0)),"")</f>
        <v/>
      </c>
      <c r="F166" s="39" t="n">
        <v>43.6</v>
      </c>
      <c r="G166" s="39" t="n">
        <v>46</v>
      </c>
      <c r="H166" s="37" t="inlineStr">
        <is>
          <t>Foldview Marine Services haul-out sheet 2022-12-09</t>
        </is>
      </c>
      <c r="I166" s="37">
        <f>IF(COUNTIF('Cert Docs'!$A$2:$A$3,D166)&gt;0,"YES","NO")</f>
        <v/>
      </c>
      <c r="J166" s="37">
        <f>IF(COUNTIFS('Cert Docs'!$A$2:$A$3,D166,'Cert Docs'!$E$2:$E$3,G166,'Cert Docs'!$H$2:$H$3,"YES",'Cert Docs'!$D$2:$D$3,"&lt;="&amp;C166)&gt;0,"YES","NO")</f>
        <v/>
      </c>
      <c r="K166" s="37">
        <f>COUNTIFS('Skip Audit'!$F$5:$F$313,D166,'Skip Audit'!$E$5:$E$313,"&gt;="&amp;C166)</f>
        <v/>
      </c>
      <c r="M166" s="37">
        <f>IF(J166="YES","Substantiated by supplied signed certificate",IF(I166="YES","Supplied certificate does not match amendment date/value","No signed certificate or yard sheet supplied"))</f>
        <v/>
      </c>
      <c r="N166" s="37" t="inlineStr">
        <is>
          <t>day log 2025-10-26</t>
        </is>
      </c>
      <c r="O166" s="37" t="inlineStr">
        <is>
          <t>HB-COUNTER-2</t>
        </is>
      </c>
    </row>
    <row r="167">
      <c r="A167" s="37">
        <f>IF(J167="YES","OK",IF(K167&gt;0,"Priority 1","Priority 2"))</f>
        <v/>
      </c>
      <c r="B167" s="37" t="inlineStr">
        <is>
          <t>AMD-001859</t>
        </is>
      </c>
      <c r="C167" s="38" t="n">
        <v>45960</v>
      </c>
      <c r="D167" s="37" t="inlineStr">
        <is>
          <t>WL-02085</t>
        </is>
      </c>
      <c r="E167" s="37">
        <f>IFERROR(INDEX(Applicants!$C$2:$C$2911,MATCH(D167,Applicants!$A$2:$A$2911,0))&amp;" "&amp;INDEX(Applicants!$B$2:$B$2911,MATCH(D167,Applicants!$A$2:$A$2911,0)),"")</f>
        <v/>
      </c>
      <c r="F167" s="39" t="n">
        <v>48.6</v>
      </c>
      <c r="G167" s="39" t="n">
        <v>49</v>
      </c>
      <c r="H167" s="37" t="n">
        <v/>
      </c>
      <c r="I167" s="37">
        <f>IF(COUNTIF('Cert Docs'!$A$2:$A$3,D167)&gt;0,"YES","NO")</f>
        <v/>
      </c>
      <c r="J167" s="37">
        <f>IF(COUNTIFS('Cert Docs'!$A$2:$A$3,D167,'Cert Docs'!$E$2:$E$3,G167,'Cert Docs'!$H$2:$H$3,"YES",'Cert Docs'!$D$2:$D$3,"&lt;="&amp;C167)&gt;0,"YES","NO")</f>
        <v/>
      </c>
      <c r="K167" s="37">
        <f>COUNTIFS('Skip Audit'!$F$5:$F$313,D167,'Skip Audit'!$E$5:$E$313,"&gt;="&amp;C167)</f>
        <v/>
      </c>
      <c r="M167" s="37">
        <f>IF(J167="YES","Substantiated by supplied signed certificate",IF(I167="YES","Supplied certificate does not match amendment date/value","No signed certificate or yard sheet supplied"))</f>
        <v/>
      </c>
      <c r="N167" s="37" t="inlineStr">
        <is>
          <t>day log 2025-10-30</t>
        </is>
      </c>
      <c r="O167" s="37" t="inlineStr">
        <is>
          <t>HB-COUNTER-2</t>
        </is>
      </c>
    </row>
    <row r="168">
      <c r="A168" s="37">
        <f>IF(J168="YES","OK",IF(K168&gt;0,"Priority 1","Priority 2"))</f>
        <v/>
      </c>
      <c r="B168" s="37" t="inlineStr">
        <is>
          <t>AMD-001861</t>
        </is>
      </c>
      <c r="C168" s="38" t="n">
        <v>45960</v>
      </c>
      <c r="D168" s="37" t="inlineStr">
        <is>
          <t>WL-02978</t>
        </is>
      </c>
      <c r="E168" s="37">
        <f>IFERROR(INDEX(Applicants!$C$2:$C$2911,MATCH(D168,Applicants!$A$2:$A$2911,0))&amp;" "&amp;INDEX(Applicants!$B$2:$B$2911,MATCH(D168,Applicants!$A$2:$A$2911,0)),"")</f>
        <v/>
      </c>
      <c r="F168" s="39" t="n">
        <v>53.2</v>
      </c>
      <c r="G168" s="39" t="n">
        <v>50.3</v>
      </c>
      <c r="H168" s="37" t="inlineStr">
        <is>
          <t>MC-2025-0439</t>
        </is>
      </c>
      <c r="I168" s="37">
        <f>IF(COUNTIF('Cert Docs'!$A$2:$A$3,D168)&gt;0,"YES","NO")</f>
        <v/>
      </c>
      <c r="J168" s="37">
        <f>IF(COUNTIFS('Cert Docs'!$A$2:$A$3,D168,'Cert Docs'!$E$2:$E$3,G168,'Cert Docs'!$H$2:$H$3,"YES",'Cert Docs'!$D$2:$D$3,"&lt;="&amp;C168)&gt;0,"YES","NO")</f>
        <v/>
      </c>
      <c r="K168" s="37">
        <f>COUNTIFS('Skip Audit'!$F$5:$F$313,D168,'Skip Audit'!$E$5:$E$313,"&gt;="&amp;C168)</f>
        <v/>
      </c>
      <c r="M168" s="37">
        <f>IF(J168="YES","Substantiated by supplied signed certificate",IF(I168="YES","Supplied certificate does not match amendment date/value","No signed certificate or yard sheet supplied"))</f>
        <v/>
      </c>
      <c r="N168" s="37" t="inlineStr">
        <is>
          <t>day log 2025-10-30</t>
        </is>
      </c>
      <c r="O168" s="37" t="inlineStr">
        <is>
          <t>HB-COUNTER-2</t>
        </is>
      </c>
    </row>
    <row r="169">
      <c r="A169" s="37">
        <f>IF(J169="YES","OK",IF(K169&gt;0,"Priority 1","Priority 2"))</f>
        <v/>
      </c>
      <c r="B169" s="37" t="inlineStr">
        <is>
          <t>AMD-001866</t>
        </is>
      </c>
      <c r="C169" s="38" t="n">
        <v>45962</v>
      </c>
      <c r="D169" s="37" t="inlineStr">
        <is>
          <t>WL-03887</t>
        </is>
      </c>
      <c r="E169" s="37">
        <f>IFERROR(INDEX(Applicants!$C$2:$C$2911,MATCH(D169,Applicants!$A$2:$A$2911,0))&amp;" "&amp;INDEX(Applicants!$B$2:$B$2911,MATCH(D169,Applicants!$A$2:$A$2911,0)),"")</f>
        <v/>
      </c>
      <c r="F169" s="39" t="n">
        <v>46.5</v>
      </c>
      <c r="G169" s="39" t="n">
        <v>48</v>
      </c>
      <c r="H169" s="37" t="inlineStr">
        <is>
          <t>MC-2025-0186</t>
        </is>
      </c>
      <c r="I169" s="37">
        <f>IF(COUNTIF('Cert Docs'!$A$2:$A$3,D169)&gt;0,"YES","NO")</f>
        <v/>
      </c>
      <c r="J169" s="37">
        <f>IF(COUNTIFS('Cert Docs'!$A$2:$A$3,D169,'Cert Docs'!$E$2:$E$3,G169,'Cert Docs'!$H$2:$H$3,"YES",'Cert Docs'!$D$2:$D$3,"&lt;="&amp;C169)&gt;0,"YES","NO")</f>
        <v/>
      </c>
      <c r="K169" s="37">
        <f>COUNTIFS('Skip Audit'!$F$5:$F$313,D169,'Skip Audit'!$E$5:$E$313,"&gt;="&amp;C169)</f>
        <v/>
      </c>
      <c r="M169" s="37">
        <f>IF(J169="YES","Substantiated by supplied signed certificate",IF(I169="YES","Supplied certificate does not match amendment date/value","No signed certificate or yard sheet supplied"))</f>
        <v/>
      </c>
      <c r="N169" s="37" t="inlineStr">
        <is>
          <t>day log 2025-11-01</t>
        </is>
      </c>
      <c r="O169" s="37" t="inlineStr">
        <is>
          <t>HB-COUNTER-2</t>
        </is>
      </c>
    </row>
    <row r="170">
      <c r="A170" s="37">
        <f>IF(J170="YES","OK",IF(K170&gt;0,"Priority 1","Priority 2"))</f>
        <v/>
      </c>
      <c r="B170" s="37" t="inlineStr">
        <is>
          <t>AMD-001883</t>
        </is>
      </c>
      <c r="C170" s="38" t="n">
        <v>45973</v>
      </c>
      <c r="D170" s="37" t="inlineStr">
        <is>
          <t>WL-01947</t>
        </is>
      </c>
      <c r="E170" s="37">
        <f>IFERROR(INDEX(Applicants!$C$2:$C$2911,MATCH(D170,Applicants!$A$2:$A$2911,0))&amp;" "&amp;INDEX(Applicants!$B$2:$B$2911,MATCH(D170,Applicants!$A$2:$A$2911,0)),"")</f>
        <v/>
      </c>
      <c r="F170" s="39" t="n">
        <v>34.8</v>
      </c>
      <c r="G170" s="39" t="n">
        <v>37.3</v>
      </c>
      <c r="H170" s="37" t="inlineStr">
        <is>
          <t>MC-2025-0337</t>
        </is>
      </c>
      <c r="I170" s="37">
        <f>IF(COUNTIF('Cert Docs'!$A$2:$A$3,D170)&gt;0,"YES","NO")</f>
        <v/>
      </c>
      <c r="J170" s="37">
        <f>IF(COUNTIFS('Cert Docs'!$A$2:$A$3,D170,'Cert Docs'!$E$2:$E$3,G170,'Cert Docs'!$H$2:$H$3,"YES",'Cert Docs'!$D$2:$D$3,"&lt;="&amp;C170)&gt;0,"YES","NO")</f>
        <v/>
      </c>
      <c r="K170" s="37">
        <f>COUNTIFS('Skip Audit'!$F$5:$F$313,D170,'Skip Audit'!$E$5:$E$313,"&gt;="&amp;C170)</f>
        <v/>
      </c>
      <c r="M170" s="37">
        <f>IF(J170="YES","Substantiated by supplied signed certificate",IF(I170="YES","Supplied certificate does not match amendment date/value","No signed certificate or yard sheet supplied"))</f>
        <v/>
      </c>
      <c r="N170" s="37" t="inlineStr">
        <is>
          <t>day log 2025-11-12</t>
        </is>
      </c>
      <c r="O170" s="37" t="inlineStr">
        <is>
          <t>HB-COUNTER-2</t>
        </is>
      </c>
    </row>
    <row r="171">
      <c r="A171" s="37">
        <f>IF(J171="YES","OK",IF(K171&gt;0,"Priority 1","Priority 2"))</f>
        <v/>
      </c>
      <c r="B171" s="37" t="inlineStr">
        <is>
          <t>AMD-001884</t>
        </is>
      </c>
      <c r="C171" s="38" t="n">
        <v>45973</v>
      </c>
      <c r="D171" s="37" t="inlineStr">
        <is>
          <t>WL-02955</t>
        </is>
      </c>
      <c r="E171" s="37">
        <f>IFERROR(INDEX(Applicants!$C$2:$C$2911,MATCH(D171,Applicants!$A$2:$A$2911,0))&amp;" "&amp;INDEX(Applicants!$B$2:$B$2911,MATCH(D171,Applicants!$A$2:$A$2911,0)),"")</f>
        <v/>
      </c>
      <c r="F171" s="39" t="n">
        <v>26.7</v>
      </c>
      <c r="G171" s="39" t="n">
        <v>24</v>
      </c>
      <c r="H171" s="37" t="inlineStr">
        <is>
          <t>Foldview Marine Services haul-out sheet 2025-06-28</t>
        </is>
      </c>
      <c r="I171" s="37">
        <f>IF(COUNTIF('Cert Docs'!$A$2:$A$3,D171)&gt;0,"YES","NO")</f>
        <v/>
      </c>
      <c r="J171" s="37">
        <f>IF(COUNTIFS('Cert Docs'!$A$2:$A$3,D171,'Cert Docs'!$E$2:$E$3,G171,'Cert Docs'!$H$2:$H$3,"YES",'Cert Docs'!$D$2:$D$3,"&lt;="&amp;C171)&gt;0,"YES","NO")</f>
        <v/>
      </c>
      <c r="K171" s="37">
        <f>COUNTIFS('Skip Audit'!$F$5:$F$313,D171,'Skip Audit'!$E$5:$E$313,"&gt;="&amp;C171)</f>
        <v/>
      </c>
      <c r="M171" s="37">
        <f>IF(J171="YES","Substantiated by supplied signed certificate",IF(I171="YES","Supplied certificate does not match amendment date/value","No signed certificate or yard sheet supplied"))</f>
        <v/>
      </c>
      <c r="N171" s="37" t="inlineStr">
        <is>
          <t>day log 2025-11-12</t>
        </is>
      </c>
      <c r="O171" s="37" t="inlineStr">
        <is>
          <t>HB-COUNTER-2</t>
        </is>
      </c>
    </row>
    <row r="172">
      <c r="A172" s="37">
        <f>IF(J172="YES","OK",IF(K172&gt;0,"Priority 1","Priority 2"))</f>
        <v/>
      </c>
      <c r="B172" s="37" t="inlineStr">
        <is>
          <t>AMD-001889</t>
        </is>
      </c>
      <c r="C172" s="38" t="n">
        <v>45976</v>
      </c>
      <c r="D172" s="37" t="inlineStr">
        <is>
          <t>WL-02128</t>
        </is>
      </c>
      <c r="E172" s="37">
        <f>IFERROR(INDEX(Applicants!$C$2:$C$2911,MATCH(D172,Applicants!$A$2:$A$2911,0))&amp;" "&amp;INDEX(Applicants!$B$2:$B$2911,MATCH(D172,Applicants!$A$2:$A$2911,0)),"")</f>
        <v/>
      </c>
      <c r="F172" s="39" t="n">
        <v>45.2</v>
      </c>
      <c r="G172" s="39" t="n">
        <v>44.2</v>
      </c>
      <c r="H172" s="37" t="inlineStr">
        <is>
          <t>MC-2025-0562</t>
        </is>
      </c>
      <c r="I172" s="37">
        <f>IF(COUNTIF('Cert Docs'!$A$2:$A$3,D172)&gt;0,"YES","NO")</f>
        <v/>
      </c>
      <c r="J172" s="37">
        <f>IF(COUNTIFS('Cert Docs'!$A$2:$A$3,D172,'Cert Docs'!$E$2:$E$3,G172,'Cert Docs'!$H$2:$H$3,"YES",'Cert Docs'!$D$2:$D$3,"&lt;="&amp;C172)&gt;0,"YES","NO")</f>
        <v/>
      </c>
      <c r="K172" s="37">
        <f>COUNTIFS('Skip Audit'!$F$5:$F$313,D172,'Skip Audit'!$E$5:$E$313,"&gt;="&amp;C172)</f>
        <v/>
      </c>
      <c r="M172" s="37">
        <f>IF(J172="YES","Substantiated by supplied signed certificate",IF(I172="YES","Supplied certificate does not match amendment date/value","No signed certificate or yard sheet supplied"))</f>
        <v/>
      </c>
      <c r="N172" s="37" t="inlineStr">
        <is>
          <t>day log 2025-11-15</t>
        </is>
      </c>
      <c r="O172" s="37" t="inlineStr">
        <is>
          <t>HB-COUNTER-2</t>
        </is>
      </c>
    </row>
    <row r="173">
      <c r="A173" s="37">
        <f>IF(J173="YES","OK",IF(K173&gt;0,"Priority 1","Priority 2"))</f>
        <v/>
      </c>
      <c r="B173" s="37" t="inlineStr">
        <is>
          <t>AMD-001891</t>
        </is>
      </c>
      <c r="C173" s="38" t="n">
        <v>45978</v>
      </c>
      <c r="D173" s="37" t="inlineStr">
        <is>
          <t>WL-01077</t>
        </is>
      </c>
      <c r="E173" s="37">
        <f>IFERROR(INDEX(Applicants!$C$2:$C$2911,MATCH(D173,Applicants!$A$2:$A$2911,0))&amp;" "&amp;INDEX(Applicants!$B$2:$B$2911,MATCH(D173,Applicants!$A$2:$A$2911,0)),"")</f>
        <v/>
      </c>
      <c r="F173" s="39" t="n">
        <v>32.7</v>
      </c>
      <c r="G173" s="39" t="n">
        <v>32.1</v>
      </c>
      <c r="H173" s="37" t="inlineStr">
        <is>
          <t>Foldview Marine Services haul-out sheet 2024-07-18</t>
        </is>
      </c>
      <c r="I173" s="37">
        <f>IF(COUNTIF('Cert Docs'!$A$2:$A$3,D173)&gt;0,"YES","NO")</f>
        <v/>
      </c>
      <c r="J173" s="37">
        <f>IF(COUNTIFS('Cert Docs'!$A$2:$A$3,D173,'Cert Docs'!$E$2:$E$3,G173,'Cert Docs'!$H$2:$H$3,"YES",'Cert Docs'!$D$2:$D$3,"&lt;="&amp;C173)&gt;0,"YES","NO")</f>
        <v/>
      </c>
      <c r="K173" s="37">
        <f>COUNTIFS('Skip Audit'!$F$5:$F$313,D173,'Skip Audit'!$E$5:$E$313,"&gt;="&amp;C173)</f>
        <v/>
      </c>
      <c r="M173" s="37">
        <f>IF(J173="YES","Substantiated by supplied signed certificate",IF(I173="YES","Supplied certificate does not match amendment date/value","No signed certificate or yard sheet supplied"))</f>
        <v/>
      </c>
      <c r="N173" s="37" t="inlineStr">
        <is>
          <t>day log 2025-11-17</t>
        </is>
      </c>
      <c r="O173" s="37" t="inlineStr">
        <is>
          <t>HB-COUNTER-2</t>
        </is>
      </c>
    </row>
    <row r="174">
      <c r="A174" s="37">
        <f>IF(J174="YES","OK",IF(K174&gt;0,"Priority 1","Priority 2"))</f>
        <v/>
      </c>
      <c r="B174" s="37" t="inlineStr">
        <is>
          <t>AMD-001899</t>
        </is>
      </c>
      <c r="C174" s="38" t="n">
        <v>45984</v>
      </c>
      <c r="D174" s="37" t="inlineStr">
        <is>
          <t>WL-01534</t>
        </is>
      </c>
      <c r="E174" s="37">
        <f>IFERROR(INDEX(Applicants!$C$2:$C$2911,MATCH(D174,Applicants!$A$2:$A$2911,0))&amp;" "&amp;INDEX(Applicants!$B$2:$B$2911,MATCH(D174,Applicants!$A$2:$A$2911,0)),"")</f>
        <v/>
      </c>
      <c r="F174" s="39" t="n">
        <v>29.9</v>
      </c>
      <c r="G174" s="39" t="n">
        <v>30.2</v>
      </c>
      <c r="H174" s="37" t="inlineStr">
        <is>
          <t>Foldview Marine Services haul-out sheet 2024-08-20</t>
        </is>
      </c>
      <c r="I174" s="37">
        <f>IF(COUNTIF('Cert Docs'!$A$2:$A$3,D174)&gt;0,"YES","NO")</f>
        <v/>
      </c>
      <c r="J174" s="37">
        <f>IF(COUNTIFS('Cert Docs'!$A$2:$A$3,D174,'Cert Docs'!$E$2:$E$3,G174,'Cert Docs'!$H$2:$H$3,"YES",'Cert Docs'!$D$2:$D$3,"&lt;="&amp;C174)&gt;0,"YES","NO")</f>
        <v/>
      </c>
      <c r="K174" s="37">
        <f>COUNTIFS('Skip Audit'!$F$5:$F$313,D174,'Skip Audit'!$E$5:$E$313,"&gt;="&amp;C174)</f>
        <v/>
      </c>
      <c r="M174" s="37">
        <f>IF(J174="YES","Substantiated by supplied signed certificate",IF(I174="YES","Supplied certificate does not match amendment date/value","No signed certificate or yard sheet supplied"))</f>
        <v/>
      </c>
      <c r="N174" s="37" t="inlineStr">
        <is>
          <t>day log 2025-11-23</t>
        </is>
      </c>
      <c r="O174" s="37" t="inlineStr">
        <is>
          <t>HB-COUNTER-2</t>
        </is>
      </c>
    </row>
    <row r="175">
      <c r="A175" s="37">
        <f>IF(J175="YES","OK",IF(K175&gt;0,"Priority 1","Priority 2"))</f>
        <v/>
      </c>
      <c r="B175" s="37" t="inlineStr">
        <is>
          <t>AMD-001929</t>
        </is>
      </c>
      <c r="C175" s="38" t="n">
        <v>46005</v>
      </c>
      <c r="D175" s="37" t="inlineStr">
        <is>
          <t>WL-03787</t>
        </is>
      </c>
      <c r="E175" s="37">
        <f>IFERROR(INDEX(Applicants!$C$2:$C$2911,MATCH(D175,Applicants!$A$2:$A$2911,0))&amp;" "&amp;INDEX(Applicants!$B$2:$B$2911,MATCH(D175,Applicants!$A$2:$A$2911,0)),"")</f>
        <v/>
      </c>
      <c r="F175" s="39" t="n">
        <v>48.4</v>
      </c>
      <c r="G175" s="39" t="n">
        <v>51</v>
      </c>
      <c r="H175" s="37" t="inlineStr">
        <is>
          <t>Foldview Marine Services haul-out sheet 2025-09-25</t>
        </is>
      </c>
      <c r="I175" s="37">
        <f>IF(COUNTIF('Cert Docs'!$A$2:$A$3,D175)&gt;0,"YES","NO")</f>
        <v/>
      </c>
      <c r="J175" s="37">
        <f>IF(COUNTIFS('Cert Docs'!$A$2:$A$3,D175,'Cert Docs'!$E$2:$E$3,G175,'Cert Docs'!$H$2:$H$3,"YES",'Cert Docs'!$D$2:$D$3,"&lt;="&amp;C175)&gt;0,"YES","NO")</f>
        <v/>
      </c>
      <c r="K175" s="37">
        <f>COUNTIFS('Skip Audit'!$F$5:$F$313,D175,'Skip Audit'!$E$5:$E$313,"&gt;="&amp;C175)</f>
        <v/>
      </c>
      <c r="L175" s="37" t="inlineStr">
        <is>
          <t>SKP-2026-0386</t>
        </is>
      </c>
      <c r="M175" s="37">
        <f>IF(J175="YES","Substantiated by supplied signed certificate",IF(I175="YES","Supplied certificate does not match amendment date/value","No signed certificate or yard sheet supplied"))</f>
        <v/>
      </c>
      <c r="N175" s="37" t="inlineStr">
        <is>
          <t>day log 2025-12-14</t>
        </is>
      </c>
      <c r="O175" s="37" t="inlineStr">
        <is>
          <t>HB-COUNTER-2</t>
        </is>
      </c>
    </row>
    <row r="176">
      <c r="A176" s="37">
        <f>IF(J176="YES","OK",IF(K176&gt;0,"Priority 1","Priority 2"))</f>
        <v/>
      </c>
      <c r="B176" s="37" t="inlineStr">
        <is>
          <t>AMD-001950</t>
        </is>
      </c>
      <c r="C176" s="38" t="n">
        <v>46020</v>
      </c>
      <c r="D176" s="37" t="inlineStr">
        <is>
          <t>WL-01569</t>
        </is>
      </c>
      <c r="E176" s="37">
        <f>IFERROR(INDEX(Applicants!$C$2:$C$2911,MATCH(D176,Applicants!$A$2:$A$2911,0))&amp;" "&amp;INDEX(Applicants!$B$2:$B$2911,MATCH(D176,Applicants!$A$2:$A$2911,0)),"")</f>
        <v/>
      </c>
      <c r="F176" s="39" t="n">
        <v>42.4</v>
      </c>
      <c r="G176" s="39" t="n">
        <v>44.1</v>
      </c>
      <c r="H176" s="37" t="inlineStr">
        <is>
          <t>MC-2025-0994</t>
        </is>
      </c>
      <c r="I176" s="37">
        <f>IF(COUNTIF('Cert Docs'!$A$2:$A$3,D176)&gt;0,"YES","NO")</f>
        <v/>
      </c>
      <c r="J176" s="37">
        <f>IF(COUNTIFS('Cert Docs'!$A$2:$A$3,D176,'Cert Docs'!$E$2:$E$3,G176,'Cert Docs'!$H$2:$H$3,"YES",'Cert Docs'!$D$2:$D$3,"&lt;="&amp;C176)&gt;0,"YES","NO")</f>
        <v/>
      </c>
      <c r="K176" s="37">
        <f>COUNTIFS('Skip Audit'!$F$5:$F$313,D176,'Skip Audit'!$E$5:$E$313,"&gt;="&amp;C176)</f>
        <v/>
      </c>
      <c r="M176" s="37">
        <f>IF(J176="YES","Substantiated by supplied signed certificate",IF(I176="YES","Supplied certificate does not match amendment date/value","No signed certificate or yard sheet supplied"))</f>
        <v/>
      </c>
      <c r="N176" s="37" t="inlineStr">
        <is>
          <t>day log 2025-12-29</t>
        </is>
      </c>
      <c r="O176" s="37" t="inlineStr">
        <is>
          <t>HB-COUNTER-2</t>
        </is>
      </c>
    </row>
    <row r="177">
      <c r="A177" s="37">
        <f>IF(J177="YES","OK",IF(K177&gt;0,"Priority 1","Priority 2"))</f>
        <v/>
      </c>
      <c r="B177" s="37" t="inlineStr">
        <is>
          <t>AMD-001956</t>
        </is>
      </c>
      <c r="C177" s="38" t="n">
        <v>46026</v>
      </c>
      <c r="D177" s="37" t="inlineStr">
        <is>
          <t>WL-01484</t>
        </is>
      </c>
      <c r="E177" s="37">
        <f>IFERROR(INDEX(Applicants!$C$2:$C$2911,MATCH(D177,Applicants!$A$2:$A$2911,0))&amp;" "&amp;INDEX(Applicants!$B$2:$B$2911,MATCH(D177,Applicants!$A$2:$A$2911,0)),"")</f>
        <v/>
      </c>
      <c r="F177" s="39" t="n">
        <v>49</v>
      </c>
      <c r="G177" s="39" t="n">
        <v>49.8</v>
      </c>
      <c r="H177" s="37" t="n">
        <v/>
      </c>
      <c r="I177" s="37">
        <f>IF(COUNTIF('Cert Docs'!$A$2:$A$3,D177)&gt;0,"YES","NO")</f>
        <v/>
      </c>
      <c r="J177" s="37">
        <f>IF(COUNTIFS('Cert Docs'!$A$2:$A$3,D177,'Cert Docs'!$E$2:$E$3,G177,'Cert Docs'!$H$2:$H$3,"YES",'Cert Docs'!$D$2:$D$3,"&lt;="&amp;C177)&gt;0,"YES","NO")</f>
        <v/>
      </c>
      <c r="K177" s="37">
        <f>COUNTIFS('Skip Audit'!$F$5:$F$313,D177,'Skip Audit'!$E$5:$E$313,"&gt;="&amp;C177)</f>
        <v/>
      </c>
      <c r="M177" s="37">
        <f>IF(J177="YES","Substantiated by supplied signed certificate",IF(I177="YES","Supplied certificate does not match amendment date/value","No signed certificate or yard sheet supplied"))</f>
        <v/>
      </c>
      <c r="N177" s="37" t="inlineStr">
        <is>
          <t>day log 2026-01-04</t>
        </is>
      </c>
      <c r="O177" s="37" t="inlineStr">
        <is>
          <t>HB-COUNTER-2</t>
        </is>
      </c>
    </row>
    <row r="178">
      <c r="A178" s="37">
        <f>IF(J178="YES","OK",IF(K178&gt;0,"Priority 1","Priority 2"))</f>
        <v/>
      </c>
      <c r="B178" s="37" t="inlineStr">
        <is>
          <t>AMD-001957</t>
        </is>
      </c>
      <c r="C178" s="38" t="n">
        <v>46027</v>
      </c>
      <c r="D178" s="37" t="inlineStr">
        <is>
          <t>WL-03475</t>
        </is>
      </c>
      <c r="E178" s="37">
        <f>IFERROR(INDEX(Applicants!$C$2:$C$2911,MATCH(D178,Applicants!$A$2:$A$2911,0))&amp;" "&amp;INDEX(Applicants!$B$2:$B$2911,MATCH(D178,Applicants!$A$2:$A$2911,0)),"")</f>
        <v/>
      </c>
      <c r="F178" s="39" t="n">
        <v>40.2</v>
      </c>
      <c r="G178" s="39" t="n">
        <v>37.5</v>
      </c>
      <c r="H178" s="37" t="inlineStr">
        <is>
          <t>MC-2026-0974</t>
        </is>
      </c>
      <c r="I178" s="37">
        <f>IF(COUNTIF('Cert Docs'!$A$2:$A$3,D178)&gt;0,"YES","NO")</f>
        <v/>
      </c>
      <c r="J178" s="37">
        <f>IF(COUNTIFS('Cert Docs'!$A$2:$A$3,D178,'Cert Docs'!$E$2:$E$3,G178,'Cert Docs'!$H$2:$H$3,"YES",'Cert Docs'!$D$2:$D$3,"&lt;="&amp;C178)&gt;0,"YES","NO")</f>
        <v/>
      </c>
      <c r="K178" s="37">
        <f>COUNTIFS('Skip Audit'!$F$5:$F$313,D178,'Skip Audit'!$E$5:$E$313,"&gt;="&amp;C178)</f>
        <v/>
      </c>
      <c r="M178" s="37">
        <f>IF(J178="YES","Substantiated by supplied signed certificate",IF(I178="YES","Supplied certificate does not match amendment date/value","No signed certificate or yard sheet supplied"))</f>
        <v/>
      </c>
      <c r="N178" s="37" t="inlineStr">
        <is>
          <t>day log 2026-01-05</t>
        </is>
      </c>
      <c r="O178" s="37" t="inlineStr">
        <is>
          <t>HB-COUNTER-2</t>
        </is>
      </c>
    </row>
    <row r="179">
      <c r="A179" s="37">
        <f>IF(J179="YES","OK",IF(K179&gt;0,"Priority 1","Priority 2"))</f>
        <v/>
      </c>
      <c r="B179" s="37" t="inlineStr">
        <is>
          <t>AMD-001978</t>
        </is>
      </c>
      <c r="C179" s="38" t="n">
        <v>46046</v>
      </c>
      <c r="D179" s="37" t="inlineStr">
        <is>
          <t>WL-03468</t>
        </is>
      </c>
      <c r="E179" s="37">
        <f>IFERROR(INDEX(Applicants!$C$2:$C$2911,MATCH(D179,Applicants!$A$2:$A$2911,0))&amp;" "&amp;INDEX(Applicants!$B$2:$B$2911,MATCH(D179,Applicants!$A$2:$A$2911,0)),"")</f>
        <v/>
      </c>
      <c r="F179" s="39" t="n">
        <v>30.3</v>
      </c>
      <c r="G179" s="39" t="n">
        <v>27.7</v>
      </c>
      <c r="H179" s="37" t="n">
        <v/>
      </c>
      <c r="I179" s="37">
        <f>IF(COUNTIF('Cert Docs'!$A$2:$A$3,D179)&gt;0,"YES","NO")</f>
        <v/>
      </c>
      <c r="J179" s="37">
        <f>IF(COUNTIFS('Cert Docs'!$A$2:$A$3,D179,'Cert Docs'!$E$2:$E$3,G179,'Cert Docs'!$H$2:$H$3,"YES",'Cert Docs'!$D$2:$D$3,"&lt;="&amp;C179)&gt;0,"YES","NO")</f>
        <v/>
      </c>
      <c r="K179" s="37">
        <f>COUNTIFS('Skip Audit'!$F$5:$F$313,D179,'Skip Audit'!$E$5:$E$313,"&gt;="&amp;C179)</f>
        <v/>
      </c>
      <c r="M179" s="37">
        <f>IF(J179="YES","Substantiated by supplied signed certificate",IF(I179="YES","Supplied certificate does not match amendment date/value","No signed certificate or yard sheet supplied"))</f>
        <v/>
      </c>
      <c r="N179" s="37" t="inlineStr">
        <is>
          <t>day log 2026-01-24</t>
        </is>
      </c>
      <c r="O179" s="37" t="inlineStr">
        <is>
          <t>HB-COUNTER-2</t>
        </is>
      </c>
    </row>
    <row r="180">
      <c r="A180" s="37">
        <f>IF(J180="YES","OK",IF(K180&gt;0,"Priority 1","Priority 2"))</f>
        <v/>
      </c>
      <c r="B180" s="37" t="inlineStr">
        <is>
          <t>AMD-001980</t>
        </is>
      </c>
      <c r="C180" s="38" t="n">
        <v>46047</v>
      </c>
      <c r="D180" s="37" t="inlineStr">
        <is>
          <t>WL-02245</t>
        </is>
      </c>
      <c r="E180" s="37">
        <f>IFERROR(INDEX(Applicants!$C$2:$C$2911,MATCH(D180,Applicants!$A$2:$A$2911,0))&amp;" "&amp;INDEX(Applicants!$B$2:$B$2911,MATCH(D180,Applicants!$A$2:$A$2911,0)),"")</f>
        <v/>
      </c>
      <c r="F180" s="39" t="n">
        <v>53.4</v>
      </c>
      <c r="G180" s="39" t="n">
        <v>54</v>
      </c>
      <c r="H180" s="37" t="inlineStr">
        <is>
          <t>Foldview Marine Services haul-out sheet 2022-10-24</t>
        </is>
      </c>
      <c r="I180" s="37">
        <f>IF(COUNTIF('Cert Docs'!$A$2:$A$3,D180)&gt;0,"YES","NO")</f>
        <v/>
      </c>
      <c r="J180" s="37">
        <f>IF(COUNTIFS('Cert Docs'!$A$2:$A$3,D180,'Cert Docs'!$E$2:$E$3,G180,'Cert Docs'!$H$2:$H$3,"YES",'Cert Docs'!$D$2:$D$3,"&lt;="&amp;C180)&gt;0,"YES","NO")</f>
        <v/>
      </c>
      <c r="K180" s="37">
        <f>COUNTIFS('Skip Audit'!$F$5:$F$313,D180,'Skip Audit'!$E$5:$E$313,"&gt;="&amp;C180)</f>
        <v/>
      </c>
      <c r="M180" s="37">
        <f>IF(J180="YES","Substantiated by supplied signed certificate",IF(I180="YES","Supplied certificate does not match amendment date/value","No signed certificate or yard sheet supplied"))</f>
        <v/>
      </c>
      <c r="N180" s="37" t="inlineStr">
        <is>
          <t>day log 2026-01-25</t>
        </is>
      </c>
      <c r="O180" s="37" t="inlineStr">
        <is>
          <t>HB-COUNTER-2</t>
        </is>
      </c>
    </row>
    <row r="181">
      <c r="A181" s="37">
        <f>IF(J181="YES","OK",IF(K181&gt;0,"Priority 1","Priority 2"))</f>
        <v/>
      </c>
      <c r="B181" s="37" t="inlineStr">
        <is>
          <t>AMD-001982</t>
        </is>
      </c>
      <c r="C181" s="38" t="n">
        <v>46049</v>
      </c>
      <c r="D181" s="37" t="inlineStr">
        <is>
          <t>WL-03045</t>
        </is>
      </c>
      <c r="E181" s="37">
        <f>IFERROR(INDEX(Applicants!$C$2:$C$2911,MATCH(D181,Applicants!$A$2:$A$2911,0))&amp;" "&amp;INDEX(Applicants!$B$2:$B$2911,MATCH(D181,Applicants!$A$2:$A$2911,0)),"")</f>
        <v/>
      </c>
      <c r="F181" s="39" t="n">
        <v>32.9</v>
      </c>
      <c r="G181" s="39" t="n">
        <v>35.5</v>
      </c>
      <c r="H181" s="37" t="n">
        <v/>
      </c>
      <c r="I181" s="37">
        <f>IF(COUNTIF('Cert Docs'!$A$2:$A$3,D181)&gt;0,"YES","NO")</f>
        <v/>
      </c>
      <c r="J181" s="37">
        <f>IF(COUNTIFS('Cert Docs'!$A$2:$A$3,D181,'Cert Docs'!$E$2:$E$3,G181,'Cert Docs'!$H$2:$H$3,"YES",'Cert Docs'!$D$2:$D$3,"&lt;="&amp;C181)&gt;0,"YES","NO")</f>
        <v/>
      </c>
      <c r="K181" s="37">
        <f>COUNTIFS('Skip Audit'!$F$5:$F$313,D181,'Skip Audit'!$E$5:$E$313,"&gt;="&amp;C181)</f>
        <v/>
      </c>
      <c r="M181" s="37">
        <f>IF(J181="YES","Substantiated by supplied signed certificate",IF(I181="YES","Supplied certificate does not match amendment date/value","No signed certificate or yard sheet supplied"))</f>
        <v/>
      </c>
      <c r="N181" s="37" t="inlineStr">
        <is>
          <t>day log 2026-01-27</t>
        </is>
      </c>
      <c r="O181" s="37" t="inlineStr">
        <is>
          <t>HB-COUNTER-2</t>
        </is>
      </c>
    </row>
    <row r="182">
      <c r="A182" s="37">
        <f>IF(J182="YES","OK",IF(K182&gt;0,"Priority 1","Priority 2"))</f>
        <v/>
      </c>
      <c r="B182" s="37" t="inlineStr">
        <is>
          <t>AMD-001983</t>
        </is>
      </c>
      <c r="C182" s="38" t="n">
        <v>46049</v>
      </c>
      <c r="D182" s="37" t="inlineStr">
        <is>
          <t>WL-03716</t>
        </is>
      </c>
      <c r="E182" s="37">
        <f>IFERROR(INDEX(Applicants!$C$2:$C$2911,MATCH(D182,Applicants!$A$2:$A$2911,0))&amp;" "&amp;INDEX(Applicants!$B$2:$B$2911,MATCH(D182,Applicants!$A$2:$A$2911,0)),"")</f>
        <v/>
      </c>
      <c r="F182" s="39" t="n">
        <v>51.2</v>
      </c>
      <c r="G182" s="39" t="n">
        <v>53.5</v>
      </c>
      <c r="H182" s="37" t="inlineStr">
        <is>
          <t>Foldview Marine Services haul-out sheet 2024-06-24</t>
        </is>
      </c>
      <c r="I182" s="37">
        <f>IF(COUNTIF('Cert Docs'!$A$2:$A$3,D182)&gt;0,"YES","NO")</f>
        <v/>
      </c>
      <c r="J182" s="37">
        <f>IF(COUNTIFS('Cert Docs'!$A$2:$A$3,D182,'Cert Docs'!$E$2:$E$3,G182,'Cert Docs'!$H$2:$H$3,"YES",'Cert Docs'!$D$2:$D$3,"&lt;="&amp;C182)&gt;0,"YES","NO")</f>
        <v/>
      </c>
      <c r="K182" s="37">
        <f>COUNTIFS('Skip Audit'!$F$5:$F$313,D182,'Skip Audit'!$E$5:$E$313,"&gt;="&amp;C182)</f>
        <v/>
      </c>
      <c r="M182" s="37">
        <f>IF(J182="YES","Substantiated by supplied signed certificate",IF(I182="YES","Supplied certificate does not match amendment date/value","No signed certificate or yard sheet supplied"))</f>
        <v/>
      </c>
      <c r="N182" s="37" t="inlineStr">
        <is>
          <t>day log 2026-01-27</t>
        </is>
      </c>
      <c r="O182" s="37" t="inlineStr">
        <is>
          <t>HB-COUNTER-2</t>
        </is>
      </c>
    </row>
    <row r="183">
      <c r="A183" s="37">
        <f>IF(J183="YES","OK",IF(K183&gt;0,"Priority 1","Priority 2"))</f>
        <v/>
      </c>
      <c r="B183" s="37" t="inlineStr">
        <is>
          <t>AMD-001999</t>
        </is>
      </c>
      <c r="C183" s="38" t="n">
        <v>46062</v>
      </c>
      <c r="D183" s="37" t="inlineStr">
        <is>
          <t>WL-02586</t>
        </is>
      </c>
      <c r="E183" s="37">
        <f>IFERROR(INDEX(Applicants!$C$2:$C$2911,MATCH(D183,Applicants!$A$2:$A$2911,0))&amp;" "&amp;INDEX(Applicants!$B$2:$B$2911,MATCH(D183,Applicants!$A$2:$A$2911,0)),"")</f>
        <v/>
      </c>
      <c r="F183" s="39" t="n">
        <v>46.4</v>
      </c>
      <c r="G183" s="39" t="n">
        <v>49.3</v>
      </c>
      <c r="H183" s="37" t="inlineStr">
        <is>
          <t>MC-2026-0870</t>
        </is>
      </c>
      <c r="I183" s="37">
        <f>IF(COUNTIF('Cert Docs'!$A$2:$A$3,D183)&gt;0,"YES","NO")</f>
        <v/>
      </c>
      <c r="J183" s="37">
        <f>IF(COUNTIFS('Cert Docs'!$A$2:$A$3,D183,'Cert Docs'!$E$2:$E$3,G183,'Cert Docs'!$H$2:$H$3,"YES",'Cert Docs'!$D$2:$D$3,"&lt;="&amp;C183)&gt;0,"YES","NO")</f>
        <v/>
      </c>
      <c r="K183" s="37">
        <f>COUNTIFS('Skip Audit'!$F$5:$F$313,D183,'Skip Audit'!$E$5:$E$313,"&gt;="&amp;C183)</f>
        <v/>
      </c>
      <c r="M183" s="37">
        <f>IF(J183="YES","Substantiated by supplied signed certificate",IF(I183="YES","Supplied certificate does not match amendment date/value","No signed certificate or yard sheet supplied"))</f>
        <v/>
      </c>
      <c r="N183" s="37" t="inlineStr">
        <is>
          <t>day log 2026-02-09</t>
        </is>
      </c>
      <c r="O183" s="37" t="inlineStr">
        <is>
          <t>HB-COUNTER-2</t>
        </is>
      </c>
    </row>
    <row r="184">
      <c r="A184" s="37">
        <f>IF(J184="YES","OK",IF(K184&gt;0,"Priority 1","Priority 2"))</f>
        <v/>
      </c>
      <c r="B184" s="37" t="inlineStr">
        <is>
          <t>AMD-002000</t>
        </is>
      </c>
      <c r="C184" s="38" t="n">
        <v>46062</v>
      </c>
      <c r="D184" s="37" t="inlineStr">
        <is>
          <t>WL-02699</t>
        </is>
      </c>
      <c r="E184" s="37">
        <f>IFERROR(INDEX(Applicants!$C$2:$C$2911,MATCH(D184,Applicants!$A$2:$A$2911,0))&amp;" "&amp;INDEX(Applicants!$B$2:$B$2911,MATCH(D184,Applicants!$A$2:$A$2911,0)),"")</f>
        <v/>
      </c>
      <c r="F184" s="39" t="n">
        <v>42.6</v>
      </c>
      <c r="G184" s="39" t="n">
        <v>43.4</v>
      </c>
      <c r="H184" s="37" t="inlineStr">
        <is>
          <t>Foldview Marine Services haul-out sheet 2024-07-08</t>
        </is>
      </c>
      <c r="I184" s="37">
        <f>IF(COUNTIF('Cert Docs'!$A$2:$A$3,D184)&gt;0,"YES","NO")</f>
        <v/>
      </c>
      <c r="J184" s="37">
        <f>IF(COUNTIFS('Cert Docs'!$A$2:$A$3,D184,'Cert Docs'!$E$2:$E$3,G184,'Cert Docs'!$H$2:$H$3,"YES",'Cert Docs'!$D$2:$D$3,"&lt;="&amp;C184)&gt;0,"YES","NO")</f>
        <v/>
      </c>
      <c r="K184" s="37">
        <f>COUNTIFS('Skip Audit'!$F$5:$F$313,D184,'Skip Audit'!$E$5:$E$313,"&gt;="&amp;C184)</f>
        <v/>
      </c>
      <c r="M184" s="37">
        <f>IF(J184="YES","Substantiated by supplied signed certificate",IF(I184="YES","Supplied certificate does not match amendment date/value","No signed certificate or yard sheet supplied"))</f>
        <v/>
      </c>
      <c r="N184" s="37" t="inlineStr">
        <is>
          <t>day log 2026-02-09</t>
        </is>
      </c>
      <c r="O184" s="37" t="inlineStr">
        <is>
          <t>HB-COUNTER-2</t>
        </is>
      </c>
    </row>
    <row r="185">
      <c r="A185" s="37">
        <f>IF(J185="YES","OK",IF(K185&gt;0,"Priority 1","Priority 2"))</f>
        <v/>
      </c>
      <c r="B185" s="37" t="inlineStr">
        <is>
          <t>AMD-002013</t>
        </is>
      </c>
      <c r="C185" s="38" t="n">
        <v>46071</v>
      </c>
      <c r="D185" s="37" t="inlineStr">
        <is>
          <t>WL-03474</t>
        </is>
      </c>
      <c r="E185" s="37">
        <f>IFERROR(INDEX(Applicants!$C$2:$C$2911,MATCH(D185,Applicants!$A$2:$A$2911,0))&amp;" "&amp;INDEX(Applicants!$B$2:$B$2911,MATCH(D185,Applicants!$A$2:$A$2911,0)),"")</f>
        <v/>
      </c>
      <c r="F185" s="39" t="n">
        <v>50.4</v>
      </c>
      <c r="G185" s="39" t="n">
        <v>51.6</v>
      </c>
      <c r="H185" s="37" t="inlineStr">
        <is>
          <t>Foldview Marine Services haul-out sheet 2025-05-12</t>
        </is>
      </c>
      <c r="I185" s="37">
        <f>IF(COUNTIF('Cert Docs'!$A$2:$A$3,D185)&gt;0,"YES","NO")</f>
        <v/>
      </c>
      <c r="J185" s="37">
        <f>IF(COUNTIFS('Cert Docs'!$A$2:$A$3,D185,'Cert Docs'!$E$2:$E$3,G185,'Cert Docs'!$H$2:$H$3,"YES",'Cert Docs'!$D$2:$D$3,"&lt;="&amp;C185)&gt;0,"YES","NO")</f>
        <v/>
      </c>
      <c r="K185" s="37">
        <f>COUNTIFS('Skip Audit'!$F$5:$F$313,D185,'Skip Audit'!$E$5:$E$313,"&gt;="&amp;C185)</f>
        <v/>
      </c>
      <c r="M185" s="37">
        <f>IF(J185="YES","Substantiated by supplied signed certificate",IF(I185="YES","Supplied certificate does not match amendment date/value","No signed certificate or yard sheet supplied"))</f>
        <v/>
      </c>
      <c r="N185" s="37" t="inlineStr">
        <is>
          <t>day log 2026-02-18</t>
        </is>
      </c>
      <c r="O185" s="37" t="inlineStr">
        <is>
          <t>HB-COUNTER-2</t>
        </is>
      </c>
    </row>
    <row r="186">
      <c r="A186" s="37">
        <f>IF(J186="YES","OK",IF(K186&gt;0,"Priority 1","Priority 2"))</f>
        <v/>
      </c>
      <c r="B186" s="37" t="inlineStr">
        <is>
          <t>AMD-002017</t>
        </is>
      </c>
      <c r="C186" s="38" t="n">
        <v>46073</v>
      </c>
      <c r="D186" s="37" t="inlineStr">
        <is>
          <t>WL-02175</t>
        </is>
      </c>
      <c r="E186" s="37">
        <f>IFERROR(INDEX(Applicants!$C$2:$C$2911,MATCH(D186,Applicants!$A$2:$A$2911,0))&amp;" "&amp;INDEX(Applicants!$B$2:$B$2911,MATCH(D186,Applicants!$A$2:$A$2911,0)),"")</f>
        <v/>
      </c>
      <c r="F186" s="39" t="n">
        <v>54.2</v>
      </c>
      <c r="G186" s="39" t="n">
        <v>56.1</v>
      </c>
      <c r="H186" s="37" t="inlineStr">
        <is>
          <t>MC-2026-0113</t>
        </is>
      </c>
      <c r="I186" s="37">
        <f>IF(COUNTIF('Cert Docs'!$A$2:$A$3,D186)&gt;0,"YES","NO")</f>
        <v/>
      </c>
      <c r="J186" s="37">
        <f>IF(COUNTIFS('Cert Docs'!$A$2:$A$3,D186,'Cert Docs'!$E$2:$E$3,G186,'Cert Docs'!$H$2:$H$3,"YES",'Cert Docs'!$D$2:$D$3,"&lt;="&amp;C186)&gt;0,"YES","NO")</f>
        <v/>
      </c>
      <c r="K186" s="37">
        <f>COUNTIFS('Skip Audit'!$F$5:$F$313,D186,'Skip Audit'!$E$5:$E$313,"&gt;="&amp;C186)</f>
        <v/>
      </c>
      <c r="M186" s="37">
        <f>IF(J186="YES","Substantiated by supplied signed certificate",IF(I186="YES","Supplied certificate does not match amendment date/value","No signed certificate or yard sheet supplied"))</f>
        <v/>
      </c>
      <c r="N186" s="37" t="inlineStr">
        <is>
          <t>day log 2026-02-20</t>
        </is>
      </c>
      <c r="O186" s="37" t="inlineStr">
        <is>
          <t>HB-COUNTER-2</t>
        </is>
      </c>
    </row>
    <row r="187">
      <c r="A187" s="37">
        <f>IF(J187="YES","OK",IF(K187&gt;0,"Priority 1","Priority 2"))</f>
        <v/>
      </c>
      <c r="B187" s="37" t="inlineStr">
        <is>
          <t>AMD-002028</t>
        </is>
      </c>
      <c r="C187" s="38" t="n">
        <v>46081</v>
      </c>
      <c r="D187" s="37" t="inlineStr">
        <is>
          <t>WL-01114</t>
        </is>
      </c>
      <c r="E187" s="37">
        <f>IFERROR(INDEX(Applicants!$C$2:$C$2911,MATCH(D187,Applicants!$A$2:$A$2911,0))&amp;" "&amp;INDEX(Applicants!$B$2:$B$2911,MATCH(D187,Applicants!$A$2:$A$2911,0)),"")</f>
        <v/>
      </c>
      <c r="F187" s="39" t="n">
        <v>37.5</v>
      </c>
      <c r="G187" s="39" t="n">
        <v>37.5</v>
      </c>
      <c r="H187" s="37" t="inlineStr">
        <is>
          <t>Foldview Marine Services haul-out sheet 2023-09-01</t>
        </is>
      </c>
      <c r="I187" s="37">
        <f>IF(COUNTIF('Cert Docs'!$A$2:$A$3,D187)&gt;0,"YES","NO")</f>
        <v/>
      </c>
      <c r="J187" s="37">
        <f>IF(COUNTIFS('Cert Docs'!$A$2:$A$3,D187,'Cert Docs'!$E$2:$E$3,G187,'Cert Docs'!$H$2:$H$3,"YES",'Cert Docs'!$D$2:$D$3,"&lt;="&amp;C187)&gt;0,"YES","NO")</f>
        <v/>
      </c>
      <c r="K187" s="37">
        <f>COUNTIFS('Skip Audit'!$F$5:$F$313,D187,'Skip Audit'!$E$5:$E$313,"&gt;="&amp;C187)</f>
        <v/>
      </c>
      <c r="M187" s="37">
        <f>IF(J187="YES","Substantiated by supplied signed certificate",IF(I187="YES","Supplied certificate does not match amendment date/value","No signed certificate or yard sheet supplied"))</f>
        <v/>
      </c>
      <c r="N187" s="37" t="inlineStr">
        <is>
          <t>day log 2026-02-28</t>
        </is>
      </c>
      <c r="O187" s="37" t="inlineStr">
        <is>
          <t>HB-COUNTER-2</t>
        </is>
      </c>
    </row>
    <row r="188">
      <c r="A188" s="37">
        <f>IF(J188="YES","OK",IF(K188&gt;0,"Priority 1","Priority 2"))</f>
        <v/>
      </c>
      <c r="B188" s="37" t="inlineStr">
        <is>
          <t>AMD-002045</t>
        </is>
      </c>
      <c r="C188" s="38" t="n">
        <v>46095</v>
      </c>
      <c r="D188" s="37" t="inlineStr">
        <is>
          <t>WL-03265</t>
        </is>
      </c>
      <c r="E188" s="37">
        <f>IFERROR(INDEX(Applicants!$C$2:$C$2911,MATCH(D188,Applicants!$A$2:$A$2911,0))&amp;" "&amp;INDEX(Applicants!$B$2:$B$2911,MATCH(D188,Applicants!$A$2:$A$2911,0)),"")</f>
        <v/>
      </c>
      <c r="F188" s="39" t="n">
        <v>28.3</v>
      </c>
      <c r="G188" s="39" t="n">
        <v>26.6</v>
      </c>
      <c r="H188" s="37" t="inlineStr">
        <is>
          <t>MC-2026-0475</t>
        </is>
      </c>
      <c r="I188" s="37">
        <f>IF(COUNTIF('Cert Docs'!$A$2:$A$3,D188)&gt;0,"YES","NO")</f>
        <v/>
      </c>
      <c r="J188" s="37">
        <f>IF(COUNTIFS('Cert Docs'!$A$2:$A$3,D188,'Cert Docs'!$E$2:$E$3,G188,'Cert Docs'!$H$2:$H$3,"YES",'Cert Docs'!$D$2:$D$3,"&lt;="&amp;C188)&gt;0,"YES","NO")</f>
        <v/>
      </c>
      <c r="K188" s="37">
        <f>COUNTIFS('Skip Audit'!$F$5:$F$313,D188,'Skip Audit'!$E$5:$E$313,"&gt;="&amp;C188)</f>
        <v/>
      </c>
      <c r="M188" s="37">
        <f>IF(J188="YES","Substantiated by supplied signed certificate",IF(I188="YES","Supplied certificate does not match amendment date/value","No signed certificate or yard sheet supplied"))</f>
        <v/>
      </c>
      <c r="N188" s="37" t="inlineStr">
        <is>
          <t>day log 2026-03-14</t>
        </is>
      </c>
      <c r="O188" s="37" t="inlineStr">
        <is>
          <t>HB-COUNTER-2</t>
        </is>
      </c>
    </row>
    <row r="189">
      <c r="A189" s="37">
        <f>IF(J189="YES","OK",IF(K189&gt;0,"Priority 1","Priority 2"))</f>
        <v/>
      </c>
      <c r="B189" s="37" t="inlineStr">
        <is>
          <t>AMD-002077</t>
        </is>
      </c>
      <c r="C189" s="38" t="n">
        <v>46116</v>
      </c>
      <c r="D189" s="37" t="inlineStr">
        <is>
          <t>WL-01342</t>
        </is>
      </c>
      <c r="E189" s="37">
        <f>IFERROR(INDEX(Applicants!$C$2:$C$2911,MATCH(D189,Applicants!$A$2:$A$2911,0))&amp;" "&amp;INDEX(Applicants!$B$2:$B$2911,MATCH(D189,Applicants!$A$2:$A$2911,0)),"")</f>
        <v/>
      </c>
      <c r="F189" s="39" t="n">
        <v>52.9</v>
      </c>
      <c r="G189" s="39" t="n">
        <v>52.8</v>
      </c>
      <c r="H189" s="37" t="inlineStr">
        <is>
          <t>MC-2026-0495</t>
        </is>
      </c>
      <c r="I189" s="37">
        <f>IF(COUNTIF('Cert Docs'!$A$2:$A$3,D189)&gt;0,"YES","NO")</f>
        <v/>
      </c>
      <c r="J189" s="37">
        <f>IF(COUNTIFS('Cert Docs'!$A$2:$A$3,D189,'Cert Docs'!$E$2:$E$3,G189,'Cert Docs'!$H$2:$H$3,"YES",'Cert Docs'!$D$2:$D$3,"&lt;="&amp;C189)&gt;0,"YES","NO")</f>
        <v/>
      </c>
      <c r="K189" s="37">
        <f>COUNTIFS('Skip Audit'!$F$5:$F$313,D189,'Skip Audit'!$E$5:$E$313,"&gt;="&amp;C189)</f>
        <v/>
      </c>
      <c r="M189" s="37">
        <f>IF(J189="YES","Substantiated by supplied signed certificate",IF(I189="YES","Supplied certificate does not match amendment date/value","No signed certificate or yard sheet supplied"))</f>
        <v/>
      </c>
      <c r="N189" s="37" t="inlineStr">
        <is>
          <t>day log 2026-04-04</t>
        </is>
      </c>
      <c r="O189" s="37" t="inlineStr">
        <is>
          <t>HB-COUNTER-2</t>
        </is>
      </c>
    </row>
    <row r="190">
      <c r="A190" s="37">
        <f>IF(J190="YES","OK",IF(K190&gt;0,"Priority 1","Priority 2"))</f>
        <v/>
      </c>
      <c r="B190" s="37" t="inlineStr">
        <is>
          <t>AMD-002078</t>
        </is>
      </c>
      <c r="C190" s="38" t="n">
        <v>46117</v>
      </c>
      <c r="D190" s="37" t="inlineStr">
        <is>
          <t>WL-03368</t>
        </is>
      </c>
      <c r="E190" s="37">
        <f>IFERROR(INDEX(Applicants!$C$2:$C$2911,MATCH(D190,Applicants!$A$2:$A$2911,0))&amp;" "&amp;INDEX(Applicants!$B$2:$B$2911,MATCH(D190,Applicants!$A$2:$A$2911,0)),"")</f>
        <v/>
      </c>
      <c r="F190" s="39" t="n">
        <v>46</v>
      </c>
      <c r="G190" s="39" t="n">
        <v>47.3</v>
      </c>
      <c r="H190" s="37" t="inlineStr">
        <is>
          <t>MC-2026-0328</t>
        </is>
      </c>
      <c r="I190" s="37">
        <f>IF(COUNTIF('Cert Docs'!$A$2:$A$3,D190)&gt;0,"YES","NO")</f>
        <v/>
      </c>
      <c r="J190" s="37">
        <f>IF(COUNTIFS('Cert Docs'!$A$2:$A$3,D190,'Cert Docs'!$E$2:$E$3,G190,'Cert Docs'!$H$2:$H$3,"YES",'Cert Docs'!$D$2:$D$3,"&lt;="&amp;C190)&gt;0,"YES","NO")</f>
        <v/>
      </c>
      <c r="K190" s="37">
        <f>COUNTIFS('Skip Audit'!$F$5:$F$313,D190,'Skip Audit'!$E$5:$E$313,"&gt;="&amp;C190)</f>
        <v/>
      </c>
      <c r="M190" s="37">
        <f>IF(J190="YES","Substantiated by supplied signed certificate",IF(I190="YES","Supplied certificate does not match amendment date/value","No signed certificate or yard sheet supplied"))</f>
        <v/>
      </c>
      <c r="N190" s="37" t="inlineStr">
        <is>
          <t>day log 2026-04-05</t>
        </is>
      </c>
      <c r="O190" s="37" t="inlineStr">
        <is>
          <t>HB-COUNTER-2</t>
        </is>
      </c>
    </row>
    <row r="191">
      <c r="A191" s="37">
        <f>IF(J191="YES","OK",IF(K191&gt;0,"Priority 1","Priority 2"))</f>
        <v/>
      </c>
      <c r="B191" s="37" t="inlineStr">
        <is>
          <t>AMD-002104</t>
        </is>
      </c>
      <c r="C191" s="38" t="n">
        <v>46133</v>
      </c>
      <c r="D191" s="37" t="inlineStr">
        <is>
          <t>WL-01601</t>
        </is>
      </c>
      <c r="E191" s="37">
        <f>IFERROR(INDEX(Applicants!$C$2:$C$2911,MATCH(D191,Applicants!$A$2:$A$2911,0))&amp;" "&amp;INDEX(Applicants!$B$2:$B$2911,MATCH(D191,Applicants!$A$2:$A$2911,0)),"")</f>
        <v/>
      </c>
      <c r="F191" s="39" t="n">
        <v>28</v>
      </c>
      <c r="G191" s="39" t="n">
        <v>30.1</v>
      </c>
      <c r="H191" s="37" t="n">
        <v/>
      </c>
      <c r="I191" s="37">
        <f>IF(COUNTIF('Cert Docs'!$A$2:$A$3,D191)&gt;0,"YES","NO")</f>
        <v/>
      </c>
      <c r="J191" s="37">
        <f>IF(COUNTIFS('Cert Docs'!$A$2:$A$3,D191,'Cert Docs'!$E$2:$E$3,G191,'Cert Docs'!$H$2:$H$3,"YES",'Cert Docs'!$D$2:$D$3,"&lt;="&amp;C191)&gt;0,"YES","NO")</f>
        <v/>
      </c>
      <c r="K191" s="37">
        <f>COUNTIFS('Skip Audit'!$F$5:$F$313,D191,'Skip Audit'!$E$5:$E$313,"&gt;="&amp;C191)</f>
        <v/>
      </c>
      <c r="M191" s="37">
        <f>IF(J191="YES","Substantiated by supplied signed certificate",IF(I191="YES","Supplied certificate does not match amendment date/value","No signed certificate or yard sheet supplied"))</f>
        <v/>
      </c>
      <c r="N191" s="37" t="inlineStr">
        <is>
          <t>day log 2026-04-21</t>
        </is>
      </c>
      <c r="O191" s="37" t="inlineStr">
        <is>
          <t>HB-COUNTER-2</t>
        </is>
      </c>
    </row>
    <row r="192">
      <c r="A192" s="37">
        <f>IF(J192="YES","OK",IF(K192&gt;0,"Priority 1","Priority 2"))</f>
        <v/>
      </c>
      <c r="B192" s="37" t="inlineStr">
        <is>
          <t>AMD-002114</t>
        </is>
      </c>
      <c r="C192" s="38" t="n">
        <v>46143</v>
      </c>
      <c r="D192" s="37" t="inlineStr">
        <is>
          <t>WL-03764</t>
        </is>
      </c>
      <c r="E192" s="37">
        <f>IFERROR(INDEX(Applicants!$C$2:$C$2911,MATCH(D192,Applicants!$A$2:$A$2911,0))&amp;" "&amp;INDEX(Applicants!$B$2:$B$2911,MATCH(D192,Applicants!$A$2:$A$2911,0)),"")</f>
        <v/>
      </c>
      <c r="F192" s="39" t="n">
        <v>47</v>
      </c>
      <c r="G192" s="39" t="n">
        <v>49.4</v>
      </c>
      <c r="H192" s="37" t="inlineStr">
        <is>
          <t>MC-2026-0148</t>
        </is>
      </c>
      <c r="I192" s="37">
        <f>IF(COUNTIF('Cert Docs'!$A$2:$A$3,D192)&gt;0,"YES","NO")</f>
        <v/>
      </c>
      <c r="J192" s="37">
        <f>IF(COUNTIFS('Cert Docs'!$A$2:$A$3,D192,'Cert Docs'!$E$2:$E$3,G192,'Cert Docs'!$H$2:$H$3,"YES",'Cert Docs'!$D$2:$D$3,"&lt;="&amp;C192)&gt;0,"YES","NO")</f>
        <v/>
      </c>
      <c r="K192" s="37">
        <f>COUNTIFS('Skip Audit'!$F$5:$F$313,D192,'Skip Audit'!$E$5:$E$313,"&gt;="&amp;C192)</f>
        <v/>
      </c>
      <c r="M192" s="37">
        <f>IF(J192="YES","Substantiated by supplied signed certificate",IF(I192="YES","Supplied certificate does not match amendment date/value","No signed certificate or yard sheet supplied"))</f>
        <v/>
      </c>
      <c r="N192" s="37" t="inlineStr">
        <is>
          <t>day log 2026-05-01</t>
        </is>
      </c>
      <c r="O192" s="37" t="inlineStr">
        <is>
          <t>HB-COUNTER-2</t>
        </is>
      </c>
    </row>
    <row r="193">
      <c r="A193" s="37">
        <f>IF(J193="YES","OK",IF(K193&gt;0,"Priority 1","Priority 2"))</f>
        <v/>
      </c>
      <c r="B193" s="37" t="inlineStr">
        <is>
          <t>AMD-002125</t>
        </is>
      </c>
      <c r="C193" s="38" t="n">
        <v>46147</v>
      </c>
      <c r="D193" s="37" t="inlineStr">
        <is>
          <t>WL-01438</t>
        </is>
      </c>
      <c r="E193" s="37">
        <f>IFERROR(INDEX(Applicants!$C$2:$C$2911,MATCH(D193,Applicants!$A$2:$A$2911,0))&amp;" "&amp;INDEX(Applicants!$B$2:$B$2911,MATCH(D193,Applicants!$A$2:$A$2911,0)),"")</f>
        <v/>
      </c>
      <c r="F193" s="39" t="n">
        <v>23.9</v>
      </c>
      <c r="G193" s="39" t="n">
        <v>21.8</v>
      </c>
      <c r="H193" s="37" t="inlineStr">
        <is>
          <t>MC-2026-0247</t>
        </is>
      </c>
      <c r="I193" s="37">
        <f>IF(COUNTIF('Cert Docs'!$A$2:$A$3,D193)&gt;0,"YES","NO")</f>
        <v/>
      </c>
      <c r="J193" s="37">
        <f>IF(COUNTIFS('Cert Docs'!$A$2:$A$3,D193,'Cert Docs'!$E$2:$E$3,G193,'Cert Docs'!$H$2:$H$3,"YES",'Cert Docs'!$D$2:$D$3,"&lt;="&amp;C193)&gt;0,"YES","NO")</f>
        <v/>
      </c>
      <c r="K193" s="37">
        <f>COUNTIFS('Skip Audit'!$F$5:$F$313,D193,'Skip Audit'!$E$5:$E$313,"&gt;="&amp;C193)</f>
        <v/>
      </c>
      <c r="M193" s="37">
        <f>IF(J193="YES","Substantiated by supplied signed certificate",IF(I193="YES","Supplied certificate does not match amendment date/value","No signed certificate or yard sheet supplied"))</f>
        <v/>
      </c>
      <c r="N193" s="37" t="inlineStr">
        <is>
          <t>day log 2026-05-05</t>
        </is>
      </c>
      <c r="O193" s="37" t="inlineStr">
        <is>
          <t>HB-COUNTER-2</t>
        </is>
      </c>
    </row>
    <row r="194">
      <c r="A194" s="37">
        <f>IF(J194="YES","OK",IF(K194&gt;0,"Priority 1","Priority 2"))</f>
        <v/>
      </c>
      <c r="B194" s="37" t="inlineStr">
        <is>
          <t>AMD-002138</t>
        </is>
      </c>
      <c r="C194" s="38" t="n">
        <v>46155</v>
      </c>
      <c r="D194" s="37" t="inlineStr">
        <is>
          <t>WL-02868</t>
        </is>
      </c>
      <c r="E194" s="37">
        <f>IFERROR(INDEX(Applicants!$C$2:$C$2911,MATCH(D194,Applicants!$A$2:$A$2911,0))&amp;" "&amp;INDEX(Applicants!$B$2:$B$2911,MATCH(D194,Applicants!$A$2:$A$2911,0)),"")</f>
        <v/>
      </c>
      <c r="F194" s="39" t="n">
        <v>48.4</v>
      </c>
      <c r="G194" s="39" t="n">
        <v>45.8</v>
      </c>
      <c r="H194" s="37" t="inlineStr">
        <is>
          <t>MC-2026-0814</t>
        </is>
      </c>
      <c r="I194" s="37">
        <f>IF(COUNTIF('Cert Docs'!$A$2:$A$3,D194)&gt;0,"YES","NO")</f>
        <v/>
      </c>
      <c r="J194" s="37">
        <f>IF(COUNTIFS('Cert Docs'!$A$2:$A$3,D194,'Cert Docs'!$E$2:$E$3,G194,'Cert Docs'!$H$2:$H$3,"YES",'Cert Docs'!$D$2:$D$3,"&lt;="&amp;C194)&gt;0,"YES","NO")</f>
        <v/>
      </c>
      <c r="K194" s="37">
        <f>COUNTIFS('Skip Audit'!$F$5:$F$313,D194,'Skip Audit'!$E$5:$E$313,"&gt;="&amp;C194)</f>
        <v/>
      </c>
      <c r="M194" s="37">
        <f>IF(J194="YES","Substantiated by supplied signed certificate",IF(I194="YES","Supplied certificate does not match amendment date/value","No signed certificate or yard sheet supplied"))</f>
        <v/>
      </c>
      <c r="N194" s="37" t="inlineStr">
        <is>
          <t>day log 2026-05-13</t>
        </is>
      </c>
      <c r="O194" s="37" t="inlineStr">
        <is>
          <t>HB-COUNTER-2</t>
        </is>
      </c>
    </row>
    <row r="195">
      <c r="A195" s="37">
        <f>IF(J195="YES","OK",IF(K195&gt;0,"Priority 1","Priority 2"))</f>
        <v/>
      </c>
      <c r="B195" s="37" t="inlineStr">
        <is>
          <t>AMD-002143</t>
        </is>
      </c>
      <c r="C195" s="38" t="n">
        <v>46159</v>
      </c>
      <c r="D195" s="37" t="inlineStr">
        <is>
          <t>WL-02332</t>
        </is>
      </c>
      <c r="E195" s="37">
        <f>IFERROR(INDEX(Applicants!$C$2:$C$2911,MATCH(D195,Applicants!$A$2:$A$2911,0))&amp;" "&amp;INDEX(Applicants!$B$2:$B$2911,MATCH(D195,Applicants!$A$2:$A$2911,0)),"")</f>
        <v/>
      </c>
      <c r="F195" s="39" t="n">
        <v>53.1</v>
      </c>
      <c r="G195" s="39" t="n">
        <v>55.6</v>
      </c>
      <c r="H195" s="37" t="inlineStr">
        <is>
          <t>MC-2026-0881</t>
        </is>
      </c>
      <c r="I195" s="37">
        <f>IF(COUNTIF('Cert Docs'!$A$2:$A$3,D195)&gt;0,"YES","NO")</f>
        <v/>
      </c>
      <c r="J195" s="37">
        <f>IF(COUNTIFS('Cert Docs'!$A$2:$A$3,D195,'Cert Docs'!$E$2:$E$3,G195,'Cert Docs'!$H$2:$H$3,"YES",'Cert Docs'!$D$2:$D$3,"&lt;="&amp;C195)&gt;0,"YES","NO")</f>
        <v/>
      </c>
      <c r="K195" s="37">
        <f>COUNTIFS('Skip Audit'!$F$5:$F$313,D195,'Skip Audit'!$E$5:$E$313,"&gt;="&amp;C195)</f>
        <v/>
      </c>
      <c r="M195" s="37">
        <f>IF(J195="YES","Substantiated by supplied signed certificate",IF(I195="YES","Supplied certificate does not match amendment date/value","No signed certificate or yard sheet supplied"))</f>
        <v/>
      </c>
      <c r="N195" s="37" t="inlineStr">
        <is>
          <t>day log 2026-05-17</t>
        </is>
      </c>
      <c r="O195" s="37" t="inlineStr">
        <is>
          <t>HB-COUNTER-2</t>
        </is>
      </c>
    </row>
    <row r="196">
      <c r="A196" s="37">
        <f>IF(J196="YES","OK",IF(K196&gt;0,"Priority 1","Priority 2"))</f>
        <v/>
      </c>
      <c r="B196" s="37" t="inlineStr">
        <is>
          <t>AMD-002148</t>
        </is>
      </c>
      <c r="C196" s="38" t="n">
        <v>46166</v>
      </c>
      <c r="D196" s="37" t="inlineStr">
        <is>
          <t>WL-02874</t>
        </is>
      </c>
      <c r="E196" s="37">
        <f>IFERROR(INDEX(Applicants!$C$2:$C$2911,MATCH(D196,Applicants!$A$2:$A$2911,0))&amp;" "&amp;INDEX(Applicants!$B$2:$B$2911,MATCH(D196,Applicants!$A$2:$A$2911,0)),"")</f>
        <v/>
      </c>
      <c r="F196" s="39" t="n">
        <v>22.7</v>
      </c>
      <c r="G196" s="39" t="n">
        <v>24.3</v>
      </c>
      <c r="H196" s="37" t="inlineStr">
        <is>
          <t>MC-2026-0532</t>
        </is>
      </c>
      <c r="I196" s="37">
        <f>IF(COUNTIF('Cert Docs'!$A$2:$A$3,D196)&gt;0,"YES","NO")</f>
        <v/>
      </c>
      <c r="J196" s="37">
        <f>IF(COUNTIFS('Cert Docs'!$A$2:$A$3,D196,'Cert Docs'!$E$2:$E$3,G196,'Cert Docs'!$H$2:$H$3,"YES",'Cert Docs'!$D$2:$D$3,"&lt;="&amp;C196)&gt;0,"YES","NO")</f>
        <v/>
      </c>
      <c r="K196" s="37">
        <f>COUNTIFS('Skip Audit'!$F$5:$F$313,D196,'Skip Audit'!$E$5:$E$313,"&gt;="&amp;C196)</f>
        <v/>
      </c>
      <c r="M196" s="37">
        <f>IF(J196="YES","Substantiated by supplied signed certificate",IF(I196="YES","Supplied certificate does not match amendment date/value","No signed certificate or yard sheet supplied"))</f>
        <v/>
      </c>
      <c r="N196" s="37" t="inlineStr">
        <is>
          <t>day log 2026-05-24</t>
        </is>
      </c>
      <c r="O196" s="37" t="inlineStr">
        <is>
          <t>HB-COUNTER-2</t>
        </is>
      </c>
    </row>
    <row r="197">
      <c r="A197" s="37">
        <f>IF(J197="YES","OK",IF(K197&gt;0,"Priority 1","Priority 2"))</f>
        <v/>
      </c>
      <c r="B197" s="37" t="inlineStr">
        <is>
          <t>AMD-002150</t>
        </is>
      </c>
      <c r="C197" s="38" t="n">
        <v>46167</v>
      </c>
      <c r="D197" s="37" t="inlineStr">
        <is>
          <t>WL-02829</t>
        </is>
      </c>
      <c r="E197" s="37">
        <f>IFERROR(INDEX(Applicants!$C$2:$C$2911,MATCH(D197,Applicants!$A$2:$A$2911,0))&amp;" "&amp;INDEX(Applicants!$B$2:$B$2911,MATCH(D197,Applicants!$A$2:$A$2911,0)),"")</f>
        <v/>
      </c>
      <c r="F197" s="39" t="n">
        <v>45.6</v>
      </c>
      <c r="G197" s="39" t="n">
        <v>46.7</v>
      </c>
      <c r="H197" s="37" t="inlineStr">
        <is>
          <t>Foldview Marine Services haul-out sheet 2023-09-16</t>
        </is>
      </c>
      <c r="I197" s="37">
        <f>IF(COUNTIF('Cert Docs'!$A$2:$A$3,D197)&gt;0,"YES","NO")</f>
        <v/>
      </c>
      <c r="J197" s="37">
        <f>IF(COUNTIFS('Cert Docs'!$A$2:$A$3,D197,'Cert Docs'!$E$2:$E$3,G197,'Cert Docs'!$H$2:$H$3,"YES",'Cert Docs'!$D$2:$D$3,"&lt;="&amp;C197)&gt;0,"YES","NO")</f>
        <v/>
      </c>
      <c r="K197" s="37">
        <f>COUNTIFS('Skip Audit'!$F$5:$F$313,D197,'Skip Audit'!$E$5:$E$313,"&gt;="&amp;C197)</f>
        <v/>
      </c>
      <c r="M197" s="37">
        <f>IF(J197="YES","Substantiated by supplied signed certificate",IF(I197="YES","Supplied certificate does not match amendment date/value","No signed certificate or yard sheet supplied"))</f>
        <v/>
      </c>
      <c r="N197" s="37" t="inlineStr">
        <is>
          <t>day log 2026-05-25</t>
        </is>
      </c>
      <c r="O197" s="37" t="inlineStr">
        <is>
          <t>HB-COUNTER-2</t>
        </is>
      </c>
    </row>
    <row r="198">
      <c r="A198" s="37">
        <f>IF(J198="YES","OK",IF(K198&gt;0,"Priority 1","Priority 2"))</f>
        <v/>
      </c>
      <c r="B198" s="37" t="inlineStr">
        <is>
          <t>AMD-002154</t>
        </is>
      </c>
      <c r="C198" s="38" t="n">
        <v>46170</v>
      </c>
      <c r="D198" s="37" t="inlineStr">
        <is>
          <t>WL-02807</t>
        </is>
      </c>
      <c r="E198" s="37">
        <f>IFERROR(INDEX(Applicants!$C$2:$C$2911,MATCH(D198,Applicants!$A$2:$A$2911,0))&amp;" "&amp;INDEX(Applicants!$B$2:$B$2911,MATCH(D198,Applicants!$A$2:$A$2911,0)),"")</f>
        <v/>
      </c>
      <c r="F198" s="39" t="n">
        <v>45.6</v>
      </c>
      <c r="G198" s="39" t="n">
        <v>43.7</v>
      </c>
      <c r="H198" s="37" t="inlineStr">
        <is>
          <t>MC-2026-0272</t>
        </is>
      </c>
      <c r="I198" s="37">
        <f>IF(COUNTIF('Cert Docs'!$A$2:$A$3,D198)&gt;0,"YES","NO")</f>
        <v/>
      </c>
      <c r="J198" s="37">
        <f>IF(COUNTIFS('Cert Docs'!$A$2:$A$3,D198,'Cert Docs'!$E$2:$E$3,G198,'Cert Docs'!$H$2:$H$3,"YES",'Cert Docs'!$D$2:$D$3,"&lt;="&amp;C198)&gt;0,"YES","NO")</f>
        <v/>
      </c>
      <c r="K198" s="37">
        <f>COUNTIFS('Skip Audit'!$F$5:$F$313,D198,'Skip Audit'!$E$5:$E$313,"&gt;="&amp;C198)</f>
        <v/>
      </c>
      <c r="M198" s="37">
        <f>IF(J198="YES","Substantiated by supplied signed certificate",IF(I198="YES","Supplied certificate does not match amendment date/value","No signed certificate or yard sheet supplied"))</f>
        <v/>
      </c>
      <c r="N198" s="37" t="inlineStr">
        <is>
          <t>day log 2026-05-28</t>
        </is>
      </c>
      <c r="O198" s="37" t="inlineStr">
        <is>
          <t>HB-COUNTER-2</t>
        </is>
      </c>
    </row>
    <row r="199">
      <c r="A199" s="37">
        <f>IF(J199="YES","OK",IF(K199&gt;0,"Priority 1","Priority 2"))</f>
        <v/>
      </c>
      <c r="B199" s="37" t="inlineStr">
        <is>
          <t>AMD-002169</t>
        </is>
      </c>
      <c r="C199" s="38" t="n">
        <v>46180</v>
      </c>
      <c r="D199" s="37" t="inlineStr">
        <is>
          <t>WL-03472</t>
        </is>
      </c>
      <c r="E199" s="37">
        <f>IFERROR(INDEX(Applicants!$C$2:$C$2911,MATCH(D199,Applicants!$A$2:$A$2911,0))&amp;" "&amp;INDEX(Applicants!$B$2:$B$2911,MATCH(D199,Applicants!$A$2:$A$2911,0)),"")</f>
        <v/>
      </c>
      <c r="F199" s="39" t="n">
        <v>48.2</v>
      </c>
      <c r="G199" s="39" t="n">
        <v>46.8</v>
      </c>
      <c r="H199" s="37" t="inlineStr">
        <is>
          <t>MC-2026-0413</t>
        </is>
      </c>
      <c r="I199" s="37">
        <f>IF(COUNTIF('Cert Docs'!$A$2:$A$3,D199)&gt;0,"YES","NO")</f>
        <v/>
      </c>
      <c r="J199" s="37">
        <f>IF(COUNTIFS('Cert Docs'!$A$2:$A$3,D199,'Cert Docs'!$E$2:$E$3,G199,'Cert Docs'!$H$2:$H$3,"YES",'Cert Docs'!$D$2:$D$3,"&lt;="&amp;C199)&gt;0,"YES","NO")</f>
        <v/>
      </c>
      <c r="K199" s="37">
        <f>COUNTIFS('Skip Audit'!$F$5:$F$313,D199,'Skip Audit'!$E$5:$E$313,"&gt;="&amp;C199)</f>
        <v/>
      </c>
      <c r="M199" s="37">
        <f>IF(J199="YES","Substantiated by supplied signed certificate",IF(I199="YES","Supplied certificate does not match amendment date/value","No signed certificate or yard sheet supplied"))</f>
        <v/>
      </c>
      <c r="N199" s="37" t="inlineStr">
        <is>
          <t>day log 2026-06-07</t>
        </is>
      </c>
      <c r="O199" s="37" t="inlineStr">
        <is>
          <t>HB-COUNTER-2</t>
        </is>
      </c>
    </row>
    <row r="200">
      <c r="A200" s="37">
        <f>IF(J200="YES","OK",IF(K200&gt;0,"Priority 1","Priority 2"))</f>
        <v/>
      </c>
      <c r="B200" s="37" t="inlineStr">
        <is>
          <t>AMD-002182</t>
        </is>
      </c>
      <c r="C200" s="38" t="n">
        <v>46191</v>
      </c>
      <c r="D200" s="37" t="inlineStr">
        <is>
          <t>WL-03878</t>
        </is>
      </c>
      <c r="E200" s="37">
        <f>IFERROR(INDEX(Applicants!$C$2:$C$2911,MATCH(D200,Applicants!$A$2:$A$2911,0))&amp;" "&amp;INDEX(Applicants!$B$2:$B$2911,MATCH(D200,Applicants!$A$2:$A$2911,0)),"")</f>
        <v/>
      </c>
      <c r="F200" s="39" t="n">
        <v>31.4</v>
      </c>
      <c r="G200" s="39" t="n">
        <v>28.5</v>
      </c>
      <c r="H200" s="37" t="inlineStr">
        <is>
          <t>MC-2026-0452</t>
        </is>
      </c>
      <c r="I200" s="37">
        <f>IF(COUNTIF('Cert Docs'!$A$2:$A$3,D200)&gt;0,"YES","NO")</f>
        <v/>
      </c>
      <c r="J200" s="37">
        <f>IF(COUNTIFS('Cert Docs'!$A$2:$A$3,D200,'Cert Docs'!$E$2:$E$3,G200,'Cert Docs'!$H$2:$H$3,"YES",'Cert Docs'!$D$2:$D$3,"&lt;="&amp;C200)&gt;0,"YES","NO")</f>
        <v/>
      </c>
      <c r="K200" s="37">
        <f>COUNTIFS('Skip Audit'!$F$5:$F$313,D200,'Skip Audit'!$E$5:$E$313,"&gt;="&amp;C200)</f>
        <v/>
      </c>
      <c r="M200" s="37">
        <f>IF(J200="YES","Substantiated by supplied signed certificate",IF(I200="YES","Supplied certificate does not match amendment date/value","No signed certificate or yard sheet supplied"))</f>
        <v/>
      </c>
      <c r="N200" s="37" t="inlineStr">
        <is>
          <t>day log 2026-06-18</t>
        </is>
      </c>
      <c r="O200" s="37" t="inlineStr">
        <is>
          <t>HB-COUNTER-2</t>
        </is>
      </c>
    </row>
    <row r="201">
      <c r="A201" s="37">
        <f>IF(J201="YES","OK",IF(K201&gt;0,"Priority 1","Priority 2"))</f>
        <v/>
      </c>
      <c r="B201" s="37" t="inlineStr">
        <is>
          <t>AMD-002200</t>
        </is>
      </c>
      <c r="C201" s="38" t="n">
        <v>46201</v>
      </c>
      <c r="D201" s="37" t="inlineStr">
        <is>
          <t>WL-02118</t>
        </is>
      </c>
      <c r="E201" s="37">
        <f>IFERROR(INDEX(Applicants!$C$2:$C$2911,MATCH(D201,Applicants!$A$2:$A$2911,0))&amp;" "&amp;INDEX(Applicants!$B$2:$B$2911,MATCH(D201,Applicants!$A$2:$A$2911,0)),"")</f>
        <v/>
      </c>
      <c r="F201" s="39" t="n">
        <v>47.6</v>
      </c>
      <c r="G201" s="39" t="n">
        <v>48.8</v>
      </c>
      <c r="H201" s="37" t="inlineStr">
        <is>
          <t>MC-2026-0646</t>
        </is>
      </c>
      <c r="I201" s="37">
        <f>IF(COUNTIF('Cert Docs'!$A$2:$A$3,D201)&gt;0,"YES","NO")</f>
        <v/>
      </c>
      <c r="J201" s="37">
        <f>IF(COUNTIFS('Cert Docs'!$A$2:$A$3,D201,'Cert Docs'!$E$2:$E$3,G201,'Cert Docs'!$H$2:$H$3,"YES",'Cert Docs'!$D$2:$D$3,"&lt;="&amp;C201)&gt;0,"YES","NO")</f>
        <v/>
      </c>
      <c r="K201" s="37">
        <f>COUNTIFS('Skip Audit'!$F$5:$F$313,D201,'Skip Audit'!$E$5:$E$313,"&gt;="&amp;C201)</f>
        <v/>
      </c>
      <c r="M201" s="37">
        <f>IF(J201="YES","Substantiated by supplied signed certificate",IF(I201="YES","Supplied certificate does not match amendment date/value","No signed certificate or yard sheet supplied"))</f>
        <v/>
      </c>
      <c r="N201" s="37" t="inlineStr">
        <is>
          <t>day log 2026-06-28</t>
        </is>
      </c>
      <c r="O201" s="37" t="inlineStr">
        <is>
          <t>HB-COUNTER-2</t>
        </is>
      </c>
    </row>
    <row r="202">
      <c r="A202" s="37">
        <f>IF(J202="YES","OK",IF(K202&gt;0,"Priority 1","Priority 2"))</f>
        <v/>
      </c>
      <c r="B202" s="37" t="inlineStr">
        <is>
          <t>AMD-002203</t>
        </is>
      </c>
      <c r="C202" s="38" t="n">
        <v>46203</v>
      </c>
      <c r="D202" s="37" t="inlineStr">
        <is>
          <t>WL-03088</t>
        </is>
      </c>
      <c r="E202" s="37">
        <f>IFERROR(INDEX(Applicants!$C$2:$C$2911,MATCH(D202,Applicants!$A$2:$A$2911,0))&amp;" "&amp;INDEX(Applicants!$B$2:$B$2911,MATCH(D202,Applicants!$A$2:$A$2911,0)),"")</f>
        <v/>
      </c>
      <c r="F202" s="39" t="n">
        <v>31.5</v>
      </c>
      <c r="G202" s="39" t="n">
        <v>33.6</v>
      </c>
      <c r="H202" s="37" t="n">
        <v/>
      </c>
      <c r="I202" s="37">
        <f>IF(COUNTIF('Cert Docs'!$A$2:$A$3,D202)&gt;0,"YES","NO")</f>
        <v/>
      </c>
      <c r="J202" s="37">
        <f>IF(COUNTIFS('Cert Docs'!$A$2:$A$3,D202,'Cert Docs'!$E$2:$E$3,G202,'Cert Docs'!$H$2:$H$3,"YES",'Cert Docs'!$D$2:$D$3,"&lt;="&amp;C202)&gt;0,"YES","NO")</f>
        <v/>
      </c>
      <c r="K202" s="37">
        <f>COUNTIFS('Skip Audit'!$F$5:$F$313,D202,'Skip Audit'!$E$5:$E$313,"&gt;="&amp;C202)</f>
        <v/>
      </c>
      <c r="M202" s="37">
        <f>IF(J202="YES","Substantiated by supplied signed certificate",IF(I202="YES","Supplied certificate does not match amendment date/value","No signed certificate or yard sheet supplied"))</f>
        <v/>
      </c>
      <c r="N202" s="37" t="inlineStr">
        <is>
          <t>day log 2026-06-30</t>
        </is>
      </c>
      <c r="O202" s="37" t="inlineStr">
        <is>
          <t>HB-COUNTER-2</t>
        </is>
      </c>
    </row>
    <row r="203">
      <c r="A203" s="37">
        <f>IF(J203="YES","OK",IF(K203&gt;0,"Priority 1","Priority 2"))</f>
        <v/>
      </c>
      <c r="B203" s="37" t="inlineStr">
        <is>
          <t>AMD-002206</t>
        </is>
      </c>
      <c r="C203" s="38" t="n">
        <v>46205</v>
      </c>
      <c r="D203" s="37" t="inlineStr">
        <is>
          <t>WL-02573</t>
        </is>
      </c>
      <c r="E203" s="37">
        <f>IFERROR(INDEX(Applicants!$C$2:$C$2911,MATCH(D203,Applicants!$A$2:$A$2911,0))&amp;" "&amp;INDEX(Applicants!$B$2:$B$2911,MATCH(D203,Applicants!$A$2:$A$2911,0)),"")</f>
        <v/>
      </c>
      <c r="F203" s="39" t="n">
        <v>30.2</v>
      </c>
      <c r="G203" s="39" t="n">
        <v>29.2</v>
      </c>
      <c r="H203" s="37" t="inlineStr">
        <is>
          <t>Foldview Marine Services haul-out sheet 2025-04-05</t>
        </is>
      </c>
      <c r="I203" s="37">
        <f>IF(COUNTIF('Cert Docs'!$A$2:$A$3,D203)&gt;0,"YES","NO")</f>
        <v/>
      </c>
      <c r="J203" s="37">
        <f>IF(COUNTIFS('Cert Docs'!$A$2:$A$3,D203,'Cert Docs'!$E$2:$E$3,G203,'Cert Docs'!$H$2:$H$3,"YES",'Cert Docs'!$D$2:$D$3,"&lt;="&amp;C203)&gt;0,"YES","NO")</f>
        <v/>
      </c>
      <c r="K203" s="37">
        <f>COUNTIFS('Skip Audit'!$F$5:$F$313,D203,'Skip Audit'!$E$5:$E$313,"&gt;="&amp;C203)</f>
        <v/>
      </c>
      <c r="M203" s="37">
        <f>IF(J203="YES","Substantiated by supplied signed certificate",IF(I203="YES","Supplied certificate does not match amendment date/value","No signed certificate or yard sheet supplied"))</f>
        <v/>
      </c>
      <c r="N203" s="37" t="inlineStr">
        <is>
          <t>day log 2026-07-02</t>
        </is>
      </c>
      <c r="O203" s="37" t="inlineStr">
        <is>
          <t>HB-COUNTER-2</t>
        </is>
      </c>
    </row>
    <row r="204">
      <c r="A204" s="37">
        <f>IF(J204="YES","OK",IF(K204&gt;0,"Priority 1","Priority 2"))</f>
        <v/>
      </c>
      <c r="B204" s="37" t="inlineStr">
        <is>
          <t>AMD-002228</t>
        </is>
      </c>
      <c r="C204" s="38" t="n">
        <v>46222</v>
      </c>
      <c r="D204" s="37" t="inlineStr">
        <is>
          <t>WL-03808</t>
        </is>
      </c>
      <c r="E204" s="37">
        <f>IFERROR(INDEX(Applicants!$C$2:$C$2911,MATCH(D204,Applicants!$A$2:$A$2911,0))&amp;" "&amp;INDEX(Applicants!$B$2:$B$2911,MATCH(D204,Applicants!$A$2:$A$2911,0)),"")</f>
        <v/>
      </c>
      <c r="F204" s="39" t="n">
        <v>26</v>
      </c>
      <c r="G204" s="39" t="n">
        <v>24.3</v>
      </c>
      <c r="H204" s="37" t="inlineStr">
        <is>
          <t>Foldview Marine Services haul-out sheet 2025-01-04</t>
        </is>
      </c>
      <c r="I204" s="37">
        <f>IF(COUNTIF('Cert Docs'!$A$2:$A$3,D204)&gt;0,"YES","NO")</f>
        <v/>
      </c>
      <c r="J204" s="37">
        <f>IF(COUNTIFS('Cert Docs'!$A$2:$A$3,D204,'Cert Docs'!$E$2:$E$3,G204,'Cert Docs'!$H$2:$H$3,"YES",'Cert Docs'!$D$2:$D$3,"&lt;="&amp;C204)&gt;0,"YES","NO")</f>
        <v/>
      </c>
      <c r="K204" s="37">
        <f>COUNTIFS('Skip Audit'!$F$5:$F$313,D204,'Skip Audit'!$E$5:$E$313,"&gt;="&amp;C204)</f>
        <v/>
      </c>
      <c r="M204" s="37">
        <f>IF(J204="YES","Substantiated by supplied signed certificate",IF(I204="YES","Supplied certificate does not match amendment date/value","No signed certificate or yard sheet supplied"))</f>
        <v/>
      </c>
      <c r="N204" s="37" t="inlineStr">
        <is>
          <t>day log 2026-07-19</t>
        </is>
      </c>
      <c r="O204" s="37" t="inlineStr">
        <is>
          <t>HB-COUNTER-2</t>
        </is>
      </c>
    </row>
  </sheetData>
  <mergeCells count="2">
    <mergeCell ref="A1:O1"/>
    <mergeCell ref="A2:O2"/>
  </mergeCells>
  <conditionalFormatting sqref="A5:A204">
    <cfRule type="cellIs" priority="1" operator="equal" dxfId="0">
      <formula>"Priority 1"</formula>
    </cfRule>
    <cfRule type="cellIs" priority="2" operator="equal" dxfId="1">
      <formula>"Priority 2"</formula>
    </cfRule>
  </conditionalFormatting>
  <pageMargins left="0.25" right="0.25" top="0.35" bottom="0.4" header="0.5" footer="0.5"/>
  <pageSetup orientation="landscape" paperSize="5" fitToHeight="0" fitToWidth="1"/>
  <headerFooter>
    <oddHeader/>
    <oddFooter>&amp;CChaldale Harbor Moorage Audit | August 7, 2026&amp;RPage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0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1" customWidth="1" min="4" max="4"/>
    <col width="13" customWidth="1" min="5" max="5"/>
    <col width="22" customWidth="1" min="6" max="6"/>
    <col width="10" customWidth="1" min="7" max="7"/>
    <col width="11" customWidth="1" min="8" max="8"/>
    <col width="11" customWidth="1" min="9" max="9"/>
    <col width="14" customWidth="1" min="10" max="10"/>
    <col width="16" customWidth="1" min="11" max="11"/>
    <col width="16" customWidth="1" min="12" max="12"/>
    <col width="18" customWidth="1" min="13" max="13"/>
    <col width="12" customWidth="1" min="14" max="14"/>
    <col width="11" customWidth="1" min="15" max="15"/>
    <col width="19" customWidth="1" min="16" max="16"/>
    <col width="38" customWidth="1" min="17" max="17"/>
  </cols>
  <sheetData>
    <row r="1" ht="30" customHeight="1">
      <c r="A1" s="1" t="inlineStr">
        <is>
          <t>August 2026 Occupied-Slip Billing Reconciliation</t>
        </is>
      </c>
    </row>
    <row r="2" ht="28" customHeight="1">
      <c r="A2" s="2" t="inlineStr">
        <is>
          <t>Expected base moorage uses current inventory LOA as the available check-in/system-of-record proxy and MAX(rounded-up LOA, nominal slip length). Actual is the August 1 monthly-moorage amount; tax and electricity are excluded.</t>
        </is>
      </c>
    </row>
    <row r="3"/>
    <row r="4" ht="30" customHeight="1">
      <c r="A4" s="36" t="inlineStr">
        <is>
          <t>Slip ID</t>
        </is>
      </c>
      <c r="B4" s="36" t="inlineStr">
        <is>
          <t>Basin</t>
        </is>
      </c>
      <c r="C4" s="36" t="inlineStr">
        <is>
          <t>Covered/Open</t>
        </is>
      </c>
      <c r="D4" s="36" t="inlineStr">
        <is>
          <t>Status</t>
        </is>
      </c>
      <c r="E4" s="36" t="inlineStr">
        <is>
          <t>Tenant ID</t>
        </is>
      </c>
      <c r="F4" s="36" t="inlineStr">
        <is>
          <t>Tenant Name</t>
        </is>
      </c>
      <c r="G4" s="36" t="inlineStr">
        <is>
          <t>Slip Feet</t>
        </is>
      </c>
      <c r="H4" s="36" t="inlineStr">
        <is>
          <t>Vessel LOA</t>
        </is>
      </c>
      <c r="I4" s="36" t="inlineStr">
        <is>
          <t>Billable Feet</t>
        </is>
      </c>
      <c r="J4" s="36" t="inlineStr">
        <is>
          <t>Rate / Foot-Month</t>
        </is>
      </c>
      <c r="K4" s="36" t="inlineStr">
        <is>
          <t>Expected Base Charge</t>
        </is>
      </c>
      <c r="L4" s="36" t="inlineStr">
        <is>
          <t>Actual Base Charge</t>
        </is>
      </c>
      <c r="M4" s="36" t="inlineStr">
        <is>
          <t>Variance (Actual-Expected)</t>
        </is>
      </c>
      <c r="N4" s="36" t="inlineStr">
        <is>
          <t>Transaction Count</t>
        </is>
      </c>
      <c r="O4" s="36" t="inlineStr">
        <is>
          <t>Billed Feet</t>
        </is>
      </c>
      <c r="P4" s="36" t="inlineStr">
        <is>
          <t>Transaction Arithmetic Variance</t>
        </is>
      </c>
      <c r="Q4" s="36" t="inlineStr">
        <is>
          <t>Status / Finding</t>
        </is>
      </c>
    </row>
    <row r="5">
      <c r="A5" s="37" t="inlineStr">
        <is>
          <t>LP-0101</t>
        </is>
      </c>
      <c r="B5" s="37" t="inlineStr">
        <is>
          <t>Ledgport</t>
        </is>
      </c>
      <c r="C5" s="37" t="inlineStr">
        <is>
          <t>COVERED</t>
        </is>
      </c>
      <c r="D5" s="37" t="inlineStr">
        <is>
          <t>OCCUPIED</t>
        </is>
      </c>
      <c r="E5" s="37" t="inlineStr">
        <is>
          <t>WL-02442</t>
        </is>
      </c>
      <c r="F5" s="37" t="inlineStr">
        <is>
          <t>Elizabeth Burns</t>
        </is>
      </c>
      <c r="G5" s="37" t="n">
        <v>24</v>
      </c>
      <c r="H5" s="39" t="n">
        <v>51</v>
      </c>
      <c r="I5" s="40">
        <f>ROUNDUP(MAX(G5,H5),0)</f>
        <v/>
      </c>
      <c r="J5" s="41">
        <f>IF(C5="COVERED",'Methodology'!$B$9,'Methodology'!$B$10)</f>
        <v/>
      </c>
      <c r="K5" s="41">
        <f>I5*J5</f>
        <v/>
      </c>
      <c r="L5" s="41">
        <f>SUMIFS('Billing Aug'!$J$2:$J$770,'Billing Aug'!$D$2:$D$770,A5)</f>
        <v/>
      </c>
      <c r="M5" s="41">
        <f>L5-K5</f>
        <v/>
      </c>
      <c r="N5" s="37">
        <f>COUNTIF('Billing Aug'!$D$2:$D$770,A5)</f>
        <v/>
      </c>
      <c r="O5" s="37">
        <f>SUMIFS('Billing Aug'!$F$2:$F$770,'Billing Aug'!$D$2:$D$770,A5)</f>
        <v/>
      </c>
      <c r="P5" s="41">
        <f>IF(N5=0,0,L5-SUMIFS('Billing Aug'!$H$2:$H$770,'Billing Aug'!$D$2:$D$770,A5)*SUMIFS('Billing Aug'!$I$2:$I$770,'Billing Aug'!$D$2:$D$770,A5))</f>
        <v/>
      </c>
      <c r="Q5" s="37">
        <f>IF(N5=0,"NO AUG TRANSACTION IN SUPPLIED EXTRACT",IF(ABS(P5)&gt;0.004,"SUBLEDGER ARITHMETIC ERROR",IF(ABS(M5)&gt;0.004,"BILLING VARIANCE","MATCH")))</f>
        <v/>
      </c>
    </row>
    <row r="6">
      <c r="A6" s="37" t="inlineStr">
        <is>
          <t>LP-0102</t>
        </is>
      </c>
      <c r="B6" s="37" t="inlineStr">
        <is>
          <t>Ledgport</t>
        </is>
      </c>
      <c r="C6" s="37" t="inlineStr">
        <is>
          <t>COVERED</t>
        </is>
      </c>
      <c r="D6" s="37" t="inlineStr">
        <is>
          <t>OCCUPIED</t>
        </is>
      </c>
      <c r="E6" s="37" t="inlineStr">
        <is>
          <t>WL-02413</t>
        </is>
      </c>
      <c r="F6" s="37" t="inlineStr">
        <is>
          <t>Damon Phillips</t>
        </is>
      </c>
      <c r="G6" s="37" t="n">
        <v>40</v>
      </c>
      <c r="H6" s="39" t="n">
        <v>21.9</v>
      </c>
      <c r="I6" s="40">
        <f>ROUNDUP(MAX(G6,H6),0)</f>
        <v/>
      </c>
      <c r="J6" s="41">
        <f>IF(C6="COVERED",'Methodology'!$B$9,'Methodology'!$B$10)</f>
        <v/>
      </c>
      <c r="K6" s="41">
        <f>I6*J6</f>
        <v/>
      </c>
      <c r="L6" s="41">
        <f>SUMIFS('Billing Aug'!$J$2:$J$770,'Billing Aug'!$D$2:$D$770,A6)</f>
        <v/>
      </c>
      <c r="M6" s="41">
        <f>L6-K6</f>
        <v/>
      </c>
      <c r="N6" s="37">
        <f>COUNTIF('Billing Aug'!$D$2:$D$770,A6)</f>
        <v/>
      </c>
      <c r="O6" s="37">
        <f>SUMIFS('Billing Aug'!$F$2:$F$770,'Billing Aug'!$D$2:$D$770,A6)</f>
        <v/>
      </c>
      <c r="P6" s="41">
        <f>IF(N6=0,0,L6-SUMIFS('Billing Aug'!$H$2:$H$770,'Billing Aug'!$D$2:$D$770,A6)*SUMIFS('Billing Aug'!$I$2:$I$770,'Billing Aug'!$D$2:$D$770,A6))</f>
        <v/>
      </c>
      <c r="Q6" s="37">
        <f>IF(N6=0,"NO AUG TRANSACTION IN SUPPLIED EXTRACT",IF(ABS(P6)&gt;0.004,"SUBLEDGER ARITHMETIC ERROR",IF(ABS(M6)&gt;0.004,"BILLING VARIANCE","MATCH")))</f>
        <v/>
      </c>
    </row>
    <row r="7">
      <c r="A7" s="37" t="inlineStr">
        <is>
          <t>LP-0103</t>
        </is>
      </c>
      <c r="B7" s="37" t="inlineStr">
        <is>
          <t>Ledgport</t>
        </is>
      </c>
      <c r="C7" s="37" t="inlineStr">
        <is>
          <t>COVERED</t>
        </is>
      </c>
      <c r="D7" s="37" t="inlineStr">
        <is>
          <t>OCCUPIED</t>
        </is>
      </c>
      <c r="E7" s="37" t="inlineStr">
        <is>
          <t>WL-01449</t>
        </is>
      </c>
      <c r="F7" s="37" t="inlineStr">
        <is>
          <t>Charles Hudson</t>
        </is>
      </c>
      <c r="G7" s="37" t="n">
        <v>28</v>
      </c>
      <c r="H7" s="39" t="n">
        <v>32.7</v>
      </c>
      <c r="I7" s="40">
        <f>ROUNDUP(MAX(G7,H7),0)</f>
        <v/>
      </c>
      <c r="J7" s="41">
        <f>IF(C7="COVERED",'Methodology'!$B$9,'Methodology'!$B$10)</f>
        <v/>
      </c>
      <c r="K7" s="41">
        <f>I7*J7</f>
        <v/>
      </c>
      <c r="L7" s="41">
        <f>SUMIFS('Billing Aug'!$J$2:$J$770,'Billing Aug'!$D$2:$D$770,A7)</f>
        <v/>
      </c>
      <c r="M7" s="41">
        <f>L7-K7</f>
        <v/>
      </c>
      <c r="N7" s="37">
        <f>COUNTIF('Billing Aug'!$D$2:$D$770,A7)</f>
        <v/>
      </c>
      <c r="O7" s="37">
        <f>SUMIFS('Billing Aug'!$F$2:$F$770,'Billing Aug'!$D$2:$D$770,A7)</f>
        <v/>
      </c>
      <c r="P7" s="41">
        <f>IF(N7=0,0,L7-SUMIFS('Billing Aug'!$H$2:$H$770,'Billing Aug'!$D$2:$D$770,A7)*SUMIFS('Billing Aug'!$I$2:$I$770,'Billing Aug'!$D$2:$D$770,A7))</f>
        <v/>
      </c>
      <c r="Q7" s="37">
        <f>IF(N7=0,"NO AUG TRANSACTION IN SUPPLIED EXTRACT",IF(ABS(P7)&gt;0.004,"SUBLEDGER ARITHMETIC ERROR",IF(ABS(M7)&gt;0.004,"BILLING VARIANCE","MATCH")))</f>
        <v/>
      </c>
    </row>
    <row r="8">
      <c r="A8" s="37" t="inlineStr">
        <is>
          <t>LP-0104</t>
        </is>
      </c>
      <c r="B8" s="37" t="inlineStr">
        <is>
          <t>Ledgport</t>
        </is>
      </c>
      <c r="C8" s="37" t="inlineStr">
        <is>
          <t>COVERED</t>
        </is>
      </c>
      <c r="D8" s="37" t="inlineStr">
        <is>
          <t>OCCUPIED</t>
        </is>
      </c>
      <c r="E8" s="37" t="inlineStr">
        <is>
          <t>WL-03625</t>
        </is>
      </c>
      <c r="F8" s="37" t="inlineStr">
        <is>
          <t>Vincent Johnson</t>
        </is>
      </c>
      <c r="G8" s="37" t="n">
        <v>24</v>
      </c>
      <c r="H8" s="39" t="n">
        <v>42.8</v>
      </c>
      <c r="I8" s="40">
        <f>ROUNDUP(MAX(G8,H8),0)</f>
        <v/>
      </c>
      <c r="J8" s="41">
        <f>IF(C8="COVERED",'Methodology'!$B$9,'Methodology'!$B$10)</f>
        <v/>
      </c>
      <c r="K8" s="41">
        <f>I8*J8</f>
        <v/>
      </c>
      <c r="L8" s="41">
        <f>SUMIFS('Billing Aug'!$J$2:$J$770,'Billing Aug'!$D$2:$D$770,A8)</f>
        <v/>
      </c>
      <c r="M8" s="41">
        <f>L8-K8</f>
        <v/>
      </c>
      <c r="N8" s="37">
        <f>COUNTIF('Billing Aug'!$D$2:$D$770,A8)</f>
        <v/>
      </c>
      <c r="O8" s="37">
        <f>SUMIFS('Billing Aug'!$F$2:$F$770,'Billing Aug'!$D$2:$D$770,A8)</f>
        <v/>
      </c>
      <c r="P8" s="41">
        <f>IF(N8=0,0,L8-SUMIFS('Billing Aug'!$H$2:$H$770,'Billing Aug'!$D$2:$D$770,A8)*SUMIFS('Billing Aug'!$I$2:$I$770,'Billing Aug'!$D$2:$D$770,A8))</f>
        <v/>
      </c>
      <c r="Q8" s="37">
        <f>IF(N8=0,"NO AUG TRANSACTION IN SUPPLIED EXTRACT",IF(ABS(P8)&gt;0.004,"SUBLEDGER ARITHMETIC ERROR",IF(ABS(M8)&gt;0.004,"BILLING VARIANCE","MATCH")))</f>
        <v/>
      </c>
    </row>
    <row r="9">
      <c r="A9" s="37" t="inlineStr">
        <is>
          <t>LP-0105</t>
        </is>
      </c>
      <c r="B9" s="37" t="inlineStr">
        <is>
          <t>Ledgport</t>
        </is>
      </c>
      <c r="C9" s="37" t="inlineStr">
        <is>
          <t>COVERED</t>
        </is>
      </c>
      <c r="D9" s="37" t="inlineStr">
        <is>
          <t>OCCUPIED</t>
        </is>
      </c>
      <c r="E9" s="37" t="inlineStr">
        <is>
          <t>WL-03876</t>
        </is>
      </c>
      <c r="F9" s="37" t="inlineStr">
        <is>
          <t>John Heath</t>
        </is>
      </c>
      <c r="G9" s="37" t="n">
        <v>36</v>
      </c>
      <c r="H9" s="39" t="n">
        <v>39</v>
      </c>
      <c r="I9" s="40">
        <f>ROUNDUP(MAX(G9,H9),0)</f>
        <v/>
      </c>
      <c r="J9" s="41">
        <f>IF(C9="COVERED",'Methodology'!$B$9,'Methodology'!$B$10)</f>
        <v/>
      </c>
      <c r="K9" s="41">
        <f>I9*J9</f>
        <v/>
      </c>
      <c r="L9" s="41">
        <f>SUMIFS('Billing Aug'!$J$2:$J$770,'Billing Aug'!$D$2:$D$770,A9)</f>
        <v/>
      </c>
      <c r="M9" s="41">
        <f>L9-K9</f>
        <v/>
      </c>
      <c r="N9" s="37">
        <f>COUNTIF('Billing Aug'!$D$2:$D$770,A9)</f>
        <v/>
      </c>
      <c r="O9" s="37">
        <f>SUMIFS('Billing Aug'!$F$2:$F$770,'Billing Aug'!$D$2:$D$770,A9)</f>
        <v/>
      </c>
      <c r="P9" s="41">
        <f>IF(N9=0,0,L9-SUMIFS('Billing Aug'!$H$2:$H$770,'Billing Aug'!$D$2:$D$770,A9)*SUMIFS('Billing Aug'!$I$2:$I$770,'Billing Aug'!$D$2:$D$770,A9))</f>
        <v/>
      </c>
      <c r="Q9" s="37">
        <f>IF(N9=0,"NO AUG TRANSACTION IN SUPPLIED EXTRACT",IF(ABS(P9)&gt;0.004,"SUBLEDGER ARITHMETIC ERROR",IF(ABS(M9)&gt;0.004,"BILLING VARIANCE","MATCH")))</f>
        <v/>
      </c>
    </row>
    <row r="10">
      <c r="A10" s="37" t="inlineStr">
        <is>
          <t>LP-0106</t>
        </is>
      </c>
      <c r="B10" s="37" t="inlineStr">
        <is>
          <t>Ledgport</t>
        </is>
      </c>
      <c r="C10" s="37" t="inlineStr">
        <is>
          <t>COVERED</t>
        </is>
      </c>
      <c r="D10" s="37" t="inlineStr">
        <is>
          <t>OCCUPIED</t>
        </is>
      </c>
      <c r="E10" s="37" t="inlineStr">
        <is>
          <t>WL-02316</t>
        </is>
      </c>
      <c r="F10" s="37" t="inlineStr">
        <is>
          <t>Cheryl Elliott</t>
        </is>
      </c>
      <c r="G10" s="37" t="n">
        <v>24</v>
      </c>
      <c r="H10" s="39" t="n">
        <v>39</v>
      </c>
      <c r="I10" s="40">
        <f>ROUNDUP(MAX(G10,H10),0)</f>
        <v/>
      </c>
      <c r="J10" s="41">
        <f>IF(C10="COVERED",'Methodology'!$B$9,'Methodology'!$B$10)</f>
        <v/>
      </c>
      <c r="K10" s="41">
        <f>I10*J10</f>
        <v/>
      </c>
      <c r="L10" s="41">
        <f>SUMIFS('Billing Aug'!$J$2:$J$770,'Billing Aug'!$D$2:$D$770,A10)</f>
        <v/>
      </c>
      <c r="M10" s="41">
        <f>L10-K10</f>
        <v/>
      </c>
      <c r="N10" s="37">
        <f>COUNTIF('Billing Aug'!$D$2:$D$770,A10)</f>
        <v/>
      </c>
      <c r="O10" s="37">
        <f>SUMIFS('Billing Aug'!$F$2:$F$770,'Billing Aug'!$D$2:$D$770,A10)</f>
        <v/>
      </c>
      <c r="P10" s="41">
        <f>IF(N10=0,0,L10-SUMIFS('Billing Aug'!$H$2:$H$770,'Billing Aug'!$D$2:$D$770,A10)*SUMIFS('Billing Aug'!$I$2:$I$770,'Billing Aug'!$D$2:$D$770,A10))</f>
        <v/>
      </c>
      <c r="Q10" s="37">
        <f>IF(N10=0,"NO AUG TRANSACTION IN SUPPLIED EXTRACT",IF(ABS(P10)&gt;0.004,"SUBLEDGER ARITHMETIC ERROR",IF(ABS(M10)&gt;0.004,"BILLING VARIANCE","MATCH")))</f>
        <v/>
      </c>
    </row>
    <row r="11">
      <c r="A11" s="37" t="inlineStr">
        <is>
          <t>LP-0107</t>
        </is>
      </c>
      <c r="B11" s="37" t="inlineStr">
        <is>
          <t>Ledgport</t>
        </is>
      </c>
      <c r="C11" s="37" t="inlineStr">
        <is>
          <t>COVERED</t>
        </is>
      </c>
      <c r="D11" s="37" t="inlineStr">
        <is>
          <t>OCCUPIED</t>
        </is>
      </c>
      <c r="E11" s="37" t="inlineStr">
        <is>
          <t>WL-02607</t>
        </is>
      </c>
      <c r="F11" s="37" t="inlineStr">
        <is>
          <t>Sean Charles</t>
        </is>
      </c>
      <c r="G11" s="37" t="n">
        <v>24</v>
      </c>
      <c r="H11" s="39" t="n">
        <v>30.4</v>
      </c>
      <c r="I11" s="40">
        <f>ROUNDUP(MAX(G11,H11),0)</f>
        <v/>
      </c>
      <c r="J11" s="41">
        <f>IF(C11="COVERED",'Methodology'!$B$9,'Methodology'!$B$10)</f>
        <v/>
      </c>
      <c r="K11" s="41">
        <f>I11*J11</f>
        <v/>
      </c>
      <c r="L11" s="41">
        <f>SUMIFS('Billing Aug'!$J$2:$J$770,'Billing Aug'!$D$2:$D$770,A11)</f>
        <v/>
      </c>
      <c r="M11" s="41">
        <f>L11-K11</f>
        <v/>
      </c>
      <c r="N11" s="37">
        <f>COUNTIF('Billing Aug'!$D$2:$D$770,A11)</f>
        <v/>
      </c>
      <c r="O11" s="37">
        <f>SUMIFS('Billing Aug'!$F$2:$F$770,'Billing Aug'!$D$2:$D$770,A11)</f>
        <v/>
      </c>
      <c r="P11" s="41">
        <f>IF(N11=0,0,L11-SUMIFS('Billing Aug'!$H$2:$H$770,'Billing Aug'!$D$2:$D$770,A11)*SUMIFS('Billing Aug'!$I$2:$I$770,'Billing Aug'!$D$2:$D$770,A11))</f>
        <v/>
      </c>
      <c r="Q11" s="37">
        <f>IF(N11=0,"NO AUG TRANSACTION IN SUPPLIED EXTRACT",IF(ABS(P11)&gt;0.004,"SUBLEDGER ARITHMETIC ERROR",IF(ABS(M11)&gt;0.004,"BILLING VARIANCE","MATCH")))</f>
        <v/>
      </c>
    </row>
    <row r="12">
      <c r="A12" s="37" t="inlineStr">
        <is>
          <t>LP-0108</t>
        </is>
      </c>
      <c r="B12" s="37" t="inlineStr">
        <is>
          <t>Ledgport</t>
        </is>
      </c>
      <c r="C12" s="37" t="inlineStr">
        <is>
          <t>COVERED</t>
        </is>
      </c>
      <c r="D12" s="37" t="inlineStr">
        <is>
          <t>OCCUPIED</t>
        </is>
      </c>
      <c r="E12" s="37" t="inlineStr">
        <is>
          <t>WL-01567</t>
        </is>
      </c>
      <c r="F12" s="37" t="inlineStr">
        <is>
          <t>Alan Thomas</t>
        </is>
      </c>
      <c r="G12" s="37" t="n">
        <v>32</v>
      </c>
      <c r="H12" s="39" t="n">
        <v>23.4</v>
      </c>
      <c r="I12" s="40">
        <f>ROUNDUP(MAX(G12,H12),0)</f>
        <v/>
      </c>
      <c r="J12" s="41">
        <f>IF(C12="COVERED",'Methodology'!$B$9,'Methodology'!$B$10)</f>
        <v/>
      </c>
      <c r="K12" s="41">
        <f>I12*J12</f>
        <v/>
      </c>
      <c r="L12" s="41">
        <f>SUMIFS('Billing Aug'!$J$2:$J$770,'Billing Aug'!$D$2:$D$770,A12)</f>
        <v/>
      </c>
      <c r="M12" s="41">
        <f>L12-K12</f>
        <v/>
      </c>
      <c r="N12" s="37">
        <f>COUNTIF('Billing Aug'!$D$2:$D$770,A12)</f>
        <v/>
      </c>
      <c r="O12" s="37">
        <f>SUMIFS('Billing Aug'!$F$2:$F$770,'Billing Aug'!$D$2:$D$770,A12)</f>
        <v/>
      </c>
      <c r="P12" s="41">
        <f>IF(N12=0,0,L12-SUMIFS('Billing Aug'!$H$2:$H$770,'Billing Aug'!$D$2:$D$770,A12)*SUMIFS('Billing Aug'!$I$2:$I$770,'Billing Aug'!$D$2:$D$770,A12))</f>
        <v/>
      </c>
      <c r="Q12" s="37">
        <f>IF(N12=0,"NO AUG TRANSACTION IN SUPPLIED EXTRACT",IF(ABS(P12)&gt;0.004,"SUBLEDGER ARITHMETIC ERROR",IF(ABS(M12)&gt;0.004,"BILLING VARIANCE","MATCH")))</f>
        <v/>
      </c>
    </row>
    <row r="13">
      <c r="A13" s="37" t="inlineStr">
        <is>
          <t>LP-0109</t>
        </is>
      </c>
      <c r="B13" s="37" t="inlineStr">
        <is>
          <t>Ledgport</t>
        </is>
      </c>
      <c r="C13" s="37" t="inlineStr">
        <is>
          <t>COVERED</t>
        </is>
      </c>
      <c r="D13" s="37" t="inlineStr">
        <is>
          <t>OCCUPIED</t>
        </is>
      </c>
      <c r="E13" s="37" t="inlineStr">
        <is>
          <t>WL-02768</t>
        </is>
      </c>
      <c r="F13" s="37" t="inlineStr">
        <is>
          <t>Sandra Sweeney</t>
        </is>
      </c>
      <c r="G13" s="37" t="n">
        <v>32</v>
      </c>
      <c r="H13" s="39" t="n">
        <v>20.8</v>
      </c>
      <c r="I13" s="40">
        <f>ROUNDUP(MAX(G13,H13),0)</f>
        <v/>
      </c>
      <c r="J13" s="41">
        <f>IF(C13="COVERED",'Methodology'!$B$9,'Methodology'!$B$10)</f>
        <v/>
      </c>
      <c r="K13" s="41">
        <f>I13*J13</f>
        <v/>
      </c>
      <c r="L13" s="41">
        <f>SUMIFS('Billing Aug'!$J$2:$J$770,'Billing Aug'!$D$2:$D$770,A13)</f>
        <v/>
      </c>
      <c r="M13" s="41">
        <f>L13-K13</f>
        <v/>
      </c>
      <c r="N13" s="37">
        <f>COUNTIF('Billing Aug'!$D$2:$D$770,A13)</f>
        <v/>
      </c>
      <c r="O13" s="37">
        <f>SUMIFS('Billing Aug'!$F$2:$F$770,'Billing Aug'!$D$2:$D$770,A13)</f>
        <v/>
      </c>
      <c r="P13" s="41">
        <f>IF(N13=0,0,L13-SUMIFS('Billing Aug'!$H$2:$H$770,'Billing Aug'!$D$2:$D$770,A13)*SUMIFS('Billing Aug'!$I$2:$I$770,'Billing Aug'!$D$2:$D$770,A13))</f>
        <v/>
      </c>
      <c r="Q13" s="37">
        <f>IF(N13=0,"NO AUG TRANSACTION IN SUPPLIED EXTRACT",IF(ABS(P13)&gt;0.004,"SUBLEDGER ARITHMETIC ERROR",IF(ABS(M13)&gt;0.004,"BILLING VARIANCE","MATCH")))</f>
        <v/>
      </c>
    </row>
    <row r="14">
      <c r="A14" s="37" t="inlineStr">
        <is>
          <t>LP-0110</t>
        </is>
      </c>
      <c r="B14" s="37" t="inlineStr">
        <is>
          <t>Ledgport</t>
        </is>
      </c>
      <c r="C14" s="37" t="inlineStr">
        <is>
          <t>COVERED</t>
        </is>
      </c>
      <c r="D14" s="37" t="inlineStr">
        <is>
          <t>OCCUPIED</t>
        </is>
      </c>
      <c r="E14" s="37" t="inlineStr">
        <is>
          <t>WL-03140</t>
        </is>
      </c>
      <c r="F14" s="37" t="inlineStr">
        <is>
          <t>Jason Martinez</t>
        </is>
      </c>
      <c r="G14" s="37" t="n">
        <v>28</v>
      </c>
      <c r="H14" s="39" t="n">
        <v>26</v>
      </c>
      <c r="I14" s="40">
        <f>ROUNDUP(MAX(G14,H14),0)</f>
        <v/>
      </c>
      <c r="J14" s="41">
        <f>IF(C14="COVERED",'Methodology'!$B$9,'Methodology'!$B$10)</f>
        <v/>
      </c>
      <c r="K14" s="41">
        <f>I14*J14</f>
        <v/>
      </c>
      <c r="L14" s="41">
        <f>SUMIFS('Billing Aug'!$J$2:$J$770,'Billing Aug'!$D$2:$D$770,A14)</f>
        <v/>
      </c>
      <c r="M14" s="41">
        <f>L14-K14</f>
        <v/>
      </c>
      <c r="N14" s="37">
        <f>COUNTIF('Billing Aug'!$D$2:$D$770,A14)</f>
        <v/>
      </c>
      <c r="O14" s="37">
        <f>SUMIFS('Billing Aug'!$F$2:$F$770,'Billing Aug'!$D$2:$D$770,A14)</f>
        <v/>
      </c>
      <c r="P14" s="41">
        <f>IF(N14=0,0,L14-SUMIFS('Billing Aug'!$H$2:$H$770,'Billing Aug'!$D$2:$D$770,A14)*SUMIFS('Billing Aug'!$I$2:$I$770,'Billing Aug'!$D$2:$D$770,A14))</f>
        <v/>
      </c>
      <c r="Q14" s="37">
        <f>IF(N14=0,"NO AUG TRANSACTION IN SUPPLIED EXTRACT",IF(ABS(P14)&gt;0.004,"SUBLEDGER ARITHMETIC ERROR",IF(ABS(M14)&gt;0.004,"BILLING VARIANCE","MATCH")))</f>
        <v/>
      </c>
    </row>
    <row r="15">
      <c r="A15" s="37" t="inlineStr">
        <is>
          <t>LP-0111</t>
        </is>
      </c>
      <c r="B15" s="37" t="inlineStr">
        <is>
          <t>Ledgport</t>
        </is>
      </c>
      <c r="C15" s="37" t="inlineStr">
        <is>
          <t>COVERED</t>
        </is>
      </c>
      <c r="D15" s="37" t="inlineStr">
        <is>
          <t>OCCUPIED</t>
        </is>
      </c>
      <c r="E15" s="37" t="inlineStr">
        <is>
          <t>WL-03621</t>
        </is>
      </c>
      <c r="F15" s="37" t="inlineStr">
        <is>
          <t>Denise Powers</t>
        </is>
      </c>
      <c r="G15" s="37" t="n">
        <v>40</v>
      </c>
      <c r="H15" s="39" t="n">
        <v>53.5</v>
      </c>
      <c r="I15" s="40">
        <f>ROUNDUP(MAX(G15,H15),0)</f>
        <v/>
      </c>
      <c r="J15" s="41">
        <f>IF(C15="COVERED",'Methodology'!$B$9,'Methodology'!$B$10)</f>
        <v/>
      </c>
      <c r="K15" s="41">
        <f>I15*J15</f>
        <v/>
      </c>
      <c r="L15" s="41">
        <f>SUMIFS('Billing Aug'!$J$2:$J$770,'Billing Aug'!$D$2:$D$770,A15)</f>
        <v/>
      </c>
      <c r="M15" s="41">
        <f>L15-K15</f>
        <v/>
      </c>
      <c r="N15" s="37">
        <f>COUNTIF('Billing Aug'!$D$2:$D$770,A15)</f>
        <v/>
      </c>
      <c r="O15" s="37">
        <f>SUMIFS('Billing Aug'!$F$2:$F$770,'Billing Aug'!$D$2:$D$770,A15)</f>
        <v/>
      </c>
      <c r="P15" s="41">
        <f>IF(N15=0,0,L15-SUMIFS('Billing Aug'!$H$2:$H$770,'Billing Aug'!$D$2:$D$770,A15)*SUMIFS('Billing Aug'!$I$2:$I$770,'Billing Aug'!$D$2:$D$770,A15))</f>
        <v/>
      </c>
      <c r="Q15" s="37">
        <f>IF(N15=0,"NO AUG TRANSACTION IN SUPPLIED EXTRACT",IF(ABS(P15)&gt;0.004,"SUBLEDGER ARITHMETIC ERROR",IF(ABS(M15)&gt;0.004,"BILLING VARIANCE","MATCH")))</f>
        <v/>
      </c>
    </row>
    <row r="16">
      <c r="A16" s="37" t="inlineStr">
        <is>
          <t>LP-0113</t>
        </is>
      </c>
      <c r="B16" s="37" t="inlineStr">
        <is>
          <t>Ledgport</t>
        </is>
      </c>
      <c r="C16" s="37" t="inlineStr">
        <is>
          <t>COVERED</t>
        </is>
      </c>
      <c r="D16" s="37" t="inlineStr">
        <is>
          <t>OCCUPIED</t>
        </is>
      </c>
      <c r="E16" s="37" t="inlineStr">
        <is>
          <t>WL-02762</t>
        </is>
      </c>
      <c r="F16" s="37" t="inlineStr">
        <is>
          <t>Elizabeth Williams</t>
        </is>
      </c>
      <c r="G16" s="37" t="n">
        <v>36</v>
      </c>
      <c r="H16" s="39" t="n">
        <v>26</v>
      </c>
      <c r="I16" s="40">
        <f>ROUNDUP(MAX(G16,H16),0)</f>
        <v/>
      </c>
      <c r="J16" s="41">
        <f>IF(C16="COVERED",'Methodology'!$B$9,'Methodology'!$B$10)</f>
        <v/>
      </c>
      <c r="K16" s="41">
        <f>I16*J16</f>
        <v/>
      </c>
      <c r="L16" s="41">
        <f>SUMIFS('Billing Aug'!$J$2:$J$770,'Billing Aug'!$D$2:$D$770,A16)</f>
        <v/>
      </c>
      <c r="M16" s="41">
        <f>L16-K16</f>
        <v/>
      </c>
      <c r="N16" s="37">
        <f>COUNTIF('Billing Aug'!$D$2:$D$770,A16)</f>
        <v/>
      </c>
      <c r="O16" s="37">
        <f>SUMIFS('Billing Aug'!$F$2:$F$770,'Billing Aug'!$D$2:$D$770,A16)</f>
        <v/>
      </c>
      <c r="P16" s="41">
        <f>IF(N16=0,0,L16-SUMIFS('Billing Aug'!$H$2:$H$770,'Billing Aug'!$D$2:$D$770,A16)*SUMIFS('Billing Aug'!$I$2:$I$770,'Billing Aug'!$D$2:$D$770,A16))</f>
        <v/>
      </c>
      <c r="Q16" s="37">
        <f>IF(N16=0,"NO AUG TRANSACTION IN SUPPLIED EXTRACT",IF(ABS(P16)&gt;0.004,"SUBLEDGER ARITHMETIC ERROR",IF(ABS(M16)&gt;0.004,"BILLING VARIANCE","MATCH")))</f>
        <v/>
      </c>
    </row>
    <row r="17">
      <c r="A17" s="37" t="inlineStr">
        <is>
          <t>LP-0114</t>
        </is>
      </c>
      <c r="B17" s="37" t="inlineStr">
        <is>
          <t>Ledgport</t>
        </is>
      </c>
      <c r="C17" s="37" t="inlineStr">
        <is>
          <t>COVERED</t>
        </is>
      </c>
      <c r="D17" s="37" t="inlineStr">
        <is>
          <t>OCCUPIED</t>
        </is>
      </c>
      <c r="E17" s="37" t="inlineStr">
        <is>
          <t>WL-02237</t>
        </is>
      </c>
      <c r="F17" s="37" t="inlineStr">
        <is>
          <t>William Powell</t>
        </is>
      </c>
      <c r="G17" s="37" t="n">
        <v>24</v>
      </c>
      <c r="H17" s="39" t="n">
        <v>28.2</v>
      </c>
      <c r="I17" s="40">
        <f>ROUNDUP(MAX(G17,H17),0)</f>
        <v/>
      </c>
      <c r="J17" s="41">
        <f>IF(C17="COVERED",'Methodology'!$B$9,'Methodology'!$B$10)</f>
        <v/>
      </c>
      <c r="K17" s="41">
        <f>I17*J17</f>
        <v/>
      </c>
      <c r="L17" s="41">
        <f>SUMIFS('Billing Aug'!$J$2:$J$770,'Billing Aug'!$D$2:$D$770,A17)</f>
        <v/>
      </c>
      <c r="M17" s="41">
        <f>L17-K17</f>
        <v/>
      </c>
      <c r="N17" s="37">
        <f>COUNTIF('Billing Aug'!$D$2:$D$770,A17)</f>
        <v/>
      </c>
      <c r="O17" s="37">
        <f>SUMIFS('Billing Aug'!$F$2:$F$770,'Billing Aug'!$D$2:$D$770,A17)</f>
        <v/>
      </c>
      <c r="P17" s="41">
        <f>IF(N17=0,0,L17-SUMIFS('Billing Aug'!$H$2:$H$770,'Billing Aug'!$D$2:$D$770,A17)*SUMIFS('Billing Aug'!$I$2:$I$770,'Billing Aug'!$D$2:$D$770,A17))</f>
        <v/>
      </c>
      <c r="Q17" s="37">
        <f>IF(N17=0,"NO AUG TRANSACTION IN SUPPLIED EXTRACT",IF(ABS(P17)&gt;0.004,"SUBLEDGER ARITHMETIC ERROR",IF(ABS(M17)&gt;0.004,"BILLING VARIANCE","MATCH")))</f>
        <v/>
      </c>
    </row>
    <row r="18">
      <c r="A18" s="37" t="inlineStr">
        <is>
          <t>LP-0115</t>
        </is>
      </c>
      <c r="B18" s="37" t="inlineStr">
        <is>
          <t>Ledgport</t>
        </is>
      </c>
      <c r="C18" s="37" t="inlineStr">
        <is>
          <t>COVERED</t>
        </is>
      </c>
      <c r="D18" s="37" t="inlineStr">
        <is>
          <t>OCCUPIED</t>
        </is>
      </c>
      <c r="E18" s="37" t="inlineStr">
        <is>
          <t>WL-02943</t>
        </is>
      </c>
      <c r="F18" s="37" t="inlineStr">
        <is>
          <t>Matthew Thomas</t>
        </is>
      </c>
      <c r="G18" s="37" t="n">
        <v>28</v>
      </c>
      <c r="H18" s="39" t="n">
        <v>18.8</v>
      </c>
      <c r="I18" s="40">
        <f>ROUNDUP(MAX(G18,H18),0)</f>
        <v/>
      </c>
      <c r="J18" s="41">
        <f>IF(C18="COVERED",'Methodology'!$B$9,'Methodology'!$B$10)</f>
        <v/>
      </c>
      <c r="K18" s="41">
        <f>I18*J18</f>
        <v/>
      </c>
      <c r="L18" s="41">
        <f>SUMIFS('Billing Aug'!$J$2:$J$770,'Billing Aug'!$D$2:$D$770,A18)</f>
        <v/>
      </c>
      <c r="M18" s="41">
        <f>L18-K18</f>
        <v/>
      </c>
      <c r="N18" s="37">
        <f>COUNTIF('Billing Aug'!$D$2:$D$770,A18)</f>
        <v/>
      </c>
      <c r="O18" s="37">
        <f>SUMIFS('Billing Aug'!$F$2:$F$770,'Billing Aug'!$D$2:$D$770,A18)</f>
        <v/>
      </c>
      <c r="P18" s="41">
        <f>IF(N18=0,0,L18-SUMIFS('Billing Aug'!$H$2:$H$770,'Billing Aug'!$D$2:$D$770,A18)*SUMIFS('Billing Aug'!$I$2:$I$770,'Billing Aug'!$D$2:$D$770,A18))</f>
        <v/>
      </c>
      <c r="Q18" s="37">
        <f>IF(N18=0,"NO AUG TRANSACTION IN SUPPLIED EXTRACT",IF(ABS(P18)&gt;0.004,"SUBLEDGER ARITHMETIC ERROR",IF(ABS(M18)&gt;0.004,"BILLING VARIANCE","MATCH")))</f>
        <v/>
      </c>
    </row>
    <row r="19">
      <c r="A19" s="37" t="inlineStr">
        <is>
          <t>LP-0116</t>
        </is>
      </c>
      <c r="B19" s="37" t="inlineStr">
        <is>
          <t>Ledgport</t>
        </is>
      </c>
      <c r="C19" s="37" t="inlineStr">
        <is>
          <t>COVERED</t>
        </is>
      </c>
      <c r="D19" s="37" t="inlineStr">
        <is>
          <t>OCCUPIED</t>
        </is>
      </c>
      <c r="E19" s="37" t="inlineStr">
        <is>
          <t>WL-02031</t>
        </is>
      </c>
      <c r="F19" s="37" t="inlineStr">
        <is>
          <t>Joseph Bishop</t>
        </is>
      </c>
      <c r="G19" s="37" t="n">
        <v>28</v>
      </c>
      <c r="H19" s="39" t="n">
        <v>19.2</v>
      </c>
      <c r="I19" s="40">
        <f>ROUNDUP(MAX(G19,H19),0)</f>
        <v/>
      </c>
      <c r="J19" s="41">
        <f>IF(C19="COVERED",'Methodology'!$B$9,'Methodology'!$B$10)</f>
        <v/>
      </c>
      <c r="K19" s="41">
        <f>I19*J19</f>
        <v/>
      </c>
      <c r="L19" s="41">
        <f>SUMIFS('Billing Aug'!$J$2:$J$770,'Billing Aug'!$D$2:$D$770,A19)</f>
        <v/>
      </c>
      <c r="M19" s="41">
        <f>L19-K19</f>
        <v/>
      </c>
      <c r="N19" s="37">
        <f>COUNTIF('Billing Aug'!$D$2:$D$770,A19)</f>
        <v/>
      </c>
      <c r="O19" s="37">
        <f>SUMIFS('Billing Aug'!$F$2:$F$770,'Billing Aug'!$D$2:$D$770,A19)</f>
        <v/>
      </c>
      <c r="P19" s="41">
        <f>IF(N19=0,0,L19-SUMIFS('Billing Aug'!$H$2:$H$770,'Billing Aug'!$D$2:$D$770,A19)*SUMIFS('Billing Aug'!$I$2:$I$770,'Billing Aug'!$D$2:$D$770,A19))</f>
        <v/>
      </c>
      <c r="Q19" s="37">
        <f>IF(N19=0,"NO AUG TRANSACTION IN SUPPLIED EXTRACT",IF(ABS(P19)&gt;0.004,"SUBLEDGER ARITHMETIC ERROR",IF(ABS(M19)&gt;0.004,"BILLING VARIANCE","MATCH")))</f>
        <v/>
      </c>
    </row>
    <row r="20">
      <c r="A20" s="37" t="inlineStr">
        <is>
          <t>LP-0117</t>
        </is>
      </c>
      <c r="B20" s="37" t="inlineStr">
        <is>
          <t>Ledgport</t>
        </is>
      </c>
      <c r="C20" s="37" t="inlineStr">
        <is>
          <t>COVERED</t>
        </is>
      </c>
      <c r="D20" s="37" t="inlineStr">
        <is>
          <t>OCCUPIED</t>
        </is>
      </c>
      <c r="E20" s="37" t="inlineStr">
        <is>
          <t>WL-01361</t>
        </is>
      </c>
      <c r="F20" s="37" t="inlineStr">
        <is>
          <t>Benjamin Willis</t>
        </is>
      </c>
      <c r="G20" s="37" t="n">
        <v>32</v>
      </c>
      <c r="H20" s="39" t="n">
        <v>28.7</v>
      </c>
      <c r="I20" s="40">
        <f>ROUNDUP(MAX(G20,H20),0)</f>
        <v/>
      </c>
      <c r="J20" s="41">
        <f>IF(C20="COVERED",'Methodology'!$B$9,'Methodology'!$B$10)</f>
        <v/>
      </c>
      <c r="K20" s="41">
        <f>I20*J20</f>
        <v/>
      </c>
      <c r="L20" s="41">
        <f>SUMIFS('Billing Aug'!$J$2:$J$770,'Billing Aug'!$D$2:$D$770,A20)</f>
        <v/>
      </c>
      <c r="M20" s="41">
        <f>L20-K20</f>
        <v/>
      </c>
      <c r="N20" s="37">
        <f>COUNTIF('Billing Aug'!$D$2:$D$770,A20)</f>
        <v/>
      </c>
      <c r="O20" s="37">
        <f>SUMIFS('Billing Aug'!$F$2:$F$770,'Billing Aug'!$D$2:$D$770,A20)</f>
        <v/>
      </c>
      <c r="P20" s="41">
        <f>IF(N20=0,0,L20-SUMIFS('Billing Aug'!$H$2:$H$770,'Billing Aug'!$D$2:$D$770,A20)*SUMIFS('Billing Aug'!$I$2:$I$770,'Billing Aug'!$D$2:$D$770,A20))</f>
        <v/>
      </c>
      <c r="Q20" s="37">
        <f>IF(N20=0,"NO AUG TRANSACTION IN SUPPLIED EXTRACT",IF(ABS(P20)&gt;0.004,"SUBLEDGER ARITHMETIC ERROR",IF(ABS(M20)&gt;0.004,"BILLING VARIANCE","MATCH")))</f>
        <v/>
      </c>
    </row>
    <row r="21">
      <c r="A21" s="37" t="inlineStr">
        <is>
          <t>LP-0118</t>
        </is>
      </c>
      <c r="B21" s="37" t="inlineStr">
        <is>
          <t>Ledgport</t>
        </is>
      </c>
      <c r="C21" s="37" t="inlineStr">
        <is>
          <t>COVERED</t>
        </is>
      </c>
      <c r="D21" s="37" t="inlineStr">
        <is>
          <t>OCCUPIED</t>
        </is>
      </c>
      <c r="E21" s="37" t="inlineStr">
        <is>
          <t>WL-03633</t>
        </is>
      </c>
      <c r="F21" s="37" t="inlineStr">
        <is>
          <t>Keith Powell</t>
        </is>
      </c>
      <c r="G21" s="37" t="n">
        <v>24</v>
      </c>
      <c r="H21" s="39" t="n">
        <v>22.1</v>
      </c>
      <c r="I21" s="40">
        <f>ROUNDUP(MAX(G21,H21),0)</f>
        <v/>
      </c>
      <c r="J21" s="41">
        <f>IF(C21="COVERED",'Methodology'!$B$9,'Methodology'!$B$10)</f>
        <v/>
      </c>
      <c r="K21" s="41">
        <f>I21*J21</f>
        <v/>
      </c>
      <c r="L21" s="41">
        <f>SUMIFS('Billing Aug'!$J$2:$J$770,'Billing Aug'!$D$2:$D$770,A21)</f>
        <v/>
      </c>
      <c r="M21" s="41">
        <f>L21-K21</f>
        <v/>
      </c>
      <c r="N21" s="37">
        <f>COUNTIF('Billing Aug'!$D$2:$D$770,A21)</f>
        <v/>
      </c>
      <c r="O21" s="37">
        <f>SUMIFS('Billing Aug'!$F$2:$F$770,'Billing Aug'!$D$2:$D$770,A21)</f>
        <v/>
      </c>
      <c r="P21" s="41">
        <f>IF(N21=0,0,L21-SUMIFS('Billing Aug'!$H$2:$H$770,'Billing Aug'!$D$2:$D$770,A21)*SUMIFS('Billing Aug'!$I$2:$I$770,'Billing Aug'!$D$2:$D$770,A21))</f>
        <v/>
      </c>
      <c r="Q21" s="37">
        <f>IF(N21=0,"NO AUG TRANSACTION IN SUPPLIED EXTRACT",IF(ABS(P21)&gt;0.004,"SUBLEDGER ARITHMETIC ERROR",IF(ABS(M21)&gt;0.004,"BILLING VARIANCE","MATCH")))</f>
        <v/>
      </c>
    </row>
    <row r="22">
      <c r="A22" s="37" t="inlineStr">
        <is>
          <t>LP-0119</t>
        </is>
      </c>
      <c r="B22" s="37" t="inlineStr">
        <is>
          <t>Ledgport</t>
        </is>
      </c>
      <c r="C22" s="37" t="inlineStr">
        <is>
          <t>COVERED</t>
        </is>
      </c>
      <c r="D22" s="37" t="inlineStr">
        <is>
          <t>OCCUPIED</t>
        </is>
      </c>
      <c r="E22" s="37" t="inlineStr">
        <is>
          <t>WL-01880</t>
        </is>
      </c>
      <c r="F22" s="37" t="inlineStr">
        <is>
          <t>Walter Torres</t>
        </is>
      </c>
      <c r="G22" s="37" t="n">
        <v>24</v>
      </c>
      <c r="H22" s="39" t="n">
        <v>43.5</v>
      </c>
      <c r="I22" s="40">
        <f>ROUNDUP(MAX(G22,H22),0)</f>
        <v/>
      </c>
      <c r="J22" s="41">
        <f>IF(C22="COVERED",'Methodology'!$B$9,'Methodology'!$B$10)</f>
        <v/>
      </c>
      <c r="K22" s="41">
        <f>I22*J22</f>
        <v/>
      </c>
      <c r="L22" s="41">
        <f>SUMIFS('Billing Aug'!$J$2:$J$770,'Billing Aug'!$D$2:$D$770,A22)</f>
        <v/>
      </c>
      <c r="M22" s="41">
        <f>L22-K22</f>
        <v/>
      </c>
      <c r="N22" s="37">
        <f>COUNTIF('Billing Aug'!$D$2:$D$770,A22)</f>
        <v/>
      </c>
      <c r="O22" s="37">
        <f>SUMIFS('Billing Aug'!$F$2:$F$770,'Billing Aug'!$D$2:$D$770,A22)</f>
        <v/>
      </c>
      <c r="P22" s="41">
        <f>IF(N22=0,0,L22-SUMIFS('Billing Aug'!$H$2:$H$770,'Billing Aug'!$D$2:$D$770,A22)*SUMIFS('Billing Aug'!$I$2:$I$770,'Billing Aug'!$D$2:$D$770,A22))</f>
        <v/>
      </c>
      <c r="Q22" s="37">
        <f>IF(N22=0,"NO AUG TRANSACTION IN SUPPLIED EXTRACT",IF(ABS(P22)&gt;0.004,"SUBLEDGER ARITHMETIC ERROR",IF(ABS(M22)&gt;0.004,"BILLING VARIANCE","MATCH")))</f>
        <v/>
      </c>
    </row>
    <row r="23">
      <c r="A23" s="37" t="inlineStr">
        <is>
          <t>LP-0120</t>
        </is>
      </c>
      <c r="B23" s="37" t="inlineStr">
        <is>
          <t>Ledgport</t>
        </is>
      </c>
      <c r="C23" s="37" t="inlineStr">
        <is>
          <t>COVERED</t>
        </is>
      </c>
      <c r="D23" s="37" t="inlineStr">
        <is>
          <t>OCCUPIED</t>
        </is>
      </c>
      <c r="E23" s="37" t="inlineStr">
        <is>
          <t>WL-03128</t>
        </is>
      </c>
      <c r="F23" s="37" t="inlineStr">
        <is>
          <t>Kayla Johnson</t>
        </is>
      </c>
      <c r="G23" s="37" t="n">
        <v>32</v>
      </c>
      <c r="H23" s="39" t="n">
        <v>30.8</v>
      </c>
      <c r="I23" s="40">
        <f>ROUNDUP(MAX(G23,H23),0)</f>
        <v/>
      </c>
      <c r="J23" s="41">
        <f>IF(C23="COVERED",'Methodology'!$B$9,'Methodology'!$B$10)</f>
        <v/>
      </c>
      <c r="K23" s="41">
        <f>I23*J23</f>
        <v/>
      </c>
      <c r="L23" s="41">
        <f>SUMIFS('Billing Aug'!$J$2:$J$770,'Billing Aug'!$D$2:$D$770,A23)</f>
        <v/>
      </c>
      <c r="M23" s="41">
        <f>L23-K23</f>
        <v/>
      </c>
      <c r="N23" s="37">
        <f>COUNTIF('Billing Aug'!$D$2:$D$770,A23)</f>
        <v/>
      </c>
      <c r="O23" s="37">
        <f>SUMIFS('Billing Aug'!$F$2:$F$770,'Billing Aug'!$D$2:$D$770,A23)</f>
        <v/>
      </c>
      <c r="P23" s="41">
        <f>IF(N23=0,0,L23-SUMIFS('Billing Aug'!$H$2:$H$770,'Billing Aug'!$D$2:$D$770,A23)*SUMIFS('Billing Aug'!$I$2:$I$770,'Billing Aug'!$D$2:$D$770,A23))</f>
        <v/>
      </c>
      <c r="Q23" s="37">
        <f>IF(N23=0,"NO AUG TRANSACTION IN SUPPLIED EXTRACT",IF(ABS(P23)&gt;0.004,"SUBLEDGER ARITHMETIC ERROR",IF(ABS(M23)&gt;0.004,"BILLING VARIANCE","MATCH")))</f>
        <v/>
      </c>
    </row>
    <row r="24">
      <c r="A24" s="37" t="inlineStr">
        <is>
          <t>LP-0121</t>
        </is>
      </c>
      <c r="B24" s="37" t="inlineStr">
        <is>
          <t>Ledgport</t>
        </is>
      </c>
      <c r="C24" s="37" t="inlineStr">
        <is>
          <t>COVERED</t>
        </is>
      </c>
      <c r="D24" s="37" t="inlineStr">
        <is>
          <t>OCCUPIED</t>
        </is>
      </c>
      <c r="E24" s="37" t="inlineStr">
        <is>
          <t>WL-03477</t>
        </is>
      </c>
      <c r="F24" s="37" t="inlineStr">
        <is>
          <t>Darryl Garcia</t>
        </is>
      </c>
      <c r="G24" s="37" t="n">
        <v>32</v>
      </c>
      <c r="H24" s="39" t="n">
        <v>51.3</v>
      </c>
      <c r="I24" s="40">
        <f>ROUNDUP(MAX(G24,H24),0)</f>
        <v/>
      </c>
      <c r="J24" s="41">
        <f>IF(C24="COVERED",'Methodology'!$B$9,'Methodology'!$B$10)</f>
        <v/>
      </c>
      <c r="K24" s="41">
        <f>I24*J24</f>
        <v/>
      </c>
      <c r="L24" s="41">
        <f>SUMIFS('Billing Aug'!$J$2:$J$770,'Billing Aug'!$D$2:$D$770,A24)</f>
        <v/>
      </c>
      <c r="M24" s="41">
        <f>L24-K24</f>
        <v/>
      </c>
      <c r="N24" s="37">
        <f>COUNTIF('Billing Aug'!$D$2:$D$770,A24)</f>
        <v/>
      </c>
      <c r="O24" s="37">
        <f>SUMIFS('Billing Aug'!$F$2:$F$770,'Billing Aug'!$D$2:$D$770,A24)</f>
        <v/>
      </c>
      <c r="P24" s="41">
        <f>IF(N24=0,0,L24-SUMIFS('Billing Aug'!$H$2:$H$770,'Billing Aug'!$D$2:$D$770,A24)*SUMIFS('Billing Aug'!$I$2:$I$770,'Billing Aug'!$D$2:$D$770,A24))</f>
        <v/>
      </c>
      <c r="Q24" s="37">
        <f>IF(N24=0,"NO AUG TRANSACTION IN SUPPLIED EXTRACT",IF(ABS(P24)&gt;0.004,"SUBLEDGER ARITHMETIC ERROR",IF(ABS(M24)&gt;0.004,"BILLING VARIANCE","MATCH")))</f>
        <v/>
      </c>
    </row>
    <row r="25">
      <c r="A25" s="37" t="inlineStr">
        <is>
          <t>LP-0122</t>
        </is>
      </c>
      <c r="B25" s="37" t="inlineStr">
        <is>
          <t>Ledgport</t>
        </is>
      </c>
      <c r="C25" s="37" t="inlineStr">
        <is>
          <t>COVERED</t>
        </is>
      </c>
      <c r="D25" s="37" t="inlineStr">
        <is>
          <t>OCCUPIED</t>
        </is>
      </c>
      <c r="E25" s="37" t="inlineStr">
        <is>
          <t>WL-01974</t>
        </is>
      </c>
      <c r="F25" s="37" t="inlineStr">
        <is>
          <t>Paula Arroyo</t>
        </is>
      </c>
      <c r="G25" s="37" t="n">
        <v>36</v>
      </c>
      <c r="H25" s="39" t="n">
        <v>48.2</v>
      </c>
      <c r="I25" s="40">
        <f>ROUNDUP(MAX(G25,H25),0)</f>
        <v/>
      </c>
      <c r="J25" s="41">
        <f>IF(C25="COVERED",'Methodology'!$B$9,'Methodology'!$B$10)</f>
        <v/>
      </c>
      <c r="K25" s="41">
        <f>I25*J25</f>
        <v/>
      </c>
      <c r="L25" s="41">
        <f>SUMIFS('Billing Aug'!$J$2:$J$770,'Billing Aug'!$D$2:$D$770,A25)</f>
        <v/>
      </c>
      <c r="M25" s="41">
        <f>L25-K25</f>
        <v/>
      </c>
      <c r="N25" s="37">
        <f>COUNTIF('Billing Aug'!$D$2:$D$770,A25)</f>
        <v/>
      </c>
      <c r="O25" s="37">
        <f>SUMIFS('Billing Aug'!$F$2:$F$770,'Billing Aug'!$D$2:$D$770,A25)</f>
        <v/>
      </c>
      <c r="P25" s="41">
        <f>IF(N25=0,0,L25-SUMIFS('Billing Aug'!$H$2:$H$770,'Billing Aug'!$D$2:$D$770,A25)*SUMIFS('Billing Aug'!$I$2:$I$770,'Billing Aug'!$D$2:$D$770,A25))</f>
        <v/>
      </c>
      <c r="Q25" s="37">
        <f>IF(N25=0,"NO AUG TRANSACTION IN SUPPLIED EXTRACT",IF(ABS(P25)&gt;0.004,"SUBLEDGER ARITHMETIC ERROR",IF(ABS(M25)&gt;0.004,"BILLING VARIANCE","MATCH")))</f>
        <v/>
      </c>
    </row>
    <row r="26">
      <c r="A26" s="37" t="inlineStr">
        <is>
          <t>LP-0123</t>
        </is>
      </c>
      <c r="B26" s="37" t="inlineStr">
        <is>
          <t>Ledgport</t>
        </is>
      </c>
      <c r="C26" s="37" t="inlineStr">
        <is>
          <t>COVERED</t>
        </is>
      </c>
      <c r="D26" s="37" t="inlineStr">
        <is>
          <t>OCCUPIED</t>
        </is>
      </c>
      <c r="E26" s="37" t="inlineStr">
        <is>
          <t>WL-03479</t>
        </is>
      </c>
      <c r="F26" s="37" t="inlineStr">
        <is>
          <t>Brittney Daugherty</t>
        </is>
      </c>
      <c r="G26" s="37" t="n">
        <v>32</v>
      </c>
      <c r="H26" s="39" t="n">
        <v>25.3</v>
      </c>
      <c r="I26" s="40">
        <f>ROUNDUP(MAX(G26,H26),0)</f>
        <v/>
      </c>
      <c r="J26" s="41">
        <f>IF(C26="COVERED",'Methodology'!$B$9,'Methodology'!$B$10)</f>
        <v/>
      </c>
      <c r="K26" s="41">
        <f>I26*J26</f>
        <v/>
      </c>
      <c r="L26" s="41">
        <f>SUMIFS('Billing Aug'!$J$2:$J$770,'Billing Aug'!$D$2:$D$770,A26)</f>
        <v/>
      </c>
      <c r="M26" s="41">
        <f>L26-K26</f>
        <v/>
      </c>
      <c r="N26" s="37">
        <f>COUNTIF('Billing Aug'!$D$2:$D$770,A26)</f>
        <v/>
      </c>
      <c r="O26" s="37">
        <f>SUMIFS('Billing Aug'!$F$2:$F$770,'Billing Aug'!$D$2:$D$770,A26)</f>
        <v/>
      </c>
      <c r="P26" s="41">
        <f>IF(N26=0,0,L26-SUMIFS('Billing Aug'!$H$2:$H$770,'Billing Aug'!$D$2:$D$770,A26)*SUMIFS('Billing Aug'!$I$2:$I$770,'Billing Aug'!$D$2:$D$770,A26))</f>
        <v/>
      </c>
      <c r="Q26" s="37">
        <f>IF(N26=0,"NO AUG TRANSACTION IN SUPPLIED EXTRACT",IF(ABS(P26)&gt;0.004,"SUBLEDGER ARITHMETIC ERROR",IF(ABS(M26)&gt;0.004,"BILLING VARIANCE","MATCH")))</f>
        <v/>
      </c>
    </row>
    <row r="27">
      <c r="A27" s="37" t="inlineStr">
        <is>
          <t>LP-0124</t>
        </is>
      </c>
      <c r="B27" s="37" t="inlineStr">
        <is>
          <t>Ledgport</t>
        </is>
      </c>
      <c r="C27" s="37" t="inlineStr">
        <is>
          <t>COVERED</t>
        </is>
      </c>
      <c r="D27" s="37" t="inlineStr">
        <is>
          <t>OCCUPIED</t>
        </is>
      </c>
      <c r="E27" s="37" t="inlineStr">
        <is>
          <t>WL-02080</t>
        </is>
      </c>
      <c r="F27" s="37" t="inlineStr">
        <is>
          <t>Audrey Le</t>
        </is>
      </c>
      <c r="G27" s="37" t="n">
        <v>28</v>
      </c>
      <c r="H27" s="39" t="n">
        <v>38.8</v>
      </c>
      <c r="I27" s="40">
        <f>ROUNDUP(MAX(G27,H27),0)</f>
        <v/>
      </c>
      <c r="J27" s="41">
        <f>IF(C27="COVERED",'Methodology'!$B$9,'Methodology'!$B$10)</f>
        <v/>
      </c>
      <c r="K27" s="41">
        <f>I27*J27</f>
        <v/>
      </c>
      <c r="L27" s="41">
        <f>SUMIFS('Billing Aug'!$J$2:$J$770,'Billing Aug'!$D$2:$D$770,A27)</f>
        <v/>
      </c>
      <c r="M27" s="41">
        <f>L27-K27</f>
        <v/>
      </c>
      <c r="N27" s="37">
        <f>COUNTIF('Billing Aug'!$D$2:$D$770,A27)</f>
        <v/>
      </c>
      <c r="O27" s="37">
        <f>SUMIFS('Billing Aug'!$F$2:$F$770,'Billing Aug'!$D$2:$D$770,A27)</f>
        <v/>
      </c>
      <c r="P27" s="41">
        <f>IF(N27=0,0,L27-SUMIFS('Billing Aug'!$H$2:$H$770,'Billing Aug'!$D$2:$D$770,A27)*SUMIFS('Billing Aug'!$I$2:$I$770,'Billing Aug'!$D$2:$D$770,A27))</f>
        <v/>
      </c>
      <c r="Q27" s="37">
        <f>IF(N27=0,"NO AUG TRANSACTION IN SUPPLIED EXTRACT",IF(ABS(P27)&gt;0.004,"SUBLEDGER ARITHMETIC ERROR",IF(ABS(M27)&gt;0.004,"BILLING VARIANCE","MATCH")))</f>
        <v/>
      </c>
    </row>
    <row r="28">
      <c r="A28" s="37" t="inlineStr">
        <is>
          <t>LP-0201</t>
        </is>
      </c>
      <c r="B28" s="37" t="inlineStr">
        <is>
          <t>Ledgport</t>
        </is>
      </c>
      <c r="C28" s="37" t="inlineStr">
        <is>
          <t>COVERED</t>
        </is>
      </c>
      <c r="D28" s="37" t="inlineStr">
        <is>
          <t>OCCUPIED</t>
        </is>
      </c>
      <c r="E28" s="37" t="inlineStr">
        <is>
          <t>WL-03657</t>
        </is>
      </c>
      <c r="F28" s="37" t="inlineStr">
        <is>
          <t>Melissa Wagner</t>
        </is>
      </c>
      <c r="G28" s="37" t="n">
        <v>36</v>
      </c>
      <c r="H28" s="39" t="n">
        <v>51.3</v>
      </c>
      <c r="I28" s="40">
        <f>ROUNDUP(MAX(G28,H28),0)</f>
        <v/>
      </c>
      <c r="J28" s="41">
        <f>IF(C28="COVERED",'Methodology'!$B$9,'Methodology'!$B$10)</f>
        <v/>
      </c>
      <c r="K28" s="41">
        <f>I28*J28</f>
        <v/>
      </c>
      <c r="L28" s="41">
        <f>SUMIFS('Billing Aug'!$J$2:$J$770,'Billing Aug'!$D$2:$D$770,A28)</f>
        <v/>
      </c>
      <c r="M28" s="41">
        <f>L28-K28</f>
        <v/>
      </c>
      <c r="N28" s="37">
        <f>COUNTIF('Billing Aug'!$D$2:$D$770,A28)</f>
        <v/>
      </c>
      <c r="O28" s="37">
        <f>SUMIFS('Billing Aug'!$F$2:$F$770,'Billing Aug'!$D$2:$D$770,A28)</f>
        <v/>
      </c>
      <c r="P28" s="41">
        <f>IF(N28=0,0,L28-SUMIFS('Billing Aug'!$H$2:$H$770,'Billing Aug'!$D$2:$D$770,A28)*SUMIFS('Billing Aug'!$I$2:$I$770,'Billing Aug'!$D$2:$D$770,A28))</f>
        <v/>
      </c>
      <c r="Q28" s="37">
        <f>IF(N28=0,"NO AUG TRANSACTION IN SUPPLIED EXTRACT",IF(ABS(P28)&gt;0.004,"SUBLEDGER ARITHMETIC ERROR",IF(ABS(M28)&gt;0.004,"BILLING VARIANCE","MATCH")))</f>
        <v/>
      </c>
    </row>
    <row r="29">
      <c r="A29" s="37" t="inlineStr">
        <is>
          <t>LP-0202</t>
        </is>
      </c>
      <c r="B29" s="37" t="inlineStr">
        <is>
          <t>Ledgport</t>
        </is>
      </c>
      <c r="C29" s="37" t="inlineStr">
        <is>
          <t>COVERED</t>
        </is>
      </c>
      <c r="D29" s="37" t="inlineStr">
        <is>
          <t>OCCUPIED</t>
        </is>
      </c>
      <c r="E29" s="37" t="inlineStr">
        <is>
          <t>WL-02964</t>
        </is>
      </c>
      <c r="F29" s="37" t="inlineStr">
        <is>
          <t>Christopher Boyd</t>
        </is>
      </c>
      <c r="G29" s="37" t="n">
        <v>36</v>
      </c>
      <c r="H29" s="39" t="n">
        <v>37.5</v>
      </c>
      <c r="I29" s="40">
        <f>ROUNDUP(MAX(G29,H29),0)</f>
        <v/>
      </c>
      <c r="J29" s="41">
        <f>IF(C29="COVERED",'Methodology'!$B$9,'Methodology'!$B$10)</f>
        <v/>
      </c>
      <c r="K29" s="41">
        <f>I29*J29</f>
        <v/>
      </c>
      <c r="L29" s="41">
        <f>SUMIFS('Billing Aug'!$J$2:$J$770,'Billing Aug'!$D$2:$D$770,A29)</f>
        <v/>
      </c>
      <c r="M29" s="41">
        <f>L29-K29</f>
        <v/>
      </c>
      <c r="N29" s="37">
        <f>COUNTIF('Billing Aug'!$D$2:$D$770,A29)</f>
        <v/>
      </c>
      <c r="O29" s="37">
        <f>SUMIFS('Billing Aug'!$F$2:$F$770,'Billing Aug'!$D$2:$D$770,A29)</f>
        <v/>
      </c>
      <c r="P29" s="41">
        <f>IF(N29=0,0,L29-SUMIFS('Billing Aug'!$H$2:$H$770,'Billing Aug'!$D$2:$D$770,A29)*SUMIFS('Billing Aug'!$I$2:$I$770,'Billing Aug'!$D$2:$D$770,A29))</f>
        <v/>
      </c>
      <c r="Q29" s="37">
        <f>IF(N29=0,"NO AUG TRANSACTION IN SUPPLIED EXTRACT",IF(ABS(P29)&gt;0.004,"SUBLEDGER ARITHMETIC ERROR",IF(ABS(M29)&gt;0.004,"BILLING VARIANCE","MATCH")))</f>
        <v/>
      </c>
    </row>
    <row r="30">
      <c r="A30" s="37" t="inlineStr">
        <is>
          <t>LP-0203</t>
        </is>
      </c>
      <c r="B30" s="37" t="inlineStr">
        <is>
          <t>Ledgport</t>
        </is>
      </c>
      <c r="C30" s="37" t="inlineStr">
        <is>
          <t>COVERED</t>
        </is>
      </c>
      <c r="D30" s="37" t="inlineStr">
        <is>
          <t>OCCUPIED</t>
        </is>
      </c>
      <c r="E30" s="37" t="inlineStr">
        <is>
          <t>WL-01820</t>
        </is>
      </c>
      <c r="F30" s="37" t="inlineStr">
        <is>
          <t>Andrew Petty</t>
        </is>
      </c>
      <c r="G30" s="37" t="n">
        <v>28</v>
      </c>
      <c r="H30" s="39" t="n">
        <v>28.3</v>
      </c>
      <c r="I30" s="40">
        <f>ROUNDUP(MAX(G30,H30),0)</f>
        <v/>
      </c>
      <c r="J30" s="41">
        <f>IF(C30="COVERED",'Methodology'!$B$9,'Methodology'!$B$10)</f>
        <v/>
      </c>
      <c r="K30" s="41">
        <f>I30*J30</f>
        <v/>
      </c>
      <c r="L30" s="41">
        <f>SUMIFS('Billing Aug'!$J$2:$J$770,'Billing Aug'!$D$2:$D$770,A30)</f>
        <v/>
      </c>
      <c r="M30" s="41">
        <f>L30-K30</f>
        <v/>
      </c>
      <c r="N30" s="37">
        <f>COUNTIF('Billing Aug'!$D$2:$D$770,A30)</f>
        <v/>
      </c>
      <c r="O30" s="37">
        <f>SUMIFS('Billing Aug'!$F$2:$F$770,'Billing Aug'!$D$2:$D$770,A30)</f>
        <v/>
      </c>
      <c r="P30" s="41">
        <f>IF(N30=0,0,L30-SUMIFS('Billing Aug'!$H$2:$H$770,'Billing Aug'!$D$2:$D$770,A30)*SUMIFS('Billing Aug'!$I$2:$I$770,'Billing Aug'!$D$2:$D$770,A30))</f>
        <v/>
      </c>
      <c r="Q30" s="37">
        <f>IF(N30=0,"NO AUG TRANSACTION IN SUPPLIED EXTRACT",IF(ABS(P30)&gt;0.004,"SUBLEDGER ARITHMETIC ERROR",IF(ABS(M30)&gt;0.004,"BILLING VARIANCE","MATCH")))</f>
        <v/>
      </c>
    </row>
    <row r="31">
      <c r="A31" s="37" t="inlineStr">
        <is>
          <t>LP-0204</t>
        </is>
      </c>
      <c r="B31" s="37" t="inlineStr">
        <is>
          <t>Ledgport</t>
        </is>
      </c>
      <c r="C31" s="37" t="inlineStr">
        <is>
          <t>COVERED</t>
        </is>
      </c>
      <c r="D31" s="37" t="inlineStr">
        <is>
          <t>OCCUPIED</t>
        </is>
      </c>
      <c r="E31" s="37" t="inlineStr">
        <is>
          <t>WL-01587</t>
        </is>
      </c>
      <c r="F31" s="37" t="inlineStr">
        <is>
          <t>Patrick Guzman</t>
        </is>
      </c>
      <c r="G31" s="37" t="n">
        <v>28</v>
      </c>
      <c r="H31" s="39" t="n">
        <v>35.6</v>
      </c>
      <c r="I31" s="40">
        <f>ROUNDUP(MAX(G31,H31),0)</f>
        <v/>
      </c>
      <c r="J31" s="41">
        <f>IF(C31="COVERED",'Methodology'!$B$9,'Methodology'!$B$10)</f>
        <v/>
      </c>
      <c r="K31" s="41">
        <f>I31*J31</f>
        <v/>
      </c>
      <c r="L31" s="41">
        <f>SUMIFS('Billing Aug'!$J$2:$J$770,'Billing Aug'!$D$2:$D$770,A31)</f>
        <v/>
      </c>
      <c r="M31" s="41">
        <f>L31-K31</f>
        <v/>
      </c>
      <c r="N31" s="37">
        <f>COUNTIF('Billing Aug'!$D$2:$D$770,A31)</f>
        <v/>
      </c>
      <c r="O31" s="37">
        <f>SUMIFS('Billing Aug'!$F$2:$F$770,'Billing Aug'!$D$2:$D$770,A31)</f>
        <v/>
      </c>
      <c r="P31" s="41">
        <f>IF(N31=0,0,L31-SUMIFS('Billing Aug'!$H$2:$H$770,'Billing Aug'!$D$2:$D$770,A31)*SUMIFS('Billing Aug'!$I$2:$I$770,'Billing Aug'!$D$2:$D$770,A31))</f>
        <v/>
      </c>
      <c r="Q31" s="37">
        <f>IF(N31=0,"NO AUG TRANSACTION IN SUPPLIED EXTRACT",IF(ABS(P31)&gt;0.004,"SUBLEDGER ARITHMETIC ERROR",IF(ABS(M31)&gt;0.004,"BILLING VARIANCE","MATCH")))</f>
        <v/>
      </c>
    </row>
    <row r="32">
      <c r="A32" s="37" t="inlineStr">
        <is>
          <t>LP-0205</t>
        </is>
      </c>
      <c r="B32" s="37" t="inlineStr">
        <is>
          <t>Ledgport</t>
        </is>
      </c>
      <c r="C32" s="37" t="inlineStr">
        <is>
          <t>COVERED</t>
        </is>
      </c>
      <c r="D32" s="37" t="inlineStr">
        <is>
          <t>OCCUPIED</t>
        </is>
      </c>
      <c r="E32" s="37" t="inlineStr">
        <is>
          <t>WL-01514</t>
        </is>
      </c>
      <c r="F32" s="37" t="inlineStr">
        <is>
          <t>Gary Young</t>
        </is>
      </c>
      <c r="G32" s="37" t="n">
        <v>40</v>
      </c>
      <c r="H32" s="39" t="n">
        <v>23</v>
      </c>
      <c r="I32" s="40">
        <f>ROUNDUP(MAX(G32,H32),0)</f>
        <v/>
      </c>
      <c r="J32" s="41">
        <f>IF(C32="COVERED",'Methodology'!$B$9,'Methodology'!$B$10)</f>
        <v/>
      </c>
      <c r="K32" s="41">
        <f>I32*J32</f>
        <v/>
      </c>
      <c r="L32" s="41">
        <f>SUMIFS('Billing Aug'!$J$2:$J$770,'Billing Aug'!$D$2:$D$770,A32)</f>
        <v/>
      </c>
      <c r="M32" s="41">
        <f>L32-K32</f>
        <v/>
      </c>
      <c r="N32" s="37">
        <f>COUNTIF('Billing Aug'!$D$2:$D$770,A32)</f>
        <v/>
      </c>
      <c r="O32" s="37">
        <f>SUMIFS('Billing Aug'!$F$2:$F$770,'Billing Aug'!$D$2:$D$770,A32)</f>
        <v/>
      </c>
      <c r="P32" s="41">
        <f>IF(N32=0,0,L32-SUMIFS('Billing Aug'!$H$2:$H$770,'Billing Aug'!$D$2:$D$770,A32)*SUMIFS('Billing Aug'!$I$2:$I$770,'Billing Aug'!$D$2:$D$770,A32))</f>
        <v/>
      </c>
      <c r="Q32" s="37">
        <f>IF(N32=0,"NO AUG TRANSACTION IN SUPPLIED EXTRACT",IF(ABS(P32)&gt;0.004,"SUBLEDGER ARITHMETIC ERROR",IF(ABS(M32)&gt;0.004,"BILLING VARIANCE","MATCH")))</f>
        <v/>
      </c>
    </row>
    <row r="33">
      <c r="A33" s="37" t="inlineStr">
        <is>
          <t>LP-0206</t>
        </is>
      </c>
      <c r="B33" s="37" t="inlineStr">
        <is>
          <t>Ledgport</t>
        </is>
      </c>
      <c r="C33" s="37" t="inlineStr">
        <is>
          <t>COVERED</t>
        </is>
      </c>
      <c r="D33" s="37" t="inlineStr">
        <is>
          <t>OCCUPIED</t>
        </is>
      </c>
      <c r="E33" s="37" t="inlineStr">
        <is>
          <t>WL-03079</t>
        </is>
      </c>
      <c r="F33" s="37" t="inlineStr">
        <is>
          <t>Crystal Glover</t>
        </is>
      </c>
      <c r="G33" s="37" t="n">
        <v>24</v>
      </c>
      <c r="H33" s="39" t="n">
        <v>41.4</v>
      </c>
      <c r="I33" s="40">
        <f>ROUNDUP(MAX(G33,H33),0)</f>
        <v/>
      </c>
      <c r="J33" s="41">
        <f>IF(C33="COVERED",'Methodology'!$B$9,'Methodology'!$B$10)</f>
        <v/>
      </c>
      <c r="K33" s="41">
        <f>I33*J33</f>
        <v/>
      </c>
      <c r="L33" s="41">
        <f>SUMIFS('Billing Aug'!$J$2:$J$770,'Billing Aug'!$D$2:$D$770,A33)</f>
        <v/>
      </c>
      <c r="M33" s="41">
        <f>L33-K33</f>
        <v/>
      </c>
      <c r="N33" s="37">
        <f>COUNTIF('Billing Aug'!$D$2:$D$770,A33)</f>
        <v/>
      </c>
      <c r="O33" s="37">
        <f>SUMIFS('Billing Aug'!$F$2:$F$770,'Billing Aug'!$D$2:$D$770,A33)</f>
        <v/>
      </c>
      <c r="P33" s="41">
        <f>IF(N33=0,0,L33-SUMIFS('Billing Aug'!$H$2:$H$770,'Billing Aug'!$D$2:$D$770,A33)*SUMIFS('Billing Aug'!$I$2:$I$770,'Billing Aug'!$D$2:$D$770,A33))</f>
        <v/>
      </c>
      <c r="Q33" s="37">
        <f>IF(N33=0,"NO AUG TRANSACTION IN SUPPLIED EXTRACT",IF(ABS(P33)&gt;0.004,"SUBLEDGER ARITHMETIC ERROR",IF(ABS(M33)&gt;0.004,"BILLING VARIANCE","MATCH")))</f>
        <v/>
      </c>
    </row>
    <row r="34">
      <c r="A34" s="37" t="inlineStr">
        <is>
          <t>LP-0208</t>
        </is>
      </c>
      <c r="B34" s="37" t="inlineStr">
        <is>
          <t>Ledgport</t>
        </is>
      </c>
      <c r="C34" s="37" t="inlineStr">
        <is>
          <t>COVERED</t>
        </is>
      </c>
      <c r="D34" s="37" t="inlineStr">
        <is>
          <t>OCCUPIED</t>
        </is>
      </c>
      <c r="E34" s="37" t="inlineStr">
        <is>
          <t>WL-02432</t>
        </is>
      </c>
      <c r="F34" s="37" t="inlineStr">
        <is>
          <t>James Olson</t>
        </is>
      </c>
      <c r="G34" s="37" t="n">
        <v>32</v>
      </c>
      <c r="H34" s="39" t="n">
        <v>35.9</v>
      </c>
      <c r="I34" s="40">
        <f>ROUNDUP(MAX(G34,H34),0)</f>
        <v/>
      </c>
      <c r="J34" s="41">
        <f>IF(C34="COVERED",'Methodology'!$B$9,'Methodology'!$B$10)</f>
        <v/>
      </c>
      <c r="K34" s="41">
        <f>I34*J34</f>
        <v/>
      </c>
      <c r="L34" s="41">
        <f>SUMIFS('Billing Aug'!$J$2:$J$770,'Billing Aug'!$D$2:$D$770,A34)</f>
        <v/>
      </c>
      <c r="M34" s="41">
        <f>L34-K34</f>
        <v/>
      </c>
      <c r="N34" s="37">
        <f>COUNTIF('Billing Aug'!$D$2:$D$770,A34)</f>
        <v/>
      </c>
      <c r="O34" s="37">
        <f>SUMIFS('Billing Aug'!$F$2:$F$770,'Billing Aug'!$D$2:$D$770,A34)</f>
        <v/>
      </c>
      <c r="P34" s="41">
        <f>IF(N34=0,0,L34-SUMIFS('Billing Aug'!$H$2:$H$770,'Billing Aug'!$D$2:$D$770,A34)*SUMIFS('Billing Aug'!$I$2:$I$770,'Billing Aug'!$D$2:$D$770,A34))</f>
        <v/>
      </c>
      <c r="Q34" s="37">
        <f>IF(N34=0,"NO AUG TRANSACTION IN SUPPLIED EXTRACT",IF(ABS(P34)&gt;0.004,"SUBLEDGER ARITHMETIC ERROR",IF(ABS(M34)&gt;0.004,"BILLING VARIANCE","MATCH")))</f>
        <v/>
      </c>
    </row>
    <row r="35">
      <c r="A35" s="37" t="inlineStr">
        <is>
          <t>LP-0209</t>
        </is>
      </c>
      <c r="B35" s="37" t="inlineStr">
        <is>
          <t>Ledgport</t>
        </is>
      </c>
      <c r="C35" s="37" t="inlineStr">
        <is>
          <t>COVERED</t>
        </is>
      </c>
      <c r="D35" s="37" t="inlineStr">
        <is>
          <t>OCCUPIED</t>
        </is>
      </c>
      <c r="E35" s="37" t="inlineStr">
        <is>
          <t>WL-01517</t>
        </is>
      </c>
      <c r="F35" s="37" t="inlineStr">
        <is>
          <t>Manuel Abbott</t>
        </is>
      </c>
      <c r="G35" s="37" t="n">
        <v>32</v>
      </c>
      <c r="H35" s="39" t="n">
        <v>19.8</v>
      </c>
      <c r="I35" s="40">
        <f>ROUNDUP(MAX(G35,H35),0)</f>
        <v/>
      </c>
      <c r="J35" s="41">
        <f>IF(C35="COVERED",'Methodology'!$B$9,'Methodology'!$B$10)</f>
        <v/>
      </c>
      <c r="K35" s="41">
        <f>I35*J35</f>
        <v/>
      </c>
      <c r="L35" s="41">
        <f>SUMIFS('Billing Aug'!$J$2:$J$770,'Billing Aug'!$D$2:$D$770,A35)</f>
        <v/>
      </c>
      <c r="M35" s="41">
        <f>L35-K35</f>
        <v/>
      </c>
      <c r="N35" s="37">
        <f>COUNTIF('Billing Aug'!$D$2:$D$770,A35)</f>
        <v/>
      </c>
      <c r="O35" s="37">
        <f>SUMIFS('Billing Aug'!$F$2:$F$770,'Billing Aug'!$D$2:$D$770,A35)</f>
        <v/>
      </c>
      <c r="P35" s="41">
        <f>IF(N35=0,0,L35-SUMIFS('Billing Aug'!$H$2:$H$770,'Billing Aug'!$D$2:$D$770,A35)*SUMIFS('Billing Aug'!$I$2:$I$770,'Billing Aug'!$D$2:$D$770,A35))</f>
        <v/>
      </c>
      <c r="Q35" s="37">
        <f>IF(N35=0,"NO AUG TRANSACTION IN SUPPLIED EXTRACT",IF(ABS(P35)&gt;0.004,"SUBLEDGER ARITHMETIC ERROR",IF(ABS(M35)&gt;0.004,"BILLING VARIANCE","MATCH")))</f>
        <v/>
      </c>
    </row>
    <row r="36">
      <c r="A36" s="37" t="inlineStr">
        <is>
          <t>LP-0210</t>
        </is>
      </c>
      <c r="B36" s="37" t="inlineStr">
        <is>
          <t>Ledgport</t>
        </is>
      </c>
      <c r="C36" s="37" t="inlineStr">
        <is>
          <t>COVERED</t>
        </is>
      </c>
      <c r="D36" s="37" t="inlineStr">
        <is>
          <t>OCCUPIED</t>
        </is>
      </c>
      <c r="E36" s="37" t="inlineStr">
        <is>
          <t>WL-02178</t>
        </is>
      </c>
      <c r="F36" s="37" t="inlineStr">
        <is>
          <t>Thomas Stone</t>
        </is>
      </c>
      <c r="G36" s="37" t="n">
        <v>40</v>
      </c>
      <c r="H36" s="39" t="n">
        <v>24.8</v>
      </c>
      <c r="I36" s="40">
        <f>ROUNDUP(MAX(G36,H36),0)</f>
        <v/>
      </c>
      <c r="J36" s="41">
        <f>IF(C36="COVERED",'Methodology'!$B$9,'Methodology'!$B$10)</f>
        <v/>
      </c>
      <c r="K36" s="41">
        <f>I36*J36</f>
        <v/>
      </c>
      <c r="L36" s="41">
        <f>SUMIFS('Billing Aug'!$J$2:$J$770,'Billing Aug'!$D$2:$D$770,A36)</f>
        <v/>
      </c>
      <c r="M36" s="41">
        <f>L36-K36</f>
        <v/>
      </c>
      <c r="N36" s="37">
        <f>COUNTIF('Billing Aug'!$D$2:$D$770,A36)</f>
        <v/>
      </c>
      <c r="O36" s="37">
        <f>SUMIFS('Billing Aug'!$F$2:$F$770,'Billing Aug'!$D$2:$D$770,A36)</f>
        <v/>
      </c>
      <c r="P36" s="41">
        <f>IF(N36=0,0,L36-SUMIFS('Billing Aug'!$H$2:$H$770,'Billing Aug'!$D$2:$D$770,A36)*SUMIFS('Billing Aug'!$I$2:$I$770,'Billing Aug'!$D$2:$D$770,A36))</f>
        <v/>
      </c>
      <c r="Q36" s="37">
        <f>IF(N36=0,"NO AUG TRANSACTION IN SUPPLIED EXTRACT",IF(ABS(P36)&gt;0.004,"SUBLEDGER ARITHMETIC ERROR",IF(ABS(M36)&gt;0.004,"BILLING VARIANCE","MATCH")))</f>
        <v/>
      </c>
    </row>
    <row r="37">
      <c r="A37" s="37" t="inlineStr">
        <is>
          <t>LP-0212</t>
        </is>
      </c>
      <c r="B37" s="37" t="inlineStr">
        <is>
          <t>Ledgport</t>
        </is>
      </c>
      <c r="C37" s="37" t="inlineStr">
        <is>
          <t>COVERED</t>
        </is>
      </c>
      <c r="D37" s="37" t="inlineStr">
        <is>
          <t>OCCUPIED</t>
        </is>
      </c>
      <c r="E37" s="37" t="inlineStr">
        <is>
          <t>WL-03348</t>
        </is>
      </c>
      <c r="F37" s="37" t="inlineStr">
        <is>
          <t>Sandra Jackson</t>
        </is>
      </c>
      <c r="G37" s="37" t="n">
        <v>24</v>
      </c>
      <c r="H37" s="39" t="n">
        <v>57.4</v>
      </c>
      <c r="I37" s="40">
        <f>ROUNDUP(MAX(G37,H37),0)</f>
        <v/>
      </c>
      <c r="J37" s="41">
        <f>IF(C37="COVERED",'Methodology'!$B$9,'Methodology'!$B$10)</f>
        <v/>
      </c>
      <c r="K37" s="41">
        <f>I37*J37</f>
        <v/>
      </c>
      <c r="L37" s="41">
        <f>SUMIFS('Billing Aug'!$J$2:$J$770,'Billing Aug'!$D$2:$D$770,A37)</f>
        <v/>
      </c>
      <c r="M37" s="41">
        <f>L37-K37</f>
        <v/>
      </c>
      <c r="N37" s="37">
        <f>COUNTIF('Billing Aug'!$D$2:$D$770,A37)</f>
        <v/>
      </c>
      <c r="O37" s="37">
        <f>SUMIFS('Billing Aug'!$F$2:$F$770,'Billing Aug'!$D$2:$D$770,A37)</f>
        <v/>
      </c>
      <c r="P37" s="41">
        <f>IF(N37=0,0,L37-SUMIFS('Billing Aug'!$H$2:$H$770,'Billing Aug'!$D$2:$D$770,A37)*SUMIFS('Billing Aug'!$I$2:$I$770,'Billing Aug'!$D$2:$D$770,A37))</f>
        <v/>
      </c>
      <c r="Q37" s="37">
        <f>IF(N37=0,"NO AUG TRANSACTION IN SUPPLIED EXTRACT",IF(ABS(P37)&gt;0.004,"SUBLEDGER ARITHMETIC ERROR",IF(ABS(M37)&gt;0.004,"BILLING VARIANCE","MATCH")))</f>
        <v/>
      </c>
    </row>
    <row r="38">
      <c r="A38" s="37" t="inlineStr">
        <is>
          <t>LP-0213</t>
        </is>
      </c>
      <c r="B38" s="37" t="inlineStr">
        <is>
          <t>Ledgport</t>
        </is>
      </c>
      <c r="C38" s="37" t="inlineStr">
        <is>
          <t>COVERED</t>
        </is>
      </c>
      <c r="D38" s="37" t="inlineStr">
        <is>
          <t>OCCUPIED</t>
        </is>
      </c>
      <c r="E38" s="37" t="inlineStr">
        <is>
          <t>WL-02388</t>
        </is>
      </c>
      <c r="F38" s="37" t="inlineStr">
        <is>
          <t>Gregory Brady</t>
        </is>
      </c>
      <c r="G38" s="37" t="n">
        <v>40</v>
      </c>
      <c r="H38" s="39" t="n">
        <v>49.7</v>
      </c>
      <c r="I38" s="40">
        <f>ROUNDUP(MAX(G38,H38),0)</f>
        <v/>
      </c>
      <c r="J38" s="41">
        <f>IF(C38="COVERED",'Methodology'!$B$9,'Methodology'!$B$10)</f>
        <v/>
      </c>
      <c r="K38" s="41">
        <f>I38*J38</f>
        <v/>
      </c>
      <c r="L38" s="41">
        <f>SUMIFS('Billing Aug'!$J$2:$J$770,'Billing Aug'!$D$2:$D$770,A38)</f>
        <v/>
      </c>
      <c r="M38" s="41">
        <f>L38-K38</f>
        <v/>
      </c>
      <c r="N38" s="37">
        <f>COUNTIF('Billing Aug'!$D$2:$D$770,A38)</f>
        <v/>
      </c>
      <c r="O38" s="37">
        <f>SUMIFS('Billing Aug'!$F$2:$F$770,'Billing Aug'!$D$2:$D$770,A38)</f>
        <v/>
      </c>
      <c r="P38" s="41">
        <f>IF(N38=0,0,L38-SUMIFS('Billing Aug'!$H$2:$H$770,'Billing Aug'!$D$2:$D$770,A38)*SUMIFS('Billing Aug'!$I$2:$I$770,'Billing Aug'!$D$2:$D$770,A38))</f>
        <v/>
      </c>
      <c r="Q38" s="37">
        <f>IF(N38=0,"NO AUG TRANSACTION IN SUPPLIED EXTRACT",IF(ABS(P38)&gt;0.004,"SUBLEDGER ARITHMETIC ERROR",IF(ABS(M38)&gt;0.004,"BILLING VARIANCE","MATCH")))</f>
        <v/>
      </c>
    </row>
    <row r="39">
      <c r="A39" s="37" t="inlineStr">
        <is>
          <t>LP-0214</t>
        </is>
      </c>
      <c r="B39" s="37" t="inlineStr">
        <is>
          <t>Ledgport</t>
        </is>
      </c>
      <c r="C39" s="37" t="inlineStr">
        <is>
          <t>COVERED</t>
        </is>
      </c>
      <c r="D39" s="37" t="inlineStr">
        <is>
          <t>OCCUPIED</t>
        </is>
      </c>
      <c r="E39" s="37" t="inlineStr">
        <is>
          <t>WL-01816</t>
        </is>
      </c>
      <c r="F39" s="37" t="inlineStr">
        <is>
          <t>Jeanne Bennett</t>
        </is>
      </c>
      <c r="G39" s="37" t="n">
        <v>28</v>
      </c>
      <c r="H39" s="39" t="n">
        <v>31</v>
      </c>
      <c r="I39" s="40">
        <f>ROUNDUP(MAX(G39,H39),0)</f>
        <v/>
      </c>
      <c r="J39" s="41">
        <f>IF(C39="COVERED",'Methodology'!$B$9,'Methodology'!$B$10)</f>
        <v/>
      </c>
      <c r="K39" s="41">
        <f>I39*J39</f>
        <v/>
      </c>
      <c r="L39" s="41">
        <f>SUMIFS('Billing Aug'!$J$2:$J$770,'Billing Aug'!$D$2:$D$770,A39)</f>
        <v/>
      </c>
      <c r="M39" s="41">
        <f>L39-K39</f>
        <v/>
      </c>
      <c r="N39" s="37">
        <f>COUNTIF('Billing Aug'!$D$2:$D$770,A39)</f>
        <v/>
      </c>
      <c r="O39" s="37">
        <f>SUMIFS('Billing Aug'!$F$2:$F$770,'Billing Aug'!$D$2:$D$770,A39)</f>
        <v/>
      </c>
      <c r="P39" s="41">
        <f>IF(N39=0,0,L39-SUMIFS('Billing Aug'!$H$2:$H$770,'Billing Aug'!$D$2:$D$770,A39)*SUMIFS('Billing Aug'!$I$2:$I$770,'Billing Aug'!$D$2:$D$770,A39))</f>
        <v/>
      </c>
      <c r="Q39" s="37">
        <f>IF(N39=0,"NO AUG TRANSACTION IN SUPPLIED EXTRACT",IF(ABS(P39)&gt;0.004,"SUBLEDGER ARITHMETIC ERROR",IF(ABS(M39)&gt;0.004,"BILLING VARIANCE","MATCH")))</f>
        <v/>
      </c>
    </row>
    <row r="40">
      <c r="A40" s="37" t="inlineStr">
        <is>
          <t>LP-0215</t>
        </is>
      </c>
      <c r="B40" s="37" t="inlineStr">
        <is>
          <t>Ledgport</t>
        </is>
      </c>
      <c r="C40" s="37" t="inlineStr">
        <is>
          <t>COVERED</t>
        </is>
      </c>
      <c r="D40" s="37" t="inlineStr">
        <is>
          <t>OCCUPIED</t>
        </is>
      </c>
      <c r="E40" s="37" t="inlineStr">
        <is>
          <t>WL-01337</t>
        </is>
      </c>
      <c r="F40" s="37" t="inlineStr">
        <is>
          <t>Anna Wright</t>
        </is>
      </c>
      <c r="G40" s="37" t="n">
        <v>28</v>
      </c>
      <c r="H40" s="39" t="n">
        <v>26.3</v>
      </c>
      <c r="I40" s="40">
        <f>ROUNDUP(MAX(G40,H40),0)</f>
        <v/>
      </c>
      <c r="J40" s="41">
        <f>IF(C40="COVERED",'Methodology'!$B$9,'Methodology'!$B$10)</f>
        <v/>
      </c>
      <c r="K40" s="41">
        <f>I40*J40</f>
        <v/>
      </c>
      <c r="L40" s="41">
        <f>SUMIFS('Billing Aug'!$J$2:$J$770,'Billing Aug'!$D$2:$D$770,A40)</f>
        <v/>
      </c>
      <c r="M40" s="41">
        <f>L40-K40</f>
        <v/>
      </c>
      <c r="N40" s="37">
        <f>COUNTIF('Billing Aug'!$D$2:$D$770,A40)</f>
        <v/>
      </c>
      <c r="O40" s="37">
        <f>SUMIFS('Billing Aug'!$F$2:$F$770,'Billing Aug'!$D$2:$D$770,A40)</f>
        <v/>
      </c>
      <c r="P40" s="41">
        <f>IF(N40=0,0,L40-SUMIFS('Billing Aug'!$H$2:$H$770,'Billing Aug'!$D$2:$D$770,A40)*SUMIFS('Billing Aug'!$I$2:$I$770,'Billing Aug'!$D$2:$D$770,A40))</f>
        <v/>
      </c>
      <c r="Q40" s="37">
        <f>IF(N40=0,"NO AUG TRANSACTION IN SUPPLIED EXTRACT",IF(ABS(P40)&gt;0.004,"SUBLEDGER ARITHMETIC ERROR",IF(ABS(M40)&gt;0.004,"BILLING VARIANCE","MATCH")))</f>
        <v/>
      </c>
    </row>
    <row r="41">
      <c r="A41" s="37" t="inlineStr">
        <is>
          <t>LP-0216</t>
        </is>
      </c>
      <c r="B41" s="37" t="inlineStr">
        <is>
          <t>Ledgport</t>
        </is>
      </c>
      <c r="C41" s="37" t="inlineStr">
        <is>
          <t>COVERED</t>
        </is>
      </c>
      <c r="D41" s="37" t="inlineStr">
        <is>
          <t>OCCUPIED</t>
        </is>
      </c>
      <c r="E41" s="37" t="inlineStr">
        <is>
          <t>WL-01428</t>
        </is>
      </c>
      <c r="F41" s="37" t="inlineStr">
        <is>
          <t>Audrey Taylor</t>
        </is>
      </c>
      <c r="G41" s="37" t="n">
        <v>32</v>
      </c>
      <c r="H41" s="39" t="n">
        <v>57</v>
      </c>
      <c r="I41" s="40">
        <f>ROUNDUP(MAX(G41,H41),0)</f>
        <v/>
      </c>
      <c r="J41" s="41">
        <f>IF(C41="COVERED",'Methodology'!$B$9,'Methodology'!$B$10)</f>
        <v/>
      </c>
      <c r="K41" s="41">
        <f>I41*J41</f>
        <v/>
      </c>
      <c r="L41" s="41">
        <f>SUMIFS('Billing Aug'!$J$2:$J$770,'Billing Aug'!$D$2:$D$770,A41)</f>
        <v/>
      </c>
      <c r="M41" s="41">
        <f>L41-K41</f>
        <v/>
      </c>
      <c r="N41" s="37">
        <f>COUNTIF('Billing Aug'!$D$2:$D$770,A41)</f>
        <v/>
      </c>
      <c r="O41" s="37">
        <f>SUMIFS('Billing Aug'!$F$2:$F$770,'Billing Aug'!$D$2:$D$770,A41)</f>
        <v/>
      </c>
      <c r="P41" s="41">
        <f>IF(N41=0,0,L41-SUMIFS('Billing Aug'!$H$2:$H$770,'Billing Aug'!$D$2:$D$770,A41)*SUMIFS('Billing Aug'!$I$2:$I$770,'Billing Aug'!$D$2:$D$770,A41))</f>
        <v/>
      </c>
      <c r="Q41" s="37">
        <f>IF(N41=0,"NO AUG TRANSACTION IN SUPPLIED EXTRACT",IF(ABS(P41)&gt;0.004,"SUBLEDGER ARITHMETIC ERROR",IF(ABS(M41)&gt;0.004,"BILLING VARIANCE","MATCH")))</f>
        <v/>
      </c>
    </row>
    <row r="42">
      <c r="A42" s="37" t="inlineStr">
        <is>
          <t>LP-0217</t>
        </is>
      </c>
      <c r="B42" s="37" t="inlineStr">
        <is>
          <t>Ledgport</t>
        </is>
      </c>
      <c r="C42" s="37" t="inlineStr">
        <is>
          <t>COVERED</t>
        </is>
      </c>
      <c r="D42" s="37" t="inlineStr">
        <is>
          <t>OCCUPIED</t>
        </is>
      </c>
      <c r="E42" s="37" t="inlineStr">
        <is>
          <t>WL-01497</t>
        </is>
      </c>
      <c r="F42" s="37" t="inlineStr">
        <is>
          <t>Aaron Ellis</t>
        </is>
      </c>
      <c r="G42" s="37" t="n">
        <v>40</v>
      </c>
      <c r="H42" s="39" t="n">
        <v>58.7</v>
      </c>
      <c r="I42" s="40">
        <f>ROUNDUP(MAX(G42,H42),0)</f>
        <v/>
      </c>
      <c r="J42" s="41">
        <f>IF(C42="COVERED",'Methodology'!$B$9,'Methodology'!$B$10)</f>
        <v/>
      </c>
      <c r="K42" s="41">
        <f>I42*J42</f>
        <v/>
      </c>
      <c r="L42" s="41">
        <f>SUMIFS('Billing Aug'!$J$2:$J$770,'Billing Aug'!$D$2:$D$770,A42)</f>
        <v/>
      </c>
      <c r="M42" s="41">
        <f>L42-K42</f>
        <v/>
      </c>
      <c r="N42" s="37">
        <f>COUNTIF('Billing Aug'!$D$2:$D$770,A42)</f>
        <v/>
      </c>
      <c r="O42" s="37">
        <f>SUMIFS('Billing Aug'!$F$2:$F$770,'Billing Aug'!$D$2:$D$770,A42)</f>
        <v/>
      </c>
      <c r="P42" s="41">
        <f>IF(N42=0,0,L42-SUMIFS('Billing Aug'!$H$2:$H$770,'Billing Aug'!$D$2:$D$770,A42)*SUMIFS('Billing Aug'!$I$2:$I$770,'Billing Aug'!$D$2:$D$770,A42))</f>
        <v/>
      </c>
      <c r="Q42" s="37">
        <f>IF(N42=0,"NO AUG TRANSACTION IN SUPPLIED EXTRACT",IF(ABS(P42)&gt;0.004,"SUBLEDGER ARITHMETIC ERROR",IF(ABS(M42)&gt;0.004,"BILLING VARIANCE","MATCH")))</f>
        <v/>
      </c>
    </row>
    <row r="43">
      <c r="A43" s="37" t="inlineStr">
        <is>
          <t>LP-0218</t>
        </is>
      </c>
      <c r="B43" s="37" t="inlineStr">
        <is>
          <t>Ledgport</t>
        </is>
      </c>
      <c r="C43" s="37" t="inlineStr">
        <is>
          <t>COVERED</t>
        </is>
      </c>
      <c r="D43" s="37" t="inlineStr">
        <is>
          <t>OCCUPIED</t>
        </is>
      </c>
      <c r="E43" s="37" t="inlineStr">
        <is>
          <t>WL-01177</t>
        </is>
      </c>
      <c r="F43" s="37" t="inlineStr">
        <is>
          <t>Sydney Moore</t>
        </is>
      </c>
      <c r="G43" s="37" t="n">
        <v>24</v>
      </c>
      <c r="H43" s="39" t="n">
        <v>41.6</v>
      </c>
      <c r="I43" s="40">
        <f>ROUNDUP(MAX(G43,H43),0)</f>
        <v/>
      </c>
      <c r="J43" s="41">
        <f>IF(C43="COVERED",'Methodology'!$B$9,'Methodology'!$B$10)</f>
        <v/>
      </c>
      <c r="K43" s="41">
        <f>I43*J43</f>
        <v/>
      </c>
      <c r="L43" s="41">
        <f>SUMIFS('Billing Aug'!$J$2:$J$770,'Billing Aug'!$D$2:$D$770,A43)</f>
        <v/>
      </c>
      <c r="M43" s="41">
        <f>L43-K43</f>
        <v/>
      </c>
      <c r="N43" s="37">
        <f>COUNTIF('Billing Aug'!$D$2:$D$770,A43)</f>
        <v/>
      </c>
      <c r="O43" s="37">
        <f>SUMIFS('Billing Aug'!$F$2:$F$770,'Billing Aug'!$D$2:$D$770,A43)</f>
        <v/>
      </c>
      <c r="P43" s="41">
        <f>IF(N43=0,0,L43-SUMIFS('Billing Aug'!$H$2:$H$770,'Billing Aug'!$D$2:$D$770,A43)*SUMIFS('Billing Aug'!$I$2:$I$770,'Billing Aug'!$D$2:$D$770,A43))</f>
        <v/>
      </c>
      <c r="Q43" s="37">
        <f>IF(N43=0,"NO AUG TRANSACTION IN SUPPLIED EXTRACT",IF(ABS(P43)&gt;0.004,"SUBLEDGER ARITHMETIC ERROR",IF(ABS(M43)&gt;0.004,"BILLING VARIANCE","MATCH")))</f>
        <v/>
      </c>
    </row>
    <row r="44">
      <c r="A44" s="37" t="inlineStr">
        <is>
          <t>LP-0219</t>
        </is>
      </c>
      <c r="B44" s="37" t="inlineStr">
        <is>
          <t>Ledgport</t>
        </is>
      </c>
      <c r="C44" s="37" t="inlineStr">
        <is>
          <t>COVERED</t>
        </is>
      </c>
      <c r="D44" s="37" t="inlineStr">
        <is>
          <t>OCCUPIED</t>
        </is>
      </c>
      <c r="E44" s="37" t="inlineStr">
        <is>
          <t>WL-01324</t>
        </is>
      </c>
      <c r="F44" s="37" t="inlineStr">
        <is>
          <t>Bradley Baker</t>
        </is>
      </c>
      <c r="G44" s="37" t="n">
        <v>28</v>
      </c>
      <c r="H44" s="39" t="n">
        <v>46.9</v>
      </c>
      <c r="I44" s="40">
        <f>ROUNDUP(MAX(G44,H44),0)</f>
        <v/>
      </c>
      <c r="J44" s="41">
        <f>IF(C44="COVERED",'Methodology'!$B$9,'Methodology'!$B$10)</f>
        <v/>
      </c>
      <c r="K44" s="41">
        <f>I44*J44</f>
        <v/>
      </c>
      <c r="L44" s="41">
        <f>SUMIFS('Billing Aug'!$J$2:$J$770,'Billing Aug'!$D$2:$D$770,A44)</f>
        <v/>
      </c>
      <c r="M44" s="41">
        <f>L44-K44</f>
        <v/>
      </c>
      <c r="N44" s="37">
        <f>COUNTIF('Billing Aug'!$D$2:$D$770,A44)</f>
        <v/>
      </c>
      <c r="O44" s="37">
        <f>SUMIFS('Billing Aug'!$F$2:$F$770,'Billing Aug'!$D$2:$D$770,A44)</f>
        <v/>
      </c>
      <c r="P44" s="41">
        <f>IF(N44=0,0,L44-SUMIFS('Billing Aug'!$H$2:$H$770,'Billing Aug'!$D$2:$D$770,A44)*SUMIFS('Billing Aug'!$I$2:$I$770,'Billing Aug'!$D$2:$D$770,A44))</f>
        <v/>
      </c>
      <c r="Q44" s="37">
        <f>IF(N44=0,"NO AUG TRANSACTION IN SUPPLIED EXTRACT",IF(ABS(P44)&gt;0.004,"SUBLEDGER ARITHMETIC ERROR",IF(ABS(M44)&gt;0.004,"BILLING VARIANCE","MATCH")))</f>
        <v/>
      </c>
    </row>
    <row r="45">
      <c r="A45" s="37" t="inlineStr">
        <is>
          <t>LP-0220</t>
        </is>
      </c>
      <c r="B45" s="37" t="inlineStr">
        <is>
          <t>Ledgport</t>
        </is>
      </c>
      <c r="C45" s="37" t="inlineStr">
        <is>
          <t>COVERED</t>
        </is>
      </c>
      <c r="D45" s="37" t="inlineStr">
        <is>
          <t>OCCUPIED</t>
        </is>
      </c>
      <c r="E45" s="37" t="inlineStr">
        <is>
          <t>WL-02659</t>
        </is>
      </c>
      <c r="F45" s="37" t="inlineStr">
        <is>
          <t>Loretta Murillo</t>
        </is>
      </c>
      <c r="G45" s="37" t="n">
        <v>28</v>
      </c>
      <c r="H45" s="39" t="n">
        <v>45.1</v>
      </c>
      <c r="I45" s="40">
        <f>ROUNDUP(MAX(G45,H45),0)</f>
        <v/>
      </c>
      <c r="J45" s="41">
        <f>IF(C45="COVERED",'Methodology'!$B$9,'Methodology'!$B$10)</f>
        <v/>
      </c>
      <c r="K45" s="41">
        <f>I45*J45</f>
        <v/>
      </c>
      <c r="L45" s="41">
        <f>SUMIFS('Billing Aug'!$J$2:$J$770,'Billing Aug'!$D$2:$D$770,A45)</f>
        <v/>
      </c>
      <c r="M45" s="41">
        <f>L45-K45</f>
        <v/>
      </c>
      <c r="N45" s="37">
        <f>COUNTIF('Billing Aug'!$D$2:$D$770,A45)</f>
        <v/>
      </c>
      <c r="O45" s="37">
        <f>SUMIFS('Billing Aug'!$F$2:$F$770,'Billing Aug'!$D$2:$D$770,A45)</f>
        <v/>
      </c>
      <c r="P45" s="41">
        <f>IF(N45=0,0,L45-SUMIFS('Billing Aug'!$H$2:$H$770,'Billing Aug'!$D$2:$D$770,A45)*SUMIFS('Billing Aug'!$I$2:$I$770,'Billing Aug'!$D$2:$D$770,A45))</f>
        <v/>
      </c>
      <c r="Q45" s="37">
        <f>IF(N45=0,"NO AUG TRANSACTION IN SUPPLIED EXTRACT",IF(ABS(P45)&gt;0.004,"SUBLEDGER ARITHMETIC ERROR",IF(ABS(M45)&gt;0.004,"BILLING VARIANCE","MATCH")))</f>
        <v/>
      </c>
    </row>
    <row r="46">
      <c r="A46" s="37" t="inlineStr">
        <is>
          <t>LP-0221</t>
        </is>
      </c>
      <c r="B46" s="37" t="inlineStr">
        <is>
          <t>Ledgport</t>
        </is>
      </c>
      <c r="C46" s="37" t="inlineStr">
        <is>
          <t>COVERED</t>
        </is>
      </c>
      <c r="D46" s="37" t="inlineStr">
        <is>
          <t>OCCUPIED</t>
        </is>
      </c>
      <c r="E46" s="37" t="inlineStr">
        <is>
          <t>WL-03407</t>
        </is>
      </c>
      <c r="F46" s="37" t="inlineStr">
        <is>
          <t>Allison Anthony</t>
        </is>
      </c>
      <c r="G46" s="37" t="n">
        <v>24</v>
      </c>
      <c r="H46" s="39" t="n">
        <v>57.8</v>
      </c>
      <c r="I46" s="40">
        <f>ROUNDUP(MAX(G46,H46),0)</f>
        <v/>
      </c>
      <c r="J46" s="41">
        <f>IF(C46="COVERED",'Methodology'!$B$9,'Methodology'!$B$10)</f>
        <v/>
      </c>
      <c r="K46" s="41">
        <f>I46*J46</f>
        <v/>
      </c>
      <c r="L46" s="41">
        <f>SUMIFS('Billing Aug'!$J$2:$J$770,'Billing Aug'!$D$2:$D$770,A46)</f>
        <v/>
      </c>
      <c r="M46" s="41">
        <f>L46-K46</f>
        <v/>
      </c>
      <c r="N46" s="37">
        <f>COUNTIF('Billing Aug'!$D$2:$D$770,A46)</f>
        <v/>
      </c>
      <c r="O46" s="37">
        <f>SUMIFS('Billing Aug'!$F$2:$F$770,'Billing Aug'!$D$2:$D$770,A46)</f>
        <v/>
      </c>
      <c r="P46" s="41">
        <f>IF(N46=0,0,L46-SUMIFS('Billing Aug'!$H$2:$H$770,'Billing Aug'!$D$2:$D$770,A46)*SUMIFS('Billing Aug'!$I$2:$I$770,'Billing Aug'!$D$2:$D$770,A46))</f>
        <v/>
      </c>
      <c r="Q46" s="37">
        <f>IF(N46=0,"NO AUG TRANSACTION IN SUPPLIED EXTRACT",IF(ABS(P46)&gt;0.004,"SUBLEDGER ARITHMETIC ERROR",IF(ABS(M46)&gt;0.004,"BILLING VARIANCE","MATCH")))</f>
        <v/>
      </c>
    </row>
    <row r="47">
      <c r="A47" s="37" t="inlineStr">
        <is>
          <t>LP-0222</t>
        </is>
      </c>
      <c r="B47" s="37" t="inlineStr">
        <is>
          <t>Ledgport</t>
        </is>
      </c>
      <c r="C47" s="37" t="inlineStr">
        <is>
          <t>COVERED</t>
        </is>
      </c>
      <c r="D47" s="37" t="inlineStr">
        <is>
          <t>OCCUPIED</t>
        </is>
      </c>
      <c r="E47" s="37" t="inlineStr">
        <is>
          <t>WL-01185</t>
        </is>
      </c>
      <c r="F47" s="37" t="inlineStr">
        <is>
          <t>Stephen Burke</t>
        </is>
      </c>
      <c r="G47" s="37" t="n">
        <v>36</v>
      </c>
      <c r="H47" s="39" t="n">
        <v>25.5</v>
      </c>
      <c r="I47" s="40">
        <f>ROUNDUP(MAX(G47,H47),0)</f>
        <v/>
      </c>
      <c r="J47" s="41">
        <f>IF(C47="COVERED",'Methodology'!$B$9,'Methodology'!$B$10)</f>
        <v/>
      </c>
      <c r="K47" s="41">
        <f>I47*J47</f>
        <v/>
      </c>
      <c r="L47" s="41">
        <f>SUMIFS('Billing Aug'!$J$2:$J$770,'Billing Aug'!$D$2:$D$770,A47)</f>
        <v/>
      </c>
      <c r="M47" s="41">
        <f>L47-K47</f>
        <v/>
      </c>
      <c r="N47" s="37">
        <f>COUNTIF('Billing Aug'!$D$2:$D$770,A47)</f>
        <v/>
      </c>
      <c r="O47" s="37">
        <f>SUMIFS('Billing Aug'!$F$2:$F$770,'Billing Aug'!$D$2:$D$770,A47)</f>
        <v/>
      </c>
      <c r="P47" s="41">
        <f>IF(N47=0,0,L47-SUMIFS('Billing Aug'!$H$2:$H$770,'Billing Aug'!$D$2:$D$770,A47)*SUMIFS('Billing Aug'!$I$2:$I$770,'Billing Aug'!$D$2:$D$770,A47))</f>
        <v/>
      </c>
      <c r="Q47" s="37">
        <f>IF(N47=0,"NO AUG TRANSACTION IN SUPPLIED EXTRACT",IF(ABS(P47)&gt;0.004,"SUBLEDGER ARITHMETIC ERROR",IF(ABS(M47)&gt;0.004,"BILLING VARIANCE","MATCH")))</f>
        <v/>
      </c>
    </row>
    <row r="48">
      <c r="A48" s="37" t="inlineStr">
        <is>
          <t>LP-0223</t>
        </is>
      </c>
      <c r="B48" s="37" t="inlineStr">
        <is>
          <t>Ledgport</t>
        </is>
      </c>
      <c r="C48" s="37" t="inlineStr">
        <is>
          <t>COVERED</t>
        </is>
      </c>
      <c r="D48" s="37" t="inlineStr">
        <is>
          <t>OCCUPIED</t>
        </is>
      </c>
      <c r="E48" s="37" t="inlineStr">
        <is>
          <t>WL-02494</t>
        </is>
      </c>
      <c r="F48" s="37" t="inlineStr">
        <is>
          <t>Renee Dean</t>
        </is>
      </c>
      <c r="G48" s="37" t="n">
        <v>24</v>
      </c>
      <c r="H48" s="39" t="n">
        <v>49.8</v>
      </c>
      <c r="I48" s="40">
        <f>ROUNDUP(MAX(G48,H48),0)</f>
        <v/>
      </c>
      <c r="J48" s="41">
        <f>IF(C48="COVERED",'Methodology'!$B$9,'Methodology'!$B$10)</f>
        <v/>
      </c>
      <c r="K48" s="41">
        <f>I48*J48</f>
        <v/>
      </c>
      <c r="L48" s="41">
        <f>SUMIFS('Billing Aug'!$J$2:$J$770,'Billing Aug'!$D$2:$D$770,A48)</f>
        <v/>
      </c>
      <c r="M48" s="41">
        <f>L48-K48</f>
        <v/>
      </c>
      <c r="N48" s="37">
        <f>COUNTIF('Billing Aug'!$D$2:$D$770,A48)</f>
        <v/>
      </c>
      <c r="O48" s="37">
        <f>SUMIFS('Billing Aug'!$F$2:$F$770,'Billing Aug'!$D$2:$D$770,A48)</f>
        <v/>
      </c>
      <c r="P48" s="41">
        <f>IF(N48=0,0,L48-SUMIFS('Billing Aug'!$H$2:$H$770,'Billing Aug'!$D$2:$D$770,A48)*SUMIFS('Billing Aug'!$I$2:$I$770,'Billing Aug'!$D$2:$D$770,A48))</f>
        <v/>
      </c>
      <c r="Q48" s="37">
        <f>IF(N48=0,"NO AUG TRANSACTION IN SUPPLIED EXTRACT",IF(ABS(P48)&gt;0.004,"SUBLEDGER ARITHMETIC ERROR",IF(ABS(M48)&gt;0.004,"BILLING VARIANCE","MATCH")))</f>
        <v/>
      </c>
    </row>
    <row r="49">
      <c r="A49" s="37" t="inlineStr">
        <is>
          <t>LP-0224</t>
        </is>
      </c>
      <c r="B49" s="37" t="inlineStr">
        <is>
          <t>Ledgport</t>
        </is>
      </c>
      <c r="C49" s="37" t="inlineStr">
        <is>
          <t>COVERED</t>
        </is>
      </c>
      <c r="D49" s="37" t="inlineStr">
        <is>
          <t>OCCUPIED</t>
        </is>
      </c>
      <c r="E49" s="37" t="inlineStr">
        <is>
          <t>WL-01261</t>
        </is>
      </c>
      <c r="F49" s="37" t="inlineStr">
        <is>
          <t>Anita Rose</t>
        </is>
      </c>
      <c r="G49" s="37" t="n">
        <v>40</v>
      </c>
      <c r="H49" s="39" t="n">
        <v>26.7</v>
      </c>
      <c r="I49" s="40">
        <f>ROUNDUP(MAX(G49,H49),0)</f>
        <v/>
      </c>
      <c r="J49" s="41">
        <f>IF(C49="COVERED",'Methodology'!$B$9,'Methodology'!$B$10)</f>
        <v/>
      </c>
      <c r="K49" s="41">
        <f>I49*J49</f>
        <v/>
      </c>
      <c r="L49" s="41">
        <f>SUMIFS('Billing Aug'!$J$2:$J$770,'Billing Aug'!$D$2:$D$770,A49)</f>
        <v/>
      </c>
      <c r="M49" s="41">
        <f>L49-K49</f>
        <v/>
      </c>
      <c r="N49" s="37">
        <f>COUNTIF('Billing Aug'!$D$2:$D$770,A49)</f>
        <v/>
      </c>
      <c r="O49" s="37">
        <f>SUMIFS('Billing Aug'!$F$2:$F$770,'Billing Aug'!$D$2:$D$770,A49)</f>
        <v/>
      </c>
      <c r="P49" s="41">
        <f>IF(N49=0,0,L49-SUMIFS('Billing Aug'!$H$2:$H$770,'Billing Aug'!$D$2:$D$770,A49)*SUMIFS('Billing Aug'!$I$2:$I$770,'Billing Aug'!$D$2:$D$770,A49))</f>
        <v/>
      </c>
      <c r="Q49" s="37">
        <f>IF(N49=0,"NO AUG TRANSACTION IN SUPPLIED EXTRACT",IF(ABS(P49)&gt;0.004,"SUBLEDGER ARITHMETIC ERROR",IF(ABS(M49)&gt;0.004,"BILLING VARIANCE","MATCH")))</f>
        <v/>
      </c>
    </row>
    <row r="50">
      <c r="A50" s="37" t="inlineStr">
        <is>
          <t>LP-0301</t>
        </is>
      </c>
      <c r="B50" s="37" t="inlineStr">
        <is>
          <t>Ledgport</t>
        </is>
      </c>
      <c r="C50" s="37" t="inlineStr">
        <is>
          <t>COVERED</t>
        </is>
      </c>
      <c r="D50" s="37" t="inlineStr">
        <is>
          <t>OCCUPIED</t>
        </is>
      </c>
      <c r="E50" s="37" t="inlineStr">
        <is>
          <t>WL-03425</t>
        </is>
      </c>
      <c r="F50" s="37" t="inlineStr">
        <is>
          <t>Miranda Neal</t>
        </is>
      </c>
      <c r="G50" s="37" t="n">
        <v>28</v>
      </c>
      <c r="H50" s="39" t="n">
        <v>18.4</v>
      </c>
      <c r="I50" s="40">
        <f>ROUNDUP(MAX(G50,H50),0)</f>
        <v/>
      </c>
      <c r="J50" s="41">
        <f>IF(C50="COVERED",'Methodology'!$B$9,'Methodology'!$B$10)</f>
        <v/>
      </c>
      <c r="K50" s="41">
        <f>I50*J50</f>
        <v/>
      </c>
      <c r="L50" s="41">
        <f>SUMIFS('Billing Aug'!$J$2:$J$770,'Billing Aug'!$D$2:$D$770,A50)</f>
        <v/>
      </c>
      <c r="M50" s="41">
        <f>L50-K50</f>
        <v/>
      </c>
      <c r="N50" s="37">
        <f>COUNTIF('Billing Aug'!$D$2:$D$770,A50)</f>
        <v/>
      </c>
      <c r="O50" s="37">
        <f>SUMIFS('Billing Aug'!$F$2:$F$770,'Billing Aug'!$D$2:$D$770,A50)</f>
        <v/>
      </c>
      <c r="P50" s="41">
        <f>IF(N50=0,0,L50-SUMIFS('Billing Aug'!$H$2:$H$770,'Billing Aug'!$D$2:$D$770,A50)*SUMIFS('Billing Aug'!$I$2:$I$770,'Billing Aug'!$D$2:$D$770,A50))</f>
        <v/>
      </c>
      <c r="Q50" s="37">
        <f>IF(N50=0,"NO AUG TRANSACTION IN SUPPLIED EXTRACT",IF(ABS(P50)&gt;0.004,"SUBLEDGER ARITHMETIC ERROR",IF(ABS(M50)&gt;0.004,"BILLING VARIANCE","MATCH")))</f>
        <v/>
      </c>
    </row>
    <row r="51">
      <c r="A51" s="37" t="inlineStr">
        <is>
          <t>LP-0302</t>
        </is>
      </c>
      <c r="B51" s="37" t="inlineStr">
        <is>
          <t>Ledgport</t>
        </is>
      </c>
      <c r="C51" s="37" t="inlineStr">
        <is>
          <t>COVERED</t>
        </is>
      </c>
      <c r="D51" s="37" t="inlineStr">
        <is>
          <t>OCCUPIED</t>
        </is>
      </c>
      <c r="E51" s="37" t="inlineStr">
        <is>
          <t>WL-03048</t>
        </is>
      </c>
      <c r="F51" s="37" t="inlineStr">
        <is>
          <t>Brian Campbell</t>
        </is>
      </c>
      <c r="G51" s="37" t="n">
        <v>32</v>
      </c>
      <c r="H51" s="39" t="n">
        <v>37.3</v>
      </c>
      <c r="I51" s="40">
        <f>ROUNDUP(MAX(G51,H51),0)</f>
        <v/>
      </c>
      <c r="J51" s="41">
        <f>IF(C51="COVERED",'Methodology'!$B$9,'Methodology'!$B$10)</f>
        <v/>
      </c>
      <c r="K51" s="41">
        <f>I51*J51</f>
        <v/>
      </c>
      <c r="L51" s="41">
        <f>SUMIFS('Billing Aug'!$J$2:$J$770,'Billing Aug'!$D$2:$D$770,A51)</f>
        <v/>
      </c>
      <c r="M51" s="41">
        <f>L51-K51</f>
        <v/>
      </c>
      <c r="N51" s="37">
        <f>COUNTIF('Billing Aug'!$D$2:$D$770,A51)</f>
        <v/>
      </c>
      <c r="O51" s="37">
        <f>SUMIFS('Billing Aug'!$F$2:$F$770,'Billing Aug'!$D$2:$D$770,A51)</f>
        <v/>
      </c>
      <c r="P51" s="41">
        <f>IF(N51=0,0,L51-SUMIFS('Billing Aug'!$H$2:$H$770,'Billing Aug'!$D$2:$D$770,A51)*SUMIFS('Billing Aug'!$I$2:$I$770,'Billing Aug'!$D$2:$D$770,A51))</f>
        <v/>
      </c>
      <c r="Q51" s="37">
        <f>IF(N51=0,"NO AUG TRANSACTION IN SUPPLIED EXTRACT",IF(ABS(P51)&gt;0.004,"SUBLEDGER ARITHMETIC ERROR",IF(ABS(M51)&gt;0.004,"BILLING VARIANCE","MATCH")))</f>
        <v/>
      </c>
    </row>
    <row r="52">
      <c r="A52" s="37" t="inlineStr">
        <is>
          <t>LP-0303</t>
        </is>
      </c>
      <c r="B52" s="37" t="inlineStr">
        <is>
          <t>Ledgport</t>
        </is>
      </c>
      <c r="C52" s="37" t="inlineStr">
        <is>
          <t>COVERED</t>
        </is>
      </c>
      <c r="D52" s="37" t="inlineStr">
        <is>
          <t>OCCUPIED</t>
        </is>
      </c>
      <c r="E52" s="37" t="inlineStr">
        <is>
          <t>WL-02853</t>
        </is>
      </c>
      <c r="F52" s="37" t="inlineStr">
        <is>
          <t>Adam Stevens</t>
        </is>
      </c>
      <c r="G52" s="37" t="n">
        <v>32</v>
      </c>
      <c r="H52" s="39" t="n">
        <v>54</v>
      </c>
      <c r="I52" s="40">
        <f>ROUNDUP(MAX(G52,H52),0)</f>
        <v/>
      </c>
      <c r="J52" s="41">
        <f>IF(C52="COVERED",'Methodology'!$B$9,'Methodology'!$B$10)</f>
        <v/>
      </c>
      <c r="K52" s="41">
        <f>I52*J52</f>
        <v/>
      </c>
      <c r="L52" s="41">
        <f>SUMIFS('Billing Aug'!$J$2:$J$770,'Billing Aug'!$D$2:$D$770,A52)</f>
        <v/>
      </c>
      <c r="M52" s="41">
        <f>L52-K52</f>
        <v/>
      </c>
      <c r="N52" s="37">
        <f>COUNTIF('Billing Aug'!$D$2:$D$770,A52)</f>
        <v/>
      </c>
      <c r="O52" s="37">
        <f>SUMIFS('Billing Aug'!$F$2:$F$770,'Billing Aug'!$D$2:$D$770,A52)</f>
        <v/>
      </c>
      <c r="P52" s="41">
        <f>IF(N52=0,0,L52-SUMIFS('Billing Aug'!$H$2:$H$770,'Billing Aug'!$D$2:$D$770,A52)*SUMIFS('Billing Aug'!$I$2:$I$770,'Billing Aug'!$D$2:$D$770,A52))</f>
        <v/>
      </c>
      <c r="Q52" s="37">
        <f>IF(N52=0,"NO AUG TRANSACTION IN SUPPLIED EXTRACT",IF(ABS(P52)&gt;0.004,"SUBLEDGER ARITHMETIC ERROR",IF(ABS(M52)&gt;0.004,"BILLING VARIANCE","MATCH")))</f>
        <v/>
      </c>
    </row>
    <row r="53">
      <c r="A53" s="37" t="inlineStr">
        <is>
          <t>LP-0305</t>
        </is>
      </c>
      <c r="B53" s="37" t="inlineStr">
        <is>
          <t>Ledgport</t>
        </is>
      </c>
      <c r="C53" s="37" t="inlineStr">
        <is>
          <t>COVERED</t>
        </is>
      </c>
      <c r="D53" s="37" t="inlineStr">
        <is>
          <t>OCCUPIED</t>
        </is>
      </c>
      <c r="E53" s="37" t="inlineStr">
        <is>
          <t>WL-03470</t>
        </is>
      </c>
      <c r="F53" s="37" t="inlineStr">
        <is>
          <t>Nathan Huffman</t>
        </is>
      </c>
      <c r="G53" s="37" t="n">
        <v>32</v>
      </c>
      <c r="H53" s="39" t="n">
        <v>19.4</v>
      </c>
      <c r="I53" s="40">
        <f>ROUNDUP(MAX(G53,H53),0)</f>
        <v/>
      </c>
      <c r="J53" s="41">
        <f>IF(C53="COVERED",'Methodology'!$B$9,'Methodology'!$B$10)</f>
        <v/>
      </c>
      <c r="K53" s="41">
        <f>I53*J53</f>
        <v/>
      </c>
      <c r="L53" s="41">
        <f>SUMIFS('Billing Aug'!$J$2:$J$770,'Billing Aug'!$D$2:$D$770,A53)</f>
        <v/>
      </c>
      <c r="M53" s="41">
        <f>L53-K53</f>
        <v/>
      </c>
      <c r="N53" s="37">
        <f>COUNTIF('Billing Aug'!$D$2:$D$770,A53)</f>
        <v/>
      </c>
      <c r="O53" s="37">
        <f>SUMIFS('Billing Aug'!$F$2:$F$770,'Billing Aug'!$D$2:$D$770,A53)</f>
        <v/>
      </c>
      <c r="P53" s="41">
        <f>IF(N53=0,0,L53-SUMIFS('Billing Aug'!$H$2:$H$770,'Billing Aug'!$D$2:$D$770,A53)*SUMIFS('Billing Aug'!$I$2:$I$770,'Billing Aug'!$D$2:$D$770,A53))</f>
        <v/>
      </c>
      <c r="Q53" s="37">
        <f>IF(N53=0,"NO AUG TRANSACTION IN SUPPLIED EXTRACT",IF(ABS(P53)&gt;0.004,"SUBLEDGER ARITHMETIC ERROR",IF(ABS(M53)&gt;0.004,"BILLING VARIANCE","MATCH")))</f>
        <v/>
      </c>
    </row>
    <row r="54">
      <c r="A54" s="37" t="inlineStr">
        <is>
          <t>LP-0306</t>
        </is>
      </c>
      <c r="B54" s="37" t="inlineStr">
        <is>
          <t>Ledgport</t>
        </is>
      </c>
      <c r="C54" s="37" t="inlineStr">
        <is>
          <t>COVERED</t>
        </is>
      </c>
      <c r="D54" s="37" t="inlineStr">
        <is>
          <t>OCCUPIED</t>
        </is>
      </c>
      <c r="E54" s="37" t="inlineStr">
        <is>
          <t>WL-02345</t>
        </is>
      </c>
      <c r="F54" s="37" t="inlineStr">
        <is>
          <t>Brian Wade</t>
        </is>
      </c>
      <c r="G54" s="37" t="n">
        <v>32</v>
      </c>
      <c r="H54" s="39" t="n">
        <v>54.1</v>
      </c>
      <c r="I54" s="40">
        <f>ROUNDUP(MAX(G54,H54),0)</f>
        <v/>
      </c>
      <c r="J54" s="41">
        <f>IF(C54="COVERED",'Methodology'!$B$9,'Methodology'!$B$10)</f>
        <v/>
      </c>
      <c r="K54" s="41">
        <f>I54*J54</f>
        <v/>
      </c>
      <c r="L54" s="41">
        <f>SUMIFS('Billing Aug'!$J$2:$J$770,'Billing Aug'!$D$2:$D$770,A54)</f>
        <v/>
      </c>
      <c r="M54" s="41">
        <f>L54-K54</f>
        <v/>
      </c>
      <c r="N54" s="37">
        <f>COUNTIF('Billing Aug'!$D$2:$D$770,A54)</f>
        <v/>
      </c>
      <c r="O54" s="37">
        <f>SUMIFS('Billing Aug'!$F$2:$F$770,'Billing Aug'!$D$2:$D$770,A54)</f>
        <v/>
      </c>
      <c r="P54" s="41">
        <f>IF(N54=0,0,L54-SUMIFS('Billing Aug'!$H$2:$H$770,'Billing Aug'!$D$2:$D$770,A54)*SUMIFS('Billing Aug'!$I$2:$I$770,'Billing Aug'!$D$2:$D$770,A54))</f>
        <v/>
      </c>
      <c r="Q54" s="37">
        <f>IF(N54=0,"NO AUG TRANSACTION IN SUPPLIED EXTRACT",IF(ABS(P54)&gt;0.004,"SUBLEDGER ARITHMETIC ERROR",IF(ABS(M54)&gt;0.004,"BILLING VARIANCE","MATCH")))</f>
        <v/>
      </c>
    </row>
    <row r="55">
      <c r="A55" s="37" t="inlineStr">
        <is>
          <t>LP-0307</t>
        </is>
      </c>
      <c r="B55" s="37" t="inlineStr">
        <is>
          <t>Ledgport</t>
        </is>
      </c>
      <c r="C55" s="37" t="inlineStr">
        <is>
          <t>COVERED</t>
        </is>
      </c>
      <c r="D55" s="37" t="inlineStr">
        <is>
          <t>OCCUPIED</t>
        </is>
      </c>
      <c r="E55" s="37" t="inlineStr">
        <is>
          <t>WL-03230</t>
        </is>
      </c>
      <c r="F55" s="37" t="inlineStr">
        <is>
          <t>Cory Park</t>
        </is>
      </c>
      <c r="G55" s="37" t="n">
        <v>36</v>
      </c>
      <c r="H55" s="39" t="n">
        <v>60.7</v>
      </c>
      <c r="I55" s="40">
        <f>ROUNDUP(MAX(G55,H55),0)</f>
        <v/>
      </c>
      <c r="J55" s="41">
        <f>IF(C55="COVERED",'Methodology'!$B$9,'Methodology'!$B$10)</f>
        <v/>
      </c>
      <c r="K55" s="41">
        <f>I55*J55</f>
        <v/>
      </c>
      <c r="L55" s="41">
        <f>SUMIFS('Billing Aug'!$J$2:$J$770,'Billing Aug'!$D$2:$D$770,A55)</f>
        <v/>
      </c>
      <c r="M55" s="41">
        <f>L55-K55</f>
        <v/>
      </c>
      <c r="N55" s="37">
        <f>COUNTIF('Billing Aug'!$D$2:$D$770,A55)</f>
        <v/>
      </c>
      <c r="O55" s="37">
        <f>SUMIFS('Billing Aug'!$F$2:$F$770,'Billing Aug'!$D$2:$D$770,A55)</f>
        <v/>
      </c>
      <c r="P55" s="41">
        <f>IF(N55=0,0,L55-SUMIFS('Billing Aug'!$H$2:$H$770,'Billing Aug'!$D$2:$D$770,A55)*SUMIFS('Billing Aug'!$I$2:$I$770,'Billing Aug'!$D$2:$D$770,A55))</f>
        <v/>
      </c>
      <c r="Q55" s="37">
        <f>IF(N55=0,"NO AUG TRANSACTION IN SUPPLIED EXTRACT",IF(ABS(P55)&gt;0.004,"SUBLEDGER ARITHMETIC ERROR",IF(ABS(M55)&gt;0.004,"BILLING VARIANCE","MATCH")))</f>
        <v/>
      </c>
    </row>
    <row r="56">
      <c r="A56" s="37" t="inlineStr">
        <is>
          <t>LP-0309</t>
        </is>
      </c>
      <c r="B56" s="37" t="inlineStr">
        <is>
          <t>Ledgport</t>
        </is>
      </c>
      <c r="C56" s="37" t="inlineStr">
        <is>
          <t>COVERED</t>
        </is>
      </c>
      <c r="D56" s="37" t="inlineStr">
        <is>
          <t>OCCUPIED</t>
        </is>
      </c>
      <c r="E56" s="37" t="inlineStr">
        <is>
          <t>WL-02885</t>
        </is>
      </c>
      <c r="F56" s="37" t="inlineStr">
        <is>
          <t>James Rivera</t>
        </is>
      </c>
      <c r="G56" s="37" t="n">
        <v>40</v>
      </c>
      <c r="H56" s="39" t="n">
        <v>42.3</v>
      </c>
      <c r="I56" s="40">
        <f>ROUNDUP(MAX(G56,H56),0)</f>
        <v/>
      </c>
      <c r="J56" s="41">
        <f>IF(C56="COVERED",'Methodology'!$B$9,'Methodology'!$B$10)</f>
        <v/>
      </c>
      <c r="K56" s="41">
        <f>I56*J56</f>
        <v/>
      </c>
      <c r="L56" s="41">
        <f>SUMIFS('Billing Aug'!$J$2:$J$770,'Billing Aug'!$D$2:$D$770,A56)</f>
        <v/>
      </c>
      <c r="M56" s="41">
        <f>L56-K56</f>
        <v/>
      </c>
      <c r="N56" s="37">
        <f>COUNTIF('Billing Aug'!$D$2:$D$770,A56)</f>
        <v/>
      </c>
      <c r="O56" s="37">
        <f>SUMIFS('Billing Aug'!$F$2:$F$770,'Billing Aug'!$D$2:$D$770,A56)</f>
        <v/>
      </c>
      <c r="P56" s="41">
        <f>IF(N56=0,0,L56-SUMIFS('Billing Aug'!$H$2:$H$770,'Billing Aug'!$D$2:$D$770,A56)*SUMIFS('Billing Aug'!$I$2:$I$770,'Billing Aug'!$D$2:$D$770,A56))</f>
        <v/>
      </c>
      <c r="Q56" s="37">
        <f>IF(N56=0,"NO AUG TRANSACTION IN SUPPLIED EXTRACT",IF(ABS(P56)&gt;0.004,"SUBLEDGER ARITHMETIC ERROR",IF(ABS(M56)&gt;0.004,"BILLING VARIANCE","MATCH")))</f>
        <v/>
      </c>
    </row>
    <row r="57">
      <c r="A57" s="37" t="inlineStr">
        <is>
          <t>LP-0311</t>
        </is>
      </c>
      <c r="B57" s="37" t="inlineStr">
        <is>
          <t>Ledgport</t>
        </is>
      </c>
      <c r="C57" s="37" t="inlineStr">
        <is>
          <t>COVERED</t>
        </is>
      </c>
      <c r="D57" s="37" t="inlineStr">
        <is>
          <t>OCCUPIED</t>
        </is>
      </c>
      <c r="E57" s="37" t="inlineStr">
        <is>
          <t>WL-01606</t>
        </is>
      </c>
      <c r="F57" s="37" t="inlineStr">
        <is>
          <t>Joel English</t>
        </is>
      </c>
      <c r="G57" s="37" t="n">
        <v>24</v>
      </c>
      <c r="H57" s="39" t="n">
        <v>23.9</v>
      </c>
      <c r="I57" s="40">
        <f>ROUNDUP(MAX(G57,H57),0)</f>
        <v/>
      </c>
      <c r="J57" s="41">
        <f>IF(C57="COVERED",'Methodology'!$B$9,'Methodology'!$B$10)</f>
        <v/>
      </c>
      <c r="K57" s="41">
        <f>I57*J57</f>
        <v/>
      </c>
      <c r="L57" s="41">
        <f>SUMIFS('Billing Aug'!$J$2:$J$770,'Billing Aug'!$D$2:$D$770,A57)</f>
        <v/>
      </c>
      <c r="M57" s="41">
        <f>L57-K57</f>
        <v/>
      </c>
      <c r="N57" s="37">
        <f>COUNTIF('Billing Aug'!$D$2:$D$770,A57)</f>
        <v/>
      </c>
      <c r="O57" s="37">
        <f>SUMIFS('Billing Aug'!$F$2:$F$770,'Billing Aug'!$D$2:$D$770,A57)</f>
        <v/>
      </c>
      <c r="P57" s="41">
        <f>IF(N57=0,0,L57-SUMIFS('Billing Aug'!$H$2:$H$770,'Billing Aug'!$D$2:$D$770,A57)*SUMIFS('Billing Aug'!$I$2:$I$770,'Billing Aug'!$D$2:$D$770,A57))</f>
        <v/>
      </c>
      <c r="Q57" s="37">
        <f>IF(N57=0,"NO AUG TRANSACTION IN SUPPLIED EXTRACT",IF(ABS(P57)&gt;0.004,"SUBLEDGER ARITHMETIC ERROR",IF(ABS(M57)&gt;0.004,"BILLING VARIANCE","MATCH")))</f>
        <v/>
      </c>
    </row>
    <row r="58">
      <c r="A58" s="37" t="inlineStr">
        <is>
          <t>LP-0312</t>
        </is>
      </c>
      <c r="B58" s="37" t="inlineStr">
        <is>
          <t>Ledgport</t>
        </is>
      </c>
      <c r="C58" s="37" t="inlineStr">
        <is>
          <t>COVERED</t>
        </is>
      </c>
      <c r="D58" s="37" t="inlineStr">
        <is>
          <t>OCCUPIED</t>
        </is>
      </c>
      <c r="E58" s="37" t="inlineStr">
        <is>
          <t>WL-03333</t>
        </is>
      </c>
      <c r="F58" s="37" t="inlineStr">
        <is>
          <t>Steven Greene</t>
        </is>
      </c>
      <c r="G58" s="37" t="n">
        <v>24</v>
      </c>
      <c r="H58" s="39" t="n">
        <v>31.1</v>
      </c>
      <c r="I58" s="40">
        <f>ROUNDUP(MAX(G58,H58),0)</f>
        <v/>
      </c>
      <c r="J58" s="41">
        <f>IF(C58="COVERED",'Methodology'!$B$9,'Methodology'!$B$10)</f>
        <v/>
      </c>
      <c r="K58" s="41">
        <f>I58*J58</f>
        <v/>
      </c>
      <c r="L58" s="41">
        <f>SUMIFS('Billing Aug'!$J$2:$J$770,'Billing Aug'!$D$2:$D$770,A58)</f>
        <v/>
      </c>
      <c r="M58" s="41">
        <f>L58-K58</f>
        <v/>
      </c>
      <c r="N58" s="37">
        <f>COUNTIF('Billing Aug'!$D$2:$D$770,A58)</f>
        <v/>
      </c>
      <c r="O58" s="37">
        <f>SUMIFS('Billing Aug'!$F$2:$F$770,'Billing Aug'!$D$2:$D$770,A58)</f>
        <v/>
      </c>
      <c r="P58" s="41">
        <f>IF(N58=0,0,L58-SUMIFS('Billing Aug'!$H$2:$H$770,'Billing Aug'!$D$2:$D$770,A58)*SUMIFS('Billing Aug'!$I$2:$I$770,'Billing Aug'!$D$2:$D$770,A58))</f>
        <v/>
      </c>
      <c r="Q58" s="37">
        <f>IF(N58=0,"NO AUG TRANSACTION IN SUPPLIED EXTRACT",IF(ABS(P58)&gt;0.004,"SUBLEDGER ARITHMETIC ERROR",IF(ABS(M58)&gt;0.004,"BILLING VARIANCE","MATCH")))</f>
        <v/>
      </c>
    </row>
    <row r="59">
      <c r="A59" s="37" t="inlineStr">
        <is>
          <t>LP-0313</t>
        </is>
      </c>
      <c r="B59" s="37" t="inlineStr">
        <is>
          <t>Ledgport</t>
        </is>
      </c>
      <c r="C59" s="37" t="inlineStr">
        <is>
          <t>COVERED</t>
        </is>
      </c>
      <c r="D59" s="37" t="inlineStr">
        <is>
          <t>OCCUPIED</t>
        </is>
      </c>
      <c r="E59" s="37" t="inlineStr">
        <is>
          <t>WL-02675</t>
        </is>
      </c>
      <c r="F59" s="37" t="inlineStr">
        <is>
          <t>Christopher Lopez</t>
        </is>
      </c>
      <c r="G59" s="37" t="n">
        <v>32</v>
      </c>
      <c r="H59" s="39" t="n">
        <v>24.8</v>
      </c>
      <c r="I59" s="40">
        <f>ROUNDUP(MAX(G59,H59),0)</f>
        <v/>
      </c>
      <c r="J59" s="41">
        <f>IF(C59="COVERED",'Methodology'!$B$9,'Methodology'!$B$10)</f>
        <v/>
      </c>
      <c r="K59" s="41">
        <f>I59*J59</f>
        <v/>
      </c>
      <c r="L59" s="41">
        <f>SUMIFS('Billing Aug'!$J$2:$J$770,'Billing Aug'!$D$2:$D$770,A59)</f>
        <v/>
      </c>
      <c r="M59" s="41">
        <f>L59-K59</f>
        <v/>
      </c>
      <c r="N59" s="37">
        <f>COUNTIF('Billing Aug'!$D$2:$D$770,A59)</f>
        <v/>
      </c>
      <c r="O59" s="37">
        <f>SUMIFS('Billing Aug'!$F$2:$F$770,'Billing Aug'!$D$2:$D$770,A59)</f>
        <v/>
      </c>
      <c r="P59" s="41">
        <f>IF(N59=0,0,L59-SUMIFS('Billing Aug'!$H$2:$H$770,'Billing Aug'!$D$2:$D$770,A59)*SUMIFS('Billing Aug'!$I$2:$I$770,'Billing Aug'!$D$2:$D$770,A59))</f>
        <v/>
      </c>
      <c r="Q59" s="37">
        <f>IF(N59=0,"NO AUG TRANSACTION IN SUPPLIED EXTRACT",IF(ABS(P59)&gt;0.004,"SUBLEDGER ARITHMETIC ERROR",IF(ABS(M59)&gt;0.004,"BILLING VARIANCE","MATCH")))</f>
        <v/>
      </c>
    </row>
    <row r="60">
      <c r="A60" s="37" t="inlineStr">
        <is>
          <t>LP-0314</t>
        </is>
      </c>
      <c r="B60" s="37" t="inlineStr">
        <is>
          <t>Ledgport</t>
        </is>
      </c>
      <c r="C60" s="37" t="inlineStr">
        <is>
          <t>COVERED</t>
        </is>
      </c>
      <c r="D60" s="37" t="inlineStr">
        <is>
          <t>OCCUPIED</t>
        </is>
      </c>
      <c r="E60" s="37" t="inlineStr">
        <is>
          <t>WL-03274</t>
        </is>
      </c>
      <c r="F60" s="37" t="inlineStr">
        <is>
          <t>Brenda Matthews</t>
        </is>
      </c>
      <c r="G60" s="37" t="n">
        <v>32</v>
      </c>
      <c r="H60" s="39" t="n">
        <v>26.3</v>
      </c>
      <c r="I60" s="40">
        <f>ROUNDUP(MAX(G60,H60),0)</f>
        <v/>
      </c>
      <c r="J60" s="41">
        <f>IF(C60="COVERED",'Methodology'!$B$9,'Methodology'!$B$10)</f>
        <v/>
      </c>
      <c r="K60" s="41">
        <f>I60*J60</f>
        <v/>
      </c>
      <c r="L60" s="41">
        <f>SUMIFS('Billing Aug'!$J$2:$J$770,'Billing Aug'!$D$2:$D$770,A60)</f>
        <v/>
      </c>
      <c r="M60" s="41">
        <f>L60-K60</f>
        <v/>
      </c>
      <c r="N60" s="37">
        <f>COUNTIF('Billing Aug'!$D$2:$D$770,A60)</f>
        <v/>
      </c>
      <c r="O60" s="37">
        <f>SUMIFS('Billing Aug'!$F$2:$F$770,'Billing Aug'!$D$2:$D$770,A60)</f>
        <v/>
      </c>
      <c r="P60" s="41">
        <f>IF(N60=0,0,L60-SUMIFS('Billing Aug'!$H$2:$H$770,'Billing Aug'!$D$2:$D$770,A60)*SUMIFS('Billing Aug'!$I$2:$I$770,'Billing Aug'!$D$2:$D$770,A60))</f>
        <v/>
      </c>
      <c r="Q60" s="37">
        <f>IF(N60=0,"NO AUG TRANSACTION IN SUPPLIED EXTRACT",IF(ABS(P60)&gt;0.004,"SUBLEDGER ARITHMETIC ERROR",IF(ABS(M60)&gt;0.004,"BILLING VARIANCE","MATCH")))</f>
        <v/>
      </c>
    </row>
    <row r="61">
      <c r="A61" s="37" t="inlineStr">
        <is>
          <t>LP-0315</t>
        </is>
      </c>
      <c r="B61" s="37" t="inlineStr">
        <is>
          <t>Ledgport</t>
        </is>
      </c>
      <c r="C61" s="37" t="inlineStr">
        <is>
          <t>COVERED</t>
        </is>
      </c>
      <c r="D61" s="37" t="inlineStr">
        <is>
          <t>OCCUPIED</t>
        </is>
      </c>
      <c r="E61" s="37" t="inlineStr">
        <is>
          <t>WL-02756</t>
        </is>
      </c>
      <c r="F61" s="37" t="inlineStr">
        <is>
          <t>Gregory Phillips</t>
        </is>
      </c>
      <c r="G61" s="37" t="n">
        <v>24</v>
      </c>
      <c r="H61" s="39" t="n">
        <v>31.6</v>
      </c>
      <c r="I61" s="40">
        <f>ROUNDUP(MAX(G61,H61),0)</f>
        <v/>
      </c>
      <c r="J61" s="41">
        <f>IF(C61="COVERED",'Methodology'!$B$9,'Methodology'!$B$10)</f>
        <v/>
      </c>
      <c r="K61" s="41">
        <f>I61*J61</f>
        <v/>
      </c>
      <c r="L61" s="41">
        <f>SUMIFS('Billing Aug'!$J$2:$J$770,'Billing Aug'!$D$2:$D$770,A61)</f>
        <v/>
      </c>
      <c r="M61" s="41">
        <f>L61-K61</f>
        <v/>
      </c>
      <c r="N61" s="37">
        <f>COUNTIF('Billing Aug'!$D$2:$D$770,A61)</f>
        <v/>
      </c>
      <c r="O61" s="37">
        <f>SUMIFS('Billing Aug'!$F$2:$F$770,'Billing Aug'!$D$2:$D$770,A61)</f>
        <v/>
      </c>
      <c r="P61" s="41">
        <f>IF(N61=0,0,L61-SUMIFS('Billing Aug'!$H$2:$H$770,'Billing Aug'!$D$2:$D$770,A61)*SUMIFS('Billing Aug'!$I$2:$I$770,'Billing Aug'!$D$2:$D$770,A61))</f>
        <v/>
      </c>
      <c r="Q61" s="37">
        <f>IF(N61=0,"NO AUG TRANSACTION IN SUPPLIED EXTRACT",IF(ABS(P61)&gt;0.004,"SUBLEDGER ARITHMETIC ERROR",IF(ABS(M61)&gt;0.004,"BILLING VARIANCE","MATCH")))</f>
        <v/>
      </c>
    </row>
    <row r="62">
      <c r="A62" s="37" t="inlineStr">
        <is>
          <t>LP-0316</t>
        </is>
      </c>
      <c r="B62" s="37" t="inlineStr">
        <is>
          <t>Ledgport</t>
        </is>
      </c>
      <c r="C62" s="37" t="inlineStr">
        <is>
          <t>COVERED</t>
        </is>
      </c>
      <c r="D62" s="37" t="inlineStr">
        <is>
          <t>OCCUPIED</t>
        </is>
      </c>
      <c r="E62" s="37" t="inlineStr">
        <is>
          <t>WL-03711</t>
        </is>
      </c>
      <c r="F62" s="37" t="inlineStr">
        <is>
          <t>Adam Webster</t>
        </is>
      </c>
      <c r="G62" s="37" t="n">
        <v>40</v>
      </c>
      <c r="H62" s="39" t="n">
        <v>53.5</v>
      </c>
      <c r="I62" s="40">
        <f>ROUNDUP(MAX(G62,H62),0)</f>
        <v/>
      </c>
      <c r="J62" s="41">
        <f>IF(C62="COVERED",'Methodology'!$B$9,'Methodology'!$B$10)</f>
        <v/>
      </c>
      <c r="K62" s="41">
        <f>I62*J62</f>
        <v/>
      </c>
      <c r="L62" s="41">
        <f>SUMIFS('Billing Aug'!$J$2:$J$770,'Billing Aug'!$D$2:$D$770,A62)</f>
        <v/>
      </c>
      <c r="M62" s="41">
        <f>L62-K62</f>
        <v/>
      </c>
      <c r="N62" s="37">
        <f>COUNTIF('Billing Aug'!$D$2:$D$770,A62)</f>
        <v/>
      </c>
      <c r="O62" s="37">
        <f>SUMIFS('Billing Aug'!$F$2:$F$770,'Billing Aug'!$D$2:$D$770,A62)</f>
        <v/>
      </c>
      <c r="P62" s="41">
        <f>IF(N62=0,0,L62-SUMIFS('Billing Aug'!$H$2:$H$770,'Billing Aug'!$D$2:$D$770,A62)*SUMIFS('Billing Aug'!$I$2:$I$770,'Billing Aug'!$D$2:$D$770,A62))</f>
        <v/>
      </c>
      <c r="Q62" s="37">
        <f>IF(N62=0,"NO AUG TRANSACTION IN SUPPLIED EXTRACT",IF(ABS(P62)&gt;0.004,"SUBLEDGER ARITHMETIC ERROR",IF(ABS(M62)&gt;0.004,"BILLING VARIANCE","MATCH")))</f>
        <v/>
      </c>
    </row>
    <row r="63">
      <c r="A63" s="37" t="inlineStr">
        <is>
          <t>LP-0317</t>
        </is>
      </c>
      <c r="B63" s="37" t="inlineStr">
        <is>
          <t>Ledgport</t>
        </is>
      </c>
      <c r="C63" s="37" t="inlineStr">
        <is>
          <t>COVERED</t>
        </is>
      </c>
      <c r="D63" s="37" t="inlineStr">
        <is>
          <t>OCCUPIED</t>
        </is>
      </c>
      <c r="E63" s="37" t="inlineStr">
        <is>
          <t>WL-02923</t>
        </is>
      </c>
      <c r="F63" s="37" t="inlineStr">
        <is>
          <t>Randall Cummings</t>
        </is>
      </c>
      <c r="G63" s="37" t="n">
        <v>40</v>
      </c>
      <c r="H63" s="39" t="n">
        <v>22.7</v>
      </c>
      <c r="I63" s="40">
        <f>ROUNDUP(MAX(G63,H63),0)</f>
        <v/>
      </c>
      <c r="J63" s="41">
        <f>IF(C63="COVERED",'Methodology'!$B$9,'Methodology'!$B$10)</f>
        <v/>
      </c>
      <c r="K63" s="41">
        <f>I63*J63</f>
        <v/>
      </c>
      <c r="L63" s="41">
        <f>SUMIFS('Billing Aug'!$J$2:$J$770,'Billing Aug'!$D$2:$D$770,A63)</f>
        <v/>
      </c>
      <c r="M63" s="41">
        <f>L63-K63</f>
        <v/>
      </c>
      <c r="N63" s="37">
        <f>COUNTIF('Billing Aug'!$D$2:$D$770,A63)</f>
        <v/>
      </c>
      <c r="O63" s="37">
        <f>SUMIFS('Billing Aug'!$F$2:$F$770,'Billing Aug'!$D$2:$D$770,A63)</f>
        <v/>
      </c>
      <c r="P63" s="41">
        <f>IF(N63=0,0,L63-SUMIFS('Billing Aug'!$H$2:$H$770,'Billing Aug'!$D$2:$D$770,A63)*SUMIFS('Billing Aug'!$I$2:$I$770,'Billing Aug'!$D$2:$D$770,A63))</f>
        <v/>
      </c>
      <c r="Q63" s="37">
        <f>IF(N63=0,"NO AUG TRANSACTION IN SUPPLIED EXTRACT",IF(ABS(P63)&gt;0.004,"SUBLEDGER ARITHMETIC ERROR",IF(ABS(M63)&gt;0.004,"BILLING VARIANCE","MATCH")))</f>
        <v/>
      </c>
    </row>
    <row r="64">
      <c r="A64" s="37" t="inlineStr">
        <is>
          <t>LP-0318</t>
        </is>
      </c>
      <c r="B64" s="37" t="inlineStr">
        <is>
          <t>Ledgport</t>
        </is>
      </c>
      <c r="C64" s="37" t="inlineStr">
        <is>
          <t>COVERED</t>
        </is>
      </c>
      <c r="D64" s="37" t="inlineStr">
        <is>
          <t>OCCUPIED</t>
        </is>
      </c>
      <c r="E64" s="37" t="inlineStr">
        <is>
          <t>WL-03488</t>
        </is>
      </c>
      <c r="F64" s="37" t="inlineStr">
        <is>
          <t>Albert Hill</t>
        </is>
      </c>
      <c r="G64" s="37" t="n">
        <v>32</v>
      </c>
      <c r="H64" s="39" t="n">
        <v>34.5</v>
      </c>
      <c r="I64" s="40">
        <f>ROUNDUP(MAX(G64,H64),0)</f>
        <v/>
      </c>
      <c r="J64" s="41">
        <f>IF(C64="COVERED",'Methodology'!$B$9,'Methodology'!$B$10)</f>
        <v/>
      </c>
      <c r="K64" s="41">
        <f>I64*J64</f>
        <v/>
      </c>
      <c r="L64" s="41">
        <f>SUMIFS('Billing Aug'!$J$2:$J$770,'Billing Aug'!$D$2:$D$770,A64)</f>
        <v/>
      </c>
      <c r="M64" s="41">
        <f>L64-K64</f>
        <v/>
      </c>
      <c r="N64" s="37">
        <f>COUNTIF('Billing Aug'!$D$2:$D$770,A64)</f>
        <v/>
      </c>
      <c r="O64" s="37">
        <f>SUMIFS('Billing Aug'!$F$2:$F$770,'Billing Aug'!$D$2:$D$770,A64)</f>
        <v/>
      </c>
      <c r="P64" s="41">
        <f>IF(N64=0,0,L64-SUMIFS('Billing Aug'!$H$2:$H$770,'Billing Aug'!$D$2:$D$770,A64)*SUMIFS('Billing Aug'!$I$2:$I$770,'Billing Aug'!$D$2:$D$770,A64))</f>
        <v/>
      </c>
      <c r="Q64" s="37">
        <f>IF(N64=0,"NO AUG TRANSACTION IN SUPPLIED EXTRACT",IF(ABS(P64)&gt;0.004,"SUBLEDGER ARITHMETIC ERROR",IF(ABS(M64)&gt;0.004,"BILLING VARIANCE","MATCH")))</f>
        <v/>
      </c>
    </row>
    <row r="65">
      <c r="A65" s="37" t="inlineStr">
        <is>
          <t>LP-0320</t>
        </is>
      </c>
      <c r="B65" s="37" t="inlineStr">
        <is>
          <t>Ledgport</t>
        </is>
      </c>
      <c r="C65" s="37" t="inlineStr">
        <is>
          <t>COVERED</t>
        </is>
      </c>
      <c r="D65" s="37" t="inlineStr">
        <is>
          <t>OCCUPIED</t>
        </is>
      </c>
      <c r="E65" s="37" t="inlineStr">
        <is>
          <t>WL-02524</t>
        </is>
      </c>
      <c r="F65" s="37" t="inlineStr">
        <is>
          <t>Douglas Herrera</t>
        </is>
      </c>
      <c r="G65" s="37" t="n">
        <v>24</v>
      </c>
      <c r="H65" s="39" t="n">
        <v>53.4</v>
      </c>
      <c r="I65" s="40">
        <f>ROUNDUP(MAX(G65,H65),0)</f>
        <v/>
      </c>
      <c r="J65" s="41">
        <f>IF(C65="COVERED",'Methodology'!$B$9,'Methodology'!$B$10)</f>
        <v/>
      </c>
      <c r="K65" s="41">
        <f>I65*J65</f>
        <v/>
      </c>
      <c r="L65" s="41">
        <f>SUMIFS('Billing Aug'!$J$2:$J$770,'Billing Aug'!$D$2:$D$770,A65)</f>
        <v/>
      </c>
      <c r="M65" s="41">
        <f>L65-K65</f>
        <v/>
      </c>
      <c r="N65" s="37">
        <f>COUNTIF('Billing Aug'!$D$2:$D$770,A65)</f>
        <v/>
      </c>
      <c r="O65" s="37">
        <f>SUMIFS('Billing Aug'!$F$2:$F$770,'Billing Aug'!$D$2:$D$770,A65)</f>
        <v/>
      </c>
      <c r="P65" s="41">
        <f>IF(N65=0,0,L65-SUMIFS('Billing Aug'!$H$2:$H$770,'Billing Aug'!$D$2:$D$770,A65)*SUMIFS('Billing Aug'!$I$2:$I$770,'Billing Aug'!$D$2:$D$770,A65))</f>
        <v/>
      </c>
      <c r="Q65" s="37">
        <f>IF(N65=0,"NO AUG TRANSACTION IN SUPPLIED EXTRACT",IF(ABS(P65)&gt;0.004,"SUBLEDGER ARITHMETIC ERROR",IF(ABS(M65)&gt;0.004,"BILLING VARIANCE","MATCH")))</f>
        <v/>
      </c>
    </row>
    <row r="66">
      <c r="A66" s="37" t="inlineStr">
        <is>
          <t>LP-0321</t>
        </is>
      </c>
      <c r="B66" s="37" t="inlineStr">
        <is>
          <t>Ledgport</t>
        </is>
      </c>
      <c r="C66" s="37" t="inlineStr">
        <is>
          <t>COVERED</t>
        </is>
      </c>
      <c r="D66" s="37" t="inlineStr">
        <is>
          <t>OCCUPIED</t>
        </is>
      </c>
      <c r="E66" s="37" t="inlineStr">
        <is>
          <t>WL-03415</t>
        </is>
      </c>
      <c r="F66" s="37" t="inlineStr">
        <is>
          <t>Jennifer Leonard</t>
        </is>
      </c>
      <c r="G66" s="37" t="n">
        <v>28</v>
      </c>
      <c r="H66" s="39" t="n">
        <v>34.2</v>
      </c>
      <c r="I66" s="40">
        <f>ROUNDUP(MAX(G66,H66),0)</f>
        <v/>
      </c>
      <c r="J66" s="41">
        <f>IF(C66="COVERED",'Methodology'!$B$9,'Methodology'!$B$10)</f>
        <v/>
      </c>
      <c r="K66" s="41">
        <f>I66*J66</f>
        <v/>
      </c>
      <c r="L66" s="41">
        <f>SUMIFS('Billing Aug'!$J$2:$J$770,'Billing Aug'!$D$2:$D$770,A66)</f>
        <v/>
      </c>
      <c r="M66" s="41">
        <f>L66-K66</f>
        <v/>
      </c>
      <c r="N66" s="37">
        <f>COUNTIF('Billing Aug'!$D$2:$D$770,A66)</f>
        <v/>
      </c>
      <c r="O66" s="37">
        <f>SUMIFS('Billing Aug'!$F$2:$F$770,'Billing Aug'!$D$2:$D$770,A66)</f>
        <v/>
      </c>
      <c r="P66" s="41">
        <f>IF(N66=0,0,L66-SUMIFS('Billing Aug'!$H$2:$H$770,'Billing Aug'!$D$2:$D$770,A66)*SUMIFS('Billing Aug'!$I$2:$I$770,'Billing Aug'!$D$2:$D$770,A66))</f>
        <v/>
      </c>
      <c r="Q66" s="37">
        <f>IF(N66=0,"NO AUG TRANSACTION IN SUPPLIED EXTRACT",IF(ABS(P66)&gt;0.004,"SUBLEDGER ARITHMETIC ERROR",IF(ABS(M66)&gt;0.004,"BILLING VARIANCE","MATCH")))</f>
        <v/>
      </c>
    </row>
    <row r="67">
      <c r="A67" s="37" t="inlineStr">
        <is>
          <t>LP-0322</t>
        </is>
      </c>
      <c r="B67" s="37" t="inlineStr">
        <is>
          <t>Ledgport</t>
        </is>
      </c>
      <c r="C67" s="37" t="inlineStr">
        <is>
          <t>COVERED</t>
        </is>
      </c>
      <c r="D67" s="37" t="inlineStr">
        <is>
          <t>OCCUPIED</t>
        </is>
      </c>
      <c r="E67" s="37" t="inlineStr">
        <is>
          <t>WL-01554</t>
        </is>
      </c>
      <c r="F67" s="37" t="inlineStr">
        <is>
          <t>Robert Nolan</t>
        </is>
      </c>
      <c r="G67" s="37" t="n">
        <v>24</v>
      </c>
      <c r="H67" s="39" t="n">
        <v>57.4</v>
      </c>
      <c r="I67" s="40">
        <f>ROUNDUP(MAX(G67,H67),0)</f>
        <v/>
      </c>
      <c r="J67" s="41">
        <f>IF(C67="COVERED",'Methodology'!$B$9,'Methodology'!$B$10)</f>
        <v/>
      </c>
      <c r="K67" s="41">
        <f>I67*J67</f>
        <v/>
      </c>
      <c r="L67" s="41">
        <f>SUMIFS('Billing Aug'!$J$2:$J$770,'Billing Aug'!$D$2:$D$770,A67)</f>
        <v/>
      </c>
      <c r="M67" s="41">
        <f>L67-K67</f>
        <v/>
      </c>
      <c r="N67" s="37">
        <f>COUNTIF('Billing Aug'!$D$2:$D$770,A67)</f>
        <v/>
      </c>
      <c r="O67" s="37">
        <f>SUMIFS('Billing Aug'!$F$2:$F$770,'Billing Aug'!$D$2:$D$770,A67)</f>
        <v/>
      </c>
      <c r="P67" s="41">
        <f>IF(N67=0,0,L67-SUMIFS('Billing Aug'!$H$2:$H$770,'Billing Aug'!$D$2:$D$770,A67)*SUMIFS('Billing Aug'!$I$2:$I$770,'Billing Aug'!$D$2:$D$770,A67))</f>
        <v/>
      </c>
      <c r="Q67" s="37">
        <f>IF(N67=0,"NO AUG TRANSACTION IN SUPPLIED EXTRACT",IF(ABS(P67)&gt;0.004,"SUBLEDGER ARITHMETIC ERROR",IF(ABS(M67)&gt;0.004,"BILLING VARIANCE","MATCH")))</f>
        <v/>
      </c>
    </row>
    <row r="68">
      <c r="A68" s="37" t="inlineStr">
        <is>
          <t>LP-0323</t>
        </is>
      </c>
      <c r="B68" s="37" t="inlineStr">
        <is>
          <t>Ledgport</t>
        </is>
      </c>
      <c r="C68" s="37" t="inlineStr">
        <is>
          <t>COVERED</t>
        </is>
      </c>
      <c r="D68" s="37" t="inlineStr">
        <is>
          <t>OCCUPIED</t>
        </is>
      </c>
      <c r="E68" s="37" t="inlineStr">
        <is>
          <t>WL-02461</t>
        </is>
      </c>
      <c r="F68" s="37" t="inlineStr">
        <is>
          <t>Robert Swanson</t>
        </is>
      </c>
      <c r="G68" s="37" t="n">
        <v>24</v>
      </c>
      <c r="H68" s="39" t="n">
        <v>48.5</v>
      </c>
      <c r="I68" s="40">
        <f>ROUNDUP(MAX(G68,H68),0)</f>
        <v/>
      </c>
      <c r="J68" s="41">
        <f>IF(C68="COVERED",'Methodology'!$B$9,'Methodology'!$B$10)</f>
        <v/>
      </c>
      <c r="K68" s="41">
        <f>I68*J68</f>
        <v/>
      </c>
      <c r="L68" s="41">
        <f>SUMIFS('Billing Aug'!$J$2:$J$770,'Billing Aug'!$D$2:$D$770,A68)</f>
        <v/>
      </c>
      <c r="M68" s="41">
        <f>L68-K68</f>
        <v/>
      </c>
      <c r="N68" s="37">
        <f>COUNTIF('Billing Aug'!$D$2:$D$770,A68)</f>
        <v/>
      </c>
      <c r="O68" s="37">
        <f>SUMIFS('Billing Aug'!$F$2:$F$770,'Billing Aug'!$D$2:$D$770,A68)</f>
        <v/>
      </c>
      <c r="P68" s="41">
        <f>IF(N68=0,0,L68-SUMIFS('Billing Aug'!$H$2:$H$770,'Billing Aug'!$D$2:$D$770,A68)*SUMIFS('Billing Aug'!$I$2:$I$770,'Billing Aug'!$D$2:$D$770,A68))</f>
        <v/>
      </c>
      <c r="Q68" s="37">
        <f>IF(N68=0,"NO AUG TRANSACTION IN SUPPLIED EXTRACT",IF(ABS(P68)&gt;0.004,"SUBLEDGER ARITHMETIC ERROR",IF(ABS(M68)&gt;0.004,"BILLING VARIANCE","MATCH")))</f>
        <v/>
      </c>
    </row>
    <row r="69">
      <c r="A69" s="37" t="inlineStr">
        <is>
          <t>LP-0324</t>
        </is>
      </c>
      <c r="B69" s="37" t="inlineStr">
        <is>
          <t>Ledgport</t>
        </is>
      </c>
      <c r="C69" s="37" t="inlineStr">
        <is>
          <t>COVERED</t>
        </is>
      </c>
      <c r="D69" s="37" t="inlineStr">
        <is>
          <t>OCCUPIED</t>
        </is>
      </c>
      <c r="E69" s="37" t="inlineStr">
        <is>
          <t>WL-01462</t>
        </is>
      </c>
      <c r="F69" s="37" t="inlineStr">
        <is>
          <t>Stephanie Hart</t>
        </is>
      </c>
      <c r="G69" s="37" t="n">
        <v>32</v>
      </c>
      <c r="H69" s="39" t="n">
        <v>44.5</v>
      </c>
      <c r="I69" s="40">
        <f>ROUNDUP(MAX(G69,H69),0)</f>
        <v/>
      </c>
      <c r="J69" s="41">
        <f>IF(C69="COVERED",'Methodology'!$B$9,'Methodology'!$B$10)</f>
        <v/>
      </c>
      <c r="K69" s="41">
        <f>I69*J69</f>
        <v/>
      </c>
      <c r="L69" s="41">
        <f>SUMIFS('Billing Aug'!$J$2:$J$770,'Billing Aug'!$D$2:$D$770,A69)</f>
        <v/>
      </c>
      <c r="M69" s="41">
        <f>L69-K69</f>
        <v/>
      </c>
      <c r="N69" s="37">
        <f>COUNTIF('Billing Aug'!$D$2:$D$770,A69)</f>
        <v/>
      </c>
      <c r="O69" s="37">
        <f>SUMIFS('Billing Aug'!$F$2:$F$770,'Billing Aug'!$D$2:$D$770,A69)</f>
        <v/>
      </c>
      <c r="P69" s="41">
        <f>IF(N69=0,0,L69-SUMIFS('Billing Aug'!$H$2:$H$770,'Billing Aug'!$D$2:$D$770,A69)*SUMIFS('Billing Aug'!$I$2:$I$770,'Billing Aug'!$D$2:$D$770,A69))</f>
        <v/>
      </c>
      <c r="Q69" s="37">
        <f>IF(N69=0,"NO AUG TRANSACTION IN SUPPLIED EXTRACT",IF(ABS(P69)&gt;0.004,"SUBLEDGER ARITHMETIC ERROR",IF(ABS(M69)&gt;0.004,"BILLING VARIANCE","MATCH")))</f>
        <v/>
      </c>
    </row>
    <row r="70">
      <c r="A70" s="37" t="inlineStr">
        <is>
          <t>LP-0402</t>
        </is>
      </c>
      <c r="B70" s="37" t="inlineStr">
        <is>
          <t>Ledgport</t>
        </is>
      </c>
      <c r="C70" s="37" t="inlineStr">
        <is>
          <t>COVERED</t>
        </is>
      </c>
      <c r="D70" s="37" t="inlineStr">
        <is>
          <t>OCCUPIED</t>
        </is>
      </c>
      <c r="E70" s="37" t="inlineStr">
        <is>
          <t>WL-01188</t>
        </is>
      </c>
      <c r="F70" s="37" t="inlineStr">
        <is>
          <t>Dawn Brown</t>
        </is>
      </c>
      <c r="G70" s="37" t="n">
        <v>28</v>
      </c>
      <c r="H70" s="39" t="n">
        <v>36.5</v>
      </c>
      <c r="I70" s="40">
        <f>ROUNDUP(MAX(G70,H70),0)</f>
        <v/>
      </c>
      <c r="J70" s="41">
        <f>IF(C70="COVERED",'Methodology'!$B$9,'Methodology'!$B$10)</f>
        <v/>
      </c>
      <c r="K70" s="41">
        <f>I70*J70</f>
        <v/>
      </c>
      <c r="L70" s="41">
        <f>SUMIFS('Billing Aug'!$J$2:$J$770,'Billing Aug'!$D$2:$D$770,A70)</f>
        <v/>
      </c>
      <c r="M70" s="41">
        <f>L70-K70</f>
        <v/>
      </c>
      <c r="N70" s="37">
        <f>COUNTIF('Billing Aug'!$D$2:$D$770,A70)</f>
        <v/>
      </c>
      <c r="O70" s="37">
        <f>SUMIFS('Billing Aug'!$F$2:$F$770,'Billing Aug'!$D$2:$D$770,A70)</f>
        <v/>
      </c>
      <c r="P70" s="41">
        <f>IF(N70=0,0,L70-SUMIFS('Billing Aug'!$H$2:$H$770,'Billing Aug'!$D$2:$D$770,A70)*SUMIFS('Billing Aug'!$I$2:$I$770,'Billing Aug'!$D$2:$D$770,A70))</f>
        <v/>
      </c>
      <c r="Q70" s="37">
        <f>IF(N70=0,"NO AUG TRANSACTION IN SUPPLIED EXTRACT",IF(ABS(P70)&gt;0.004,"SUBLEDGER ARITHMETIC ERROR",IF(ABS(M70)&gt;0.004,"BILLING VARIANCE","MATCH")))</f>
        <v/>
      </c>
    </row>
    <row r="71">
      <c r="A71" s="37" t="inlineStr">
        <is>
          <t>LP-0403</t>
        </is>
      </c>
      <c r="B71" s="37" t="inlineStr">
        <is>
          <t>Ledgport</t>
        </is>
      </c>
      <c r="C71" s="37" t="inlineStr">
        <is>
          <t>COVERED</t>
        </is>
      </c>
      <c r="D71" s="37" t="inlineStr">
        <is>
          <t>OCCUPIED</t>
        </is>
      </c>
      <c r="E71" s="37" t="inlineStr">
        <is>
          <t>WL-01063</t>
        </is>
      </c>
      <c r="F71" s="37" t="inlineStr">
        <is>
          <t>Donna Mitchell</t>
        </is>
      </c>
      <c r="G71" s="37" t="n">
        <v>24</v>
      </c>
      <c r="H71" s="39" t="n">
        <v>46.9</v>
      </c>
      <c r="I71" s="40">
        <f>ROUNDUP(MAX(G71,H71),0)</f>
        <v/>
      </c>
      <c r="J71" s="41">
        <f>IF(C71="COVERED",'Methodology'!$B$9,'Methodology'!$B$10)</f>
        <v/>
      </c>
      <c r="K71" s="41">
        <f>I71*J71</f>
        <v/>
      </c>
      <c r="L71" s="41">
        <f>SUMIFS('Billing Aug'!$J$2:$J$770,'Billing Aug'!$D$2:$D$770,A71)</f>
        <v/>
      </c>
      <c r="M71" s="41">
        <f>L71-K71</f>
        <v/>
      </c>
      <c r="N71" s="37">
        <f>COUNTIF('Billing Aug'!$D$2:$D$770,A71)</f>
        <v/>
      </c>
      <c r="O71" s="37">
        <f>SUMIFS('Billing Aug'!$F$2:$F$770,'Billing Aug'!$D$2:$D$770,A71)</f>
        <v/>
      </c>
      <c r="P71" s="41">
        <f>IF(N71=0,0,L71-SUMIFS('Billing Aug'!$H$2:$H$770,'Billing Aug'!$D$2:$D$770,A71)*SUMIFS('Billing Aug'!$I$2:$I$770,'Billing Aug'!$D$2:$D$770,A71))</f>
        <v/>
      </c>
      <c r="Q71" s="37">
        <f>IF(N71=0,"NO AUG TRANSACTION IN SUPPLIED EXTRACT",IF(ABS(P71)&gt;0.004,"SUBLEDGER ARITHMETIC ERROR",IF(ABS(M71)&gt;0.004,"BILLING VARIANCE","MATCH")))</f>
        <v/>
      </c>
    </row>
    <row r="72">
      <c r="A72" s="37" t="inlineStr">
        <is>
          <t>LP-0404</t>
        </is>
      </c>
      <c r="B72" s="37" t="inlineStr">
        <is>
          <t>Ledgport</t>
        </is>
      </c>
      <c r="C72" s="37" t="inlineStr">
        <is>
          <t>COVERED</t>
        </is>
      </c>
      <c r="D72" s="37" t="inlineStr">
        <is>
          <t>OCCUPIED</t>
        </is>
      </c>
      <c r="E72" s="37" t="inlineStr">
        <is>
          <t>WL-02961</t>
        </is>
      </c>
      <c r="F72" s="37" t="inlineStr">
        <is>
          <t>Rachel Flores</t>
        </is>
      </c>
      <c r="G72" s="37" t="n">
        <v>24</v>
      </c>
      <c r="H72" s="39" t="n">
        <v>27.2</v>
      </c>
      <c r="I72" s="40">
        <f>ROUNDUP(MAX(G72,H72),0)</f>
        <v/>
      </c>
      <c r="J72" s="41">
        <f>IF(C72="COVERED",'Methodology'!$B$9,'Methodology'!$B$10)</f>
        <v/>
      </c>
      <c r="K72" s="41">
        <f>I72*J72</f>
        <v/>
      </c>
      <c r="L72" s="41">
        <f>SUMIFS('Billing Aug'!$J$2:$J$770,'Billing Aug'!$D$2:$D$770,A72)</f>
        <v/>
      </c>
      <c r="M72" s="41">
        <f>L72-K72</f>
        <v/>
      </c>
      <c r="N72" s="37">
        <f>COUNTIF('Billing Aug'!$D$2:$D$770,A72)</f>
        <v/>
      </c>
      <c r="O72" s="37">
        <f>SUMIFS('Billing Aug'!$F$2:$F$770,'Billing Aug'!$D$2:$D$770,A72)</f>
        <v/>
      </c>
      <c r="P72" s="41">
        <f>IF(N72=0,0,L72-SUMIFS('Billing Aug'!$H$2:$H$770,'Billing Aug'!$D$2:$D$770,A72)*SUMIFS('Billing Aug'!$I$2:$I$770,'Billing Aug'!$D$2:$D$770,A72))</f>
        <v/>
      </c>
      <c r="Q72" s="37">
        <f>IF(N72=0,"NO AUG TRANSACTION IN SUPPLIED EXTRACT",IF(ABS(P72)&gt;0.004,"SUBLEDGER ARITHMETIC ERROR",IF(ABS(M72)&gt;0.004,"BILLING VARIANCE","MATCH")))</f>
        <v/>
      </c>
    </row>
    <row r="73">
      <c r="A73" s="37" t="inlineStr">
        <is>
          <t>LP-0405</t>
        </is>
      </c>
      <c r="B73" s="37" t="inlineStr">
        <is>
          <t>Ledgport</t>
        </is>
      </c>
      <c r="C73" s="37" t="inlineStr">
        <is>
          <t>COVERED</t>
        </is>
      </c>
      <c r="D73" s="37" t="inlineStr">
        <is>
          <t>OCCUPIED</t>
        </is>
      </c>
      <c r="E73" s="37" t="inlineStr">
        <is>
          <t>WL-02530</t>
        </is>
      </c>
      <c r="F73" s="37" t="inlineStr">
        <is>
          <t>David Lopez</t>
        </is>
      </c>
      <c r="G73" s="37" t="n">
        <v>24</v>
      </c>
      <c r="H73" s="39" t="n">
        <v>34.5</v>
      </c>
      <c r="I73" s="40">
        <f>ROUNDUP(MAX(G73,H73),0)</f>
        <v/>
      </c>
      <c r="J73" s="41">
        <f>IF(C73="COVERED",'Methodology'!$B$9,'Methodology'!$B$10)</f>
        <v/>
      </c>
      <c r="K73" s="41">
        <f>I73*J73</f>
        <v/>
      </c>
      <c r="L73" s="41">
        <f>SUMIFS('Billing Aug'!$J$2:$J$770,'Billing Aug'!$D$2:$D$770,A73)</f>
        <v/>
      </c>
      <c r="M73" s="41">
        <f>L73-K73</f>
        <v/>
      </c>
      <c r="N73" s="37">
        <f>COUNTIF('Billing Aug'!$D$2:$D$770,A73)</f>
        <v/>
      </c>
      <c r="O73" s="37">
        <f>SUMIFS('Billing Aug'!$F$2:$F$770,'Billing Aug'!$D$2:$D$770,A73)</f>
        <v/>
      </c>
      <c r="P73" s="41">
        <f>IF(N73=0,0,L73-SUMIFS('Billing Aug'!$H$2:$H$770,'Billing Aug'!$D$2:$D$770,A73)*SUMIFS('Billing Aug'!$I$2:$I$770,'Billing Aug'!$D$2:$D$770,A73))</f>
        <v/>
      </c>
      <c r="Q73" s="37">
        <f>IF(N73=0,"NO AUG TRANSACTION IN SUPPLIED EXTRACT",IF(ABS(P73)&gt;0.004,"SUBLEDGER ARITHMETIC ERROR",IF(ABS(M73)&gt;0.004,"BILLING VARIANCE","MATCH")))</f>
        <v/>
      </c>
    </row>
    <row r="74">
      <c r="A74" s="37" t="inlineStr">
        <is>
          <t>LP-0406</t>
        </is>
      </c>
      <c r="B74" s="37" t="inlineStr">
        <is>
          <t>Ledgport</t>
        </is>
      </c>
      <c r="C74" s="37" t="inlineStr">
        <is>
          <t>COVERED</t>
        </is>
      </c>
      <c r="D74" s="37" t="inlineStr">
        <is>
          <t>OCCUPIED</t>
        </is>
      </c>
      <c r="E74" s="37" t="inlineStr">
        <is>
          <t>WL-02260</t>
        </is>
      </c>
      <c r="F74" s="37" t="inlineStr">
        <is>
          <t>Michael King</t>
        </is>
      </c>
      <c r="G74" s="37" t="n">
        <v>24</v>
      </c>
      <c r="H74" s="39" t="n">
        <v>59.6</v>
      </c>
      <c r="I74" s="40">
        <f>ROUNDUP(MAX(G74,H74),0)</f>
        <v/>
      </c>
      <c r="J74" s="41">
        <f>IF(C74="COVERED",'Methodology'!$B$9,'Methodology'!$B$10)</f>
        <v/>
      </c>
      <c r="K74" s="41">
        <f>I74*J74</f>
        <v/>
      </c>
      <c r="L74" s="41">
        <f>SUMIFS('Billing Aug'!$J$2:$J$770,'Billing Aug'!$D$2:$D$770,A74)</f>
        <v/>
      </c>
      <c r="M74" s="41">
        <f>L74-K74</f>
        <v/>
      </c>
      <c r="N74" s="37">
        <f>COUNTIF('Billing Aug'!$D$2:$D$770,A74)</f>
        <v/>
      </c>
      <c r="O74" s="37">
        <f>SUMIFS('Billing Aug'!$F$2:$F$770,'Billing Aug'!$D$2:$D$770,A74)</f>
        <v/>
      </c>
      <c r="P74" s="41">
        <f>IF(N74=0,0,L74-SUMIFS('Billing Aug'!$H$2:$H$770,'Billing Aug'!$D$2:$D$770,A74)*SUMIFS('Billing Aug'!$I$2:$I$770,'Billing Aug'!$D$2:$D$770,A74))</f>
        <v/>
      </c>
      <c r="Q74" s="37">
        <f>IF(N74=0,"NO AUG TRANSACTION IN SUPPLIED EXTRACT",IF(ABS(P74)&gt;0.004,"SUBLEDGER ARITHMETIC ERROR",IF(ABS(M74)&gt;0.004,"BILLING VARIANCE","MATCH")))</f>
        <v/>
      </c>
    </row>
    <row r="75">
      <c r="A75" s="37" t="inlineStr">
        <is>
          <t>LP-0407</t>
        </is>
      </c>
      <c r="B75" s="37" t="inlineStr">
        <is>
          <t>Ledgport</t>
        </is>
      </c>
      <c r="C75" s="37" t="inlineStr">
        <is>
          <t>COVERED</t>
        </is>
      </c>
      <c r="D75" s="37" t="inlineStr">
        <is>
          <t>OCCUPIED</t>
        </is>
      </c>
      <c r="E75" s="37" t="inlineStr">
        <is>
          <t>WL-02332</t>
        </is>
      </c>
      <c r="F75" s="37" t="inlineStr">
        <is>
          <t>Karla Cross</t>
        </is>
      </c>
      <c r="G75" s="37" t="n">
        <v>28</v>
      </c>
      <c r="H75" s="39" t="n">
        <v>38.4</v>
      </c>
      <c r="I75" s="40">
        <f>ROUNDUP(MAX(G75,H75),0)</f>
        <v/>
      </c>
      <c r="J75" s="41">
        <f>IF(C75="COVERED",'Methodology'!$B$9,'Methodology'!$B$10)</f>
        <v/>
      </c>
      <c r="K75" s="41">
        <f>I75*J75</f>
        <v/>
      </c>
      <c r="L75" s="41">
        <f>SUMIFS('Billing Aug'!$J$2:$J$770,'Billing Aug'!$D$2:$D$770,A75)</f>
        <v/>
      </c>
      <c r="M75" s="41">
        <f>L75-K75</f>
        <v/>
      </c>
      <c r="N75" s="37">
        <f>COUNTIF('Billing Aug'!$D$2:$D$770,A75)</f>
        <v/>
      </c>
      <c r="O75" s="37">
        <f>SUMIFS('Billing Aug'!$F$2:$F$770,'Billing Aug'!$D$2:$D$770,A75)</f>
        <v/>
      </c>
      <c r="P75" s="41">
        <f>IF(N75=0,0,L75-SUMIFS('Billing Aug'!$H$2:$H$770,'Billing Aug'!$D$2:$D$770,A75)*SUMIFS('Billing Aug'!$I$2:$I$770,'Billing Aug'!$D$2:$D$770,A75))</f>
        <v/>
      </c>
      <c r="Q75" s="37">
        <f>IF(N75=0,"NO AUG TRANSACTION IN SUPPLIED EXTRACT",IF(ABS(P75)&gt;0.004,"SUBLEDGER ARITHMETIC ERROR",IF(ABS(M75)&gt;0.004,"BILLING VARIANCE","MATCH")))</f>
        <v/>
      </c>
    </row>
    <row r="76">
      <c r="A76" s="37" t="inlineStr">
        <is>
          <t>LP-0408</t>
        </is>
      </c>
      <c r="B76" s="37" t="inlineStr">
        <is>
          <t>Ledgport</t>
        </is>
      </c>
      <c r="C76" s="37" t="inlineStr">
        <is>
          <t>COVERED</t>
        </is>
      </c>
      <c r="D76" s="37" t="inlineStr">
        <is>
          <t>OCCUPIED</t>
        </is>
      </c>
      <c r="E76" s="37" t="inlineStr">
        <is>
          <t>WL-03226</t>
        </is>
      </c>
      <c r="F76" s="37" t="inlineStr">
        <is>
          <t>Kari Snow</t>
        </is>
      </c>
      <c r="G76" s="37" t="n">
        <v>40</v>
      </c>
      <c r="H76" s="39" t="n">
        <v>23.9</v>
      </c>
      <c r="I76" s="40">
        <f>ROUNDUP(MAX(G76,H76),0)</f>
        <v/>
      </c>
      <c r="J76" s="41">
        <f>IF(C76="COVERED",'Methodology'!$B$9,'Methodology'!$B$10)</f>
        <v/>
      </c>
      <c r="K76" s="41">
        <f>I76*J76</f>
        <v/>
      </c>
      <c r="L76" s="41">
        <f>SUMIFS('Billing Aug'!$J$2:$J$770,'Billing Aug'!$D$2:$D$770,A76)</f>
        <v/>
      </c>
      <c r="M76" s="41">
        <f>L76-K76</f>
        <v/>
      </c>
      <c r="N76" s="37">
        <f>COUNTIF('Billing Aug'!$D$2:$D$770,A76)</f>
        <v/>
      </c>
      <c r="O76" s="37">
        <f>SUMIFS('Billing Aug'!$F$2:$F$770,'Billing Aug'!$D$2:$D$770,A76)</f>
        <v/>
      </c>
      <c r="P76" s="41">
        <f>IF(N76=0,0,L76-SUMIFS('Billing Aug'!$H$2:$H$770,'Billing Aug'!$D$2:$D$770,A76)*SUMIFS('Billing Aug'!$I$2:$I$770,'Billing Aug'!$D$2:$D$770,A76))</f>
        <v/>
      </c>
      <c r="Q76" s="37">
        <f>IF(N76=0,"NO AUG TRANSACTION IN SUPPLIED EXTRACT",IF(ABS(P76)&gt;0.004,"SUBLEDGER ARITHMETIC ERROR",IF(ABS(M76)&gt;0.004,"BILLING VARIANCE","MATCH")))</f>
        <v/>
      </c>
    </row>
    <row r="77">
      <c r="A77" s="37" t="inlineStr">
        <is>
          <t>LP-0409</t>
        </is>
      </c>
      <c r="B77" s="37" t="inlineStr">
        <is>
          <t>Ledgport</t>
        </is>
      </c>
      <c r="C77" s="37" t="inlineStr">
        <is>
          <t>COVERED</t>
        </is>
      </c>
      <c r="D77" s="37" t="inlineStr">
        <is>
          <t>OCCUPIED</t>
        </is>
      </c>
      <c r="E77" s="37" t="inlineStr">
        <is>
          <t>WL-02688</t>
        </is>
      </c>
      <c r="F77" s="37" t="inlineStr">
        <is>
          <t>Joseph Cohen</t>
        </is>
      </c>
      <c r="G77" s="37" t="n">
        <v>32</v>
      </c>
      <c r="H77" s="39" t="n">
        <v>48.1</v>
      </c>
      <c r="I77" s="40">
        <f>ROUNDUP(MAX(G77,H77),0)</f>
        <v/>
      </c>
      <c r="J77" s="41">
        <f>IF(C77="COVERED",'Methodology'!$B$9,'Methodology'!$B$10)</f>
        <v/>
      </c>
      <c r="K77" s="41">
        <f>I77*J77</f>
        <v/>
      </c>
      <c r="L77" s="41">
        <f>SUMIFS('Billing Aug'!$J$2:$J$770,'Billing Aug'!$D$2:$D$770,A77)</f>
        <v/>
      </c>
      <c r="M77" s="41">
        <f>L77-K77</f>
        <v/>
      </c>
      <c r="N77" s="37">
        <f>COUNTIF('Billing Aug'!$D$2:$D$770,A77)</f>
        <v/>
      </c>
      <c r="O77" s="37">
        <f>SUMIFS('Billing Aug'!$F$2:$F$770,'Billing Aug'!$D$2:$D$770,A77)</f>
        <v/>
      </c>
      <c r="P77" s="41">
        <f>IF(N77=0,0,L77-SUMIFS('Billing Aug'!$H$2:$H$770,'Billing Aug'!$D$2:$D$770,A77)*SUMIFS('Billing Aug'!$I$2:$I$770,'Billing Aug'!$D$2:$D$770,A77))</f>
        <v/>
      </c>
      <c r="Q77" s="37">
        <f>IF(N77=0,"NO AUG TRANSACTION IN SUPPLIED EXTRACT",IF(ABS(P77)&gt;0.004,"SUBLEDGER ARITHMETIC ERROR",IF(ABS(M77)&gt;0.004,"BILLING VARIANCE","MATCH")))</f>
        <v/>
      </c>
    </row>
    <row r="78">
      <c r="A78" s="37" t="inlineStr">
        <is>
          <t>LP-0410</t>
        </is>
      </c>
      <c r="B78" s="37" t="inlineStr">
        <is>
          <t>Ledgport</t>
        </is>
      </c>
      <c r="C78" s="37" t="inlineStr">
        <is>
          <t>COVERED</t>
        </is>
      </c>
      <c r="D78" s="37" t="inlineStr">
        <is>
          <t>OCCUPIED</t>
        </is>
      </c>
      <c r="E78" s="37" t="inlineStr">
        <is>
          <t>WL-02453</t>
        </is>
      </c>
      <c r="F78" s="37" t="inlineStr">
        <is>
          <t>Kristina Savage</t>
        </is>
      </c>
      <c r="G78" s="37" t="n">
        <v>24</v>
      </c>
      <c r="H78" s="39" t="n">
        <v>39.7</v>
      </c>
      <c r="I78" s="40">
        <f>ROUNDUP(MAX(G78,H78),0)</f>
        <v/>
      </c>
      <c r="J78" s="41">
        <f>IF(C78="COVERED",'Methodology'!$B$9,'Methodology'!$B$10)</f>
        <v/>
      </c>
      <c r="K78" s="41">
        <f>I78*J78</f>
        <v/>
      </c>
      <c r="L78" s="41">
        <f>SUMIFS('Billing Aug'!$J$2:$J$770,'Billing Aug'!$D$2:$D$770,A78)</f>
        <v/>
      </c>
      <c r="M78" s="41">
        <f>L78-K78</f>
        <v/>
      </c>
      <c r="N78" s="37">
        <f>COUNTIF('Billing Aug'!$D$2:$D$770,A78)</f>
        <v/>
      </c>
      <c r="O78" s="37">
        <f>SUMIFS('Billing Aug'!$F$2:$F$770,'Billing Aug'!$D$2:$D$770,A78)</f>
        <v/>
      </c>
      <c r="P78" s="41">
        <f>IF(N78=0,0,L78-SUMIFS('Billing Aug'!$H$2:$H$770,'Billing Aug'!$D$2:$D$770,A78)*SUMIFS('Billing Aug'!$I$2:$I$770,'Billing Aug'!$D$2:$D$770,A78))</f>
        <v/>
      </c>
      <c r="Q78" s="37">
        <f>IF(N78=0,"NO AUG TRANSACTION IN SUPPLIED EXTRACT",IF(ABS(P78)&gt;0.004,"SUBLEDGER ARITHMETIC ERROR",IF(ABS(M78)&gt;0.004,"BILLING VARIANCE","MATCH")))</f>
        <v/>
      </c>
    </row>
    <row r="79">
      <c r="A79" s="37" t="inlineStr">
        <is>
          <t>LP-0411</t>
        </is>
      </c>
      <c r="B79" s="37" t="inlineStr">
        <is>
          <t>Ledgport</t>
        </is>
      </c>
      <c r="C79" s="37" t="inlineStr">
        <is>
          <t>COVERED</t>
        </is>
      </c>
      <c r="D79" s="37" t="inlineStr">
        <is>
          <t>OCCUPIED</t>
        </is>
      </c>
      <c r="E79" s="37" t="inlineStr">
        <is>
          <t>WL-01932</t>
        </is>
      </c>
      <c r="F79" s="37" t="inlineStr">
        <is>
          <t>Clayton Williams</t>
        </is>
      </c>
      <c r="G79" s="37" t="n">
        <v>24</v>
      </c>
      <c r="H79" s="39" t="n">
        <v>24.6</v>
      </c>
      <c r="I79" s="40">
        <f>ROUNDUP(MAX(G79,H79),0)</f>
        <v/>
      </c>
      <c r="J79" s="41">
        <f>IF(C79="COVERED",'Methodology'!$B$9,'Methodology'!$B$10)</f>
        <v/>
      </c>
      <c r="K79" s="41">
        <f>I79*J79</f>
        <v/>
      </c>
      <c r="L79" s="41">
        <f>SUMIFS('Billing Aug'!$J$2:$J$770,'Billing Aug'!$D$2:$D$770,A79)</f>
        <v/>
      </c>
      <c r="M79" s="41">
        <f>L79-K79</f>
        <v/>
      </c>
      <c r="N79" s="37">
        <f>COUNTIF('Billing Aug'!$D$2:$D$770,A79)</f>
        <v/>
      </c>
      <c r="O79" s="37">
        <f>SUMIFS('Billing Aug'!$F$2:$F$770,'Billing Aug'!$D$2:$D$770,A79)</f>
        <v/>
      </c>
      <c r="P79" s="41">
        <f>IF(N79=0,0,L79-SUMIFS('Billing Aug'!$H$2:$H$770,'Billing Aug'!$D$2:$D$770,A79)*SUMIFS('Billing Aug'!$I$2:$I$770,'Billing Aug'!$D$2:$D$770,A79))</f>
        <v/>
      </c>
      <c r="Q79" s="37">
        <f>IF(N79=0,"NO AUG TRANSACTION IN SUPPLIED EXTRACT",IF(ABS(P79)&gt;0.004,"SUBLEDGER ARITHMETIC ERROR",IF(ABS(M79)&gt;0.004,"BILLING VARIANCE","MATCH")))</f>
        <v/>
      </c>
    </row>
    <row r="80">
      <c r="A80" s="37" t="inlineStr">
        <is>
          <t>LP-0412</t>
        </is>
      </c>
      <c r="B80" s="37" t="inlineStr">
        <is>
          <t>Ledgport</t>
        </is>
      </c>
      <c r="C80" s="37" t="inlineStr">
        <is>
          <t>COVERED</t>
        </is>
      </c>
      <c r="D80" s="37" t="inlineStr">
        <is>
          <t>OCCUPIED</t>
        </is>
      </c>
      <c r="E80" s="37" t="inlineStr">
        <is>
          <t>WL-01239</t>
        </is>
      </c>
      <c r="F80" s="37" t="inlineStr">
        <is>
          <t>Edward Cook</t>
        </is>
      </c>
      <c r="G80" s="37" t="n">
        <v>32</v>
      </c>
      <c r="H80" s="39" t="n">
        <v>41.2</v>
      </c>
      <c r="I80" s="40">
        <f>ROUNDUP(MAX(G80,H80),0)</f>
        <v/>
      </c>
      <c r="J80" s="41">
        <f>IF(C80="COVERED",'Methodology'!$B$9,'Methodology'!$B$10)</f>
        <v/>
      </c>
      <c r="K80" s="41">
        <f>I80*J80</f>
        <v/>
      </c>
      <c r="L80" s="41">
        <f>SUMIFS('Billing Aug'!$J$2:$J$770,'Billing Aug'!$D$2:$D$770,A80)</f>
        <v/>
      </c>
      <c r="M80" s="41">
        <f>L80-K80</f>
        <v/>
      </c>
      <c r="N80" s="37">
        <f>COUNTIF('Billing Aug'!$D$2:$D$770,A80)</f>
        <v/>
      </c>
      <c r="O80" s="37">
        <f>SUMIFS('Billing Aug'!$F$2:$F$770,'Billing Aug'!$D$2:$D$770,A80)</f>
        <v/>
      </c>
      <c r="P80" s="41">
        <f>IF(N80=0,0,L80-SUMIFS('Billing Aug'!$H$2:$H$770,'Billing Aug'!$D$2:$D$770,A80)*SUMIFS('Billing Aug'!$I$2:$I$770,'Billing Aug'!$D$2:$D$770,A80))</f>
        <v/>
      </c>
      <c r="Q80" s="37">
        <f>IF(N80=0,"NO AUG TRANSACTION IN SUPPLIED EXTRACT",IF(ABS(P80)&gt;0.004,"SUBLEDGER ARITHMETIC ERROR",IF(ABS(M80)&gt;0.004,"BILLING VARIANCE","MATCH")))</f>
        <v/>
      </c>
    </row>
    <row r="81">
      <c r="A81" s="37" t="inlineStr">
        <is>
          <t>LP-0413</t>
        </is>
      </c>
      <c r="B81" s="37" t="inlineStr">
        <is>
          <t>Ledgport</t>
        </is>
      </c>
      <c r="C81" s="37" t="inlineStr">
        <is>
          <t>COVERED</t>
        </is>
      </c>
      <c r="D81" s="37" t="inlineStr">
        <is>
          <t>OCCUPIED</t>
        </is>
      </c>
      <c r="E81" s="37" t="inlineStr">
        <is>
          <t>WL-02589</t>
        </is>
      </c>
      <c r="F81" s="37" t="inlineStr">
        <is>
          <t>Tammie Johnson</t>
        </is>
      </c>
      <c r="G81" s="37" t="n">
        <v>28</v>
      </c>
      <c r="H81" s="39" t="n">
        <v>23.7</v>
      </c>
      <c r="I81" s="40">
        <f>ROUNDUP(MAX(G81,H81),0)</f>
        <v/>
      </c>
      <c r="J81" s="41">
        <f>IF(C81="COVERED",'Methodology'!$B$9,'Methodology'!$B$10)</f>
        <v/>
      </c>
      <c r="K81" s="41">
        <f>I81*J81</f>
        <v/>
      </c>
      <c r="L81" s="41">
        <f>SUMIFS('Billing Aug'!$J$2:$J$770,'Billing Aug'!$D$2:$D$770,A81)</f>
        <v/>
      </c>
      <c r="M81" s="41">
        <f>L81-K81</f>
        <v/>
      </c>
      <c r="N81" s="37">
        <f>COUNTIF('Billing Aug'!$D$2:$D$770,A81)</f>
        <v/>
      </c>
      <c r="O81" s="37">
        <f>SUMIFS('Billing Aug'!$F$2:$F$770,'Billing Aug'!$D$2:$D$770,A81)</f>
        <v/>
      </c>
      <c r="P81" s="41">
        <f>IF(N81=0,0,L81-SUMIFS('Billing Aug'!$H$2:$H$770,'Billing Aug'!$D$2:$D$770,A81)*SUMIFS('Billing Aug'!$I$2:$I$770,'Billing Aug'!$D$2:$D$770,A81))</f>
        <v/>
      </c>
      <c r="Q81" s="37">
        <f>IF(N81=0,"NO AUG TRANSACTION IN SUPPLIED EXTRACT",IF(ABS(P81)&gt;0.004,"SUBLEDGER ARITHMETIC ERROR",IF(ABS(M81)&gt;0.004,"BILLING VARIANCE","MATCH")))</f>
        <v/>
      </c>
    </row>
    <row r="82">
      <c r="A82" s="37" t="inlineStr">
        <is>
          <t>LP-0415</t>
        </is>
      </c>
      <c r="B82" s="37" t="inlineStr">
        <is>
          <t>Ledgport</t>
        </is>
      </c>
      <c r="C82" s="37" t="inlineStr">
        <is>
          <t>COVERED</t>
        </is>
      </c>
      <c r="D82" s="37" t="inlineStr">
        <is>
          <t>OCCUPIED</t>
        </is>
      </c>
      <c r="E82" s="37" t="inlineStr">
        <is>
          <t>WL-03907</t>
        </is>
      </c>
      <c r="F82" s="37" t="inlineStr">
        <is>
          <t>Ryan Collins</t>
        </is>
      </c>
      <c r="G82" s="37" t="n">
        <v>24</v>
      </c>
      <c r="H82" s="39" t="n">
        <v>35.9</v>
      </c>
      <c r="I82" s="40">
        <f>ROUNDUP(MAX(G82,H82),0)</f>
        <v/>
      </c>
      <c r="J82" s="41">
        <f>IF(C82="COVERED",'Methodology'!$B$9,'Methodology'!$B$10)</f>
        <v/>
      </c>
      <c r="K82" s="41">
        <f>I82*J82</f>
        <v/>
      </c>
      <c r="L82" s="41">
        <f>SUMIFS('Billing Aug'!$J$2:$J$770,'Billing Aug'!$D$2:$D$770,A82)</f>
        <v/>
      </c>
      <c r="M82" s="41">
        <f>L82-K82</f>
        <v/>
      </c>
      <c r="N82" s="37">
        <f>COUNTIF('Billing Aug'!$D$2:$D$770,A82)</f>
        <v/>
      </c>
      <c r="O82" s="37">
        <f>SUMIFS('Billing Aug'!$F$2:$F$770,'Billing Aug'!$D$2:$D$770,A82)</f>
        <v/>
      </c>
      <c r="P82" s="41">
        <f>IF(N82=0,0,L82-SUMIFS('Billing Aug'!$H$2:$H$770,'Billing Aug'!$D$2:$D$770,A82)*SUMIFS('Billing Aug'!$I$2:$I$770,'Billing Aug'!$D$2:$D$770,A82))</f>
        <v/>
      </c>
      <c r="Q82" s="37">
        <f>IF(N82=0,"NO AUG TRANSACTION IN SUPPLIED EXTRACT",IF(ABS(P82)&gt;0.004,"SUBLEDGER ARITHMETIC ERROR",IF(ABS(M82)&gt;0.004,"BILLING VARIANCE","MATCH")))</f>
        <v/>
      </c>
    </row>
    <row r="83">
      <c r="A83" s="37" t="inlineStr">
        <is>
          <t>LP-0416</t>
        </is>
      </c>
      <c r="B83" s="37" t="inlineStr">
        <is>
          <t>Ledgport</t>
        </is>
      </c>
      <c r="C83" s="37" t="inlineStr">
        <is>
          <t>COVERED</t>
        </is>
      </c>
      <c r="D83" s="37" t="inlineStr">
        <is>
          <t>OCCUPIED</t>
        </is>
      </c>
      <c r="E83" s="37" t="inlineStr">
        <is>
          <t>WL-01699</t>
        </is>
      </c>
      <c r="F83" s="37" t="inlineStr">
        <is>
          <t>Kevin Fuller</t>
        </is>
      </c>
      <c r="G83" s="37" t="n">
        <v>24</v>
      </c>
      <c r="H83" s="39" t="n">
        <v>47.8</v>
      </c>
      <c r="I83" s="40">
        <f>ROUNDUP(MAX(G83,H83),0)</f>
        <v/>
      </c>
      <c r="J83" s="41">
        <f>IF(C83="COVERED",'Methodology'!$B$9,'Methodology'!$B$10)</f>
        <v/>
      </c>
      <c r="K83" s="41">
        <f>I83*J83</f>
        <v/>
      </c>
      <c r="L83" s="41">
        <f>SUMIFS('Billing Aug'!$J$2:$J$770,'Billing Aug'!$D$2:$D$770,A83)</f>
        <v/>
      </c>
      <c r="M83" s="41">
        <f>L83-K83</f>
        <v/>
      </c>
      <c r="N83" s="37">
        <f>COUNTIF('Billing Aug'!$D$2:$D$770,A83)</f>
        <v/>
      </c>
      <c r="O83" s="37">
        <f>SUMIFS('Billing Aug'!$F$2:$F$770,'Billing Aug'!$D$2:$D$770,A83)</f>
        <v/>
      </c>
      <c r="P83" s="41">
        <f>IF(N83=0,0,L83-SUMIFS('Billing Aug'!$H$2:$H$770,'Billing Aug'!$D$2:$D$770,A83)*SUMIFS('Billing Aug'!$I$2:$I$770,'Billing Aug'!$D$2:$D$770,A83))</f>
        <v/>
      </c>
      <c r="Q83" s="37">
        <f>IF(N83=0,"NO AUG TRANSACTION IN SUPPLIED EXTRACT",IF(ABS(P83)&gt;0.004,"SUBLEDGER ARITHMETIC ERROR",IF(ABS(M83)&gt;0.004,"BILLING VARIANCE","MATCH")))</f>
        <v/>
      </c>
    </row>
    <row r="84">
      <c r="A84" s="37" t="inlineStr">
        <is>
          <t>LP-0417</t>
        </is>
      </c>
      <c r="B84" s="37" t="inlineStr">
        <is>
          <t>Ledgport</t>
        </is>
      </c>
      <c r="C84" s="37" t="inlineStr">
        <is>
          <t>COVERED</t>
        </is>
      </c>
      <c r="D84" s="37" t="inlineStr">
        <is>
          <t>OCCUPIED</t>
        </is>
      </c>
      <c r="E84" s="37" t="inlineStr">
        <is>
          <t>WL-02689</t>
        </is>
      </c>
      <c r="F84" s="37" t="inlineStr">
        <is>
          <t>Julie Silva</t>
        </is>
      </c>
      <c r="G84" s="37" t="n">
        <v>40</v>
      </c>
      <c r="H84" s="39" t="n">
        <v>60.9</v>
      </c>
      <c r="I84" s="40">
        <f>ROUNDUP(MAX(G84,H84),0)</f>
        <v/>
      </c>
      <c r="J84" s="41">
        <f>IF(C84="COVERED",'Methodology'!$B$9,'Methodology'!$B$10)</f>
        <v/>
      </c>
      <c r="K84" s="41">
        <f>I84*J84</f>
        <v/>
      </c>
      <c r="L84" s="41">
        <f>SUMIFS('Billing Aug'!$J$2:$J$770,'Billing Aug'!$D$2:$D$770,A84)</f>
        <v/>
      </c>
      <c r="M84" s="41">
        <f>L84-K84</f>
        <v/>
      </c>
      <c r="N84" s="37">
        <f>COUNTIF('Billing Aug'!$D$2:$D$770,A84)</f>
        <v/>
      </c>
      <c r="O84" s="37">
        <f>SUMIFS('Billing Aug'!$F$2:$F$770,'Billing Aug'!$D$2:$D$770,A84)</f>
        <v/>
      </c>
      <c r="P84" s="41">
        <f>IF(N84=0,0,L84-SUMIFS('Billing Aug'!$H$2:$H$770,'Billing Aug'!$D$2:$D$770,A84)*SUMIFS('Billing Aug'!$I$2:$I$770,'Billing Aug'!$D$2:$D$770,A84))</f>
        <v/>
      </c>
      <c r="Q84" s="37">
        <f>IF(N84=0,"NO AUG TRANSACTION IN SUPPLIED EXTRACT",IF(ABS(P84)&gt;0.004,"SUBLEDGER ARITHMETIC ERROR",IF(ABS(M84)&gt;0.004,"BILLING VARIANCE","MATCH")))</f>
        <v/>
      </c>
    </row>
    <row r="85">
      <c r="A85" s="37" t="inlineStr">
        <is>
          <t>LP-0418</t>
        </is>
      </c>
      <c r="B85" s="37" t="inlineStr">
        <is>
          <t>Ledgport</t>
        </is>
      </c>
      <c r="C85" s="37" t="inlineStr">
        <is>
          <t>COVERED</t>
        </is>
      </c>
      <c r="D85" s="37" t="inlineStr">
        <is>
          <t>OCCUPIED</t>
        </is>
      </c>
      <c r="E85" s="37" t="inlineStr">
        <is>
          <t>WL-01703</t>
        </is>
      </c>
      <c r="F85" s="37" t="inlineStr">
        <is>
          <t>Jorge Avery</t>
        </is>
      </c>
      <c r="G85" s="37" t="n">
        <v>24</v>
      </c>
      <c r="H85" s="39" t="n">
        <v>43.7</v>
      </c>
      <c r="I85" s="40">
        <f>ROUNDUP(MAX(G85,H85),0)</f>
        <v/>
      </c>
      <c r="J85" s="41">
        <f>IF(C85="COVERED",'Methodology'!$B$9,'Methodology'!$B$10)</f>
        <v/>
      </c>
      <c r="K85" s="41">
        <f>I85*J85</f>
        <v/>
      </c>
      <c r="L85" s="41">
        <f>SUMIFS('Billing Aug'!$J$2:$J$770,'Billing Aug'!$D$2:$D$770,A85)</f>
        <v/>
      </c>
      <c r="M85" s="41">
        <f>L85-K85</f>
        <v/>
      </c>
      <c r="N85" s="37">
        <f>COUNTIF('Billing Aug'!$D$2:$D$770,A85)</f>
        <v/>
      </c>
      <c r="O85" s="37">
        <f>SUMIFS('Billing Aug'!$F$2:$F$770,'Billing Aug'!$D$2:$D$770,A85)</f>
        <v/>
      </c>
      <c r="P85" s="41">
        <f>IF(N85=0,0,L85-SUMIFS('Billing Aug'!$H$2:$H$770,'Billing Aug'!$D$2:$D$770,A85)*SUMIFS('Billing Aug'!$I$2:$I$770,'Billing Aug'!$D$2:$D$770,A85))</f>
        <v/>
      </c>
      <c r="Q85" s="37">
        <f>IF(N85=0,"NO AUG TRANSACTION IN SUPPLIED EXTRACT",IF(ABS(P85)&gt;0.004,"SUBLEDGER ARITHMETIC ERROR",IF(ABS(M85)&gt;0.004,"BILLING VARIANCE","MATCH")))</f>
        <v/>
      </c>
    </row>
    <row r="86">
      <c r="A86" s="37" t="inlineStr">
        <is>
          <t>LP-0419</t>
        </is>
      </c>
      <c r="B86" s="37" t="inlineStr">
        <is>
          <t>Ledgport</t>
        </is>
      </c>
      <c r="C86" s="37" t="inlineStr">
        <is>
          <t>COVERED</t>
        </is>
      </c>
      <c r="D86" s="37" t="inlineStr">
        <is>
          <t>OCCUPIED</t>
        </is>
      </c>
      <c r="E86" s="37" t="inlineStr">
        <is>
          <t>WL-02926</t>
        </is>
      </c>
      <c r="F86" s="37" t="inlineStr">
        <is>
          <t>Pamela Harris</t>
        </is>
      </c>
      <c r="G86" s="37" t="n">
        <v>24</v>
      </c>
      <c r="H86" s="39" t="n">
        <v>44.4</v>
      </c>
      <c r="I86" s="40">
        <f>ROUNDUP(MAX(G86,H86),0)</f>
        <v/>
      </c>
      <c r="J86" s="41">
        <f>IF(C86="COVERED",'Methodology'!$B$9,'Methodology'!$B$10)</f>
        <v/>
      </c>
      <c r="K86" s="41">
        <f>I86*J86</f>
        <v/>
      </c>
      <c r="L86" s="41">
        <f>SUMIFS('Billing Aug'!$J$2:$J$770,'Billing Aug'!$D$2:$D$770,A86)</f>
        <v/>
      </c>
      <c r="M86" s="41">
        <f>L86-K86</f>
        <v/>
      </c>
      <c r="N86" s="37">
        <f>COUNTIF('Billing Aug'!$D$2:$D$770,A86)</f>
        <v/>
      </c>
      <c r="O86" s="37">
        <f>SUMIFS('Billing Aug'!$F$2:$F$770,'Billing Aug'!$D$2:$D$770,A86)</f>
        <v/>
      </c>
      <c r="P86" s="41">
        <f>IF(N86=0,0,L86-SUMIFS('Billing Aug'!$H$2:$H$770,'Billing Aug'!$D$2:$D$770,A86)*SUMIFS('Billing Aug'!$I$2:$I$770,'Billing Aug'!$D$2:$D$770,A86))</f>
        <v/>
      </c>
      <c r="Q86" s="37">
        <f>IF(N86=0,"NO AUG TRANSACTION IN SUPPLIED EXTRACT",IF(ABS(P86)&gt;0.004,"SUBLEDGER ARITHMETIC ERROR",IF(ABS(M86)&gt;0.004,"BILLING VARIANCE","MATCH")))</f>
        <v/>
      </c>
    </row>
    <row r="87">
      <c r="A87" s="37" t="inlineStr">
        <is>
          <t>LP-0420</t>
        </is>
      </c>
      <c r="B87" s="37" t="inlineStr">
        <is>
          <t>Ledgport</t>
        </is>
      </c>
      <c r="C87" s="37" t="inlineStr">
        <is>
          <t>COVERED</t>
        </is>
      </c>
      <c r="D87" s="37" t="inlineStr">
        <is>
          <t>OCCUPIED</t>
        </is>
      </c>
      <c r="E87" s="37" t="inlineStr">
        <is>
          <t>WL-03294</t>
        </is>
      </c>
      <c r="F87" s="37" t="inlineStr">
        <is>
          <t>Megan Nguyen</t>
        </is>
      </c>
      <c r="G87" s="37" t="n">
        <v>36</v>
      </c>
      <c r="H87" s="39" t="n">
        <v>28.9</v>
      </c>
      <c r="I87" s="40">
        <f>ROUNDUP(MAX(G87,H87),0)</f>
        <v/>
      </c>
      <c r="J87" s="41">
        <f>IF(C87="COVERED",'Methodology'!$B$9,'Methodology'!$B$10)</f>
        <v/>
      </c>
      <c r="K87" s="41">
        <f>I87*J87</f>
        <v/>
      </c>
      <c r="L87" s="41">
        <f>SUMIFS('Billing Aug'!$J$2:$J$770,'Billing Aug'!$D$2:$D$770,A87)</f>
        <v/>
      </c>
      <c r="M87" s="41">
        <f>L87-K87</f>
        <v/>
      </c>
      <c r="N87" s="37">
        <f>COUNTIF('Billing Aug'!$D$2:$D$770,A87)</f>
        <v/>
      </c>
      <c r="O87" s="37">
        <f>SUMIFS('Billing Aug'!$F$2:$F$770,'Billing Aug'!$D$2:$D$770,A87)</f>
        <v/>
      </c>
      <c r="P87" s="41">
        <f>IF(N87=0,0,L87-SUMIFS('Billing Aug'!$H$2:$H$770,'Billing Aug'!$D$2:$D$770,A87)*SUMIFS('Billing Aug'!$I$2:$I$770,'Billing Aug'!$D$2:$D$770,A87))</f>
        <v/>
      </c>
      <c r="Q87" s="37">
        <f>IF(N87=0,"NO AUG TRANSACTION IN SUPPLIED EXTRACT",IF(ABS(P87)&gt;0.004,"SUBLEDGER ARITHMETIC ERROR",IF(ABS(M87)&gt;0.004,"BILLING VARIANCE","MATCH")))</f>
        <v/>
      </c>
    </row>
    <row r="88">
      <c r="A88" s="37" t="inlineStr">
        <is>
          <t>LP-0421</t>
        </is>
      </c>
      <c r="B88" s="37" t="inlineStr">
        <is>
          <t>Ledgport</t>
        </is>
      </c>
      <c r="C88" s="37" t="inlineStr">
        <is>
          <t>COVERED</t>
        </is>
      </c>
      <c r="D88" s="37" t="inlineStr">
        <is>
          <t>OCCUPIED</t>
        </is>
      </c>
      <c r="E88" s="37" t="inlineStr">
        <is>
          <t>WL-03569</t>
        </is>
      </c>
      <c r="F88" s="37" t="inlineStr">
        <is>
          <t>Mary Hicks</t>
        </is>
      </c>
      <c r="G88" s="37" t="n">
        <v>28</v>
      </c>
      <c r="H88" s="39" t="n">
        <v>25.1</v>
      </c>
      <c r="I88" s="40">
        <f>ROUNDUP(MAX(G88,H88),0)</f>
        <v/>
      </c>
      <c r="J88" s="41">
        <f>IF(C88="COVERED",'Methodology'!$B$9,'Methodology'!$B$10)</f>
        <v/>
      </c>
      <c r="K88" s="41">
        <f>I88*J88</f>
        <v/>
      </c>
      <c r="L88" s="41">
        <f>SUMIFS('Billing Aug'!$J$2:$J$770,'Billing Aug'!$D$2:$D$770,A88)</f>
        <v/>
      </c>
      <c r="M88" s="41">
        <f>L88-K88</f>
        <v/>
      </c>
      <c r="N88" s="37">
        <f>COUNTIF('Billing Aug'!$D$2:$D$770,A88)</f>
        <v/>
      </c>
      <c r="O88" s="37">
        <f>SUMIFS('Billing Aug'!$F$2:$F$770,'Billing Aug'!$D$2:$D$770,A88)</f>
        <v/>
      </c>
      <c r="P88" s="41">
        <f>IF(N88=0,0,L88-SUMIFS('Billing Aug'!$H$2:$H$770,'Billing Aug'!$D$2:$D$770,A88)*SUMIFS('Billing Aug'!$I$2:$I$770,'Billing Aug'!$D$2:$D$770,A88))</f>
        <v/>
      </c>
      <c r="Q88" s="37">
        <f>IF(N88=0,"NO AUG TRANSACTION IN SUPPLIED EXTRACT",IF(ABS(P88)&gt;0.004,"SUBLEDGER ARITHMETIC ERROR",IF(ABS(M88)&gt;0.004,"BILLING VARIANCE","MATCH")))</f>
        <v/>
      </c>
    </row>
    <row r="89">
      <c r="A89" s="37" t="inlineStr">
        <is>
          <t>LP-0422</t>
        </is>
      </c>
      <c r="B89" s="37" t="inlineStr">
        <is>
          <t>Ledgport</t>
        </is>
      </c>
      <c r="C89" s="37" t="inlineStr">
        <is>
          <t>COVERED</t>
        </is>
      </c>
      <c r="D89" s="37" t="inlineStr">
        <is>
          <t>OCCUPIED</t>
        </is>
      </c>
      <c r="E89" s="37" t="inlineStr">
        <is>
          <t>WL-02875</t>
        </is>
      </c>
      <c r="F89" s="37" t="inlineStr">
        <is>
          <t>Frank Beard</t>
        </is>
      </c>
      <c r="G89" s="37" t="n">
        <v>32</v>
      </c>
      <c r="H89" s="39" t="n">
        <v>33.5</v>
      </c>
      <c r="I89" s="40">
        <f>ROUNDUP(MAX(G89,H89),0)</f>
        <v/>
      </c>
      <c r="J89" s="41">
        <f>IF(C89="COVERED",'Methodology'!$B$9,'Methodology'!$B$10)</f>
        <v/>
      </c>
      <c r="K89" s="41">
        <f>I89*J89</f>
        <v/>
      </c>
      <c r="L89" s="41">
        <f>SUMIFS('Billing Aug'!$J$2:$J$770,'Billing Aug'!$D$2:$D$770,A89)</f>
        <v/>
      </c>
      <c r="M89" s="41">
        <f>L89-K89</f>
        <v/>
      </c>
      <c r="N89" s="37">
        <f>COUNTIF('Billing Aug'!$D$2:$D$770,A89)</f>
        <v/>
      </c>
      <c r="O89" s="37">
        <f>SUMIFS('Billing Aug'!$F$2:$F$770,'Billing Aug'!$D$2:$D$770,A89)</f>
        <v/>
      </c>
      <c r="P89" s="41">
        <f>IF(N89=0,0,L89-SUMIFS('Billing Aug'!$H$2:$H$770,'Billing Aug'!$D$2:$D$770,A89)*SUMIFS('Billing Aug'!$I$2:$I$770,'Billing Aug'!$D$2:$D$770,A89))</f>
        <v/>
      </c>
      <c r="Q89" s="37">
        <f>IF(N89=0,"NO AUG TRANSACTION IN SUPPLIED EXTRACT",IF(ABS(P89)&gt;0.004,"SUBLEDGER ARITHMETIC ERROR",IF(ABS(M89)&gt;0.004,"BILLING VARIANCE","MATCH")))</f>
        <v/>
      </c>
    </row>
    <row r="90">
      <c r="A90" s="37" t="inlineStr">
        <is>
          <t>LP-0423</t>
        </is>
      </c>
      <c r="B90" s="37" t="inlineStr">
        <is>
          <t>Ledgport</t>
        </is>
      </c>
      <c r="C90" s="37" t="inlineStr">
        <is>
          <t>COVERED</t>
        </is>
      </c>
      <c r="D90" s="37" t="inlineStr">
        <is>
          <t>OCCUPIED</t>
        </is>
      </c>
      <c r="E90" s="37" t="inlineStr">
        <is>
          <t>WL-01778</t>
        </is>
      </c>
      <c r="F90" s="37" t="inlineStr">
        <is>
          <t>Margaret Brown</t>
        </is>
      </c>
      <c r="G90" s="37" t="n">
        <v>40</v>
      </c>
      <c r="H90" s="39" t="n">
        <v>34.6</v>
      </c>
      <c r="I90" s="40">
        <f>ROUNDUP(MAX(G90,H90),0)</f>
        <v/>
      </c>
      <c r="J90" s="41">
        <f>IF(C90="COVERED",'Methodology'!$B$9,'Methodology'!$B$10)</f>
        <v/>
      </c>
      <c r="K90" s="41">
        <f>I90*J90</f>
        <v/>
      </c>
      <c r="L90" s="41">
        <f>SUMIFS('Billing Aug'!$J$2:$J$770,'Billing Aug'!$D$2:$D$770,A90)</f>
        <v/>
      </c>
      <c r="M90" s="41">
        <f>L90-K90</f>
        <v/>
      </c>
      <c r="N90" s="37">
        <f>COUNTIF('Billing Aug'!$D$2:$D$770,A90)</f>
        <v/>
      </c>
      <c r="O90" s="37">
        <f>SUMIFS('Billing Aug'!$F$2:$F$770,'Billing Aug'!$D$2:$D$770,A90)</f>
        <v/>
      </c>
      <c r="P90" s="41">
        <f>IF(N90=0,0,L90-SUMIFS('Billing Aug'!$H$2:$H$770,'Billing Aug'!$D$2:$D$770,A90)*SUMIFS('Billing Aug'!$I$2:$I$770,'Billing Aug'!$D$2:$D$770,A90))</f>
        <v/>
      </c>
      <c r="Q90" s="37">
        <f>IF(N90=0,"NO AUG TRANSACTION IN SUPPLIED EXTRACT",IF(ABS(P90)&gt;0.004,"SUBLEDGER ARITHMETIC ERROR",IF(ABS(M90)&gt;0.004,"BILLING VARIANCE","MATCH")))</f>
        <v/>
      </c>
    </row>
    <row r="91">
      <c r="A91" s="37" t="inlineStr">
        <is>
          <t>LP-0424</t>
        </is>
      </c>
      <c r="B91" s="37" t="inlineStr">
        <is>
          <t>Ledgport</t>
        </is>
      </c>
      <c r="C91" s="37" t="inlineStr">
        <is>
          <t>COVERED</t>
        </is>
      </c>
      <c r="D91" s="37" t="inlineStr">
        <is>
          <t>OCCUPIED</t>
        </is>
      </c>
      <c r="E91" s="37" t="inlineStr">
        <is>
          <t>WL-02954</t>
        </is>
      </c>
      <c r="F91" s="37" t="inlineStr">
        <is>
          <t>Michael Perez</t>
        </is>
      </c>
      <c r="G91" s="37" t="n">
        <v>28</v>
      </c>
      <c r="H91" s="39" t="n">
        <v>28.5</v>
      </c>
      <c r="I91" s="40">
        <f>ROUNDUP(MAX(G91,H91),0)</f>
        <v/>
      </c>
      <c r="J91" s="41">
        <f>IF(C91="COVERED",'Methodology'!$B$9,'Methodology'!$B$10)</f>
        <v/>
      </c>
      <c r="K91" s="41">
        <f>I91*J91</f>
        <v/>
      </c>
      <c r="L91" s="41">
        <f>SUMIFS('Billing Aug'!$J$2:$J$770,'Billing Aug'!$D$2:$D$770,A91)</f>
        <v/>
      </c>
      <c r="M91" s="41">
        <f>L91-K91</f>
        <v/>
      </c>
      <c r="N91" s="37">
        <f>COUNTIF('Billing Aug'!$D$2:$D$770,A91)</f>
        <v/>
      </c>
      <c r="O91" s="37">
        <f>SUMIFS('Billing Aug'!$F$2:$F$770,'Billing Aug'!$D$2:$D$770,A91)</f>
        <v/>
      </c>
      <c r="P91" s="41">
        <f>IF(N91=0,0,L91-SUMIFS('Billing Aug'!$H$2:$H$770,'Billing Aug'!$D$2:$D$770,A91)*SUMIFS('Billing Aug'!$I$2:$I$770,'Billing Aug'!$D$2:$D$770,A91))</f>
        <v/>
      </c>
      <c r="Q91" s="37">
        <f>IF(N91=0,"NO AUG TRANSACTION IN SUPPLIED EXTRACT",IF(ABS(P91)&gt;0.004,"SUBLEDGER ARITHMETIC ERROR",IF(ABS(M91)&gt;0.004,"BILLING VARIANCE","MATCH")))</f>
        <v/>
      </c>
    </row>
    <row r="92">
      <c r="A92" s="37" t="inlineStr">
        <is>
          <t>LP-0502</t>
        </is>
      </c>
      <c r="B92" s="37" t="inlineStr">
        <is>
          <t>Ledgport</t>
        </is>
      </c>
      <c r="C92" s="37" t="inlineStr">
        <is>
          <t>COVERED</t>
        </is>
      </c>
      <c r="D92" s="37" t="inlineStr">
        <is>
          <t>OCCUPIED</t>
        </is>
      </c>
      <c r="E92" s="37" t="inlineStr">
        <is>
          <t>WL-02634</t>
        </is>
      </c>
      <c r="F92" s="37" t="inlineStr">
        <is>
          <t>Michelle Cooper</t>
        </is>
      </c>
      <c r="G92" s="37" t="n">
        <v>32</v>
      </c>
      <c r="H92" s="39" t="n">
        <v>53.6</v>
      </c>
      <c r="I92" s="40">
        <f>ROUNDUP(MAX(G92,H92),0)</f>
        <v/>
      </c>
      <c r="J92" s="41">
        <f>IF(C92="COVERED",'Methodology'!$B$9,'Methodology'!$B$10)</f>
        <v/>
      </c>
      <c r="K92" s="41">
        <f>I92*J92</f>
        <v/>
      </c>
      <c r="L92" s="41">
        <f>SUMIFS('Billing Aug'!$J$2:$J$770,'Billing Aug'!$D$2:$D$770,A92)</f>
        <v/>
      </c>
      <c r="M92" s="41">
        <f>L92-K92</f>
        <v/>
      </c>
      <c r="N92" s="37">
        <f>COUNTIF('Billing Aug'!$D$2:$D$770,A92)</f>
        <v/>
      </c>
      <c r="O92" s="37">
        <f>SUMIFS('Billing Aug'!$F$2:$F$770,'Billing Aug'!$D$2:$D$770,A92)</f>
        <v/>
      </c>
      <c r="P92" s="41">
        <f>IF(N92=0,0,L92-SUMIFS('Billing Aug'!$H$2:$H$770,'Billing Aug'!$D$2:$D$770,A92)*SUMIFS('Billing Aug'!$I$2:$I$770,'Billing Aug'!$D$2:$D$770,A92))</f>
        <v/>
      </c>
      <c r="Q92" s="37">
        <f>IF(N92=0,"NO AUG TRANSACTION IN SUPPLIED EXTRACT",IF(ABS(P92)&gt;0.004,"SUBLEDGER ARITHMETIC ERROR",IF(ABS(M92)&gt;0.004,"BILLING VARIANCE","MATCH")))</f>
        <v/>
      </c>
    </row>
    <row r="93">
      <c r="A93" s="37" t="inlineStr">
        <is>
          <t>LP-0503</t>
        </is>
      </c>
      <c r="B93" s="37" t="inlineStr">
        <is>
          <t>Ledgport</t>
        </is>
      </c>
      <c r="C93" s="37" t="inlineStr">
        <is>
          <t>COVERED</t>
        </is>
      </c>
      <c r="D93" s="37" t="inlineStr">
        <is>
          <t>OCCUPIED</t>
        </is>
      </c>
      <c r="E93" s="37" t="inlineStr">
        <is>
          <t>WL-03603</t>
        </is>
      </c>
      <c r="F93" s="37" t="inlineStr">
        <is>
          <t>Steven Sanders</t>
        </is>
      </c>
      <c r="G93" s="37" t="n">
        <v>24</v>
      </c>
      <c r="H93" s="39" t="n">
        <v>34</v>
      </c>
      <c r="I93" s="40">
        <f>ROUNDUP(MAX(G93,H93),0)</f>
        <v/>
      </c>
      <c r="J93" s="41">
        <f>IF(C93="COVERED",'Methodology'!$B$9,'Methodology'!$B$10)</f>
        <v/>
      </c>
      <c r="K93" s="41">
        <f>I93*J93</f>
        <v/>
      </c>
      <c r="L93" s="41">
        <f>SUMIFS('Billing Aug'!$J$2:$J$770,'Billing Aug'!$D$2:$D$770,A93)</f>
        <v/>
      </c>
      <c r="M93" s="41">
        <f>L93-K93</f>
        <v/>
      </c>
      <c r="N93" s="37">
        <f>COUNTIF('Billing Aug'!$D$2:$D$770,A93)</f>
        <v/>
      </c>
      <c r="O93" s="37">
        <f>SUMIFS('Billing Aug'!$F$2:$F$770,'Billing Aug'!$D$2:$D$770,A93)</f>
        <v/>
      </c>
      <c r="P93" s="41">
        <f>IF(N93=0,0,L93-SUMIFS('Billing Aug'!$H$2:$H$770,'Billing Aug'!$D$2:$D$770,A93)*SUMIFS('Billing Aug'!$I$2:$I$770,'Billing Aug'!$D$2:$D$770,A93))</f>
        <v/>
      </c>
      <c r="Q93" s="37">
        <f>IF(N93=0,"NO AUG TRANSACTION IN SUPPLIED EXTRACT",IF(ABS(P93)&gt;0.004,"SUBLEDGER ARITHMETIC ERROR",IF(ABS(M93)&gt;0.004,"BILLING VARIANCE","MATCH")))</f>
        <v/>
      </c>
    </row>
    <row r="94">
      <c r="A94" s="37" t="inlineStr">
        <is>
          <t>LP-0504</t>
        </is>
      </c>
      <c r="B94" s="37" t="inlineStr">
        <is>
          <t>Ledgport</t>
        </is>
      </c>
      <c r="C94" s="37" t="inlineStr">
        <is>
          <t>COVERED</t>
        </is>
      </c>
      <c r="D94" s="37" t="inlineStr">
        <is>
          <t>OCCUPIED</t>
        </is>
      </c>
      <c r="E94" s="37" t="inlineStr">
        <is>
          <t>WL-02974</t>
        </is>
      </c>
      <c r="F94" s="37" t="inlineStr">
        <is>
          <t>Natasha Wilson</t>
        </is>
      </c>
      <c r="G94" s="37" t="n">
        <v>28</v>
      </c>
      <c r="H94" s="39" t="n">
        <v>57.8</v>
      </c>
      <c r="I94" s="40">
        <f>ROUNDUP(MAX(G94,H94),0)</f>
        <v/>
      </c>
      <c r="J94" s="41">
        <f>IF(C94="COVERED",'Methodology'!$B$9,'Methodology'!$B$10)</f>
        <v/>
      </c>
      <c r="K94" s="41">
        <f>I94*J94</f>
        <v/>
      </c>
      <c r="L94" s="41">
        <f>SUMIFS('Billing Aug'!$J$2:$J$770,'Billing Aug'!$D$2:$D$770,A94)</f>
        <v/>
      </c>
      <c r="M94" s="41">
        <f>L94-K94</f>
        <v/>
      </c>
      <c r="N94" s="37">
        <f>COUNTIF('Billing Aug'!$D$2:$D$770,A94)</f>
        <v/>
      </c>
      <c r="O94" s="37">
        <f>SUMIFS('Billing Aug'!$F$2:$F$770,'Billing Aug'!$D$2:$D$770,A94)</f>
        <v/>
      </c>
      <c r="P94" s="41">
        <f>IF(N94=0,0,L94-SUMIFS('Billing Aug'!$H$2:$H$770,'Billing Aug'!$D$2:$D$770,A94)*SUMIFS('Billing Aug'!$I$2:$I$770,'Billing Aug'!$D$2:$D$770,A94))</f>
        <v/>
      </c>
      <c r="Q94" s="37">
        <f>IF(N94=0,"NO AUG TRANSACTION IN SUPPLIED EXTRACT",IF(ABS(P94)&gt;0.004,"SUBLEDGER ARITHMETIC ERROR",IF(ABS(M94)&gt;0.004,"BILLING VARIANCE","MATCH")))</f>
        <v/>
      </c>
    </row>
    <row r="95">
      <c r="A95" s="37" t="inlineStr">
        <is>
          <t>LP-0505</t>
        </is>
      </c>
      <c r="B95" s="37" t="inlineStr">
        <is>
          <t>Ledgport</t>
        </is>
      </c>
      <c r="C95" s="37" t="inlineStr">
        <is>
          <t>COVERED</t>
        </is>
      </c>
      <c r="D95" s="37" t="inlineStr">
        <is>
          <t>OCCUPIED</t>
        </is>
      </c>
      <c r="E95" s="37" t="inlineStr">
        <is>
          <t>WL-02433</t>
        </is>
      </c>
      <c r="F95" s="37" t="inlineStr">
        <is>
          <t>Jordan Casey</t>
        </is>
      </c>
      <c r="G95" s="37" t="n">
        <v>28</v>
      </c>
      <c r="H95" s="39" t="n">
        <v>57.9</v>
      </c>
      <c r="I95" s="40">
        <f>ROUNDUP(MAX(G95,H95),0)</f>
        <v/>
      </c>
      <c r="J95" s="41">
        <f>IF(C95="COVERED",'Methodology'!$B$9,'Methodology'!$B$10)</f>
        <v/>
      </c>
      <c r="K95" s="41">
        <f>I95*J95</f>
        <v/>
      </c>
      <c r="L95" s="41">
        <f>SUMIFS('Billing Aug'!$J$2:$J$770,'Billing Aug'!$D$2:$D$770,A95)</f>
        <v/>
      </c>
      <c r="M95" s="41">
        <f>L95-K95</f>
        <v/>
      </c>
      <c r="N95" s="37">
        <f>COUNTIF('Billing Aug'!$D$2:$D$770,A95)</f>
        <v/>
      </c>
      <c r="O95" s="37">
        <f>SUMIFS('Billing Aug'!$F$2:$F$770,'Billing Aug'!$D$2:$D$770,A95)</f>
        <v/>
      </c>
      <c r="P95" s="41">
        <f>IF(N95=0,0,L95-SUMIFS('Billing Aug'!$H$2:$H$770,'Billing Aug'!$D$2:$D$770,A95)*SUMIFS('Billing Aug'!$I$2:$I$770,'Billing Aug'!$D$2:$D$770,A95))</f>
        <v/>
      </c>
      <c r="Q95" s="37">
        <f>IF(N95=0,"NO AUG TRANSACTION IN SUPPLIED EXTRACT",IF(ABS(P95)&gt;0.004,"SUBLEDGER ARITHMETIC ERROR",IF(ABS(M95)&gt;0.004,"BILLING VARIANCE","MATCH")))</f>
        <v/>
      </c>
    </row>
    <row r="96">
      <c r="A96" s="37" t="inlineStr">
        <is>
          <t>LP-0506</t>
        </is>
      </c>
      <c r="B96" s="37" t="inlineStr">
        <is>
          <t>Ledgport</t>
        </is>
      </c>
      <c r="C96" s="37" t="inlineStr">
        <is>
          <t>COVERED</t>
        </is>
      </c>
      <c r="D96" s="37" t="inlineStr">
        <is>
          <t>OCCUPIED</t>
        </is>
      </c>
      <c r="E96" s="37" t="inlineStr">
        <is>
          <t>WL-01135</t>
        </is>
      </c>
      <c r="F96" s="37" t="inlineStr">
        <is>
          <t>Julia Mills</t>
        </is>
      </c>
      <c r="G96" s="37" t="n">
        <v>24</v>
      </c>
      <c r="H96" s="39" t="n">
        <v>46.7</v>
      </c>
      <c r="I96" s="40">
        <f>ROUNDUP(MAX(G96,H96),0)</f>
        <v/>
      </c>
      <c r="J96" s="41">
        <f>IF(C96="COVERED",'Methodology'!$B$9,'Methodology'!$B$10)</f>
        <v/>
      </c>
      <c r="K96" s="41">
        <f>I96*J96</f>
        <v/>
      </c>
      <c r="L96" s="41">
        <f>SUMIFS('Billing Aug'!$J$2:$J$770,'Billing Aug'!$D$2:$D$770,A96)</f>
        <v/>
      </c>
      <c r="M96" s="41">
        <f>L96-K96</f>
        <v/>
      </c>
      <c r="N96" s="37">
        <f>COUNTIF('Billing Aug'!$D$2:$D$770,A96)</f>
        <v/>
      </c>
      <c r="O96" s="37">
        <f>SUMIFS('Billing Aug'!$F$2:$F$770,'Billing Aug'!$D$2:$D$770,A96)</f>
        <v/>
      </c>
      <c r="P96" s="41">
        <f>IF(N96=0,0,L96-SUMIFS('Billing Aug'!$H$2:$H$770,'Billing Aug'!$D$2:$D$770,A96)*SUMIFS('Billing Aug'!$I$2:$I$770,'Billing Aug'!$D$2:$D$770,A96))</f>
        <v/>
      </c>
      <c r="Q96" s="37">
        <f>IF(N96=0,"NO AUG TRANSACTION IN SUPPLIED EXTRACT",IF(ABS(P96)&gt;0.004,"SUBLEDGER ARITHMETIC ERROR",IF(ABS(M96)&gt;0.004,"BILLING VARIANCE","MATCH")))</f>
        <v/>
      </c>
    </row>
    <row r="97">
      <c r="A97" s="37" t="inlineStr">
        <is>
          <t>LP-0507</t>
        </is>
      </c>
      <c r="B97" s="37" t="inlineStr">
        <is>
          <t>Ledgport</t>
        </is>
      </c>
      <c r="C97" s="37" t="inlineStr">
        <is>
          <t>COVERED</t>
        </is>
      </c>
      <c r="D97" s="37" t="inlineStr">
        <is>
          <t>OCCUPIED</t>
        </is>
      </c>
      <c r="E97" s="37" t="inlineStr">
        <is>
          <t>WL-03311</t>
        </is>
      </c>
      <c r="F97" s="37" t="inlineStr">
        <is>
          <t>Shane Lee</t>
        </is>
      </c>
      <c r="G97" s="37" t="n">
        <v>32</v>
      </c>
      <c r="H97" s="39" t="n">
        <v>41</v>
      </c>
      <c r="I97" s="40">
        <f>ROUNDUP(MAX(G97,H97),0)</f>
        <v/>
      </c>
      <c r="J97" s="41">
        <f>IF(C97="COVERED",'Methodology'!$B$9,'Methodology'!$B$10)</f>
        <v/>
      </c>
      <c r="K97" s="41">
        <f>I97*J97</f>
        <v/>
      </c>
      <c r="L97" s="41">
        <f>SUMIFS('Billing Aug'!$J$2:$J$770,'Billing Aug'!$D$2:$D$770,A97)</f>
        <v/>
      </c>
      <c r="M97" s="41">
        <f>L97-K97</f>
        <v/>
      </c>
      <c r="N97" s="37">
        <f>COUNTIF('Billing Aug'!$D$2:$D$770,A97)</f>
        <v/>
      </c>
      <c r="O97" s="37">
        <f>SUMIFS('Billing Aug'!$F$2:$F$770,'Billing Aug'!$D$2:$D$770,A97)</f>
        <v/>
      </c>
      <c r="P97" s="41">
        <f>IF(N97=0,0,L97-SUMIFS('Billing Aug'!$H$2:$H$770,'Billing Aug'!$D$2:$D$770,A97)*SUMIFS('Billing Aug'!$I$2:$I$770,'Billing Aug'!$D$2:$D$770,A97))</f>
        <v/>
      </c>
      <c r="Q97" s="37">
        <f>IF(N97=0,"NO AUG TRANSACTION IN SUPPLIED EXTRACT",IF(ABS(P97)&gt;0.004,"SUBLEDGER ARITHMETIC ERROR",IF(ABS(M97)&gt;0.004,"BILLING VARIANCE","MATCH")))</f>
        <v/>
      </c>
    </row>
    <row r="98">
      <c r="A98" s="37" t="inlineStr">
        <is>
          <t>LP-0508</t>
        </is>
      </c>
      <c r="B98" s="37" t="inlineStr">
        <is>
          <t>Ledgport</t>
        </is>
      </c>
      <c r="C98" s="37" t="inlineStr">
        <is>
          <t>COVERED</t>
        </is>
      </c>
      <c r="D98" s="37" t="inlineStr">
        <is>
          <t>OCCUPIED</t>
        </is>
      </c>
      <c r="E98" s="37" t="inlineStr">
        <is>
          <t>WL-01855</t>
        </is>
      </c>
      <c r="F98" s="37" t="inlineStr">
        <is>
          <t>Maria Wright</t>
        </is>
      </c>
      <c r="G98" s="37" t="n">
        <v>24</v>
      </c>
      <c r="H98" s="39" t="n">
        <v>56.6</v>
      </c>
      <c r="I98" s="40">
        <f>ROUNDUP(MAX(G98,H98),0)</f>
        <v/>
      </c>
      <c r="J98" s="41">
        <f>IF(C98="COVERED",'Methodology'!$B$9,'Methodology'!$B$10)</f>
        <v/>
      </c>
      <c r="K98" s="41">
        <f>I98*J98</f>
        <v/>
      </c>
      <c r="L98" s="41">
        <f>SUMIFS('Billing Aug'!$J$2:$J$770,'Billing Aug'!$D$2:$D$770,A98)</f>
        <v/>
      </c>
      <c r="M98" s="41">
        <f>L98-K98</f>
        <v/>
      </c>
      <c r="N98" s="37">
        <f>COUNTIF('Billing Aug'!$D$2:$D$770,A98)</f>
        <v/>
      </c>
      <c r="O98" s="37">
        <f>SUMIFS('Billing Aug'!$F$2:$F$770,'Billing Aug'!$D$2:$D$770,A98)</f>
        <v/>
      </c>
      <c r="P98" s="41">
        <f>IF(N98=0,0,L98-SUMIFS('Billing Aug'!$H$2:$H$770,'Billing Aug'!$D$2:$D$770,A98)*SUMIFS('Billing Aug'!$I$2:$I$770,'Billing Aug'!$D$2:$D$770,A98))</f>
        <v/>
      </c>
      <c r="Q98" s="37">
        <f>IF(N98=0,"NO AUG TRANSACTION IN SUPPLIED EXTRACT",IF(ABS(P98)&gt;0.004,"SUBLEDGER ARITHMETIC ERROR",IF(ABS(M98)&gt;0.004,"BILLING VARIANCE","MATCH")))</f>
        <v/>
      </c>
    </row>
    <row r="99">
      <c r="A99" s="37" t="inlineStr">
        <is>
          <t>LP-0509</t>
        </is>
      </c>
      <c r="B99" s="37" t="inlineStr">
        <is>
          <t>Ledgport</t>
        </is>
      </c>
      <c r="C99" s="37" t="inlineStr">
        <is>
          <t>COVERED</t>
        </is>
      </c>
      <c r="D99" s="37" t="inlineStr">
        <is>
          <t>OCCUPIED</t>
        </is>
      </c>
      <c r="E99" s="37" t="inlineStr">
        <is>
          <t>WL-01968</t>
        </is>
      </c>
      <c r="F99" s="37" t="inlineStr">
        <is>
          <t>Cheryl Lewis</t>
        </is>
      </c>
      <c r="G99" s="37" t="n">
        <v>32</v>
      </c>
      <c r="H99" s="39" t="n">
        <v>50</v>
      </c>
      <c r="I99" s="40">
        <f>ROUNDUP(MAX(G99,H99),0)</f>
        <v/>
      </c>
      <c r="J99" s="41">
        <f>IF(C99="COVERED",'Methodology'!$B$9,'Methodology'!$B$10)</f>
        <v/>
      </c>
      <c r="K99" s="41">
        <f>I99*J99</f>
        <v/>
      </c>
      <c r="L99" s="41">
        <f>SUMIFS('Billing Aug'!$J$2:$J$770,'Billing Aug'!$D$2:$D$770,A99)</f>
        <v/>
      </c>
      <c r="M99" s="41">
        <f>L99-K99</f>
        <v/>
      </c>
      <c r="N99" s="37">
        <f>COUNTIF('Billing Aug'!$D$2:$D$770,A99)</f>
        <v/>
      </c>
      <c r="O99" s="37">
        <f>SUMIFS('Billing Aug'!$F$2:$F$770,'Billing Aug'!$D$2:$D$770,A99)</f>
        <v/>
      </c>
      <c r="P99" s="41">
        <f>IF(N99=0,0,L99-SUMIFS('Billing Aug'!$H$2:$H$770,'Billing Aug'!$D$2:$D$770,A99)*SUMIFS('Billing Aug'!$I$2:$I$770,'Billing Aug'!$D$2:$D$770,A99))</f>
        <v/>
      </c>
      <c r="Q99" s="37">
        <f>IF(N99=0,"NO AUG TRANSACTION IN SUPPLIED EXTRACT",IF(ABS(P99)&gt;0.004,"SUBLEDGER ARITHMETIC ERROR",IF(ABS(M99)&gt;0.004,"BILLING VARIANCE","MATCH")))</f>
        <v/>
      </c>
    </row>
    <row r="100">
      <c r="A100" s="37" t="inlineStr">
        <is>
          <t>LP-0510</t>
        </is>
      </c>
      <c r="B100" s="37" t="inlineStr">
        <is>
          <t>Ledgport</t>
        </is>
      </c>
      <c r="C100" s="37" t="inlineStr">
        <is>
          <t>COVERED</t>
        </is>
      </c>
      <c r="D100" s="37" t="inlineStr">
        <is>
          <t>OCCUPIED</t>
        </is>
      </c>
      <c r="E100" s="37" t="inlineStr">
        <is>
          <t>WL-03288</t>
        </is>
      </c>
      <c r="F100" s="37" t="inlineStr">
        <is>
          <t>Jaclyn Ingram</t>
        </is>
      </c>
      <c r="G100" s="37" t="n">
        <v>36</v>
      </c>
      <c r="H100" s="39" t="n">
        <v>58.7</v>
      </c>
      <c r="I100" s="40">
        <f>ROUNDUP(MAX(G100,H100),0)</f>
        <v/>
      </c>
      <c r="J100" s="41">
        <f>IF(C100="COVERED",'Methodology'!$B$9,'Methodology'!$B$10)</f>
        <v/>
      </c>
      <c r="K100" s="41">
        <f>I100*J100</f>
        <v/>
      </c>
      <c r="L100" s="41">
        <f>SUMIFS('Billing Aug'!$J$2:$J$770,'Billing Aug'!$D$2:$D$770,A100)</f>
        <v/>
      </c>
      <c r="M100" s="41">
        <f>L100-K100</f>
        <v/>
      </c>
      <c r="N100" s="37">
        <f>COUNTIF('Billing Aug'!$D$2:$D$770,A100)</f>
        <v/>
      </c>
      <c r="O100" s="37">
        <f>SUMIFS('Billing Aug'!$F$2:$F$770,'Billing Aug'!$D$2:$D$770,A100)</f>
        <v/>
      </c>
      <c r="P100" s="41">
        <f>IF(N100=0,0,L100-SUMIFS('Billing Aug'!$H$2:$H$770,'Billing Aug'!$D$2:$D$770,A100)*SUMIFS('Billing Aug'!$I$2:$I$770,'Billing Aug'!$D$2:$D$770,A100))</f>
        <v/>
      </c>
      <c r="Q100" s="37">
        <f>IF(N100=0,"NO AUG TRANSACTION IN SUPPLIED EXTRACT",IF(ABS(P100)&gt;0.004,"SUBLEDGER ARITHMETIC ERROR",IF(ABS(M100)&gt;0.004,"BILLING VARIANCE","MATCH")))</f>
        <v/>
      </c>
    </row>
    <row r="101">
      <c r="A101" s="37" t="inlineStr">
        <is>
          <t>LP-0511</t>
        </is>
      </c>
      <c r="B101" s="37" t="inlineStr">
        <is>
          <t>Ledgport</t>
        </is>
      </c>
      <c r="C101" s="37" t="inlineStr">
        <is>
          <t>COVERED</t>
        </is>
      </c>
      <c r="D101" s="37" t="inlineStr">
        <is>
          <t>OCCUPIED</t>
        </is>
      </c>
      <c r="E101" s="37" t="inlineStr">
        <is>
          <t>WL-01060</t>
        </is>
      </c>
      <c r="F101" s="37" t="inlineStr">
        <is>
          <t>Michael Cole</t>
        </is>
      </c>
      <c r="G101" s="37" t="n">
        <v>40</v>
      </c>
      <c r="H101" s="39" t="n">
        <v>23.7</v>
      </c>
      <c r="I101" s="40">
        <f>ROUNDUP(MAX(G101,H101),0)</f>
        <v/>
      </c>
      <c r="J101" s="41">
        <f>IF(C101="COVERED",'Methodology'!$B$9,'Methodology'!$B$10)</f>
        <v/>
      </c>
      <c r="K101" s="41">
        <f>I101*J101</f>
        <v/>
      </c>
      <c r="L101" s="41">
        <f>SUMIFS('Billing Aug'!$J$2:$J$770,'Billing Aug'!$D$2:$D$770,A101)</f>
        <v/>
      </c>
      <c r="M101" s="41">
        <f>L101-K101</f>
        <v/>
      </c>
      <c r="N101" s="37">
        <f>COUNTIF('Billing Aug'!$D$2:$D$770,A101)</f>
        <v/>
      </c>
      <c r="O101" s="37">
        <f>SUMIFS('Billing Aug'!$F$2:$F$770,'Billing Aug'!$D$2:$D$770,A101)</f>
        <v/>
      </c>
      <c r="P101" s="41">
        <f>IF(N101=0,0,L101-SUMIFS('Billing Aug'!$H$2:$H$770,'Billing Aug'!$D$2:$D$770,A101)*SUMIFS('Billing Aug'!$I$2:$I$770,'Billing Aug'!$D$2:$D$770,A101))</f>
        <v/>
      </c>
      <c r="Q101" s="37">
        <f>IF(N101=0,"NO AUG TRANSACTION IN SUPPLIED EXTRACT",IF(ABS(P101)&gt;0.004,"SUBLEDGER ARITHMETIC ERROR",IF(ABS(M101)&gt;0.004,"BILLING VARIANCE","MATCH")))</f>
        <v/>
      </c>
    </row>
    <row r="102">
      <c r="A102" s="37" t="inlineStr">
        <is>
          <t>LP-0512</t>
        </is>
      </c>
      <c r="B102" s="37" t="inlineStr">
        <is>
          <t>Ledgport</t>
        </is>
      </c>
      <c r="C102" s="37" t="inlineStr">
        <is>
          <t>COVERED</t>
        </is>
      </c>
      <c r="D102" s="37" t="inlineStr">
        <is>
          <t>OCCUPIED</t>
        </is>
      </c>
      <c r="E102" s="37" t="inlineStr">
        <is>
          <t>WL-02938</t>
        </is>
      </c>
      <c r="F102" s="37" t="inlineStr">
        <is>
          <t>Micheal Perez</t>
        </is>
      </c>
      <c r="G102" s="37" t="n">
        <v>40</v>
      </c>
      <c r="H102" s="39" t="n">
        <v>19</v>
      </c>
      <c r="I102" s="40">
        <f>ROUNDUP(MAX(G102,H102),0)</f>
        <v/>
      </c>
      <c r="J102" s="41">
        <f>IF(C102="COVERED",'Methodology'!$B$9,'Methodology'!$B$10)</f>
        <v/>
      </c>
      <c r="K102" s="41">
        <f>I102*J102</f>
        <v/>
      </c>
      <c r="L102" s="41">
        <f>SUMIFS('Billing Aug'!$J$2:$J$770,'Billing Aug'!$D$2:$D$770,A102)</f>
        <v/>
      </c>
      <c r="M102" s="41">
        <f>L102-K102</f>
        <v/>
      </c>
      <c r="N102" s="37">
        <f>COUNTIF('Billing Aug'!$D$2:$D$770,A102)</f>
        <v/>
      </c>
      <c r="O102" s="37">
        <f>SUMIFS('Billing Aug'!$F$2:$F$770,'Billing Aug'!$D$2:$D$770,A102)</f>
        <v/>
      </c>
      <c r="P102" s="41">
        <f>IF(N102=0,0,L102-SUMIFS('Billing Aug'!$H$2:$H$770,'Billing Aug'!$D$2:$D$770,A102)*SUMIFS('Billing Aug'!$I$2:$I$770,'Billing Aug'!$D$2:$D$770,A102))</f>
        <v/>
      </c>
      <c r="Q102" s="37">
        <f>IF(N102=0,"NO AUG TRANSACTION IN SUPPLIED EXTRACT",IF(ABS(P102)&gt;0.004,"SUBLEDGER ARITHMETIC ERROR",IF(ABS(M102)&gt;0.004,"BILLING VARIANCE","MATCH")))</f>
        <v/>
      </c>
    </row>
    <row r="103">
      <c r="A103" s="37" t="inlineStr">
        <is>
          <t>LP-0513</t>
        </is>
      </c>
      <c r="B103" s="37" t="inlineStr">
        <is>
          <t>Ledgport</t>
        </is>
      </c>
      <c r="C103" s="37" t="inlineStr">
        <is>
          <t>COVERED</t>
        </is>
      </c>
      <c r="D103" s="37" t="inlineStr">
        <is>
          <t>OCCUPIED</t>
        </is>
      </c>
      <c r="E103" s="37" t="inlineStr">
        <is>
          <t>WL-01509</t>
        </is>
      </c>
      <c r="F103" s="37" t="inlineStr">
        <is>
          <t>William Hatfield</t>
        </is>
      </c>
      <c r="G103" s="37" t="n">
        <v>24</v>
      </c>
      <c r="H103" s="39" t="n">
        <v>40.2</v>
      </c>
      <c r="I103" s="40">
        <f>ROUNDUP(MAX(G103,H103),0)</f>
        <v/>
      </c>
      <c r="J103" s="41">
        <f>IF(C103="COVERED",'Methodology'!$B$9,'Methodology'!$B$10)</f>
        <v/>
      </c>
      <c r="K103" s="41">
        <f>I103*J103</f>
        <v/>
      </c>
      <c r="L103" s="41">
        <f>SUMIFS('Billing Aug'!$J$2:$J$770,'Billing Aug'!$D$2:$D$770,A103)</f>
        <v/>
      </c>
      <c r="M103" s="41">
        <f>L103-K103</f>
        <v/>
      </c>
      <c r="N103" s="37">
        <f>COUNTIF('Billing Aug'!$D$2:$D$770,A103)</f>
        <v/>
      </c>
      <c r="O103" s="37">
        <f>SUMIFS('Billing Aug'!$F$2:$F$770,'Billing Aug'!$D$2:$D$770,A103)</f>
        <v/>
      </c>
      <c r="P103" s="41">
        <f>IF(N103=0,0,L103-SUMIFS('Billing Aug'!$H$2:$H$770,'Billing Aug'!$D$2:$D$770,A103)*SUMIFS('Billing Aug'!$I$2:$I$770,'Billing Aug'!$D$2:$D$770,A103))</f>
        <v/>
      </c>
      <c r="Q103" s="37">
        <f>IF(N103=0,"NO AUG TRANSACTION IN SUPPLIED EXTRACT",IF(ABS(P103)&gt;0.004,"SUBLEDGER ARITHMETIC ERROR",IF(ABS(M103)&gt;0.004,"BILLING VARIANCE","MATCH")))</f>
        <v/>
      </c>
    </row>
    <row r="104">
      <c r="A104" s="37" t="inlineStr">
        <is>
          <t>LP-0514</t>
        </is>
      </c>
      <c r="B104" s="37" t="inlineStr">
        <is>
          <t>Ledgport</t>
        </is>
      </c>
      <c r="C104" s="37" t="inlineStr">
        <is>
          <t>COVERED</t>
        </is>
      </c>
      <c r="D104" s="37" t="inlineStr">
        <is>
          <t>OCCUPIED</t>
        </is>
      </c>
      <c r="E104" s="37" t="inlineStr">
        <is>
          <t>WL-01036</t>
        </is>
      </c>
      <c r="F104" s="37" t="inlineStr">
        <is>
          <t>Brandy Rogers</t>
        </is>
      </c>
      <c r="G104" s="37" t="n">
        <v>28</v>
      </c>
      <c r="H104" s="39" t="n">
        <v>23.3</v>
      </c>
      <c r="I104" s="40">
        <f>ROUNDUP(MAX(G104,H104),0)</f>
        <v/>
      </c>
      <c r="J104" s="41">
        <f>IF(C104="COVERED",'Methodology'!$B$9,'Methodology'!$B$10)</f>
        <v/>
      </c>
      <c r="K104" s="41">
        <f>I104*J104</f>
        <v/>
      </c>
      <c r="L104" s="41">
        <f>SUMIFS('Billing Aug'!$J$2:$J$770,'Billing Aug'!$D$2:$D$770,A104)</f>
        <v/>
      </c>
      <c r="M104" s="41">
        <f>L104-K104</f>
        <v/>
      </c>
      <c r="N104" s="37">
        <f>COUNTIF('Billing Aug'!$D$2:$D$770,A104)</f>
        <v/>
      </c>
      <c r="O104" s="37">
        <f>SUMIFS('Billing Aug'!$F$2:$F$770,'Billing Aug'!$D$2:$D$770,A104)</f>
        <v/>
      </c>
      <c r="P104" s="41">
        <f>IF(N104=0,0,L104-SUMIFS('Billing Aug'!$H$2:$H$770,'Billing Aug'!$D$2:$D$770,A104)*SUMIFS('Billing Aug'!$I$2:$I$770,'Billing Aug'!$D$2:$D$770,A104))</f>
        <v/>
      </c>
      <c r="Q104" s="37">
        <f>IF(N104=0,"NO AUG TRANSACTION IN SUPPLIED EXTRACT",IF(ABS(P104)&gt;0.004,"SUBLEDGER ARITHMETIC ERROR",IF(ABS(M104)&gt;0.004,"BILLING VARIANCE","MATCH")))</f>
        <v/>
      </c>
    </row>
    <row r="105">
      <c r="A105" s="37" t="inlineStr">
        <is>
          <t>LP-0516</t>
        </is>
      </c>
      <c r="B105" s="37" t="inlineStr">
        <is>
          <t>Ledgport</t>
        </is>
      </c>
      <c r="C105" s="37" t="inlineStr">
        <is>
          <t>COVERED</t>
        </is>
      </c>
      <c r="D105" s="37" t="inlineStr">
        <is>
          <t>OCCUPIED</t>
        </is>
      </c>
      <c r="E105" s="37" t="inlineStr">
        <is>
          <t>WL-03135</t>
        </is>
      </c>
      <c r="F105" s="37" t="inlineStr">
        <is>
          <t>Mallory Rodgers</t>
        </is>
      </c>
      <c r="G105" s="37" t="n">
        <v>40</v>
      </c>
      <c r="H105" s="39" t="n">
        <v>18.9</v>
      </c>
      <c r="I105" s="40">
        <f>ROUNDUP(MAX(G105,H105),0)</f>
        <v/>
      </c>
      <c r="J105" s="41">
        <f>IF(C105="COVERED",'Methodology'!$B$9,'Methodology'!$B$10)</f>
        <v/>
      </c>
      <c r="K105" s="41">
        <f>I105*J105</f>
        <v/>
      </c>
      <c r="L105" s="41">
        <f>SUMIFS('Billing Aug'!$J$2:$J$770,'Billing Aug'!$D$2:$D$770,A105)</f>
        <v/>
      </c>
      <c r="M105" s="41">
        <f>L105-K105</f>
        <v/>
      </c>
      <c r="N105" s="37">
        <f>COUNTIF('Billing Aug'!$D$2:$D$770,A105)</f>
        <v/>
      </c>
      <c r="O105" s="37">
        <f>SUMIFS('Billing Aug'!$F$2:$F$770,'Billing Aug'!$D$2:$D$770,A105)</f>
        <v/>
      </c>
      <c r="P105" s="41">
        <f>IF(N105=0,0,L105-SUMIFS('Billing Aug'!$H$2:$H$770,'Billing Aug'!$D$2:$D$770,A105)*SUMIFS('Billing Aug'!$I$2:$I$770,'Billing Aug'!$D$2:$D$770,A105))</f>
        <v/>
      </c>
      <c r="Q105" s="37">
        <f>IF(N105=0,"NO AUG TRANSACTION IN SUPPLIED EXTRACT",IF(ABS(P105)&gt;0.004,"SUBLEDGER ARITHMETIC ERROR",IF(ABS(M105)&gt;0.004,"BILLING VARIANCE","MATCH")))</f>
        <v/>
      </c>
    </row>
    <row r="106">
      <c r="A106" s="37" t="inlineStr">
        <is>
          <t>LP-0517</t>
        </is>
      </c>
      <c r="B106" s="37" t="inlineStr">
        <is>
          <t>Ledgport</t>
        </is>
      </c>
      <c r="C106" s="37" t="inlineStr">
        <is>
          <t>COVERED</t>
        </is>
      </c>
      <c r="D106" s="37" t="inlineStr">
        <is>
          <t>OCCUPIED</t>
        </is>
      </c>
      <c r="E106" s="37" t="inlineStr">
        <is>
          <t>WL-02716</t>
        </is>
      </c>
      <c r="F106" s="37" t="inlineStr">
        <is>
          <t>John Nguyen</t>
        </is>
      </c>
      <c r="G106" s="37" t="n">
        <v>36</v>
      </c>
      <c r="H106" s="39" t="n">
        <v>55</v>
      </c>
      <c r="I106" s="40">
        <f>ROUNDUP(MAX(G106,H106),0)</f>
        <v/>
      </c>
      <c r="J106" s="41">
        <f>IF(C106="COVERED",'Methodology'!$B$9,'Methodology'!$B$10)</f>
        <v/>
      </c>
      <c r="K106" s="41">
        <f>I106*J106</f>
        <v/>
      </c>
      <c r="L106" s="41">
        <f>SUMIFS('Billing Aug'!$J$2:$J$770,'Billing Aug'!$D$2:$D$770,A106)</f>
        <v/>
      </c>
      <c r="M106" s="41">
        <f>L106-K106</f>
        <v/>
      </c>
      <c r="N106" s="37">
        <f>COUNTIF('Billing Aug'!$D$2:$D$770,A106)</f>
        <v/>
      </c>
      <c r="O106" s="37">
        <f>SUMIFS('Billing Aug'!$F$2:$F$770,'Billing Aug'!$D$2:$D$770,A106)</f>
        <v/>
      </c>
      <c r="P106" s="41">
        <f>IF(N106=0,0,L106-SUMIFS('Billing Aug'!$H$2:$H$770,'Billing Aug'!$D$2:$D$770,A106)*SUMIFS('Billing Aug'!$I$2:$I$770,'Billing Aug'!$D$2:$D$770,A106))</f>
        <v/>
      </c>
      <c r="Q106" s="37">
        <f>IF(N106=0,"NO AUG TRANSACTION IN SUPPLIED EXTRACT",IF(ABS(P106)&gt;0.004,"SUBLEDGER ARITHMETIC ERROR",IF(ABS(M106)&gt;0.004,"BILLING VARIANCE","MATCH")))</f>
        <v/>
      </c>
    </row>
    <row r="107">
      <c r="A107" s="37" t="inlineStr">
        <is>
          <t>LP-0518</t>
        </is>
      </c>
      <c r="B107" s="37" t="inlineStr">
        <is>
          <t>Ledgport</t>
        </is>
      </c>
      <c r="C107" s="37" t="inlineStr">
        <is>
          <t>COVERED</t>
        </is>
      </c>
      <c r="D107" s="37" t="inlineStr">
        <is>
          <t>OCCUPIED</t>
        </is>
      </c>
      <c r="E107" s="37" t="inlineStr">
        <is>
          <t>WL-02963</t>
        </is>
      </c>
      <c r="F107" s="37" t="inlineStr">
        <is>
          <t>Jennifer Liu</t>
        </is>
      </c>
      <c r="G107" s="37" t="n">
        <v>36</v>
      </c>
      <c r="H107" s="39" t="n">
        <v>34.6</v>
      </c>
      <c r="I107" s="40">
        <f>ROUNDUP(MAX(G107,H107),0)</f>
        <v/>
      </c>
      <c r="J107" s="41">
        <f>IF(C107="COVERED",'Methodology'!$B$9,'Methodology'!$B$10)</f>
        <v/>
      </c>
      <c r="K107" s="41">
        <f>I107*J107</f>
        <v/>
      </c>
      <c r="L107" s="41">
        <f>SUMIFS('Billing Aug'!$J$2:$J$770,'Billing Aug'!$D$2:$D$770,A107)</f>
        <v/>
      </c>
      <c r="M107" s="41">
        <f>L107-K107</f>
        <v/>
      </c>
      <c r="N107" s="37">
        <f>COUNTIF('Billing Aug'!$D$2:$D$770,A107)</f>
        <v/>
      </c>
      <c r="O107" s="37">
        <f>SUMIFS('Billing Aug'!$F$2:$F$770,'Billing Aug'!$D$2:$D$770,A107)</f>
        <v/>
      </c>
      <c r="P107" s="41">
        <f>IF(N107=0,0,L107-SUMIFS('Billing Aug'!$H$2:$H$770,'Billing Aug'!$D$2:$D$770,A107)*SUMIFS('Billing Aug'!$I$2:$I$770,'Billing Aug'!$D$2:$D$770,A107))</f>
        <v/>
      </c>
      <c r="Q107" s="37">
        <f>IF(N107=0,"NO AUG TRANSACTION IN SUPPLIED EXTRACT",IF(ABS(P107)&gt;0.004,"SUBLEDGER ARITHMETIC ERROR",IF(ABS(M107)&gt;0.004,"BILLING VARIANCE","MATCH")))</f>
        <v/>
      </c>
    </row>
    <row r="108">
      <c r="A108" s="37" t="inlineStr">
        <is>
          <t>LP-0519</t>
        </is>
      </c>
      <c r="B108" s="37" t="inlineStr">
        <is>
          <t>Ledgport</t>
        </is>
      </c>
      <c r="C108" s="37" t="inlineStr">
        <is>
          <t>COVERED</t>
        </is>
      </c>
      <c r="D108" s="37" t="inlineStr">
        <is>
          <t>OCCUPIED</t>
        </is>
      </c>
      <c r="E108" s="37" t="inlineStr">
        <is>
          <t>WL-03181</t>
        </is>
      </c>
      <c r="F108" s="37" t="inlineStr">
        <is>
          <t>Annette Collins</t>
        </is>
      </c>
      <c r="G108" s="37" t="n">
        <v>32</v>
      </c>
      <c r="H108" s="39" t="n">
        <v>36.5</v>
      </c>
      <c r="I108" s="40">
        <f>ROUNDUP(MAX(G108,H108),0)</f>
        <v/>
      </c>
      <c r="J108" s="41">
        <f>IF(C108="COVERED",'Methodology'!$B$9,'Methodology'!$B$10)</f>
        <v/>
      </c>
      <c r="K108" s="41">
        <f>I108*J108</f>
        <v/>
      </c>
      <c r="L108" s="41">
        <f>SUMIFS('Billing Aug'!$J$2:$J$770,'Billing Aug'!$D$2:$D$770,A108)</f>
        <v/>
      </c>
      <c r="M108" s="41">
        <f>L108-K108</f>
        <v/>
      </c>
      <c r="N108" s="37">
        <f>COUNTIF('Billing Aug'!$D$2:$D$770,A108)</f>
        <v/>
      </c>
      <c r="O108" s="37">
        <f>SUMIFS('Billing Aug'!$F$2:$F$770,'Billing Aug'!$D$2:$D$770,A108)</f>
        <v/>
      </c>
      <c r="P108" s="41">
        <f>IF(N108=0,0,L108-SUMIFS('Billing Aug'!$H$2:$H$770,'Billing Aug'!$D$2:$D$770,A108)*SUMIFS('Billing Aug'!$I$2:$I$770,'Billing Aug'!$D$2:$D$770,A108))</f>
        <v/>
      </c>
      <c r="Q108" s="37">
        <f>IF(N108=0,"NO AUG TRANSACTION IN SUPPLIED EXTRACT",IF(ABS(P108)&gt;0.004,"SUBLEDGER ARITHMETIC ERROR",IF(ABS(M108)&gt;0.004,"BILLING VARIANCE","MATCH")))</f>
        <v/>
      </c>
    </row>
    <row r="109">
      <c r="A109" s="37" t="inlineStr">
        <is>
          <t>LP-0520</t>
        </is>
      </c>
      <c r="B109" s="37" t="inlineStr">
        <is>
          <t>Ledgport</t>
        </is>
      </c>
      <c r="C109" s="37" t="inlineStr">
        <is>
          <t>COVERED</t>
        </is>
      </c>
      <c r="D109" s="37" t="inlineStr">
        <is>
          <t>OCCUPIED</t>
        </is>
      </c>
      <c r="E109" s="37" t="inlineStr">
        <is>
          <t>WL-01896</t>
        </is>
      </c>
      <c r="F109" s="37" t="inlineStr">
        <is>
          <t>Meredith Williams</t>
        </is>
      </c>
      <c r="G109" s="37" t="n">
        <v>32</v>
      </c>
      <c r="H109" s="39" t="n">
        <v>38.5</v>
      </c>
      <c r="I109" s="40">
        <f>ROUNDUP(MAX(G109,H109),0)</f>
        <v/>
      </c>
      <c r="J109" s="41">
        <f>IF(C109="COVERED",'Methodology'!$B$9,'Methodology'!$B$10)</f>
        <v/>
      </c>
      <c r="K109" s="41">
        <f>I109*J109</f>
        <v/>
      </c>
      <c r="L109" s="41">
        <f>SUMIFS('Billing Aug'!$J$2:$J$770,'Billing Aug'!$D$2:$D$770,A109)</f>
        <v/>
      </c>
      <c r="M109" s="41">
        <f>L109-K109</f>
        <v/>
      </c>
      <c r="N109" s="37">
        <f>COUNTIF('Billing Aug'!$D$2:$D$770,A109)</f>
        <v/>
      </c>
      <c r="O109" s="37">
        <f>SUMIFS('Billing Aug'!$F$2:$F$770,'Billing Aug'!$D$2:$D$770,A109)</f>
        <v/>
      </c>
      <c r="P109" s="41">
        <f>IF(N109=0,0,L109-SUMIFS('Billing Aug'!$H$2:$H$770,'Billing Aug'!$D$2:$D$770,A109)*SUMIFS('Billing Aug'!$I$2:$I$770,'Billing Aug'!$D$2:$D$770,A109))</f>
        <v/>
      </c>
      <c r="Q109" s="37">
        <f>IF(N109=0,"NO AUG TRANSACTION IN SUPPLIED EXTRACT",IF(ABS(P109)&gt;0.004,"SUBLEDGER ARITHMETIC ERROR",IF(ABS(M109)&gt;0.004,"BILLING VARIANCE","MATCH")))</f>
        <v/>
      </c>
    </row>
    <row r="110">
      <c r="A110" s="37" t="inlineStr">
        <is>
          <t>LP-0521</t>
        </is>
      </c>
      <c r="B110" s="37" t="inlineStr">
        <is>
          <t>Ledgport</t>
        </is>
      </c>
      <c r="C110" s="37" t="inlineStr">
        <is>
          <t>COVERED</t>
        </is>
      </c>
      <c r="D110" s="37" t="inlineStr">
        <is>
          <t>OCCUPIED</t>
        </is>
      </c>
      <c r="E110" s="37" t="inlineStr">
        <is>
          <t>WL-03161</t>
        </is>
      </c>
      <c r="F110" s="37" t="inlineStr">
        <is>
          <t>Ashley Hall</t>
        </is>
      </c>
      <c r="G110" s="37" t="n">
        <v>40</v>
      </c>
      <c r="H110" s="39" t="n">
        <v>39.5</v>
      </c>
      <c r="I110" s="40">
        <f>ROUNDUP(MAX(G110,H110),0)</f>
        <v/>
      </c>
      <c r="J110" s="41">
        <f>IF(C110="COVERED",'Methodology'!$B$9,'Methodology'!$B$10)</f>
        <v/>
      </c>
      <c r="K110" s="41">
        <f>I110*J110</f>
        <v/>
      </c>
      <c r="L110" s="41">
        <f>SUMIFS('Billing Aug'!$J$2:$J$770,'Billing Aug'!$D$2:$D$770,A110)</f>
        <v/>
      </c>
      <c r="M110" s="41">
        <f>L110-K110</f>
        <v/>
      </c>
      <c r="N110" s="37">
        <f>COUNTIF('Billing Aug'!$D$2:$D$770,A110)</f>
        <v/>
      </c>
      <c r="O110" s="37">
        <f>SUMIFS('Billing Aug'!$F$2:$F$770,'Billing Aug'!$D$2:$D$770,A110)</f>
        <v/>
      </c>
      <c r="P110" s="41">
        <f>IF(N110=0,0,L110-SUMIFS('Billing Aug'!$H$2:$H$770,'Billing Aug'!$D$2:$D$770,A110)*SUMIFS('Billing Aug'!$I$2:$I$770,'Billing Aug'!$D$2:$D$770,A110))</f>
        <v/>
      </c>
      <c r="Q110" s="37">
        <f>IF(N110=0,"NO AUG TRANSACTION IN SUPPLIED EXTRACT",IF(ABS(P110)&gt;0.004,"SUBLEDGER ARITHMETIC ERROR",IF(ABS(M110)&gt;0.004,"BILLING VARIANCE","MATCH")))</f>
        <v/>
      </c>
    </row>
    <row r="111">
      <c r="A111" s="37" t="inlineStr">
        <is>
          <t>LP-0522</t>
        </is>
      </c>
      <c r="B111" s="37" t="inlineStr">
        <is>
          <t>Ledgport</t>
        </is>
      </c>
      <c r="C111" s="37" t="inlineStr">
        <is>
          <t>COVERED</t>
        </is>
      </c>
      <c r="D111" s="37" t="inlineStr">
        <is>
          <t>OCCUPIED</t>
        </is>
      </c>
      <c r="E111" s="37" t="inlineStr">
        <is>
          <t>WL-01604</t>
        </is>
      </c>
      <c r="F111" s="37" t="inlineStr">
        <is>
          <t>Patrick Barnes</t>
        </is>
      </c>
      <c r="G111" s="37" t="n">
        <v>40</v>
      </c>
      <c r="H111" s="39" t="n">
        <v>60.6</v>
      </c>
      <c r="I111" s="40">
        <f>ROUNDUP(MAX(G111,H111),0)</f>
        <v/>
      </c>
      <c r="J111" s="41">
        <f>IF(C111="COVERED",'Methodology'!$B$9,'Methodology'!$B$10)</f>
        <v/>
      </c>
      <c r="K111" s="41">
        <f>I111*J111</f>
        <v/>
      </c>
      <c r="L111" s="41">
        <f>SUMIFS('Billing Aug'!$J$2:$J$770,'Billing Aug'!$D$2:$D$770,A111)</f>
        <v/>
      </c>
      <c r="M111" s="41">
        <f>L111-K111</f>
        <v/>
      </c>
      <c r="N111" s="37">
        <f>COUNTIF('Billing Aug'!$D$2:$D$770,A111)</f>
        <v/>
      </c>
      <c r="O111" s="37">
        <f>SUMIFS('Billing Aug'!$F$2:$F$770,'Billing Aug'!$D$2:$D$770,A111)</f>
        <v/>
      </c>
      <c r="P111" s="41">
        <f>IF(N111=0,0,L111-SUMIFS('Billing Aug'!$H$2:$H$770,'Billing Aug'!$D$2:$D$770,A111)*SUMIFS('Billing Aug'!$I$2:$I$770,'Billing Aug'!$D$2:$D$770,A111))</f>
        <v/>
      </c>
      <c r="Q111" s="37">
        <f>IF(N111=0,"NO AUG TRANSACTION IN SUPPLIED EXTRACT",IF(ABS(P111)&gt;0.004,"SUBLEDGER ARITHMETIC ERROR",IF(ABS(M111)&gt;0.004,"BILLING VARIANCE","MATCH")))</f>
        <v/>
      </c>
    </row>
    <row r="112">
      <c r="A112" s="37" t="inlineStr">
        <is>
          <t>LP-0523</t>
        </is>
      </c>
      <c r="B112" s="37" t="inlineStr">
        <is>
          <t>Ledgport</t>
        </is>
      </c>
      <c r="C112" s="37" t="inlineStr">
        <is>
          <t>COVERED</t>
        </is>
      </c>
      <c r="D112" s="37" t="inlineStr">
        <is>
          <t>OCCUPIED</t>
        </is>
      </c>
      <c r="E112" s="37" t="inlineStr">
        <is>
          <t>WL-03212</t>
        </is>
      </c>
      <c r="F112" s="37" t="inlineStr">
        <is>
          <t>Damon Garcia</t>
        </is>
      </c>
      <c r="G112" s="37" t="n">
        <v>24</v>
      </c>
      <c r="H112" s="39" t="n">
        <v>24.2</v>
      </c>
      <c r="I112" s="40">
        <f>ROUNDUP(MAX(G112,H112),0)</f>
        <v/>
      </c>
      <c r="J112" s="41">
        <f>IF(C112="COVERED",'Methodology'!$B$9,'Methodology'!$B$10)</f>
        <v/>
      </c>
      <c r="K112" s="41">
        <f>I112*J112</f>
        <v/>
      </c>
      <c r="L112" s="41">
        <f>SUMIFS('Billing Aug'!$J$2:$J$770,'Billing Aug'!$D$2:$D$770,A112)</f>
        <v/>
      </c>
      <c r="M112" s="41">
        <f>L112-K112</f>
        <v/>
      </c>
      <c r="N112" s="37">
        <f>COUNTIF('Billing Aug'!$D$2:$D$770,A112)</f>
        <v/>
      </c>
      <c r="O112" s="37">
        <f>SUMIFS('Billing Aug'!$F$2:$F$770,'Billing Aug'!$D$2:$D$770,A112)</f>
        <v/>
      </c>
      <c r="P112" s="41">
        <f>IF(N112=0,0,L112-SUMIFS('Billing Aug'!$H$2:$H$770,'Billing Aug'!$D$2:$D$770,A112)*SUMIFS('Billing Aug'!$I$2:$I$770,'Billing Aug'!$D$2:$D$770,A112))</f>
        <v/>
      </c>
      <c r="Q112" s="37">
        <f>IF(N112=0,"NO AUG TRANSACTION IN SUPPLIED EXTRACT",IF(ABS(P112)&gt;0.004,"SUBLEDGER ARITHMETIC ERROR",IF(ABS(M112)&gt;0.004,"BILLING VARIANCE","MATCH")))</f>
        <v/>
      </c>
    </row>
    <row r="113">
      <c r="A113" s="37" t="inlineStr">
        <is>
          <t>LP-0524</t>
        </is>
      </c>
      <c r="B113" s="37" t="inlineStr">
        <is>
          <t>Ledgport</t>
        </is>
      </c>
      <c r="C113" s="37" t="inlineStr">
        <is>
          <t>COVERED</t>
        </is>
      </c>
      <c r="D113" s="37" t="inlineStr">
        <is>
          <t>OCCUPIED</t>
        </is>
      </c>
      <c r="E113" s="37" t="inlineStr">
        <is>
          <t>WL-02695</t>
        </is>
      </c>
      <c r="F113" s="37" t="inlineStr">
        <is>
          <t>Anthony Hamilton</t>
        </is>
      </c>
      <c r="G113" s="37" t="n">
        <v>28</v>
      </c>
      <c r="H113" s="39" t="n">
        <v>24.6</v>
      </c>
      <c r="I113" s="40">
        <f>ROUNDUP(MAX(G113,H113),0)</f>
        <v/>
      </c>
      <c r="J113" s="41">
        <f>IF(C113="COVERED",'Methodology'!$B$9,'Methodology'!$B$10)</f>
        <v/>
      </c>
      <c r="K113" s="41">
        <f>I113*J113</f>
        <v/>
      </c>
      <c r="L113" s="41">
        <f>SUMIFS('Billing Aug'!$J$2:$J$770,'Billing Aug'!$D$2:$D$770,A113)</f>
        <v/>
      </c>
      <c r="M113" s="41">
        <f>L113-K113</f>
        <v/>
      </c>
      <c r="N113" s="37">
        <f>COUNTIF('Billing Aug'!$D$2:$D$770,A113)</f>
        <v/>
      </c>
      <c r="O113" s="37">
        <f>SUMIFS('Billing Aug'!$F$2:$F$770,'Billing Aug'!$D$2:$D$770,A113)</f>
        <v/>
      </c>
      <c r="P113" s="41">
        <f>IF(N113=0,0,L113-SUMIFS('Billing Aug'!$H$2:$H$770,'Billing Aug'!$D$2:$D$770,A113)*SUMIFS('Billing Aug'!$I$2:$I$770,'Billing Aug'!$D$2:$D$770,A113))</f>
        <v/>
      </c>
      <c r="Q113" s="37">
        <f>IF(N113=0,"NO AUG TRANSACTION IN SUPPLIED EXTRACT",IF(ABS(P113)&gt;0.004,"SUBLEDGER ARITHMETIC ERROR",IF(ABS(M113)&gt;0.004,"BILLING VARIANCE","MATCH")))</f>
        <v/>
      </c>
    </row>
    <row r="114">
      <c r="A114" s="37" t="inlineStr">
        <is>
          <t>LP-0601</t>
        </is>
      </c>
      <c r="B114" s="37" t="inlineStr">
        <is>
          <t>Ledgport</t>
        </is>
      </c>
      <c r="C114" s="37" t="inlineStr">
        <is>
          <t>COVERED</t>
        </is>
      </c>
      <c r="D114" s="37" t="inlineStr">
        <is>
          <t>OCCUPIED</t>
        </is>
      </c>
      <c r="E114" s="37" t="inlineStr">
        <is>
          <t>WL-02639</t>
        </is>
      </c>
      <c r="F114" s="37" t="inlineStr">
        <is>
          <t>Ronald Moore</t>
        </is>
      </c>
      <c r="G114" s="37" t="n">
        <v>24</v>
      </c>
      <c r="H114" s="39" t="n">
        <v>29.3</v>
      </c>
      <c r="I114" s="40">
        <f>ROUNDUP(MAX(G114,H114),0)</f>
        <v/>
      </c>
      <c r="J114" s="41">
        <f>IF(C114="COVERED",'Methodology'!$B$9,'Methodology'!$B$10)</f>
        <v/>
      </c>
      <c r="K114" s="41">
        <f>I114*J114</f>
        <v/>
      </c>
      <c r="L114" s="41">
        <f>SUMIFS('Billing Aug'!$J$2:$J$770,'Billing Aug'!$D$2:$D$770,A114)</f>
        <v/>
      </c>
      <c r="M114" s="41">
        <f>L114-K114</f>
        <v/>
      </c>
      <c r="N114" s="37">
        <f>COUNTIF('Billing Aug'!$D$2:$D$770,A114)</f>
        <v/>
      </c>
      <c r="O114" s="37">
        <f>SUMIFS('Billing Aug'!$F$2:$F$770,'Billing Aug'!$D$2:$D$770,A114)</f>
        <v/>
      </c>
      <c r="P114" s="41">
        <f>IF(N114=0,0,L114-SUMIFS('Billing Aug'!$H$2:$H$770,'Billing Aug'!$D$2:$D$770,A114)*SUMIFS('Billing Aug'!$I$2:$I$770,'Billing Aug'!$D$2:$D$770,A114))</f>
        <v/>
      </c>
      <c r="Q114" s="37">
        <f>IF(N114=0,"NO AUG TRANSACTION IN SUPPLIED EXTRACT",IF(ABS(P114)&gt;0.004,"SUBLEDGER ARITHMETIC ERROR",IF(ABS(M114)&gt;0.004,"BILLING VARIANCE","MATCH")))</f>
        <v/>
      </c>
    </row>
    <row r="115">
      <c r="A115" s="37" t="inlineStr">
        <is>
          <t>LP-0602</t>
        </is>
      </c>
      <c r="B115" s="37" t="inlineStr">
        <is>
          <t>Ledgport</t>
        </is>
      </c>
      <c r="C115" s="37" t="inlineStr">
        <is>
          <t>COVERED</t>
        </is>
      </c>
      <c r="D115" s="37" t="inlineStr">
        <is>
          <t>OCCUPIED</t>
        </is>
      </c>
      <c r="E115" s="37" t="inlineStr">
        <is>
          <t>WL-01342</t>
        </is>
      </c>
      <c r="F115" s="37" t="inlineStr">
        <is>
          <t>Lee Maldonado</t>
        </is>
      </c>
      <c r="G115" s="37" t="n">
        <v>36</v>
      </c>
      <c r="H115" s="39" t="n">
        <v>57.7</v>
      </c>
      <c r="I115" s="40">
        <f>ROUNDUP(MAX(G115,H115),0)</f>
        <v/>
      </c>
      <c r="J115" s="41">
        <f>IF(C115="COVERED",'Methodology'!$B$9,'Methodology'!$B$10)</f>
        <v/>
      </c>
      <c r="K115" s="41">
        <f>I115*J115</f>
        <v/>
      </c>
      <c r="L115" s="41">
        <f>SUMIFS('Billing Aug'!$J$2:$J$770,'Billing Aug'!$D$2:$D$770,A115)</f>
        <v/>
      </c>
      <c r="M115" s="41">
        <f>L115-K115</f>
        <v/>
      </c>
      <c r="N115" s="37">
        <f>COUNTIF('Billing Aug'!$D$2:$D$770,A115)</f>
        <v/>
      </c>
      <c r="O115" s="37">
        <f>SUMIFS('Billing Aug'!$F$2:$F$770,'Billing Aug'!$D$2:$D$770,A115)</f>
        <v/>
      </c>
      <c r="P115" s="41">
        <f>IF(N115=0,0,L115-SUMIFS('Billing Aug'!$H$2:$H$770,'Billing Aug'!$D$2:$D$770,A115)*SUMIFS('Billing Aug'!$I$2:$I$770,'Billing Aug'!$D$2:$D$770,A115))</f>
        <v/>
      </c>
      <c r="Q115" s="37">
        <f>IF(N115=0,"NO AUG TRANSACTION IN SUPPLIED EXTRACT",IF(ABS(P115)&gt;0.004,"SUBLEDGER ARITHMETIC ERROR",IF(ABS(M115)&gt;0.004,"BILLING VARIANCE","MATCH")))</f>
        <v/>
      </c>
    </row>
    <row r="116">
      <c r="A116" s="37" t="inlineStr">
        <is>
          <t>LP-0603</t>
        </is>
      </c>
      <c r="B116" s="37" t="inlineStr">
        <is>
          <t>Ledgport</t>
        </is>
      </c>
      <c r="C116" s="37" t="inlineStr">
        <is>
          <t>COVERED</t>
        </is>
      </c>
      <c r="D116" s="37" t="inlineStr">
        <is>
          <t>OCCUPIED</t>
        </is>
      </c>
      <c r="E116" s="37" t="inlineStr">
        <is>
          <t>WL-02921</t>
        </is>
      </c>
      <c r="F116" s="37" t="inlineStr">
        <is>
          <t>Marissa Hatfield</t>
        </is>
      </c>
      <c r="G116" s="37" t="n">
        <v>28</v>
      </c>
      <c r="H116" s="39" t="n">
        <v>32.2</v>
      </c>
      <c r="I116" s="40">
        <f>ROUNDUP(MAX(G116,H116),0)</f>
        <v/>
      </c>
      <c r="J116" s="41">
        <f>IF(C116="COVERED",'Methodology'!$B$9,'Methodology'!$B$10)</f>
        <v/>
      </c>
      <c r="K116" s="41">
        <f>I116*J116</f>
        <v/>
      </c>
      <c r="L116" s="41">
        <f>SUMIFS('Billing Aug'!$J$2:$J$770,'Billing Aug'!$D$2:$D$770,A116)</f>
        <v/>
      </c>
      <c r="M116" s="41">
        <f>L116-K116</f>
        <v/>
      </c>
      <c r="N116" s="37">
        <f>COUNTIF('Billing Aug'!$D$2:$D$770,A116)</f>
        <v/>
      </c>
      <c r="O116" s="37">
        <f>SUMIFS('Billing Aug'!$F$2:$F$770,'Billing Aug'!$D$2:$D$770,A116)</f>
        <v/>
      </c>
      <c r="P116" s="41">
        <f>IF(N116=0,0,L116-SUMIFS('Billing Aug'!$H$2:$H$770,'Billing Aug'!$D$2:$D$770,A116)*SUMIFS('Billing Aug'!$I$2:$I$770,'Billing Aug'!$D$2:$D$770,A116))</f>
        <v/>
      </c>
      <c r="Q116" s="37">
        <f>IF(N116=0,"NO AUG TRANSACTION IN SUPPLIED EXTRACT",IF(ABS(P116)&gt;0.004,"SUBLEDGER ARITHMETIC ERROR",IF(ABS(M116)&gt;0.004,"BILLING VARIANCE","MATCH")))</f>
        <v/>
      </c>
    </row>
    <row r="117">
      <c r="A117" s="37" t="inlineStr">
        <is>
          <t>LP-0604</t>
        </is>
      </c>
      <c r="B117" s="37" t="inlineStr">
        <is>
          <t>Ledgport</t>
        </is>
      </c>
      <c r="C117" s="37" t="inlineStr">
        <is>
          <t>COVERED</t>
        </is>
      </c>
      <c r="D117" s="37" t="inlineStr">
        <is>
          <t>OCCUPIED</t>
        </is>
      </c>
      <c r="E117" s="37" t="inlineStr">
        <is>
          <t>WL-02608</t>
        </is>
      </c>
      <c r="F117" s="37" t="inlineStr">
        <is>
          <t>Timothy Porter</t>
        </is>
      </c>
      <c r="G117" s="37" t="n">
        <v>40</v>
      </c>
      <c r="H117" s="39" t="n">
        <v>51</v>
      </c>
      <c r="I117" s="40">
        <f>ROUNDUP(MAX(G117,H117),0)</f>
        <v/>
      </c>
      <c r="J117" s="41">
        <f>IF(C117="COVERED",'Methodology'!$B$9,'Methodology'!$B$10)</f>
        <v/>
      </c>
      <c r="K117" s="41">
        <f>I117*J117</f>
        <v/>
      </c>
      <c r="L117" s="41">
        <f>SUMIFS('Billing Aug'!$J$2:$J$770,'Billing Aug'!$D$2:$D$770,A117)</f>
        <v/>
      </c>
      <c r="M117" s="41">
        <f>L117-K117</f>
        <v/>
      </c>
      <c r="N117" s="37">
        <f>COUNTIF('Billing Aug'!$D$2:$D$770,A117)</f>
        <v/>
      </c>
      <c r="O117" s="37">
        <f>SUMIFS('Billing Aug'!$F$2:$F$770,'Billing Aug'!$D$2:$D$770,A117)</f>
        <v/>
      </c>
      <c r="P117" s="41">
        <f>IF(N117=0,0,L117-SUMIFS('Billing Aug'!$H$2:$H$770,'Billing Aug'!$D$2:$D$770,A117)*SUMIFS('Billing Aug'!$I$2:$I$770,'Billing Aug'!$D$2:$D$770,A117))</f>
        <v/>
      </c>
      <c r="Q117" s="37">
        <f>IF(N117=0,"NO AUG TRANSACTION IN SUPPLIED EXTRACT",IF(ABS(P117)&gt;0.004,"SUBLEDGER ARITHMETIC ERROR",IF(ABS(M117)&gt;0.004,"BILLING VARIANCE","MATCH")))</f>
        <v/>
      </c>
    </row>
    <row r="118">
      <c r="A118" s="37" t="inlineStr">
        <is>
          <t>LP-0605</t>
        </is>
      </c>
      <c r="B118" s="37" t="inlineStr">
        <is>
          <t>Ledgport</t>
        </is>
      </c>
      <c r="C118" s="37" t="inlineStr">
        <is>
          <t>COVERED</t>
        </is>
      </c>
      <c r="D118" s="37" t="inlineStr">
        <is>
          <t>OCCUPIED</t>
        </is>
      </c>
      <c r="E118" s="37" t="inlineStr">
        <is>
          <t>WL-01747</t>
        </is>
      </c>
      <c r="F118" s="37" t="inlineStr">
        <is>
          <t>Andrew Anderson</t>
        </is>
      </c>
      <c r="G118" s="37" t="n">
        <v>24</v>
      </c>
      <c r="H118" s="39" t="n">
        <v>50.9</v>
      </c>
      <c r="I118" s="40">
        <f>ROUNDUP(MAX(G118,H118),0)</f>
        <v/>
      </c>
      <c r="J118" s="41">
        <f>IF(C118="COVERED",'Methodology'!$B$9,'Methodology'!$B$10)</f>
        <v/>
      </c>
      <c r="K118" s="41">
        <f>I118*J118</f>
        <v/>
      </c>
      <c r="L118" s="41">
        <f>SUMIFS('Billing Aug'!$J$2:$J$770,'Billing Aug'!$D$2:$D$770,A118)</f>
        <v/>
      </c>
      <c r="M118" s="41">
        <f>L118-K118</f>
        <v/>
      </c>
      <c r="N118" s="37">
        <f>COUNTIF('Billing Aug'!$D$2:$D$770,A118)</f>
        <v/>
      </c>
      <c r="O118" s="37">
        <f>SUMIFS('Billing Aug'!$F$2:$F$770,'Billing Aug'!$D$2:$D$770,A118)</f>
        <v/>
      </c>
      <c r="P118" s="41">
        <f>IF(N118=0,0,L118-SUMIFS('Billing Aug'!$H$2:$H$770,'Billing Aug'!$D$2:$D$770,A118)*SUMIFS('Billing Aug'!$I$2:$I$770,'Billing Aug'!$D$2:$D$770,A118))</f>
        <v/>
      </c>
      <c r="Q118" s="37">
        <f>IF(N118=0,"NO AUG TRANSACTION IN SUPPLIED EXTRACT",IF(ABS(P118)&gt;0.004,"SUBLEDGER ARITHMETIC ERROR",IF(ABS(M118)&gt;0.004,"BILLING VARIANCE","MATCH")))</f>
        <v/>
      </c>
    </row>
    <row r="119">
      <c r="A119" s="37" t="inlineStr">
        <is>
          <t>LP-0606</t>
        </is>
      </c>
      <c r="B119" s="37" t="inlineStr">
        <is>
          <t>Ledgport</t>
        </is>
      </c>
      <c r="C119" s="37" t="inlineStr">
        <is>
          <t>COVERED</t>
        </is>
      </c>
      <c r="D119" s="37" t="inlineStr">
        <is>
          <t>OCCUPIED</t>
        </is>
      </c>
      <c r="E119" s="37" t="inlineStr">
        <is>
          <t>WL-03735</t>
        </is>
      </c>
      <c r="F119" s="37" t="inlineStr">
        <is>
          <t>Kyle Foster</t>
        </is>
      </c>
      <c r="G119" s="37" t="n">
        <v>24</v>
      </c>
      <c r="H119" s="39" t="n">
        <v>61.2</v>
      </c>
      <c r="I119" s="40">
        <f>ROUNDUP(MAX(G119,H119),0)</f>
        <v/>
      </c>
      <c r="J119" s="41">
        <f>IF(C119="COVERED",'Methodology'!$B$9,'Methodology'!$B$10)</f>
        <v/>
      </c>
      <c r="K119" s="41">
        <f>I119*J119</f>
        <v/>
      </c>
      <c r="L119" s="41">
        <f>SUMIFS('Billing Aug'!$J$2:$J$770,'Billing Aug'!$D$2:$D$770,A119)</f>
        <v/>
      </c>
      <c r="M119" s="41">
        <f>L119-K119</f>
        <v/>
      </c>
      <c r="N119" s="37">
        <f>COUNTIF('Billing Aug'!$D$2:$D$770,A119)</f>
        <v/>
      </c>
      <c r="O119" s="37">
        <f>SUMIFS('Billing Aug'!$F$2:$F$770,'Billing Aug'!$D$2:$D$770,A119)</f>
        <v/>
      </c>
      <c r="P119" s="41">
        <f>IF(N119=0,0,L119-SUMIFS('Billing Aug'!$H$2:$H$770,'Billing Aug'!$D$2:$D$770,A119)*SUMIFS('Billing Aug'!$I$2:$I$770,'Billing Aug'!$D$2:$D$770,A119))</f>
        <v/>
      </c>
      <c r="Q119" s="37">
        <f>IF(N119=0,"NO AUG TRANSACTION IN SUPPLIED EXTRACT",IF(ABS(P119)&gt;0.004,"SUBLEDGER ARITHMETIC ERROR",IF(ABS(M119)&gt;0.004,"BILLING VARIANCE","MATCH")))</f>
        <v/>
      </c>
    </row>
    <row r="120">
      <c r="A120" s="37" t="inlineStr">
        <is>
          <t>LP-0607</t>
        </is>
      </c>
      <c r="B120" s="37" t="inlineStr">
        <is>
          <t>Ledgport</t>
        </is>
      </c>
      <c r="C120" s="37" t="inlineStr">
        <is>
          <t>COVERED</t>
        </is>
      </c>
      <c r="D120" s="37" t="inlineStr">
        <is>
          <t>OCCUPIED</t>
        </is>
      </c>
      <c r="E120" s="37" t="inlineStr">
        <is>
          <t>WL-01378</t>
        </is>
      </c>
      <c r="F120" s="37" t="inlineStr">
        <is>
          <t>Morgan Clark</t>
        </is>
      </c>
      <c r="G120" s="37" t="n">
        <v>40</v>
      </c>
      <c r="H120" s="39" t="n">
        <v>30.7</v>
      </c>
      <c r="I120" s="40">
        <f>ROUNDUP(MAX(G120,H120),0)</f>
        <v/>
      </c>
      <c r="J120" s="41">
        <f>IF(C120="COVERED",'Methodology'!$B$9,'Methodology'!$B$10)</f>
        <v/>
      </c>
      <c r="K120" s="41">
        <f>I120*J120</f>
        <v/>
      </c>
      <c r="L120" s="41">
        <f>SUMIFS('Billing Aug'!$J$2:$J$770,'Billing Aug'!$D$2:$D$770,A120)</f>
        <v/>
      </c>
      <c r="M120" s="41">
        <f>L120-K120</f>
        <v/>
      </c>
      <c r="N120" s="37">
        <f>COUNTIF('Billing Aug'!$D$2:$D$770,A120)</f>
        <v/>
      </c>
      <c r="O120" s="37">
        <f>SUMIFS('Billing Aug'!$F$2:$F$770,'Billing Aug'!$D$2:$D$770,A120)</f>
        <v/>
      </c>
      <c r="P120" s="41">
        <f>IF(N120=0,0,L120-SUMIFS('Billing Aug'!$H$2:$H$770,'Billing Aug'!$D$2:$D$770,A120)*SUMIFS('Billing Aug'!$I$2:$I$770,'Billing Aug'!$D$2:$D$770,A120))</f>
        <v/>
      </c>
      <c r="Q120" s="37">
        <f>IF(N120=0,"NO AUG TRANSACTION IN SUPPLIED EXTRACT",IF(ABS(P120)&gt;0.004,"SUBLEDGER ARITHMETIC ERROR",IF(ABS(M120)&gt;0.004,"BILLING VARIANCE","MATCH")))</f>
        <v/>
      </c>
    </row>
    <row r="121">
      <c r="A121" s="37" t="inlineStr">
        <is>
          <t>LP-0608</t>
        </is>
      </c>
      <c r="B121" s="37" t="inlineStr">
        <is>
          <t>Ledgport</t>
        </is>
      </c>
      <c r="C121" s="37" t="inlineStr">
        <is>
          <t>COVERED</t>
        </is>
      </c>
      <c r="D121" s="37" t="inlineStr">
        <is>
          <t>OCCUPIED</t>
        </is>
      </c>
      <c r="E121" s="37" t="inlineStr">
        <is>
          <t>WL-03905</t>
        </is>
      </c>
      <c r="F121" s="37" t="inlineStr">
        <is>
          <t>Jamie Carpenter</t>
        </is>
      </c>
      <c r="G121" s="37" t="n">
        <v>28</v>
      </c>
      <c r="H121" s="39" t="n">
        <v>22.6</v>
      </c>
      <c r="I121" s="40">
        <f>ROUNDUP(MAX(G121,H121),0)</f>
        <v/>
      </c>
      <c r="J121" s="41">
        <f>IF(C121="COVERED",'Methodology'!$B$9,'Methodology'!$B$10)</f>
        <v/>
      </c>
      <c r="K121" s="41">
        <f>I121*J121</f>
        <v/>
      </c>
      <c r="L121" s="41">
        <f>SUMIFS('Billing Aug'!$J$2:$J$770,'Billing Aug'!$D$2:$D$770,A121)</f>
        <v/>
      </c>
      <c r="M121" s="41">
        <f>L121-K121</f>
        <v/>
      </c>
      <c r="N121" s="37">
        <f>COUNTIF('Billing Aug'!$D$2:$D$770,A121)</f>
        <v/>
      </c>
      <c r="O121" s="37">
        <f>SUMIFS('Billing Aug'!$F$2:$F$770,'Billing Aug'!$D$2:$D$770,A121)</f>
        <v/>
      </c>
      <c r="P121" s="41">
        <f>IF(N121=0,0,L121-SUMIFS('Billing Aug'!$H$2:$H$770,'Billing Aug'!$D$2:$D$770,A121)*SUMIFS('Billing Aug'!$I$2:$I$770,'Billing Aug'!$D$2:$D$770,A121))</f>
        <v/>
      </c>
      <c r="Q121" s="37">
        <f>IF(N121=0,"NO AUG TRANSACTION IN SUPPLIED EXTRACT",IF(ABS(P121)&gt;0.004,"SUBLEDGER ARITHMETIC ERROR",IF(ABS(M121)&gt;0.004,"BILLING VARIANCE","MATCH")))</f>
        <v/>
      </c>
    </row>
    <row r="122">
      <c r="A122" s="37" t="inlineStr">
        <is>
          <t>LP-0609</t>
        </is>
      </c>
      <c r="B122" s="37" t="inlineStr">
        <is>
          <t>Ledgport</t>
        </is>
      </c>
      <c r="C122" s="37" t="inlineStr">
        <is>
          <t>COVERED</t>
        </is>
      </c>
      <c r="D122" s="37" t="inlineStr">
        <is>
          <t>OCCUPIED</t>
        </is>
      </c>
      <c r="E122" s="37" t="inlineStr">
        <is>
          <t>WL-01602</t>
        </is>
      </c>
      <c r="F122" s="37" t="inlineStr">
        <is>
          <t>Micheal Martinez</t>
        </is>
      </c>
      <c r="G122" s="37" t="n">
        <v>24</v>
      </c>
      <c r="H122" s="39" t="n">
        <v>37.3</v>
      </c>
      <c r="I122" s="40">
        <f>ROUNDUP(MAX(G122,H122),0)</f>
        <v/>
      </c>
      <c r="J122" s="41">
        <f>IF(C122="COVERED",'Methodology'!$B$9,'Methodology'!$B$10)</f>
        <v/>
      </c>
      <c r="K122" s="41">
        <f>I122*J122</f>
        <v/>
      </c>
      <c r="L122" s="41">
        <f>SUMIFS('Billing Aug'!$J$2:$J$770,'Billing Aug'!$D$2:$D$770,A122)</f>
        <v/>
      </c>
      <c r="M122" s="41">
        <f>L122-K122</f>
        <v/>
      </c>
      <c r="N122" s="37">
        <f>COUNTIF('Billing Aug'!$D$2:$D$770,A122)</f>
        <v/>
      </c>
      <c r="O122" s="37">
        <f>SUMIFS('Billing Aug'!$F$2:$F$770,'Billing Aug'!$D$2:$D$770,A122)</f>
        <v/>
      </c>
      <c r="P122" s="41">
        <f>IF(N122=0,0,L122-SUMIFS('Billing Aug'!$H$2:$H$770,'Billing Aug'!$D$2:$D$770,A122)*SUMIFS('Billing Aug'!$I$2:$I$770,'Billing Aug'!$D$2:$D$770,A122))</f>
        <v/>
      </c>
      <c r="Q122" s="37">
        <f>IF(N122=0,"NO AUG TRANSACTION IN SUPPLIED EXTRACT",IF(ABS(P122)&gt;0.004,"SUBLEDGER ARITHMETIC ERROR",IF(ABS(M122)&gt;0.004,"BILLING VARIANCE","MATCH")))</f>
        <v/>
      </c>
    </row>
    <row r="123">
      <c r="A123" s="37" t="inlineStr">
        <is>
          <t>LP-0610</t>
        </is>
      </c>
      <c r="B123" s="37" t="inlineStr">
        <is>
          <t>Ledgport</t>
        </is>
      </c>
      <c r="C123" s="37" t="inlineStr">
        <is>
          <t>COVERED</t>
        </is>
      </c>
      <c r="D123" s="37" t="inlineStr">
        <is>
          <t>OCCUPIED</t>
        </is>
      </c>
      <c r="E123" s="37" t="inlineStr">
        <is>
          <t>WL-02905</t>
        </is>
      </c>
      <c r="F123" s="37" t="inlineStr">
        <is>
          <t>James Williams</t>
        </is>
      </c>
      <c r="G123" s="37" t="n">
        <v>28</v>
      </c>
      <c r="H123" s="39" t="n">
        <v>34.5</v>
      </c>
      <c r="I123" s="40">
        <f>ROUNDUP(MAX(G123,H123),0)</f>
        <v/>
      </c>
      <c r="J123" s="41">
        <f>IF(C123="COVERED",'Methodology'!$B$9,'Methodology'!$B$10)</f>
        <v/>
      </c>
      <c r="K123" s="41">
        <f>I123*J123</f>
        <v/>
      </c>
      <c r="L123" s="41">
        <f>SUMIFS('Billing Aug'!$J$2:$J$770,'Billing Aug'!$D$2:$D$770,A123)</f>
        <v/>
      </c>
      <c r="M123" s="41">
        <f>L123-K123</f>
        <v/>
      </c>
      <c r="N123" s="37">
        <f>COUNTIF('Billing Aug'!$D$2:$D$770,A123)</f>
        <v/>
      </c>
      <c r="O123" s="37">
        <f>SUMIFS('Billing Aug'!$F$2:$F$770,'Billing Aug'!$D$2:$D$770,A123)</f>
        <v/>
      </c>
      <c r="P123" s="41">
        <f>IF(N123=0,0,L123-SUMIFS('Billing Aug'!$H$2:$H$770,'Billing Aug'!$D$2:$D$770,A123)*SUMIFS('Billing Aug'!$I$2:$I$770,'Billing Aug'!$D$2:$D$770,A123))</f>
        <v/>
      </c>
      <c r="Q123" s="37">
        <f>IF(N123=0,"NO AUG TRANSACTION IN SUPPLIED EXTRACT",IF(ABS(P123)&gt;0.004,"SUBLEDGER ARITHMETIC ERROR",IF(ABS(M123)&gt;0.004,"BILLING VARIANCE","MATCH")))</f>
        <v/>
      </c>
    </row>
    <row r="124">
      <c r="A124" s="37" t="inlineStr">
        <is>
          <t>LP-0611</t>
        </is>
      </c>
      <c r="B124" s="37" t="inlineStr">
        <is>
          <t>Ledgport</t>
        </is>
      </c>
      <c r="C124" s="37" t="inlineStr">
        <is>
          <t>COVERED</t>
        </is>
      </c>
      <c r="D124" s="37" t="inlineStr">
        <is>
          <t>OCCUPIED</t>
        </is>
      </c>
      <c r="E124" s="37" t="inlineStr">
        <is>
          <t>WL-03556</t>
        </is>
      </c>
      <c r="F124" s="37" t="inlineStr">
        <is>
          <t>Scott Bird</t>
        </is>
      </c>
      <c r="G124" s="37" t="n">
        <v>24</v>
      </c>
      <c r="H124" s="39" t="n">
        <v>60.7</v>
      </c>
      <c r="I124" s="40">
        <f>ROUNDUP(MAX(G124,H124),0)</f>
        <v/>
      </c>
      <c r="J124" s="41">
        <f>IF(C124="COVERED",'Methodology'!$B$9,'Methodology'!$B$10)</f>
        <v/>
      </c>
      <c r="K124" s="41">
        <f>I124*J124</f>
        <v/>
      </c>
      <c r="L124" s="41">
        <f>SUMIFS('Billing Aug'!$J$2:$J$770,'Billing Aug'!$D$2:$D$770,A124)</f>
        <v/>
      </c>
      <c r="M124" s="41">
        <f>L124-K124</f>
        <v/>
      </c>
      <c r="N124" s="37">
        <f>COUNTIF('Billing Aug'!$D$2:$D$770,A124)</f>
        <v/>
      </c>
      <c r="O124" s="37">
        <f>SUMIFS('Billing Aug'!$F$2:$F$770,'Billing Aug'!$D$2:$D$770,A124)</f>
        <v/>
      </c>
      <c r="P124" s="41">
        <f>IF(N124=0,0,L124-SUMIFS('Billing Aug'!$H$2:$H$770,'Billing Aug'!$D$2:$D$770,A124)*SUMIFS('Billing Aug'!$I$2:$I$770,'Billing Aug'!$D$2:$D$770,A124))</f>
        <v/>
      </c>
      <c r="Q124" s="37">
        <f>IF(N124=0,"NO AUG TRANSACTION IN SUPPLIED EXTRACT",IF(ABS(P124)&gt;0.004,"SUBLEDGER ARITHMETIC ERROR",IF(ABS(M124)&gt;0.004,"BILLING VARIANCE","MATCH")))</f>
        <v/>
      </c>
    </row>
    <row r="125">
      <c r="A125" s="37" t="inlineStr">
        <is>
          <t>LP-0612</t>
        </is>
      </c>
      <c r="B125" s="37" t="inlineStr">
        <is>
          <t>Ledgport</t>
        </is>
      </c>
      <c r="C125" s="37" t="inlineStr">
        <is>
          <t>COVERED</t>
        </is>
      </c>
      <c r="D125" s="37" t="inlineStr">
        <is>
          <t>OCCUPIED</t>
        </is>
      </c>
      <c r="E125" s="37" t="inlineStr">
        <is>
          <t>WL-01625</t>
        </is>
      </c>
      <c r="F125" s="37" t="inlineStr">
        <is>
          <t>Albert Rowland</t>
        </is>
      </c>
      <c r="G125" s="37" t="n">
        <v>32</v>
      </c>
      <c r="H125" s="39" t="n">
        <v>18.6</v>
      </c>
      <c r="I125" s="40">
        <f>ROUNDUP(MAX(G125,H125),0)</f>
        <v/>
      </c>
      <c r="J125" s="41">
        <f>IF(C125="COVERED",'Methodology'!$B$9,'Methodology'!$B$10)</f>
        <v/>
      </c>
      <c r="K125" s="41">
        <f>I125*J125</f>
        <v/>
      </c>
      <c r="L125" s="41">
        <f>SUMIFS('Billing Aug'!$J$2:$J$770,'Billing Aug'!$D$2:$D$770,A125)</f>
        <v/>
      </c>
      <c r="M125" s="41">
        <f>L125-K125</f>
        <v/>
      </c>
      <c r="N125" s="37">
        <f>COUNTIF('Billing Aug'!$D$2:$D$770,A125)</f>
        <v/>
      </c>
      <c r="O125" s="37">
        <f>SUMIFS('Billing Aug'!$F$2:$F$770,'Billing Aug'!$D$2:$D$770,A125)</f>
        <v/>
      </c>
      <c r="P125" s="41">
        <f>IF(N125=0,0,L125-SUMIFS('Billing Aug'!$H$2:$H$770,'Billing Aug'!$D$2:$D$770,A125)*SUMIFS('Billing Aug'!$I$2:$I$770,'Billing Aug'!$D$2:$D$770,A125))</f>
        <v/>
      </c>
      <c r="Q125" s="37">
        <f>IF(N125=0,"NO AUG TRANSACTION IN SUPPLIED EXTRACT",IF(ABS(P125)&gt;0.004,"SUBLEDGER ARITHMETIC ERROR",IF(ABS(M125)&gt;0.004,"BILLING VARIANCE","MATCH")))</f>
        <v/>
      </c>
    </row>
    <row r="126">
      <c r="A126" s="37" t="inlineStr">
        <is>
          <t>LP-0613</t>
        </is>
      </c>
      <c r="B126" s="37" t="inlineStr">
        <is>
          <t>Ledgport</t>
        </is>
      </c>
      <c r="C126" s="37" t="inlineStr">
        <is>
          <t>COVERED</t>
        </is>
      </c>
      <c r="D126" s="37" t="inlineStr">
        <is>
          <t>OCCUPIED</t>
        </is>
      </c>
      <c r="E126" s="37" t="inlineStr">
        <is>
          <t>WL-03447</t>
        </is>
      </c>
      <c r="F126" s="37" t="inlineStr">
        <is>
          <t>Matthew Mcdonald</t>
        </is>
      </c>
      <c r="G126" s="37" t="n">
        <v>24</v>
      </c>
      <c r="H126" s="39" t="n">
        <v>52.8</v>
      </c>
      <c r="I126" s="40">
        <f>ROUNDUP(MAX(G126,H126),0)</f>
        <v/>
      </c>
      <c r="J126" s="41">
        <f>IF(C126="COVERED",'Methodology'!$B$9,'Methodology'!$B$10)</f>
        <v/>
      </c>
      <c r="K126" s="41">
        <f>I126*J126</f>
        <v/>
      </c>
      <c r="L126" s="41">
        <f>SUMIFS('Billing Aug'!$J$2:$J$770,'Billing Aug'!$D$2:$D$770,A126)</f>
        <v/>
      </c>
      <c r="M126" s="41">
        <f>L126-K126</f>
        <v/>
      </c>
      <c r="N126" s="37">
        <f>COUNTIF('Billing Aug'!$D$2:$D$770,A126)</f>
        <v/>
      </c>
      <c r="O126" s="37">
        <f>SUMIFS('Billing Aug'!$F$2:$F$770,'Billing Aug'!$D$2:$D$770,A126)</f>
        <v/>
      </c>
      <c r="P126" s="41">
        <f>IF(N126=0,0,L126-SUMIFS('Billing Aug'!$H$2:$H$770,'Billing Aug'!$D$2:$D$770,A126)*SUMIFS('Billing Aug'!$I$2:$I$770,'Billing Aug'!$D$2:$D$770,A126))</f>
        <v/>
      </c>
      <c r="Q126" s="37">
        <f>IF(N126=0,"NO AUG TRANSACTION IN SUPPLIED EXTRACT",IF(ABS(P126)&gt;0.004,"SUBLEDGER ARITHMETIC ERROR",IF(ABS(M126)&gt;0.004,"BILLING VARIANCE","MATCH")))</f>
        <v/>
      </c>
    </row>
    <row r="127">
      <c r="A127" s="37" t="inlineStr">
        <is>
          <t>LP-0614</t>
        </is>
      </c>
      <c r="B127" s="37" t="inlineStr">
        <is>
          <t>Ledgport</t>
        </is>
      </c>
      <c r="C127" s="37" t="inlineStr">
        <is>
          <t>COVERED</t>
        </is>
      </c>
      <c r="D127" s="37" t="inlineStr">
        <is>
          <t>OCCUPIED</t>
        </is>
      </c>
      <c r="E127" s="37" t="inlineStr">
        <is>
          <t>WL-01107</t>
        </is>
      </c>
      <c r="F127" s="37" t="inlineStr">
        <is>
          <t>Dean Gonzalez</t>
        </is>
      </c>
      <c r="G127" s="37" t="n">
        <v>28</v>
      </c>
      <c r="H127" s="39" t="n">
        <v>18.7</v>
      </c>
      <c r="I127" s="40">
        <f>ROUNDUP(MAX(G127,H127),0)</f>
        <v/>
      </c>
      <c r="J127" s="41">
        <f>IF(C127="COVERED",'Methodology'!$B$9,'Methodology'!$B$10)</f>
        <v/>
      </c>
      <c r="K127" s="41">
        <f>I127*J127</f>
        <v/>
      </c>
      <c r="L127" s="41">
        <f>SUMIFS('Billing Aug'!$J$2:$J$770,'Billing Aug'!$D$2:$D$770,A127)</f>
        <v/>
      </c>
      <c r="M127" s="41">
        <f>L127-K127</f>
        <v/>
      </c>
      <c r="N127" s="37">
        <f>COUNTIF('Billing Aug'!$D$2:$D$770,A127)</f>
        <v/>
      </c>
      <c r="O127" s="37">
        <f>SUMIFS('Billing Aug'!$F$2:$F$770,'Billing Aug'!$D$2:$D$770,A127)</f>
        <v/>
      </c>
      <c r="P127" s="41">
        <f>IF(N127=0,0,L127-SUMIFS('Billing Aug'!$H$2:$H$770,'Billing Aug'!$D$2:$D$770,A127)*SUMIFS('Billing Aug'!$I$2:$I$770,'Billing Aug'!$D$2:$D$770,A127))</f>
        <v/>
      </c>
      <c r="Q127" s="37">
        <f>IF(N127=0,"NO AUG TRANSACTION IN SUPPLIED EXTRACT",IF(ABS(P127)&gt;0.004,"SUBLEDGER ARITHMETIC ERROR",IF(ABS(M127)&gt;0.004,"BILLING VARIANCE","MATCH")))</f>
        <v/>
      </c>
    </row>
    <row r="128">
      <c r="A128" s="37" t="inlineStr">
        <is>
          <t>LP-0615</t>
        </is>
      </c>
      <c r="B128" s="37" t="inlineStr">
        <is>
          <t>Ledgport</t>
        </is>
      </c>
      <c r="C128" s="37" t="inlineStr">
        <is>
          <t>COVERED</t>
        </is>
      </c>
      <c r="D128" s="37" t="inlineStr">
        <is>
          <t>OCCUPIED</t>
        </is>
      </c>
      <c r="E128" s="37" t="inlineStr">
        <is>
          <t>WL-03818</t>
        </is>
      </c>
      <c r="F128" s="37" t="inlineStr">
        <is>
          <t>Abigail Brooks</t>
        </is>
      </c>
      <c r="G128" s="37" t="n">
        <v>36</v>
      </c>
      <c r="H128" s="39" t="n">
        <v>37.5</v>
      </c>
      <c r="I128" s="40">
        <f>ROUNDUP(MAX(G128,H128),0)</f>
        <v/>
      </c>
      <c r="J128" s="41">
        <f>IF(C128="COVERED",'Methodology'!$B$9,'Methodology'!$B$10)</f>
        <v/>
      </c>
      <c r="K128" s="41">
        <f>I128*J128</f>
        <v/>
      </c>
      <c r="L128" s="41">
        <f>SUMIFS('Billing Aug'!$J$2:$J$770,'Billing Aug'!$D$2:$D$770,A128)</f>
        <v/>
      </c>
      <c r="M128" s="41">
        <f>L128-K128</f>
        <v/>
      </c>
      <c r="N128" s="37">
        <f>COUNTIF('Billing Aug'!$D$2:$D$770,A128)</f>
        <v/>
      </c>
      <c r="O128" s="37">
        <f>SUMIFS('Billing Aug'!$F$2:$F$770,'Billing Aug'!$D$2:$D$770,A128)</f>
        <v/>
      </c>
      <c r="P128" s="41">
        <f>IF(N128=0,0,L128-SUMIFS('Billing Aug'!$H$2:$H$770,'Billing Aug'!$D$2:$D$770,A128)*SUMIFS('Billing Aug'!$I$2:$I$770,'Billing Aug'!$D$2:$D$770,A128))</f>
        <v/>
      </c>
      <c r="Q128" s="37">
        <f>IF(N128=0,"NO AUG TRANSACTION IN SUPPLIED EXTRACT",IF(ABS(P128)&gt;0.004,"SUBLEDGER ARITHMETIC ERROR",IF(ABS(M128)&gt;0.004,"BILLING VARIANCE","MATCH")))</f>
        <v/>
      </c>
    </row>
    <row r="129">
      <c r="A129" s="37" t="inlineStr">
        <is>
          <t>LP-0616</t>
        </is>
      </c>
      <c r="B129" s="37" t="inlineStr">
        <is>
          <t>Ledgport</t>
        </is>
      </c>
      <c r="C129" s="37" t="inlineStr">
        <is>
          <t>COVERED</t>
        </is>
      </c>
      <c r="D129" s="37" t="inlineStr">
        <is>
          <t>OCCUPIED</t>
        </is>
      </c>
      <c r="E129" s="37" t="inlineStr">
        <is>
          <t>WL-03854</t>
        </is>
      </c>
      <c r="F129" s="37" t="inlineStr">
        <is>
          <t>Brandon Jackson</t>
        </is>
      </c>
      <c r="G129" s="37" t="n">
        <v>24</v>
      </c>
      <c r="H129" s="39" t="n">
        <v>51.4</v>
      </c>
      <c r="I129" s="40">
        <f>ROUNDUP(MAX(G129,H129),0)</f>
        <v/>
      </c>
      <c r="J129" s="41">
        <f>IF(C129="COVERED",'Methodology'!$B$9,'Methodology'!$B$10)</f>
        <v/>
      </c>
      <c r="K129" s="41">
        <f>I129*J129</f>
        <v/>
      </c>
      <c r="L129" s="41">
        <f>SUMIFS('Billing Aug'!$J$2:$J$770,'Billing Aug'!$D$2:$D$770,A129)</f>
        <v/>
      </c>
      <c r="M129" s="41">
        <f>L129-K129</f>
        <v/>
      </c>
      <c r="N129" s="37">
        <f>COUNTIF('Billing Aug'!$D$2:$D$770,A129)</f>
        <v/>
      </c>
      <c r="O129" s="37">
        <f>SUMIFS('Billing Aug'!$F$2:$F$770,'Billing Aug'!$D$2:$D$770,A129)</f>
        <v/>
      </c>
      <c r="P129" s="41">
        <f>IF(N129=0,0,L129-SUMIFS('Billing Aug'!$H$2:$H$770,'Billing Aug'!$D$2:$D$770,A129)*SUMIFS('Billing Aug'!$I$2:$I$770,'Billing Aug'!$D$2:$D$770,A129))</f>
        <v/>
      </c>
      <c r="Q129" s="37">
        <f>IF(N129=0,"NO AUG TRANSACTION IN SUPPLIED EXTRACT",IF(ABS(P129)&gt;0.004,"SUBLEDGER ARITHMETIC ERROR",IF(ABS(M129)&gt;0.004,"BILLING VARIANCE","MATCH")))</f>
        <v/>
      </c>
    </row>
    <row r="130">
      <c r="A130" s="37" t="inlineStr">
        <is>
          <t>LP-0617</t>
        </is>
      </c>
      <c r="B130" s="37" t="inlineStr">
        <is>
          <t>Ledgport</t>
        </is>
      </c>
      <c r="C130" s="37" t="inlineStr">
        <is>
          <t>COVERED</t>
        </is>
      </c>
      <c r="D130" s="37" t="inlineStr">
        <is>
          <t>OCCUPIED</t>
        </is>
      </c>
      <c r="E130" s="37" t="inlineStr">
        <is>
          <t>WL-02073</t>
        </is>
      </c>
      <c r="F130" s="37" t="inlineStr">
        <is>
          <t>Susan Jordan</t>
        </is>
      </c>
      <c r="G130" s="37" t="n">
        <v>28</v>
      </c>
      <c r="H130" s="39" t="n">
        <v>35.6</v>
      </c>
      <c r="I130" s="40">
        <f>ROUNDUP(MAX(G130,H130),0)</f>
        <v/>
      </c>
      <c r="J130" s="41">
        <f>IF(C130="COVERED",'Methodology'!$B$9,'Methodology'!$B$10)</f>
        <v/>
      </c>
      <c r="K130" s="41">
        <f>I130*J130</f>
        <v/>
      </c>
      <c r="L130" s="41">
        <f>SUMIFS('Billing Aug'!$J$2:$J$770,'Billing Aug'!$D$2:$D$770,A130)</f>
        <v/>
      </c>
      <c r="M130" s="41">
        <f>L130-K130</f>
        <v/>
      </c>
      <c r="N130" s="37">
        <f>COUNTIF('Billing Aug'!$D$2:$D$770,A130)</f>
        <v/>
      </c>
      <c r="O130" s="37">
        <f>SUMIFS('Billing Aug'!$F$2:$F$770,'Billing Aug'!$D$2:$D$770,A130)</f>
        <v/>
      </c>
      <c r="P130" s="41">
        <f>IF(N130=0,0,L130-SUMIFS('Billing Aug'!$H$2:$H$770,'Billing Aug'!$D$2:$D$770,A130)*SUMIFS('Billing Aug'!$I$2:$I$770,'Billing Aug'!$D$2:$D$770,A130))</f>
        <v/>
      </c>
      <c r="Q130" s="37">
        <f>IF(N130=0,"NO AUG TRANSACTION IN SUPPLIED EXTRACT",IF(ABS(P130)&gt;0.004,"SUBLEDGER ARITHMETIC ERROR",IF(ABS(M130)&gt;0.004,"BILLING VARIANCE","MATCH")))</f>
        <v/>
      </c>
    </row>
    <row r="131">
      <c r="A131" s="37" t="inlineStr">
        <is>
          <t>LP-0618</t>
        </is>
      </c>
      <c r="B131" s="37" t="inlineStr">
        <is>
          <t>Ledgport</t>
        </is>
      </c>
      <c r="C131" s="37" t="inlineStr">
        <is>
          <t>COVERED</t>
        </is>
      </c>
      <c r="D131" s="37" t="inlineStr">
        <is>
          <t>OCCUPIED</t>
        </is>
      </c>
      <c r="E131" s="37" t="inlineStr">
        <is>
          <t>WL-01962</t>
        </is>
      </c>
      <c r="F131" s="37" t="inlineStr">
        <is>
          <t>Natalie Tyler</t>
        </is>
      </c>
      <c r="G131" s="37" t="n">
        <v>32</v>
      </c>
      <c r="H131" s="39" t="n">
        <v>30.1</v>
      </c>
      <c r="I131" s="40">
        <f>ROUNDUP(MAX(G131,H131),0)</f>
        <v/>
      </c>
      <c r="J131" s="41">
        <f>IF(C131="COVERED",'Methodology'!$B$9,'Methodology'!$B$10)</f>
        <v/>
      </c>
      <c r="K131" s="41">
        <f>I131*J131</f>
        <v/>
      </c>
      <c r="L131" s="41">
        <f>SUMIFS('Billing Aug'!$J$2:$J$770,'Billing Aug'!$D$2:$D$770,A131)</f>
        <v/>
      </c>
      <c r="M131" s="41">
        <f>L131-K131</f>
        <v/>
      </c>
      <c r="N131" s="37">
        <f>COUNTIF('Billing Aug'!$D$2:$D$770,A131)</f>
        <v/>
      </c>
      <c r="O131" s="37">
        <f>SUMIFS('Billing Aug'!$F$2:$F$770,'Billing Aug'!$D$2:$D$770,A131)</f>
        <v/>
      </c>
      <c r="P131" s="41">
        <f>IF(N131=0,0,L131-SUMIFS('Billing Aug'!$H$2:$H$770,'Billing Aug'!$D$2:$D$770,A131)*SUMIFS('Billing Aug'!$I$2:$I$770,'Billing Aug'!$D$2:$D$770,A131))</f>
        <v/>
      </c>
      <c r="Q131" s="37">
        <f>IF(N131=0,"NO AUG TRANSACTION IN SUPPLIED EXTRACT",IF(ABS(P131)&gt;0.004,"SUBLEDGER ARITHMETIC ERROR",IF(ABS(M131)&gt;0.004,"BILLING VARIANCE","MATCH")))</f>
        <v/>
      </c>
    </row>
    <row r="132">
      <c r="A132" s="37" t="inlineStr">
        <is>
          <t>LP-0620</t>
        </is>
      </c>
      <c r="B132" s="37" t="inlineStr">
        <is>
          <t>Ledgport</t>
        </is>
      </c>
      <c r="C132" s="37" t="inlineStr">
        <is>
          <t>COVERED</t>
        </is>
      </c>
      <c r="D132" s="37" t="inlineStr">
        <is>
          <t>OCCUPIED</t>
        </is>
      </c>
      <c r="E132" s="37" t="inlineStr">
        <is>
          <t>WL-02410</t>
        </is>
      </c>
      <c r="F132" s="37" t="inlineStr">
        <is>
          <t>Juan Martin</t>
        </is>
      </c>
      <c r="G132" s="37" t="n">
        <v>32</v>
      </c>
      <c r="H132" s="39" t="n">
        <v>40.5</v>
      </c>
      <c r="I132" s="40">
        <f>ROUNDUP(MAX(G132,H132),0)</f>
        <v/>
      </c>
      <c r="J132" s="41">
        <f>IF(C132="COVERED",'Methodology'!$B$9,'Methodology'!$B$10)</f>
        <v/>
      </c>
      <c r="K132" s="41">
        <f>I132*J132</f>
        <v/>
      </c>
      <c r="L132" s="41">
        <f>SUMIFS('Billing Aug'!$J$2:$J$770,'Billing Aug'!$D$2:$D$770,A132)</f>
        <v/>
      </c>
      <c r="M132" s="41">
        <f>L132-K132</f>
        <v/>
      </c>
      <c r="N132" s="37">
        <f>COUNTIF('Billing Aug'!$D$2:$D$770,A132)</f>
        <v/>
      </c>
      <c r="O132" s="37">
        <f>SUMIFS('Billing Aug'!$F$2:$F$770,'Billing Aug'!$D$2:$D$770,A132)</f>
        <v/>
      </c>
      <c r="P132" s="41">
        <f>IF(N132=0,0,L132-SUMIFS('Billing Aug'!$H$2:$H$770,'Billing Aug'!$D$2:$D$770,A132)*SUMIFS('Billing Aug'!$I$2:$I$770,'Billing Aug'!$D$2:$D$770,A132))</f>
        <v/>
      </c>
      <c r="Q132" s="37">
        <f>IF(N132=0,"NO AUG TRANSACTION IN SUPPLIED EXTRACT",IF(ABS(P132)&gt;0.004,"SUBLEDGER ARITHMETIC ERROR",IF(ABS(M132)&gt;0.004,"BILLING VARIANCE","MATCH")))</f>
        <v/>
      </c>
    </row>
    <row r="133">
      <c r="A133" s="37" t="inlineStr">
        <is>
          <t>LP-0621</t>
        </is>
      </c>
      <c r="B133" s="37" t="inlineStr">
        <is>
          <t>Ledgport</t>
        </is>
      </c>
      <c r="C133" s="37" t="inlineStr">
        <is>
          <t>COVERED</t>
        </is>
      </c>
      <c r="D133" s="37" t="inlineStr">
        <is>
          <t>OCCUPIED</t>
        </is>
      </c>
      <c r="E133" s="37" t="inlineStr">
        <is>
          <t>WL-02194</t>
        </is>
      </c>
      <c r="F133" s="37" t="inlineStr">
        <is>
          <t>Victoria Williamson</t>
        </is>
      </c>
      <c r="G133" s="37" t="n">
        <v>40</v>
      </c>
      <c r="H133" s="39" t="n">
        <v>22</v>
      </c>
      <c r="I133" s="40">
        <f>ROUNDUP(MAX(G133,H133),0)</f>
        <v/>
      </c>
      <c r="J133" s="41">
        <f>IF(C133="COVERED",'Methodology'!$B$9,'Methodology'!$B$10)</f>
        <v/>
      </c>
      <c r="K133" s="41">
        <f>I133*J133</f>
        <v/>
      </c>
      <c r="L133" s="41">
        <f>SUMIFS('Billing Aug'!$J$2:$J$770,'Billing Aug'!$D$2:$D$770,A133)</f>
        <v/>
      </c>
      <c r="M133" s="41">
        <f>L133-K133</f>
        <v/>
      </c>
      <c r="N133" s="37">
        <f>COUNTIF('Billing Aug'!$D$2:$D$770,A133)</f>
        <v/>
      </c>
      <c r="O133" s="37">
        <f>SUMIFS('Billing Aug'!$F$2:$F$770,'Billing Aug'!$D$2:$D$770,A133)</f>
        <v/>
      </c>
      <c r="P133" s="41">
        <f>IF(N133=0,0,L133-SUMIFS('Billing Aug'!$H$2:$H$770,'Billing Aug'!$D$2:$D$770,A133)*SUMIFS('Billing Aug'!$I$2:$I$770,'Billing Aug'!$D$2:$D$770,A133))</f>
        <v/>
      </c>
      <c r="Q133" s="37">
        <f>IF(N133=0,"NO AUG TRANSACTION IN SUPPLIED EXTRACT",IF(ABS(P133)&gt;0.004,"SUBLEDGER ARITHMETIC ERROR",IF(ABS(M133)&gt;0.004,"BILLING VARIANCE","MATCH")))</f>
        <v/>
      </c>
    </row>
    <row r="134">
      <c r="A134" s="37" t="inlineStr">
        <is>
          <t>LP-0622</t>
        </is>
      </c>
      <c r="B134" s="37" t="inlineStr">
        <is>
          <t>Ledgport</t>
        </is>
      </c>
      <c r="C134" s="37" t="inlineStr">
        <is>
          <t>COVERED</t>
        </is>
      </c>
      <c r="D134" s="37" t="inlineStr">
        <is>
          <t>OCCUPIED</t>
        </is>
      </c>
      <c r="E134" s="37" t="inlineStr">
        <is>
          <t>WL-03607</t>
        </is>
      </c>
      <c r="F134" s="37" t="inlineStr">
        <is>
          <t>Ross Green</t>
        </is>
      </c>
      <c r="G134" s="37" t="n">
        <v>32</v>
      </c>
      <c r="H134" s="39" t="n">
        <v>39.4</v>
      </c>
      <c r="I134" s="40">
        <f>ROUNDUP(MAX(G134,H134),0)</f>
        <v/>
      </c>
      <c r="J134" s="41">
        <f>IF(C134="COVERED",'Methodology'!$B$9,'Methodology'!$B$10)</f>
        <v/>
      </c>
      <c r="K134" s="41">
        <f>I134*J134</f>
        <v/>
      </c>
      <c r="L134" s="41">
        <f>SUMIFS('Billing Aug'!$J$2:$J$770,'Billing Aug'!$D$2:$D$770,A134)</f>
        <v/>
      </c>
      <c r="M134" s="41">
        <f>L134-K134</f>
        <v/>
      </c>
      <c r="N134" s="37">
        <f>COUNTIF('Billing Aug'!$D$2:$D$770,A134)</f>
        <v/>
      </c>
      <c r="O134" s="37">
        <f>SUMIFS('Billing Aug'!$F$2:$F$770,'Billing Aug'!$D$2:$D$770,A134)</f>
        <v/>
      </c>
      <c r="P134" s="41">
        <f>IF(N134=0,0,L134-SUMIFS('Billing Aug'!$H$2:$H$770,'Billing Aug'!$D$2:$D$770,A134)*SUMIFS('Billing Aug'!$I$2:$I$770,'Billing Aug'!$D$2:$D$770,A134))</f>
        <v/>
      </c>
      <c r="Q134" s="37">
        <f>IF(N134=0,"NO AUG TRANSACTION IN SUPPLIED EXTRACT",IF(ABS(P134)&gt;0.004,"SUBLEDGER ARITHMETIC ERROR",IF(ABS(M134)&gt;0.004,"BILLING VARIANCE","MATCH")))</f>
        <v/>
      </c>
    </row>
    <row r="135">
      <c r="A135" s="37" t="inlineStr">
        <is>
          <t>LP-0623</t>
        </is>
      </c>
      <c r="B135" s="37" t="inlineStr">
        <is>
          <t>Ledgport</t>
        </is>
      </c>
      <c r="C135" s="37" t="inlineStr">
        <is>
          <t>COVERED</t>
        </is>
      </c>
      <c r="D135" s="37" t="inlineStr">
        <is>
          <t>OCCUPIED</t>
        </is>
      </c>
      <c r="E135" s="37" t="inlineStr">
        <is>
          <t>WL-03096</t>
        </is>
      </c>
      <c r="F135" s="37" t="inlineStr">
        <is>
          <t>Craig Kelley</t>
        </is>
      </c>
      <c r="G135" s="37" t="n">
        <v>32</v>
      </c>
      <c r="H135" s="39" t="n">
        <v>53.9</v>
      </c>
      <c r="I135" s="40">
        <f>ROUNDUP(MAX(G135,H135),0)</f>
        <v/>
      </c>
      <c r="J135" s="41">
        <f>IF(C135="COVERED",'Methodology'!$B$9,'Methodology'!$B$10)</f>
        <v/>
      </c>
      <c r="K135" s="41">
        <f>I135*J135</f>
        <v/>
      </c>
      <c r="L135" s="41">
        <f>SUMIFS('Billing Aug'!$J$2:$J$770,'Billing Aug'!$D$2:$D$770,A135)</f>
        <v/>
      </c>
      <c r="M135" s="41">
        <f>L135-K135</f>
        <v/>
      </c>
      <c r="N135" s="37">
        <f>COUNTIF('Billing Aug'!$D$2:$D$770,A135)</f>
        <v/>
      </c>
      <c r="O135" s="37">
        <f>SUMIFS('Billing Aug'!$F$2:$F$770,'Billing Aug'!$D$2:$D$770,A135)</f>
        <v/>
      </c>
      <c r="P135" s="41">
        <f>IF(N135=0,0,L135-SUMIFS('Billing Aug'!$H$2:$H$770,'Billing Aug'!$D$2:$D$770,A135)*SUMIFS('Billing Aug'!$I$2:$I$770,'Billing Aug'!$D$2:$D$770,A135))</f>
        <v/>
      </c>
      <c r="Q135" s="37">
        <f>IF(N135=0,"NO AUG TRANSACTION IN SUPPLIED EXTRACT",IF(ABS(P135)&gt;0.004,"SUBLEDGER ARITHMETIC ERROR",IF(ABS(M135)&gt;0.004,"BILLING VARIANCE","MATCH")))</f>
        <v/>
      </c>
    </row>
    <row r="136">
      <c r="A136" s="37" t="inlineStr">
        <is>
          <t>LP-0624</t>
        </is>
      </c>
      <c r="B136" s="37" t="inlineStr">
        <is>
          <t>Ledgport</t>
        </is>
      </c>
      <c r="C136" s="37" t="inlineStr">
        <is>
          <t>COVERED</t>
        </is>
      </c>
      <c r="D136" s="37" t="inlineStr">
        <is>
          <t>OCCUPIED</t>
        </is>
      </c>
      <c r="E136" s="37" t="inlineStr">
        <is>
          <t>WL-02951</t>
        </is>
      </c>
      <c r="F136" s="37" t="inlineStr">
        <is>
          <t>Evelyn Thompson</t>
        </is>
      </c>
      <c r="G136" s="37" t="n">
        <v>40</v>
      </c>
      <c r="H136" s="39" t="n">
        <v>49.8</v>
      </c>
      <c r="I136" s="40">
        <f>ROUNDUP(MAX(G136,H136),0)</f>
        <v/>
      </c>
      <c r="J136" s="41">
        <f>IF(C136="COVERED",'Methodology'!$B$9,'Methodology'!$B$10)</f>
        <v/>
      </c>
      <c r="K136" s="41">
        <f>I136*J136</f>
        <v/>
      </c>
      <c r="L136" s="41">
        <f>SUMIFS('Billing Aug'!$J$2:$J$770,'Billing Aug'!$D$2:$D$770,A136)</f>
        <v/>
      </c>
      <c r="M136" s="41">
        <f>L136-K136</f>
        <v/>
      </c>
      <c r="N136" s="37">
        <f>COUNTIF('Billing Aug'!$D$2:$D$770,A136)</f>
        <v/>
      </c>
      <c r="O136" s="37">
        <f>SUMIFS('Billing Aug'!$F$2:$F$770,'Billing Aug'!$D$2:$D$770,A136)</f>
        <v/>
      </c>
      <c r="P136" s="41">
        <f>IF(N136=0,0,L136-SUMIFS('Billing Aug'!$H$2:$H$770,'Billing Aug'!$D$2:$D$770,A136)*SUMIFS('Billing Aug'!$I$2:$I$770,'Billing Aug'!$D$2:$D$770,A136))</f>
        <v/>
      </c>
      <c r="Q136" s="37">
        <f>IF(N136=0,"NO AUG TRANSACTION IN SUPPLIED EXTRACT",IF(ABS(P136)&gt;0.004,"SUBLEDGER ARITHMETIC ERROR",IF(ABS(M136)&gt;0.004,"BILLING VARIANCE","MATCH")))</f>
        <v/>
      </c>
    </row>
    <row r="137">
      <c r="A137" s="37" t="inlineStr">
        <is>
          <t>LP-0701</t>
        </is>
      </c>
      <c r="B137" s="37" t="inlineStr">
        <is>
          <t>Ledgport</t>
        </is>
      </c>
      <c r="C137" s="37" t="inlineStr">
        <is>
          <t>COVERED</t>
        </is>
      </c>
      <c r="D137" s="37" t="inlineStr">
        <is>
          <t>OCCUPIED</t>
        </is>
      </c>
      <c r="E137" s="37" t="inlineStr">
        <is>
          <t>WL-02344</t>
        </is>
      </c>
      <c r="F137" s="37" t="inlineStr">
        <is>
          <t>Michael Combs</t>
        </is>
      </c>
      <c r="G137" s="37" t="n">
        <v>24</v>
      </c>
      <c r="H137" s="39" t="n">
        <v>43.4</v>
      </c>
      <c r="I137" s="40">
        <f>ROUNDUP(MAX(G137,H137),0)</f>
        <v/>
      </c>
      <c r="J137" s="41">
        <f>IF(C137="COVERED",'Methodology'!$B$9,'Methodology'!$B$10)</f>
        <v/>
      </c>
      <c r="K137" s="41">
        <f>I137*J137</f>
        <v/>
      </c>
      <c r="L137" s="41">
        <f>SUMIFS('Billing Aug'!$J$2:$J$770,'Billing Aug'!$D$2:$D$770,A137)</f>
        <v/>
      </c>
      <c r="M137" s="41">
        <f>L137-K137</f>
        <v/>
      </c>
      <c r="N137" s="37">
        <f>COUNTIF('Billing Aug'!$D$2:$D$770,A137)</f>
        <v/>
      </c>
      <c r="O137" s="37">
        <f>SUMIFS('Billing Aug'!$F$2:$F$770,'Billing Aug'!$D$2:$D$770,A137)</f>
        <v/>
      </c>
      <c r="P137" s="41">
        <f>IF(N137=0,0,L137-SUMIFS('Billing Aug'!$H$2:$H$770,'Billing Aug'!$D$2:$D$770,A137)*SUMIFS('Billing Aug'!$I$2:$I$770,'Billing Aug'!$D$2:$D$770,A137))</f>
        <v/>
      </c>
      <c r="Q137" s="37">
        <f>IF(N137=0,"NO AUG TRANSACTION IN SUPPLIED EXTRACT",IF(ABS(P137)&gt;0.004,"SUBLEDGER ARITHMETIC ERROR",IF(ABS(M137)&gt;0.004,"BILLING VARIANCE","MATCH")))</f>
        <v/>
      </c>
    </row>
    <row r="138">
      <c r="A138" s="37" t="inlineStr">
        <is>
          <t>LP-0702</t>
        </is>
      </c>
      <c r="B138" s="37" t="inlineStr">
        <is>
          <t>Ledgport</t>
        </is>
      </c>
      <c r="C138" s="37" t="inlineStr">
        <is>
          <t>COVERED</t>
        </is>
      </c>
      <c r="D138" s="37" t="inlineStr">
        <is>
          <t>OCCUPIED</t>
        </is>
      </c>
      <c r="E138" s="37" t="inlineStr">
        <is>
          <t>WL-01711</t>
        </is>
      </c>
      <c r="F138" s="37" t="inlineStr">
        <is>
          <t>Julie Peterson</t>
        </is>
      </c>
      <c r="G138" s="37" t="n">
        <v>32</v>
      </c>
      <c r="H138" s="39" t="n">
        <v>51.4</v>
      </c>
      <c r="I138" s="40">
        <f>ROUNDUP(MAX(G138,H138),0)</f>
        <v/>
      </c>
      <c r="J138" s="41">
        <f>IF(C138="COVERED",'Methodology'!$B$9,'Methodology'!$B$10)</f>
        <v/>
      </c>
      <c r="K138" s="41">
        <f>I138*J138</f>
        <v/>
      </c>
      <c r="L138" s="41">
        <f>SUMIFS('Billing Aug'!$J$2:$J$770,'Billing Aug'!$D$2:$D$770,A138)</f>
        <v/>
      </c>
      <c r="M138" s="41">
        <f>L138-K138</f>
        <v/>
      </c>
      <c r="N138" s="37">
        <f>COUNTIF('Billing Aug'!$D$2:$D$770,A138)</f>
        <v/>
      </c>
      <c r="O138" s="37">
        <f>SUMIFS('Billing Aug'!$F$2:$F$770,'Billing Aug'!$D$2:$D$770,A138)</f>
        <v/>
      </c>
      <c r="P138" s="41">
        <f>IF(N138=0,0,L138-SUMIFS('Billing Aug'!$H$2:$H$770,'Billing Aug'!$D$2:$D$770,A138)*SUMIFS('Billing Aug'!$I$2:$I$770,'Billing Aug'!$D$2:$D$770,A138))</f>
        <v/>
      </c>
      <c r="Q138" s="37">
        <f>IF(N138=0,"NO AUG TRANSACTION IN SUPPLIED EXTRACT",IF(ABS(P138)&gt;0.004,"SUBLEDGER ARITHMETIC ERROR",IF(ABS(M138)&gt;0.004,"BILLING VARIANCE","MATCH")))</f>
        <v/>
      </c>
    </row>
    <row r="139">
      <c r="A139" s="37" t="inlineStr">
        <is>
          <t>LP-0703</t>
        </is>
      </c>
      <c r="B139" s="37" t="inlineStr">
        <is>
          <t>Ledgport</t>
        </is>
      </c>
      <c r="C139" s="37" t="inlineStr">
        <is>
          <t>COVERED</t>
        </is>
      </c>
      <c r="D139" s="37" t="inlineStr">
        <is>
          <t>OCCUPIED</t>
        </is>
      </c>
      <c r="E139" s="37" t="inlineStr">
        <is>
          <t>WL-03517</t>
        </is>
      </c>
      <c r="F139" s="37" t="inlineStr">
        <is>
          <t>Ruth Peters</t>
        </is>
      </c>
      <c r="G139" s="37" t="n">
        <v>40</v>
      </c>
      <c r="H139" s="39" t="n">
        <v>58.9</v>
      </c>
      <c r="I139" s="40">
        <f>ROUNDUP(MAX(G139,H139),0)</f>
        <v/>
      </c>
      <c r="J139" s="41">
        <f>IF(C139="COVERED",'Methodology'!$B$9,'Methodology'!$B$10)</f>
        <v/>
      </c>
      <c r="K139" s="41">
        <f>I139*J139</f>
        <v/>
      </c>
      <c r="L139" s="41">
        <f>SUMIFS('Billing Aug'!$J$2:$J$770,'Billing Aug'!$D$2:$D$770,A139)</f>
        <v/>
      </c>
      <c r="M139" s="41">
        <f>L139-K139</f>
        <v/>
      </c>
      <c r="N139" s="37">
        <f>COUNTIF('Billing Aug'!$D$2:$D$770,A139)</f>
        <v/>
      </c>
      <c r="O139" s="37">
        <f>SUMIFS('Billing Aug'!$F$2:$F$770,'Billing Aug'!$D$2:$D$770,A139)</f>
        <v/>
      </c>
      <c r="P139" s="41">
        <f>IF(N139=0,0,L139-SUMIFS('Billing Aug'!$H$2:$H$770,'Billing Aug'!$D$2:$D$770,A139)*SUMIFS('Billing Aug'!$I$2:$I$770,'Billing Aug'!$D$2:$D$770,A139))</f>
        <v/>
      </c>
      <c r="Q139" s="37">
        <f>IF(N139=0,"NO AUG TRANSACTION IN SUPPLIED EXTRACT",IF(ABS(P139)&gt;0.004,"SUBLEDGER ARITHMETIC ERROR",IF(ABS(M139)&gt;0.004,"BILLING VARIANCE","MATCH")))</f>
        <v/>
      </c>
    </row>
    <row r="140">
      <c r="A140" s="37" t="inlineStr">
        <is>
          <t>LP-0704</t>
        </is>
      </c>
      <c r="B140" s="37" t="inlineStr">
        <is>
          <t>Ledgport</t>
        </is>
      </c>
      <c r="C140" s="37" t="inlineStr">
        <is>
          <t>COVERED</t>
        </is>
      </c>
      <c r="D140" s="37" t="inlineStr">
        <is>
          <t>OCCUPIED</t>
        </is>
      </c>
      <c r="E140" s="37" t="inlineStr">
        <is>
          <t>WL-02092</t>
        </is>
      </c>
      <c r="F140" s="37" t="inlineStr">
        <is>
          <t>Jason Brooks</t>
        </is>
      </c>
      <c r="G140" s="37" t="n">
        <v>28</v>
      </c>
      <c r="H140" s="39" t="n">
        <v>52.4</v>
      </c>
      <c r="I140" s="40">
        <f>ROUNDUP(MAX(G140,H140),0)</f>
        <v/>
      </c>
      <c r="J140" s="41">
        <f>IF(C140="COVERED",'Methodology'!$B$9,'Methodology'!$B$10)</f>
        <v/>
      </c>
      <c r="K140" s="41">
        <f>I140*J140</f>
        <v/>
      </c>
      <c r="L140" s="41">
        <f>SUMIFS('Billing Aug'!$J$2:$J$770,'Billing Aug'!$D$2:$D$770,A140)</f>
        <v/>
      </c>
      <c r="M140" s="41">
        <f>L140-K140</f>
        <v/>
      </c>
      <c r="N140" s="37">
        <f>COUNTIF('Billing Aug'!$D$2:$D$770,A140)</f>
        <v/>
      </c>
      <c r="O140" s="37">
        <f>SUMIFS('Billing Aug'!$F$2:$F$770,'Billing Aug'!$D$2:$D$770,A140)</f>
        <v/>
      </c>
      <c r="P140" s="41">
        <f>IF(N140=0,0,L140-SUMIFS('Billing Aug'!$H$2:$H$770,'Billing Aug'!$D$2:$D$770,A140)*SUMIFS('Billing Aug'!$I$2:$I$770,'Billing Aug'!$D$2:$D$770,A140))</f>
        <v/>
      </c>
      <c r="Q140" s="37">
        <f>IF(N140=0,"NO AUG TRANSACTION IN SUPPLIED EXTRACT",IF(ABS(P140)&gt;0.004,"SUBLEDGER ARITHMETIC ERROR",IF(ABS(M140)&gt;0.004,"BILLING VARIANCE","MATCH")))</f>
        <v/>
      </c>
    </row>
    <row r="141">
      <c r="A141" s="37" t="inlineStr">
        <is>
          <t>LP-0705</t>
        </is>
      </c>
      <c r="B141" s="37" t="inlineStr">
        <is>
          <t>Ledgport</t>
        </is>
      </c>
      <c r="C141" s="37" t="inlineStr">
        <is>
          <t>COVERED</t>
        </is>
      </c>
      <c r="D141" s="37" t="inlineStr">
        <is>
          <t>OCCUPIED</t>
        </is>
      </c>
      <c r="E141" s="37" t="inlineStr">
        <is>
          <t>WL-02327</t>
        </is>
      </c>
      <c r="F141" s="37" t="inlineStr">
        <is>
          <t>Sarah Hogan</t>
        </is>
      </c>
      <c r="G141" s="37" t="n">
        <v>24</v>
      </c>
      <c r="H141" s="39" t="n">
        <v>43.6</v>
      </c>
      <c r="I141" s="40">
        <f>ROUNDUP(MAX(G141,H141),0)</f>
        <v/>
      </c>
      <c r="J141" s="41">
        <f>IF(C141="COVERED",'Methodology'!$B$9,'Methodology'!$B$10)</f>
        <v/>
      </c>
      <c r="K141" s="41">
        <f>I141*J141</f>
        <v/>
      </c>
      <c r="L141" s="41">
        <f>SUMIFS('Billing Aug'!$J$2:$J$770,'Billing Aug'!$D$2:$D$770,A141)</f>
        <v/>
      </c>
      <c r="M141" s="41">
        <f>L141-K141</f>
        <v/>
      </c>
      <c r="N141" s="37">
        <f>COUNTIF('Billing Aug'!$D$2:$D$770,A141)</f>
        <v/>
      </c>
      <c r="O141" s="37">
        <f>SUMIFS('Billing Aug'!$F$2:$F$770,'Billing Aug'!$D$2:$D$770,A141)</f>
        <v/>
      </c>
      <c r="P141" s="41">
        <f>IF(N141=0,0,L141-SUMIFS('Billing Aug'!$H$2:$H$770,'Billing Aug'!$D$2:$D$770,A141)*SUMIFS('Billing Aug'!$I$2:$I$770,'Billing Aug'!$D$2:$D$770,A141))</f>
        <v/>
      </c>
      <c r="Q141" s="37">
        <f>IF(N141=0,"NO AUG TRANSACTION IN SUPPLIED EXTRACT",IF(ABS(P141)&gt;0.004,"SUBLEDGER ARITHMETIC ERROR",IF(ABS(M141)&gt;0.004,"BILLING VARIANCE","MATCH")))</f>
        <v/>
      </c>
    </row>
    <row r="142">
      <c r="A142" s="37" t="inlineStr">
        <is>
          <t>LP-0706</t>
        </is>
      </c>
      <c r="B142" s="37" t="inlineStr">
        <is>
          <t>Ledgport</t>
        </is>
      </c>
      <c r="C142" s="37" t="inlineStr">
        <is>
          <t>COVERED</t>
        </is>
      </c>
      <c r="D142" s="37" t="inlineStr">
        <is>
          <t>OCCUPIED</t>
        </is>
      </c>
      <c r="E142" s="37" t="inlineStr">
        <is>
          <t>WL-01857</t>
        </is>
      </c>
      <c r="F142" s="37" t="inlineStr">
        <is>
          <t>Anthony Morales</t>
        </is>
      </c>
      <c r="G142" s="37" t="n">
        <v>28</v>
      </c>
      <c r="H142" s="39" t="n">
        <v>43.6</v>
      </c>
      <c r="I142" s="40">
        <f>ROUNDUP(MAX(G142,H142),0)</f>
        <v/>
      </c>
      <c r="J142" s="41">
        <f>IF(C142="COVERED",'Methodology'!$B$9,'Methodology'!$B$10)</f>
        <v/>
      </c>
      <c r="K142" s="41">
        <f>I142*J142</f>
        <v/>
      </c>
      <c r="L142" s="41">
        <f>SUMIFS('Billing Aug'!$J$2:$J$770,'Billing Aug'!$D$2:$D$770,A142)</f>
        <v/>
      </c>
      <c r="M142" s="41">
        <f>L142-K142</f>
        <v/>
      </c>
      <c r="N142" s="37">
        <f>COUNTIF('Billing Aug'!$D$2:$D$770,A142)</f>
        <v/>
      </c>
      <c r="O142" s="37">
        <f>SUMIFS('Billing Aug'!$F$2:$F$770,'Billing Aug'!$D$2:$D$770,A142)</f>
        <v/>
      </c>
      <c r="P142" s="41">
        <f>IF(N142=0,0,L142-SUMIFS('Billing Aug'!$H$2:$H$770,'Billing Aug'!$D$2:$D$770,A142)*SUMIFS('Billing Aug'!$I$2:$I$770,'Billing Aug'!$D$2:$D$770,A142))</f>
        <v/>
      </c>
      <c r="Q142" s="37">
        <f>IF(N142=0,"NO AUG TRANSACTION IN SUPPLIED EXTRACT",IF(ABS(P142)&gt;0.004,"SUBLEDGER ARITHMETIC ERROR",IF(ABS(M142)&gt;0.004,"BILLING VARIANCE","MATCH")))</f>
        <v/>
      </c>
    </row>
    <row r="143">
      <c r="A143" s="37" t="inlineStr">
        <is>
          <t>LP-0707</t>
        </is>
      </c>
      <c r="B143" s="37" t="inlineStr">
        <is>
          <t>Ledgport</t>
        </is>
      </c>
      <c r="C143" s="37" t="inlineStr">
        <is>
          <t>COVERED</t>
        </is>
      </c>
      <c r="D143" s="37" t="inlineStr">
        <is>
          <t>OCCUPIED</t>
        </is>
      </c>
      <c r="E143" s="37" t="inlineStr">
        <is>
          <t>WL-02544</t>
        </is>
      </c>
      <c r="F143" s="37" t="inlineStr">
        <is>
          <t>Laurie Smith</t>
        </is>
      </c>
      <c r="G143" s="37" t="n">
        <v>28</v>
      </c>
      <c r="H143" s="39" t="n">
        <v>45.6</v>
      </c>
      <c r="I143" s="40">
        <f>ROUNDUP(MAX(G143,H143),0)</f>
        <v/>
      </c>
      <c r="J143" s="41">
        <f>IF(C143="COVERED",'Methodology'!$B$9,'Methodology'!$B$10)</f>
        <v/>
      </c>
      <c r="K143" s="41">
        <f>I143*J143</f>
        <v/>
      </c>
      <c r="L143" s="41">
        <f>SUMIFS('Billing Aug'!$J$2:$J$770,'Billing Aug'!$D$2:$D$770,A143)</f>
        <v/>
      </c>
      <c r="M143" s="41">
        <f>L143-K143</f>
        <v/>
      </c>
      <c r="N143" s="37">
        <f>COUNTIF('Billing Aug'!$D$2:$D$770,A143)</f>
        <v/>
      </c>
      <c r="O143" s="37">
        <f>SUMIFS('Billing Aug'!$F$2:$F$770,'Billing Aug'!$D$2:$D$770,A143)</f>
        <v/>
      </c>
      <c r="P143" s="41">
        <f>IF(N143=0,0,L143-SUMIFS('Billing Aug'!$H$2:$H$770,'Billing Aug'!$D$2:$D$770,A143)*SUMIFS('Billing Aug'!$I$2:$I$770,'Billing Aug'!$D$2:$D$770,A143))</f>
        <v/>
      </c>
      <c r="Q143" s="37">
        <f>IF(N143=0,"NO AUG TRANSACTION IN SUPPLIED EXTRACT",IF(ABS(P143)&gt;0.004,"SUBLEDGER ARITHMETIC ERROR",IF(ABS(M143)&gt;0.004,"BILLING VARIANCE","MATCH")))</f>
        <v/>
      </c>
    </row>
    <row r="144">
      <c r="A144" s="37" t="inlineStr">
        <is>
          <t>LP-0708</t>
        </is>
      </c>
      <c r="B144" s="37" t="inlineStr">
        <is>
          <t>Ledgport</t>
        </is>
      </c>
      <c r="C144" s="37" t="inlineStr">
        <is>
          <t>COVERED</t>
        </is>
      </c>
      <c r="D144" s="37" t="inlineStr">
        <is>
          <t>OCCUPIED</t>
        </is>
      </c>
      <c r="E144" s="37" t="inlineStr">
        <is>
          <t>WL-03803</t>
        </is>
      </c>
      <c r="F144" s="37" t="inlineStr">
        <is>
          <t>Elizabeth Mathews</t>
        </is>
      </c>
      <c r="G144" s="37" t="n">
        <v>32</v>
      </c>
      <c r="H144" s="39" t="n">
        <v>43.3</v>
      </c>
      <c r="I144" s="40">
        <f>ROUNDUP(MAX(G144,H144),0)</f>
        <v/>
      </c>
      <c r="J144" s="41">
        <f>IF(C144="COVERED",'Methodology'!$B$9,'Methodology'!$B$10)</f>
        <v/>
      </c>
      <c r="K144" s="41">
        <f>I144*J144</f>
        <v/>
      </c>
      <c r="L144" s="41">
        <f>SUMIFS('Billing Aug'!$J$2:$J$770,'Billing Aug'!$D$2:$D$770,A144)</f>
        <v/>
      </c>
      <c r="M144" s="41">
        <f>L144-K144</f>
        <v/>
      </c>
      <c r="N144" s="37">
        <f>COUNTIF('Billing Aug'!$D$2:$D$770,A144)</f>
        <v/>
      </c>
      <c r="O144" s="37">
        <f>SUMIFS('Billing Aug'!$F$2:$F$770,'Billing Aug'!$D$2:$D$770,A144)</f>
        <v/>
      </c>
      <c r="P144" s="41">
        <f>IF(N144=0,0,L144-SUMIFS('Billing Aug'!$H$2:$H$770,'Billing Aug'!$D$2:$D$770,A144)*SUMIFS('Billing Aug'!$I$2:$I$770,'Billing Aug'!$D$2:$D$770,A144))</f>
        <v/>
      </c>
      <c r="Q144" s="37">
        <f>IF(N144=0,"NO AUG TRANSACTION IN SUPPLIED EXTRACT",IF(ABS(P144)&gt;0.004,"SUBLEDGER ARITHMETIC ERROR",IF(ABS(M144)&gt;0.004,"BILLING VARIANCE","MATCH")))</f>
        <v/>
      </c>
    </row>
    <row r="145">
      <c r="A145" s="37" t="inlineStr">
        <is>
          <t>LP-0709</t>
        </is>
      </c>
      <c r="B145" s="37" t="inlineStr">
        <is>
          <t>Ledgport</t>
        </is>
      </c>
      <c r="C145" s="37" t="inlineStr">
        <is>
          <t>COVERED</t>
        </is>
      </c>
      <c r="D145" s="37" t="inlineStr">
        <is>
          <t>OCCUPIED</t>
        </is>
      </c>
      <c r="E145" s="37" t="inlineStr">
        <is>
          <t>WL-02693</t>
        </is>
      </c>
      <c r="F145" s="37" t="inlineStr">
        <is>
          <t>Patrick Allen</t>
        </is>
      </c>
      <c r="G145" s="37" t="n">
        <v>28</v>
      </c>
      <c r="H145" s="39" t="n">
        <v>45.7</v>
      </c>
      <c r="I145" s="40">
        <f>ROUNDUP(MAX(G145,H145),0)</f>
        <v/>
      </c>
      <c r="J145" s="41">
        <f>IF(C145="COVERED",'Methodology'!$B$9,'Methodology'!$B$10)</f>
        <v/>
      </c>
      <c r="K145" s="41">
        <f>I145*J145</f>
        <v/>
      </c>
      <c r="L145" s="41">
        <f>SUMIFS('Billing Aug'!$J$2:$J$770,'Billing Aug'!$D$2:$D$770,A145)</f>
        <v/>
      </c>
      <c r="M145" s="41">
        <f>L145-K145</f>
        <v/>
      </c>
      <c r="N145" s="37">
        <f>COUNTIF('Billing Aug'!$D$2:$D$770,A145)</f>
        <v/>
      </c>
      <c r="O145" s="37">
        <f>SUMIFS('Billing Aug'!$F$2:$F$770,'Billing Aug'!$D$2:$D$770,A145)</f>
        <v/>
      </c>
      <c r="P145" s="41">
        <f>IF(N145=0,0,L145-SUMIFS('Billing Aug'!$H$2:$H$770,'Billing Aug'!$D$2:$D$770,A145)*SUMIFS('Billing Aug'!$I$2:$I$770,'Billing Aug'!$D$2:$D$770,A145))</f>
        <v/>
      </c>
      <c r="Q145" s="37">
        <f>IF(N145=0,"NO AUG TRANSACTION IN SUPPLIED EXTRACT",IF(ABS(P145)&gt;0.004,"SUBLEDGER ARITHMETIC ERROR",IF(ABS(M145)&gt;0.004,"BILLING VARIANCE","MATCH")))</f>
        <v/>
      </c>
    </row>
    <row r="146">
      <c r="A146" s="37" t="inlineStr">
        <is>
          <t>LP-0710</t>
        </is>
      </c>
      <c r="B146" s="37" t="inlineStr">
        <is>
          <t>Ledgport</t>
        </is>
      </c>
      <c r="C146" s="37" t="inlineStr">
        <is>
          <t>COVERED</t>
        </is>
      </c>
      <c r="D146" s="37" t="inlineStr">
        <is>
          <t>OCCUPIED</t>
        </is>
      </c>
      <c r="E146" s="37" t="inlineStr">
        <is>
          <t>WL-03904</t>
        </is>
      </c>
      <c r="F146" s="37" t="inlineStr">
        <is>
          <t>Peggy Trevino</t>
        </is>
      </c>
      <c r="G146" s="37" t="n">
        <v>28</v>
      </c>
      <c r="H146" s="39" t="n">
        <v>33.7</v>
      </c>
      <c r="I146" s="40">
        <f>ROUNDUP(MAX(G146,H146),0)</f>
        <v/>
      </c>
      <c r="J146" s="41">
        <f>IF(C146="COVERED",'Methodology'!$B$9,'Methodology'!$B$10)</f>
        <v/>
      </c>
      <c r="K146" s="41">
        <f>I146*J146</f>
        <v/>
      </c>
      <c r="L146" s="41">
        <f>SUMIFS('Billing Aug'!$J$2:$J$770,'Billing Aug'!$D$2:$D$770,A146)</f>
        <v/>
      </c>
      <c r="M146" s="41">
        <f>L146-K146</f>
        <v/>
      </c>
      <c r="N146" s="37">
        <f>COUNTIF('Billing Aug'!$D$2:$D$770,A146)</f>
        <v/>
      </c>
      <c r="O146" s="37">
        <f>SUMIFS('Billing Aug'!$F$2:$F$770,'Billing Aug'!$D$2:$D$770,A146)</f>
        <v/>
      </c>
      <c r="P146" s="41">
        <f>IF(N146=0,0,L146-SUMIFS('Billing Aug'!$H$2:$H$770,'Billing Aug'!$D$2:$D$770,A146)*SUMIFS('Billing Aug'!$I$2:$I$770,'Billing Aug'!$D$2:$D$770,A146))</f>
        <v/>
      </c>
      <c r="Q146" s="37">
        <f>IF(N146=0,"NO AUG TRANSACTION IN SUPPLIED EXTRACT",IF(ABS(P146)&gt;0.004,"SUBLEDGER ARITHMETIC ERROR",IF(ABS(M146)&gt;0.004,"BILLING VARIANCE","MATCH")))</f>
        <v/>
      </c>
    </row>
    <row r="147">
      <c r="A147" s="37" t="inlineStr">
        <is>
          <t>LP-0711</t>
        </is>
      </c>
      <c r="B147" s="37" t="inlineStr">
        <is>
          <t>Ledgport</t>
        </is>
      </c>
      <c r="C147" s="37" t="inlineStr">
        <is>
          <t>COVERED</t>
        </is>
      </c>
      <c r="D147" s="37" t="inlineStr">
        <is>
          <t>OCCUPIED</t>
        </is>
      </c>
      <c r="E147" s="37" t="inlineStr">
        <is>
          <t>WL-01740</t>
        </is>
      </c>
      <c r="F147" s="37" t="inlineStr">
        <is>
          <t>Lisa Wyatt</t>
        </is>
      </c>
      <c r="G147" s="37" t="n">
        <v>36</v>
      </c>
      <c r="H147" s="39" t="n">
        <v>43.4</v>
      </c>
      <c r="I147" s="40">
        <f>ROUNDUP(MAX(G147,H147),0)</f>
        <v/>
      </c>
      <c r="J147" s="41">
        <f>IF(C147="COVERED",'Methodology'!$B$9,'Methodology'!$B$10)</f>
        <v/>
      </c>
      <c r="K147" s="41">
        <f>I147*J147</f>
        <v/>
      </c>
      <c r="L147" s="41">
        <f>SUMIFS('Billing Aug'!$J$2:$J$770,'Billing Aug'!$D$2:$D$770,A147)</f>
        <v/>
      </c>
      <c r="M147" s="41">
        <f>L147-K147</f>
        <v/>
      </c>
      <c r="N147" s="37">
        <f>COUNTIF('Billing Aug'!$D$2:$D$770,A147)</f>
        <v/>
      </c>
      <c r="O147" s="37">
        <f>SUMIFS('Billing Aug'!$F$2:$F$770,'Billing Aug'!$D$2:$D$770,A147)</f>
        <v/>
      </c>
      <c r="P147" s="41">
        <f>IF(N147=0,0,L147-SUMIFS('Billing Aug'!$H$2:$H$770,'Billing Aug'!$D$2:$D$770,A147)*SUMIFS('Billing Aug'!$I$2:$I$770,'Billing Aug'!$D$2:$D$770,A147))</f>
        <v/>
      </c>
      <c r="Q147" s="37">
        <f>IF(N147=0,"NO AUG TRANSACTION IN SUPPLIED EXTRACT",IF(ABS(P147)&gt;0.004,"SUBLEDGER ARITHMETIC ERROR",IF(ABS(M147)&gt;0.004,"BILLING VARIANCE","MATCH")))</f>
        <v/>
      </c>
    </row>
    <row r="148">
      <c r="A148" s="37" t="inlineStr">
        <is>
          <t>LP-0712</t>
        </is>
      </c>
      <c r="B148" s="37" t="inlineStr">
        <is>
          <t>Ledgport</t>
        </is>
      </c>
      <c r="C148" s="37" t="inlineStr">
        <is>
          <t>COVERED</t>
        </is>
      </c>
      <c r="D148" s="37" t="inlineStr">
        <is>
          <t>OCCUPIED</t>
        </is>
      </c>
      <c r="E148" s="37" t="inlineStr">
        <is>
          <t>WL-02936</t>
        </is>
      </c>
      <c r="F148" s="37" t="inlineStr">
        <is>
          <t>Matthew Spencer</t>
        </is>
      </c>
      <c r="G148" s="37" t="n">
        <v>36</v>
      </c>
      <c r="H148" s="39" t="n">
        <v>36.1</v>
      </c>
      <c r="I148" s="40">
        <f>ROUNDUP(MAX(G148,H148),0)</f>
        <v/>
      </c>
      <c r="J148" s="41">
        <f>IF(C148="COVERED",'Methodology'!$B$9,'Methodology'!$B$10)</f>
        <v/>
      </c>
      <c r="K148" s="41">
        <f>I148*J148</f>
        <v/>
      </c>
      <c r="L148" s="41">
        <f>SUMIFS('Billing Aug'!$J$2:$J$770,'Billing Aug'!$D$2:$D$770,A148)</f>
        <v/>
      </c>
      <c r="M148" s="41">
        <f>L148-K148</f>
        <v/>
      </c>
      <c r="N148" s="37">
        <f>COUNTIF('Billing Aug'!$D$2:$D$770,A148)</f>
        <v/>
      </c>
      <c r="O148" s="37">
        <f>SUMIFS('Billing Aug'!$F$2:$F$770,'Billing Aug'!$D$2:$D$770,A148)</f>
        <v/>
      </c>
      <c r="P148" s="41">
        <f>IF(N148=0,0,L148-SUMIFS('Billing Aug'!$H$2:$H$770,'Billing Aug'!$D$2:$D$770,A148)*SUMIFS('Billing Aug'!$I$2:$I$770,'Billing Aug'!$D$2:$D$770,A148))</f>
        <v/>
      </c>
      <c r="Q148" s="37">
        <f>IF(N148=0,"NO AUG TRANSACTION IN SUPPLIED EXTRACT",IF(ABS(P148)&gt;0.004,"SUBLEDGER ARITHMETIC ERROR",IF(ABS(M148)&gt;0.004,"BILLING VARIANCE","MATCH")))</f>
        <v/>
      </c>
    </row>
    <row r="149">
      <c r="A149" s="37" t="inlineStr">
        <is>
          <t>LP-0713</t>
        </is>
      </c>
      <c r="B149" s="37" t="inlineStr">
        <is>
          <t>Ledgport</t>
        </is>
      </c>
      <c r="C149" s="37" t="inlineStr">
        <is>
          <t>COVERED</t>
        </is>
      </c>
      <c r="D149" s="37" t="inlineStr">
        <is>
          <t>OCCUPIED</t>
        </is>
      </c>
      <c r="E149" s="37" t="inlineStr">
        <is>
          <t>WL-03438</t>
        </is>
      </c>
      <c r="F149" s="37" t="inlineStr">
        <is>
          <t>Stacey Mitchell</t>
        </is>
      </c>
      <c r="G149" s="37" t="n">
        <v>40</v>
      </c>
      <c r="H149" s="39" t="n">
        <v>39.1</v>
      </c>
      <c r="I149" s="40">
        <f>ROUNDUP(MAX(G149,H149),0)</f>
        <v/>
      </c>
      <c r="J149" s="41">
        <f>IF(C149="COVERED",'Methodology'!$B$9,'Methodology'!$B$10)</f>
        <v/>
      </c>
      <c r="K149" s="41">
        <f>I149*J149</f>
        <v/>
      </c>
      <c r="L149" s="41">
        <f>SUMIFS('Billing Aug'!$J$2:$J$770,'Billing Aug'!$D$2:$D$770,A149)</f>
        <v/>
      </c>
      <c r="M149" s="41">
        <f>L149-K149</f>
        <v/>
      </c>
      <c r="N149" s="37">
        <f>COUNTIF('Billing Aug'!$D$2:$D$770,A149)</f>
        <v/>
      </c>
      <c r="O149" s="37">
        <f>SUMIFS('Billing Aug'!$F$2:$F$770,'Billing Aug'!$D$2:$D$770,A149)</f>
        <v/>
      </c>
      <c r="P149" s="41">
        <f>IF(N149=0,0,L149-SUMIFS('Billing Aug'!$H$2:$H$770,'Billing Aug'!$D$2:$D$770,A149)*SUMIFS('Billing Aug'!$I$2:$I$770,'Billing Aug'!$D$2:$D$770,A149))</f>
        <v/>
      </c>
      <c r="Q149" s="37">
        <f>IF(N149=0,"NO AUG TRANSACTION IN SUPPLIED EXTRACT",IF(ABS(P149)&gt;0.004,"SUBLEDGER ARITHMETIC ERROR",IF(ABS(M149)&gt;0.004,"BILLING VARIANCE","MATCH")))</f>
        <v/>
      </c>
    </row>
    <row r="150">
      <c r="A150" s="37" t="inlineStr">
        <is>
          <t>LP-0714</t>
        </is>
      </c>
      <c r="B150" s="37" t="inlineStr">
        <is>
          <t>Ledgport</t>
        </is>
      </c>
      <c r="C150" s="37" t="inlineStr">
        <is>
          <t>COVERED</t>
        </is>
      </c>
      <c r="D150" s="37" t="inlineStr">
        <is>
          <t>OCCUPIED</t>
        </is>
      </c>
      <c r="E150" s="37" t="inlineStr">
        <is>
          <t>WL-01437</t>
        </is>
      </c>
      <c r="F150" s="37" t="inlineStr">
        <is>
          <t>Nicholas Woodward</t>
        </is>
      </c>
      <c r="G150" s="37" t="n">
        <v>24</v>
      </c>
      <c r="H150" s="39" t="n">
        <v>31.9</v>
      </c>
      <c r="I150" s="40">
        <f>ROUNDUP(MAX(G150,H150),0)</f>
        <v/>
      </c>
      <c r="J150" s="41">
        <f>IF(C150="COVERED",'Methodology'!$B$9,'Methodology'!$B$10)</f>
        <v/>
      </c>
      <c r="K150" s="41">
        <f>I150*J150</f>
        <v/>
      </c>
      <c r="L150" s="41">
        <f>SUMIFS('Billing Aug'!$J$2:$J$770,'Billing Aug'!$D$2:$D$770,A150)</f>
        <v/>
      </c>
      <c r="M150" s="41">
        <f>L150-K150</f>
        <v/>
      </c>
      <c r="N150" s="37">
        <f>COUNTIF('Billing Aug'!$D$2:$D$770,A150)</f>
        <v/>
      </c>
      <c r="O150" s="37">
        <f>SUMIFS('Billing Aug'!$F$2:$F$770,'Billing Aug'!$D$2:$D$770,A150)</f>
        <v/>
      </c>
      <c r="P150" s="41">
        <f>IF(N150=0,0,L150-SUMIFS('Billing Aug'!$H$2:$H$770,'Billing Aug'!$D$2:$D$770,A150)*SUMIFS('Billing Aug'!$I$2:$I$770,'Billing Aug'!$D$2:$D$770,A150))</f>
        <v/>
      </c>
      <c r="Q150" s="37">
        <f>IF(N150=0,"NO AUG TRANSACTION IN SUPPLIED EXTRACT",IF(ABS(P150)&gt;0.004,"SUBLEDGER ARITHMETIC ERROR",IF(ABS(M150)&gt;0.004,"BILLING VARIANCE","MATCH")))</f>
        <v/>
      </c>
    </row>
    <row r="151">
      <c r="A151" s="37" t="inlineStr">
        <is>
          <t>LP-0715</t>
        </is>
      </c>
      <c r="B151" s="37" t="inlineStr">
        <is>
          <t>Ledgport</t>
        </is>
      </c>
      <c r="C151" s="37" t="inlineStr">
        <is>
          <t>COVERED</t>
        </is>
      </c>
      <c r="D151" s="37" t="inlineStr">
        <is>
          <t>OCCUPIED</t>
        </is>
      </c>
      <c r="E151" s="37" t="inlineStr">
        <is>
          <t>WL-03454</t>
        </is>
      </c>
      <c r="F151" s="37" t="inlineStr">
        <is>
          <t>Jason Ramirez</t>
        </is>
      </c>
      <c r="G151" s="37" t="n">
        <v>32</v>
      </c>
      <c r="H151" s="39" t="n">
        <v>55.9</v>
      </c>
      <c r="I151" s="40">
        <f>ROUNDUP(MAX(G151,H151),0)</f>
        <v/>
      </c>
      <c r="J151" s="41">
        <f>IF(C151="COVERED",'Methodology'!$B$9,'Methodology'!$B$10)</f>
        <v/>
      </c>
      <c r="K151" s="41">
        <f>I151*J151</f>
        <v/>
      </c>
      <c r="L151" s="41">
        <f>SUMIFS('Billing Aug'!$J$2:$J$770,'Billing Aug'!$D$2:$D$770,A151)</f>
        <v/>
      </c>
      <c r="M151" s="41">
        <f>L151-K151</f>
        <v/>
      </c>
      <c r="N151" s="37">
        <f>COUNTIF('Billing Aug'!$D$2:$D$770,A151)</f>
        <v/>
      </c>
      <c r="O151" s="37">
        <f>SUMIFS('Billing Aug'!$F$2:$F$770,'Billing Aug'!$D$2:$D$770,A151)</f>
        <v/>
      </c>
      <c r="P151" s="41">
        <f>IF(N151=0,0,L151-SUMIFS('Billing Aug'!$H$2:$H$770,'Billing Aug'!$D$2:$D$770,A151)*SUMIFS('Billing Aug'!$I$2:$I$770,'Billing Aug'!$D$2:$D$770,A151))</f>
        <v/>
      </c>
      <c r="Q151" s="37">
        <f>IF(N151=0,"NO AUG TRANSACTION IN SUPPLIED EXTRACT",IF(ABS(P151)&gt;0.004,"SUBLEDGER ARITHMETIC ERROR",IF(ABS(M151)&gt;0.004,"BILLING VARIANCE","MATCH")))</f>
        <v/>
      </c>
    </row>
    <row r="152">
      <c r="A152" s="37" t="inlineStr">
        <is>
          <t>LP-0716</t>
        </is>
      </c>
      <c r="B152" s="37" t="inlineStr">
        <is>
          <t>Ledgport</t>
        </is>
      </c>
      <c r="C152" s="37" t="inlineStr">
        <is>
          <t>COVERED</t>
        </is>
      </c>
      <c r="D152" s="37" t="inlineStr">
        <is>
          <t>OCCUPIED</t>
        </is>
      </c>
      <c r="E152" s="37" t="inlineStr">
        <is>
          <t>WL-03594</t>
        </is>
      </c>
      <c r="F152" s="37" t="inlineStr">
        <is>
          <t>Teresa Smith</t>
        </is>
      </c>
      <c r="G152" s="37" t="n">
        <v>24</v>
      </c>
      <c r="H152" s="39" t="n">
        <v>40.5</v>
      </c>
      <c r="I152" s="40">
        <f>ROUNDUP(MAX(G152,H152),0)</f>
        <v/>
      </c>
      <c r="J152" s="41">
        <f>IF(C152="COVERED",'Methodology'!$B$9,'Methodology'!$B$10)</f>
        <v/>
      </c>
      <c r="K152" s="41">
        <f>I152*J152</f>
        <v/>
      </c>
      <c r="L152" s="41">
        <f>SUMIFS('Billing Aug'!$J$2:$J$770,'Billing Aug'!$D$2:$D$770,A152)</f>
        <v/>
      </c>
      <c r="M152" s="41">
        <f>L152-K152</f>
        <v/>
      </c>
      <c r="N152" s="37">
        <f>COUNTIF('Billing Aug'!$D$2:$D$770,A152)</f>
        <v/>
      </c>
      <c r="O152" s="37">
        <f>SUMIFS('Billing Aug'!$F$2:$F$770,'Billing Aug'!$D$2:$D$770,A152)</f>
        <v/>
      </c>
      <c r="P152" s="41">
        <f>IF(N152=0,0,L152-SUMIFS('Billing Aug'!$H$2:$H$770,'Billing Aug'!$D$2:$D$770,A152)*SUMIFS('Billing Aug'!$I$2:$I$770,'Billing Aug'!$D$2:$D$770,A152))</f>
        <v/>
      </c>
      <c r="Q152" s="37">
        <f>IF(N152=0,"NO AUG TRANSACTION IN SUPPLIED EXTRACT",IF(ABS(P152)&gt;0.004,"SUBLEDGER ARITHMETIC ERROR",IF(ABS(M152)&gt;0.004,"BILLING VARIANCE","MATCH")))</f>
        <v/>
      </c>
    </row>
    <row r="153">
      <c r="A153" s="37" t="inlineStr">
        <is>
          <t>LP-0717</t>
        </is>
      </c>
      <c r="B153" s="37" t="inlineStr">
        <is>
          <t>Ledgport</t>
        </is>
      </c>
      <c r="C153" s="37" t="inlineStr">
        <is>
          <t>COVERED</t>
        </is>
      </c>
      <c r="D153" s="37" t="inlineStr">
        <is>
          <t>OCCUPIED</t>
        </is>
      </c>
      <c r="E153" s="37" t="inlineStr">
        <is>
          <t>WL-01315</t>
        </is>
      </c>
      <c r="F153" s="37" t="inlineStr">
        <is>
          <t>Justin Richardson</t>
        </is>
      </c>
      <c r="G153" s="37" t="n">
        <v>24</v>
      </c>
      <c r="H153" s="39" t="n">
        <v>55.2</v>
      </c>
      <c r="I153" s="40">
        <f>ROUNDUP(MAX(G153,H153),0)</f>
        <v/>
      </c>
      <c r="J153" s="41">
        <f>IF(C153="COVERED",'Methodology'!$B$9,'Methodology'!$B$10)</f>
        <v/>
      </c>
      <c r="K153" s="41">
        <f>I153*J153</f>
        <v/>
      </c>
      <c r="L153" s="41">
        <f>SUMIFS('Billing Aug'!$J$2:$J$770,'Billing Aug'!$D$2:$D$770,A153)</f>
        <v/>
      </c>
      <c r="M153" s="41">
        <f>L153-K153</f>
        <v/>
      </c>
      <c r="N153" s="37">
        <f>COUNTIF('Billing Aug'!$D$2:$D$770,A153)</f>
        <v/>
      </c>
      <c r="O153" s="37">
        <f>SUMIFS('Billing Aug'!$F$2:$F$770,'Billing Aug'!$D$2:$D$770,A153)</f>
        <v/>
      </c>
      <c r="P153" s="41">
        <f>IF(N153=0,0,L153-SUMIFS('Billing Aug'!$H$2:$H$770,'Billing Aug'!$D$2:$D$770,A153)*SUMIFS('Billing Aug'!$I$2:$I$770,'Billing Aug'!$D$2:$D$770,A153))</f>
        <v/>
      </c>
      <c r="Q153" s="37">
        <f>IF(N153=0,"NO AUG TRANSACTION IN SUPPLIED EXTRACT",IF(ABS(P153)&gt;0.004,"SUBLEDGER ARITHMETIC ERROR",IF(ABS(M153)&gt;0.004,"BILLING VARIANCE","MATCH")))</f>
        <v/>
      </c>
    </row>
    <row r="154">
      <c r="A154" s="37" t="inlineStr">
        <is>
          <t>LP-0718</t>
        </is>
      </c>
      <c r="B154" s="37" t="inlineStr">
        <is>
          <t>Ledgport</t>
        </is>
      </c>
      <c r="C154" s="37" t="inlineStr">
        <is>
          <t>COVERED</t>
        </is>
      </c>
      <c r="D154" s="37" t="inlineStr">
        <is>
          <t>OCCUPIED</t>
        </is>
      </c>
      <c r="E154" s="37" t="inlineStr">
        <is>
          <t>WL-03399</t>
        </is>
      </c>
      <c r="F154" s="37" t="inlineStr">
        <is>
          <t>Charles Case</t>
        </is>
      </c>
      <c r="G154" s="37" t="n">
        <v>32</v>
      </c>
      <c r="H154" s="39" t="n">
        <v>25.4</v>
      </c>
      <c r="I154" s="40">
        <f>ROUNDUP(MAX(G154,H154),0)</f>
        <v/>
      </c>
      <c r="J154" s="41">
        <f>IF(C154="COVERED",'Methodology'!$B$9,'Methodology'!$B$10)</f>
        <v/>
      </c>
      <c r="K154" s="41">
        <f>I154*J154</f>
        <v/>
      </c>
      <c r="L154" s="41">
        <f>SUMIFS('Billing Aug'!$J$2:$J$770,'Billing Aug'!$D$2:$D$770,A154)</f>
        <v/>
      </c>
      <c r="M154" s="41">
        <f>L154-K154</f>
        <v/>
      </c>
      <c r="N154" s="37">
        <f>COUNTIF('Billing Aug'!$D$2:$D$770,A154)</f>
        <v/>
      </c>
      <c r="O154" s="37">
        <f>SUMIFS('Billing Aug'!$F$2:$F$770,'Billing Aug'!$D$2:$D$770,A154)</f>
        <v/>
      </c>
      <c r="P154" s="41">
        <f>IF(N154=0,0,L154-SUMIFS('Billing Aug'!$H$2:$H$770,'Billing Aug'!$D$2:$D$770,A154)*SUMIFS('Billing Aug'!$I$2:$I$770,'Billing Aug'!$D$2:$D$770,A154))</f>
        <v/>
      </c>
      <c r="Q154" s="37">
        <f>IF(N154=0,"NO AUG TRANSACTION IN SUPPLIED EXTRACT",IF(ABS(P154)&gt;0.004,"SUBLEDGER ARITHMETIC ERROR",IF(ABS(M154)&gt;0.004,"BILLING VARIANCE","MATCH")))</f>
        <v/>
      </c>
    </row>
    <row r="155">
      <c r="A155" s="37" t="inlineStr">
        <is>
          <t>LP-0719</t>
        </is>
      </c>
      <c r="B155" s="37" t="inlineStr">
        <is>
          <t>Ledgport</t>
        </is>
      </c>
      <c r="C155" s="37" t="inlineStr">
        <is>
          <t>COVERED</t>
        </is>
      </c>
      <c r="D155" s="37" t="inlineStr">
        <is>
          <t>OCCUPIED</t>
        </is>
      </c>
      <c r="E155" s="37" t="inlineStr">
        <is>
          <t>WL-02512</t>
        </is>
      </c>
      <c r="F155" s="37" t="inlineStr">
        <is>
          <t>Natalie Olsen</t>
        </is>
      </c>
      <c r="G155" s="37" t="n">
        <v>32</v>
      </c>
      <c r="H155" s="39" t="n">
        <v>32.7</v>
      </c>
      <c r="I155" s="40">
        <f>ROUNDUP(MAX(G155,H155),0)</f>
        <v/>
      </c>
      <c r="J155" s="41">
        <f>IF(C155="COVERED",'Methodology'!$B$9,'Methodology'!$B$10)</f>
        <v/>
      </c>
      <c r="K155" s="41">
        <f>I155*J155</f>
        <v/>
      </c>
      <c r="L155" s="41">
        <f>SUMIFS('Billing Aug'!$J$2:$J$770,'Billing Aug'!$D$2:$D$770,A155)</f>
        <v/>
      </c>
      <c r="M155" s="41">
        <f>L155-K155</f>
        <v/>
      </c>
      <c r="N155" s="37">
        <f>COUNTIF('Billing Aug'!$D$2:$D$770,A155)</f>
        <v/>
      </c>
      <c r="O155" s="37">
        <f>SUMIFS('Billing Aug'!$F$2:$F$770,'Billing Aug'!$D$2:$D$770,A155)</f>
        <v/>
      </c>
      <c r="P155" s="41">
        <f>IF(N155=0,0,L155-SUMIFS('Billing Aug'!$H$2:$H$770,'Billing Aug'!$D$2:$D$770,A155)*SUMIFS('Billing Aug'!$I$2:$I$770,'Billing Aug'!$D$2:$D$770,A155))</f>
        <v/>
      </c>
      <c r="Q155" s="37">
        <f>IF(N155=0,"NO AUG TRANSACTION IN SUPPLIED EXTRACT",IF(ABS(P155)&gt;0.004,"SUBLEDGER ARITHMETIC ERROR",IF(ABS(M155)&gt;0.004,"BILLING VARIANCE","MATCH")))</f>
        <v/>
      </c>
    </row>
    <row r="156">
      <c r="A156" s="37" t="inlineStr">
        <is>
          <t>LP-0720</t>
        </is>
      </c>
      <c r="B156" s="37" t="inlineStr">
        <is>
          <t>Ledgport</t>
        </is>
      </c>
      <c r="C156" s="37" t="inlineStr">
        <is>
          <t>COVERED</t>
        </is>
      </c>
      <c r="D156" s="37" t="inlineStr">
        <is>
          <t>OCCUPIED</t>
        </is>
      </c>
      <c r="E156" s="37" t="inlineStr">
        <is>
          <t>WL-01709</t>
        </is>
      </c>
      <c r="F156" s="37" t="inlineStr">
        <is>
          <t>Alexander Stephens</t>
        </is>
      </c>
      <c r="G156" s="37" t="n">
        <v>32</v>
      </c>
      <c r="H156" s="39" t="n">
        <v>53.5</v>
      </c>
      <c r="I156" s="40">
        <f>ROUNDUP(MAX(G156,H156),0)</f>
        <v/>
      </c>
      <c r="J156" s="41">
        <f>IF(C156="COVERED",'Methodology'!$B$9,'Methodology'!$B$10)</f>
        <v/>
      </c>
      <c r="K156" s="41">
        <f>I156*J156</f>
        <v/>
      </c>
      <c r="L156" s="41">
        <f>SUMIFS('Billing Aug'!$J$2:$J$770,'Billing Aug'!$D$2:$D$770,A156)</f>
        <v/>
      </c>
      <c r="M156" s="41">
        <f>L156-K156</f>
        <v/>
      </c>
      <c r="N156" s="37">
        <f>COUNTIF('Billing Aug'!$D$2:$D$770,A156)</f>
        <v/>
      </c>
      <c r="O156" s="37">
        <f>SUMIFS('Billing Aug'!$F$2:$F$770,'Billing Aug'!$D$2:$D$770,A156)</f>
        <v/>
      </c>
      <c r="P156" s="41">
        <f>IF(N156=0,0,L156-SUMIFS('Billing Aug'!$H$2:$H$770,'Billing Aug'!$D$2:$D$770,A156)*SUMIFS('Billing Aug'!$I$2:$I$770,'Billing Aug'!$D$2:$D$770,A156))</f>
        <v/>
      </c>
      <c r="Q156" s="37">
        <f>IF(N156=0,"NO AUG TRANSACTION IN SUPPLIED EXTRACT",IF(ABS(P156)&gt;0.004,"SUBLEDGER ARITHMETIC ERROR",IF(ABS(M156)&gt;0.004,"BILLING VARIANCE","MATCH")))</f>
        <v/>
      </c>
    </row>
    <row r="157">
      <c r="A157" s="37" t="inlineStr">
        <is>
          <t>LP-0722</t>
        </is>
      </c>
      <c r="B157" s="37" t="inlineStr">
        <is>
          <t>Ledgport</t>
        </is>
      </c>
      <c r="C157" s="37" t="inlineStr">
        <is>
          <t>COVERED</t>
        </is>
      </c>
      <c r="D157" s="37" t="inlineStr">
        <is>
          <t>OCCUPIED</t>
        </is>
      </c>
      <c r="E157" s="37" t="inlineStr">
        <is>
          <t>WL-02525</t>
        </is>
      </c>
      <c r="F157" s="37" t="inlineStr">
        <is>
          <t>Matthew Wright</t>
        </is>
      </c>
      <c r="G157" s="37" t="n">
        <v>24</v>
      </c>
      <c r="H157" s="39" t="n">
        <v>59.7</v>
      </c>
      <c r="I157" s="40">
        <f>ROUNDUP(MAX(G157,H157),0)</f>
        <v/>
      </c>
      <c r="J157" s="41">
        <f>IF(C157="COVERED",'Methodology'!$B$9,'Methodology'!$B$10)</f>
        <v/>
      </c>
      <c r="K157" s="41">
        <f>I157*J157</f>
        <v/>
      </c>
      <c r="L157" s="41">
        <f>SUMIFS('Billing Aug'!$J$2:$J$770,'Billing Aug'!$D$2:$D$770,A157)</f>
        <v/>
      </c>
      <c r="M157" s="41">
        <f>L157-K157</f>
        <v/>
      </c>
      <c r="N157" s="37">
        <f>COUNTIF('Billing Aug'!$D$2:$D$770,A157)</f>
        <v/>
      </c>
      <c r="O157" s="37">
        <f>SUMIFS('Billing Aug'!$F$2:$F$770,'Billing Aug'!$D$2:$D$770,A157)</f>
        <v/>
      </c>
      <c r="P157" s="41">
        <f>IF(N157=0,0,L157-SUMIFS('Billing Aug'!$H$2:$H$770,'Billing Aug'!$D$2:$D$770,A157)*SUMIFS('Billing Aug'!$I$2:$I$770,'Billing Aug'!$D$2:$D$770,A157))</f>
        <v/>
      </c>
      <c r="Q157" s="37">
        <f>IF(N157=0,"NO AUG TRANSACTION IN SUPPLIED EXTRACT",IF(ABS(P157)&gt;0.004,"SUBLEDGER ARITHMETIC ERROR",IF(ABS(M157)&gt;0.004,"BILLING VARIANCE","MATCH")))</f>
        <v/>
      </c>
    </row>
    <row r="158">
      <c r="A158" s="37" t="inlineStr">
        <is>
          <t>LP-0723</t>
        </is>
      </c>
      <c r="B158" s="37" t="inlineStr">
        <is>
          <t>Ledgport</t>
        </is>
      </c>
      <c r="C158" s="37" t="inlineStr">
        <is>
          <t>COVERED</t>
        </is>
      </c>
      <c r="D158" s="37" t="inlineStr">
        <is>
          <t>OCCUPIED</t>
        </is>
      </c>
      <c r="E158" s="37" t="inlineStr">
        <is>
          <t>WL-01106</t>
        </is>
      </c>
      <c r="F158" s="37" t="inlineStr">
        <is>
          <t>Michael Perez</t>
        </is>
      </c>
      <c r="G158" s="37" t="n">
        <v>28</v>
      </c>
      <c r="H158" s="39" t="n">
        <v>37.7</v>
      </c>
      <c r="I158" s="40">
        <f>ROUNDUP(MAX(G158,H158),0)</f>
        <v/>
      </c>
      <c r="J158" s="41">
        <f>IF(C158="COVERED",'Methodology'!$B$9,'Methodology'!$B$10)</f>
        <v/>
      </c>
      <c r="K158" s="41">
        <f>I158*J158</f>
        <v/>
      </c>
      <c r="L158" s="41">
        <f>SUMIFS('Billing Aug'!$J$2:$J$770,'Billing Aug'!$D$2:$D$770,A158)</f>
        <v/>
      </c>
      <c r="M158" s="41">
        <f>L158-K158</f>
        <v/>
      </c>
      <c r="N158" s="37">
        <f>COUNTIF('Billing Aug'!$D$2:$D$770,A158)</f>
        <v/>
      </c>
      <c r="O158" s="37">
        <f>SUMIFS('Billing Aug'!$F$2:$F$770,'Billing Aug'!$D$2:$D$770,A158)</f>
        <v/>
      </c>
      <c r="P158" s="41">
        <f>IF(N158=0,0,L158-SUMIFS('Billing Aug'!$H$2:$H$770,'Billing Aug'!$D$2:$D$770,A158)*SUMIFS('Billing Aug'!$I$2:$I$770,'Billing Aug'!$D$2:$D$770,A158))</f>
        <v/>
      </c>
      <c r="Q158" s="37">
        <f>IF(N158=0,"NO AUG TRANSACTION IN SUPPLIED EXTRACT",IF(ABS(P158)&gt;0.004,"SUBLEDGER ARITHMETIC ERROR",IF(ABS(M158)&gt;0.004,"BILLING VARIANCE","MATCH")))</f>
        <v/>
      </c>
    </row>
    <row r="159">
      <c r="A159" s="37" t="inlineStr">
        <is>
          <t>LP-0724</t>
        </is>
      </c>
      <c r="B159" s="37" t="inlineStr">
        <is>
          <t>Ledgport</t>
        </is>
      </c>
      <c r="C159" s="37" t="inlineStr">
        <is>
          <t>COVERED</t>
        </is>
      </c>
      <c r="D159" s="37" t="inlineStr">
        <is>
          <t>OCCUPIED</t>
        </is>
      </c>
      <c r="E159" s="37" t="inlineStr">
        <is>
          <t>WL-01738</t>
        </is>
      </c>
      <c r="F159" s="37" t="inlineStr">
        <is>
          <t>Zachary Kramer</t>
        </is>
      </c>
      <c r="G159" s="37" t="n">
        <v>28</v>
      </c>
      <c r="H159" s="39" t="n">
        <v>56.3</v>
      </c>
      <c r="I159" s="40">
        <f>ROUNDUP(MAX(G159,H159),0)</f>
        <v/>
      </c>
      <c r="J159" s="41">
        <f>IF(C159="COVERED",'Methodology'!$B$9,'Methodology'!$B$10)</f>
        <v/>
      </c>
      <c r="K159" s="41">
        <f>I159*J159</f>
        <v/>
      </c>
      <c r="L159" s="41">
        <f>SUMIFS('Billing Aug'!$J$2:$J$770,'Billing Aug'!$D$2:$D$770,A159)</f>
        <v/>
      </c>
      <c r="M159" s="41">
        <f>L159-K159</f>
        <v/>
      </c>
      <c r="N159" s="37">
        <f>COUNTIF('Billing Aug'!$D$2:$D$770,A159)</f>
        <v/>
      </c>
      <c r="O159" s="37">
        <f>SUMIFS('Billing Aug'!$F$2:$F$770,'Billing Aug'!$D$2:$D$770,A159)</f>
        <v/>
      </c>
      <c r="P159" s="41">
        <f>IF(N159=0,0,L159-SUMIFS('Billing Aug'!$H$2:$H$770,'Billing Aug'!$D$2:$D$770,A159)*SUMIFS('Billing Aug'!$I$2:$I$770,'Billing Aug'!$D$2:$D$770,A159))</f>
        <v/>
      </c>
      <c r="Q159" s="37">
        <f>IF(N159=0,"NO AUG TRANSACTION IN SUPPLIED EXTRACT",IF(ABS(P159)&gt;0.004,"SUBLEDGER ARITHMETIC ERROR",IF(ABS(M159)&gt;0.004,"BILLING VARIANCE","MATCH")))</f>
        <v/>
      </c>
    </row>
    <row r="160">
      <c r="A160" s="37" t="inlineStr">
        <is>
          <t>LP-0801</t>
        </is>
      </c>
      <c r="B160" s="37" t="inlineStr">
        <is>
          <t>Ledgport</t>
        </is>
      </c>
      <c r="C160" s="37" t="inlineStr">
        <is>
          <t>COVERED</t>
        </is>
      </c>
      <c r="D160" s="37" t="inlineStr">
        <is>
          <t>OCCUPIED</t>
        </is>
      </c>
      <c r="E160" s="37" t="inlineStr">
        <is>
          <t>WL-02322</t>
        </is>
      </c>
      <c r="F160" s="37" t="inlineStr">
        <is>
          <t>Allison Nguyen</t>
        </is>
      </c>
      <c r="G160" s="37" t="n">
        <v>36</v>
      </c>
      <c r="H160" s="39" t="n">
        <v>46.1</v>
      </c>
      <c r="I160" s="40">
        <f>ROUNDUP(MAX(G160,H160),0)</f>
        <v/>
      </c>
      <c r="J160" s="41">
        <f>IF(C160="COVERED",'Methodology'!$B$9,'Methodology'!$B$10)</f>
        <v/>
      </c>
      <c r="K160" s="41">
        <f>I160*J160</f>
        <v/>
      </c>
      <c r="L160" s="41">
        <f>SUMIFS('Billing Aug'!$J$2:$J$770,'Billing Aug'!$D$2:$D$770,A160)</f>
        <v/>
      </c>
      <c r="M160" s="41">
        <f>L160-K160</f>
        <v/>
      </c>
      <c r="N160" s="37">
        <f>COUNTIF('Billing Aug'!$D$2:$D$770,A160)</f>
        <v/>
      </c>
      <c r="O160" s="37">
        <f>SUMIFS('Billing Aug'!$F$2:$F$770,'Billing Aug'!$D$2:$D$770,A160)</f>
        <v/>
      </c>
      <c r="P160" s="41">
        <f>IF(N160=0,0,L160-SUMIFS('Billing Aug'!$H$2:$H$770,'Billing Aug'!$D$2:$D$770,A160)*SUMIFS('Billing Aug'!$I$2:$I$770,'Billing Aug'!$D$2:$D$770,A160))</f>
        <v/>
      </c>
      <c r="Q160" s="37">
        <f>IF(N160=0,"NO AUG TRANSACTION IN SUPPLIED EXTRACT",IF(ABS(P160)&gt;0.004,"SUBLEDGER ARITHMETIC ERROR",IF(ABS(M160)&gt;0.004,"BILLING VARIANCE","MATCH")))</f>
        <v/>
      </c>
    </row>
    <row r="161">
      <c r="A161" s="37" t="inlineStr">
        <is>
          <t>LP-0802</t>
        </is>
      </c>
      <c r="B161" s="37" t="inlineStr">
        <is>
          <t>Ledgport</t>
        </is>
      </c>
      <c r="C161" s="37" t="inlineStr">
        <is>
          <t>COVERED</t>
        </is>
      </c>
      <c r="D161" s="37" t="inlineStr">
        <is>
          <t>OCCUPIED</t>
        </is>
      </c>
      <c r="E161" s="37" t="inlineStr">
        <is>
          <t>WL-03526</t>
        </is>
      </c>
      <c r="F161" s="37" t="inlineStr">
        <is>
          <t>Michael West</t>
        </is>
      </c>
      <c r="G161" s="37" t="n">
        <v>40</v>
      </c>
      <c r="H161" s="39" t="n">
        <v>35.1</v>
      </c>
      <c r="I161" s="40">
        <f>ROUNDUP(MAX(G161,H161),0)</f>
        <v/>
      </c>
      <c r="J161" s="41">
        <f>IF(C161="COVERED",'Methodology'!$B$9,'Methodology'!$B$10)</f>
        <v/>
      </c>
      <c r="K161" s="41">
        <f>I161*J161</f>
        <v/>
      </c>
      <c r="L161" s="41">
        <f>SUMIFS('Billing Aug'!$J$2:$J$770,'Billing Aug'!$D$2:$D$770,A161)</f>
        <v/>
      </c>
      <c r="M161" s="41">
        <f>L161-K161</f>
        <v/>
      </c>
      <c r="N161" s="37">
        <f>COUNTIF('Billing Aug'!$D$2:$D$770,A161)</f>
        <v/>
      </c>
      <c r="O161" s="37">
        <f>SUMIFS('Billing Aug'!$F$2:$F$770,'Billing Aug'!$D$2:$D$770,A161)</f>
        <v/>
      </c>
      <c r="P161" s="41">
        <f>IF(N161=0,0,L161-SUMIFS('Billing Aug'!$H$2:$H$770,'Billing Aug'!$D$2:$D$770,A161)*SUMIFS('Billing Aug'!$I$2:$I$770,'Billing Aug'!$D$2:$D$770,A161))</f>
        <v/>
      </c>
      <c r="Q161" s="37">
        <f>IF(N161=0,"NO AUG TRANSACTION IN SUPPLIED EXTRACT",IF(ABS(P161)&gt;0.004,"SUBLEDGER ARITHMETIC ERROR",IF(ABS(M161)&gt;0.004,"BILLING VARIANCE","MATCH")))</f>
        <v/>
      </c>
    </row>
    <row r="162">
      <c r="A162" s="37" t="inlineStr">
        <is>
          <t>LP-0803</t>
        </is>
      </c>
      <c r="B162" s="37" t="inlineStr">
        <is>
          <t>Ledgport</t>
        </is>
      </c>
      <c r="C162" s="37" t="inlineStr">
        <is>
          <t>COVERED</t>
        </is>
      </c>
      <c r="D162" s="37" t="inlineStr">
        <is>
          <t>OCCUPIED</t>
        </is>
      </c>
      <c r="E162" s="37" t="inlineStr">
        <is>
          <t>WL-03367</t>
        </is>
      </c>
      <c r="F162" s="37" t="inlineStr">
        <is>
          <t>Jill Stevenson</t>
        </is>
      </c>
      <c r="G162" s="37" t="n">
        <v>28</v>
      </c>
      <c r="H162" s="39" t="n">
        <v>47.8</v>
      </c>
      <c r="I162" s="40">
        <f>ROUNDUP(MAX(G162,H162),0)</f>
        <v/>
      </c>
      <c r="J162" s="41">
        <f>IF(C162="COVERED",'Methodology'!$B$9,'Methodology'!$B$10)</f>
        <v/>
      </c>
      <c r="K162" s="41">
        <f>I162*J162</f>
        <v/>
      </c>
      <c r="L162" s="41">
        <f>SUMIFS('Billing Aug'!$J$2:$J$770,'Billing Aug'!$D$2:$D$770,A162)</f>
        <v/>
      </c>
      <c r="M162" s="41">
        <f>L162-K162</f>
        <v/>
      </c>
      <c r="N162" s="37">
        <f>COUNTIF('Billing Aug'!$D$2:$D$770,A162)</f>
        <v/>
      </c>
      <c r="O162" s="37">
        <f>SUMIFS('Billing Aug'!$F$2:$F$770,'Billing Aug'!$D$2:$D$770,A162)</f>
        <v/>
      </c>
      <c r="P162" s="41">
        <f>IF(N162=0,0,L162-SUMIFS('Billing Aug'!$H$2:$H$770,'Billing Aug'!$D$2:$D$770,A162)*SUMIFS('Billing Aug'!$I$2:$I$770,'Billing Aug'!$D$2:$D$770,A162))</f>
        <v/>
      </c>
      <c r="Q162" s="37">
        <f>IF(N162=0,"NO AUG TRANSACTION IN SUPPLIED EXTRACT",IF(ABS(P162)&gt;0.004,"SUBLEDGER ARITHMETIC ERROR",IF(ABS(M162)&gt;0.004,"BILLING VARIANCE","MATCH")))</f>
        <v/>
      </c>
    </row>
    <row r="163">
      <c r="A163" s="37" t="inlineStr">
        <is>
          <t>LP-0805</t>
        </is>
      </c>
      <c r="B163" s="37" t="inlineStr">
        <is>
          <t>Ledgport</t>
        </is>
      </c>
      <c r="C163" s="37" t="inlineStr">
        <is>
          <t>COVERED</t>
        </is>
      </c>
      <c r="D163" s="37" t="inlineStr">
        <is>
          <t>OCCUPIED</t>
        </is>
      </c>
      <c r="E163" s="37" t="inlineStr">
        <is>
          <t>WL-02244</t>
        </is>
      </c>
      <c r="F163" s="37" t="inlineStr">
        <is>
          <t>Victoria Nash</t>
        </is>
      </c>
      <c r="G163" s="37" t="n">
        <v>36</v>
      </c>
      <c r="H163" s="39" t="n">
        <v>39.6</v>
      </c>
      <c r="I163" s="40">
        <f>ROUNDUP(MAX(G163,H163),0)</f>
        <v/>
      </c>
      <c r="J163" s="41">
        <f>IF(C163="COVERED",'Methodology'!$B$9,'Methodology'!$B$10)</f>
        <v/>
      </c>
      <c r="K163" s="41">
        <f>I163*J163</f>
        <v/>
      </c>
      <c r="L163" s="41">
        <f>SUMIFS('Billing Aug'!$J$2:$J$770,'Billing Aug'!$D$2:$D$770,A163)</f>
        <v/>
      </c>
      <c r="M163" s="41">
        <f>L163-K163</f>
        <v/>
      </c>
      <c r="N163" s="37">
        <f>COUNTIF('Billing Aug'!$D$2:$D$770,A163)</f>
        <v/>
      </c>
      <c r="O163" s="37">
        <f>SUMIFS('Billing Aug'!$F$2:$F$770,'Billing Aug'!$D$2:$D$770,A163)</f>
        <v/>
      </c>
      <c r="P163" s="41">
        <f>IF(N163=0,0,L163-SUMIFS('Billing Aug'!$H$2:$H$770,'Billing Aug'!$D$2:$D$770,A163)*SUMIFS('Billing Aug'!$I$2:$I$770,'Billing Aug'!$D$2:$D$770,A163))</f>
        <v/>
      </c>
      <c r="Q163" s="37">
        <f>IF(N163=0,"NO AUG TRANSACTION IN SUPPLIED EXTRACT",IF(ABS(P163)&gt;0.004,"SUBLEDGER ARITHMETIC ERROR",IF(ABS(M163)&gt;0.004,"BILLING VARIANCE","MATCH")))</f>
        <v/>
      </c>
    </row>
    <row r="164">
      <c r="A164" s="37" t="inlineStr">
        <is>
          <t>LP-0806</t>
        </is>
      </c>
      <c r="B164" s="37" t="inlineStr">
        <is>
          <t>Ledgport</t>
        </is>
      </c>
      <c r="C164" s="37" t="inlineStr">
        <is>
          <t>COVERED</t>
        </is>
      </c>
      <c r="D164" s="37" t="inlineStr">
        <is>
          <t>OCCUPIED</t>
        </is>
      </c>
      <c r="E164" s="37" t="inlineStr">
        <is>
          <t>WL-02771</t>
        </is>
      </c>
      <c r="F164" s="37" t="inlineStr">
        <is>
          <t>Lisa Garcia</t>
        </is>
      </c>
      <c r="G164" s="37" t="n">
        <v>36</v>
      </c>
      <c r="H164" s="39" t="n">
        <v>55.1</v>
      </c>
      <c r="I164" s="40">
        <f>ROUNDUP(MAX(G164,H164),0)</f>
        <v/>
      </c>
      <c r="J164" s="41">
        <f>IF(C164="COVERED",'Methodology'!$B$9,'Methodology'!$B$10)</f>
        <v/>
      </c>
      <c r="K164" s="41">
        <f>I164*J164</f>
        <v/>
      </c>
      <c r="L164" s="41">
        <f>SUMIFS('Billing Aug'!$J$2:$J$770,'Billing Aug'!$D$2:$D$770,A164)</f>
        <v/>
      </c>
      <c r="M164" s="41">
        <f>L164-K164</f>
        <v/>
      </c>
      <c r="N164" s="37">
        <f>COUNTIF('Billing Aug'!$D$2:$D$770,A164)</f>
        <v/>
      </c>
      <c r="O164" s="37">
        <f>SUMIFS('Billing Aug'!$F$2:$F$770,'Billing Aug'!$D$2:$D$770,A164)</f>
        <v/>
      </c>
      <c r="P164" s="41">
        <f>IF(N164=0,0,L164-SUMIFS('Billing Aug'!$H$2:$H$770,'Billing Aug'!$D$2:$D$770,A164)*SUMIFS('Billing Aug'!$I$2:$I$770,'Billing Aug'!$D$2:$D$770,A164))</f>
        <v/>
      </c>
      <c r="Q164" s="37">
        <f>IF(N164=0,"NO AUG TRANSACTION IN SUPPLIED EXTRACT",IF(ABS(P164)&gt;0.004,"SUBLEDGER ARITHMETIC ERROR",IF(ABS(M164)&gt;0.004,"BILLING VARIANCE","MATCH")))</f>
        <v/>
      </c>
    </row>
    <row r="165">
      <c r="A165" s="37" t="inlineStr">
        <is>
          <t>LP-0807</t>
        </is>
      </c>
      <c r="B165" s="37" t="inlineStr">
        <is>
          <t>Ledgport</t>
        </is>
      </c>
      <c r="C165" s="37" t="inlineStr">
        <is>
          <t>COVERED</t>
        </is>
      </c>
      <c r="D165" s="37" t="inlineStr">
        <is>
          <t>OCCUPIED</t>
        </is>
      </c>
      <c r="E165" s="37" t="inlineStr">
        <is>
          <t>WL-02647</t>
        </is>
      </c>
      <c r="F165" s="37" t="inlineStr">
        <is>
          <t>Seth Perez</t>
        </is>
      </c>
      <c r="G165" s="37" t="n">
        <v>24</v>
      </c>
      <c r="H165" s="39" t="n">
        <v>40.6</v>
      </c>
      <c r="I165" s="40">
        <f>ROUNDUP(MAX(G165,H165),0)</f>
        <v/>
      </c>
      <c r="J165" s="41">
        <f>IF(C165="COVERED",'Methodology'!$B$9,'Methodology'!$B$10)</f>
        <v/>
      </c>
      <c r="K165" s="41">
        <f>I165*J165</f>
        <v/>
      </c>
      <c r="L165" s="41">
        <f>SUMIFS('Billing Aug'!$J$2:$J$770,'Billing Aug'!$D$2:$D$770,A165)</f>
        <v/>
      </c>
      <c r="M165" s="41">
        <f>L165-K165</f>
        <v/>
      </c>
      <c r="N165" s="37">
        <f>COUNTIF('Billing Aug'!$D$2:$D$770,A165)</f>
        <v/>
      </c>
      <c r="O165" s="37">
        <f>SUMIFS('Billing Aug'!$F$2:$F$770,'Billing Aug'!$D$2:$D$770,A165)</f>
        <v/>
      </c>
      <c r="P165" s="41">
        <f>IF(N165=0,0,L165-SUMIFS('Billing Aug'!$H$2:$H$770,'Billing Aug'!$D$2:$D$770,A165)*SUMIFS('Billing Aug'!$I$2:$I$770,'Billing Aug'!$D$2:$D$770,A165))</f>
        <v/>
      </c>
      <c r="Q165" s="37">
        <f>IF(N165=0,"NO AUG TRANSACTION IN SUPPLIED EXTRACT",IF(ABS(P165)&gt;0.004,"SUBLEDGER ARITHMETIC ERROR",IF(ABS(M165)&gt;0.004,"BILLING VARIANCE","MATCH")))</f>
        <v/>
      </c>
    </row>
    <row r="166">
      <c r="A166" s="37" t="inlineStr">
        <is>
          <t>LP-0808</t>
        </is>
      </c>
      <c r="B166" s="37" t="inlineStr">
        <is>
          <t>Ledgport</t>
        </is>
      </c>
      <c r="C166" s="37" t="inlineStr">
        <is>
          <t>COVERED</t>
        </is>
      </c>
      <c r="D166" s="37" t="inlineStr">
        <is>
          <t>OCCUPIED</t>
        </is>
      </c>
      <c r="E166" s="37" t="inlineStr">
        <is>
          <t>WL-03318</t>
        </is>
      </c>
      <c r="F166" s="37" t="inlineStr">
        <is>
          <t>Denise Jordan</t>
        </is>
      </c>
      <c r="G166" s="37" t="n">
        <v>40</v>
      </c>
      <c r="H166" s="39" t="n">
        <v>42.3</v>
      </c>
      <c r="I166" s="40">
        <f>ROUNDUP(MAX(G166,H166),0)</f>
        <v/>
      </c>
      <c r="J166" s="41">
        <f>IF(C166="COVERED",'Methodology'!$B$9,'Methodology'!$B$10)</f>
        <v/>
      </c>
      <c r="K166" s="41">
        <f>I166*J166</f>
        <v/>
      </c>
      <c r="L166" s="41">
        <f>SUMIFS('Billing Aug'!$J$2:$J$770,'Billing Aug'!$D$2:$D$770,A166)</f>
        <v/>
      </c>
      <c r="M166" s="41">
        <f>L166-K166</f>
        <v/>
      </c>
      <c r="N166" s="37">
        <f>COUNTIF('Billing Aug'!$D$2:$D$770,A166)</f>
        <v/>
      </c>
      <c r="O166" s="37">
        <f>SUMIFS('Billing Aug'!$F$2:$F$770,'Billing Aug'!$D$2:$D$770,A166)</f>
        <v/>
      </c>
      <c r="P166" s="41">
        <f>IF(N166=0,0,L166-SUMIFS('Billing Aug'!$H$2:$H$770,'Billing Aug'!$D$2:$D$770,A166)*SUMIFS('Billing Aug'!$I$2:$I$770,'Billing Aug'!$D$2:$D$770,A166))</f>
        <v/>
      </c>
      <c r="Q166" s="37">
        <f>IF(N166=0,"NO AUG TRANSACTION IN SUPPLIED EXTRACT",IF(ABS(P166)&gt;0.004,"SUBLEDGER ARITHMETIC ERROR",IF(ABS(M166)&gt;0.004,"BILLING VARIANCE","MATCH")))</f>
        <v/>
      </c>
    </row>
    <row r="167">
      <c r="A167" s="37" t="inlineStr">
        <is>
          <t>LP-0809</t>
        </is>
      </c>
      <c r="B167" s="37" t="inlineStr">
        <is>
          <t>Ledgport</t>
        </is>
      </c>
      <c r="C167" s="37" t="inlineStr">
        <is>
          <t>COVERED</t>
        </is>
      </c>
      <c r="D167" s="37" t="inlineStr">
        <is>
          <t>OCCUPIED</t>
        </is>
      </c>
      <c r="E167" s="37" t="inlineStr">
        <is>
          <t>WL-02205</t>
        </is>
      </c>
      <c r="F167" s="37" t="inlineStr">
        <is>
          <t>Robert Rivas</t>
        </is>
      </c>
      <c r="G167" s="37" t="n">
        <v>28</v>
      </c>
      <c r="H167" s="39" t="n">
        <v>34.3</v>
      </c>
      <c r="I167" s="40">
        <f>ROUNDUP(MAX(G167,H167),0)</f>
        <v/>
      </c>
      <c r="J167" s="41">
        <f>IF(C167="COVERED",'Methodology'!$B$9,'Methodology'!$B$10)</f>
        <v/>
      </c>
      <c r="K167" s="41">
        <f>I167*J167</f>
        <v/>
      </c>
      <c r="L167" s="41">
        <f>SUMIFS('Billing Aug'!$J$2:$J$770,'Billing Aug'!$D$2:$D$770,A167)</f>
        <v/>
      </c>
      <c r="M167" s="41">
        <f>L167-K167</f>
        <v/>
      </c>
      <c r="N167" s="37">
        <f>COUNTIF('Billing Aug'!$D$2:$D$770,A167)</f>
        <v/>
      </c>
      <c r="O167" s="37">
        <f>SUMIFS('Billing Aug'!$F$2:$F$770,'Billing Aug'!$D$2:$D$770,A167)</f>
        <v/>
      </c>
      <c r="P167" s="41">
        <f>IF(N167=0,0,L167-SUMIFS('Billing Aug'!$H$2:$H$770,'Billing Aug'!$D$2:$D$770,A167)*SUMIFS('Billing Aug'!$I$2:$I$770,'Billing Aug'!$D$2:$D$770,A167))</f>
        <v/>
      </c>
      <c r="Q167" s="37">
        <f>IF(N167=0,"NO AUG TRANSACTION IN SUPPLIED EXTRACT",IF(ABS(P167)&gt;0.004,"SUBLEDGER ARITHMETIC ERROR",IF(ABS(M167)&gt;0.004,"BILLING VARIANCE","MATCH")))</f>
        <v/>
      </c>
    </row>
    <row r="168">
      <c r="A168" s="37" t="inlineStr">
        <is>
          <t>LP-0811</t>
        </is>
      </c>
      <c r="B168" s="37" t="inlineStr">
        <is>
          <t>Ledgport</t>
        </is>
      </c>
      <c r="C168" s="37" t="inlineStr">
        <is>
          <t>COVERED</t>
        </is>
      </c>
      <c r="D168" s="37" t="inlineStr">
        <is>
          <t>OCCUPIED</t>
        </is>
      </c>
      <c r="E168" s="37" t="inlineStr">
        <is>
          <t>WL-02097</t>
        </is>
      </c>
      <c r="F168" s="37" t="inlineStr">
        <is>
          <t>Scott Brooks</t>
        </is>
      </c>
      <c r="G168" s="37" t="n">
        <v>36</v>
      </c>
      <c r="H168" s="39" t="n">
        <v>51.3</v>
      </c>
      <c r="I168" s="40">
        <f>ROUNDUP(MAX(G168,H168),0)</f>
        <v/>
      </c>
      <c r="J168" s="41">
        <f>IF(C168="COVERED",'Methodology'!$B$9,'Methodology'!$B$10)</f>
        <v/>
      </c>
      <c r="K168" s="41">
        <f>I168*J168</f>
        <v/>
      </c>
      <c r="L168" s="41">
        <f>SUMIFS('Billing Aug'!$J$2:$J$770,'Billing Aug'!$D$2:$D$770,A168)</f>
        <v/>
      </c>
      <c r="M168" s="41">
        <f>L168-K168</f>
        <v/>
      </c>
      <c r="N168" s="37">
        <f>COUNTIF('Billing Aug'!$D$2:$D$770,A168)</f>
        <v/>
      </c>
      <c r="O168" s="37">
        <f>SUMIFS('Billing Aug'!$F$2:$F$770,'Billing Aug'!$D$2:$D$770,A168)</f>
        <v/>
      </c>
      <c r="P168" s="41">
        <f>IF(N168=0,0,L168-SUMIFS('Billing Aug'!$H$2:$H$770,'Billing Aug'!$D$2:$D$770,A168)*SUMIFS('Billing Aug'!$I$2:$I$770,'Billing Aug'!$D$2:$D$770,A168))</f>
        <v/>
      </c>
      <c r="Q168" s="37">
        <f>IF(N168=0,"NO AUG TRANSACTION IN SUPPLIED EXTRACT",IF(ABS(P168)&gt;0.004,"SUBLEDGER ARITHMETIC ERROR",IF(ABS(M168)&gt;0.004,"BILLING VARIANCE","MATCH")))</f>
        <v/>
      </c>
    </row>
    <row r="169">
      <c r="A169" s="37" t="inlineStr">
        <is>
          <t>LP-0812</t>
        </is>
      </c>
      <c r="B169" s="37" t="inlineStr">
        <is>
          <t>Ledgport</t>
        </is>
      </c>
      <c r="C169" s="37" t="inlineStr">
        <is>
          <t>COVERED</t>
        </is>
      </c>
      <c r="D169" s="37" t="inlineStr">
        <is>
          <t>OCCUPIED</t>
        </is>
      </c>
      <c r="E169" s="37" t="inlineStr">
        <is>
          <t>WL-02511</t>
        </is>
      </c>
      <c r="F169" s="37" t="inlineStr">
        <is>
          <t>Brett Lee</t>
        </is>
      </c>
      <c r="G169" s="37" t="n">
        <v>28</v>
      </c>
      <c r="H169" s="39" t="n">
        <v>25.6</v>
      </c>
      <c r="I169" s="40">
        <f>ROUNDUP(MAX(G169,H169),0)</f>
        <v/>
      </c>
      <c r="J169" s="41">
        <f>IF(C169="COVERED",'Methodology'!$B$9,'Methodology'!$B$10)</f>
        <v/>
      </c>
      <c r="K169" s="41">
        <f>I169*J169</f>
        <v/>
      </c>
      <c r="L169" s="41">
        <f>SUMIFS('Billing Aug'!$J$2:$J$770,'Billing Aug'!$D$2:$D$770,A169)</f>
        <v/>
      </c>
      <c r="M169" s="41">
        <f>L169-K169</f>
        <v/>
      </c>
      <c r="N169" s="37">
        <f>COUNTIF('Billing Aug'!$D$2:$D$770,A169)</f>
        <v/>
      </c>
      <c r="O169" s="37">
        <f>SUMIFS('Billing Aug'!$F$2:$F$770,'Billing Aug'!$D$2:$D$770,A169)</f>
        <v/>
      </c>
      <c r="P169" s="41">
        <f>IF(N169=0,0,L169-SUMIFS('Billing Aug'!$H$2:$H$770,'Billing Aug'!$D$2:$D$770,A169)*SUMIFS('Billing Aug'!$I$2:$I$770,'Billing Aug'!$D$2:$D$770,A169))</f>
        <v/>
      </c>
      <c r="Q169" s="37">
        <f>IF(N169=0,"NO AUG TRANSACTION IN SUPPLIED EXTRACT",IF(ABS(P169)&gt;0.004,"SUBLEDGER ARITHMETIC ERROR",IF(ABS(M169)&gt;0.004,"BILLING VARIANCE","MATCH")))</f>
        <v/>
      </c>
    </row>
    <row r="170">
      <c r="A170" s="37" t="inlineStr">
        <is>
          <t>LP-0813</t>
        </is>
      </c>
      <c r="B170" s="37" t="inlineStr">
        <is>
          <t>Ledgport</t>
        </is>
      </c>
      <c r="C170" s="37" t="inlineStr">
        <is>
          <t>COVERED</t>
        </is>
      </c>
      <c r="D170" s="37" t="inlineStr">
        <is>
          <t>OCCUPIED</t>
        </is>
      </c>
      <c r="E170" s="37" t="inlineStr">
        <is>
          <t>WL-02446</t>
        </is>
      </c>
      <c r="F170" s="37" t="inlineStr">
        <is>
          <t>Emily Parker</t>
        </is>
      </c>
      <c r="G170" s="37" t="n">
        <v>32</v>
      </c>
      <c r="H170" s="39" t="n">
        <v>37.5</v>
      </c>
      <c r="I170" s="40">
        <f>ROUNDUP(MAX(G170,H170),0)</f>
        <v/>
      </c>
      <c r="J170" s="41">
        <f>IF(C170="COVERED",'Methodology'!$B$9,'Methodology'!$B$10)</f>
        <v/>
      </c>
      <c r="K170" s="41">
        <f>I170*J170</f>
        <v/>
      </c>
      <c r="L170" s="41">
        <f>SUMIFS('Billing Aug'!$J$2:$J$770,'Billing Aug'!$D$2:$D$770,A170)</f>
        <v/>
      </c>
      <c r="M170" s="41">
        <f>L170-K170</f>
        <v/>
      </c>
      <c r="N170" s="37">
        <f>COUNTIF('Billing Aug'!$D$2:$D$770,A170)</f>
        <v/>
      </c>
      <c r="O170" s="37">
        <f>SUMIFS('Billing Aug'!$F$2:$F$770,'Billing Aug'!$D$2:$D$770,A170)</f>
        <v/>
      </c>
      <c r="P170" s="41">
        <f>IF(N170=0,0,L170-SUMIFS('Billing Aug'!$H$2:$H$770,'Billing Aug'!$D$2:$D$770,A170)*SUMIFS('Billing Aug'!$I$2:$I$770,'Billing Aug'!$D$2:$D$770,A170))</f>
        <v/>
      </c>
      <c r="Q170" s="37">
        <f>IF(N170=0,"NO AUG TRANSACTION IN SUPPLIED EXTRACT",IF(ABS(P170)&gt;0.004,"SUBLEDGER ARITHMETIC ERROR",IF(ABS(M170)&gt;0.004,"BILLING VARIANCE","MATCH")))</f>
        <v/>
      </c>
    </row>
    <row r="171">
      <c r="A171" s="37" t="inlineStr">
        <is>
          <t>LP-0814</t>
        </is>
      </c>
      <c r="B171" s="37" t="inlineStr">
        <is>
          <t>Ledgport</t>
        </is>
      </c>
      <c r="C171" s="37" t="inlineStr">
        <is>
          <t>COVERED</t>
        </is>
      </c>
      <c r="D171" s="37" t="inlineStr">
        <is>
          <t>OCCUPIED</t>
        </is>
      </c>
      <c r="E171" s="37" t="inlineStr">
        <is>
          <t>WL-02409</t>
        </is>
      </c>
      <c r="F171" s="37" t="inlineStr">
        <is>
          <t>Danny Sexton</t>
        </is>
      </c>
      <c r="G171" s="37" t="n">
        <v>32</v>
      </c>
      <c r="H171" s="39" t="n">
        <v>34.5</v>
      </c>
      <c r="I171" s="40">
        <f>ROUNDUP(MAX(G171,H171),0)</f>
        <v/>
      </c>
      <c r="J171" s="41">
        <f>IF(C171="COVERED",'Methodology'!$B$9,'Methodology'!$B$10)</f>
        <v/>
      </c>
      <c r="K171" s="41">
        <f>I171*J171</f>
        <v/>
      </c>
      <c r="L171" s="41">
        <f>SUMIFS('Billing Aug'!$J$2:$J$770,'Billing Aug'!$D$2:$D$770,A171)</f>
        <v/>
      </c>
      <c r="M171" s="41">
        <f>L171-K171</f>
        <v/>
      </c>
      <c r="N171" s="37">
        <f>COUNTIF('Billing Aug'!$D$2:$D$770,A171)</f>
        <v/>
      </c>
      <c r="O171" s="37">
        <f>SUMIFS('Billing Aug'!$F$2:$F$770,'Billing Aug'!$D$2:$D$770,A171)</f>
        <v/>
      </c>
      <c r="P171" s="41">
        <f>IF(N171=0,0,L171-SUMIFS('Billing Aug'!$H$2:$H$770,'Billing Aug'!$D$2:$D$770,A171)*SUMIFS('Billing Aug'!$I$2:$I$770,'Billing Aug'!$D$2:$D$770,A171))</f>
        <v/>
      </c>
      <c r="Q171" s="37">
        <f>IF(N171=0,"NO AUG TRANSACTION IN SUPPLIED EXTRACT",IF(ABS(P171)&gt;0.004,"SUBLEDGER ARITHMETIC ERROR",IF(ABS(M171)&gt;0.004,"BILLING VARIANCE","MATCH")))</f>
        <v/>
      </c>
    </row>
    <row r="172">
      <c r="A172" s="37" t="inlineStr">
        <is>
          <t>LP-0815</t>
        </is>
      </c>
      <c r="B172" s="37" t="inlineStr">
        <is>
          <t>Ledgport</t>
        </is>
      </c>
      <c r="C172" s="37" t="inlineStr">
        <is>
          <t>COVERED</t>
        </is>
      </c>
      <c r="D172" s="37" t="inlineStr">
        <is>
          <t>OCCUPIED</t>
        </is>
      </c>
      <c r="E172" s="37" t="inlineStr">
        <is>
          <t>WL-01947</t>
        </is>
      </c>
      <c r="F172" s="37" t="inlineStr">
        <is>
          <t>Teresa Mcdowell</t>
        </is>
      </c>
      <c r="G172" s="37" t="n">
        <v>24</v>
      </c>
      <c r="H172" s="39" t="n">
        <v>49.8</v>
      </c>
      <c r="I172" s="40">
        <f>ROUNDUP(MAX(G172,H172),0)</f>
        <v/>
      </c>
      <c r="J172" s="41">
        <f>IF(C172="COVERED",'Methodology'!$B$9,'Methodology'!$B$10)</f>
        <v/>
      </c>
      <c r="K172" s="41">
        <f>I172*J172</f>
        <v/>
      </c>
      <c r="L172" s="41">
        <f>SUMIFS('Billing Aug'!$J$2:$J$770,'Billing Aug'!$D$2:$D$770,A172)</f>
        <v/>
      </c>
      <c r="M172" s="41">
        <f>L172-K172</f>
        <v/>
      </c>
      <c r="N172" s="37">
        <f>COUNTIF('Billing Aug'!$D$2:$D$770,A172)</f>
        <v/>
      </c>
      <c r="O172" s="37">
        <f>SUMIFS('Billing Aug'!$F$2:$F$770,'Billing Aug'!$D$2:$D$770,A172)</f>
        <v/>
      </c>
      <c r="P172" s="41">
        <f>IF(N172=0,0,L172-SUMIFS('Billing Aug'!$H$2:$H$770,'Billing Aug'!$D$2:$D$770,A172)*SUMIFS('Billing Aug'!$I$2:$I$770,'Billing Aug'!$D$2:$D$770,A172))</f>
        <v/>
      </c>
      <c r="Q172" s="37">
        <f>IF(N172=0,"NO AUG TRANSACTION IN SUPPLIED EXTRACT",IF(ABS(P172)&gt;0.004,"SUBLEDGER ARITHMETIC ERROR",IF(ABS(M172)&gt;0.004,"BILLING VARIANCE","MATCH")))</f>
        <v/>
      </c>
    </row>
    <row r="173">
      <c r="A173" s="37" t="inlineStr">
        <is>
          <t>LP-0816</t>
        </is>
      </c>
      <c r="B173" s="37" t="inlineStr">
        <is>
          <t>Ledgport</t>
        </is>
      </c>
      <c r="C173" s="37" t="inlineStr">
        <is>
          <t>COVERED</t>
        </is>
      </c>
      <c r="D173" s="37" t="inlineStr">
        <is>
          <t>OCCUPIED</t>
        </is>
      </c>
      <c r="E173" s="37" t="inlineStr">
        <is>
          <t>WL-03243</t>
        </is>
      </c>
      <c r="F173" s="37" t="inlineStr">
        <is>
          <t>Jessica Long</t>
        </is>
      </c>
      <c r="G173" s="37" t="n">
        <v>28</v>
      </c>
      <c r="H173" s="39" t="n">
        <v>47.4</v>
      </c>
      <c r="I173" s="40">
        <f>ROUNDUP(MAX(G173,H173),0)</f>
        <v/>
      </c>
      <c r="J173" s="41">
        <f>IF(C173="COVERED",'Methodology'!$B$9,'Methodology'!$B$10)</f>
        <v/>
      </c>
      <c r="K173" s="41">
        <f>I173*J173</f>
        <v/>
      </c>
      <c r="L173" s="41">
        <f>SUMIFS('Billing Aug'!$J$2:$J$770,'Billing Aug'!$D$2:$D$770,A173)</f>
        <v/>
      </c>
      <c r="M173" s="41">
        <f>L173-K173</f>
        <v/>
      </c>
      <c r="N173" s="37">
        <f>COUNTIF('Billing Aug'!$D$2:$D$770,A173)</f>
        <v/>
      </c>
      <c r="O173" s="37">
        <f>SUMIFS('Billing Aug'!$F$2:$F$770,'Billing Aug'!$D$2:$D$770,A173)</f>
        <v/>
      </c>
      <c r="P173" s="41">
        <f>IF(N173=0,0,L173-SUMIFS('Billing Aug'!$H$2:$H$770,'Billing Aug'!$D$2:$D$770,A173)*SUMIFS('Billing Aug'!$I$2:$I$770,'Billing Aug'!$D$2:$D$770,A173))</f>
        <v/>
      </c>
      <c r="Q173" s="37">
        <f>IF(N173=0,"NO AUG TRANSACTION IN SUPPLIED EXTRACT",IF(ABS(P173)&gt;0.004,"SUBLEDGER ARITHMETIC ERROR",IF(ABS(M173)&gt;0.004,"BILLING VARIANCE","MATCH")))</f>
        <v/>
      </c>
    </row>
    <row r="174">
      <c r="A174" s="37" t="inlineStr">
        <is>
          <t>LP-0817</t>
        </is>
      </c>
      <c r="B174" s="37" t="inlineStr">
        <is>
          <t>Ledgport</t>
        </is>
      </c>
      <c r="C174" s="37" t="inlineStr">
        <is>
          <t>COVERED</t>
        </is>
      </c>
      <c r="D174" s="37" t="inlineStr">
        <is>
          <t>OCCUPIED</t>
        </is>
      </c>
      <c r="E174" s="37" t="inlineStr">
        <is>
          <t>WL-03630</t>
        </is>
      </c>
      <c r="F174" s="37" t="inlineStr">
        <is>
          <t>Tiffany Torres</t>
        </is>
      </c>
      <c r="G174" s="37" t="n">
        <v>32</v>
      </c>
      <c r="H174" s="39" t="n">
        <v>22.2</v>
      </c>
      <c r="I174" s="40">
        <f>ROUNDUP(MAX(G174,H174),0)</f>
        <v/>
      </c>
      <c r="J174" s="41">
        <f>IF(C174="COVERED",'Methodology'!$B$9,'Methodology'!$B$10)</f>
        <v/>
      </c>
      <c r="K174" s="41">
        <f>I174*J174</f>
        <v/>
      </c>
      <c r="L174" s="41">
        <f>SUMIFS('Billing Aug'!$J$2:$J$770,'Billing Aug'!$D$2:$D$770,A174)</f>
        <v/>
      </c>
      <c r="M174" s="41">
        <f>L174-K174</f>
        <v/>
      </c>
      <c r="N174" s="37">
        <f>COUNTIF('Billing Aug'!$D$2:$D$770,A174)</f>
        <v/>
      </c>
      <c r="O174" s="37">
        <f>SUMIFS('Billing Aug'!$F$2:$F$770,'Billing Aug'!$D$2:$D$770,A174)</f>
        <v/>
      </c>
      <c r="P174" s="41">
        <f>IF(N174=0,0,L174-SUMIFS('Billing Aug'!$H$2:$H$770,'Billing Aug'!$D$2:$D$770,A174)*SUMIFS('Billing Aug'!$I$2:$I$770,'Billing Aug'!$D$2:$D$770,A174))</f>
        <v/>
      </c>
      <c r="Q174" s="37">
        <f>IF(N174=0,"NO AUG TRANSACTION IN SUPPLIED EXTRACT",IF(ABS(P174)&gt;0.004,"SUBLEDGER ARITHMETIC ERROR",IF(ABS(M174)&gt;0.004,"BILLING VARIANCE","MATCH")))</f>
        <v/>
      </c>
    </row>
    <row r="175">
      <c r="A175" s="37" t="inlineStr">
        <is>
          <t>LP-0818</t>
        </is>
      </c>
      <c r="B175" s="37" t="inlineStr">
        <is>
          <t>Ledgport</t>
        </is>
      </c>
      <c r="C175" s="37" t="inlineStr">
        <is>
          <t>COVERED</t>
        </is>
      </c>
      <c r="D175" s="37" t="inlineStr">
        <is>
          <t>OCCUPIED</t>
        </is>
      </c>
      <c r="E175" s="37" t="inlineStr">
        <is>
          <t>WL-02906</t>
        </is>
      </c>
      <c r="F175" s="37" t="inlineStr">
        <is>
          <t>Victor Turner</t>
        </is>
      </c>
      <c r="G175" s="37" t="n">
        <v>28</v>
      </c>
      <c r="H175" s="39" t="n">
        <v>60.9</v>
      </c>
      <c r="I175" s="40">
        <f>ROUNDUP(MAX(G175,H175),0)</f>
        <v/>
      </c>
      <c r="J175" s="41">
        <f>IF(C175="COVERED",'Methodology'!$B$9,'Methodology'!$B$10)</f>
        <v/>
      </c>
      <c r="K175" s="41">
        <f>I175*J175</f>
        <v/>
      </c>
      <c r="L175" s="41">
        <f>SUMIFS('Billing Aug'!$J$2:$J$770,'Billing Aug'!$D$2:$D$770,A175)</f>
        <v/>
      </c>
      <c r="M175" s="41">
        <f>L175-K175</f>
        <v/>
      </c>
      <c r="N175" s="37">
        <f>COUNTIF('Billing Aug'!$D$2:$D$770,A175)</f>
        <v/>
      </c>
      <c r="O175" s="37">
        <f>SUMIFS('Billing Aug'!$F$2:$F$770,'Billing Aug'!$D$2:$D$770,A175)</f>
        <v/>
      </c>
      <c r="P175" s="41">
        <f>IF(N175=0,0,L175-SUMIFS('Billing Aug'!$H$2:$H$770,'Billing Aug'!$D$2:$D$770,A175)*SUMIFS('Billing Aug'!$I$2:$I$770,'Billing Aug'!$D$2:$D$770,A175))</f>
        <v/>
      </c>
      <c r="Q175" s="37">
        <f>IF(N175=0,"NO AUG TRANSACTION IN SUPPLIED EXTRACT",IF(ABS(P175)&gt;0.004,"SUBLEDGER ARITHMETIC ERROR",IF(ABS(M175)&gt;0.004,"BILLING VARIANCE","MATCH")))</f>
        <v/>
      </c>
    </row>
    <row r="176">
      <c r="A176" s="37" t="inlineStr">
        <is>
          <t>LP-0819</t>
        </is>
      </c>
      <c r="B176" s="37" t="inlineStr">
        <is>
          <t>Ledgport</t>
        </is>
      </c>
      <c r="C176" s="37" t="inlineStr">
        <is>
          <t>COVERED</t>
        </is>
      </c>
      <c r="D176" s="37" t="inlineStr">
        <is>
          <t>OCCUPIED</t>
        </is>
      </c>
      <c r="E176" s="37" t="inlineStr">
        <is>
          <t>WL-02164</t>
        </is>
      </c>
      <c r="F176" s="37" t="inlineStr">
        <is>
          <t>Adrienne Thompson</t>
        </is>
      </c>
      <c r="G176" s="37" t="n">
        <v>32</v>
      </c>
      <c r="H176" s="39" t="n">
        <v>19.1</v>
      </c>
      <c r="I176" s="40">
        <f>ROUNDUP(MAX(G176,H176),0)</f>
        <v/>
      </c>
      <c r="J176" s="41">
        <f>IF(C176="COVERED",'Methodology'!$B$9,'Methodology'!$B$10)</f>
        <v/>
      </c>
      <c r="K176" s="41">
        <f>I176*J176</f>
        <v/>
      </c>
      <c r="L176" s="41">
        <f>SUMIFS('Billing Aug'!$J$2:$J$770,'Billing Aug'!$D$2:$D$770,A176)</f>
        <v/>
      </c>
      <c r="M176" s="41">
        <f>L176-K176</f>
        <v/>
      </c>
      <c r="N176" s="37">
        <f>COUNTIF('Billing Aug'!$D$2:$D$770,A176)</f>
        <v/>
      </c>
      <c r="O176" s="37">
        <f>SUMIFS('Billing Aug'!$F$2:$F$770,'Billing Aug'!$D$2:$D$770,A176)</f>
        <v/>
      </c>
      <c r="P176" s="41">
        <f>IF(N176=0,0,L176-SUMIFS('Billing Aug'!$H$2:$H$770,'Billing Aug'!$D$2:$D$770,A176)*SUMIFS('Billing Aug'!$I$2:$I$770,'Billing Aug'!$D$2:$D$770,A176))</f>
        <v/>
      </c>
      <c r="Q176" s="37">
        <f>IF(N176=0,"NO AUG TRANSACTION IN SUPPLIED EXTRACT",IF(ABS(P176)&gt;0.004,"SUBLEDGER ARITHMETIC ERROR",IF(ABS(M176)&gt;0.004,"BILLING VARIANCE","MATCH")))</f>
        <v/>
      </c>
    </row>
    <row r="177">
      <c r="A177" s="37" t="inlineStr">
        <is>
          <t>LP-0820</t>
        </is>
      </c>
      <c r="B177" s="37" t="inlineStr">
        <is>
          <t>Ledgport</t>
        </is>
      </c>
      <c r="C177" s="37" t="inlineStr">
        <is>
          <t>COVERED</t>
        </is>
      </c>
      <c r="D177" s="37" t="inlineStr">
        <is>
          <t>OCCUPIED</t>
        </is>
      </c>
      <c r="E177" s="37" t="inlineStr">
        <is>
          <t>WL-01109</t>
        </is>
      </c>
      <c r="F177" s="37" t="inlineStr">
        <is>
          <t>Patrick Sanchez</t>
        </is>
      </c>
      <c r="G177" s="37" t="n">
        <v>32</v>
      </c>
      <c r="H177" s="39" t="n">
        <v>43.9</v>
      </c>
      <c r="I177" s="40">
        <f>ROUNDUP(MAX(G177,H177),0)</f>
        <v/>
      </c>
      <c r="J177" s="41">
        <f>IF(C177="COVERED",'Methodology'!$B$9,'Methodology'!$B$10)</f>
        <v/>
      </c>
      <c r="K177" s="41">
        <f>I177*J177</f>
        <v/>
      </c>
      <c r="L177" s="41">
        <f>SUMIFS('Billing Aug'!$J$2:$J$770,'Billing Aug'!$D$2:$D$770,A177)</f>
        <v/>
      </c>
      <c r="M177" s="41">
        <f>L177-K177</f>
        <v/>
      </c>
      <c r="N177" s="37">
        <f>COUNTIF('Billing Aug'!$D$2:$D$770,A177)</f>
        <v/>
      </c>
      <c r="O177" s="37">
        <f>SUMIFS('Billing Aug'!$F$2:$F$770,'Billing Aug'!$D$2:$D$770,A177)</f>
        <v/>
      </c>
      <c r="P177" s="41">
        <f>IF(N177=0,0,L177-SUMIFS('Billing Aug'!$H$2:$H$770,'Billing Aug'!$D$2:$D$770,A177)*SUMIFS('Billing Aug'!$I$2:$I$770,'Billing Aug'!$D$2:$D$770,A177))</f>
        <v/>
      </c>
      <c r="Q177" s="37">
        <f>IF(N177=0,"NO AUG TRANSACTION IN SUPPLIED EXTRACT",IF(ABS(P177)&gt;0.004,"SUBLEDGER ARITHMETIC ERROR",IF(ABS(M177)&gt;0.004,"BILLING VARIANCE","MATCH")))</f>
        <v/>
      </c>
    </row>
    <row r="178">
      <c r="A178" s="37" t="inlineStr">
        <is>
          <t>LP-0821</t>
        </is>
      </c>
      <c r="B178" s="37" t="inlineStr">
        <is>
          <t>Ledgport</t>
        </is>
      </c>
      <c r="C178" s="37" t="inlineStr">
        <is>
          <t>COVERED</t>
        </is>
      </c>
      <c r="D178" s="37" t="inlineStr">
        <is>
          <t>OCCUPIED</t>
        </is>
      </c>
      <c r="E178" s="37" t="inlineStr">
        <is>
          <t>WL-03375</t>
        </is>
      </c>
      <c r="F178" s="37" t="inlineStr">
        <is>
          <t>Debra Rogers</t>
        </is>
      </c>
      <c r="G178" s="37" t="n">
        <v>28</v>
      </c>
      <c r="H178" s="39" t="n">
        <v>53.2</v>
      </c>
      <c r="I178" s="40">
        <f>ROUNDUP(MAX(G178,H178),0)</f>
        <v/>
      </c>
      <c r="J178" s="41">
        <f>IF(C178="COVERED",'Methodology'!$B$9,'Methodology'!$B$10)</f>
        <v/>
      </c>
      <c r="K178" s="41">
        <f>I178*J178</f>
        <v/>
      </c>
      <c r="L178" s="41">
        <f>SUMIFS('Billing Aug'!$J$2:$J$770,'Billing Aug'!$D$2:$D$770,A178)</f>
        <v/>
      </c>
      <c r="M178" s="41">
        <f>L178-K178</f>
        <v/>
      </c>
      <c r="N178" s="37">
        <f>COUNTIF('Billing Aug'!$D$2:$D$770,A178)</f>
        <v/>
      </c>
      <c r="O178" s="37">
        <f>SUMIFS('Billing Aug'!$F$2:$F$770,'Billing Aug'!$D$2:$D$770,A178)</f>
        <v/>
      </c>
      <c r="P178" s="41">
        <f>IF(N178=0,0,L178-SUMIFS('Billing Aug'!$H$2:$H$770,'Billing Aug'!$D$2:$D$770,A178)*SUMIFS('Billing Aug'!$I$2:$I$770,'Billing Aug'!$D$2:$D$770,A178))</f>
        <v/>
      </c>
      <c r="Q178" s="37">
        <f>IF(N178=0,"NO AUG TRANSACTION IN SUPPLIED EXTRACT",IF(ABS(P178)&gt;0.004,"SUBLEDGER ARITHMETIC ERROR",IF(ABS(M178)&gt;0.004,"BILLING VARIANCE","MATCH")))</f>
        <v/>
      </c>
    </row>
    <row r="179">
      <c r="A179" s="37" t="inlineStr">
        <is>
          <t>LP-0822</t>
        </is>
      </c>
      <c r="B179" s="37" t="inlineStr">
        <is>
          <t>Ledgport</t>
        </is>
      </c>
      <c r="C179" s="37" t="inlineStr">
        <is>
          <t>COVERED</t>
        </is>
      </c>
      <c r="D179" s="37" t="inlineStr">
        <is>
          <t>OCCUPIED</t>
        </is>
      </c>
      <c r="E179" s="37" t="inlineStr">
        <is>
          <t>WL-02728</t>
        </is>
      </c>
      <c r="F179" s="37" t="inlineStr">
        <is>
          <t>Ralph Archer</t>
        </is>
      </c>
      <c r="G179" s="37" t="n">
        <v>36</v>
      </c>
      <c r="H179" s="39" t="n">
        <v>60.7</v>
      </c>
      <c r="I179" s="40">
        <f>ROUNDUP(MAX(G179,H179),0)</f>
        <v/>
      </c>
      <c r="J179" s="41">
        <f>IF(C179="COVERED",'Methodology'!$B$9,'Methodology'!$B$10)</f>
        <v/>
      </c>
      <c r="K179" s="41">
        <f>I179*J179</f>
        <v/>
      </c>
      <c r="L179" s="41">
        <f>SUMIFS('Billing Aug'!$J$2:$J$770,'Billing Aug'!$D$2:$D$770,A179)</f>
        <v/>
      </c>
      <c r="M179" s="41">
        <f>L179-K179</f>
        <v/>
      </c>
      <c r="N179" s="37">
        <f>COUNTIF('Billing Aug'!$D$2:$D$770,A179)</f>
        <v/>
      </c>
      <c r="O179" s="37">
        <f>SUMIFS('Billing Aug'!$F$2:$F$770,'Billing Aug'!$D$2:$D$770,A179)</f>
        <v/>
      </c>
      <c r="P179" s="41">
        <f>IF(N179=0,0,L179-SUMIFS('Billing Aug'!$H$2:$H$770,'Billing Aug'!$D$2:$D$770,A179)*SUMIFS('Billing Aug'!$I$2:$I$770,'Billing Aug'!$D$2:$D$770,A179))</f>
        <v/>
      </c>
      <c r="Q179" s="37">
        <f>IF(N179=0,"NO AUG TRANSACTION IN SUPPLIED EXTRACT",IF(ABS(P179)&gt;0.004,"SUBLEDGER ARITHMETIC ERROR",IF(ABS(M179)&gt;0.004,"BILLING VARIANCE","MATCH")))</f>
        <v/>
      </c>
    </row>
    <row r="180">
      <c r="A180" s="37" t="inlineStr">
        <is>
          <t>LP-0823</t>
        </is>
      </c>
      <c r="B180" s="37" t="inlineStr">
        <is>
          <t>Ledgport</t>
        </is>
      </c>
      <c r="C180" s="37" t="inlineStr">
        <is>
          <t>COVERED</t>
        </is>
      </c>
      <c r="D180" s="37" t="inlineStr">
        <is>
          <t>OCCUPIED</t>
        </is>
      </c>
      <c r="E180" s="37" t="inlineStr">
        <is>
          <t>WL-03320</t>
        </is>
      </c>
      <c r="F180" s="37" t="inlineStr">
        <is>
          <t>Maria Robinson</t>
        </is>
      </c>
      <c r="G180" s="37" t="n">
        <v>24</v>
      </c>
      <c r="H180" s="39" t="n">
        <v>42.5</v>
      </c>
      <c r="I180" s="40">
        <f>ROUNDUP(MAX(G180,H180),0)</f>
        <v/>
      </c>
      <c r="J180" s="41">
        <f>IF(C180="COVERED",'Methodology'!$B$9,'Methodology'!$B$10)</f>
        <v/>
      </c>
      <c r="K180" s="41">
        <f>I180*J180</f>
        <v/>
      </c>
      <c r="L180" s="41">
        <f>SUMIFS('Billing Aug'!$J$2:$J$770,'Billing Aug'!$D$2:$D$770,A180)</f>
        <v/>
      </c>
      <c r="M180" s="41">
        <f>L180-K180</f>
        <v/>
      </c>
      <c r="N180" s="37">
        <f>COUNTIF('Billing Aug'!$D$2:$D$770,A180)</f>
        <v/>
      </c>
      <c r="O180" s="37">
        <f>SUMIFS('Billing Aug'!$F$2:$F$770,'Billing Aug'!$D$2:$D$770,A180)</f>
        <v/>
      </c>
      <c r="P180" s="41">
        <f>IF(N180=0,0,L180-SUMIFS('Billing Aug'!$H$2:$H$770,'Billing Aug'!$D$2:$D$770,A180)*SUMIFS('Billing Aug'!$I$2:$I$770,'Billing Aug'!$D$2:$D$770,A180))</f>
        <v/>
      </c>
      <c r="Q180" s="37">
        <f>IF(N180=0,"NO AUG TRANSACTION IN SUPPLIED EXTRACT",IF(ABS(P180)&gt;0.004,"SUBLEDGER ARITHMETIC ERROR",IF(ABS(M180)&gt;0.004,"BILLING VARIANCE","MATCH")))</f>
        <v/>
      </c>
    </row>
    <row r="181">
      <c r="A181" s="37" t="inlineStr">
        <is>
          <t>LP-0824</t>
        </is>
      </c>
      <c r="B181" s="37" t="inlineStr">
        <is>
          <t>Ledgport</t>
        </is>
      </c>
      <c r="C181" s="37" t="inlineStr">
        <is>
          <t>COVERED</t>
        </is>
      </c>
      <c r="D181" s="37" t="inlineStr">
        <is>
          <t>OCCUPIED</t>
        </is>
      </c>
      <c r="E181" s="37" t="inlineStr">
        <is>
          <t>WL-01024</t>
        </is>
      </c>
      <c r="F181" s="37" t="inlineStr">
        <is>
          <t>Jennifer Henson</t>
        </is>
      </c>
      <c r="G181" s="37" t="n">
        <v>40</v>
      </c>
      <c r="H181" s="39" t="n">
        <v>48.1</v>
      </c>
      <c r="I181" s="40">
        <f>ROUNDUP(MAX(G181,H181),0)</f>
        <v/>
      </c>
      <c r="J181" s="41">
        <f>IF(C181="COVERED",'Methodology'!$B$9,'Methodology'!$B$10)</f>
        <v/>
      </c>
      <c r="K181" s="41">
        <f>I181*J181</f>
        <v/>
      </c>
      <c r="L181" s="41">
        <f>SUMIFS('Billing Aug'!$J$2:$J$770,'Billing Aug'!$D$2:$D$770,A181)</f>
        <v/>
      </c>
      <c r="M181" s="41">
        <f>L181-K181</f>
        <v/>
      </c>
      <c r="N181" s="37">
        <f>COUNTIF('Billing Aug'!$D$2:$D$770,A181)</f>
        <v/>
      </c>
      <c r="O181" s="37">
        <f>SUMIFS('Billing Aug'!$F$2:$F$770,'Billing Aug'!$D$2:$D$770,A181)</f>
        <v/>
      </c>
      <c r="P181" s="41">
        <f>IF(N181=0,0,L181-SUMIFS('Billing Aug'!$H$2:$H$770,'Billing Aug'!$D$2:$D$770,A181)*SUMIFS('Billing Aug'!$I$2:$I$770,'Billing Aug'!$D$2:$D$770,A181))</f>
        <v/>
      </c>
      <c r="Q181" s="37">
        <f>IF(N181=0,"NO AUG TRANSACTION IN SUPPLIED EXTRACT",IF(ABS(P181)&gt;0.004,"SUBLEDGER ARITHMETIC ERROR",IF(ABS(M181)&gt;0.004,"BILLING VARIANCE","MATCH")))</f>
        <v/>
      </c>
    </row>
    <row r="182">
      <c r="A182" s="37" t="inlineStr">
        <is>
          <t>LP-0901</t>
        </is>
      </c>
      <c r="B182" s="37" t="inlineStr">
        <is>
          <t>Ledgport</t>
        </is>
      </c>
      <c r="C182" s="37" t="inlineStr">
        <is>
          <t>COVERED</t>
        </is>
      </c>
      <c r="D182" s="37" t="inlineStr">
        <is>
          <t>OCCUPIED</t>
        </is>
      </c>
      <c r="E182" s="37" t="inlineStr">
        <is>
          <t>WL-02661</t>
        </is>
      </c>
      <c r="F182" s="37" t="inlineStr">
        <is>
          <t>Angela Poole</t>
        </is>
      </c>
      <c r="G182" s="37" t="n">
        <v>40</v>
      </c>
      <c r="H182" s="39" t="n">
        <v>24.3</v>
      </c>
      <c r="I182" s="40">
        <f>ROUNDUP(MAX(G182,H182),0)</f>
        <v/>
      </c>
      <c r="J182" s="41">
        <f>IF(C182="COVERED",'Methodology'!$B$9,'Methodology'!$B$10)</f>
        <v/>
      </c>
      <c r="K182" s="41">
        <f>I182*J182</f>
        <v/>
      </c>
      <c r="L182" s="41">
        <f>SUMIFS('Billing Aug'!$J$2:$J$770,'Billing Aug'!$D$2:$D$770,A182)</f>
        <v/>
      </c>
      <c r="M182" s="41">
        <f>L182-K182</f>
        <v/>
      </c>
      <c r="N182" s="37">
        <f>COUNTIF('Billing Aug'!$D$2:$D$770,A182)</f>
        <v/>
      </c>
      <c r="O182" s="37">
        <f>SUMIFS('Billing Aug'!$F$2:$F$770,'Billing Aug'!$D$2:$D$770,A182)</f>
        <v/>
      </c>
      <c r="P182" s="41">
        <f>IF(N182=0,0,L182-SUMIFS('Billing Aug'!$H$2:$H$770,'Billing Aug'!$D$2:$D$770,A182)*SUMIFS('Billing Aug'!$I$2:$I$770,'Billing Aug'!$D$2:$D$770,A182))</f>
        <v/>
      </c>
      <c r="Q182" s="37">
        <f>IF(N182=0,"NO AUG TRANSACTION IN SUPPLIED EXTRACT",IF(ABS(P182)&gt;0.004,"SUBLEDGER ARITHMETIC ERROR",IF(ABS(M182)&gt;0.004,"BILLING VARIANCE","MATCH")))</f>
        <v/>
      </c>
    </row>
    <row r="183">
      <c r="A183" s="37" t="inlineStr">
        <is>
          <t>LP-0902</t>
        </is>
      </c>
      <c r="B183" s="37" t="inlineStr">
        <is>
          <t>Ledgport</t>
        </is>
      </c>
      <c r="C183" s="37" t="inlineStr">
        <is>
          <t>COVERED</t>
        </is>
      </c>
      <c r="D183" s="37" t="inlineStr">
        <is>
          <t>OCCUPIED</t>
        </is>
      </c>
      <c r="E183" s="37" t="inlineStr">
        <is>
          <t>WL-01872</t>
        </is>
      </c>
      <c r="F183" s="37" t="inlineStr">
        <is>
          <t>Neil Adkins</t>
        </is>
      </c>
      <c r="G183" s="37" t="n">
        <v>32</v>
      </c>
      <c r="H183" s="39" t="n">
        <v>57.6</v>
      </c>
      <c r="I183" s="40">
        <f>ROUNDUP(MAX(G183,H183),0)</f>
        <v/>
      </c>
      <c r="J183" s="41">
        <f>IF(C183="COVERED",'Methodology'!$B$9,'Methodology'!$B$10)</f>
        <v/>
      </c>
      <c r="K183" s="41">
        <f>I183*J183</f>
        <v/>
      </c>
      <c r="L183" s="41">
        <f>SUMIFS('Billing Aug'!$J$2:$J$770,'Billing Aug'!$D$2:$D$770,A183)</f>
        <v/>
      </c>
      <c r="M183" s="41">
        <f>L183-K183</f>
        <v/>
      </c>
      <c r="N183" s="37">
        <f>COUNTIF('Billing Aug'!$D$2:$D$770,A183)</f>
        <v/>
      </c>
      <c r="O183" s="37">
        <f>SUMIFS('Billing Aug'!$F$2:$F$770,'Billing Aug'!$D$2:$D$770,A183)</f>
        <v/>
      </c>
      <c r="P183" s="41">
        <f>IF(N183=0,0,L183-SUMIFS('Billing Aug'!$H$2:$H$770,'Billing Aug'!$D$2:$D$770,A183)*SUMIFS('Billing Aug'!$I$2:$I$770,'Billing Aug'!$D$2:$D$770,A183))</f>
        <v/>
      </c>
      <c r="Q183" s="37">
        <f>IF(N183=0,"NO AUG TRANSACTION IN SUPPLIED EXTRACT",IF(ABS(P183)&gt;0.004,"SUBLEDGER ARITHMETIC ERROR",IF(ABS(M183)&gt;0.004,"BILLING VARIANCE","MATCH")))</f>
        <v/>
      </c>
    </row>
    <row r="184">
      <c r="A184" s="37" t="inlineStr">
        <is>
          <t>LP-0903</t>
        </is>
      </c>
      <c r="B184" s="37" t="inlineStr">
        <is>
          <t>Ledgport</t>
        </is>
      </c>
      <c r="C184" s="37" t="inlineStr">
        <is>
          <t>COVERED</t>
        </is>
      </c>
      <c r="D184" s="37" t="inlineStr">
        <is>
          <t>OCCUPIED</t>
        </is>
      </c>
      <c r="E184" s="37" t="inlineStr">
        <is>
          <t>WL-01193</t>
        </is>
      </c>
      <c r="F184" s="37" t="inlineStr">
        <is>
          <t>Mindy Medina</t>
        </is>
      </c>
      <c r="G184" s="37" t="n">
        <v>36</v>
      </c>
      <c r="H184" s="39" t="n">
        <v>20.2</v>
      </c>
      <c r="I184" s="40">
        <f>ROUNDUP(MAX(G184,H184),0)</f>
        <v/>
      </c>
      <c r="J184" s="41">
        <f>IF(C184="COVERED",'Methodology'!$B$9,'Methodology'!$B$10)</f>
        <v/>
      </c>
      <c r="K184" s="41">
        <f>I184*J184</f>
        <v/>
      </c>
      <c r="L184" s="41">
        <f>SUMIFS('Billing Aug'!$J$2:$J$770,'Billing Aug'!$D$2:$D$770,A184)</f>
        <v/>
      </c>
      <c r="M184" s="41">
        <f>L184-K184</f>
        <v/>
      </c>
      <c r="N184" s="37">
        <f>COUNTIF('Billing Aug'!$D$2:$D$770,A184)</f>
        <v/>
      </c>
      <c r="O184" s="37">
        <f>SUMIFS('Billing Aug'!$F$2:$F$770,'Billing Aug'!$D$2:$D$770,A184)</f>
        <v/>
      </c>
      <c r="P184" s="41">
        <f>IF(N184=0,0,L184-SUMIFS('Billing Aug'!$H$2:$H$770,'Billing Aug'!$D$2:$D$770,A184)*SUMIFS('Billing Aug'!$I$2:$I$770,'Billing Aug'!$D$2:$D$770,A184))</f>
        <v/>
      </c>
      <c r="Q184" s="37">
        <f>IF(N184=0,"NO AUG TRANSACTION IN SUPPLIED EXTRACT",IF(ABS(P184)&gt;0.004,"SUBLEDGER ARITHMETIC ERROR",IF(ABS(M184)&gt;0.004,"BILLING VARIANCE","MATCH")))</f>
        <v/>
      </c>
    </row>
    <row r="185">
      <c r="A185" s="37" t="inlineStr">
        <is>
          <t>LP-0904</t>
        </is>
      </c>
      <c r="B185" s="37" t="inlineStr">
        <is>
          <t>Ledgport</t>
        </is>
      </c>
      <c r="C185" s="37" t="inlineStr">
        <is>
          <t>COVERED</t>
        </is>
      </c>
      <c r="D185" s="37" t="inlineStr">
        <is>
          <t>OCCUPIED</t>
        </is>
      </c>
      <c r="E185" s="37" t="inlineStr">
        <is>
          <t>WL-03771</t>
        </is>
      </c>
      <c r="F185" s="37" t="inlineStr">
        <is>
          <t>Alexander Cross</t>
        </is>
      </c>
      <c r="G185" s="37" t="n">
        <v>32</v>
      </c>
      <c r="H185" s="39" t="n">
        <v>61.6</v>
      </c>
      <c r="I185" s="40">
        <f>ROUNDUP(MAX(G185,H185),0)</f>
        <v/>
      </c>
      <c r="J185" s="41">
        <f>IF(C185="COVERED",'Methodology'!$B$9,'Methodology'!$B$10)</f>
        <v/>
      </c>
      <c r="K185" s="41">
        <f>I185*J185</f>
        <v/>
      </c>
      <c r="L185" s="41">
        <f>SUMIFS('Billing Aug'!$J$2:$J$770,'Billing Aug'!$D$2:$D$770,A185)</f>
        <v/>
      </c>
      <c r="M185" s="41">
        <f>L185-K185</f>
        <v/>
      </c>
      <c r="N185" s="37">
        <f>COUNTIF('Billing Aug'!$D$2:$D$770,A185)</f>
        <v/>
      </c>
      <c r="O185" s="37">
        <f>SUMIFS('Billing Aug'!$F$2:$F$770,'Billing Aug'!$D$2:$D$770,A185)</f>
        <v/>
      </c>
      <c r="P185" s="41">
        <f>IF(N185=0,0,L185-SUMIFS('Billing Aug'!$H$2:$H$770,'Billing Aug'!$D$2:$D$770,A185)*SUMIFS('Billing Aug'!$I$2:$I$770,'Billing Aug'!$D$2:$D$770,A185))</f>
        <v/>
      </c>
      <c r="Q185" s="37">
        <f>IF(N185=0,"NO AUG TRANSACTION IN SUPPLIED EXTRACT",IF(ABS(P185)&gt;0.004,"SUBLEDGER ARITHMETIC ERROR",IF(ABS(M185)&gt;0.004,"BILLING VARIANCE","MATCH")))</f>
        <v/>
      </c>
    </row>
    <row r="186">
      <c r="A186" s="37" t="inlineStr">
        <is>
          <t>LP-0905</t>
        </is>
      </c>
      <c r="B186" s="37" t="inlineStr">
        <is>
          <t>Ledgport</t>
        </is>
      </c>
      <c r="C186" s="37" t="inlineStr">
        <is>
          <t>COVERED</t>
        </is>
      </c>
      <c r="D186" s="37" t="inlineStr">
        <is>
          <t>OCCUPIED</t>
        </is>
      </c>
      <c r="E186" s="37" t="inlineStr">
        <is>
          <t>WL-01795</t>
        </is>
      </c>
      <c r="F186" s="37" t="inlineStr">
        <is>
          <t>Emily Alexander</t>
        </is>
      </c>
      <c r="G186" s="37" t="n">
        <v>36</v>
      </c>
      <c r="H186" s="39" t="n">
        <v>53.6</v>
      </c>
      <c r="I186" s="40">
        <f>ROUNDUP(MAX(G186,H186),0)</f>
        <v/>
      </c>
      <c r="J186" s="41">
        <f>IF(C186="COVERED",'Methodology'!$B$9,'Methodology'!$B$10)</f>
        <v/>
      </c>
      <c r="K186" s="41">
        <f>I186*J186</f>
        <v/>
      </c>
      <c r="L186" s="41">
        <f>SUMIFS('Billing Aug'!$J$2:$J$770,'Billing Aug'!$D$2:$D$770,A186)</f>
        <v/>
      </c>
      <c r="M186" s="41">
        <f>L186-K186</f>
        <v/>
      </c>
      <c r="N186" s="37">
        <f>COUNTIF('Billing Aug'!$D$2:$D$770,A186)</f>
        <v/>
      </c>
      <c r="O186" s="37">
        <f>SUMIFS('Billing Aug'!$F$2:$F$770,'Billing Aug'!$D$2:$D$770,A186)</f>
        <v/>
      </c>
      <c r="P186" s="41">
        <f>IF(N186=0,0,L186-SUMIFS('Billing Aug'!$H$2:$H$770,'Billing Aug'!$D$2:$D$770,A186)*SUMIFS('Billing Aug'!$I$2:$I$770,'Billing Aug'!$D$2:$D$770,A186))</f>
        <v/>
      </c>
      <c r="Q186" s="37">
        <f>IF(N186=0,"NO AUG TRANSACTION IN SUPPLIED EXTRACT",IF(ABS(P186)&gt;0.004,"SUBLEDGER ARITHMETIC ERROR",IF(ABS(M186)&gt;0.004,"BILLING VARIANCE","MATCH")))</f>
        <v/>
      </c>
    </row>
    <row r="187">
      <c r="A187" s="37" t="inlineStr">
        <is>
          <t>LP-0906</t>
        </is>
      </c>
      <c r="B187" s="37" t="inlineStr">
        <is>
          <t>Ledgport</t>
        </is>
      </c>
      <c r="C187" s="37" t="inlineStr">
        <is>
          <t>COVERED</t>
        </is>
      </c>
      <c r="D187" s="37" t="inlineStr">
        <is>
          <t>OCCUPIED</t>
        </is>
      </c>
      <c r="E187" s="37" t="inlineStr">
        <is>
          <t>WL-03019</t>
        </is>
      </c>
      <c r="F187" s="37" t="inlineStr">
        <is>
          <t>Denise Bonilla</t>
        </is>
      </c>
      <c r="G187" s="37" t="n">
        <v>28</v>
      </c>
      <c r="H187" s="39" t="n">
        <v>57.3</v>
      </c>
      <c r="I187" s="40">
        <f>ROUNDUP(MAX(G187,H187),0)</f>
        <v/>
      </c>
      <c r="J187" s="41">
        <f>IF(C187="COVERED",'Methodology'!$B$9,'Methodology'!$B$10)</f>
        <v/>
      </c>
      <c r="K187" s="41">
        <f>I187*J187</f>
        <v/>
      </c>
      <c r="L187" s="41">
        <f>SUMIFS('Billing Aug'!$J$2:$J$770,'Billing Aug'!$D$2:$D$770,A187)</f>
        <v/>
      </c>
      <c r="M187" s="41">
        <f>L187-K187</f>
        <v/>
      </c>
      <c r="N187" s="37">
        <f>COUNTIF('Billing Aug'!$D$2:$D$770,A187)</f>
        <v/>
      </c>
      <c r="O187" s="37">
        <f>SUMIFS('Billing Aug'!$F$2:$F$770,'Billing Aug'!$D$2:$D$770,A187)</f>
        <v/>
      </c>
      <c r="P187" s="41">
        <f>IF(N187=0,0,L187-SUMIFS('Billing Aug'!$H$2:$H$770,'Billing Aug'!$D$2:$D$770,A187)*SUMIFS('Billing Aug'!$I$2:$I$770,'Billing Aug'!$D$2:$D$770,A187))</f>
        <v/>
      </c>
      <c r="Q187" s="37">
        <f>IF(N187=0,"NO AUG TRANSACTION IN SUPPLIED EXTRACT",IF(ABS(P187)&gt;0.004,"SUBLEDGER ARITHMETIC ERROR",IF(ABS(M187)&gt;0.004,"BILLING VARIANCE","MATCH")))</f>
        <v/>
      </c>
    </row>
    <row r="188">
      <c r="A188" s="37" t="inlineStr">
        <is>
          <t>LP-0907</t>
        </is>
      </c>
      <c r="B188" s="37" t="inlineStr">
        <is>
          <t>Ledgport</t>
        </is>
      </c>
      <c r="C188" s="37" t="inlineStr">
        <is>
          <t>COVERED</t>
        </is>
      </c>
      <c r="D188" s="37" t="inlineStr">
        <is>
          <t>OCCUPIED</t>
        </is>
      </c>
      <c r="E188" s="37" t="inlineStr">
        <is>
          <t>WL-02873</t>
        </is>
      </c>
      <c r="F188" s="37" t="inlineStr">
        <is>
          <t>Brittany Wilkerson</t>
        </is>
      </c>
      <c r="G188" s="37" t="n">
        <v>24</v>
      </c>
      <c r="H188" s="39" t="n">
        <v>45.7</v>
      </c>
      <c r="I188" s="40">
        <f>ROUNDUP(MAX(G188,H188),0)</f>
        <v/>
      </c>
      <c r="J188" s="41">
        <f>IF(C188="COVERED",'Methodology'!$B$9,'Methodology'!$B$10)</f>
        <v/>
      </c>
      <c r="K188" s="41">
        <f>I188*J188</f>
        <v/>
      </c>
      <c r="L188" s="41">
        <f>SUMIFS('Billing Aug'!$J$2:$J$770,'Billing Aug'!$D$2:$D$770,A188)</f>
        <v/>
      </c>
      <c r="M188" s="41">
        <f>L188-K188</f>
        <v/>
      </c>
      <c r="N188" s="37">
        <f>COUNTIF('Billing Aug'!$D$2:$D$770,A188)</f>
        <v/>
      </c>
      <c r="O188" s="37">
        <f>SUMIFS('Billing Aug'!$F$2:$F$770,'Billing Aug'!$D$2:$D$770,A188)</f>
        <v/>
      </c>
      <c r="P188" s="41">
        <f>IF(N188=0,0,L188-SUMIFS('Billing Aug'!$H$2:$H$770,'Billing Aug'!$D$2:$D$770,A188)*SUMIFS('Billing Aug'!$I$2:$I$770,'Billing Aug'!$D$2:$D$770,A188))</f>
        <v/>
      </c>
      <c r="Q188" s="37">
        <f>IF(N188=0,"NO AUG TRANSACTION IN SUPPLIED EXTRACT",IF(ABS(P188)&gt;0.004,"SUBLEDGER ARITHMETIC ERROR",IF(ABS(M188)&gt;0.004,"BILLING VARIANCE","MATCH")))</f>
        <v/>
      </c>
    </row>
    <row r="189">
      <c r="A189" s="37" t="inlineStr">
        <is>
          <t>LP-0908</t>
        </is>
      </c>
      <c r="B189" s="37" t="inlineStr">
        <is>
          <t>Ledgport</t>
        </is>
      </c>
      <c r="C189" s="37" t="inlineStr">
        <is>
          <t>COVERED</t>
        </is>
      </c>
      <c r="D189" s="37" t="inlineStr">
        <is>
          <t>OCCUPIED</t>
        </is>
      </c>
      <c r="E189" s="37" t="inlineStr">
        <is>
          <t>WL-01005</t>
        </is>
      </c>
      <c r="F189" s="37" t="inlineStr">
        <is>
          <t>Joseph Sharp</t>
        </is>
      </c>
      <c r="G189" s="37" t="n">
        <v>28</v>
      </c>
      <c r="H189" s="39" t="n">
        <v>49.9</v>
      </c>
      <c r="I189" s="40">
        <f>ROUNDUP(MAX(G189,H189),0)</f>
        <v/>
      </c>
      <c r="J189" s="41">
        <f>IF(C189="COVERED",'Methodology'!$B$9,'Methodology'!$B$10)</f>
        <v/>
      </c>
      <c r="K189" s="41">
        <f>I189*J189</f>
        <v/>
      </c>
      <c r="L189" s="41">
        <f>SUMIFS('Billing Aug'!$J$2:$J$770,'Billing Aug'!$D$2:$D$770,A189)</f>
        <v/>
      </c>
      <c r="M189" s="41">
        <f>L189-K189</f>
        <v/>
      </c>
      <c r="N189" s="37">
        <f>COUNTIF('Billing Aug'!$D$2:$D$770,A189)</f>
        <v/>
      </c>
      <c r="O189" s="37">
        <f>SUMIFS('Billing Aug'!$F$2:$F$770,'Billing Aug'!$D$2:$D$770,A189)</f>
        <v/>
      </c>
      <c r="P189" s="41">
        <f>IF(N189=0,0,L189-SUMIFS('Billing Aug'!$H$2:$H$770,'Billing Aug'!$D$2:$D$770,A189)*SUMIFS('Billing Aug'!$I$2:$I$770,'Billing Aug'!$D$2:$D$770,A189))</f>
        <v/>
      </c>
      <c r="Q189" s="37">
        <f>IF(N189=0,"NO AUG TRANSACTION IN SUPPLIED EXTRACT",IF(ABS(P189)&gt;0.004,"SUBLEDGER ARITHMETIC ERROR",IF(ABS(M189)&gt;0.004,"BILLING VARIANCE","MATCH")))</f>
        <v/>
      </c>
    </row>
    <row r="190">
      <c r="A190" s="37" t="inlineStr">
        <is>
          <t>LP-0909</t>
        </is>
      </c>
      <c r="B190" s="37" t="inlineStr">
        <is>
          <t>Ledgport</t>
        </is>
      </c>
      <c r="C190" s="37" t="inlineStr">
        <is>
          <t>COVERED</t>
        </is>
      </c>
      <c r="D190" s="37" t="inlineStr">
        <is>
          <t>OCCUPIED</t>
        </is>
      </c>
      <c r="E190" s="37" t="inlineStr">
        <is>
          <t>WL-01808</t>
        </is>
      </c>
      <c r="F190" s="37" t="inlineStr">
        <is>
          <t>Jason Shepard</t>
        </is>
      </c>
      <c r="G190" s="37" t="n">
        <v>24</v>
      </c>
      <c r="H190" s="39" t="n">
        <v>46.7</v>
      </c>
      <c r="I190" s="40">
        <f>ROUNDUP(MAX(G190,H190),0)</f>
        <v/>
      </c>
      <c r="J190" s="41">
        <f>IF(C190="COVERED",'Methodology'!$B$9,'Methodology'!$B$10)</f>
        <v/>
      </c>
      <c r="K190" s="41">
        <f>I190*J190</f>
        <v/>
      </c>
      <c r="L190" s="41">
        <f>SUMIFS('Billing Aug'!$J$2:$J$770,'Billing Aug'!$D$2:$D$770,A190)</f>
        <v/>
      </c>
      <c r="M190" s="41">
        <f>L190-K190</f>
        <v/>
      </c>
      <c r="N190" s="37">
        <f>COUNTIF('Billing Aug'!$D$2:$D$770,A190)</f>
        <v/>
      </c>
      <c r="O190" s="37">
        <f>SUMIFS('Billing Aug'!$F$2:$F$770,'Billing Aug'!$D$2:$D$770,A190)</f>
        <v/>
      </c>
      <c r="P190" s="41">
        <f>IF(N190=0,0,L190-SUMIFS('Billing Aug'!$H$2:$H$770,'Billing Aug'!$D$2:$D$770,A190)*SUMIFS('Billing Aug'!$I$2:$I$770,'Billing Aug'!$D$2:$D$770,A190))</f>
        <v/>
      </c>
      <c r="Q190" s="37">
        <f>IF(N190=0,"NO AUG TRANSACTION IN SUPPLIED EXTRACT",IF(ABS(P190)&gt;0.004,"SUBLEDGER ARITHMETIC ERROR",IF(ABS(M190)&gt;0.004,"BILLING VARIANCE","MATCH")))</f>
        <v/>
      </c>
    </row>
    <row r="191">
      <c r="A191" s="37" t="inlineStr">
        <is>
          <t>LP-0910</t>
        </is>
      </c>
      <c r="B191" s="37" t="inlineStr">
        <is>
          <t>Ledgport</t>
        </is>
      </c>
      <c r="C191" s="37" t="inlineStr">
        <is>
          <t>COVERED</t>
        </is>
      </c>
      <c r="D191" s="37" t="inlineStr">
        <is>
          <t>OCCUPIED</t>
        </is>
      </c>
      <c r="E191" s="37" t="inlineStr">
        <is>
          <t>WL-01992</t>
        </is>
      </c>
      <c r="F191" s="37" t="inlineStr">
        <is>
          <t>John Davis</t>
        </is>
      </c>
      <c r="G191" s="37" t="n">
        <v>28</v>
      </c>
      <c r="H191" s="39" t="n">
        <v>38</v>
      </c>
      <c r="I191" s="40">
        <f>ROUNDUP(MAX(G191,H191),0)</f>
        <v/>
      </c>
      <c r="J191" s="41">
        <f>IF(C191="COVERED",'Methodology'!$B$9,'Methodology'!$B$10)</f>
        <v/>
      </c>
      <c r="K191" s="41">
        <f>I191*J191</f>
        <v/>
      </c>
      <c r="L191" s="41">
        <f>SUMIFS('Billing Aug'!$J$2:$J$770,'Billing Aug'!$D$2:$D$770,A191)</f>
        <v/>
      </c>
      <c r="M191" s="41">
        <f>L191-K191</f>
        <v/>
      </c>
      <c r="N191" s="37">
        <f>COUNTIF('Billing Aug'!$D$2:$D$770,A191)</f>
        <v/>
      </c>
      <c r="O191" s="37">
        <f>SUMIFS('Billing Aug'!$F$2:$F$770,'Billing Aug'!$D$2:$D$770,A191)</f>
        <v/>
      </c>
      <c r="P191" s="41">
        <f>IF(N191=0,0,L191-SUMIFS('Billing Aug'!$H$2:$H$770,'Billing Aug'!$D$2:$D$770,A191)*SUMIFS('Billing Aug'!$I$2:$I$770,'Billing Aug'!$D$2:$D$770,A191))</f>
        <v/>
      </c>
      <c r="Q191" s="37">
        <f>IF(N191=0,"NO AUG TRANSACTION IN SUPPLIED EXTRACT",IF(ABS(P191)&gt;0.004,"SUBLEDGER ARITHMETIC ERROR",IF(ABS(M191)&gt;0.004,"BILLING VARIANCE","MATCH")))</f>
        <v/>
      </c>
    </row>
    <row r="192">
      <c r="A192" s="37" t="inlineStr">
        <is>
          <t>LP-0911</t>
        </is>
      </c>
      <c r="B192" s="37" t="inlineStr">
        <is>
          <t>Ledgport</t>
        </is>
      </c>
      <c r="C192" s="37" t="inlineStr">
        <is>
          <t>COVERED</t>
        </is>
      </c>
      <c r="D192" s="37" t="inlineStr">
        <is>
          <t>OCCUPIED</t>
        </is>
      </c>
      <c r="E192" s="37" t="inlineStr">
        <is>
          <t>WL-01998</t>
        </is>
      </c>
      <c r="F192" s="37" t="inlineStr">
        <is>
          <t>Katherine Johnson</t>
        </is>
      </c>
      <c r="G192" s="37" t="n">
        <v>24</v>
      </c>
      <c r="H192" s="39" t="n">
        <v>43.3</v>
      </c>
      <c r="I192" s="40">
        <f>ROUNDUP(MAX(G192,H192),0)</f>
        <v/>
      </c>
      <c r="J192" s="41">
        <f>IF(C192="COVERED",'Methodology'!$B$9,'Methodology'!$B$10)</f>
        <v/>
      </c>
      <c r="K192" s="41">
        <f>I192*J192</f>
        <v/>
      </c>
      <c r="L192" s="41">
        <f>SUMIFS('Billing Aug'!$J$2:$J$770,'Billing Aug'!$D$2:$D$770,A192)</f>
        <v/>
      </c>
      <c r="M192" s="41">
        <f>L192-K192</f>
        <v/>
      </c>
      <c r="N192" s="37">
        <f>COUNTIF('Billing Aug'!$D$2:$D$770,A192)</f>
        <v/>
      </c>
      <c r="O192" s="37">
        <f>SUMIFS('Billing Aug'!$F$2:$F$770,'Billing Aug'!$D$2:$D$770,A192)</f>
        <v/>
      </c>
      <c r="P192" s="41">
        <f>IF(N192=0,0,L192-SUMIFS('Billing Aug'!$H$2:$H$770,'Billing Aug'!$D$2:$D$770,A192)*SUMIFS('Billing Aug'!$I$2:$I$770,'Billing Aug'!$D$2:$D$770,A192))</f>
        <v/>
      </c>
      <c r="Q192" s="37">
        <f>IF(N192=0,"NO AUG TRANSACTION IN SUPPLIED EXTRACT",IF(ABS(P192)&gt;0.004,"SUBLEDGER ARITHMETIC ERROR",IF(ABS(M192)&gt;0.004,"BILLING VARIANCE","MATCH")))</f>
        <v/>
      </c>
    </row>
    <row r="193">
      <c r="A193" s="37" t="inlineStr">
        <is>
          <t>LP-0912</t>
        </is>
      </c>
      <c r="B193" s="37" t="inlineStr">
        <is>
          <t>Ledgport</t>
        </is>
      </c>
      <c r="C193" s="37" t="inlineStr">
        <is>
          <t>COVERED</t>
        </is>
      </c>
      <c r="D193" s="37" t="inlineStr">
        <is>
          <t>OCCUPIED</t>
        </is>
      </c>
      <c r="E193" s="37" t="inlineStr">
        <is>
          <t>WL-02965</t>
        </is>
      </c>
      <c r="F193" s="37" t="inlineStr">
        <is>
          <t>Harry Koch</t>
        </is>
      </c>
      <c r="G193" s="37" t="n">
        <v>32</v>
      </c>
      <c r="H193" s="39" t="n">
        <v>32.6</v>
      </c>
      <c r="I193" s="40">
        <f>ROUNDUP(MAX(G193,H193),0)</f>
        <v/>
      </c>
      <c r="J193" s="41">
        <f>IF(C193="COVERED",'Methodology'!$B$9,'Methodology'!$B$10)</f>
        <v/>
      </c>
      <c r="K193" s="41">
        <f>I193*J193</f>
        <v/>
      </c>
      <c r="L193" s="41">
        <f>SUMIFS('Billing Aug'!$J$2:$J$770,'Billing Aug'!$D$2:$D$770,A193)</f>
        <v/>
      </c>
      <c r="M193" s="41">
        <f>L193-K193</f>
        <v/>
      </c>
      <c r="N193" s="37">
        <f>COUNTIF('Billing Aug'!$D$2:$D$770,A193)</f>
        <v/>
      </c>
      <c r="O193" s="37">
        <f>SUMIFS('Billing Aug'!$F$2:$F$770,'Billing Aug'!$D$2:$D$770,A193)</f>
        <v/>
      </c>
      <c r="P193" s="41">
        <f>IF(N193=0,0,L193-SUMIFS('Billing Aug'!$H$2:$H$770,'Billing Aug'!$D$2:$D$770,A193)*SUMIFS('Billing Aug'!$I$2:$I$770,'Billing Aug'!$D$2:$D$770,A193))</f>
        <v/>
      </c>
      <c r="Q193" s="37">
        <f>IF(N193=0,"NO AUG TRANSACTION IN SUPPLIED EXTRACT",IF(ABS(P193)&gt;0.004,"SUBLEDGER ARITHMETIC ERROR",IF(ABS(M193)&gt;0.004,"BILLING VARIANCE","MATCH")))</f>
        <v/>
      </c>
    </row>
    <row r="194">
      <c r="A194" s="37" t="inlineStr">
        <is>
          <t>LP-0913</t>
        </is>
      </c>
      <c r="B194" s="37" t="inlineStr">
        <is>
          <t>Ledgport</t>
        </is>
      </c>
      <c r="C194" s="37" t="inlineStr">
        <is>
          <t>COVERED</t>
        </is>
      </c>
      <c r="D194" s="37" t="inlineStr">
        <is>
          <t>OCCUPIED</t>
        </is>
      </c>
      <c r="E194" s="37" t="inlineStr">
        <is>
          <t>WL-02303</t>
        </is>
      </c>
      <c r="F194" s="37" t="inlineStr">
        <is>
          <t>Christina Hernandez</t>
        </is>
      </c>
      <c r="G194" s="37" t="n">
        <v>32</v>
      </c>
      <c r="H194" s="39" t="n">
        <v>43.1</v>
      </c>
      <c r="I194" s="40">
        <f>ROUNDUP(MAX(G194,H194),0)</f>
        <v/>
      </c>
      <c r="J194" s="41">
        <f>IF(C194="COVERED",'Methodology'!$B$9,'Methodology'!$B$10)</f>
        <v/>
      </c>
      <c r="K194" s="41">
        <f>I194*J194</f>
        <v/>
      </c>
      <c r="L194" s="41">
        <f>SUMIFS('Billing Aug'!$J$2:$J$770,'Billing Aug'!$D$2:$D$770,A194)</f>
        <v/>
      </c>
      <c r="M194" s="41">
        <f>L194-K194</f>
        <v/>
      </c>
      <c r="N194" s="37">
        <f>COUNTIF('Billing Aug'!$D$2:$D$770,A194)</f>
        <v/>
      </c>
      <c r="O194" s="37">
        <f>SUMIFS('Billing Aug'!$F$2:$F$770,'Billing Aug'!$D$2:$D$770,A194)</f>
        <v/>
      </c>
      <c r="P194" s="41">
        <f>IF(N194=0,0,L194-SUMIFS('Billing Aug'!$H$2:$H$770,'Billing Aug'!$D$2:$D$770,A194)*SUMIFS('Billing Aug'!$I$2:$I$770,'Billing Aug'!$D$2:$D$770,A194))</f>
        <v/>
      </c>
      <c r="Q194" s="37">
        <f>IF(N194=0,"NO AUG TRANSACTION IN SUPPLIED EXTRACT",IF(ABS(P194)&gt;0.004,"SUBLEDGER ARITHMETIC ERROR",IF(ABS(M194)&gt;0.004,"BILLING VARIANCE","MATCH")))</f>
        <v/>
      </c>
    </row>
    <row r="195">
      <c r="A195" s="37" t="inlineStr">
        <is>
          <t>LP-0914</t>
        </is>
      </c>
      <c r="B195" s="37" t="inlineStr">
        <is>
          <t>Ledgport</t>
        </is>
      </c>
      <c r="C195" s="37" t="inlineStr">
        <is>
          <t>COVERED</t>
        </is>
      </c>
      <c r="D195" s="37" t="inlineStr">
        <is>
          <t>OCCUPIED</t>
        </is>
      </c>
      <c r="E195" s="37" t="inlineStr">
        <is>
          <t>WL-01697</t>
        </is>
      </c>
      <c r="F195" s="37" t="inlineStr">
        <is>
          <t>Paige Brown</t>
        </is>
      </c>
      <c r="G195" s="37" t="n">
        <v>40</v>
      </c>
      <c r="H195" s="39" t="n">
        <v>35.1</v>
      </c>
      <c r="I195" s="40">
        <f>ROUNDUP(MAX(G195,H195),0)</f>
        <v/>
      </c>
      <c r="J195" s="41">
        <f>IF(C195="COVERED",'Methodology'!$B$9,'Methodology'!$B$10)</f>
        <v/>
      </c>
      <c r="K195" s="41">
        <f>I195*J195</f>
        <v/>
      </c>
      <c r="L195" s="41">
        <f>SUMIFS('Billing Aug'!$J$2:$J$770,'Billing Aug'!$D$2:$D$770,A195)</f>
        <v/>
      </c>
      <c r="M195" s="41">
        <f>L195-K195</f>
        <v/>
      </c>
      <c r="N195" s="37">
        <f>COUNTIF('Billing Aug'!$D$2:$D$770,A195)</f>
        <v/>
      </c>
      <c r="O195" s="37">
        <f>SUMIFS('Billing Aug'!$F$2:$F$770,'Billing Aug'!$D$2:$D$770,A195)</f>
        <v/>
      </c>
      <c r="P195" s="41">
        <f>IF(N195=0,0,L195-SUMIFS('Billing Aug'!$H$2:$H$770,'Billing Aug'!$D$2:$D$770,A195)*SUMIFS('Billing Aug'!$I$2:$I$770,'Billing Aug'!$D$2:$D$770,A195))</f>
        <v/>
      </c>
      <c r="Q195" s="37">
        <f>IF(N195=0,"NO AUG TRANSACTION IN SUPPLIED EXTRACT",IF(ABS(P195)&gt;0.004,"SUBLEDGER ARITHMETIC ERROR",IF(ABS(M195)&gt;0.004,"BILLING VARIANCE","MATCH")))</f>
        <v/>
      </c>
    </row>
    <row r="196">
      <c r="A196" s="37" t="inlineStr">
        <is>
          <t>LP-0915</t>
        </is>
      </c>
      <c r="B196" s="37" t="inlineStr">
        <is>
          <t>Ledgport</t>
        </is>
      </c>
      <c r="C196" s="37" t="inlineStr">
        <is>
          <t>COVERED</t>
        </is>
      </c>
      <c r="D196" s="37" t="inlineStr">
        <is>
          <t>OCCUPIED</t>
        </is>
      </c>
      <c r="E196" s="37" t="inlineStr">
        <is>
          <t>WL-01416</t>
        </is>
      </c>
      <c r="F196" s="37" t="inlineStr">
        <is>
          <t>Carmen Hernandez</t>
        </is>
      </c>
      <c r="G196" s="37" t="n">
        <v>32</v>
      </c>
      <c r="H196" s="39" t="n">
        <v>35.1</v>
      </c>
      <c r="I196" s="40">
        <f>ROUNDUP(MAX(G196,H196),0)</f>
        <v/>
      </c>
      <c r="J196" s="41">
        <f>IF(C196="COVERED",'Methodology'!$B$9,'Methodology'!$B$10)</f>
        <v/>
      </c>
      <c r="K196" s="41">
        <f>I196*J196</f>
        <v/>
      </c>
      <c r="L196" s="41">
        <f>SUMIFS('Billing Aug'!$J$2:$J$770,'Billing Aug'!$D$2:$D$770,A196)</f>
        <v/>
      </c>
      <c r="M196" s="41">
        <f>L196-K196</f>
        <v/>
      </c>
      <c r="N196" s="37">
        <f>COUNTIF('Billing Aug'!$D$2:$D$770,A196)</f>
        <v/>
      </c>
      <c r="O196" s="37">
        <f>SUMIFS('Billing Aug'!$F$2:$F$770,'Billing Aug'!$D$2:$D$770,A196)</f>
        <v/>
      </c>
      <c r="P196" s="41">
        <f>IF(N196=0,0,L196-SUMIFS('Billing Aug'!$H$2:$H$770,'Billing Aug'!$D$2:$D$770,A196)*SUMIFS('Billing Aug'!$I$2:$I$770,'Billing Aug'!$D$2:$D$770,A196))</f>
        <v/>
      </c>
      <c r="Q196" s="37">
        <f>IF(N196=0,"NO AUG TRANSACTION IN SUPPLIED EXTRACT",IF(ABS(P196)&gt;0.004,"SUBLEDGER ARITHMETIC ERROR",IF(ABS(M196)&gt;0.004,"BILLING VARIANCE","MATCH")))</f>
        <v/>
      </c>
    </row>
    <row r="197">
      <c r="A197" s="37" t="inlineStr">
        <is>
          <t>LP-0917</t>
        </is>
      </c>
      <c r="B197" s="37" t="inlineStr">
        <is>
          <t>Ledgport</t>
        </is>
      </c>
      <c r="C197" s="37" t="inlineStr">
        <is>
          <t>COVERED</t>
        </is>
      </c>
      <c r="D197" s="37" t="inlineStr">
        <is>
          <t>OCCUPIED</t>
        </is>
      </c>
      <c r="E197" s="37" t="inlineStr">
        <is>
          <t>WL-01392</t>
        </is>
      </c>
      <c r="F197" s="37" t="inlineStr">
        <is>
          <t>Ryan Carr</t>
        </is>
      </c>
      <c r="G197" s="37" t="n">
        <v>36</v>
      </c>
      <c r="H197" s="39" t="n">
        <v>34.5</v>
      </c>
      <c r="I197" s="40">
        <f>ROUNDUP(MAX(G197,H197),0)</f>
        <v/>
      </c>
      <c r="J197" s="41">
        <f>IF(C197="COVERED",'Methodology'!$B$9,'Methodology'!$B$10)</f>
        <v/>
      </c>
      <c r="K197" s="41">
        <f>I197*J197</f>
        <v/>
      </c>
      <c r="L197" s="41">
        <f>SUMIFS('Billing Aug'!$J$2:$J$770,'Billing Aug'!$D$2:$D$770,A197)</f>
        <v/>
      </c>
      <c r="M197" s="41">
        <f>L197-K197</f>
        <v/>
      </c>
      <c r="N197" s="37">
        <f>COUNTIF('Billing Aug'!$D$2:$D$770,A197)</f>
        <v/>
      </c>
      <c r="O197" s="37">
        <f>SUMIFS('Billing Aug'!$F$2:$F$770,'Billing Aug'!$D$2:$D$770,A197)</f>
        <v/>
      </c>
      <c r="P197" s="41">
        <f>IF(N197=0,0,L197-SUMIFS('Billing Aug'!$H$2:$H$770,'Billing Aug'!$D$2:$D$770,A197)*SUMIFS('Billing Aug'!$I$2:$I$770,'Billing Aug'!$D$2:$D$770,A197))</f>
        <v/>
      </c>
      <c r="Q197" s="37">
        <f>IF(N197=0,"NO AUG TRANSACTION IN SUPPLIED EXTRACT",IF(ABS(P197)&gt;0.004,"SUBLEDGER ARITHMETIC ERROR",IF(ABS(M197)&gt;0.004,"BILLING VARIANCE","MATCH")))</f>
        <v/>
      </c>
    </row>
    <row r="198">
      <c r="A198" s="37" t="inlineStr">
        <is>
          <t>LP-0918</t>
        </is>
      </c>
      <c r="B198" s="37" t="inlineStr">
        <is>
          <t>Ledgport</t>
        </is>
      </c>
      <c r="C198" s="37" t="inlineStr">
        <is>
          <t>COVERED</t>
        </is>
      </c>
      <c r="D198" s="37" t="inlineStr">
        <is>
          <t>OCCUPIED</t>
        </is>
      </c>
      <c r="E198" s="37" t="inlineStr">
        <is>
          <t>WL-03842</t>
        </is>
      </c>
      <c r="F198" s="37" t="inlineStr">
        <is>
          <t>Jennifer Campbell</t>
        </is>
      </c>
      <c r="G198" s="37" t="n">
        <v>36</v>
      </c>
      <c r="H198" s="39" t="n">
        <v>58.2</v>
      </c>
      <c r="I198" s="40">
        <f>ROUNDUP(MAX(G198,H198),0)</f>
        <v/>
      </c>
      <c r="J198" s="41">
        <f>IF(C198="COVERED",'Methodology'!$B$9,'Methodology'!$B$10)</f>
        <v/>
      </c>
      <c r="K198" s="41">
        <f>I198*J198</f>
        <v/>
      </c>
      <c r="L198" s="41">
        <f>SUMIFS('Billing Aug'!$J$2:$J$770,'Billing Aug'!$D$2:$D$770,A198)</f>
        <v/>
      </c>
      <c r="M198" s="41">
        <f>L198-K198</f>
        <v/>
      </c>
      <c r="N198" s="37">
        <f>COUNTIF('Billing Aug'!$D$2:$D$770,A198)</f>
        <v/>
      </c>
      <c r="O198" s="37">
        <f>SUMIFS('Billing Aug'!$F$2:$F$770,'Billing Aug'!$D$2:$D$770,A198)</f>
        <v/>
      </c>
      <c r="P198" s="41">
        <f>IF(N198=0,0,L198-SUMIFS('Billing Aug'!$H$2:$H$770,'Billing Aug'!$D$2:$D$770,A198)*SUMIFS('Billing Aug'!$I$2:$I$770,'Billing Aug'!$D$2:$D$770,A198))</f>
        <v/>
      </c>
      <c r="Q198" s="37">
        <f>IF(N198=0,"NO AUG TRANSACTION IN SUPPLIED EXTRACT",IF(ABS(P198)&gt;0.004,"SUBLEDGER ARITHMETIC ERROR",IF(ABS(M198)&gt;0.004,"BILLING VARIANCE","MATCH")))</f>
        <v/>
      </c>
    </row>
    <row r="199">
      <c r="A199" s="37" t="inlineStr">
        <is>
          <t>LP-0919</t>
        </is>
      </c>
      <c r="B199" s="37" t="inlineStr">
        <is>
          <t>Ledgport</t>
        </is>
      </c>
      <c r="C199" s="37" t="inlineStr">
        <is>
          <t>COVERED</t>
        </is>
      </c>
      <c r="D199" s="37" t="inlineStr">
        <is>
          <t>OCCUPIED</t>
        </is>
      </c>
      <c r="E199" s="37" t="inlineStr">
        <is>
          <t>WL-02994</t>
        </is>
      </c>
      <c r="F199" s="37" t="inlineStr">
        <is>
          <t>Pamela Wright</t>
        </is>
      </c>
      <c r="G199" s="37" t="n">
        <v>32</v>
      </c>
      <c r="H199" s="39" t="n">
        <v>24.5</v>
      </c>
      <c r="I199" s="40">
        <f>ROUNDUP(MAX(G199,H199),0)</f>
        <v/>
      </c>
      <c r="J199" s="41">
        <f>IF(C199="COVERED",'Methodology'!$B$9,'Methodology'!$B$10)</f>
        <v/>
      </c>
      <c r="K199" s="41">
        <f>I199*J199</f>
        <v/>
      </c>
      <c r="L199" s="41">
        <f>SUMIFS('Billing Aug'!$J$2:$J$770,'Billing Aug'!$D$2:$D$770,A199)</f>
        <v/>
      </c>
      <c r="M199" s="41">
        <f>L199-K199</f>
        <v/>
      </c>
      <c r="N199" s="37">
        <f>COUNTIF('Billing Aug'!$D$2:$D$770,A199)</f>
        <v/>
      </c>
      <c r="O199" s="37">
        <f>SUMIFS('Billing Aug'!$F$2:$F$770,'Billing Aug'!$D$2:$D$770,A199)</f>
        <v/>
      </c>
      <c r="P199" s="41">
        <f>IF(N199=0,0,L199-SUMIFS('Billing Aug'!$H$2:$H$770,'Billing Aug'!$D$2:$D$770,A199)*SUMIFS('Billing Aug'!$I$2:$I$770,'Billing Aug'!$D$2:$D$770,A199))</f>
        <v/>
      </c>
      <c r="Q199" s="37">
        <f>IF(N199=0,"NO AUG TRANSACTION IN SUPPLIED EXTRACT",IF(ABS(P199)&gt;0.004,"SUBLEDGER ARITHMETIC ERROR",IF(ABS(M199)&gt;0.004,"BILLING VARIANCE","MATCH")))</f>
        <v/>
      </c>
    </row>
    <row r="200">
      <c r="A200" s="37" t="inlineStr">
        <is>
          <t>LP-0920</t>
        </is>
      </c>
      <c r="B200" s="37" t="inlineStr">
        <is>
          <t>Ledgport</t>
        </is>
      </c>
      <c r="C200" s="37" t="inlineStr">
        <is>
          <t>COVERED</t>
        </is>
      </c>
      <c r="D200" s="37" t="inlineStr">
        <is>
          <t>OCCUPIED</t>
        </is>
      </c>
      <c r="E200" s="37" t="inlineStr">
        <is>
          <t>WL-01174</t>
        </is>
      </c>
      <c r="F200" s="37" t="inlineStr">
        <is>
          <t>Jason Kim</t>
        </is>
      </c>
      <c r="G200" s="37" t="n">
        <v>28</v>
      </c>
      <c r="H200" s="39" t="n">
        <v>38.3</v>
      </c>
      <c r="I200" s="40">
        <f>ROUNDUP(MAX(G200,H200),0)</f>
        <v/>
      </c>
      <c r="J200" s="41">
        <f>IF(C200="COVERED",'Methodology'!$B$9,'Methodology'!$B$10)</f>
        <v/>
      </c>
      <c r="K200" s="41">
        <f>I200*J200</f>
        <v/>
      </c>
      <c r="L200" s="41">
        <f>SUMIFS('Billing Aug'!$J$2:$J$770,'Billing Aug'!$D$2:$D$770,A200)</f>
        <v/>
      </c>
      <c r="M200" s="41">
        <f>L200-K200</f>
        <v/>
      </c>
      <c r="N200" s="37">
        <f>COUNTIF('Billing Aug'!$D$2:$D$770,A200)</f>
        <v/>
      </c>
      <c r="O200" s="37">
        <f>SUMIFS('Billing Aug'!$F$2:$F$770,'Billing Aug'!$D$2:$D$770,A200)</f>
        <v/>
      </c>
      <c r="P200" s="41">
        <f>IF(N200=0,0,L200-SUMIFS('Billing Aug'!$H$2:$H$770,'Billing Aug'!$D$2:$D$770,A200)*SUMIFS('Billing Aug'!$I$2:$I$770,'Billing Aug'!$D$2:$D$770,A200))</f>
        <v/>
      </c>
      <c r="Q200" s="37">
        <f>IF(N200=0,"NO AUG TRANSACTION IN SUPPLIED EXTRACT",IF(ABS(P200)&gt;0.004,"SUBLEDGER ARITHMETIC ERROR",IF(ABS(M200)&gt;0.004,"BILLING VARIANCE","MATCH")))</f>
        <v/>
      </c>
    </row>
    <row r="201">
      <c r="A201" s="37" t="inlineStr">
        <is>
          <t>LP-0921</t>
        </is>
      </c>
      <c r="B201" s="37" t="inlineStr">
        <is>
          <t>Ledgport</t>
        </is>
      </c>
      <c r="C201" s="37" t="inlineStr">
        <is>
          <t>COVERED</t>
        </is>
      </c>
      <c r="D201" s="37" t="inlineStr">
        <is>
          <t>OCCUPIED</t>
        </is>
      </c>
      <c r="E201" s="37" t="inlineStr">
        <is>
          <t>WL-02368</t>
        </is>
      </c>
      <c r="F201" s="37" t="inlineStr">
        <is>
          <t>Chris Chavez</t>
        </is>
      </c>
      <c r="G201" s="37" t="n">
        <v>28</v>
      </c>
      <c r="H201" s="39" t="n">
        <v>24.8</v>
      </c>
      <c r="I201" s="40">
        <f>ROUNDUP(MAX(G201,H201),0)</f>
        <v/>
      </c>
      <c r="J201" s="41">
        <f>IF(C201="COVERED",'Methodology'!$B$9,'Methodology'!$B$10)</f>
        <v/>
      </c>
      <c r="K201" s="41">
        <f>I201*J201</f>
        <v/>
      </c>
      <c r="L201" s="41">
        <f>SUMIFS('Billing Aug'!$J$2:$J$770,'Billing Aug'!$D$2:$D$770,A201)</f>
        <v/>
      </c>
      <c r="M201" s="41">
        <f>L201-K201</f>
        <v/>
      </c>
      <c r="N201" s="37">
        <f>COUNTIF('Billing Aug'!$D$2:$D$770,A201)</f>
        <v/>
      </c>
      <c r="O201" s="37">
        <f>SUMIFS('Billing Aug'!$F$2:$F$770,'Billing Aug'!$D$2:$D$770,A201)</f>
        <v/>
      </c>
      <c r="P201" s="41">
        <f>IF(N201=0,0,L201-SUMIFS('Billing Aug'!$H$2:$H$770,'Billing Aug'!$D$2:$D$770,A201)*SUMIFS('Billing Aug'!$I$2:$I$770,'Billing Aug'!$D$2:$D$770,A201))</f>
        <v/>
      </c>
      <c r="Q201" s="37">
        <f>IF(N201=0,"NO AUG TRANSACTION IN SUPPLIED EXTRACT",IF(ABS(P201)&gt;0.004,"SUBLEDGER ARITHMETIC ERROR",IF(ABS(M201)&gt;0.004,"BILLING VARIANCE","MATCH")))</f>
        <v/>
      </c>
    </row>
    <row r="202">
      <c r="A202" s="37" t="inlineStr">
        <is>
          <t>LP-0922</t>
        </is>
      </c>
      <c r="B202" s="37" t="inlineStr">
        <is>
          <t>Ledgport</t>
        </is>
      </c>
      <c r="C202" s="37" t="inlineStr">
        <is>
          <t>COVERED</t>
        </is>
      </c>
      <c r="D202" s="37" t="inlineStr">
        <is>
          <t>OCCUPIED</t>
        </is>
      </c>
      <c r="E202" s="37" t="inlineStr">
        <is>
          <t>WL-03260</t>
        </is>
      </c>
      <c r="F202" s="37" t="inlineStr">
        <is>
          <t>Joel Thomas</t>
        </is>
      </c>
      <c r="G202" s="37" t="n">
        <v>24</v>
      </c>
      <c r="H202" s="39" t="n">
        <v>58</v>
      </c>
      <c r="I202" s="40">
        <f>ROUNDUP(MAX(G202,H202),0)</f>
        <v/>
      </c>
      <c r="J202" s="41">
        <f>IF(C202="COVERED",'Methodology'!$B$9,'Methodology'!$B$10)</f>
        <v/>
      </c>
      <c r="K202" s="41">
        <f>I202*J202</f>
        <v/>
      </c>
      <c r="L202" s="41">
        <f>SUMIFS('Billing Aug'!$J$2:$J$770,'Billing Aug'!$D$2:$D$770,A202)</f>
        <v/>
      </c>
      <c r="M202" s="41">
        <f>L202-K202</f>
        <v/>
      </c>
      <c r="N202" s="37">
        <f>COUNTIF('Billing Aug'!$D$2:$D$770,A202)</f>
        <v/>
      </c>
      <c r="O202" s="37">
        <f>SUMIFS('Billing Aug'!$F$2:$F$770,'Billing Aug'!$D$2:$D$770,A202)</f>
        <v/>
      </c>
      <c r="P202" s="41">
        <f>IF(N202=0,0,L202-SUMIFS('Billing Aug'!$H$2:$H$770,'Billing Aug'!$D$2:$D$770,A202)*SUMIFS('Billing Aug'!$I$2:$I$770,'Billing Aug'!$D$2:$D$770,A202))</f>
        <v/>
      </c>
      <c r="Q202" s="37">
        <f>IF(N202=0,"NO AUG TRANSACTION IN SUPPLIED EXTRACT",IF(ABS(P202)&gt;0.004,"SUBLEDGER ARITHMETIC ERROR",IF(ABS(M202)&gt;0.004,"BILLING VARIANCE","MATCH")))</f>
        <v/>
      </c>
    </row>
    <row r="203">
      <c r="A203" s="37" t="inlineStr">
        <is>
          <t>LP-0923</t>
        </is>
      </c>
      <c r="B203" s="37" t="inlineStr">
        <is>
          <t>Ledgport</t>
        </is>
      </c>
      <c r="C203" s="37" t="inlineStr">
        <is>
          <t>COVERED</t>
        </is>
      </c>
      <c r="D203" s="37" t="inlineStr">
        <is>
          <t>OCCUPIED</t>
        </is>
      </c>
      <c r="E203" s="37" t="inlineStr">
        <is>
          <t>WL-02672</t>
        </is>
      </c>
      <c r="F203" s="37" t="inlineStr">
        <is>
          <t>Russell Barnes</t>
        </is>
      </c>
      <c r="G203" s="37" t="n">
        <v>24</v>
      </c>
      <c r="H203" s="39" t="n">
        <v>21</v>
      </c>
      <c r="I203" s="40">
        <f>ROUNDUP(MAX(G203,H203),0)</f>
        <v/>
      </c>
      <c r="J203" s="41">
        <f>IF(C203="COVERED",'Methodology'!$B$9,'Methodology'!$B$10)</f>
        <v/>
      </c>
      <c r="K203" s="41">
        <f>I203*J203</f>
        <v/>
      </c>
      <c r="L203" s="41">
        <f>SUMIFS('Billing Aug'!$J$2:$J$770,'Billing Aug'!$D$2:$D$770,A203)</f>
        <v/>
      </c>
      <c r="M203" s="41">
        <f>L203-K203</f>
        <v/>
      </c>
      <c r="N203" s="37">
        <f>COUNTIF('Billing Aug'!$D$2:$D$770,A203)</f>
        <v/>
      </c>
      <c r="O203" s="37">
        <f>SUMIFS('Billing Aug'!$F$2:$F$770,'Billing Aug'!$D$2:$D$770,A203)</f>
        <v/>
      </c>
      <c r="P203" s="41">
        <f>IF(N203=0,0,L203-SUMIFS('Billing Aug'!$H$2:$H$770,'Billing Aug'!$D$2:$D$770,A203)*SUMIFS('Billing Aug'!$I$2:$I$770,'Billing Aug'!$D$2:$D$770,A203))</f>
        <v/>
      </c>
      <c r="Q203" s="37">
        <f>IF(N203=0,"NO AUG TRANSACTION IN SUPPLIED EXTRACT",IF(ABS(P203)&gt;0.004,"SUBLEDGER ARITHMETIC ERROR",IF(ABS(M203)&gt;0.004,"BILLING VARIANCE","MATCH")))</f>
        <v/>
      </c>
    </row>
    <row r="204">
      <c r="A204" s="37" t="inlineStr">
        <is>
          <t>LP-0924</t>
        </is>
      </c>
      <c r="B204" s="37" t="inlineStr">
        <is>
          <t>Ledgport</t>
        </is>
      </c>
      <c r="C204" s="37" t="inlineStr">
        <is>
          <t>COVERED</t>
        </is>
      </c>
      <c r="D204" s="37" t="inlineStr">
        <is>
          <t>OCCUPIED</t>
        </is>
      </c>
      <c r="E204" s="37" t="inlineStr">
        <is>
          <t>WL-01312</t>
        </is>
      </c>
      <c r="F204" s="37" t="inlineStr">
        <is>
          <t>Matthew King</t>
        </is>
      </c>
      <c r="G204" s="37" t="n">
        <v>28</v>
      </c>
      <c r="H204" s="39" t="n">
        <v>59.9</v>
      </c>
      <c r="I204" s="40">
        <f>ROUNDUP(MAX(G204,H204),0)</f>
        <v/>
      </c>
      <c r="J204" s="41">
        <f>IF(C204="COVERED",'Methodology'!$B$9,'Methodology'!$B$10)</f>
        <v/>
      </c>
      <c r="K204" s="41">
        <f>I204*J204</f>
        <v/>
      </c>
      <c r="L204" s="41">
        <f>SUMIFS('Billing Aug'!$J$2:$J$770,'Billing Aug'!$D$2:$D$770,A204)</f>
        <v/>
      </c>
      <c r="M204" s="41">
        <f>L204-K204</f>
        <v/>
      </c>
      <c r="N204" s="37">
        <f>COUNTIF('Billing Aug'!$D$2:$D$770,A204)</f>
        <v/>
      </c>
      <c r="O204" s="37">
        <f>SUMIFS('Billing Aug'!$F$2:$F$770,'Billing Aug'!$D$2:$D$770,A204)</f>
        <v/>
      </c>
      <c r="P204" s="41">
        <f>IF(N204=0,0,L204-SUMIFS('Billing Aug'!$H$2:$H$770,'Billing Aug'!$D$2:$D$770,A204)*SUMIFS('Billing Aug'!$I$2:$I$770,'Billing Aug'!$D$2:$D$770,A204))</f>
        <v/>
      </c>
      <c r="Q204" s="37">
        <f>IF(N204=0,"NO AUG TRANSACTION IN SUPPLIED EXTRACT",IF(ABS(P204)&gt;0.004,"SUBLEDGER ARITHMETIC ERROR",IF(ABS(M204)&gt;0.004,"BILLING VARIANCE","MATCH")))</f>
        <v/>
      </c>
    </row>
    <row r="205">
      <c r="A205" s="37" t="inlineStr">
        <is>
          <t>LP-1001</t>
        </is>
      </c>
      <c r="B205" s="37" t="inlineStr">
        <is>
          <t>Ledgport</t>
        </is>
      </c>
      <c r="C205" s="37" t="inlineStr">
        <is>
          <t>COVERED</t>
        </is>
      </c>
      <c r="D205" s="37" t="inlineStr">
        <is>
          <t>OCCUPIED</t>
        </is>
      </c>
      <c r="E205" s="37" t="inlineStr">
        <is>
          <t>WL-03184</t>
        </is>
      </c>
      <c r="F205" s="37" t="inlineStr">
        <is>
          <t>Lindsay Alexander</t>
        </is>
      </c>
      <c r="G205" s="37" t="n">
        <v>40</v>
      </c>
      <c r="H205" s="39" t="n">
        <v>54.4</v>
      </c>
      <c r="I205" s="40">
        <f>ROUNDUP(MAX(G205,H205),0)</f>
        <v/>
      </c>
      <c r="J205" s="41">
        <f>IF(C205="COVERED",'Methodology'!$B$9,'Methodology'!$B$10)</f>
        <v/>
      </c>
      <c r="K205" s="41">
        <f>I205*J205</f>
        <v/>
      </c>
      <c r="L205" s="41">
        <f>SUMIFS('Billing Aug'!$J$2:$J$770,'Billing Aug'!$D$2:$D$770,A205)</f>
        <v/>
      </c>
      <c r="M205" s="41">
        <f>L205-K205</f>
        <v/>
      </c>
      <c r="N205" s="37">
        <f>COUNTIF('Billing Aug'!$D$2:$D$770,A205)</f>
        <v/>
      </c>
      <c r="O205" s="37">
        <f>SUMIFS('Billing Aug'!$F$2:$F$770,'Billing Aug'!$D$2:$D$770,A205)</f>
        <v/>
      </c>
      <c r="P205" s="41">
        <f>IF(N205=0,0,L205-SUMIFS('Billing Aug'!$H$2:$H$770,'Billing Aug'!$D$2:$D$770,A205)*SUMIFS('Billing Aug'!$I$2:$I$770,'Billing Aug'!$D$2:$D$770,A205))</f>
        <v/>
      </c>
      <c r="Q205" s="37">
        <f>IF(N205=0,"NO AUG TRANSACTION IN SUPPLIED EXTRACT",IF(ABS(P205)&gt;0.004,"SUBLEDGER ARITHMETIC ERROR",IF(ABS(M205)&gt;0.004,"BILLING VARIANCE","MATCH")))</f>
        <v/>
      </c>
    </row>
    <row r="206">
      <c r="A206" s="37" t="inlineStr">
        <is>
          <t>LP-1002</t>
        </is>
      </c>
      <c r="B206" s="37" t="inlineStr">
        <is>
          <t>Ledgport</t>
        </is>
      </c>
      <c r="C206" s="37" t="inlineStr">
        <is>
          <t>COVERED</t>
        </is>
      </c>
      <c r="D206" s="37" t="inlineStr">
        <is>
          <t>OCCUPIED</t>
        </is>
      </c>
      <c r="E206" s="37" t="inlineStr">
        <is>
          <t>WL-03393</t>
        </is>
      </c>
      <c r="F206" s="37" t="inlineStr">
        <is>
          <t>Richard Norris</t>
        </is>
      </c>
      <c r="G206" s="37" t="n">
        <v>32</v>
      </c>
      <c r="H206" s="39" t="n">
        <v>62</v>
      </c>
      <c r="I206" s="40">
        <f>ROUNDUP(MAX(G206,H206),0)</f>
        <v/>
      </c>
      <c r="J206" s="41">
        <f>IF(C206="COVERED",'Methodology'!$B$9,'Methodology'!$B$10)</f>
        <v/>
      </c>
      <c r="K206" s="41">
        <f>I206*J206</f>
        <v/>
      </c>
      <c r="L206" s="41">
        <f>SUMIFS('Billing Aug'!$J$2:$J$770,'Billing Aug'!$D$2:$D$770,A206)</f>
        <v/>
      </c>
      <c r="M206" s="41">
        <f>L206-K206</f>
        <v/>
      </c>
      <c r="N206" s="37">
        <f>COUNTIF('Billing Aug'!$D$2:$D$770,A206)</f>
        <v/>
      </c>
      <c r="O206" s="37">
        <f>SUMIFS('Billing Aug'!$F$2:$F$770,'Billing Aug'!$D$2:$D$770,A206)</f>
        <v/>
      </c>
      <c r="P206" s="41">
        <f>IF(N206=0,0,L206-SUMIFS('Billing Aug'!$H$2:$H$770,'Billing Aug'!$D$2:$D$770,A206)*SUMIFS('Billing Aug'!$I$2:$I$770,'Billing Aug'!$D$2:$D$770,A206))</f>
        <v/>
      </c>
      <c r="Q206" s="37">
        <f>IF(N206=0,"NO AUG TRANSACTION IN SUPPLIED EXTRACT",IF(ABS(P206)&gt;0.004,"SUBLEDGER ARITHMETIC ERROR",IF(ABS(M206)&gt;0.004,"BILLING VARIANCE","MATCH")))</f>
        <v/>
      </c>
    </row>
    <row r="207">
      <c r="A207" s="37" t="inlineStr">
        <is>
          <t>LP-1003</t>
        </is>
      </c>
      <c r="B207" s="37" t="inlineStr">
        <is>
          <t>Ledgport</t>
        </is>
      </c>
      <c r="C207" s="37" t="inlineStr">
        <is>
          <t>COVERED</t>
        </is>
      </c>
      <c r="D207" s="37" t="inlineStr">
        <is>
          <t>OCCUPIED</t>
        </is>
      </c>
      <c r="E207" s="37" t="inlineStr">
        <is>
          <t>WL-01310</t>
        </is>
      </c>
      <c r="F207" s="37" t="inlineStr">
        <is>
          <t>Donna Weber</t>
        </is>
      </c>
      <c r="G207" s="37" t="n">
        <v>28</v>
      </c>
      <c r="H207" s="39" t="n">
        <v>56.2</v>
      </c>
      <c r="I207" s="40">
        <f>ROUNDUP(MAX(G207,H207),0)</f>
        <v/>
      </c>
      <c r="J207" s="41">
        <f>IF(C207="COVERED",'Methodology'!$B$9,'Methodology'!$B$10)</f>
        <v/>
      </c>
      <c r="K207" s="41">
        <f>I207*J207</f>
        <v/>
      </c>
      <c r="L207" s="41">
        <f>SUMIFS('Billing Aug'!$J$2:$J$770,'Billing Aug'!$D$2:$D$770,A207)</f>
        <v/>
      </c>
      <c r="M207" s="41">
        <f>L207-K207</f>
        <v/>
      </c>
      <c r="N207" s="37">
        <f>COUNTIF('Billing Aug'!$D$2:$D$770,A207)</f>
        <v/>
      </c>
      <c r="O207" s="37">
        <f>SUMIFS('Billing Aug'!$F$2:$F$770,'Billing Aug'!$D$2:$D$770,A207)</f>
        <v/>
      </c>
      <c r="P207" s="41">
        <f>IF(N207=0,0,L207-SUMIFS('Billing Aug'!$H$2:$H$770,'Billing Aug'!$D$2:$D$770,A207)*SUMIFS('Billing Aug'!$I$2:$I$770,'Billing Aug'!$D$2:$D$770,A207))</f>
        <v/>
      </c>
      <c r="Q207" s="37">
        <f>IF(N207=0,"NO AUG TRANSACTION IN SUPPLIED EXTRACT",IF(ABS(P207)&gt;0.004,"SUBLEDGER ARITHMETIC ERROR",IF(ABS(M207)&gt;0.004,"BILLING VARIANCE","MATCH")))</f>
        <v/>
      </c>
    </row>
    <row r="208">
      <c r="A208" s="37" t="inlineStr">
        <is>
          <t>LP-1004</t>
        </is>
      </c>
      <c r="B208" s="37" t="inlineStr">
        <is>
          <t>Ledgport</t>
        </is>
      </c>
      <c r="C208" s="37" t="inlineStr">
        <is>
          <t>COVERED</t>
        </is>
      </c>
      <c r="D208" s="37" t="inlineStr">
        <is>
          <t>OCCUPIED</t>
        </is>
      </c>
      <c r="E208" s="37" t="inlineStr">
        <is>
          <t>WL-03418</t>
        </is>
      </c>
      <c r="F208" s="37" t="inlineStr">
        <is>
          <t>Mary Ford</t>
        </is>
      </c>
      <c r="G208" s="37" t="n">
        <v>24</v>
      </c>
      <c r="H208" s="39" t="n">
        <v>33.9</v>
      </c>
      <c r="I208" s="40">
        <f>ROUNDUP(MAX(G208,H208),0)</f>
        <v/>
      </c>
      <c r="J208" s="41">
        <f>IF(C208="COVERED",'Methodology'!$B$9,'Methodology'!$B$10)</f>
        <v/>
      </c>
      <c r="K208" s="41">
        <f>I208*J208</f>
        <v/>
      </c>
      <c r="L208" s="41">
        <f>SUMIFS('Billing Aug'!$J$2:$J$770,'Billing Aug'!$D$2:$D$770,A208)</f>
        <v/>
      </c>
      <c r="M208" s="41">
        <f>L208-K208</f>
        <v/>
      </c>
      <c r="N208" s="37">
        <f>COUNTIF('Billing Aug'!$D$2:$D$770,A208)</f>
        <v/>
      </c>
      <c r="O208" s="37">
        <f>SUMIFS('Billing Aug'!$F$2:$F$770,'Billing Aug'!$D$2:$D$770,A208)</f>
        <v/>
      </c>
      <c r="P208" s="41">
        <f>IF(N208=0,0,L208-SUMIFS('Billing Aug'!$H$2:$H$770,'Billing Aug'!$D$2:$D$770,A208)*SUMIFS('Billing Aug'!$I$2:$I$770,'Billing Aug'!$D$2:$D$770,A208))</f>
        <v/>
      </c>
      <c r="Q208" s="37">
        <f>IF(N208=0,"NO AUG TRANSACTION IN SUPPLIED EXTRACT",IF(ABS(P208)&gt;0.004,"SUBLEDGER ARITHMETIC ERROR",IF(ABS(M208)&gt;0.004,"BILLING VARIANCE","MATCH")))</f>
        <v/>
      </c>
    </row>
    <row r="209">
      <c r="A209" s="37" t="inlineStr">
        <is>
          <t>LP-1005</t>
        </is>
      </c>
      <c r="B209" s="37" t="inlineStr">
        <is>
          <t>Ledgport</t>
        </is>
      </c>
      <c r="C209" s="37" t="inlineStr">
        <is>
          <t>COVERED</t>
        </is>
      </c>
      <c r="D209" s="37" t="inlineStr">
        <is>
          <t>OCCUPIED</t>
        </is>
      </c>
      <c r="E209" s="37" t="inlineStr">
        <is>
          <t>WL-03728</t>
        </is>
      </c>
      <c r="F209" s="37" t="inlineStr">
        <is>
          <t>Gary Wade</t>
        </is>
      </c>
      <c r="G209" s="37" t="n">
        <v>28</v>
      </c>
      <c r="H209" s="39" t="n">
        <v>38</v>
      </c>
      <c r="I209" s="40">
        <f>ROUNDUP(MAX(G209,H209),0)</f>
        <v/>
      </c>
      <c r="J209" s="41">
        <f>IF(C209="COVERED",'Methodology'!$B$9,'Methodology'!$B$10)</f>
        <v/>
      </c>
      <c r="K209" s="41">
        <f>I209*J209</f>
        <v/>
      </c>
      <c r="L209" s="41">
        <f>SUMIFS('Billing Aug'!$J$2:$J$770,'Billing Aug'!$D$2:$D$770,A209)</f>
        <v/>
      </c>
      <c r="M209" s="41">
        <f>L209-K209</f>
        <v/>
      </c>
      <c r="N209" s="37">
        <f>COUNTIF('Billing Aug'!$D$2:$D$770,A209)</f>
        <v/>
      </c>
      <c r="O209" s="37">
        <f>SUMIFS('Billing Aug'!$F$2:$F$770,'Billing Aug'!$D$2:$D$770,A209)</f>
        <v/>
      </c>
      <c r="P209" s="41">
        <f>IF(N209=0,0,L209-SUMIFS('Billing Aug'!$H$2:$H$770,'Billing Aug'!$D$2:$D$770,A209)*SUMIFS('Billing Aug'!$I$2:$I$770,'Billing Aug'!$D$2:$D$770,A209))</f>
        <v/>
      </c>
      <c r="Q209" s="37">
        <f>IF(N209=0,"NO AUG TRANSACTION IN SUPPLIED EXTRACT",IF(ABS(P209)&gt;0.004,"SUBLEDGER ARITHMETIC ERROR",IF(ABS(M209)&gt;0.004,"BILLING VARIANCE","MATCH")))</f>
        <v/>
      </c>
    </row>
    <row r="210">
      <c r="A210" s="37" t="inlineStr">
        <is>
          <t>LP-1006</t>
        </is>
      </c>
      <c r="B210" s="37" t="inlineStr">
        <is>
          <t>Ledgport</t>
        </is>
      </c>
      <c r="C210" s="37" t="inlineStr">
        <is>
          <t>COVERED</t>
        </is>
      </c>
      <c r="D210" s="37" t="inlineStr">
        <is>
          <t>OCCUPIED</t>
        </is>
      </c>
      <c r="E210" s="37" t="inlineStr">
        <is>
          <t>WL-02721</t>
        </is>
      </c>
      <c r="F210" s="37" t="inlineStr">
        <is>
          <t>Carol Scott</t>
        </is>
      </c>
      <c r="G210" s="37" t="n">
        <v>36</v>
      </c>
      <c r="H210" s="39" t="n">
        <v>19.5</v>
      </c>
      <c r="I210" s="40">
        <f>ROUNDUP(MAX(G210,H210),0)</f>
        <v/>
      </c>
      <c r="J210" s="41">
        <f>IF(C210="COVERED",'Methodology'!$B$9,'Methodology'!$B$10)</f>
        <v/>
      </c>
      <c r="K210" s="41">
        <f>I210*J210</f>
        <v/>
      </c>
      <c r="L210" s="41">
        <f>SUMIFS('Billing Aug'!$J$2:$J$770,'Billing Aug'!$D$2:$D$770,A210)</f>
        <v/>
      </c>
      <c r="M210" s="41">
        <f>L210-K210</f>
        <v/>
      </c>
      <c r="N210" s="37">
        <f>COUNTIF('Billing Aug'!$D$2:$D$770,A210)</f>
        <v/>
      </c>
      <c r="O210" s="37">
        <f>SUMIFS('Billing Aug'!$F$2:$F$770,'Billing Aug'!$D$2:$D$770,A210)</f>
        <v/>
      </c>
      <c r="P210" s="41">
        <f>IF(N210=0,0,L210-SUMIFS('Billing Aug'!$H$2:$H$770,'Billing Aug'!$D$2:$D$770,A210)*SUMIFS('Billing Aug'!$I$2:$I$770,'Billing Aug'!$D$2:$D$770,A210))</f>
        <v/>
      </c>
      <c r="Q210" s="37">
        <f>IF(N210=0,"NO AUG TRANSACTION IN SUPPLIED EXTRACT",IF(ABS(P210)&gt;0.004,"SUBLEDGER ARITHMETIC ERROR",IF(ABS(M210)&gt;0.004,"BILLING VARIANCE","MATCH")))</f>
        <v/>
      </c>
    </row>
    <row r="211">
      <c r="A211" s="37" t="inlineStr">
        <is>
          <t>LP-1007</t>
        </is>
      </c>
      <c r="B211" s="37" t="inlineStr">
        <is>
          <t>Ledgport</t>
        </is>
      </c>
      <c r="C211" s="37" t="inlineStr">
        <is>
          <t>COVERED</t>
        </is>
      </c>
      <c r="D211" s="37" t="inlineStr">
        <is>
          <t>OCCUPIED</t>
        </is>
      </c>
      <c r="E211" s="37" t="inlineStr">
        <is>
          <t>WL-03683</t>
        </is>
      </c>
      <c r="F211" s="37" t="inlineStr">
        <is>
          <t>Shawn Carter</t>
        </is>
      </c>
      <c r="G211" s="37" t="n">
        <v>32</v>
      </c>
      <c r="H211" s="39" t="n">
        <v>57.9</v>
      </c>
      <c r="I211" s="40">
        <f>ROUNDUP(MAX(G211,H211),0)</f>
        <v/>
      </c>
      <c r="J211" s="41">
        <f>IF(C211="COVERED",'Methodology'!$B$9,'Methodology'!$B$10)</f>
        <v/>
      </c>
      <c r="K211" s="41">
        <f>I211*J211</f>
        <v/>
      </c>
      <c r="L211" s="41">
        <f>SUMIFS('Billing Aug'!$J$2:$J$770,'Billing Aug'!$D$2:$D$770,A211)</f>
        <v/>
      </c>
      <c r="M211" s="41">
        <f>L211-K211</f>
        <v/>
      </c>
      <c r="N211" s="37">
        <f>COUNTIF('Billing Aug'!$D$2:$D$770,A211)</f>
        <v/>
      </c>
      <c r="O211" s="37">
        <f>SUMIFS('Billing Aug'!$F$2:$F$770,'Billing Aug'!$D$2:$D$770,A211)</f>
        <v/>
      </c>
      <c r="P211" s="41">
        <f>IF(N211=0,0,L211-SUMIFS('Billing Aug'!$H$2:$H$770,'Billing Aug'!$D$2:$D$770,A211)*SUMIFS('Billing Aug'!$I$2:$I$770,'Billing Aug'!$D$2:$D$770,A211))</f>
        <v/>
      </c>
      <c r="Q211" s="37">
        <f>IF(N211=0,"NO AUG TRANSACTION IN SUPPLIED EXTRACT",IF(ABS(P211)&gt;0.004,"SUBLEDGER ARITHMETIC ERROR",IF(ABS(M211)&gt;0.004,"BILLING VARIANCE","MATCH")))</f>
        <v/>
      </c>
    </row>
    <row r="212">
      <c r="A212" s="37" t="inlineStr">
        <is>
          <t>LP-1008</t>
        </is>
      </c>
      <c r="B212" s="37" t="inlineStr">
        <is>
          <t>Ledgport</t>
        </is>
      </c>
      <c r="C212" s="37" t="inlineStr">
        <is>
          <t>COVERED</t>
        </is>
      </c>
      <c r="D212" s="37" t="inlineStr">
        <is>
          <t>OCCUPIED</t>
        </is>
      </c>
      <c r="E212" s="37" t="inlineStr">
        <is>
          <t>WL-02719</t>
        </is>
      </c>
      <c r="F212" s="37" t="inlineStr">
        <is>
          <t>Travis Sexton</t>
        </is>
      </c>
      <c r="G212" s="37" t="n">
        <v>32</v>
      </c>
      <c r="H212" s="39" t="n">
        <v>58.9</v>
      </c>
      <c r="I212" s="40">
        <f>ROUNDUP(MAX(G212,H212),0)</f>
        <v/>
      </c>
      <c r="J212" s="41">
        <f>IF(C212="COVERED",'Methodology'!$B$9,'Methodology'!$B$10)</f>
        <v/>
      </c>
      <c r="K212" s="41">
        <f>I212*J212</f>
        <v/>
      </c>
      <c r="L212" s="41">
        <f>SUMIFS('Billing Aug'!$J$2:$J$770,'Billing Aug'!$D$2:$D$770,A212)</f>
        <v/>
      </c>
      <c r="M212" s="41">
        <f>L212-K212</f>
        <v/>
      </c>
      <c r="N212" s="37">
        <f>COUNTIF('Billing Aug'!$D$2:$D$770,A212)</f>
        <v/>
      </c>
      <c r="O212" s="37">
        <f>SUMIFS('Billing Aug'!$F$2:$F$770,'Billing Aug'!$D$2:$D$770,A212)</f>
        <v/>
      </c>
      <c r="P212" s="41">
        <f>IF(N212=0,0,L212-SUMIFS('Billing Aug'!$H$2:$H$770,'Billing Aug'!$D$2:$D$770,A212)*SUMIFS('Billing Aug'!$I$2:$I$770,'Billing Aug'!$D$2:$D$770,A212))</f>
        <v/>
      </c>
      <c r="Q212" s="37">
        <f>IF(N212=0,"NO AUG TRANSACTION IN SUPPLIED EXTRACT",IF(ABS(P212)&gt;0.004,"SUBLEDGER ARITHMETIC ERROR",IF(ABS(M212)&gt;0.004,"BILLING VARIANCE","MATCH")))</f>
        <v/>
      </c>
    </row>
    <row r="213">
      <c r="A213" s="37" t="inlineStr">
        <is>
          <t>LP-1009</t>
        </is>
      </c>
      <c r="B213" s="37" t="inlineStr">
        <is>
          <t>Ledgport</t>
        </is>
      </c>
      <c r="C213" s="37" t="inlineStr">
        <is>
          <t>COVERED</t>
        </is>
      </c>
      <c r="D213" s="37" t="inlineStr">
        <is>
          <t>OCCUPIED</t>
        </is>
      </c>
      <c r="E213" s="37" t="inlineStr">
        <is>
          <t>WL-01829</t>
        </is>
      </c>
      <c r="F213" s="37" t="inlineStr">
        <is>
          <t>Bradley Franklin</t>
        </is>
      </c>
      <c r="G213" s="37" t="n">
        <v>32</v>
      </c>
      <c r="H213" s="39" t="n">
        <v>19.3</v>
      </c>
      <c r="I213" s="40">
        <f>ROUNDUP(MAX(G213,H213),0)</f>
        <v/>
      </c>
      <c r="J213" s="41">
        <f>IF(C213="COVERED",'Methodology'!$B$9,'Methodology'!$B$10)</f>
        <v/>
      </c>
      <c r="K213" s="41">
        <f>I213*J213</f>
        <v/>
      </c>
      <c r="L213" s="41">
        <f>SUMIFS('Billing Aug'!$J$2:$J$770,'Billing Aug'!$D$2:$D$770,A213)</f>
        <v/>
      </c>
      <c r="M213" s="41">
        <f>L213-K213</f>
        <v/>
      </c>
      <c r="N213" s="37">
        <f>COUNTIF('Billing Aug'!$D$2:$D$770,A213)</f>
        <v/>
      </c>
      <c r="O213" s="37">
        <f>SUMIFS('Billing Aug'!$F$2:$F$770,'Billing Aug'!$D$2:$D$770,A213)</f>
        <v/>
      </c>
      <c r="P213" s="41">
        <f>IF(N213=0,0,L213-SUMIFS('Billing Aug'!$H$2:$H$770,'Billing Aug'!$D$2:$D$770,A213)*SUMIFS('Billing Aug'!$I$2:$I$770,'Billing Aug'!$D$2:$D$770,A213))</f>
        <v/>
      </c>
      <c r="Q213" s="37">
        <f>IF(N213=0,"NO AUG TRANSACTION IN SUPPLIED EXTRACT",IF(ABS(P213)&gt;0.004,"SUBLEDGER ARITHMETIC ERROR",IF(ABS(M213)&gt;0.004,"BILLING VARIANCE","MATCH")))</f>
        <v/>
      </c>
    </row>
    <row r="214">
      <c r="A214" s="37" t="inlineStr">
        <is>
          <t>LP-1010</t>
        </is>
      </c>
      <c r="B214" s="37" t="inlineStr">
        <is>
          <t>Ledgport</t>
        </is>
      </c>
      <c r="C214" s="37" t="inlineStr">
        <is>
          <t>COVERED</t>
        </is>
      </c>
      <c r="D214" s="37" t="inlineStr">
        <is>
          <t>OCCUPIED</t>
        </is>
      </c>
      <c r="E214" s="37" t="inlineStr">
        <is>
          <t>WL-01700</t>
        </is>
      </c>
      <c r="F214" s="37" t="inlineStr">
        <is>
          <t>Sherry Fletcher</t>
        </is>
      </c>
      <c r="G214" s="37" t="n">
        <v>32</v>
      </c>
      <c r="H214" s="39" t="n">
        <v>61.8</v>
      </c>
      <c r="I214" s="40">
        <f>ROUNDUP(MAX(G214,H214),0)</f>
        <v/>
      </c>
      <c r="J214" s="41">
        <f>IF(C214="COVERED",'Methodology'!$B$9,'Methodology'!$B$10)</f>
        <v/>
      </c>
      <c r="K214" s="41">
        <f>I214*J214</f>
        <v/>
      </c>
      <c r="L214" s="41">
        <f>SUMIFS('Billing Aug'!$J$2:$J$770,'Billing Aug'!$D$2:$D$770,A214)</f>
        <v/>
      </c>
      <c r="M214" s="41">
        <f>L214-K214</f>
        <v/>
      </c>
      <c r="N214" s="37">
        <f>COUNTIF('Billing Aug'!$D$2:$D$770,A214)</f>
        <v/>
      </c>
      <c r="O214" s="37">
        <f>SUMIFS('Billing Aug'!$F$2:$F$770,'Billing Aug'!$D$2:$D$770,A214)</f>
        <v/>
      </c>
      <c r="P214" s="41">
        <f>IF(N214=0,0,L214-SUMIFS('Billing Aug'!$H$2:$H$770,'Billing Aug'!$D$2:$D$770,A214)*SUMIFS('Billing Aug'!$I$2:$I$770,'Billing Aug'!$D$2:$D$770,A214))</f>
        <v/>
      </c>
      <c r="Q214" s="37">
        <f>IF(N214=0,"NO AUG TRANSACTION IN SUPPLIED EXTRACT",IF(ABS(P214)&gt;0.004,"SUBLEDGER ARITHMETIC ERROR",IF(ABS(M214)&gt;0.004,"BILLING VARIANCE","MATCH")))</f>
        <v/>
      </c>
    </row>
    <row r="215">
      <c r="A215" s="37" t="inlineStr">
        <is>
          <t>LP-1011</t>
        </is>
      </c>
      <c r="B215" s="37" t="inlineStr">
        <is>
          <t>Ledgport</t>
        </is>
      </c>
      <c r="C215" s="37" t="inlineStr">
        <is>
          <t>COVERED</t>
        </is>
      </c>
      <c r="D215" s="37" t="inlineStr">
        <is>
          <t>OCCUPIED</t>
        </is>
      </c>
      <c r="E215" s="37" t="inlineStr">
        <is>
          <t>WL-02925</t>
        </is>
      </c>
      <c r="F215" s="37" t="inlineStr">
        <is>
          <t>Leslie Marsh</t>
        </is>
      </c>
      <c r="G215" s="37" t="n">
        <v>24</v>
      </c>
      <c r="H215" s="39" t="n">
        <v>40.9</v>
      </c>
      <c r="I215" s="40">
        <f>ROUNDUP(MAX(G215,H215),0)</f>
        <v/>
      </c>
      <c r="J215" s="41">
        <f>IF(C215="COVERED",'Methodology'!$B$9,'Methodology'!$B$10)</f>
        <v/>
      </c>
      <c r="K215" s="41">
        <f>I215*J215</f>
        <v/>
      </c>
      <c r="L215" s="41">
        <f>SUMIFS('Billing Aug'!$J$2:$J$770,'Billing Aug'!$D$2:$D$770,A215)</f>
        <v/>
      </c>
      <c r="M215" s="41">
        <f>L215-K215</f>
        <v/>
      </c>
      <c r="N215" s="37">
        <f>COUNTIF('Billing Aug'!$D$2:$D$770,A215)</f>
        <v/>
      </c>
      <c r="O215" s="37">
        <f>SUMIFS('Billing Aug'!$F$2:$F$770,'Billing Aug'!$D$2:$D$770,A215)</f>
        <v/>
      </c>
      <c r="P215" s="41">
        <f>IF(N215=0,0,L215-SUMIFS('Billing Aug'!$H$2:$H$770,'Billing Aug'!$D$2:$D$770,A215)*SUMIFS('Billing Aug'!$I$2:$I$770,'Billing Aug'!$D$2:$D$770,A215))</f>
        <v/>
      </c>
      <c r="Q215" s="37">
        <f>IF(N215=0,"NO AUG TRANSACTION IN SUPPLIED EXTRACT",IF(ABS(P215)&gt;0.004,"SUBLEDGER ARITHMETIC ERROR",IF(ABS(M215)&gt;0.004,"BILLING VARIANCE","MATCH")))</f>
        <v/>
      </c>
    </row>
    <row r="216">
      <c r="A216" s="37" t="inlineStr">
        <is>
          <t>LP-1012</t>
        </is>
      </c>
      <c r="B216" s="37" t="inlineStr">
        <is>
          <t>Ledgport</t>
        </is>
      </c>
      <c r="C216" s="37" t="inlineStr">
        <is>
          <t>COVERED</t>
        </is>
      </c>
      <c r="D216" s="37" t="inlineStr">
        <is>
          <t>OCCUPIED</t>
        </is>
      </c>
      <c r="E216" s="37" t="inlineStr">
        <is>
          <t>WL-02088</t>
        </is>
      </c>
      <c r="F216" s="37" t="inlineStr">
        <is>
          <t>Yvonne Collins</t>
        </is>
      </c>
      <c r="G216" s="37" t="n">
        <v>28</v>
      </c>
      <c r="H216" s="39" t="n">
        <v>28.7</v>
      </c>
      <c r="I216" s="40">
        <f>ROUNDUP(MAX(G216,H216),0)</f>
        <v/>
      </c>
      <c r="J216" s="41">
        <f>IF(C216="COVERED",'Methodology'!$B$9,'Methodology'!$B$10)</f>
        <v/>
      </c>
      <c r="K216" s="41">
        <f>I216*J216</f>
        <v/>
      </c>
      <c r="L216" s="41">
        <f>SUMIFS('Billing Aug'!$J$2:$J$770,'Billing Aug'!$D$2:$D$770,A216)</f>
        <v/>
      </c>
      <c r="M216" s="41">
        <f>L216-K216</f>
        <v/>
      </c>
      <c r="N216" s="37">
        <f>COUNTIF('Billing Aug'!$D$2:$D$770,A216)</f>
        <v/>
      </c>
      <c r="O216" s="37">
        <f>SUMIFS('Billing Aug'!$F$2:$F$770,'Billing Aug'!$D$2:$D$770,A216)</f>
        <v/>
      </c>
      <c r="P216" s="41">
        <f>IF(N216=0,0,L216-SUMIFS('Billing Aug'!$H$2:$H$770,'Billing Aug'!$D$2:$D$770,A216)*SUMIFS('Billing Aug'!$I$2:$I$770,'Billing Aug'!$D$2:$D$770,A216))</f>
        <v/>
      </c>
      <c r="Q216" s="37">
        <f>IF(N216=0,"NO AUG TRANSACTION IN SUPPLIED EXTRACT",IF(ABS(P216)&gt;0.004,"SUBLEDGER ARITHMETIC ERROR",IF(ABS(M216)&gt;0.004,"BILLING VARIANCE","MATCH")))</f>
        <v/>
      </c>
    </row>
    <row r="217">
      <c r="A217" s="37" t="inlineStr">
        <is>
          <t>LP-1013</t>
        </is>
      </c>
      <c r="B217" s="37" t="inlineStr">
        <is>
          <t>Ledgport</t>
        </is>
      </c>
      <c r="C217" s="37" t="inlineStr">
        <is>
          <t>COVERED</t>
        </is>
      </c>
      <c r="D217" s="37" t="inlineStr">
        <is>
          <t>OCCUPIED</t>
        </is>
      </c>
      <c r="E217" s="37" t="inlineStr">
        <is>
          <t>WL-01242</t>
        </is>
      </c>
      <c r="F217" s="37" t="inlineStr">
        <is>
          <t>Melissa Villanueva</t>
        </is>
      </c>
      <c r="G217" s="37" t="n">
        <v>28</v>
      </c>
      <c r="H217" s="39" t="n">
        <v>19.5</v>
      </c>
      <c r="I217" s="40">
        <f>ROUNDUP(MAX(G217,H217),0)</f>
        <v/>
      </c>
      <c r="J217" s="41">
        <f>IF(C217="COVERED",'Methodology'!$B$9,'Methodology'!$B$10)</f>
        <v/>
      </c>
      <c r="K217" s="41">
        <f>I217*J217</f>
        <v/>
      </c>
      <c r="L217" s="41">
        <f>SUMIFS('Billing Aug'!$J$2:$J$770,'Billing Aug'!$D$2:$D$770,A217)</f>
        <v/>
      </c>
      <c r="M217" s="41">
        <f>L217-K217</f>
        <v/>
      </c>
      <c r="N217" s="37">
        <f>COUNTIF('Billing Aug'!$D$2:$D$770,A217)</f>
        <v/>
      </c>
      <c r="O217" s="37">
        <f>SUMIFS('Billing Aug'!$F$2:$F$770,'Billing Aug'!$D$2:$D$770,A217)</f>
        <v/>
      </c>
      <c r="P217" s="41">
        <f>IF(N217=0,0,L217-SUMIFS('Billing Aug'!$H$2:$H$770,'Billing Aug'!$D$2:$D$770,A217)*SUMIFS('Billing Aug'!$I$2:$I$770,'Billing Aug'!$D$2:$D$770,A217))</f>
        <v/>
      </c>
      <c r="Q217" s="37">
        <f>IF(N217=0,"NO AUG TRANSACTION IN SUPPLIED EXTRACT",IF(ABS(P217)&gt;0.004,"SUBLEDGER ARITHMETIC ERROR",IF(ABS(M217)&gt;0.004,"BILLING VARIANCE","MATCH")))</f>
        <v/>
      </c>
    </row>
    <row r="218">
      <c r="A218" s="37" t="inlineStr">
        <is>
          <t>LP-1014</t>
        </is>
      </c>
      <c r="B218" s="37" t="inlineStr">
        <is>
          <t>Ledgport</t>
        </is>
      </c>
      <c r="C218" s="37" t="inlineStr">
        <is>
          <t>COVERED</t>
        </is>
      </c>
      <c r="D218" s="37" t="inlineStr">
        <is>
          <t>OCCUPIED</t>
        </is>
      </c>
      <c r="E218" s="37" t="inlineStr">
        <is>
          <t>WL-02535</t>
        </is>
      </c>
      <c r="F218" s="37" t="inlineStr">
        <is>
          <t>Shari Hess</t>
        </is>
      </c>
      <c r="G218" s="37" t="n">
        <v>24</v>
      </c>
      <c r="H218" s="39" t="n">
        <v>19.4</v>
      </c>
      <c r="I218" s="40">
        <f>ROUNDUP(MAX(G218,H218),0)</f>
        <v/>
      </c>
      <c r="J218" s="41">
        <f>IF(C218="COVERED",'Methodology'!$B$9,'Methodology'!$B$10)</f>
        <v/>
      </c>
      <c r="K218" s="41">
        <f>I218*J218</f>
        <v/>
      </c>
      <c r="L218" s="41">
        <f>SUMIFS('Billing Aug'!$J$2:$J$770,'Billing Aug'!$D$2:$D$770,A218)</f>
        <v/>
      </c>
      <c r="M218" s="41">
        <f>L218-K218</f>
        <v/>
      </c>
      <c r="N218" s="37">
        <f>COUNTIF('Billing Aug'!$D$2:$D$770,A218)</f>
        <v/>
      </c>
      <c r="O218" s="37">
        <f>SUMIFS('Billing Aug'!$F$2:$F$770,'Billing Aug'!$D$2:$D$770,A218)</f>
        <v/>
      </c>
      <c r="P218" s="41">
        <f>IF(N218=0,0,L218-SUMIFS('Billing Aug'!$H$2:$H$770,'Billing Aug'!$D$2:$D$770,A218)*SUMIFS('Billing Aug'!$I$2:$I$770,'Billing Aug'!$D$2:$D$770,A218))</f>
        <v/>
      </c>
      <c r="Q218" s="37">
        <f>IF(N218=0,"NO AUG TRANSACTION IN SUPPLIED EXTRACT",IF(ABS(P218)&gt;0.004,"SUBLEDGER ARITHMETIC ERROR",IF(ABS(M218)&gt;0.004,"BILLING VARIANCE","MATCH")))</f>
        <v/>
      </c>
    </row>
    <row r="219">
      <c r="A219" s="37" t="inlineStr">
        <is>
          <t>LP-1016</t>
        </is>
      </c>
      <c r="B219" s="37" t="inlineStr">
        <is>
          <t>Ledgport</t>
        </is>
      </c>
      <c r="C219" s="37" t="inlineStr">
        <is>
          <t>COVERED</t>
        </is>
      </c>
      <c r="D219" s="37" t="inlineStr">
        <is>
          <t>OCCUPIED</t>
        </is>
      </c>
      <c r="E219" s="37" t="inlineStr">
        <is>
          <t>WL-03089</t>
        </is>
      </c>
      <c r="F219" s="37" t="inlineStr">
        <is>
          <t>Joshua Rivera</t>
        </is>
      </c>
      <c r="G219" s="37" t="n">
        <v>28</v>
      </c>
      <c r="H219" s="39" t="n">
        <v>25.9</v>
      </c>
      <c r="I219" s="40">
        <f>ROUNDUP(MAX(G219,H219),0)</f>
        <v/>
      </c>
      <c r="J219" s="41">
        <f>IF(C219="COVERED",'Methodology'!$B$9,'Methodology'!$B$10)</f>
        <v/>
      </c>
      <c r="K219" s="41">
        <f>I219*J219</f>
        <v/>
      </c>
      <c r="L219" s="41">
        <f>SUMIFS('Billing Aug'!$J$2:$J$770,'Billing Aug'!$D$2:$D$770,A219)</f>
        <v/>
      </c>
      <c r="M219" s="41">
        <f>L219-K219</f>
        <v/>
      </c>
      <c r="N219" s="37">
        <f>COUNTIF('Billing Aug'!$D$2:$D$770,A219)</f>
        <v/>
      </c>
      <c r="O219" s="37">
        <f>SUMIFS('Billing Aug'!$F$2:$F$770,'Billing Aug'!$D$2:$D$770,A219)</f>
        <v/>
      </c>
      <c r="P219" s="41">
        <f>IF(N219=0,0,L219-SUMIFS('Billing Aug'!$H$2:$H$770,'Billing Aug'!$D$2:$D$770,A219)*SUMIFS('Billing Aug'!$I$2:$I$770,'Billing Aug'!$D$2:$D$770,A219))</f>
        <v/>
      </c>
      <c r="Q219" s="37">
        <f>IF(N219=0,"NO AUG TRANSACTION IN SUPPLIED EXTRACT",IF(ABS(P219)&gt;0.004,"SUBLEDGER ARITHMETIC ERROR",IF(ABS(M219)&gt;0.004,"BILLING VARIANCE","MATCH")))</f>
        <v/>
      </c>
    </row>
    <row r="220">
      <c r="A220" s="37" t="inlineStr">
        <is>
          <t>LP-1017</t>
        </is>
      </c>
      <c r="B220" s="37" t="inlineStr">
        <is>
          <t>Ledgport</t>
        </is>
      </c>
      <c r="C220" s="37" t="inlineStr">
        <is>
          <t>COVERED</t>
        </is>
      </c>
      <c r="D220" s="37" t="inlineStr">
        <is>
          <t>OCCUPIED</t>
        </is>
      </c>
      <c r="E220" s="37" t="inlineStr">
        <is>
          <t>WL-01838</t>
        </is>
      </c>
      <c r="F220" s="37" t="inlineStr">
        <is>
          <t>James Gregory</t>
        </is>
      </c>
      <c r="G220" s="37" t="n">
        <v>32</v>
      </c>
      <c r="H220" s="39" t="n">
        <v>55.1</v>
      </c>
      <c r="I220" s="40">
        <f>ROUNDUP(MAX(G220,H220),0)</f>
        <v/>
      </c>
      <c r="J220" s="41">
        <f>IF(C220="COVERED",'Methodology'!$B$9,'Methodology'!$B$10)</f>
        <v/>
      </c>
      <c r="K220" s="41">
        <f>I220*J220</f>
        <v/>
      </c>
      <c r="L220" s="41">
        <f>SUMIFS('Billing Aug'!$J$2:$J$770,'Billing Aug'!$D$2:$D$770,A220)</f>
        <v/>
      </c>
      <c r="M220" s="41">
        <f>L220-K220</f>
        <v/>
      </c>
      <c r="N220" s="37">
        <f>COUNTIF('Billing Aug'!$D$2:$D$770,A220)</f>
        <v/>
      </c>
      <c r="O220" s="37">
        <f>SUMIFS('Billing Aug'!$F$2:$F$770,'Billing Aug'!$D$2:$D$770,A220)</f>
        <v/>
      </c>
      <c r="P220" s="41">
        <f>IF(N220=0,0,L220-SUMIFS('Billing Aug'!$H$2:$H$770,'Billing Aug'!$D$2:$D$770,A220)*SUMIFS('Billing Aug'!$I$2:$I$770,'Billing Aug'!$D$2:$D$770,A220))</f>
        <v/>
      </c>
      <c r="Q220" s="37">
        <f>IF(N220=0,"NO AUG TRANSACTION IN SUPPLIED EXTRACT",IF(ABS(P220)&gt;0.004,"SUBLEDGER ARITHMETIC ERROR",IF(ABS(M220)&gt;0.004,"BILLING VARIANCE","MATCH")))</f>
        <v/>
      </c>
    </row>
    <row r="221">
      <c r="A221" s="37" t="inlineStr">
        <is>
          <t>LP-1018</t>
        </is>
      </c>
      <c r="B221" s="37" t="inlineStr">
        <is>
          <t>Ledgport</t>
        </is>
      </c>
      <c r="C221" s="37" t="inlineStr">
        <is>
          <t>COVERED</t>
        </is>
      </c>
      <c r="D221" s="37" t="inlineStr">
        <is>
          <t>OCCUPIED</t>
        </is>
      </c>
      <c r="E221" s="37" t="inlineStr">
        <is>
          <t>WL-01243</t>
        </is>
      </c>
      <c r="F221" s="37" t="inlineStr">
        <is>
          <t>Christina Rivera</t>
        </is>
      </c>
      <c r="G221" s="37" t="n">
        <v>32</v>
      </c>
      <c r="H221" s="39" t="n">
        <v>53.2</v>
      </c>
      <c r="I221" s="40">
        <f>ROUNDUP(MAX(G221,H221),0)</f>
        <v/>
      </c>
      <c r="J221" s="41">
        <f>IF(C221="COVERED",'Methodology'!$B$9,'Methodology'!$B$10)</f>
        <v/>
      </c>
      <c r="K221" s="41">
        <f>I221*J221</f>
        <v/>
      </c>
      <c r="L221" s="41">
        <f>SUMIFS('Billing Aug'!$J$2:$J$770,'Billing Aug'!$D$2:$D$770,A221)</f>
        <v/>
      </c>
      <c r="M221" s="41">
        <f>L221-K221</f>
        <v/>
      </c>
      <c r="N221" s="37">
        <f>COUNTIF('Billing Aug'!$D$2:$D$770,A221)</f>
        <v/>
      </c>
      <c r="O221" s="37">
        <f>SUMIFS('Billing Aug'!$F$2:$F$770,'Billing Aug'!$D$2:$D$770,A221)</f>
        <v/>
      </c>
      <c r="P221" s="41">
        <f>IF(N221=0,0,L221-SUMIFS('Billing Aug'!$H$2:$H$770,'Billing Aug'!$D$2:$D$770,A221)*SUMIFS('Billing Aug'!$I$2:$I$770,'Billing Aug'!$D$2:$D$770,A221))</f>
        <v/>
      </c>
      <c r="Q221" s="37">
        <f>IF(N221=0,"NO AUG TRANSACTION IN SUPPLIED EXTRACT",IF(ABS(P221)&gt;0.004,"SUBLEDGER ARITHMETIC ERROR",IF(ABS(M221)&gt;0.004,"BILLING VARIANCE","MATCH")))</f>
        <v/>
      </c>
    </row>
    <row r="222">
      <c r="A222" s="37" t="inlineStr">
        <is>
          <t>LP-1020</t>
        </is>
      </c>
      <c r="B222" s="37" t="inlineStr">
        <is>
          <t>Ledgport</t>
        </is>
      </c>
      <c r="C222" s="37" t="inlineStr">
        <is>
          <t>COVERED</t>
        </is>
      </c>
      <c r="D222" s="37" t="inlineStr">
        <is>
          <t>OCCUPIED</t>
        </is>
      </c>
      <c r="E222" s="37" t="inlineStr">
        <is>
          <t>WL-01990</t>
        </is>
      </c>
      <c r="F222" s="37" t="inlineStr">
        <is>
          <t>Michael Taylor</t>
        </is>
      </c>
      <c r="G222" s="37" t="n">
        <v>32</v>
      </c>
      <c r="H222" s="39" t="n">
        <v>25.1</v>
      </c>
      <c r="I222" s="40">
        <f>ROUNDUP(MAX(G222,H222),0)</f>
        <v/>
      </c>
      <c r="J222" s="41">
        <f>IF(C222="COVERED",'Methodology'!$B$9,'Methodology'!$B$10)</f>
        <v/>
      </c>
      <c r="K222" s="41">
        <f>I222*J222</f>
        <v/>
      </c>
      <c r="L222" s="41">
        <f>SUMIFS('Billing Aug'!$J$2:$J$770,'Billing Aug'!$D$2:$D$770,A222)</f>
        <v/>
      </c>
      <c r="M222" s="41">
        <f>L222-K222</f>
        <v/>
      </c>
      <c r="N222" s="37">
        <f>COUNTIF('Billing Aug'!$D$2:$D$770,A222)</f>
        <v/>
      </c>
      <c r="O222" s="37">
        <f>SUMIFS('Billing Aug'!$F$2:$F$770,'Billing Aug'!$D$2:$D$770,A222)</f>
        <v/>
      </c>
      <c r="P222" s="41">
        <f>IF(N222=0,0,L222-SUMIFS('Billing Aug'!$H$2:$H$770,'Billing Aug'!$D$2:$D$770,A222)*SUMIFS('Billing Aug'!$I$2:$I$770,'Billing Aug'!$D$2:$D$770,A222))</f>
        <v/>
      </c>
      <c r="Q222" s="37">
        <f>IF(N222=0,"NO AUG TRANSACTION IN SUPPLIED EXTRACT",IF(ABS(P222)&gt;0.004,"SUBLEDGER ARITHMETIC ERROR",IF(ABS(M222)&gt;0.004,"BILLING VARIANCE","MATCH")))</f>
        <v/>
      </c>
    </row>
    <row r="223">
      <c r="A223" s="37" t="inlineStr">
        <is>
          <t>LP-1021</t>
        </is>
      </c>
      <c r="B223" s="37" t="inlineStr">
        <is>
          <t>Ledgport</t>
        </is>
      </c>
      <c r="C223" s="37" t="inlineStr">
        <is>
          <t>COVERED</t>
        </is>
      </c>
      <c r="D223" s="37" t="inlineStr">
        <is>
          <t>OCCUPIED</t>
        </is>
      </c>
      <c r="E223" s="37" t="inlineStr">
        <is>
          <t>WL-02827</t>
        </is>
      </c>
      <c r="F223" s="37" t="inlineStr">
        <is>
          <t>Kimberly Wilson</t>
        </is>
      </c>
      <c r="G223" s="37" t="n">
        <v>24</v>
      </c>
      <c r="H223" s="39" t="n">
        <v>36.2</v>
      </c>
      <c r="I223" s="40">
        <f>ROUNDUP(MAX(G223,H223),0)</f>
        <v/>
      </c>
      <c r="J223" s="41">
        <f>IF(C223="COVERED",'Methodology'!$B$9,'Methodology'!$B$10)</f>
        <v/>
      </c>
      <c r="K223" s="41">
        <f>I223*J223</f>
        <v/>
      </c>
      <c r="L223" s="41">
        <f>SUMIFS('Billing Aug'!$J$2:$J$770,'Billing Aug'!$D$2:$D$770,A223)</f>
        <v/>
      </c>
      <c r="M223" s="41">
        <f>L223-K223</f>
        <v/>
      </c>
      <c r="N223" s="37">
        <f>COUNTIF('Billing Aug'!$D$2:$D$770,A223)</f>
        <v/>
      </c>
      <c r="O223" s="37">
        <f>SUMIFS('Billing Aug'!$F$2:$F$770,'Billing Aug'!$D$2:$D$770,A223)</f>
        <v/>
      </c>
      <c r="P223" s="41">
        <f>IF(N223=0,0,L223-SUMIFS('Billing Aug'!$H$2:$H$770,'Billing Aug'!$D$2:$D$770,A223)*SUMIFS('Billing Aug'!$I$2:$I$770,'Billing Aug'!$D$2:$D$770,A223))</f>
        <v/>
      </c>
      <c r="Q223" s="37">
        <f>IF(N223=0,"NO AUG TRANSACTION IN SUPPLIED EXTRACT",IF(ABS(P223)&gt;0.004,"SUBLEDGER ARITHMETIC ERROR",IF(ABS(M223)&gt;0.004,"BILLING VARIANCE","MATCH")))</f>
        <v/>
      </c>
    </row>
    <row r="224">
      <c r="A224" s="37" t="inlineStr">
        <is>
          <t>LP-1022</t>
        </is>
      </c>
      <c r="B224" s="37" t="inlineStr">
        <is>
          <t>Ledgport</t>
        </is>
      </c>
      <c r="C224" s="37" t="inlineStr">
        <is>
          <t>COVERED</t>
        </is>
      </c>
      <c r="D224" s="37" t="inlineStr">
        <is>
          <t>OCCUPIED</t>
        </is>
      </c>
      <c r="E224" s="37" t="inlineStr">
        <is>
          <t>WL-01807</t>
        </is>
      </c>
      <c r="F224" s="37" t="inlineStr">
        <is>
          <t>Kathleen Mcdonald</t>
        </is>
      </c>
      <c r="G224" s="37" t="n">
        <v>24</v>
      </c>
      <c r="H224" s="39" t="n">
        <v>28.7</v>
      </c>
      <c r="I224" s="40">
        <f>ROUNDUP(MAX(G224,H224),0)</f>
        <v/>
      </c>
      <c r="J224" s="41">
        <f>IF(C224="COVERED",'Methodology'!$B$9,'Methodology'!$B$10)</f>
        <v/>
      </c>
      <c r="K224" s="41">
        <f>I224*J224</f>
        <v/>
      </c>
      <c r="L224" s="41">
        <f>SUMIFS('Billing Aug'!$J$2:$J$770,'Billing Aug'!$D$2:$D$770,A224)</f>
        <v/>
      </c>
      <c r="M224" s="41">
        <f>L224-K224</f>
        <v/>
      </c>
      <c r="N224" s="37">
        <f>COUNTIF('Billing Aug'!$D$2:$D$770,A224)</f>
        <v/>
      </c>
      <c r="O224" s="37">
        <f>SUMIFS('Billing Aug'!$F$2:$F$770,'Billing Aug'!$D$2:$D$770,A224)</f>
        <v/>
      </c>
      <c r="P224" s="41">
        <f>IF(N224=0,0,L224-SUMIFS('Billing Aug'!$H$2:$H$770,'Billing Aug'!$D$2:$D$770,A224)*SUMIFS('Billing Aug'!$I$2:$I$770,'Billing Aug'!$D$2:$D$770,A224))</f>
        <v/>
      </c>
      <c r="Q224" s="37">
        <f>IF(N224=0,"NO AUG TRANSACTION IN SUPPLIED EXTRACT",IF(ABS(P224)&gt;0.004,"SUBLEDGER ARITHMETIC ERROR",IF(ABS(M224)&gt;0.004,"BILLING VARIANCE","MATCH")))</f>
        <v/>
      </c>
    </row>
    <row r="225">
      <c r="A225" s="37" t="inlineStr">
        <is>
          <t>LP-1023</t>
        </is>
      </c>
      <c r="B225" s="37" t="inlineStr">
        <is>
          <t>Ledgport</t>
        </is>
      </c>
      <c r="C225" s="37" t="inlineStr">
        <is>
          <t>COVERED</t>
        </is>
      </c>
      <c r="D225" s="37" t="inlineStr">
        <is>
          <t>OCCUPIED</t>
        </is>
      </c>
      <c r="E225" s="37" t="inlineStr">
        <is>
          <t>WL-01364</t>
        </is>
      </c>
      <c r="F225" s="37" t="inlineStr">
        <is>
          <t>Patrick Richmond</t>
        </is>
      </c>
      <c r="G225" s="37" t="n">
        <v>24</v>
      </c>
      <c r="H225" s="39" t="n">
        <v>20</v>
      </c>
      <c r="I225" s="40">
        <f>ROUNDUP(MAX(G225,H225),0)</f>
        <v/>
      </c>
      <c r="J225" s="41">
        <f>IF(C225="COVERED",'Methodology'!$B$9,'Methodology'!$B$10)</f>
        <v/>
      </c>
      <c r="K225" s="41">
        <f>I225*J225</f>
        <v/>
      </c>
      <c r="L225" s="41">
        <f>SUMIFS('Billing Aug'!$J$2:$J$770,'Billing Aug'!$D$2:$D$770,A225)</f>
        <v/>
      </c>
      <c r="M225" s="41">
        <f>L225-K225</f>
        <v/>
      </c>
      <c r="N225" s="37">
        <f>COUNTIF('Billing Aug'!$D$2:$D$770,A225)</f>
        <v/>
      </c>
      <c r="O225" s="37">
        <f>SUMIFS('Billing Aug'!$F$2:$F$770,'Billing Aug'!$D$2:$D$770,A225)</f>
        <v/>
      </c>
      <c r="P225" s="41">
        <f>IF(N225=0,0,L225-SUMIFS('Billing Aug'!$H$2:$H$770,'Billing Aug'!$D$2:$D$770,A225)*SUMIFS('Billing Aug'!$I$2:$I$770,'Billing Aug'!$D$2:$D$770,A225))</f>
        <v/>
      </c>
      <c r="Q225" s="37">
        <f>IF(N225=0,"NO AUG TRANSACTION IN SUPPLIED EXTRACT",IF(ABS(P225)&gt;0.004,"SUBLEDGER ARITHMETIC ERROR",IF(ABS(M225)&gt;0.004,"BILLING VARIANCE","MATCH")))</f>
        <v/>
      </c>
    </row>
    <row r="226">
      <c r="A226" s="37" t="inlineStr">
        <is>
          <t>LP-1024</t>
        </is>
      </c>
      <c r="B226" s="37" t="inlineStr">
        <is>
          <t>Ledgport</t>
        </is>
      </c>
      <c r="C226" s="37" t="inlineStr">
        <is>
          <t>COVERED</t>
        </is>
      </c>
      <c r="D226" s="37" t="inlineStr">
        <is>
          <t>OCCUPIED</t>
        </is>
      </c>
      <c r="E226" s="37" t="inlineStr">
        <is>
          <t>WL-01028</t>
        </is>
      </c>
      <c r="F226" s="37" t="inlineStr">
        <is>
          <t>Brittany Benson</t>
        </is>
      </c>
      <c r="G226" s="37" t="n">
        <v>32</v>
      </c>
      <c r="H226" s="39" t="n">
        <v>53.7</v>
      </c>
      <c r="I226" s="40">
        <f>ROUNDUP(MAX(G226,H226),0)</f>
        <v/>
      </c>
      <c r="J226" s="41">
        <f>IF(C226="COVERED",'Methodology'!$B$9,'Methodology'!$B$10)</f>
        <v/>
      </c>
      <c r="K226" s="41">
        <f>I226*J226</f>
        <v/>
      </c>
      <c r="L226" s="41">
        <f>SUMIFS('Billing Aug'!$J$2:$J$770,'Billing Aug'!$D$2:$D$770,A226)</f>
        <v/>
      </c>
      <c r="M226" s="41">
        <f>L226-K226</f>
        <v/>
      </c>
      <c r="N226" s="37">
        <f>COUNTIF('Billing Aug'!$D$2:$D$770,A226)</f>
        <v/>
      </c>
      <c r="O226" s="37">
        <f>SUMIFS('Billing Aug'!$F$2:$F$770,'Billing Aug'!$D$2:$D$770,A226)</f>
        <v/>
      </c>
      <c r="P226" s="41">
        <f>IF(N226=0,0,L226-SUMIFS('Billing Aug'!$H$2:$H$770,'Billing Aug'!$D$2:$D$770,A226)*SUMIFS('Billing Aug'!$I$2:$I$770,'Billing Aug'!$D$2:$D$770,A226))</f>
        <v/>
      </c>
      <c r="Q226" s="37">
        <f>IF(N226=0,"NO AUG TRANSACTION IN SUPPLIED EXTRACT",IF(ABS(P226)&gt;0.004,"SUBLEDGER ARITHMETIC ERROR",IF(ABS(M226)&gt;0.004,"BILLING VARIANCE","MATCH")))</f>
        <v/>
      </c>
    </row>
    <row r="227">
      <c r="A227" s="37" t="inlineStr">
        <is>
          <t>LP-1102</t>
        </is>
      </c>
      <c r="B227" s="37" t="inlineStr">
        <is>
          <t>Ledgport</t>
        </is>
      </c>
      <c r="C227" s="37" t="inlineStr">
        <is>
          <t>COVERED</t>
        </is>
      </c>
      <c r="D227" s="37" t="inlineStr">
        <is>
          <t>OCCUPIED</t>
        </is>
      </c>
      <c r="E227" s="37" t="inlineStr">
        <is>
          <t>WL-03792</t>
        </is>
      </c>
      <c r="F227" s="37" t="inlineStr">
        <is>
          <t>Rodney Morris</t>
        </is>
      </c>
      <c r="G227" s="37" t="n">
        <v>28</v>
      </c>
      <c r="H227" s="39" t="n">
        <v>54.9</v>
      </c>
      <c r="I227" s="40">
        <f>ROUNDUP(MAX(G227,H227),0)</f>
        <v/>
      </c>
      <c r="J227" s="41">
        <f>IF(C227="COVERED",'Methodology'!$B$9,'Methodology'!$B$10)</f>
        <v/>
      </c>
      <c r="K227" s="41">
        <f>I227*J227</f>
        <v/>
      </c>
      <c r="L227" s="41">
        <f>SUMIFS('Billing Aug'!$J$2:$J$770,'Billing Aug'!$D$2:$D$770,A227)</f>
        <v/>
      </c>
      <c r="M227" s="41">
        <f>L227-K227</f>
        <v/>
      </c>
      <c r="N227" s="37">
        <f>COUNTIF('Billing Aug'!$D$2:$D$770,A227)</f>
        <v/>
      </c>
      <c r="O227" s="37">
        <f>SUMIFS('Billing Aug'!$F$2:$F$770,'Billing Aug'!$D$2:$D$770,A227)</f>
        <v/>
      </c>
      <c r="P227" s="41">
        <f>IF(N227=0,0,L227-SUMIFS('Billing Aug'!$H$2:$H$770,'Billing Aug'!$D$2:$D$770,A227)*SUMIFS('Billing Aug'!$I$2:$I$770,'Billing Aug'!$D$2:$D$770,A227))</f>
        <v/>
      </c>
      <c r="Q227" s="37">
        <f>IF(N227=0,"NO AUG TRANSACTION IN SUPPLIED EXTRACT",IF(ABS(P227)&gt;0.004,"SUBLEDGER ARITHMETIC ERROR",IF(ABS(M227)&gt;0.004,"BILLING VARIANCE","MATCH")))</f>
        <v/>
      </c>
    </row>
    <row r="228">
      <c r="A228" s="37" t="inlineStr">
        <is>
          <t>LP-1103</t>
        </is>
      </c>
      <c r="B228" s="37" t="inlineStr">
        <is>
          <t>Ledgport</t>
        </is>
      </c>
      <c r="C228" s="37" t="inlineStr">
        <is>
          <t>COVERED</t>
        </is>
      </c>
      <c r="D228" s="37" t="inlineStr">
        <is>
          <t>OCCUPIED</t>
        </is>
      </c>
      <c r="E228" s="37" t="inlineStr">
        <is>
          <t>WL-03118</t>
        </is>
      </c>
      <c r="F228" s="37" t="inlineStr">
        <is>
          <t>Amanda Clayton</t>
        </is>
      </c>
      <c r="G228" s="37" t="n">
        <v>32</v>
      </c>
      <c r="H228" s="39" t="n">
        <v>23.2</v>
      </c>
      <c r="I228" s="40">
        <f>ROUNDUP(MAX(G228,H228),0)</f>
        <v/>
      </c>
      <c r="J228" s="41">
        <f>IF(C228="COVERED",'Methodology'!$B$9,'Methodology'!$B$10)</f>
        <v/>
      </c>
      <c r="K228" s="41">
        <f>I228*J228</f>
        <v/>
      </c>
      <c r="L228" s="41">
        <f>SUMIFS('Billing Aug'!$J$2:$J$770,'Billing Aug'!$D$2:$D$770,A228)</f>
        <v/>
      </c>
      <c r="M228" s="41">
        <f>L228-K228</f>
        <v/>
      </c>
      <c r="N228" s="37">
        <f>COUNTIF('Billing Aug'!$D$2:$D$770,A228)</f>
        <v/>
      </c>
      <c r="O228" s="37">
        <f>SUMIFS('Billing Aug'!$F$2:$F$770,'Billing Aug'!$D$2:$D$770,A228)</f>
        <v/>
      </c>
      <c r="P228" s="41">
        <f>IF(N228=0,0,L228-SUMIFS('Billing Aug'!$H$2:$H$770,'Billing Aug'!$D$2:$D$770,A228)*SUMIFS('Billing Aug'!$I$2:$I$770,'Billing Aug'!$D$2:$D$770,A228))</f>
        <v/>
      </c>
      <c r="Q228" s="37">
        <f>IF(N228=0,"NO AUG TRANSACTION IN SUPPLIED EXTRACT",IF(ABS(P228)&gt;0.004,"SUBLEDGER ARITHMETIC ERROR",IF(ABS(M228)&gt;0.004,"BILLING VARIANCE","MATCH")))</f>
        <v/>
      </c>
    </row>
    <row r="229">
      <c r="A229" s="37" t="inlineStr">
        <is>
          <t>LP-1104</t>
        </is>
      </c>
      <c r="B229" s="37" t="inlineStr">
        <is>
          <t>Ledgport</t>
        </is>
      </c>
      <c r="C229" s="37" t="inlineStr">
        <is>
          <t>COVERED</t>
        </is>
      </c>
      <c r="D229" s="37" t="inlineStr">
        <is>
          <t>OCCUPIED</t>
        </is>
      </c>
      <c r="E229" s="37" t="inlineStr">
        <is>
          <t>WL-03003</t>
        </is>
      </c>
      <c r="F229" s="37" t="inlineStr">
        <is>
          <t>Trevor Turner</t>
        </is>
      </c>
      <c r="G229" s="37" t="n">
        <v>32</v>
      </c>
      <c r="H229" s="39" t="n">
        <v>53.6</v>
      </c>
      <c r="I229" s="40">
        <f>ROUNDUP(MAX(G229,H229),0)</f>
        <v/>
      </c>
      <c r="J229" s="41">
        <f>IF(C229="COVERED",'Methodology'!$B$9,'Methodology'!$B$10)</f>
        <v/>
      </c>
      <c r="K229" s="41">
        <f>I229*J229</f>
        <v/>
      </c>
      <c r="L229" s="41">
        <f>SUMIFS('Billing Aug'!$J$2:$J$770,'Billing Aug'!$D$2:$D$770,A229)</f>
        <v/>
      </c>
      <c r="M229" s="41">
        <f>L229-K229</f>
        <v/>
      </c>
      <c r="N229" s="37">
        <f>COUNTIF('Billing Aug'!$D$2:$D$770,A229)</f>
        <v/>
      </c>
      <c r="O229" s="37">
        <f>SUMIFS('Billing Aug'!$F$2:$F$770,'Billing Aug'!$D$2:$D$770,A229)</f>
        <v/>
      </c>
      <c r="P229" s="41">
        <f>IF(N229=0,0,L229-SUMIFS('Billing Aug'!$H$2:$H$770,'Billing Aug'!$D$2:$D$770,A229)*SUMIFS('Billing Aug'!$I$2:$I$770,'Billing Aug'!$D$2:$D$770,A229))</f>
        <v/>
      </c>
      <c r="Q229" s="37">
        <f>IF(N229=0,"NO AUG TRANSACTION IN SUPPLIED EXTRACT",IF(ABS(P229)&gt;0.004,"SUBLEDGER ARITHMETIC ERROR",IF(ABS(M229)&gt;0.004,"BILLING VARIANCE","MATCH")))</f>
        <v/>
      </c>
    </row>
    <row r="230">
      <c r="A230" s="37" t="inlineStr">
        <is>
          <t>LP-1105</t>
        </is>
      </c>
      <c r="B230" s="37" t="inlineStr">
        <is>
          <t>Ledgport</t>
        </is>
      </c>
      <c r="C230" s="37" t="inlineStr">
        <is>
          <t>COVERED</t>
        </is>
      </c>
      <c r="D230" s="37" t="inlineStr">
        <is>
          <t>OCCUPIED</t>
        </is>
      </c>
      <c r="E230" s="37" t="inlineStr">
        <is>
          <t>WL-02015</t>
        </is>
      </c>
      <c r="F230" s="37" t="inlineStr">
        <is>
          <t>Kenneth Frazier</t>
        </is>
      </c>
      <c r="G230" s="37" t="n">
        <v>36</v>
      </c>
      <c r="H230" s="39" t="n">
        <v>48.9</v>
      </c>
      <c r="I230" s="40">
        <f>ROUNDUP(MAX(G230,H230),0)</f>
        <v/>
      </c>
      <c r="J230" s="41">
        <f>IF(C230="COVERED",'Methodology'!$B$9,'Methodology'!$B$10)</f>
        <v/>
      </c>
      <c r="K230" s="41">
        <f>I230*J230</f>
        <v/>
      </c>
      <c r="L230" s="41">
        <f>SUMIFS('Billing Aug'!$J$2:$J$770,'Billing Aug'!$D$2:$D$770,A230)</f>
        <v/>
      </c>
      <c r="M230" s="41">
        <f>L230-K230</f>
        <v/>
      </c>
      <c r="N230" s="37">
        <f>COUNTIF('Billing Aug'!$D$2:$D$770,A230)</f>
        <v/>
      </c>
      <c r="O230" s="37">
        <f>SUMIFS('Billing Aug'!$F$2:$F$770,'Billing Aug'!$D$2:$D$770,A230)</f>
        <v/>
      </c>
      <c r="P230" s="41">
        <f>IF(N230=0,0,L230-SUMIFS('Billing Aug'!$H$2:$H$770,'Billing Aug'!$D$2:$D$770,A230)*SUMIFS('Billing Aug'!$I$2:$I$770,'Billing Aug'!$D$2:$D$770,A230))</f>
        <v/>
      </c>
      <c r="Q230" s="37">
        <f>IF(N230=0,"NO AUG TRANSACTION IN SUPPLIED EXTRACT",IF(ABS(P230)&gt;0.004,"SUBLEDGER ARITHMETIC ERROR",IF(ABS(M230)&gt;0.004,"BILLING VARIANCE","MATCH")))</f>
        <v/>
      </c>
    </row>
    <row r="231">
      <c r="A231" s="37" t="inlineStr">
        <is>
          <t>LP-1106</t>
        </is>
      </c>
      <c r="B231" s="37" t="inlineStr">
        <is>
          <t>Ledgport</t>
        </is>
      </c>
      <c r="C231" s="37" t="inlineStr">
        <is>
          <t>COVERED</t>
        </is>
      </c>
      <c r="D231" s="37" t="inlineStr">
        <is>
          <t>OCCUPIED</t>
        </is>
      </c>
      <c r="E231" s="37" t="inlineStr">
        <is>
          <t>WL-01668</t>
        </is>
      </c>
      <c r="F231" s="37" t="inlineStr">
        <is>
          <t>Marisa Alexander</t>
        </is>
      </c>
      <c r="G231" s="37" t="n">
        <v>24</v>
      </c>
      <c r="H231" s="39" t="n">
        <v>18.6</v>
      </c>
      <c r="I231" s="40">
        <f>ROUNDUP(MAX(G231,H231),0)</f>
        <v/>
      </c>
      <c r="J231" s="41">
        <f>IF(C231="COVERED",'Methodology'!$B$9,'Methodology'!$B$10)</f>
        <v/>
      </c>
      <c r="K231" s="41">
        <f>I231*J231</f>
        <v/>
      </c>
      <c r="L231" s="41">
        <f>SUMIFS('Billing Aug'!$J$2:$J$770,'Billing Aug'!$D$2:$D$770,A231)</f>
        <v/>
      </c>
      <c r="M231" s="41">
        <f>L231-K231</f>
        <v/>
      </c>
      <c r="N231" s="37">
        <f>COUNTIF('Billing Aug'!$D$2:$D$770,A231)</f>
        <v/>
      </c>
      <c r="O231" s="37">
        <f>SUMIFS('Billing Aug'!$F$2:$F$770,'Billing Aug'!$D$2:$D$770,A231)</f>
        <v/>
      </c>
      <c r="P231" s="41">
        <f>IF(N231=0,0,L231-SUMIFS('Billing Aug'!$H$2:$H$770,'Billing Aug'!$D$2:$D$770,A231)*SUMIFS('Billing Aug'!$I$2:$I$770,'Billing Aug'!$D$2:$D$770,A231))</f>
        <v/>
      </c>
      <c r="Q231" s="37">
        <f>IF(N231=0,"NO AUG TRANSACTION IN SUPPLIED EXTRACT",IF(ABS(P231)&gt;0.004,"SUBLEDGER ARITHMETIC ERROR",IF(ABS(M231)&gt;0.004,"BILLING VARIANCE","MATCH")))</f>
        <v/>
      </c>
    </row>
    <row r="232">
      <c r="A232" s="37" t="inlineStr">
        <is>
          <t>LP-1107</t>
        </is>
      </c>
      <c r="B232" s="37" t="inlineStr">
        <is>
          <t>Ledgport</t>
        </is>
      </c>
      <c r="C232" s="37" t="inlineStr">
        <is>
          <t>COVERED</t>
        </is>
      </c>
      <c r="D232" s="37" t="inlineStr">
        <is>
          <t>OCCUPIED</t>
        </is>
      </c>
      <c r="E232" s="37" t="inlineStr">
        <is>
          <t>WL-03768</t>
        </is>
      </c>
      <c r="F232" s="37" t="inlineStr">
        <is>
          <t>Michael Ramirez</t>
        </is>
      </c>
      <c r="G232" s="37" t="n">
        <v>28</v>
      </c>
      <c r="H232" s="39" t="n">
        <v>47.6</v>
      </c>
      <c r="I232" s="40">
        <f>ROUNDUP(MAX(G232,H232),0)</f>
        <v/>
      </c>
      <c r="J232" s="41">
        <f>IF(C232="COVERED",'Methodology'!$B$9,'Methodology'!$B$10)</f>
        <v/>
      </c>
      <c r="K232" s="41">
        <f>I232*J232</f>
        <v/>
      </c>
      <c r="L232" s="41">
        <f>SUMIFS('Billing Aug'!$J$2:$J$770,'Billing Aug'!$D$2:$D$770,A232)</f>
        <v/>
      </c>
      <c r="M232" s="41">
        <f>L232-K232</f>
        <v/>
      </c>
      <c r="N232" s="37">
        <f>COUNTIF('Billing Aug'!$D$2:$D$770,A232)</f>
        <v/>
      </c>
      <c r="O232" s="37">
        <f>SUMIFS('Billing Aug'!$F$2:$F$770,'Billing Aug'!$D$2:$D$770,A232)</f>
        <v/>
      </c>
      <c r="P232" s="41">
        <f>IF(N232=0,0,L232-SUMIFS('Billing Aug'!$H$2:$H$770,'Billing Aug'!$D$2:$D$770,A232)*SUMIFS('Billing Aug'!$I$2:$I$770,'Billing Aug'!$D$2:$D$770,A232))</f>
        <v/>
      </c>
      <c r="Q232" s="37">
        <f>IF(N232=0,"NO AUG TRANSACTION IN SUPPLIED EXTRACT",IF(ABS(P232)&gt;0.004,"SUBLEDGER ARITHMETIC ERROR",IF(ABS(M232)&gt;0.004,"BILLING VARIANCE","MATCH")))</f>
        <v/>
      </c>
    </row>
    <row r="233">
      <c r="A233" s="37" t="inlineStr">
        <is>
          <t>LP-1108</t>
        </is>
      </c>
      <c r="B233" s="37" t="inlineStr">
        <is>
          <t>Ledgport</t>
        </is>
      </c>
      <c r="C233" s="37" t="inlineStr">
        <is>
          <t>COVERED</t>
        </is>
      </c>
      <c r="D233" s="37" t="inlineStr">
        <is>
          <t>OCCUPIED</t>
        </is>
      </c>
      <c r="E233" s="37" t="inlineStr">
        <is>
          <t>WL-02575</t>
        </is>
      </c>
      <c r="F233" s="37" t="inlineStr">
        <is>
          <t>Victoria Aguirre</t>
        </is>
      </c>
      <c r="G233" s="37" t="n">
        <v>32</v>
      </c>
      <c r="H233" s="39" t="n">
        <v>30.9</v>
      </c>
      <c r="I233" s="40">
        <f>ROUNDUP(MAX(G233,H233),0)</f>
        <v/>
      </c>
      <c r="J233" s="41">
        <f>IF(C233="COVERED",'Methodology'!$B$9,'Methodology'!$B$10)</f>
        <v/>
      </c>
      <c r="K233" s="41">
        <f>I233*J233</f>
        <v/>
      </c>
      <c r="L233" s="41">
        <f>SUMIFS('Billing Aug'!$J$2:$J$770,'Billing Aug'!$D$2:$D$770,A233)</f>
        <v/>
      </c>
      <c r="M233" s="41">
        <f>L233-K233</f>
        <v/>
      </c>
      <c r="N233" s="37">
        <f>COUNTIF('Billing Aug'!$D$2:$D$770,A233)</f>
        <v/>
      </c>
      <c r="O233" s="37">
        <f>SUMIFS('Billing Aug'!$F$2:$F$770,'Billing Aug'!$D$2:$D$770,A233)</f>
        <v/>
      </c>
      <c r="P233" s="41">
        <f>IF(N233=0,0,L233-SUMIFS('Billing Aug'!$H$2:$H$770,'Billing Aug'!$D$2:$D$770,A233)*SUMIFS('Billing Aug'!$I$2:$I$770,'Billing Aug'!$D$2:$D$770,A233))</f>
        <v/>
      </c>
      <c r="Q233" s="37">
        <f>IF(N233=0,"NO AUG TRANSACTION IN SUPPLIED EXTRACT",IF(ABS(P233)&gt;0.004,"SUBLEDGER ARITHMETIC ERROR",IF(ABS(M233)&gt;0.004,"BILLING VARIANCE","MATCH")))</f>
        <v/>
      </c>
    </row>
    <row r="234">
      <c r="A234" s="37" t="inlineStr">
        <is>
          <t>LP-1109</t>
        </is>
      </c>
      <c r="B234" s="37" t="inlineStr">
        <is>
          <t>Ledgport</t>
        </is>
      </c>
      <c r="C234" s="37" t="inlineStr">
        <is>
          <t>COVERED</t>
        </is>
      </c>
      <c r="D234" s="37" t="inlineStr">
        <is>
          <t>OCCUPIED</t>
        </is>
      </c>
      <c r="E234" s="37" t="inlineStr">
        <is>
          <t>WL-02691</t>
        </is>
      </c>
      <c r="F234" s="37" t="inlineStr">
        <is>
          <t>Pamela Le</t>
        </is>
      </c>
      <c r="G234" s="37" t="n">
        <v>24</v>
      </c>
      <c r="H234" s="39" t="n">
        <v>29.2</v>
      </c>
      <c r="I234" s="40">
        <f>ROUNDUP(MAX(G234,H234),0)</f>
        <v/>
      </c>
      <c r="J234" s="41">
        <f>IF(C234="COVERED",'Methodology'!$B$9,'Methodology'!$B$10)</f>
        <v/>
      </c>
      <c r="K234" s="41">
        <f>I234*J234</f>
        <v/>
      </c>
      <c r="L234" s="41">
        <f>SUMIFS('Billing Aug'!$J$2:$J$770,'Billing Aug'!$D$2:$D$770,A234)</f>
        <v/>
      </c>
      <c r="M234" s="41">
        <f>L234-K234</f>
        <v/>
      </c>
      <c r="N234" s="37">
        <f>COUNTIF('Billing Aug'!$D$2:$D$770,A234)</f>
        <v/>
      </c>
      <c r="O234" s="37">
        <f>SUMIFS('Billing Aug'!$F$2:$F$770,'Billing Aug'!$D$2:$D$770,A234)</f>
        <v/>
      </c>
      <c r="P234" s="41">
        <f>IF(N234=0,0,L234-SUMIFS('Billing Aug'!$H$2:$H$770,'Billing Aug'!$D$2:$D$770,A234)*SUMIFS('Billing Aug'!$I$2:$I$770,'Billing Aug'!$D$2:$D$770,A234))</f>
        <v/>
      </c>
      <c r="Q234" s="37">
        <f>IF(N234=0,"NO AUG TRANSACTION IN SUPPLIED EXTRACT",IF(ABS(P234)&gt;0.004,"SUBLEDGER ARITHMETIC ERROR",IF(ABS(M234)&gt;0.004,"BILLING VARIANCE","MATCH")))</f>
        <v/>
      </c>
    </row>
    <row r="235">
      <c r="A235" s="37" t="inlineStr">
        <is>
          <t>LP-1110</t>
        </is>
      </c>
      <c r="B235" s="37" t="inlineStr">
        <is>
          <t>Ledgport</t>
        </is>
      </c>
      <c r="C235" s="37" t="inlineStr">
        <is>
          <t>COVERED</t>
        </is>
      </c>
      <c r="D235" s="37" t="inlineStr">
        <is>
          <t>OCCUPIED</t>
        </is>
      </c>
      <c r="E235" s="37" t="inlineStr">
        <is>
          <t>WL-01093</t>
        </is>
      </c>
      <c r="F235" s="37" t="inlineStr">
        <is>
          <t>John Garcia</t>
        </is>
      </c>
      <c r="G235" s="37" t="n">
        <v>24</v>
      </c>
      <c r="H235" s="39" t="n">
        <v>34.1</v>
      </c>
      <c r="I235" s="40">
        <f>ROUNDUP(MAX(G235,H235),0)</f>
        <v/>
      </c>
      <c r="J235" s="41">
        <f>IF(C235="COVERED",'Methodology'!$B$9,'Methodology'!$B$10)</f>
        <v/>
      </c>
      <c r="K235" s="41">
        <f>I235*J235</f>
        <v/>
      </c>
      <c r="L235" s="41">
        <f>SUMIFS('Billing Aug'!$J$2:$J$770,'Billing Aug'!$D$2:$D$770,A235)</f>
        <v/>
      </c>
      <c r="M235" s="41">
        <f>L235-K235</f>
        <v/>
      </c>
      <c r="N235" s="37">
        <f>COUNTIF('Billing Aug'!$D$2:$D$770,A235)</f>
        <v/>
      </c>
      <c r="O235" s="37">
        <f>SUMIFS('Billing Aug'!$F$2:$F$770,'Billing Aug'!$D$2:$D$770,A235)</f>
        <v/>
      </c>
      <c r="P235" s="41">
        <f>IF(N235=0,0,L235-SUMIFS('Billing Aug'!$H$2:$H$770,'Billing Aug'!$D$2:$D$770,A235)*SUMIFS('Billing Aug'!$I$2:$I$770,'Billing Aug'!$D$2:$D$770,A235))</f>
        <v/>
      </c>
      <c r="Q235" s="37">
        <f>IF(N235=0,"NO AUG TRANSACTION IN SUPPLIED EXTRACT",IF(ABS(P235)&gt;0.004,"SUBLEDGER ARITHMETIC ERROR",IF(ABS(M235)&gt;0.004,"BILLING VARIANCE","MATCH")))</f>
        <v/>
      </c>
    </row>
    <row r="236">
      <c r="A236" s="37" t="inlineStr">
        <is>
          <t>LP-1111</t>
        </is>
      </c>
      <c r="B236" s="37" t="inlineStr">
        <is>
          <t>Ledgport</t>
        </is>
      </c>
      <c r="C236" s="37" t="inlineStr">
        <is>
          <t>COVERED</t>
        </is>
      </c>
      <c r="D236" s="37" t="inlineStr">
        <is>
          <t>OCCUPIED</t>
        </is>
      </c>
      <c r="E236" s="37" t="inlineStr">
        <is>
          <t>WL-02766</t>
        </is>
      </c>
      <c r="F236" s="37" t="inlineStr">
        <is>
          <t>Valerie Macias</t>
        </is>
      </c>
      <c r="G236" s="37" t="n">
        <v>32</v>
      </c>
      <c r="H236" s="39" t="n">
        <v>54.5</v>
      </c>
      <c r="I236" s="40">
        <f>ROUNDUP(MAX(G236,H236),0)</f>
        <v/>
      </c>
      <c r="J236" s="41">
        <f>IF(C236="COVERED",'Methodology'!$B$9,'Methodology'!$B$10)</f>
        <v/>
      </c>
      <c r="K236" s="41">
        <f>I236*J236</f>
        <v/>
      </c>
      <c r="L236" s="41">
        <f>SUMIFS('Billing Aug'!$J$2:$J$770,'Billing Aug'!$D$2:$D$770,A236)</f>
        <v/>
      </c>
      <c r="M236" s="41">
        <f>L236-K236</f>
        <v/>
      </c>
      <c r="N236" s="37">
        <f>COUNTIF('Billing Aug'!$D$2:$D$770,A236)</f>
        <v/>
      </c>
      <c r="O236" s="37">
        <f>SUMIFS('Billing Aug'!$F$2:$F$770,'Billing Aug'!$D$2:$D$770,A236)</f>
        <v/>
      </c>
      <c r="P236" s="41">
        <f>IF(N236=0,0,L236-SUMIFS('Billing Aug'!$H$2:$H$770,'Billing Aug'!$D$2:$D$770,A236)*SUMIFS('Billing Aug'!$I$2:$I$770,'Billing Aug'!$D$2:$D$770,A236))</f>
        <v/>
      </c>
      <c r="Q236" s="37">
        <f>IF(N236=0,"NO AUG TRANSACTION IN SUPPLIED EXTRACT",IF(ABS(P236)&gt;0.004,"SUBLEDGER ARITHMETIC ERROR",IF(ABS(M236)&gt;0.004,"BILLING VARIANCE","MATCH")))</f>
        <v/>
      </c>
    </row>
    <row r="237">
      <c r="A237" s="37" t="inlineStr">
        <is>
          <t>LP-1112</t>
        </is>
      </c>
      <c r="B237" s="37" t="inlineStr">
        <is>
          <t>Ledgport</t>
        </is>
      </c>
      <c r="C237" s="37" t="inlineStr">
        <is>
          <t>COVERED</t>
        </is>
      </c>
      <c r="D237" s="37" t="inlineStr">
        <is>
          <t>OCCUPIED</t>
        </is>
      </c>
      <c r="E237" s="37" t="inlineStr">
        <is>
          <t>WL-03706</t>
        </is>
      </c>
      <c r="F237" s="37" t="inlineStr">
        <is>
          <t>Nicole Richmond</t>
        </is>
      </c>
      <c r="G237" s="37" t="n">
        <v>40</v>
      </c>
      <c r="H237" s="39" t="n">
        <v>34.5</v>
      </c>
      <c r="I237" s="40">
        <f>ROUNDUP(MAX(G237,H237),0)</f>
        <v/>
      </c>
      <c r="J237" s="41">
        <f>IF(C237="COVERED",'Methodology'!$B$9,'Methodology'!$B$10)</f>
        <v/>
      </c>
      <c r="K237" s="41">
        <f>I237*J237</f>
        <v/>
      </c>
      <c r="L237" s="41">
        <f>SUMIFS('Billing Aug'!$J$2:$J$770,'Billing Aug'!$D$2:$D$770,A237)</f>
        <v/>
      </c>
      <c r="M237" s="41">
        <f>L237-K237</f>
        <v/>
      </c>
      <c r="N237" s="37">
        <f>COUNTIF('Billing Aug'!$D$2:$D$770,A237)</f>
        <v/>
      </c>
      <c r="O237" s="37">
        <f>SUMIFS('Billing Aug'!$F$2:$F$770,'Billing Aug'!$D$2:$D$770,A237)</f>
        <v/>
      </c>
      <c r="P237" s="41">
        <f>IF(N237=0,0,L237-SUMIFS('Billing Aug'!$H$2:$H$770,'Billing Aug'!$D$2:$D$770,A237)*SUMIFS('Billing Aug'!$I$2:$I$770,'Billing Aug'!$D$2:$D$770,A237))</f>
        <v/>
      </c>
      <c r="Q237" s="37">
        <f>IF(N237=0,"NO AUG TRANSACTION IN SUPPLIED EXTRACT",IF(ABS(P237)&gt;0.004,"SUBLEDGER ARITHMETIC ERROR",IF(ABS(M237)&gt;0.004,"BILLING VARIANCE","MATCH")))</f>
        <v/>
      </c>
    </row>
    <row r="238">
      <c r="A238" s="37" t="inlineStr">
        <is>
          <t>LP-1113</t>
        </is>
      </c>
      <c r="B238" s="37" t="inlineStr">
        <is>
          <t>Ledgport</t>
        </is>
      </c>
      <c r="C238" s="37" t="inlineStr">
        <is>
          <t>COVERED</t>
        </is>
      </c>
      <c r="D238" s="37" t="inlineStr">
        <is>
          <t>OCCUPIED</t>
        </is>
      </c>
      <c r="E238" s="37" t="inlineStr">
        <is>
          <t>WL-02029</t>
        </is>
      </c>
      <c r="F238" s="37" t="inlineStr">
        <is>
          <t>Whitney Jackson</t>
        </is>
      </c>
      <c r="G238" s="37" t="n">
        <v>24</v>
      </c>
      <c r="H238" s="39" t="n">
        <v>18</v>
      </c>
      <c r="I238" s="40">
        <f>ROUNDUP(MAX(G238,H238),0)</f>
        <v/>
      </c>
      <c r="J238" s="41">
        <f>IF(C238="COVERED",'Methodology'!$B$9,'Methodology'!$B$10)</f>
        <v/>
      </c>
      <c r="K238" s="41">
        <f>I238*J238</f>
        <v/>
      </c>
      <c r="L238" s="41">
        <f>SUMIFS('Billing Aug'!$J$2:$J$770,'Billing Aug'!$D$2:$D$770,A238)</f>
        <v/>
      </c>
      <c r="M238" s="41">
        <f>L238-K238</f>
        <v/>
      </c>
      <c r="N238" s="37">
        <f>COUNTIF('Billing Aug'!$D$2:$D$770,A238)</f>
        <v/>
      </c>
      <c r="O238" s="37">
        <f>SUMIFS('Billing Aug'!$F$2:$F$770,'Billing Aug'!$D$2:$D$770,A238)</f>
        <v/>
      </c>
      <c r="P238" s="41">
        <f>IF(N238=0,0,L238-SUMIFS('Billing Aug'!$H$2:$H$770,'Billing Aug'!$D$2:$D$770,A238)*SUMIFS('Billing Aug'!$I$2:$I$770,'Billing Aug'!$D$2:$D$770,A238))</f>
        <v/>
      </c>
      <c r="Q238" s="37">
        <f>IF(N238=0,"NO AUG TRANSACTION IN SUPPLIED EXTRACT",IF(ABS(P238)&gt;0.004,"SUBLEDGER ARITHMETIC ERROR",IF(ABS(M238)&gt;0.004,"BILLING VARIANCE","MATCH")))</f>
        <v/>
      </c>
    </row>
    <row r="239">
      <c r="A239" s="37" t="inlineStr">
        <is>
          <t>LP-1114</t>
        </is>
      </c>
      <c r="B239" s="37" t="inlineStr">
        <is>
          <t>Ledgport</t>
        </is>
      </c>
      <c r="C239" s="37" t="inlineStr">
        <is>
          <t>COVERED</t>
        </is>
      </c>
      <c r="D239" s="37" t="inlineStr">
        <is>
          <t>OCCUPIED</t>
        </is>
      </c>
      <c r="E239" s="37" t="inlineStr">
        <is>
          <t>WL-01680</t>
        </is>
      </c>
      <c r="F239" s="37" t="inlineStr">
        <is>
          <t>Sara Nelson</t>
        </is>
      </c>
      <c r="G239" s="37" t="n">
        <v>32</v>
      </c>
      <c r="H239" s="39" t="n">
        <v>21.4</v>
      </c>
      <c r="I239" s="40">
        <f>ROUNDUP(MAX(G239,H239),0)</f>
        <v/>
      </c>
      <c r="J239" s="41">
        <f>IF(C239="COVERED",'Methodology'!$B$9,'Methodology'!$B$10)</f>
        <v/>
      </c>
      <c r="K239" s="41">
        <f>I239*J239</f>
        <v/>
      </c>
      <c r="L239" s="41">
        <f>SUMIFS('Billing Aug'!$J$2:$J$770,'Billing Aug'!$D$2:$D$770,A239)</f>
        <v/>
      </c>
      <c r="M239" s="41">
        <f>L239-K239</f>
        <v/>
      </c>
      <c r="N239" s="37">
        <f>COUNTIF('Billing Aug'!$D$2:$D$770,A239)</f>
        <v/>
      </c>
      <c r="O239" s="37">
        <f>SUMIFS('Billing Aug'!$F$2:$F$770,'Billing Aug'!$D$2:$D$770,A239)</f>
        <v/>
      </c>
      <c r="P239" s="41">
        <f>IF(N239=0,0,L239-SUMIFS('Billing Aug'!$H$2:$H$770,'Billing Aug'!$D$2:$D$770,A239)*SUMIFS('Billing Aug'!$I$2:$I$770,'Billing Aug'!$D$2:$D$770,A239))</f>
        <v/>
      </c>
      <c r="Q239" s="37">
        <f>IF(N239=0,"NO AUG TRANSACTION IN SUPPLIED EXTRACT",IF(ABS(P239)&gt;0.004,"SUBLEDGER ARITHMETIC ERROR",IF(ABS(M239)&gt;0.004,"BILLING VARIANCE","MATCH")))</f>
        <v/>
      </c>
    </row>
    <row r="240">
      <c r="A240" s="37" t="inlineStr">
        <is>
          <t>LP-1115</t>
        </is>
      </c>
      <c r="B240" s="37" t="inlineStr">
        <is>
          <t>Ledgport</t>
        </is>
      </c>
      <c r="C240" s="37" t="inlineStr">
        <is>
          <t>COVERED</t>
        </is>
      </c>
      <c r="D240" s="37" t="inlineStr">
        <is>
          <t>OCCUPIED</t>
        </is>
      </c>
      <c r="E240" s="37" t="inlineStr">
        <is>
          <t>WL-02792</t>
        </is>
      </c>
      <c r="F240" s="37" t="inlineStr">
        <is>
          <t>Michelle Marsh</t>
        </is>
      </c>
      <c r="G240" s="37" t="n">
        <v>28</v>
      </c>
      <c r="H240" s="39" t="n">
        <v>58.7</v>
      </c>
      <c r="I240" s="40">
        <f>ROUNDUP(MAX(G240,H240),0)</f>
        <v/>
      </c>
      <c r="J240" s="41">
        <f>IF(C240="COVERED",'Methodology'!$B$9,'Methodology'!$B$10)</f>
        <v/>
      </c>
      <c r="K240" s="41">
        <f>I240*J240</f>
        <v/>
      </c>
      <c r="L240" s="41">
        <f>SUMIFS('Billing Aug'!$J$2:$J$770,'Billing Aug'!$D$2:$D$770,A240)</f>
        <v/>
      </c>
      <c r="M240" s="41">
        <f>L240-K240</f>
        <v/>
      </c>
      <c r="N240" s="37">
        <f>COUNTIF('Billing Aug'!$D$2:$D$770,A240)</f>
        <v/>
      </c>
      <c r="O240" s="37">
        <f>SUMIFS('Billing Aug'!$F$2:$F$770,'Billing Aug'!$D$2:$D$770,A240)</f>
        <v/>
      </c>
      <c r="P240" s="41">
        <f>IF(N240=0,0,L240-SUMIFS('Billing Aug'!$H$2:$H$770,'Billing Aug'!$D$2:$D$770,A240)*SUMIFS('Billing Aug'!$I$2:$I$770,'Billing Aug'!$D$2:$D$770,A240))</f>
        <v/>
      </c>
      <c r="Q240" s="37">
        <f>IF(N240=0,"NO AUG TRANSACTION IN SUPPLIED EXTRACT",IF(ABS(P240)&gt;0.004,"SUBLEDGER ARITHMETIC ERROR",IF(ABS(M240)&gt;0.004,"BILLING VARIANCE","MATCH")))</f>
        <v/>
      </c>
    </row>
    <row r="241">
      <c r="A241" s="37" t="inlineStr">
        <is>
          <t>LP-1116</t>
        </is>
      </c>
      <c r="B241" s="37" t="inlineStr">
        <is>
          <t>Ledgport</t>
        </is>
      </c>
      <c r="C241" s="37" t="inlineStr">
        <is>
          <t>COVERED</t>
        </is>
      </c>
      <c r="D241" s="37" t="inlineStr">
        <is>
          <t>OCCUPIED</t>
        </is>
      </c>
      <c r="E241" s="37" t="inlineStr">
        <is>
          <t>WL-03453</t>
        </is>
      </c>
      <c r="F241" s="37" t="inlineStr">
        <is>
          <t>Kelly Johnson</t>
        </is>
      </c>
      <c r="G241" s="37" t="n">
        <v>28</v>
      </c>
      <c r="H241" s="39" t="n">
        <v>36.8</v>
      </c>
      <c r="I241" s="40">
        <f>ROUNDUP(MAX(G241,H241),0)</f>
        <v/>
      </c>
      <c r="J241" s="41">
        <f>IF(C241="COVERED",'Methodology'!$B$9,'Methodology'!$B$10)</f>
        <v/>
      </c>
      <c r="K241" s="41">
        <f>I241*J241</f>
        <v/>
      </c>
      <c r="L241" s="41">
        <f>SUMIFS('Billing Aug'!$J$2:$J$770,'Billing Aug'!$D$2:$D$770,A241)</f>
        <v/>
      </c>
      <c r="M241" s="41">
        <f>L241-K241</f>
        <v/>
      </c>
      <c r="N241" s="37">
        <f>COUNTIF('Billing Aug'!$D$2:$D$770,A241)</f>
        <v/>
      </c>
      <c r="O241" s="37">
        <f>SUMIFS('Billing Aug'!$F$2:$F$770,'Billing Aug'!$D$2:$D$770,A241)</f>
        <v/>
      </c>
      <c r="P241" s="41">
        <f>IF(N241=0,0,L241-SUMIFS('Billing Aug'!$H$2:$H$770,'Billing Aug'!$D$2:$D$770,A241)*SUMIFS('Billing Aug'!$I$2:$I$770,'Billing Aug'!$D$2:$D$770,A241))</f>
        <v/>
      </c>
      <c r="Q241" s="37">
        <f>IF(N241=0,"NO AUG TRANSACTION IN SUPPLIED EXTRACT",IF(ABS(P241)&gt;0.004,"SUBLEDGER ARITHMETIC ERROR",IF(ABS(M241)&gt;0.004,"BILLING VARIANCE","MATCH")))</f>
        <v/>
      </c>
    </row>
    <row r="242">
      <c r="A242" s="37" t="inlineStr">
        <is>
          <t>LP-1117</t>
        </is>
      </c>
      <c r="B242" s="37" t="inlineStr">
        <is>
          <t>Ledgport</t>
        </is>
      </c>
      <c r="C242" s="37" t="inlineStr">
        <is>
          <t>COVERED</t>
        </is>
      </c>
      <c r="D242" s="37" t="inlineStr">
        <is>
          <t>OCCUPIED</t>
        </is>
      </c>
      <c r="E242" s="37" t="inlineStr">
        <is>
          <t>WL-01944</t>
        </is>
      </c>
      <c r="F242" s="37" t="inlineStr">
        <is>
          <t>Tina Wells</t>
        </is>
      </c>
      <c r="G242" s="37" t="n">
        <v>24</v>
      </c>
      <c r="H242" s="39" t="n">
        <v>62</v>
      </c>
      <c r="I242" s="40">
        <f>ROUNDUP(MAX(G242,H242),0)</f>
        <v/>
      </c>
      <c r="J242" s="41">
        <f>IF(C242="COVERED",'Methodology'!$B$9,'Methodology'!$B$10)</f>
        <v/>
      </c>
      <c r="K242" s="41">
        <f>I242*J242</f>
        <v/>
      </c>
      <c r="L242" s="41">
        <f>SUMIFS('Billing Aug'!$J$2:$J$770,'Billing Aug'!$D$2:$D$770,A242)</f>
        <v/>
      </c>
      <c r="M242" s="41">
        <f>L242-K242</f>
        <v/>
      </c>
      <c r="N242" s="37">
        <f>COUNTIF('Billing Aug'!$D$2:$D$770,A242)</f>
        <v/>
      </c>
      <c r="O242" s="37">
        <f>SUMIFS('Billing Aug'!$F$2:$F$770,'Billing Aug'!$D$2:$D$770,A242)</f>
        <v/>
      </c>
      <c r="P242" s="41">
        <f>IF(N242=0,0,L242-SUMIFS('Billing Aug'!$H$2:$H$770,'Billing Aug'!$D$2:$D$770,A242)*SUMIFS('Billing Aug'!$I$2:$I$770,'Billing Aug'!$D$2:$D$770,A242))</f>
        <v/>
      </c>
      <c r="Q242" s="37">
        <f>IF(N242=0,"NO AUG TRANSACTION IN SUPPLIED EXTRACT",IF(ABS(P242)&gt;0.004,"SUBLEDGER ARITHMETIC ERROR",IF(ABS(M242)&gt;0.004,"BILLING VARIANCE","MATCH")))</f>
        <v/>
      </c>
    </row>
    <row r="243">
      <c r="A243" s="37" t="inlineStr">
        <is>
          <t>LP-1118</t>
        </is>
      </c>
      <c r="B243" s="37" t="inlineStr">
        <is>
          <t>Ledgport</t>
        </is>
      </c>
      <c r="C243" s="37" t="inlineStr">
        <is>
          <t>COVERED</t>
        </is>
      </c>
      <c r="D243" s="37" t="inlineStr">
        <is>
          <t>OCCUPIED</t>
        </is>
      </c>
      <c r="E243" s="37" t="inlineStr">
        <is>
          <t>WL-02489</t>
        </is>
      </c>
      <c r="F243" s="37" t="inlineStr">
        <is>
          <t>Caitlin Burgess</t>
        </is>
      </c>
      <c r="G243" s="37" t="n">
        <v>24</v>
      </c>
      <c r="H243" s="39" t="n">
        <v>59.8</v>
      </c>
      <c r="I243" s="40">
        <f>ROUNDUP(MAX(G243,H243),0)</f>
        <v/>
      </c>
      <c r="J243" s="41">
        <f>IF(C243="COVERED",'Methodology'!$B$9,'Methodology'!$B$10)</f>
        <v/>
      </c>
      <c r="K243" s="41">
        <f>I243*J243</f>
        <v/>
      </c>
      <c r="L243" s="41">
        <f>SUMIFS('Billing Aug'!$J$2:$J$770,'Billing Aug'!$D$2:$D$770,A243)</f>
        <v/>
      </c>
      <c r="M243" s="41">
        <f>L243-K243</f>
        <v/>
      </c>
      <c r="N243" s="37">
        <f>COUNTIF('Billing Aug'!$D$2:$D$770,A243)</f>
        <v/>
      </c>
      <c r="O243" s="37">
        <f>SUMIFS('Billing Aug'!$F$2:$F$770,'Billing Aug'!$D$2:$D$770,A243)</f>
        <v/>
      </c>
      <c r="P243" s="41">
        <f>IF(N243=0,0,L243-SUMIFS('Billing Aug'!$H$2:$H$770,'Billing Aug'!$D$2:$D$770,A243)*SUMIFS('Billing Aug'!$I$2:$I$770,'Billing Aug'!$D$2:$D$770,A243))</f>
        <v/>
      </c>
      <c r="Q243" s="37">
        <f>IF(N243=0,"NO AUG TRANSACTION IN SUPPLIED EXTRACT",IF(ABS(P243)&gt;0.004,"SUBLEDGER ARITHMETIC ERROR",IF(ABS(M243)&gt;0.004,"BILLING VARIANCE","MATCH")))</f>
        <v/>
      </c>
    </row>
    <row r="244">
      <c r="A244" s="37" t="inlineStr">
        <is>
          <t>LP-1119</t>
        </is>
      </c>
      <c r="B244" s="37" t="inlineStr">
        <is>
          <t>Ledgport</t>
        </is>
      </c>
      <c r="C244" s="37" t="inlineStr">
        <is>
          <t>COVERED</t>
        </is>
      </c>
      <c r="D244" s="37" t="inlineStr">
        <is>
          <t>OCCUPIED</t>
        </is>
      </c>
      <c r="E244" s="37" t="inlineStr">
        <is>
          <t>WL-03252</t>
        </is>
      </c>
      <c r="F244" s="37" t="inlineStr">
        <is>
          <t>John Gregory</t>
        </is>
      </c>
      <c r="G244" s="37" t="n">
        <v>32</v>
      </c>
      <c r="H244" s="39" t="n">
        <v>41.3</v>
      </c>
      <c r="I244" s="40">
        <f>ROUNDUP(MAX(G244,H244),0)</f>
        <v/>
      </c>
      <c r="J244" s="41">
        <f>IF(C244="COVERED",'Methodology'!$B$9,'Methodology'!$B$10)</f>
        <v/>
      </c>
      <c r="K244" s="41">
        <f>I244*J244</f>
        <v/>
      </c>
      <c r="L244" s="41">
        <f>SUMIFS('Billing Aug'!$J$2:$J$770,'Billing Aug'!$D$2:$D$770,A244)</f>
        <v/>
      </c>
      <c r="M244" s="41">
        <f>L244-K244</f>
        <v/>
      </c>
      <c r="N244" s="37">
        <f>COUNTIF('Billing Aug'!$D$2:$D$770,A244)</f>
        <v/>
      </c>
      <c r="O244" s="37">
        <f>SUMIFS('Billing Aug'!$F$2:$F$770,'Billing Aug'!$D$2:$D$770,A244)</f>
        <v/>
      </c>
      <c r="P244" s="41">
        <f>IF(N244=0,0,L244-SUMIFS('Billing Aug'!$H$2:$H$770,'Billing Aug'!$D$2:$D$770,A244)*SUMIFS('Billing Aug'!$I$2:$I$770,'Billing Aug'!$D$2:$D$770,A244))</f>
        <v/>
      </c>
      <c r="Q244" s="37">
        <f>IF(N244=0,"NO AUG TRANSACTION IN SUPPLIED EXTRACT",IF(ABS(P244)&gt;0.004,"SUBLEDGER ARITHMETIC ERROR",IF(ABS(M244)&gt;0.004,"BILLING VARIANCE","MATCH")))</f>
        <v/>
      </c>
    </row>
    <row r="245">
      <c r="A245" s="37" t="inlineStr">
        <is>
          <t>LP-1120</t>
        </is>
      </c>
      <c r="B245" s="37" t="inlineStr">
        <is>
          <t>Ledgport</t>
        </is>
      </c>
      <c r="C245" s="37" t="inlineStr">
        <is>
          <t>COVERED</t>
        </is>
      </c>
      <c r="D245" s="37" t="inlineStr">
        <is>
          <t>OCCUPIED</t>
        </is>
      </c>
      <c r="E245" s="37" t="inlineStr">
        <is>
          <t>WL-01021</t>
        </is>
      </c>
      <c r="F245" s="37" t="inlineStr">
        <is>
          <t>Deborah Freeman</t>
        </is>
      </c>
      <c r="G245" s="37" t="n">
        <v>32</v>
      </c>
      <c r="H245" s="39" t="n">
        <v>24.1</v>
      </c>
      <c r="I245" s="40">
        <f>ROUNDUP(MAX(G245,H245),0)</f>
        <v/>
      </c>
      <c r="J245" s="41">
        <f>IF(C245="COVERED",'Methodology'!$B$9,'Methodology'!$B$10)</f>
        <v/>
      </c>
      <c r="K245" s="41">
        <f>I245*J245</f>
        <v/>
      </c>
      <c r="L245" s="41">
        <f>SUMIFS('Billing Aug'!$J$2:$J$770,'Billing Aug'!$D$2:$D$770,A245)</f>
        <v/>
      </c>
      <c r="M245" s="41">
        <f>L245-K245</f>
        <v/>
      </c>
      <c r="N245" s="37">
        <f>COUNTIF('Billing Aug'!$D$2:$D$770,A245)</f>
        <v/>
      </c>
      <c r="O245" s="37">
        <f>SUMIFS('Billing Aug'!$F$2:$F$770,'Billing Aug'!$D$2:$D$770,A245)</f>
        <v/>
      </c>
      <c r="P245" s="41">
        <f>IF(N245=0,0,L245-SUMIFS('Billing Aug'!$H$2:$H$770,'Billing Aug'!$D$2:$D$770,A245)*SUMIFS('Billing Aug'!$I$2:$I$770,'Billing Aug'!$D$2:$D$770,A245))</f>
        <v/>
      </c>
      <c r="Q245" s="37">
        <f>IF(N245=0,"NO AUG TRANSACTION IN SUPPLIED EXTRACT",IF(ABS(P245)&gt;0.004,"SUBLEDGER ARITHMETIC ERROR",IF(ABS(M245)&gt;0.004,"BILLING VARIANCE","MATCH")))</f>
        <v/>
      </c>
    </row>
    <row r="246">
      <c r="A246" s="37" t="inlineStr">
        <is>
          <t>VB-0101</t>
        </is>
      </c>
      <c r="B246" s="37" t="inlineStr">
        <is>
          <t>Vessbank</t>
        </is>
      </c>
      <c r="C246" s="37" t="inlineStr">
        <is>
          <t>COVERED</t>
        </is>
      </c>
      <c r="D246" s="37" t="inlineStr">
        <is>
          <t>OCCUPIED</t>
        </is>
      </c>
      <c r="E246" s="37" t="inlineStr">
        <is>
          <t>WL-03423</t>
        </is>
      </c>
      <c r="F246" s="37" t="inlineStr">
        <is>
          <t>Sarah Walker</t>
        </is>
      </c>
      <c r="G246" s="37" t="n">
        <v>36</v>
      </c>
      <c r="H246" s="39" t="n">
        <v>61</v>
      </c>
      <c r="I246" s="40">
        <f>ROUNDUP(MAX(G246,H246),0)</f>
        <v/>
      </c>
      <c r="J246" s="41">
        <f>IF(C246="COVERED",'Methodology'!$B$9,'Methodology'!$B$10)</f>
        <v/>
      </c>
      <c r="K246" s="41">
        <f>I246*J246</f>
        <v/>
      </c>
      <c r="L246" s="41">
        <f>SUMIFS('Billing Aug'!$J$2:$J$770,'Billing Aug'!$D$2:$D$770,A246)</f>
        <v/>
      </c>
      <c r="M246" s="41">
        <f>L246-K246</f>
        <v/>
      </c>
      <c r="N246" s="37">
        <f>COUNTIF('Billing Aug'!$D$2:$D$770,A246)</f>
        <v/>
      </c>
      <c r="O246" s="37">
        <f>SUMIFS('Billing Aug'!$F$2:$F$770,'Billing Aug'!$D$2:$D$770,A246)</f>
        <v/>
      </c>
      <c r="P246" s="41">
        <f>IF(N246=0,0,L246-SUMIFS('Billing Aug'!$H$2:$H$770,'Billing Aug'!$D$2:$D$770,A246)*SUMIFS('Billing Aug'!$I$2:$I$770,'Billing Aug'!$D$2:$D$770,A246))</f>
        <v/>
      </c>
      <c r="Q246" s="37">
        <f>IF(N246=0,"NO AUG TRANSACTION IN SUPPLIED EXTRACT",IF(ABS(P246)&gt;0.004,"SUBLEDGER ARITHMETIC ERROR",IF(ABS(M246)&gt;0.004,"BILLING VARIANCE","MATCH")))</f>
        <v/>
      </c>
    </row>
    <row r="247">
      <c r="A247" s="37" t="inlineStr">
        <is>
          <t>VB-0102</t>
        </is>
      </c>
      <c r="B247" s="37" t="inlineStr">
        <is>
          <t>Vessbank</t>
        </is>
      </c>
      <c r="C247" s="37" t="inlineStr">
        <is>
          <t>COVERED</t>
        </is>
      </c>
      <c r="D247" s="37" t="inlineStr">
        <is>
          <t>OCCUPIED</t>
        </is>
      </c>
      <c r="E247" s="37" t="inlineStr">
        <is>
          <t>WL-03356</t>
        </is>
      </c>
      <c r="F247" s="37" t="inlineStr">
        <is>
          <t>Nathaniel Flores</t>
        </is>
      </c>
      <c r="G247" s="37" t="n">
        <v>24</v>
      </c>
      <c r="H247" s="39" t="n">
        <v>33.2</v>
      </c>
      <c r="I247" s="40">
        <f>ROUNDUP(MAX(G247,H247),0)</f>
        <v/>
      </c>
      <c r="J247" s="41">
        <f>IF(C247="COVERED",'Methodology'!$B$9,'Methodology'!$B$10)</f>
        <v/>
      </c>
      <c r="K247" s="41">
        <f>I247*J247</f>
        <v/>
      </c>
      <c r="L247" s="41">
        <f>SUMIFS('Billing Aug'!$J$2:$J$770,'Billing Aug'!$D$2:$D$770,A247)</f>
        <v/>
      </c>
      <c r="M247" s="41">
        <f>L247-K247</f>
        <v/>
      </c>
      <c r="N247" s="37">
        <f>COUNTIF('Billing Aug'!$D$2:$D$770,A247)</f>
        <v/>
      </c>
      <c r="O247" s="37">
        <f>SUMIFS('Billing Aug'!$F$2:$F$770,'Billing Aug'!$D$2:$D$770,A247)</f>
        <v/>
      </c>
      <c r="P247" s="41">
        <f>IF(N247=0,0,L247-SUMIFS('Billing Aug'!$H$2:$H$770,'Billing Aug'!$D$2:$D$770,A247)*SUMIFS('Billing Aug'!$I$2:$I$770,'Billing Aug'!$D$2:$D$770,A247))</f>
        <v/>
      </c>
      <c r="Q247" s="37">
        <f>IF(N247=0,"NO AUG TRANSACTION IN SUPPLIED EXTRACT",IF(ABS(P247)&gt;0.004,"SUBLEDGER ARITHMETIC ERROR",IF(ABS(M247)&gt;0.004,"BILLING VARIANCE","MATCH")))</f>
        <v/>
      </c>
    </row>
    <row r="248">
      <c r="A248" s="37" t="inlineStr">
        <is>
          <t>VB-0103</t>
        </is>
      </c>
      <c r="B248" s="37" t="inlineStr">
        <is>
          <t>Vessbank</t>
        </is>
      </c>
      <c r="C248" s="37" t="inlineStr">
        <is>
          <t>COVERED</t>
        </is>
      </c>
      <c r="D248" s="37" t="inlineStr">
        <is>
          <t>OCCUPIED</t>
        </is>
      </c>
      <c r="E248" s="37" t="inlineStr">
        <is>
          <t>WL-03152</t>
        </is>
      </c>
      <c r="F248" s="37" t="inlineStr">
        <is>
          <t>Kenneth Simmons</t>
        </is>
      </c>
      <c r="G248" s="37" t="n">
        <v>24</v>
      </c>
      <c r="H248" s="39" t="n">
        <v>38.9</v>
      </c>
      <c r="I248" s="40">
        <f>ROUNDUP(MAX(G248,H248),0)</f>
        <v/>
      </c>
      <c r="J248" s="41">
        <f>IF(C248="COVERED",'Methodology'!$B$9,'Methodology'!$B$10)</f>
        <v/>
      </c>
      <c r="K248" s="41">
        <f>I248*J248</f>
        <v/>
      </c>
      <c r="L248" s="41">
        <f>SUMIFS('Billing Aug'!$J$2:$J$770,'Billing Aug'!$D$2:$D$770,A248)</f>
        <v/>
      </c>
      <c r="M248" s="41">
        <f>L248-K248</f>
        <v/>
      </c>
      <c r="N248" s="37">
        <f>COUNTIF('Billing Aug'!$D$2:$D$770,A248)</f>
        <v/>
      </c>
      <c r="O248" s="37">
        <f>SUMIFS('Billing Aug'!$F$2:$F$770,'Billing Aug'!$D$2:$D$770,A248)</f>
        <v/>
      </c>
      <c r="P248" s="41">
        <f>IF(N248=0,0,L248-SUMIFS('Billing Aug'!$H$2:$H$770,'Billing Aug'!$D$2:$D$770,A248)*SUMIFS('Billing Aug'!$I$2:$I$770,'Billing Aug'!$D$2:$D$770,A248))</f>
        <v/>
      </c>
      <c r="Q248" s="37">
        <f>IF(N248=0,"NO AUG TRANSACTION IN SUPPLIED EXTRACT",IF(ABS(P248)&gt;0.004,"SUBLEDGER ARITHMETIC ERROR",IF(ABS(M248)&gt;0.004,"BILLING VARIANCE","MATCH")))</f>
        <v/>
      </c>
    </row>
    <row r="249">
      <c r="A249" s="37" t="inlineStr">
        <is>
          <t>VB-0105</t>
        </is>
      </c>
      <c r="B249" s="37" t="inlineStr">
        <is>
          <t>Vessbank</t>
        </is>
      </c>
      <c r="C249" s="37" t="inlineStr">
        <is>
          <t>COVERED</t>
        </is>
      </c>
      <c r="D249" s="37" t="inlineStr">
        <is>
          <t>OCCUPIED</t>
        </is>
      </c>
      <c r="E249" s="37" t="inlineStr">
        <is>
          <t>WL-03843</t>
        </is>
      </c>
      <c r="F249" s="37" t="inlineStr">
        <is>
          <t>Tricia Davila</t>
        </is>
      </c>
      <c r="G249" s="37" t="n">
        <v>40</v>
      </c>
      <c r="H249" s="39" t="n">
        <v>53.9</v>
      </c>
      <c r="I249" s="40">
        <f>ROUNDUP(MAX(G249,H249),0)</f>
        <v/>
      </c>
      <c r="J249" s="41">
        <f>IF(C249="COVERED",'Methodology'!$B$9,'Methodology'!$B$10)</f>
        <v/>
      </c>
      <c r="K249" s="41">
        <f>I249*J249</f>
        <v/>
      </c>
      <c r="L249" s="41">
        <f>SUMIFS('Billing Aug'!$J$2:$J$770,'Billing Aug'!$D$2:$D$770,A249)</f>
        <v/>
      </c>
      <c r="M249" s="41">
        <f>L249-K249</f>
        <v/>
      </c>
      <c r="N249" s="37">
        <f>COUNTIF('Billing Aug'!$D$2:$D$770,A249)</f>
        <v/>
      </c>
      <c r="O249" s="37">
        <f>SUMIFS('Billing Aug'!$F$2:$F$770,'Billing Aug'!$D$2:$D$770,A249)</f>
        <v/>
      </c>
      <c r="P249" s="41">
        <f>IF(N249=0,0,L249-SUMIFS('Billing Aug'!$H$2:$H$770,'Billing Aug'!$D$2:$D$770,A249)*SUMIFS('Billing Aug'!$I$2:$I$770,'Billing Aug'!$D$2:$D$770,A249))</f>
        <v/>
      </c>
      <c r="Q249" s="37">
        <f>IF(N249=0,"NO AUG TRANSACTION IN SUPPLIED EXTRACT",IF(ABS(P249)&gt;0.004,"SUBLEDGER ARITHMETIC ERROR",IF(ABS(M249)&gt;0.004,"BILLING VARIANCE","MATCH")))</f>
        <v/>
      </c>
    </row>
    <row r="250">
      <c r="A250" s="37" t="inlineStr">
        <is>
          <t>VB-0106</t>
        </is>
      </c>
      <c r="B250" s="37" t="inlineStr">
        <is>
          <t>Vessbank</t>
        </is>
      </c>
      <c r="C250" s="37" t="inlineStr">
        <is>
          <t>COVERED</t>
        </is>
      </c>
      <c r="D250" s="37" t="inlineStr">
        <is>
          <t>OCCUPIED</t>
        </is>
      </c>
      <c r="E250" s="37" t="inlineStr">
        <is>
          <t>WL-01252</t>
        </is>
      </c>
      <c r="F250" s="37" t="inlineStr">
        <is>
          <t>Regina Brown</t>
        </is>
      </c>
      <c r="G250" s="37" t="n">
        <v>24</v>
      </c>
      <c r="H250" s="39" t="n">
        <v>48.2</v>
      </c>
      <c r="I250" s="40">
        <f>ROUNDUP(MAX(G250,H250),0)</f>
        <v/>
      </c>
      <c r="J250" s="41">
        <f>IF(C250="COVERED",'Methodology'!$B$9,'Methodology'!$B$10)</f>
        <v/>
      </c>
      <c r="K250" s="41">
        <f>I250*J250</f>
        <v/>
      </c>
      <c r="L250" s="41">
        <f>SUMIFS('Billing Aug'!$J$2:$J$770,'Billing Aug'!$D$2:$D$770,A250)</f>
        <v/>
      </c>
      <c r="M250" s="41">
        <f>L250-K250</f>
        <v/>
      </c>
      <c r="N250" s="37">
        <f>COUNTIF('Billing Aug'!$D$2:$D$770,A250)</f>
        <v/>
      </c>
      <c r="O250" s="37">
        <f>SUMIFS('Billing Aug'!$F$2:$F$770,'Billing Aug'!$D$2:$D$770,A250)</f>
        <v/>
      </c>
      <c r="P250" s="41">
        <f>IF(N250=0,0,L250-SUMIFS('Billing Aug'!$H$2:$H$770,'Billing Aug'!$D$2:$D$770,A250)*SUMIFS('Billing Aug'!$I$2:$I$770,'Billing Aug'!$D$2:$D$770,A250))</f>
        <v/>
      </c>
      <c r="Q250" s="37">
        <f>IF(N250=0,"NO AUG TRANSACTION IN SUPPLIED EXTRACT",IF(ABS(P250)&gt;0.004,"SUBLEDGER ARITHMETIC ERROR",IF(ABS(M250)&gt;0.004,"BILLING VARIANCE","MATCH")))</f>
        <v/>
      </c>
    </row>
    <row r="251">
      <c r="A251" s="37" t="inlineStr">
        <is>
          <t>VB-0107</t>
        </is>
      </c>
      <c r="B251" s="37" t="inlineStr">
        <is>
          <t>Vessbank</t>
        </is>
      </c>
      <c r="C251" s="37" t="inlineStr">
        <is>
          <t>COVERED</t>
        </is>
      </c>
      <c r="D251" s="37" t="inlineStr">
        <is>
          <t>OCCUPIED</t>
        </is>
      </c>
      <c r="E251" s="37" t="inlineStr">
        <is>
          <t>WL-02845</t>
        </is>
      </c>
      <c r="F251" s="37" t="inlineStr">
        <is>
          <t>Joshua Ortiz</t>
        </is>
      </c>
      <c r="G251" s="37" t="n">
        <v>24</v>
      </c>
      <c r="H251" s="39" t="n">
        <v>35.5</v>
      </c>
      <c r="I251" s="40">
        <f>ROUNDUP(MAX(G251,H251),0)</f>
        <v/>
      </c>
      <c r="J251" s="41">
        <f>IF(C251="COVERED",'Methodology'!$B$9,'Methodology'!$B$10)</f>
        <v/>
      </c>
      <c r="K251" s="41">
        <f>I251*J251</f>
        <v/>
      </c>
      <c r="L251" s="41">
        <f>SUMIFS('Billing Aug'!$J$2:$J$770,'Billing Aug'!$D$2:$D$770,A251)</f>
        <v/>
      </c>
      <c r="M251" s="41">
        <f>L251-K251</f>
        <v/>
      </c>
      <c r="N251" s="37">
        <f>COUNTIF('Billing Aug'!$D$2:$D$770,A251)</f>
        <v/>
      </c>
      <c r="O251" s="37">
        <f>SUMIFS('Billing Aug'!$F$2:$F$770,'Billing Aug'!$D$2:$D$770,A251)</f>
        <v/>
      </c>
      <c r="P251" s="41">
        <f>IF(N251=0,0,L251-SUMIFS('Billing Aug'!$H$2:$H$770,'Billing Aug'!$D$2:$D$770,A251)*SUMIFS('Billing Aug'!$I$2:$I$770,'Billing Aug'!$D$2:$D$770,A251))</f>
        <v/>
      </c>
      <c r="Q251" s="37">
        <f>IF(N251=0,"NO AUG TRANSACTION IN SUPPLIED EXTRACT",IF(ABS(P251)&gt;0.004,"SUBLEDGER ARITHMETIC ERROR",IF(ABS(M251)&gt;0.004,"BILLING VARIANCE","MATCH")))</f>
        <v/>
      </c>
    </row>
    <row r="252">
      <c r="A252" s="37" t="inlineStr">
        <is>
          <t>VB-0108</t>
        </is>
      </c>
      <c r="B252" s="37" t="inlineStr">
        <is>
          <t>Vessbank</t>
        </is>
      </c>
      <c r="C252" s="37" t="inlineStr">
        <is>
          <t>COVERED</t>
        </is>
      </c>
      <c r="D252" s="37" t="inlineStr">
        <is>
          <t>OCCUPIED</t>
        </is>
      </c>
      <c r="E252" s="37" t="inlineStr">
        <is>
          <t>WL-03877</t>
        </is>
      </c>
      <c r="F252" s="37" t="inlineStr">
        <is>
          <t>Jerry Davis</t>
        </is>
      </c>
      <c r="G252" s="37" t="n">
        <v>32</v>
      </c>
      <c r="H252" s="39" t="n">
        <v>29.7</v>
      </c>
      <c r="I252" s="40">
        <f>ROUNDUP(MAX(G252,H252),0)</f>
        <v/>
      </c>
      <c r="J252" s="41">
        <f>IF(C252="COVERED",'Methodology'!$B$9,'Methodology'!$B$10)</f>
        <v/>
      </c>
      <c r="K252" s="41">
        <f>I252*J252</f>
        <v/>
      </c>
      <c r="L252" s="41">
        <f>SUMIFS('Billing Aug'!$J$2:$J$770,'Billing Aug'!$D$2:$D$770,A252)</f>
        <v/>
      </c>
      <c r="M252" s="41">
        <f>L252-K252</f>
        <v/>
      </c>
      <c r="N252" s="37">
        <f>COUNTIF('Billing Aug'!$D$2:$D$770,A252)</f>
        <v/>
      </c>
      <c r="O252" s="37">
        <f>SUMIFS('Billing Aug'!$F$2:$F$770,'Billing Aug'!$D$2:$D$770,A252)</f>
        <v/>
      </c>
      <c r="P252" s="41">
        <f>IF(N252=0,0,L252-SUMIFS('Billing Aug'!$H$2:$H$770,'Billing Aug'!$D$2:$D$770,A252)*SUMIFS('Billing Aug'!$I$2:$I$770,'Billing Aug'!$D$2:$D$770,A252))</f>
        <v/>
      </c>
      <c r="Q252" s="37">
        <f>IF(N252=0,"NO AUG TRANSACTION IN SUPPLIED EXTRACT",IF(ABS(P252)&gt;0.004,"SUBLEDGER ARITHMETIC ERROR",IF(ABS(M252)&gt;0.004,"BILLING VARIANCE","MATCH")))</f>
        <v/>
      </c>
    </row>
    <row r="253">
      <c r="A253" s="37" t="inlineStr">
        <is>
          <t>VB-0109</t>
        </is>
      </c>
      <c r="B253" s="37" t="inlineStr">
        <is>
          <t>Vessbank</t>
        </is>
      </c>
      <c r="C253" s="37" t="inlineStr">
        <is>
          <t>COVERED</t>
        </is>
      </c>
      <c r="D253" s="37" t="inlineStr">
        <is>
          <t>OCCUPIED</t>
        </is>
      </c>
      <c r="E253" s="37" t="inlineStr">
        <is>
          <t>WL-02551</t>
        </is>
      </c>
      <c r="F253" s="37" t="inlineStr">
        <is>
          <t>Nicole Brown</t>
        </is>
      </c>
      <c r="G253" s="37" t="n">
        <v>28</v>
      </c>
      <c r="H253" s="39" t="n">
        <v>30.9</v>
      </c>
      <c r="I253" s="40">
        <f>ROUNDUP(MAX(G253,H253),0)</f>
        <v/>
      </c>
      <c r="J253" s="41">
        <f>IF(C253="COVERED",'Methodology'!$B$9,'Methodology'!$B$10)</f>
        <v/>
      </c>
      <c r="K253" s="41">
        <f>I253*J253</f>
        <v/>
      </c>
      <c r="L253" s="41">
        <f>SUMIFS('Billing Aug'!$J$2:$J$770,'Billing Aug'!$D$2:$D$770,A253)</f>
        <v/>
      </c>
      <c r="M253" s="41">
        <f>L253-K253</f>
        <v/>
      </c>
      <c r="N253" s="37">
        <f>COUNTIF('Billing Aug'!$D$2:$D$770,A253)</f>
        <v/>
      </c>
      <c r="O253" s="37">
        <f>SUMIFS('Billing Aug'!$F$2:$F$770,'Billing Aug'!$D$2:$D$770,A253)</f>
        <v/>
      </c>
      <c r="P253" s="41">
        <f>IF(N253=0,0,L253-SUMIFS('Billing Aug'!$H$2:$H$770,'Billing Aug'!$D$2:$D$770,A253)*SUMIFS('Billing Aug'!$I$2:$I$770,'Billing Aug'!$D$2:$D$770,A253))</f>
        <v/>
      </c>
      <c r="Q253" s="37">
        <f>IF(N253=0,"NO AUG TRANSACTION IN SUPPLIED EXTRACT",IF(ABS(P253)&gt;0.004,"SUBLEDGER ARITHMETIC ERROR",IF(ABS(M253)&gt;0.004,"BILLING VARIANCE","MATCH")))</f>
        <v/>
      </c>
    </row>
    <row r="254">
      <c r="A254" s="37" t="inlineStr">
        <is>
          <t>VB-0110</t>
        </is>
      </c>
      <c r="B254" s="37" t="inlineStr">
        <is>
          <t>Vessbank</t>
        </is>
      </c>
      <c r="C254" s="37" t="inlineStr">
        <is>
          <t>COVERED</t>
        </is>
      </c>
      <c r="D254" s="37" t="inlineStr">
        <is>
          <t>OCCUPIED</t>
        </is>
      </c>
      <c r="E254" s="37" t="inlineStr">
        <is>
          <t>WL-01895</t>
        </is>
      </c>
      <c r="F254" s="37" t="inlineStr">
        <is>
          <t>Lisa Brown</t>
        </is>
      </c>
      <c r="G254" s="37" t="n">
        <v>24</v>
      </c>
      <c r="H254" s="39" t="n">
        <v>52</v>
      </c>
      <c r="I254" s="40">
        <f>ROUNDUP(MAX(G254,H254),0)</f>
        <v/>
      </c>
      <c r="J254" s="41">
        <f>IF(C254="COVERED",'Methodology'!$B$9,'Methodology'!$B$10)</f>
        <v/>
      </c>
      <c r="K254" s="41">
        <f>I254*J254</f>
        <v/>
      </c>
      <c r="L254" s="41">
        <f>SUMIFS('Billing Aug'!$J$2:$J$770,'Billing Aug'!$D$2:$D$770,A254)</f>
        <v/>
      </c>
      <c r="M254" s="41">
        <f>L254-K254</f>
        <v/>
      </c>
      <c r="N254" s="37">
        <f>COUNTIF('Billing Aug'!$D$2:$D$770,A254)</f>
        <v/>
      </c>
      <c r="O254" s="37">
        <f>SUMIFS('Billing Aug'!$F$2:$F$770,'Billing Aug'!$D$2:$D$770,A254)</f>
        <v/>
      </c>
      <c r="P254" s="41">
        <f>IF(N254=0,0,L254-SUMIFS('Billing Aug'!$H$2:$H$770,'Billing Aug'!$D$2:$D$770,A254)*SUMIFS('Billing Aug'!$I$2:$I$770,'Billing Aug'!$D$2:$D$770,A254))</f>
        <v/>
      </c>
      <c r="Q254" s="37">
        <f>IF(N254=0,"NO AUG TRANSACTION IN SUPPLIED EXTRACT",IF(ABS(P254)&gt;0.004,"SUBLEDGER ARITHMETIC ERROR",IF(ABS(M254)&gt;0.004,"BILLING VARIANCE","MATCH")))</f>
        <v/>
      </c>
    </row>
    <row r="255">
      <c r="A255" s="37" t="inlineStr">
        <is>
          <t>VB-0111</t>
        </is>
      </c>
      <c r="B255" s="37" t="inlineStr">
        <is>
          <t>Vessbank</t>
        </is>
      </c>
      <c r="C255" s="37" t="inlineStr">
        <is>
          <t>COVERED</t>
        </is>
      </c>
      <c r="D255" s="37" t="inlineStr">
        <is>
          <t>OCCUPIED</t>
        </is>
      </c>
      <c r="E255" s="37" t="inlineStr">
        <is>
          <t>WL-03639</t>
        </is>
      </c>
      <c r="F255" s="37" t="inlineStr">
        <is>
          <t>Toni Graves</t>
        </is>
      </c>
      <c r="G255" s="37" t="n">
        <v>32</v>
      </c>
      <c r="H255" s="39" t="n">
        <v>39</v>
      </c>
      <c r="I255" s="40">
        <f>ROUNDUP(MAX(G255,H255),0)</f>
        <v/>
      </c>
      <c r="J255" s="41">
        <f>IF(C255="COVERED",'Methodology'!$B$9,'Methodology'!$B$10)</f>
        <v/>
      </c>
      <c r="K255" s="41">
        <f>I255*J255</f>
        <v/>
      </c>
      <c r="L255" s="41">
        <f>SUMIFS('Billing Aug'!$J$2:$J$770,'Billing Aug'!$D$2:$D$770,A255)</f>
        <v/>
      </c>
      <c r="M255" s="41">
        <f>L255-K255</f>
        <v/>
      </c>
      <c r="N255" s="37">
        <f>COUNTIF('Billing Aug'!$D$2:$D$770,A255)</f>
        <v/>
      </c>
      <c r="O255" s="37">
        <f>SUMIFS('Billing Aug'!$F$2:$F$770,'Billing Aug'!$D$2:$D$770,A255)</f>
        <v/>
      </c>
      <c r="P255" s="41">
        <f>IF(N255=0,0,L255-SUMIFS('Billing Aug'!$H$2:$H$770,'Billing Aug'!$D$2:$D$770,A255)*SUMIFS('Billing Aug'!$I$2:$I$770,'Billing Aug'!$D$2:$D$770,A255))</f>
        <v/>
      </c>
      <c r="Q255" s="37">
        <f>IF(N255=0,"NO AUG TRANSACTION IN SUPPLIED EXTRACT",IF(ABS(P255)&gt;0.004,"SUBLEDGER ARITHMETIC ERROR",IF(ABS(M255)&gt;0.004,"BILLING VARIANCE","MATCH")))</f>
        <v/>
      </c>
    </row>
    <row r="256">
      <c r="A256" s="37" t="inlineStr">
        <is>
          <t>VB-0112</t>
        </is>
      </c>
      <c r="B256" s="37" t="inlineStr">
        <is>
          <t>Vessbank</t>
        </is>
      </c>
      <c r="C256" s="37" t="inlineStr">
        <is>
          <t>COVERED</t>
        </is>
      </c>
      <c r="D256" s="37" t="inlineStr">
        <is>
          <t>OCCUPIED</t>
        </is>
      </c>
      <c r="E256" s="37" t="inlineStr">
        <is>
          <t>WL-01196</t>
        </is>
      </c>
      <c r="F256" s="37" t="inlineStr">
        <is>
          <t>Valerie Montgomery</t>
        </is>
      </c>
      <c r="G256" s="37" t="n">
        <v>36</v>
      </c>
      <c r="H256" s="39" t="n">
        <v>53</v>
      </c>
      <c r="I256" s="40">
        <f>ROUNDUP(MAX(G256,H256),0)</f>
        <v/>
      </c>
      <c r="J256" s="41">
        <f>IF(C256="COVERED",'Methodology'!$B$9,'Methodology'!$B$10)</f>
        <v/>
      </c>
      <c r="K256" s="41">
        <f>I256*J256</f>
        <v/>
      </c>
      <c r="L256" s="41">
        <f>SUMIFS('Billing Aug'!$J$2:$J$770,'Billing Aug'!$D$2:$D$770,A256)</f>
        <v/>
      </c>
      <c r="M256" s="41">
        <f>L256-K256</f>
        <v/>
      </c>
      <c r="N256" s="37">
        <f>COUNTIF('Billing Aug'!$D$2:$D$770,A256)</f>
        <v/>
      </c>
      <c r="O256" s="37">
        <f>SUMIFS('Billing Aug'!$F$2:$F$770,'Billing Aug'!$D$2:$D$770,A256)</f>
        <v/>
      </c>
      <c r="P256" s="41">
        <f>IF(N256=0,0,L256-SUMIFS('Billing Aug'!$H$2:$H$770,'Billing Aug'!$D$2:$D$770,A256)*SUMIFS('Billing Aug'!$I$2:$I$770,'Billing Aug'!$D$2:$D$770,A256))</f>
        <v/>
      </c>
      <c r="Q256" s="37">
        <f>IF(N256=0,"NO AUG TRANSACTION IN SUPPLIED EXTRACT",IF(ABS(P256)&gt;0.004,"SUBLEDGER ARITHMETIC ERROR",IF(ABS(M256)&gt;0.004,"BILLING VARIANCE","MATCH")))</f>
        <v/>
      </c>
    </row>
    <row r="257">
      <c r="A257" s="37" t="inlineStr">
        <is>
          <t>VB-0113</t>
        </is>
      </c>
      <c r="B257" s="37" t="inlineStr">
        <is>
          <t>Vessbank</t>
        </is>
      </c>
      <c r="C257" s="37" t="inlineStr">
        <is>
          <t>COVERED</t>
        </is>
      </c>
      <c r="D257" s="37" t="inlineStr">
        <is>
          <t>OCCUPIED</t>
        </is>
      </c>
      <c r="E257" s="37" t="inlineStr">
        <is>
          <t>WL-01600</t>
        </is>
      </c>
      <c r="F257" s="37" t="inlineStr">
        <is>
          <t>Kimberly Solomon</t>
        </is>
      </c>
      <c r="G257" s="37" t="n">
        <v>28</v>
      </c>
      <c r="H257" s="39" t="n">
        <v>24.8</v>
      </c>
      <c r="I257" s="40">
        <f>ROUNDUP(MAX(G257,H257),0)</f>
        <v/>
      </c>
      <c r="J257" s="41">
        <f>IF(C257="COVERED",'Methodology'!$B$9,'Methodology'!$B$10)</f>
        <v/>
      </c>
      <c r="K257" s="41">
        <f>I257*J257</f>
        <v/>
      </c>
      <c r="L257" s="41">
        <f>SUMIFS('Billing Aug'!$J$2:$J$770,'Billing Aug'!$D$2:$D$770,A257)</f>
        <v/>
      </c>
      <c r="M257" s="41">
        <f>L257-K257</f>
        <v/>
      </c>
      <c r="N257" s="37">
        <f>COUNTIF('Billing Aug'!$D$2:$D$770,A257)</f>
        <v/>
      </c>
      <c r="O257" s="37">
        <f>SUMIFS('Billing Aug'!$F$2:$F$770,'Billing Aug'!$D$2:$D$770,A257)</f>
        <v/>
      </c>
      <c r="P257" s="41">
        <f>IF(N257=0,0,L257-SUMIFS('Billing Aug'!$H$2:$H$770,'Billing Aug'!$D$2:$D$770,A257)*SUMIFS('Billing Aug'!$I$2:$I$770,'Billing Aug'!$D$2:$D$770,A257))</f>
        <v/>
      </c>
      <c r="Q257" s="37">
        <f>IF(N257=0,"NO AUG TRANSACTION IN SUPPLIED EXTRACT",IF(ABS(P257)&gt;0.004,"SUBLEDGER ARITHMETIC ERROR",IF(ABS(M257)&gt;0.004,"BILLING VARIANCE","MATCH")))</f>
        <v/>
      </c>
    </row>
    <row r="258">
      <c r="A258" s="37" t="inlineStr">
        <is>
          <t>VB-0114</t>
        </is>
      </c>
      <c r="B258" s="37" t="inlineStr">
        <is>
          <t>Vessbank</t>
        </is>
      </c>
      <c r="C258" s="37" t="inlineStr">
        <is>
          <t>COVERED</t>
        </is>
      </c>
      <c r="D258" s="37" t="inlineStr">
        <is>
          <t>OCCUPIED</t>
        </is>
      </c>
      <c r="E258" s="37" t="inlineStr">
        <is>
          <t>WL-02156</t>
        </is>
      </c>
      <c r="F258" s="37" t="inlineStr">
        <is>
          <t>Ariana Jenkins</t>
        </is>
      </c>
      <c r="G258" s="37" t="n">
        <v>28</v>
      </c>
      <c r="H258" s="39" t="n">
        <v>40.2</v>
      </c>
      <c r="I258" s="40">
        <f>ROUNDUP(MAX(G258,H258),0)</f>
        <v/>
      </c>
      <c r="J258" s="41">
        <f>IF(C258="COVERED",'Methodology'!$B$9,'Methodology'!$B$10)</f>
        <v/>
      </c>
      <c r="K258" s="41">
        <f>I258*J258</f>
        <v/>
      </c>
      <c r="L258" s="41">
        <f>SUMIFS('Billing Aug'!$J$2:$J$770,'Billing Aug'!$D$2:$D$770,A258)</f>
        <v/>
      </c>
      <c r="M258" s="41">
        <f>L258-K258</f>
        <v/>
      </c>
      <c r="N258" s="37">
        <f>COUNTIF('Billing Aug'!$D$2:$D$770,A258)</f>
        <v/>
      </c>
      <c r="O258" s="37">
        <f>SUMIFS('Billing Aug'!$F$2:$F$770,'Billing Aug'!$D$2:$D$770,A258)</f>
        <v/>
      </c>
      <c r="P258" s="41">
        <f>IF(N258=0,0,L258-SUMIFS('Billing Aug'!$H$2:$H$770,'Billing Aug'!$D$2:$D$770,A258)*SUMIFS('Billing Aug'!$I$2:$I$770,'Billing Aug'!$D$2:$D$770,A258))</f>
        <v/>
      </c>
      <c r="Q258" s="37">
        <f>IF(N258=0,"NO AUG TRANSACTION IN SUPPLIED EXTRACT",IF(ABS(P258)&gt;0.004,"SUBLEDGER ARITHMETIC ERROR",IF(ABS(M258)&gt;0.004,"BILLING VARIANCE","MATCH")))</f>
        <v/>
      </c>
    </row>
    <row r="259">
      <c r="A259" s="37" t="inlineStr">
        <is>
          <t>VB-0115</t>
        </is>
      </c>
      <c r="B259" s="37" t="inlineStr">
        <is>
          <t>Vessbank</t>
        </is>
      </c>
      <c r="C259" s="37" t="inlineStr">
        <is>
          <t>COVERED</t>
        </is>
      </c>
      <c r="D259" s="37" t="inlineStr">
        <is>
          <t>OCCUPIED</t>
        </is>
      </c>
      <c r="E259" s="37" t="inlineStr">
        <is>
          <t>WL-03848</t>
        </is>
      </c>
      <c r="F259" s="37" t="inlineStr">
        <is>
          <t>Anne Thomas</t>
        </is>
      </c>
      <c r="G259" s="37" t="n">
        <v>24</v>
      </c>
      <c r="H259" s="39" t="n">
        <v>32</v>
      </c>
      <c r="I259" s="40">
        <f>ROUNDUP(MAX(G259,H259),0)</f>
        <v/>
      </c>
      <c r="J259" s="41">
        <f>IF(C259="COVERED",'Methodology'!$B$9,'Methodology'!$B$10)</f>
        <v/>
      </c>
      <c r="K259" s="41">
        <f>I259*J259</f>
        <v/>
      </c>
      <c r="L259" s="41">
        <f>SUMIFS('Billing Aug'!$J$2:$J$770,'Billing Aug'!$D$2:$D$770,A259)</f>
        <v/>
      </c>
      <c r="M259" s="41">
        <f>L259-K259</f>
        <v/>
      </c>
      <c r="N259" s="37">
        <f>COUNTIF('Billing Aug'!$D$2:$D$770,A259)</f>
        <v/>
      </c>
      <c r="O259" s="37">
        <f>SUMIFS('Billing Aug'!$F$2:$F$770,'Billing Aug'!$D$2:$D$770,A259)</f>
        <v/>
      </c>
      <c r="P259" s="41">
        <f>IF(N259=0,0,L259-SUMIFS('Billing Aug'!$H$2:$H$770,'Billing Aug'!$D$2:$D$770,A259)*SUMIFS('Billing Aug'!$I$2:$I$770,'Billing Aug'!$D$2:$D$770,A259))</f>
        <v/>
      </c>
      <c r="Q259" s="37">
        <f>IF(N259=0,"NO AUG TRANSACTION IN SUPPLIED EXTRACT",IF(ABS(P259)&gt;0.004,"SUBLEDGER ARITHMETIC ERROR",IF(ABS(M259)&gt;0.004,"BILLING VARIANCE","MATCH")))</f>
        <v/>
      </c>
    </row>
    <row r="260">
      <c r="A260" s="37" t="inlineStr">
        <is>
          <t>VB-0116</t>
        </is>
      </c>
      <c r="B260" s="37" t="inlineStr">
        <is>
          <t>Vessbank</t>
        </is>
      </c>
      <c r="C260" s="37" t="inlineStr">
        <is>
          <t>COVERED</t>
        </is>
      </c>
      <c r="D260" s="37" t="inlineStr">
        <is>
          <t>OCCUPIED</t>
        </is>
      </c>
      <c r="E260" s="37" t="inlineStr">
        <is>
          <t>WL-03426</t>
        </is>
      </c>
      <c r="F260" s="37" t="inlineStr">
        <is>
          <t>Amanda Jackson</t>
        </is>
      </c>
      <c r="G260" s="37" t="n">
        <v>36</v>
      </c>
      <c r="H260" s="39" t="n">
        <v>54.6</v>
      </c>
      <c r="I260" s="40">
        <f>ROUNDUP(MAX(G260,H260),0)</f>
        <v/>
      </c>
      <c r="J260" s="41">
        <f>IF(C260="COVERED",'Methodology'!$B$9,'Methodology'!$B$10)</f>
        <v/>
      </c>
      <c r="K260" s="41">
        <f>I260*J260</f>
        <v/>
      </c>
      <c r="L260" s="41">
        <f>SUMIFS('Billing Aug'!$J$2:$J$770,'Billing Aug'!$D$2:$D$770,A260)</f>
        <v/>
      </c>
      <c r="M260" s="41">
        <f>L260-K260</f>
        <v/>
      </c>
      <c r="N260" s="37">
        <f>COUNTIF('Billing Aug'!$D$2:$D$770,A260)</f>
        <v/>
      </c>
      <c r="O260" s="37">
        <f>SUMIFS('Billing Aug'!$F$2:$F$770,'Billing Aug'!$D$2:$D$770,A260)</f>
        <v/>
      </c>
      <c r="P260" s="41">
        <f>IF(N260=0,0,L260-SUMIFS('Billing Aug'!$H$2:$H$770,'Billing Aug'!$D$2:$D$770,A260)*SUMIFS('Billing Aug'!$I$2:$I$770,'Billing Aug'!$D$2:$D$770,A260))</f>
        <v/>
      </c>
      <c r="Q260" s="37">
        <f>IF(N260=0,"NO AUG TRANSACTION IN SUPPLIED EXTRACT",IF(ABS(P260)&gt;0.004,"SUBLEDGER ARITHMETIC ERROR",IF(ABS(M260)&gt;0.004,"BILLING VARIANCE","MATCH")))</f>
        <v/>
      </c>
    </row>
    <row r="261">
      <c r="A261" s="37" t="inlineStr">
        <is>
          <t>VB-0117</t>
        </is>
      </c>
      <c r="B261" s="37" t="inlineStr">
        <is>
          <t>Vessbank</t>
        </is>
      </c>
      <c r="C261" s="37" t="inlineStr">
        <is>
          <t>COVERED</t>
        </is>
      </c>
      <c r="D261" s="37" t="inlineStr">
        <is>
          <t>OCCUPIED</t>
        </is>
      </c>
      <c r="E261" s="37" t="inlineStr">
        <is>
          <t>WL-01706</t>
        </is>
      </c>
      <c r="F261" s="37" t="inlineStr">
        <is>
          <t>Michael Lee</t>
        </is>
      </c>
      <c r="G261" s="37" t="n">
        <v>32</v>
      </c>
      <c r="H261" s="39" t="n">
        <v>53.2</v>
      </c>
      <c r="I261" s="40">
        <f>ROUNDUP(MAX(G261,H261),0)</f>
        <v/>
      </c>
      <c r="J261" s="41">
        <f>IF(C261="COVERED",'Methodology'!$B$9,'Methodology'!$B$10)</f>
        <v/>
      </c>
      <c r="K261" s="41">
        <f>I261*J261</f>
        <v/>
      </c>
      <c r="L261" s="41">
        <f>SUMIFS('Billing Aug'!$J$2:$J$770,'Billing Aug'!$D$2:$D$770,A261)</f>
        <v/>
      </c>
      <c r="M261" s="41">
        <f>L261-K261</f>
        <v/>
      </c>
      <c r="N261" s="37">
        <f>COUNTIF('Billing Aug'!$D$2:$D$770,A261)</f>
        <v/>
      </c>
      <c r="O261" s="37">
        <f>SUMIFS('Billing Aug'!$F$2:$F$770,'Billing Aug'!$D$2:$D$770,A261)</f>
        <v/>
      </c>
      <c r="P261" s="41">
        <f>IF(N261=0,0,L261-SUMIFS('Billing Aug'!$H$2:$H$770,'Billing Aug'!$D$2:$D$770,A261)*SUMIFS('Billing Aug'!$I$2:$I$770,'Billing Aug'!$D$2:$D$770,A261))</f>
        <v/>
      </c>
      <c r="Q261" s="37">
        <f>IF(N261=0,"NO AUG TRANSACTION IN SUPPLIED EXTRACT",IF(ABS(P261)&gt;0.004,"SUBLEDGER ARITHMETIC ERROR",IF(ABS(M261)&gt;0.004,"BILLING VARIANCE","MATCH")))</f>
        <v/>
      </c>
    </row>
    <row r="262">
      <c r="A262" s="37" t="inlineStr">
        <is>
          <t>VB-0118</t>
        </is>
      </c>
      <c r="B262" s="37" t="inlineStr">
        <is>
          <t>Vessbank</t>
        </is>
      </c>
      <c r="C262" s="37" t="inlineStr">
        <is>
          <t>COVERED</t>
        </is>
      </c>
      <c r="D262" s="37" t="inlineStr">
        <is>
          <t>OCCUPIED</t>
        </is>
      </c>
      <c r="E262" s="37" t="inlineStr">
        <is>
          <t>WL-01297</t>
        </is>
      </c>
      <c r="F262" s="37" t="inlineStr">
        <is>
          <t>Alan Harris</t>
        </is>
      </c>
      <c r="G262" s="37" t="n">
        <v>24</v>
      </c>
      <c r="H262" s="39" t="n">
        <v>44</v>
      </c>
      <c r="I262" s="40">
        <f>ROUNDUP(MAX(G262,H262),0)</f>
        <v/>
      </c>
      <c r="J262" s="41">
        <f>IF(C262="COVERED",'Methodology'!$B$9,'Methodology'!$B$10)</f>
        <v/>
      </c>
      <c r="K262" s="41">
        <f>I262*J262</f>
        <v/>
      </c>
      <c r="L262" s="41">
        <f>SUMIFS('Billing Aug'!$J$2:$J$770,'Billing Aug'!$D$2:$D$770,A262)</f>
        <v/>
      </c>
      <c r="M262" s="41">
        <f>L262-K262</f>
        <v/>
      </c>
      <c r="N262" s="37">
        <f>COUNTIF('Billing Aug'!$D$2:$D$770,A262)</f>
        <v/>
      </c>
      <c r="O262" s="37">
        <f>SUMIFS('Billing Aug'!$F$2:$F$770,'Billing Aug'!$D$2:$D$770,A262)</f>
        <v/>
      </c>
      <c r="P262" s="41">
        <f>IF(N262=0,0,L262-SUMIFS('Billing Aug'!$H$2:$H$770,'Billing Aug'!$D$2:$D$770,A262)*SUMIFS('Billing Aug'!$I$2:$I$770,'Billing Aug'!$D$2:$D$770,A262))</f>
        <v/>
      </c>
      <c r="Q262" s="37">
        <f>IF(N262=0,"NO AUG TRANSACTION IN SUPPLIED EXTRACT",IF(ABS(P262)&gt;0.004,"SUBLEDGER ARITHMETIC ERROR",IF(ABS(M262)&gt;0.004,"BILLING VARIANCE","MATCH")))</f>
        <v/>
      </c>
    </row>
    <row r="263">
      <c r="A263" s="37" t="inlineStr">
        <is>
          <t>VB-0119</t>
        </is>
      </c>
      <c r="B263" s="37" t="inlineStr">
        <is>
          <t>Vessbank</t>
        </is>
      </c>
      <c r="C263" s="37" t="inlineStr">
        <is>
          <t>COVERED</t>
        </is>
      </c>
      <c r="D263" s="37" t="inlineStr">
        <is>
          <t>OCCUPIED</t>
        </is>
      </c>
      <c r="E263" s="37" t="inlineStr">
        <is>
          <t>WL-01640</t>
        </is>
      </c>
      <c r="F263" s="37" t="inlineStr">
        <is>
          <t>Tammy Stone</t>
        </is>
      </c>
      <c r="G263" s="37" t="n">
        <v>32</v>
      </c>
      <c r="H263" s="39" t="n">
        <v>61.3</v>
      </c>
      <c r="I263" s="40">
        <f>ROUNDUP(MAX(G263,H263),0)</f>
        <v/>
      </c>
      <c r="J263" s="41">
        <f>IF(C263="COVERED",'Methodology'!$B$9,'Methodology'!$B$10)</f>
        <v/>
      </c>
      <c r="K263" s="41">
        <f>I263*J263</f>
        <v/>
      </c>
      <c r="L263" s="41">
        <f>SUMIFS('Billing Aug'!$J$2:$J$770,'Billing Aug'!$D$2:$D$770,A263)</f>
        <v/>
      </c>
      <c r="M263" s="41">
        <f>L263-K263</f>
        <v/>
      </c>
      <c r="N263" s="37">
        <f>COUNTIF('Billing Aug'!$D$2:$D$770,A263)</f>
        <v/>
      </c>
      <c r="O263" s="37">
        <f>SUMIFS('Billing Aug'!$F$2:$F$770,'Billing Aug'!$D$2:$D$770,A263)</f>
        <v/>
      </c>
      <c r="P263" s="41">
        <f>IF(N263=0,0,L263-SUMIFS('Billing Aug'!$H$2:$H$770,'Billing Aug'!$D$2:$D$770,A263)*SUMIFS('Billing Aug'!$I$2:$I$770,'Billing Aug'!$D$2:$D$770,A263))</f>
        <v/>
      </c>
      <c r="Q263" s="37">
        <f>IF(N263=0,"NO AUG TRANSACTION IN SUPPLIED EXTRACT",IF(ABS(P263)&gt;0.004,"SUBLEDGER ARITHMETIC ERROR",IF(ABS(M263)&gt;0.004,"BILLING VARIANCE","MATCH")))</f>
        <v/>
      </c>
    </row>
    <row r="264">
      <c r="A264" s="37" t="inlineStr">
        <is>
          <t>VB-0120</t>
        </is>
      </c>
      <c r="B264" s="37" t="inlineStr">
        <is>
          <t>Vessbank</t>
        </is>
      </c>
      <c r="C264" s="37" t="inlineStr">
        <is>
          <t>COVERED</t>
        </is>
      </c>
      <c r="D264" s="37" t="inlineStr">
        <is>
          <t>OCCUPIED</t>
        </is>
      </c>
      <c r="E264" s="37" t="inlineStr">
        <is>
          <t>WL-02030</t>
        </is>
      </c>
      <c r="F264" s="37" t="inlineStr">
        <is>
          <t>Adam Carr</t>
        </is>
      </c>
      <c r="G264" s="37" t="n">
        <v>28</v>
      </c>
      <c r="H264" s="39" t="n">
        <v>47.6</v>
      </c>
      <c r="I264" s="40">
        <f>ROUNDUP(MAX(G264,H264),0)</f>
        <v/>
      </c>
      <c r="J264" s="41">
        <f>IF(C264="COVERED",'Methodology'!$B$9,'Methodology'!$B$10)</f>
        <v/>
      </c>
      <c r="K264" s="41">
        <f>I264*J264</f>
        <v/>
      </c>
      <c r="L264" s="41">
        <f>SUMIFS('Billing Aug'!$J$2:$J$770,'Billing Aug'!$D$2:$D$770,A264)</f>
        <v/>
      </c>
      <c r="M264" s="41">
        <f>L264-K264</f>
        <v/>
      </c>
      <c r="N264" s="37">
        <f>COUNTIF('Billing Aug'!$D$2:$D$770,A264)</f>
        <v/>
      </c>
      <c r="O264" s="37">
        <f>SUMIFS('Billing Aug'!$F$2:$F$770,'Billing Aug'!$D$2:$D$770,A264)</f>
        <v/>
      </c>
      <c r="P264" s="41">
        <f>IF(N264=0,0,L264-SUMIFS('Billing Aug'!$H$2:$H$770,'Billing Aug'!$D$2:$D$770,A264)*SUMIFS('Billing Aug'!$I$2:$I$770,'Billing Aug'!$D$2:$D$770,A264))</f>
        <v/>
      </c>
      <c r="Q264" s="37">
        <f>IF(N264=0,"NO AUG TRANSACTION IN SUPPLIED EXTRACT",IF(ABS(P264)&gt;0.004,"SUBLEDGER ARITHMETIC ERROR",IF(ABS(M264)&gt;0.004,"BILLING VARIANCE","MATCH")))</f>
        <v/>
      </c>
    </row>
    <row r="265">
      <c r="A265" s="37" t="inlineStr">
        <is>
          <t>VB-0121</t>
        </is>
      </c>
      <c r="B265" s="37" t="inlineStr">
        <is>
          <t>Vessbank</t>
        </is>
      </c>
      <c r="C265" s="37" t="inlineStr">
        <is>
          <t>COVERED</t>
        </is>
      </c>
      <c r="D265" s="37" t="inlineStr">
        <is>
          <t>OCCUPIED</t>
        </is>
      </c>
      <c r="E265" s="37" t="inlineStr">
        <is>
          <t>WL-02857</t>
        </is>
      </c>
      <c r="F265" s="37" t="inlineStr">
        <is>
          <t>Charles Nichols</t>
        </is>
      </c>
      <c r="G265" s="37" t="n">
        <v>32</v>
      </c>
      <c r="H265" s="39" t="n">
        <v>56.3</v>
      </c>
      <c r="I265" s="40">
        <f>ROUNDUP(MAX(G265,H265),0)</f>
        <v/>
      </c>
      <c r="J265" s="41">
        <f>IF(C265="COVERED",'Methodology'!$B$9,'Methodology'!$B$10)</f>
        <v/>
      </c>
      <c r="K265" s="41">
        <f>I265*J265</f>
        <v/>
      </c>
      <c r="L265" s="41">
        <f>SUMIFS('Billing Aug'!$J$2:$J$770,'Billing Aug'!$D$2:$D$770,A265)</f>
        <v/>
      </c>
      <c r="M265" s="41">
        <f>L265-K265</f>
        <v/>
      </c>
      <c r="N265" s="37">
        <f>COUNTIF('Billing Aug'!$D$2:$D$770,A265)</f>
        <v/>
      </c>
      <c r="O265" s="37">
        <f>SUMIFS('Billing Aug'!$F$2:$F$770,'Billing Aug'!$D$2:$D$770,A265)</f>
        <v/>
      </c>
      <c r="P265" s="41">
        <f>IF(N265=0,0,L265-SUMIFS('Billing Aug'!$H$2:$H$770,'Billing Aug'!$D$2:$D$770,A265)*SUMIFS('Billing Aug'!$I$2:$I$770,'Billing Aug'!$D$2:$D$770,A265))</f>
        <v/>
      </c>
      <c r="Q265" s="37">
        <f>IF(N265=0,"NO AUG TRANSACTION IN SUPPLIED EXTRACT",IF(ABS(P265)&gt;0.004,"SUBLEDGER ARITHMETIC ERROR",IF(ABS(M265)&gt;0.004,"BILLING VARIANCE","MATCH")))</f>
        <v/>
      </c>
    </row>
    <row r="266">
      <c r="A266" s="37" t="inlineStr">
        <is>
          <t>VB-0122</t>
        </is>
      </c>
      <c r="B266" s="37" t="inlineStr">
        <is>
          <t>Vessbank</t>
        </is>
      </c>
      <c r="C266" s="37" t="inlineStr">
        <is>
          <t>COVERED</t>
        </is>
      </c>
      <c r="D266" s="37" t="inlineStr">
        <is>
          <t>OCCUPIED</t>
        </is>
      </c>
      <c r="E266" s="37" t="inlineStr">
        <is>
          <t>WL-01705</t>
        </is>
      </c>
      <c r="F266" s="37" t="inlineStr">
        <is>
          <t>Tracy Walker</t>
        </is>
      </c>
      <c r="G266" s="37" t="n">
        <v>40</v>
      </c>
      <c r="H266" s="39" t="n">
        <v>31.4</v>
      </c>
      <c r="I266" s="40">
        <f>ROUNDUP(MAX(G266,H266),0)</f>
        <v/>
      </c>
      <c r="J266" s="41">
        <f>IF(C266="COVERED",'Methodology'!$B$9,'Methodology'!$B$10)</f>
        <v/>
      </c>
      <c r="K266" s="41">
        <f>I266*J266</f>
        <v/>
      </c>
      <c r="L266" s="41">
        <f>SUMIFS('Billing Aug'!$J$2:$J$770,'Billing Aug'!$D$2:$D$770,A266)</f>
        <v/>
      </c>
      <c r="M266" s="41">
        <f>L266-K266</f>
        <v/>
      </c>
      <c r="N266" s="37">
        <f>COUNTIF('Billing Aug'!$D$2:$D$770,A266)</f>
        <v/>
      </c>
      <c r="O266" s="37">
        <f>SUMIFS('Billing Aug'!$F$2:$F$770,'Billing Aug'!$D$2:$D$770,A266)</f>
        <v/>
      </c>
      <c r="P266" s="41">
        <f>IF(N266=0,0,L266-SUMIFS('Billing Aug'!$H$2:$H$770,'Billing Aug'!$D$2:$D$770,A266)*SUMIFS('Billing Aug'!$I$2:$I$770,'Billing Aug'!$D$2:$D$770,A266))</f>
        <v/>
      </c>
      <c r="Q266" s="37">
        <f>IF(N266=0,"NO AUG TRANSACTION IN SUPPLIED EXTRACT",IF(ABS(P266)&gt;0.004,"SUBLEDGER ARITHMETIC ERROR",IF(ABS(M266)&gt;0.004,"BILLING VARIANCE","MATCH")))</f>
        <v/>
      </c>
    </row>
    <row r="267">
      <c r="A267" s="37" t="inlineStr">
        <is>
          <t>VB-0123</t>
        </is>
      </c>
      <c r="B267" s="37" t="inlineStr">
        <is>
          <t>Vessbank</t>
        </is>
      </c>
      <c r="C267" s="37" t="inlineStr">
        <is>
          <t>COVERED</t>
        </is>
      </c>
      <c r="D267" s="37" t="inlineStr">
        <is>
          <t>OCCUPIED</t>
        </is>
      </c>
      <c r="E267" s="37" t="inlineStr">
        <is>
          <t>WL-03171</t>
        </is>
      </c>
      <c r="F267" s="37" t="inlineStr">
        <is>
          <t>Destiny Tucker</t>
        </is>
      </c>
      <c r="G267" s="37" t="n">
        <v>36</v>
      </c>
      <c r="H267" s="39" t="n">
        <v>58.8</v>
      </c>
      <c r="I267" s="40">
        <f>ROUNDUP(MAX(G267,H267),0)</f>
        <v/>
      </c>
      <c r="J267" s="41">
        <f>IF(C267="COVERED",'Methodology'!$B$9,'Methodology'!$B$10)</f>
        <v/>
      </c>
      <c r="K267" s="41">
        <f>I267*J267</f>
        <v/>
      </c>
      <c r="L267" s="41">
        <f>SUMIFS('Billing Aug'!$J$2:$J$770,'Billing Aug'!$D$2:$D$770,A267)</f>
        <v/>
      </c>
      <c r="M267" s="41">
        <f>L267-K267</f>
        <v/>
      </c>
      <c r="N267" s="37">
        <f>COUNTIF('Billing Aug'!$D$2:$D$770,A267)</f>
        <v/>
      </c>
      <c r="O267" s="37">
        <f>SUMIFS('Billing Aug'!$F$2:$F$770,'Billing Aug'!$D$2:$D$770,A267)</f>
        <v/>
      </c>
      <c r="P267" s="41">
        <f>IF(N267=0,0,L267-SUMIFS('Billing Aug'!$H$2:$H$770,'Billing Aug'!$D$2:$D$770,A267)*SUMIFS('Billing Aug'!$I$2:$I$770,'Billing Aug'!$D$2:$D$770,A267))</f>
        <v/>
      </c>
      <c r="Q267" s="37">
        <f>IF(N267=0,"NO AUG TRANSACTION IN SUPPLIED EXTRACT",IF(ABS(P267)&gt;0.004,"SUBLEDGER ARITHMETIC ERROR",IF(ABS(M267)&gt;0.004,"BILLING VARIANCE","MATCH")))</f>
        <v/>
      </c>
    </row>
    <row r="268">
      <c r="A268" s="37" t="inlineStr">
        <is>
          <t>VB-0124</t>
        </is>
      </c>
      <c r="B268" s="37" t="inlineStr">
        <is>
          <t>Vessbank</t>
        </is>
      </c>
      <c r="C268" s="37" t="inlineStr">
        <is>
          <t>COVERED</t>
        </is>
      </c>
      <c r="D268" s="37" t="inlineStr">
        <is>
          <t>OCCUPIED</t>
        </is>
      </c>
      <c r="E268" s="37" t="inlineStr">
        <is>
          <t>WL-03145</t>
        </is>
      </c>
      <c r="F268" s="37" t="inlineStr">
        <is>
          <t>Connie Hernandez</t>
        </is>
      </c>
      <c r="G268" s="37" t="n">
        <v>32</v>
      </c>
      <c r="H268" s="39" t="n">
        <v>46.9</v>
      </c>
      <c r="I268" s="40">
        <f>ROUNDUP(MAX(G268,H268),0)</f>
        <v/>
      </c>
      <c r="J268" s="41">
        <f>IF(C268="COVERED",'Methodology'!$B$9,'Methodology'!$B$10)</f>
        <v/>
      </c>
      <c r="K268" s="41">
        <f>I268*J268</f>
        <v/>
      </c>
      <c r="L268" s="41">
        <f>SUMIFS('Billing Aug'!$J$2:$J$770,'Billing Aug'!$D$2:$D$770,A268)</f>
        <v/>
      </c>
      <c r="M268" s="41">
        <f>L268-K268</f>
        <v/>
      </c>
      <c r="N268" s="37">
        <f>COUNTIF('Billing Aug'!$D$2:$D$770,A268)</f>
        <v/>
      </c>
      <c r="O268" s="37">
        <f>SUMIFS('Billing Aug'!$F$2:$F$770,'Billing Aug'!$D$2:$D$770,A268)</f>
        <v/>
      </c>
      <c r="P268" s="41">
        <f>IF(N268=0,0,L268-SUMIFS('Billing Aug'!$H$2:$H$770,'Billing Aug'!$D$2:$D$770,A268)*SUMIFS('Billing Aug'!$I$2:$I$770,'Billing Aug'!$D$2:$D$770,A268))</f>
        <v/>
      </c>
      <c r="Q268" s="37">
        <f>IF(N268=0,"NO AUG TRANSACTION IN SUPPLIED EXTRACT",IF(ABS(P268)&gt;0.004,"SUBLEDGER ARITHMETIC ERROR",IF(ABS(M268)&gt;0.004,"BILLING VARIANCE","MATCH")))</f>
        <v/>
      </c>
    </row>
    <row r="269">
      <c r="A269" s="37" t="inlineStr">
        <is>
          <t>VB-0201</t>
        </is>
      </c>
      <c r="B269" s="37" t="inlineStr">
        <is>
          <t>Vessbank</t>
        </is>
      </c>
      <c r="C269" s="37" t="inlineStr">
        <is>
          <t>COVERED</t>
        </is>
      </c>
      <c r="D269" s="37" t="inlineStr">
        <is>
          <t>OCCUPIED</t>
        </is>
      </c>
      <c r="E269" s="37" t="inlineStr">
        <is>
          <t>WL-01629</t>
        </is>
      </c>
      <c r="F269" s="37" t="inlineStr">
        <is>
          <t>Mary Parker</t>
        </is>
      </c>
      <c r="G269" s="37" t="n">
        <v>32</v>
      </c>
      <c r="H269" s="39" t="n">
        <v>42.3</v>
      </c>
      <c r="I269" s="40">
        <f>ROUNDUP(MAX(G269,H269),0)</f>
        <v/>
      </c>
      <c r="J269" s="41">
        <f>IF(C269="COVERED",'Methodology'!$B$9,'Methodology'!$B$10)</f>
        <v/>
      </c>
      <c r="K269" s="41">
        <f>I269*J269</f>
        <v/>
      </c>
      <c r="L269" s="41">
        <f>SUMIFS('Billing Aug'!$J$2:$J$770,'Billing Aug'!$D$2:$D$770,A269)</f>
        <v/>
      </c>
      <c r="M269" s="41">
        <f>L269-K269</f>
        <v/>
      </c>
      <c r="N269" s="37">
        <f>COUNTIF('Billing Aug'!$D$2:$D$770,A269)</f>
        <v/>
      </c>
      <c r="O269" s="37">
        <f>SUMIFS('Billing Aug'!$F$2:$F$770,'Billing Aug'!$D$2:$D$770,A269)</f>
        <v/>
      </c>
      <c r="P269" s="41">
        <f>IF(N269=0,0,L269-SUMIFS('Billing Aug'!$H$2:$H$770,'Billing Aug'!$D$2:$D$770,A269)*SUMIFS('Billing Aug'!$I$2:$I$770,'Billing Aug'!$D$2:$D$770,A269))</f>
        <v/>
      </c>
      <c r="Q269" s="37">
        <f>IF(N269=0,"NO AUG TRANSACTION IN SUPPLIED EXTRACT",IF(ABS(P269)&gt;0.004,"SUBLEDGER ARITHMETIC ERROR",IF(ABS(M269)&gt;0.004,"BILLING VARIANCE","MATCH")))</f>
        <v/>
      </c>
    </row>
    <row r="270">
      <c r="A270" s="37" t="inlineStr">
        <is>
          <t>VB-0202</t>
        </is>
      </c>
      <c r="B270" s="37" t="inlineStr">
        <is>
          <t>Vessbank</t>
        </is>
      </c>
      <c r="C270" s="37" t="inlineStr">
        <is>
          <t>COVERED</t>
        </is>
      </c>
      <c r="D270" s="37" t="inlineStr">
        <is>
          <t>OCCUPIED</t>
        </is>
      </c>
      <c r="E270" s="37" t="inlineStr">
        <is>
          <t>WL-02677</t>
        </is>
      </c>
      <c r="F270" s="37" t="inlineStr">
        <is>
          <t>Brandon Cabrera</t>
        </is>
      </c>
      <c r="G270" s="37" t="n">
        <v>40</v>
      </c>
      <c r="H270" s="39" t="n">
        <v>27.2</v>
      </c>
      <c r="I270" s="40">
        <f>ROUNDUP(MAX(G270,H270),0)</f>
        <v/>
      </c>
      <c r="J270" s="41">
        <f>IF(C270="COVERED",'Methodology'!$B$9,'Methodology'!$B$10)</f>
        <v/>
      </c>
      <c r="K270" s="41">
        <f>I270*J270</f>
        <v/>
      </c>
      <c r="L270" s="41">
        <f>SUMIFS('Billing Aug'!$J$2:$J$770,'Billing Aug'!$D$2:$D$770,A270)</f>
        <v/>
      </c>
      <c r="M270" s="41">
        <f>L270-K270</f>
        <v/>
      </c>
      <c r="N270" s="37">
        <f>COUNTIF('Billing Aug'!$D$2:$D$770,A270)</f>
        <v/>
      </c>
      <c r="O270" s="37">
        <f>SUMIFS('Billing Aug'!$F$2:$F$770,'Billing Aug'!$D$2:$D$770,A270)</f>
        <v/>
      </c>
      <c r="P270" s="41">
        <f>IF(N270=0,0,L270-SUMIFS('Billing Aug'!$H$2:$H$770,'Billing Aug'!$D$2:$D$770,A270)*SUMIFS('Billing Aug'!$I$2:$I$770,'Billing Aug'!$D$2:$D$770,A270))</f>
        <v/>
      </c>
      <c r="Q270" s="37">
        <f>IF(N270=0,"NO AUG TRANSACTION IN SUPPLIED EXTRACT",IF(ABS(P270)&gt;0.004,"SUBLEDGER ARITHMETIC ERROR",IF(ABS(M270)&gt;0.004,"BILLING VARIANCE","MATCH")))</f>
        <v/>
      </c>
    </row>
    <row r="271">
      <c r="A271" s="37" t="inlineStr">
        <is>
          <t>VB-0203</t>
        </is>
      </c>
      <c r="B271" s="37" t="inlineStr">
        <is>
          <t>Vessbank</t>
        </is>
      </c>
      <c r="C271" s="37" t="inlineStr">
        <is>
          <t>COVERED</t>
        </is>
      </c>
      <c r="D271" s="37" t="inlineStr">
        <is>
          <t>OCCUPIED</t>
        </is>
      </c>
      <c r="E271" s="37" t="inlineStr">
        <is>
          <t>WL-03705</t>
        </is>
      </c>
      <c r="F271" s="37" t="inlineStr">
        <is>
          <t>Brittany Garcia</t>
        </is>
      </c>
      <c r="G271" s="37" t="n">
        <v>32</v>
      </c>
      <c r="H271" s="39" t="n">
        <v>36</v>
      </c>
      <c r="I271" s="40">
        <f>ROUNDUP(MAX(G271,H271),0)</f>
        <v/>
      </c>
      <c r="J271" s="41">
        <f>IF(C271="COVERED",'Methodology'!$B$9,'Methodology'!$B$10)</f>
        <v/>
      </c>
      <c r="K271" s="41">
        <f>I271*J271</f>
        <v/>
      </c>
      <c r="L271" s="41">
        <f>SUMIFS('Billing Aug'!$J$2:$J$770,'Billing Aug'!$D$2:$D$770,A271)</f>
        <v/>
      </c>
      <c r="M271" s="41">
        <f>L271-K271</f>
        <v/>
      </c>
      <c r="N271" s="37">
        <f>COUNTIF('Billing Aug'!$D$2:$D$770,A271)</f>
        <v/>
      </c>
      <c r="O271" s="37">
        <f>SUMIFS('Billing Aug'!$F$2:$F$770,'Billing Aug'!$D$2:$D$770,A271)</f>
        <v/>
      </c>
      <c r="P271" s="41">
        <f>IF(N271=0,0,L271-SUMIFS('Billing Aug'!$H$2:$H$770,'Billing Aug'!$D$2:$D$770,A271)*SUMIFS('Billing Aug'!$I$2:$I$770,'Billing Aug'!$D$2:$D$770,A271))</f>
        <v/>
      </c>
      <c r="Q271" s="37">
        <f>IF(N271=0,"NO AUG TRANSACTION IN SUPPLIED EXTRACT",IF(ABS(P271)&gt;0.004,"SUBLEDGER ARITHMETIC ERROR",IF(ABS(M271)&gt;0.004,"BILLING VARIANCE","MATCH")))</f>
        <v/>
      </c>
    </row>
    <row r="272">
      <c r="A272" s="37" t="inlineStr">
        <is>
          <t>VB-0204</t>
        </is>
      </c>
      <c r="B272" s="37" t="inlineStr">
        <is>
          <t>Vessbank</t>
        </is>
      </c>
      <c r="C272" s="37" t="inlineStr">
        <is>
          <t>COVERED</t>
        </is>
      </c>
      <c r="D272" s="37" t="inlineStr">
        <is>
          <t>OCCUPIED</t>
        </is>
      </c>
      <c r="E272" s="37" t="inlineStr">
        <is>
          <t>WL-03015</t>
        </is>
      </c>
      <c r="F272" s="37" t="inlineStr">
        <is>
          <t>Andrew Osborne</t>
        </is>
      </c>
      <c r="G272" s="37" t="n">
        <v>40</v>
      </c>
      <c r="H272" s="39" t="n">
        <v>41.7</v>
      </c>
      <c r="I272" s="40">
        <f>ROUNDUP(MAX(G272,H272),0)</f>
        <v/>
      </c>
      <c r="J272" s="41">
        <f>IF(C272="COVERED",'Methodology'!$B$9,'Methodology'!$B$10)</f>
        <v/>
      </c>
      <c r="K272" s="41">
        <f>I272*J272</f>
        <v/>
      </c>
      <c r="L272" s="41">
        <f>SUMIFS('Billing Aug'!$J$2:$J$770,'Billing Aug'!$D$2:$D$770,A272)</f>
        <v/>
      </c>
      <c r="M272" s="41">
        <f>L272-K272</f>
        <v/>
      </c>
      <c r="N272" s="37">
        <f>COUNTIF('Billing Aug'!$D$2:$D$770,A272)</f>
        <v/>
      </c>
      <c r="O272" s="37">
        <f>SUMIFS('Billing Aug'!$F$2:$F$770,'Billing Aug'!$D$2:$D$770,A272)</f>
        <v/>
      </c>
      <c r="P272" s="41">
        <f>IF(N272=0,0,L272-SUMIFS('Billing Aug'!$H$2:$H$770,'Billing Aug'!$D$2:$D$770,A272)*SUMIFS('Billing Aug'!$I$2:$I$770,'Billing Aug'!$D$2:$D$770,A272))</f>
        <v/>
      </c>
      <c r="Q272" s="37">
        <f>IF(N272=0,"NO AUG TRANSACTION IN SUPPLIED EXTRACT",IF(ABS(P272)&gt;0.004,"SUBLEDGER ARITHMETIC ERROR",IF(ABS(M272)&gt;0.004,"BILLING VARIANCE","MATCH")))</f>
        <v/>
      </c>
    </row>
    <row r="273">
      <c r="A273" s="37" t="inlineStr">
        <is>
          <t>VB-0205</t>
        </is>
      </c>
      <c r="B273" s="37" t="inlineStr">
        <is>
          <t>Vessbank</t>
        </is>
      </c>
      <c r="C273" s="37" t="inlineStr">
        <is>
          <t>COVERED</t>
        </is>
      </c>
      <c r="D273" s="37" t="inlineStr">
        <is>
          <t>OCCUPIED</t>
        </is>
      </c>
      <c r="E273" s="37" t="inlineStr">
        <is>
          <t>WL-02622</t>
        </is>
      </c>
      <c r="F273" s="37" t="inlineStr">
        <is>
          <t>Laura Murillo</t>
        </is>
      </c>
      <c r="G273" s="37" t="n">
        <v>28</v>
      </c>
      <c r="H273" s="39" t="n">
        <v>34.3</v>
      </c>
      <c r="I273" s="40">
        <f>ROUNDUP(MAX(G273,H273),0)</f>
        <v/>
      </c>
      <c r="J273" s="41">
        <f>IF(C273="COVERED",'Methodology'!$B$9,'Methodology'!$B$10)</f>
        <v/>
      </c>
      <c r="K273" s="41">
        <f>I273*J273</f>
        <v/>
      </c>
      <c r="L273" s="41">
        <f>SUMIFS('Billing Aug'!$J$2:$J$770,'Billing Aug'!$D$2:$D$770,A273)</f>
        <v/>
      </c>
      <c r="M273" s="41">
        <f>L273-K273</f>
        <v/>
      </c>
      <c r="N273" s="37">
        <f>COUNTIF('Billing Aug'!$D$2:$D$770,A273)</f>
        <v/>
      </c>
      <c r="O273" s="37">
        <f>SUMIFS('Billing Aug'!$F$2:$F$770,'Billing Aug'!$D$2:$D$770,A273)</f>
        <v/>
      </c>
      <c r="P273" s="41">
        <f>IF(N273=0,0,L273-SUMIFS('Billing Aug'!$H$2:$H$770,'Billing Aug'!$D$2:$D$770,A273)*SUMIFS('Billing Aug'!$I$2:$I$770,'Billing Aug'!$D$2:$D$770,A273))</f>
        <v/>
      </c>
      <c r="Q273" s="37">
        <f>IF(N273=0,"NO AUG TRANSACTION IN SUPPLIED EXTRACT",IF(ABS(P273)&gt;0.004,"SUBLEDGER ARITHMETIC ERROR",IF(ABS(M273)&gt;0.004,"BILLING VARIANCE","MATCH")))</f>
        <v/>
      </c>
    </row>
    <row r="274">
      <c r="A274" s="37" t="inlineStr">
        <is>
          <t>VB-0206</t>
        </is>
      </c>
      <c r="B274" s="37" t="inlineStr">
        <is>
          <t>Vessbank</t>
        </is>
      </c>
      <c r="C274" s="37" t="inlineStr">
        <is>
          <t>COVERED</t>
        </is>
      </c>
      <c r="D274" s="37" t="inlineStr">
        <is>
          <t>OCCUPIED</t>
        </is>
      </c>
      <c r="E274" s="37" t="inlineStr">
        <is>
          <t>WL-01377</t>
        </is>
      </c>
      <c r="F274" s="37" t="inlineStr">
        <is>
          <t>Rhonda Ferguson</t>
        </is>
      </c>
      <c r="G274" s="37" t="n">
        <v>28</v>
      </c>
      <c r="H274" s="39" t="n">
        <v>22.5</v>
      </c>
      <c r="I274" s="40">
        <f>ROUNDUP(MAX(G274,H274),0)</f>
        <v/>
      </c>
      <c r="J274" s="41">
        <f>IF(C274="COVERED",'Methodology'!$B$9,'Methodology'!$B$10)</f>
        <v/>
      </c>
      <c r="K274" s="41">
        <f>I274*J274</f>
        <v/>
      </c>
      <c r="L274" s="41">
        <f>SUMIFS('Billing Aug'!$J$2:$J$770,'Billing Aug'!$D$2:$D$770,A274)</f>
        <v/>
      </c>
      <c r="M274" s="41">
        <f>L274-K274</f>
        <v/>
      </c>
      <c r="N274" s="37">
        <f>COUNTIF('Billing Aug'!$D$2:$D$770,A274)</f>
        <v/>
      </c>
      <c r="O274" s="37">
        <f>SUMIFS('Billing Aug'!$F$2:$F$770,'Billing Aug'!$D$2:$D$770,A274)</f>
        <v/>
      </c>
      <c r="P274" s="41">
        <f>IF(N274=0,0,L274-SUMIFS('Billing Aug'!$H$2:$H$770,'Billing Aug'!$D$2:$D$770,A274)*SUMIFS('Billing Aug'!$I$2:$I$770,'Billing Aug'!$D$2:$D$770,A274))</f>
        <v/>
      </c>
      <c r="Q274" s="37">
        <f>IF(N274=0,"NO AUG TRANSACTION IN SUPPLIED EXTRACT",IF(ABS(P274)&gt;0.004,"SUBLEDGER ARITHMETIC ERROR",IF(ABS(M274)&gt;0.004,"BILLING VARIANCE","MATCH")))</f>
        <v/>
      </c>
    </row>
    <row r="275">
      <c r="A275" s="37" t="inlineStr">
        <is>
          <t>VB-0207</t>
        </is>
      </c>
      <c r="B275" s="37" t="inlineStr">
        <is>
          <t>Vessbank</t>
        </is>
      </c>
      <c r="C275" s="37" t="inlineStr">
        <is>
          <t>COVERED</t>
        </is>
      </c>
      <c r="D275" s="37" t="inlineStr">
        <is>
          <t>OCCUPIED</t>
        </is>
      </c>
      <c r="E275" s="37" t="inlineStr">
        <is>
          <t>WL-03580</t>
        </is>
      </c>
      <c r="F275" s="37" t="inlineStr">
        <is>
          <t>Rebecca Carson</t>
        </is>
      </c>
      <c r="G275" s="37" t="n">
        <v>24</v>
      </c>
      <c r="H275" s="39" t="n">
        <v>49.1</v>
      </c>
      <c r="I275" s="40">
        <f>ROUNDUP(MAX(G275,H275),0)</f>
        <v/>
      </c>
      <c r="J275" s="41">
        <f>IF(C275="COVERED",'Methodology'!$B$9,'Methodology'!$B$10)</f>
        <v/>
      </c>
      <c r="K275" s="41">
        <f>I275*J275</f>
        <v/>
      </c>
      <c r="L275" s="41">
        <f>SUMIFS('Billing Aug'!$J$2:$J$770,'Billing Aug'!$D$2:$D$770,A275)</f>
        <v/>
      </c>
      <c r="M275" s="41">
        <f>L275-K275</f>
        <v/>
      </c>
      <c r="N275" s="37">
        <f>COUNTIF('Billing Aug'!$D$2:$D$770,A275)</f>
        <v/>
      </c>
      <c r="O275" s="37">
        <f>SUMIFS('Billing Aug'!$F$2:$F$770,'Billing Aug'!$D$2:$D$770,A275)</f>
        <v/>
      </c>
      <c r="P275" s="41">
        <f>IF(N275=0,0,L275-SUMIFS('Billing Aug'!$H$2:$H$770,'Billing Aug'!$D$2:$D$770,A275)*SUMIFS('Billing Aug'!$I$2:$I$770,'Billing Aug'!$D$2:$D$770,A275))</f>
        <v/>
      </c>
      <c r="Q275" s="37">
        <f>IF(N275=0,"NO AUG TRANSACTION IN SUPPLIED EXTRACT",IF(ABS(P275)&gt;0.004,"SUBLEDGER ARITHMETIC ERROR",IF(ABS(M275)&gt;0.004,"BILLING VARIANCE","MATCH")))</f>
        <v/>
      </c>
    </row>
    <row r="276">
      <c r="A276" s="37" t="inlineStr">
        <is>
          <t>VB-0208</t>
        </is>
      </c>
      <c r="B276" s="37" t="inlineStr">
        <is>
          <t>Vessbank</t>
        </is>
      </c>
      <c r="C276" s="37" t="inlineStr">
        <is>
          <t>COVERED</t>
        </is>
      </c>
      <c r="D276" s="37" t="inlineStr">
        <is>
          <t>OCCUPIED</t>
        </is>
      </c>
      <c r="E276" s="37" t="inlineStr">
        <is>
          <t>WL-03499</t>
        </is>
      </c>
      <c r="F276" s="37" t="inlineStr">
        <is>
          <t>Cameron Foster</t>
        </is>
      </c>
      <c r="G276" s="37" t="n">
        <v>40</v>
      </c>
      <c r="H276" s="39" t="n">
        <v>21.8</v>
      </c>
      <c r="I276" s="40">
        <f>ROUNDUP(MAX(G276,H276),0)</f>
        <v/>
      </c>
      <c r="J276" s="41">
        <f>IF(C276="COVERED",'Methodology'!$B$9,'Methodology'!$B$10)</f>
        <v/>
      </c>
      <c r="K276" s="41">
        <f>I276*J276</f>
        <v/>
      </c>
      <c r="L276" s="41">
        <f>SUMIFS('Billing Aug'!$J$2:$J$770,'Billing Aug'!$D$2:$D$770,A276)</f>
        <v/>
      </c>
      <c r="M276" s="41">
        <f>L276-K276</f>
        <v/>
      </c>
      <c r="N276" s="37">
        <f>COUNTIF('Billing Aug'!$D$2:$D$770,A276)</f>
        <v/>
      </c>
      <c r="O276" s="37">
        <f>SUMIFS('Billing Aug'!$F$2:$F$770,'Billing Aug'!$D$2:$D$770,A276)</f>
        <v/>
      </c>
      <c r="P276" s="41">
        <f>IF(N276=0,0,L276-SUMIFS('Billing Aug'!$H$2:$H$770,'Billing Aug'!$D$2:$D$770,A276)*SUMIFS('Billing Aug'!$I$2:$I$770,'Billing Aug'!$D$2:$D$770,A276))</f>
        <v/>
      </c>
      <c r="Q276" s="37">
        <f>IF(N276=0,"NO AUG TRANSACTION IN SUPPLIED EXTRACT",IF(ABS(P276)&gt;0.004,"SUBLEDGER ARITHMETIC ERROR",IF(ABS(M276)&gt;0.004,"BILLING VARIANCE","MATCH")))</f>
        <v/>
      </c>
    </row>
    <row r="277">
      <c r="A277" s="37" t="inlineStr">
        <is>
          <t>VB-0209</t>
        </is>
      </c>
      <c r="B277" s="37" t="inlineStr">
        <is>
          <t>Vessbank</t>
        </is>
      </c>
      <c r="C277" s="37" t="inlineStr">
        <is>
          <t>COVERED</t>
        </is>
      </c>
      <c r="D277" s="37" t="inlineStr">
        <is>
          <t>OCCUPIED</t>
        </is>
      </c>
      <c r="E277" s="37" t="inlineStr">
        <is>
          <t>WL-02734</t>
        </is>
      </c>
      <c r="F277" s="37" t="inlineStr">
        <is>
          <t>Kenneth Lewis</t>
        </is>
      </c>
      <c r="G277" s="37" t="n">
        <v>32</v>
      </c>
      <c r="H277" s="39" t="n">
        <v>38.1</v>
      </c>
      <c r="I277" s="40">
        <f>ROUNDUP(MAX(G277,H277),0)</f>
        <v/>
      </c>
      <c r="J277" s="41">
        <f>IF(C277="COVERED",'Methodology'!$B$9,'Methodology'!$B$10)</f>
        <v/>
      </c>
      <c r="K277" s="41">
        <f>I277*J277</f>
        <v/>
      </c>
      <c r="L277" s="41">
        <f>SUMIFS('Billing Aug'!$J$2:$J$770,'Billing Aug'!$D$2:$D$770,A277)</f>
        <v/>
      </c>
      <c r="M277" s="41">
        <f>L277-K277</f>
        <v/>
      </c>
      <c r="N277" s="37">
        <f>COUNTIF('Billing Aug'!$D$2:$D$770,A277)</f>
        <v/>
      </c>
      <c r="O277" s="37">
        <f>SUMIFS('Billing Aug'!$F$2:$F$770,'Billing Aug'!$D$2:$D$770,A277)</f>
        <v/>
      </c>
      <c r="P277" s="41">
        <f>IF(N277=0,0,L277-SUMIFS('Billing Aug'!$H$2:$H$770,'Billing Aug'!$D$2:$D$770,A277)*SUMIFS('Billing Aug'!$I$2:$I$770,'Billing Aug'!$D$2:$D$770,A277))</f>
        <v/>
      </c>
      <c r="Q277" s="37">
        <f>IF(N277=0,"NO AUG TRANSACTION IN SUPPLIED EXTRACT",IF(ABS(P277)&gt;0.004,"SUBLEDGER ARITHMETIC ERROR",IF(ABS(M277)&gt;0.004,"BILLING VARIANCE","MATCH")))</f>
        <v/>
      </c>
    </row>
    <row r="278">
      <c r="A278" s="37" t="inlineStr">
        <is>
          <t>VB-0210</t>
        </is>
      </c>
      <c r="B278" s="37" t="inlineStr">
        <is>
          <t>Vessbank</t>
        </is>
      </c>
      <c r="C278" s="37" t="inlineStr">
        <is>
          <t>COVERED</t>
        </is>
      </c>
      <c r="D278" s="37" t="inlineStr">
        <is>
          <t>OCCUPIED</t>
        </is>
      </c>
      <c r="E278" s="37" t="inlineStr">
        <is>
          <t>WL-02868</t>
        </is>
      </c>
      <c r="F278" s="37" t="inlineStr">
        <is>
          <t>Michael Lopez</t>
        </is>
      </c>
      <c r="G278" s="37" t="n">
        <v>28</v>
      </c>
      <c r="H278" s="39" t="n">
        <v>20.9</v>
      </c>
      <c r="I278" s="40">
        <f>ROUNDUP(MAX(G278,H278),0)</f>
        <v/>
      </c>
      <c r="J278" s="41">
        <f>IF(C278="COVERED",'Methodology'!$B$9,'Methodology'!$B$10)</f>
        <v/>
      </c>
      <c r="K278" s="41">
        <f>I278*J278</f>
        <v/>
      </c>
      <c r="L278" s="41">
        <f>SUMIFS('Billing Aug'!$J$2:$J$770,'Billing Aug'!$D$2:$D$770,A278)</f>
        <v/>
      </c>
      <c r="M278" s="41">
        <f>L278-K278</f>
        <v/>
      </c>
      <c r="N278" s="37">
        <f>COUNTIF('Billing Aug'!$D$2:$D$770,A278)</f>
        <v/>
      </c>
      <c r="O278" s="37">
        <f>SUMIFS('Billing Aug'!$F$2:$F$770,'Billing Aug'!$D$2:$D$770,A278)</f>
        <v/>
      </c>
      <c r="P278" s="41">
        <f>IF(N278=0,0,L278-SUMIFS('Billing Aug'!$H$2:$H$770,'Billing Aug'!$D$2:$D$770,A278)*SUMIFS('Billing Aug'!$I$2:$I$770,'Billing Aug'!$D$2:$D$770,A278))</f>
        <v/>
      </c>
      <c r="Q278" s="37">
        <f>IF(N278=0,"NO AUG TRANSACTION IN SUPPLIED EXTRACT",IF(ABS(P278)&gt;0.004,"SUBLEDGER ARITHMETIC ERROR",IF(ABS(M278)&gt;0.004,"BILLING VARIANCE","MATCH")))</f>
        <v/>
      </c>
    </row>
    <row r="279">
      <c r="A279" s="37" t="inlineStr">
        <is>
          <t>VB-0211</t>
        </is>
      </c>
      <c r="B279" s="37" t="inlineStr">
        <is>
          <t>Vessbank</t>
        </is>
      </c>
      <c r="C279" s="37" t="inlineStr">
        <is>
          <t>COVERED</t>
        </is>
      </c>
      <c r="D279" s="37" t="inlineStr">
        <is>
          <t>OCCUPIED</t>
        </is>
      </c>
      <c r="E279" s="37" t="inlineStr">
        <is>
          <t>WL-02206</t>
        </is>
      </c>
      <c r="F279" s="37" t="inlineStr">
        <is>
          <t>Mary Morris</t>
        </is>
      </c>
      <c r="G279" s="37" t="n">
        <v>40</v>
      </c>
      <c r="H279" s="39" t="n">
        <v>38.3</v>
      </c>
      <c r="I279" s="40">
        <f>ROUNDUP(MAX(G279,H279),0)</f>
        <v/>
      </c>
      <c r="J279" s="41">
        <f>IF(C279="COVERED",'Methodology'!$B$9,'Methodology'!$B$10)</f>
        <v/>
      </c>
      <c r="K279" s="41">
        <f>I279*J279</f>
        <v/>
      </c>
      <c r="L279" s="41">
        <f>SUMIFS('Billing Aug'!$J$2:$J$770,'Billing Aug'!$D$2:$D$770,A279)</f>
        <v/>
      </c>
      <c r="M279" s="41">
        <f>L279-K279</f>
        <v/>
      </c>
      <c r="N279" s="37">
        <f>COUNTIF('Billing Aug'!$D$2:$D$770,A279)</f>
        <v/>
      </c>
      <c r="O279" s="37">
        <f>SUMIFS('Billing Aug'!$F$2:$F$770,'Billing Aug'!$D$2:$D$770,A279)</f>
        <v/>
      </c>
      <c r="P279" s="41">
        <f>IF(N279=0,0,L279-SUMIFS('Billing Aug'!$H$2:$H$770,'Billing Aug'!$D$2:$D$770,A279)*SUMIFS('Billing Aug'!$I$2:$I$770,'Billing Aug'!$D$2:$D$770,A279))</f>
        <v/>
      </c>
      <c r="Q279" s="37">
        <f>IF(N279=0,"NO AUG TRANSACTION IN SUPPLIED EXTRACT",IF(ABS(P279)&gt;0.004,"SUBLEDGER ARITHMETIC ERROR",IF(ABS(M279)&gt;0.004,"BILLING VARIANCE","MATCH")))</f>
        <v/>
      </c>
    </row>
    <row r="280">
      <c r="A280" s="37" t="inlineStr">
        <is>
          <t>VB-0212</t>
        </is>
      </c>
      <c r="B280" s="37" t="inlineStr">
        <is>
          <t>Vessbank</t>
        </is>
      </c>
      <c r="C280" s="37" t="inlineStr">
        <is>
          <t>COVERED</t>
        </is>
      </c>
      <c r="D280" s="37" t="inlineStr">
        <is>
          <t>OCCUPIED</t>
        </is>
      </c>
      <c r="E280" s="37" t="inlineStr">
        <is>
          <t>WL-02983</t>
        </is>
      </c>
      <c r="F280" s="37" t="inlineStr">
        <is>
          <t>Albert Rodriguez</t>
        </is>
      </c>
      <c r="G280" s="37" t="n">
        <v>24</v>
      </c>
      <c r="H280" s="39" t="n">
        <v>57.3</v>
      </c>
      <c r="I280" s="40">
        <f>ROUNDUP(MAX(G280,H280),0)</f>
        <v/>
      </c>
      <c r="J280" s="41">
        <f>IF(C280="COVERED",'Methodology'!$B$9,'Methodology'!$B$10)</f>
        <v/>
      </c>
      <c r="K280" s="41">
        <f>I280*J280</f>
        <v/>
      </c>
      <c r="L280" s="41">
        <f>SUMIFS('Billing Aug'!$J$2:$J$770,'Billing Aug'!$D$2:$D$770,A280)</f>
        <v/>
      </c>
      <c r="M280" s="41">
        <f>L280-K280</f>
        <v/>
      </c>
      <c r="N280" s="37">
        <f>COUNTIF('Billing Aug'!$D$2:$D$770,A280)</f>
        <v/>
      </c>
      <c r="O280" s="37">
        <f>SUMIFS('Billing Aug'!$F$2:$F$770,'Billing Aug'!$D$2:$D$770,A280)</f>
        <v/>
      </c>
      <c r="P280" s="41">
        <f>IF(N280=0,0,L280-SUMIFS('Billing Aug'!$H$2:$H$770,'Billing Aug'!$D$2:$D$770,A280)*SUMIFS('Billing Aug'!$I$2:$I$770,'Billing Aug'!$D$2:$D$770,A280))</f>
        <v/>
      </c>
      <c r="Q280" s="37">
        <f>IF(N280=0,"NO AUG TRANSACTION IN SUPPLIED EXTRACT",IF(ABS(P280)&gt;0.004,"SUBLEDGER ARITHMETIC ERROR",IF(ABS(M280)&gt;0.004,"BILLING VARIANCE","MATCH")))</f>
        <v/>
      </c>
    </row>
    <row r="281">
      <c r="A281" s="37" t="inlineStr">
        <is>
          <t>VB-0213</t>
        </is>
      </c>
      <c r="B281" s="37" t="inlineStr">
        <is>
          <t>Vessbank</t>
        </is>
      </c>
      <c r="C281" s="37" t="inlineStr">
        <is>
          <t>COVERED</t>
        </is>
      </c>
      <c r="D281" s="37" t="inlineStr">
        <is>
          <t>OCCUPIED</t>
        </is>
      </c>
      <c r="E281" s="37" t="inlineStr">
        <is>
          <t>WL-01002</t>
        </is>
      </c>
      <c r="F281" s="37" t="inlineStr">
        <is>
          <t>Virginia Ramirez</t>
        </is>
      </c>
      <c r="G281" s="37" t="n">
        <v>24</v>
      </c>
      <c r="H281" s="39" t="n">
        <v>38.2</v>
      </c>
      <c r="I281" s="40">
        <f>ROUNDUP(MAX(G281,H281),0)</f>
        <v/>
      </c>
      <c r="J281" s="41">
        <f>IF(C281="COVERED",'Methodology'!$B$9,'Methodology'!$B$10)</f>
        <v/>
      </c>
      <c r="K281" s="41">
        <f>I281*J281</f>
        <v/>
      </c>
      <c r="L281" s="41">
        <f>SUMIFS('Billing Aug'!$J$2:$J$770,'Billing Aug'!$D$2:$D$770,A281)</f>
        <v/>
      </c>
      <c r="M281" s="41">
        <f>L281-K281</f>
        <v/>
      </c>
      <c r="N281" s="37">
        <f>COUNTIF('Billing Aug'!$D$2:$D$770,A281)</f>
        <v/>
      </c>
      <c r="O281" s="37">
        <f>SUMIFS('Billing Aug'!$F$2:$F$770,'Billing Aug'!$D$2:$D$770,A281)</f>
        <v/>
      </c>
      <c r="P281" s="41">
        <f>IF(N281=0,0,L281-SUMIFS('Billing Aug'!$H$2:$H$770,'Billing Aug'!$D$2:$D$770,A281)*SUMIFS('Billing Aug'!$I$2:$I$770,'Billing Aug'!$D$2:$D$770,A281))</f>
        <v/>
      </c>
      <c r="Q281" s="37">
        <f>IF(N281=0,"NO AUG TRANSACTION IN SUPPLIED EXTRACT",IF(ABS(P281)&gt;0.004,"SUBLEDGER ARITHMETIC ERROR",IF(ABS(M281)&gt;0.004,"BILLING VARIANCE","MATCH")))</f>
        <v/>
      </c>
    </row>
    <row r="282">
      <c r="A282" s="37" t="inlineStr">
        <is>
          <t>VB-0214</t>
        </is>
      </c>
      <c r="B282" s="37" t="inlineStr">
        <is>
          <t>Vessbank</t>
        </is>
      </c>
      <c r="C282" s="37" t="inlineStr">
        <is>
          <t>COVERED</t>
        </is>
      </c>
      <c r="D282" s="37" t="inlineStr">
        <is>
          <t>OCCUPIED</t>
        </is>
      </c>
      <c r="E282" s="37" t="inlineStr">
        <is>
          <t>WL-01871</t>
        </is>
      </c>
      <c r="F282" s="37" t="inlineStr">
        <is>
          <t>Amber Munoz</t>
        </is>
      </c>
      <c r="G282" s="37" t="n">
        <v>24</v>
      </c>
      <c r="H282" s="39" t="n">
        <v>60.4</v>
      </c>
      <c r="I282" s="40">
        <f>ROUNDUP(MAX(G282,H282),0)</f>
        <v/>
      </c>
      <c r="J282" s="41">
        <f>IF(C282="COVERED",'Methodology'!$B$9,'Methodology'!$B$10)</f>
        <v/>
      </c>
      <c r="K282" s="41">
        <f>I282*J282</f>
        <v/>
      </c>
      <c r="L282" s="41">
        <f>SUMIFS('Billing Aug'!$J$2:$J$770,'Billing Aug'!$D$2:$D$770,A282)</f>
        <v/>
      </c>
      <c r="M282" s="41">
        <f>L282-K282</f>
        <v/>
      </c>
      <c r="N282" s="37">
        <f>COUNTIF('Billing Aug'!$D$2:$D$770,A282)</f>
        <v/>
      </c>
      <c r="O282" s="37">
        <f>SUMIFS('Billing Aug'!$F$2:$F$770,'Billing Aug'!$D$2:$D$770,A282)</f>
        <v/>
      </c>
      <c r="P282" s="41">
        <f>IF(N282=0,0,L282-SUMIFS('Billing Aug'!$H$2:$H$770,'Billing Aug'!$D$2:$D$770,A282)*SUMIFS('Billing Aug'!$I$2:$I$770,'Billing Aug'!$D$2:$D$770,A282))</f>
        <v/>
      </c>
      <c r="Q282" s="37">
        <f>IF(N282=0,"NO AUG TRANSACTION IN SUPPLIED EXTRACT",IF(ABS(P282)&gt;0.004,"SUBLEDGER ARITHMETIC ERROR",IF(ABS(M282)&gt;0.004,"BILLING VARIANCE","MATCH")))</f>
        <v/>
      </c>
    </row>
    <row r="283">
      <c r="A283" s="37" t="inlineStr">
        <is>
          <t>VB-0215</t>
        </is>
      </c>
      <c r="B283" s="37" t="inlineStr">
        <is>
          <t>Vessbank</t>
        </is>
      </c>
      <c r="C283" s="37" t="inlineStr">
        <is>
          <t>COVERED</t>
        </is>
      </c>
      <c r="D283" s="37" t="inlineStr">
        <is>
          <t>OCCUPIED</t>
        </is>
      </c>
      <c r="E283" s="37" t="inlineStr">
        <is>
          <t>WL-03364</t>
        </is>
      </c>
      <c r="F283" s="37" t="inlineStr">
        <is>
          <t>Brenda Patel</t>
        </is>
      </c>
      <c r="G283" s="37" t="n">
        <v>28</v>
      </c>
      <c r="H283" s="39" t="n">
        <v>18.3</v>
      </c>
      <c r="I283" s="40">
        <f>ROUNDUP(MAX(G283,H283),0)</f>
        <v/>
      </c>
      <c r="J283" s="41">
        <f>IF(C283="COVERED",'Methodology'!$B$9,'Methodology'!$B$10)</f>
        <v/>
      </c>
      <c r="K283" s="41">
        <f>I283*J283</f>
        <v/>
      </c>
      <c r="L283" s="41">
        <f>SUMIFS('Billing Aug'!$J$2:$J$770,'Billing Aug'!$D$2:$D$770,A283)</f>
        <v/>
      </c>
      <c r="M283" s="41">
        <f>L283-K283</f>
        <v/>
      </c>
      <c r="N283" s="37">
        <f>COUNTIF('Billing Aug'!$D$2:$D$770,A283)</f>
        <v/>
      </c>
      <c r="O283" s="37">
        <f>SUMIFS('Billing Aug'!$F$2:$F$770,'Billing Aug'!$D$2:$D$770,A283)</f>
        <v/>
      </c>
      <c r="P283" s="41">
        <f>IF(N283=0,0,L283-SUMIFS('Billing Aug'!$H$2:$H$770,'Billing Aug'!$D$2:$D$770,A283)*SUMIFS('Billing Aug'!$I$2:$I$770,'Billing Aug'!$D$2:$D$770,A283))</f>
        <v/>
      </c>
      <c r="Q283" s="37">
        <f>IF(N283=0,"NO AUG TRANSACTION IN SUPPLIED EXTRACT",IF(ABS(P283)&gt;0.004,"SUBLEDGER ARITHMETIC ERROR",IF(ABS(M283)&gt;0.004,"BILLING VARIANCE","MATCH")))</f>
        <v/>
      </c>
    </row>
    <row r="284">
      <c r="A284" s="37" t="inlineStr">
        <is>
          <t>VB-0216</t>
        </is>
      </c>
      <c r="B284" s="37" t="inlineStr">
        <is>
          <t>Vessbank</t>
        </is>
      </c>
      <c r="C284" s="37" t="inlineStr">
        <is>
          <t>COVERED</t>
        </is>
      </c>
      <c r="D284" s="37" t="inlineStr">
        <is>
          <t>OCCUPIED</t>
        </is>
      </c>
      <c r="E284" s="37" t="inlineStr">
        <is>
          <t>WL-02253</t>
        </is>
      </c>
      <c r="F284" s="37" t="inlineStr">
        <is>
          <t>Nathan Parker</t>
        </is>
      </c>
      <c r="G284" s="37" t="n">
        <v>40</v>
      </c>
      <c r="H284" s="39" t="n">
        <v>30.8</v>
      </c>
      <c r="I284" s="40">
        <f>ROUNDUP(MAX(G284,H284),0)</f>
        <v/>
      </c>
      <c r="J284" s="41">
        <f>IF(C284="COVERED",'Methodology'!$B$9,'Methodology'!$B$10)</f>
        <v/>
      </c>
      <c r="K284" s="41">
        <f>I284*J284</f>
        <v/>
      </c>
      <c r="L284" s="41">
        <f>SUMIFS('Billing Aug'!$J$2:$J$770,'Billing Aug'!$D$2:$D$770,A284)</f>
        <v/>
      </c>
      <c r="M284" s="41">
        <f>L284-K284</f>
        <v/>
      </c>
      <c r="N284" s="37">
        <f>COUNTIF('Billing Aug'!$D$2:$D$770,A284)</f>
        <v/>
      </c>
      <c r="O284" s="37">
        <f>SUMIFS('Billing Aug'!$F$2:$F$770,'Billing Aug'!$D$2:$D$770,A284)</f>
        <v/>
      </c>
      <c r="P284" s="41">
        <f>IF(N284=0,0,L284-SUMIFS('Billing Aug'!$H$2:$H$770,'Billing Aug'!$D$2:$D$770,A284)*SUMIFS('Billing Aug'!$I$2:$I$770,'Billing Aug'!$D$2:$D$770,A284))</f>
        <v/>
      </c>
      <c r="Q284" s="37">
        <f>IF(N284=0,"NO AUG TRANSACTION IN SUPPLIED EXTRACT",IF(ABS(P284)&gt;0.004,"SUBLEDGER ARITHMETIC ERROR",IF(ABS(M284)&gt;0.004,"BILLING VARIANCE","MATCH")))</f>
        <v/>
      </c>
    </row>
    <row r="285">
      <c r="A285" s="37" t="inlineStr">
        <is>
          <t>VB-0217</t>
        </is>
      </c>
      <c r="B285" s="37" t="inlineStr">
        <is>
          <t>Vessbank</t>
        </is>
      </c>
      <c r="C285" s="37" t="inlineStr">
        <is>
          <t>COVERED</t>
        </is>
      </c>
      <c r="D285" s="37" t="inlineStr">
        <is>
          <t>OCCUPIED</t>
        </is>
      </c>
      <c r="E285" s="37" t="inlineStr">
        <is>
          <t>WL-03383</t>
        </is>
      </c>
      <c r="F285" s="37" t="inlineStr">
        <is>
          <t>Michelle Potter</t>
        </is>
      </c>
      <c r="G285" s="37" t="n">
        <v>24</v>
      </c>
      <c r="H285" s="39" t="n">
        <v>38.5</v>
      </c>
      <c r="I285" s="40">
        <f>ROUNDUP(MAX(G285,H285),0)</f>
        <v/>
      </c>
      <c r="J285" s="41">
        <f>IF(C285="COVERED",'Methodology'!$B$9,'Methodology'!$B$10)</f>
        <v/>
      </c>
      <c r="K285" s="41">
        <f>I285*J285</f>
        <v/>
      </c>
      <c r="L285" s="41">
        <f>SUMIFS('Billing Aug'!$J$2:$J$770,'Billing Aug'!$D$2:$D$770,A285)</f>
        <v/>
      </c>
      <c r="M285" s="41">
        <f>L285-K285</f>
        <v/>
      </c>
      <c r="N285" s="37">
        <f>COUNTIF('Billing Aug'!$D$2:$D$770,A285)</f>
        <v/>
      </c>
      <c r="O285" s="37">
        <f>SUMIFS('Billing Aug'!$F$2:$F$770,'Billing Aug'!$D$2:$D$770,A285)</f>
        <v/>
      </c>
      <c r="P285" s="41">
        <f>IF(N285=0,0,L285-SUMIFS('Billing Aug'!$H$2:$H$770,'Billing Aug'!$D$2:$D$770,A285)*SUMIFS('Billing Aug'!$I$2:$I$770,'Billing Aug'!$D$2:$D$770,A285))</f>
        <v/>
      </c>
      <c r="Q285" s="37">
        <f>IF(N285=0,"NO AUG TRANSACTION IN SUPPLIED EXTRACT",IF(ABS(P285)&gt;0.004,"SUBLEDGER ARITHMETIC ERROR",IF(ABS(M285)&gt;0.004,"BILLING VARIANCE","MATCH")))</f>
        <v/>
      </c>
    </row>
    <row r="286">
      <c r="A286" s="37" t="inlineStr">
        <is>
          <t>VB-0218</t>
        </is>
      </c>
      <c r="B286" s="37" t="inlineStr">
        <is>
          <t>Vessbank</t>
        </is>
      </c>
      <c r="C286" s="37" t="inlineStr">
        <is>
          <t>COVERED</t>
        </is>
      </c>
      <c r="D286" s="37" t="inlineStr">
        <is>
          <t>OCCUPIED</t>
        </is>
      </c>
      <c r="E286" s="37" t="inlineStr">
        <is>
          <t>WL-02534</t>
        </is>
      </c>
      <c r="F286" s="37" t="inlineStr">
        <is>
          <t>Daniel Erickson</t>
        </is>
      </c>
      <c r="G286" s="37" t="n">
        <v>24</v>
      </c>
      <c r="H286" s="39" t="n">
        <v>27</v>
      </c>
      <c r="I286" s="40">
        <f>ROUNDUP(MAX(G286,H286),0)</f>
        <v/>
      </c>
      <c r="J286" s="41">
        <f>IF(C286="COVERED",'Methodology'!$B$9,'Methodology'!$B$10)</f>
        <v/>
      </c>
      <c r="K286" s="41">
        <f>I286*J286</f>
        <v/>
      </c>
      <c r="L286" s="41">
        <f>SUMIFS('Billing Aug'!$J$2:$J$770,'Billing Aug'!$D$2:$D$770,A286)</f>
        <v/>
      </c>
      <c r="M286" s="41">
        <f>L286-K286</f>
        <v/>
      </c>
      <c r="N286" s="37">
        <f>COUNTIF('Billing Aug'!$D$2:$D$770,A286)</f>
        <v/>
      </c>
      <c r="O286" s="37">
        <f>SUMIFS('Billing Aug'!$F$2:$F$770,'Billing Aug'!$D$2:$D$770,A286)</f>
        <v/>
      </c>
      <c r="P286" s="41">
        <f>IF(N286=0,0,L286-SUMIFS('Billing Aug'!$H$2:$H$770,'Billing Aug'!$D$2:$D$770,A286)*SUMIFS('Billing Aug'!$I$2:$I$770,'Billing Aug'!$D$2:$D$770,A286))</f>
        <v/>
      </c>
      <c r="Q286" s="37">
        <f>IF(N286=0,"NO AUG TRANSACTION IN SUPPLIED EXTRACT",IF(ABS(P286)&gt;0.004,"SUBLEDGER ARITHMETIC ERROR",IF(ABS(M286)&gt;0.004,"BILLING VARIANCE","MATCH")))</f>
        <v/>
      </c>
    </row>
    <row r="287">
      <c r="A287" s="37" t="inlineStr">
        <is>
          <t>VB-0219</t>
        </is>
      </c>
      <c r="B287" s="37" t="inlineStr">
        <is>
          <t>Vessbank</t>
        </is>
      </c>
      <c r="C287" s="37" t="inlineStr">
        <is>
          <t>COVERED</t>
        </is>
      </c>
      <c r="D287" s="37" t="inlineStr">
        <is>
          <t>OCCUPIED</t>
        </is>
      </c>
      <c r="E287" s="37" t="inlineStr">
        <is>
          <t>WL-02980</t>
        </is>
      </c>
      <c r="F287" s="37" t="inlineStr">
        <is>
          <t>Elizabeth Dixon</t>
        </is>
      </c>
      <c r="G287" s="37" t="n">
        <v>28</v>
      </c>
      <c r="H287" s="39" t="n">
        <v>47.7</v>
      </c>
      <c r="I287" s="40">
        <f>ROUNDUP(MAX(G287,H287),0)</f>
        <v/>
      </c>
      <c r="J287" s="41">
        <f>IF(C287="COVERED",'Methodology'!$B$9,'Methodology'!$B$10)</f>
        <v/>
      </c>
      <c r="K287" s="41">
        <f>I287*J287</f>
        <v/>
      </c>
      <c r="L287" s="41">
        <f>SUMIFS('Billing Aug'!$J$2:$J$770,'Billing Aug'!$D$2:$D$770,A287)</f>
        <v/>
      </c>
      <c r="M287" s="41">
        <f>L287-K287</f>
        <v/>
      </c>
      <c r="N287" s="37">
        <f>COUNTIF('Billing Aug'!$D$2:$D$770,A287)</f>
        <v/>
      </c>
      <c r="O287" s="37">
        <f>SUMIFS('Billing Aug'!$F$2:$F$770,'Billing Aug'!$D$2:$D$770,A287)</f>
        <v/>
      </c>
      <c r="P287" s="41">
        <f>IF(N287=0,0,L287-SUMIFS('Billing Aug'!$H$2:$H$770,'Billing Aug'!$D$2:$D$770,A287)*SUMIFS('Billing Aug'!$I$2:$I$770,'Billing Aug'!$D$2:$D$770,A287))</f>
        <v/>
      </c>
      <c r="Q287" s="37">
        <f>IF(N287=0,"NO AUG TRANSACTION IN SUPPLIED EXTRACT",IF(ABS(P287)&gt;0.004,"SUBLEDGER ARITHMETIC ERROR",IF(ABS(M287)&gt;0.004,"BILLING VARIANCE","MATCH")))</f>
        <v/>
      </c>
    </row>
    <row r="288">
      <c r="A288" s="37" t="inlineStr">
        <is>
          <t>VB-0220</t>
        </is>
      </c>
      <c r="B288" s="37" t="inlineStr">
        <is>
          <t>Vessbank</t>
        </is>
      </c>
      <c r="C288" s="37" t="inlineStr">
        <is>
          <t>COVERED</t>
        </is>
      </c>
      <c r="D288" s="37" t="inlineStr">
        <is>
          <t>OCCUPIED</t>
        </is>
      </c>
      <c r="E288" s="37" t="inlineStr">
        <is>
          <t>WL-02537</t>
        </is>
      </c>
      <c r="F288" s="37" t="inlineStr">
        <is>
          <t>Calvin Nelson</t>
        </is>
      </c>
      <c r="G288" s="37" t="n">
        <v>28</v>
      </c>
      <c r="H288" s="39" t="n">
        <v>24.4</v>
      </c>
      <c r="I288" s="40">
        <f>ROUNDUP(MAX(G288,H288),0)</f>
        <v/>
      </c>
      <c r="J288" s="41">
        <f>IF(C288="COVERED",'Methodology'!$B$9,'Methodology'!$B$10)</f>
        <v/>
      </c>
      <c r="K288" s="41">
        <f>I288*J288</f>
        <v/>
      </c>
      <c r="L288" s="41">
        <f>SUMIFS('Billing Aug'!$J$2:$J$770,'Billing Aug'!$D$2:$D$770,A288)</f>
        <v/>
      </c>
      <c r="M288" s="41">
        <f>L288-K288</f>
        <v/>
      </c>
      <c r="N288" s="37">
        <f>COUNTIF('Billing Aug'!$D$2:$D$770,A288)</f>
        <v/>
      </c>
      <c r="O288" s="37">
        <f>SUMIFS('Billing Aug'!$F$2:$F$770,'Billing Aug'!$D$2:$D$770,A288)</f>
        <v/>
      </c>
      <c r="P288" s="41">
        <f>IF(N288=0,0,L288-SUMIFS('Billing Aug'!$H$2:$H$770,'Billing Aug'!$D$2:$D$770,A288)*SUMIFS('Billing Aug'!$I$2:$I$770,'Billing Aug'!$D$2:$D$770,A288))</f>
        <v/>
      </c>
      <c r="Q288" s="37">
        <f>IF(N288=0,"NO AUG TRANSACTION IN SUPPLIED EXTRACT",IF(ABS(P288)&gt;0.004,"SUBLEDGER ARITHMETIC ERROR",IF(ABS(M288)&gt;0.004,"BILLING VARIANCE","MATCH")))</f>
        <v/>
      </c>
    </row>
    <row r="289">
      <c r="A289" s="37" t="inlineStr">
        <is>
          <t>VB-0221</t>
        </is>
      </c>
      <c r="B289" s="37" t="inlineStr">
        <is>
          <t>Vessbank</t>
        </is>
      </c>
      <c r="C289" s="37" t="inlineStr">
        <is>
          <t>COVERED</t>
        </is>
      </c>
      <c r="D289" s="37" t="inlineStr">
        <is>
          <t>OCCUPIED</t>
        </is>
      </c>
      <c r="E289" s="37" t="inlineStr">
        <is>
          <t>WL-01130</t>
        </is>
      </c>
      <c r="F289" s="37" t="inlineStr">
        <is>
          <t>Thomas Davis</t>
        </is>
      </c>
      <c r="G289" s="37" t="n">
        <v>24</v>
      </c>
      <c r="H289" s="39" t="n">
        <v>31.2</v>
      </c>
      <c r="I289" s="40">
        <f>ROUNDUP(MAX(G289,H289),0)</f>
        <v/>
      </c>
      <c r="J289" s="41">
        <f>IF(C289="COVERED",'Methodology'!$B$9,'Methodology'!$B$10)</f>
        <v/>
      </c>
      <c r="K289" s="41">
        <f>I289*J289</f>
        <v/>
      </c>
      <c r="L289" s="41">
        <f>SUMIFS('Billing Aug'!$J$2:$J$770,'Billing Aug'!$D$2:$D$770,A289)</f>
        <v/>
      </c>
      <c r="M289" s="41">
        <f>L289-K289</f>
        <v/>
      </c>
      <c r="N289" s="37">
        <f>COUNTIF('Billing Aug'!$D$2:$D$770,A289)</f>
        <v/>
      </c>
      <c r="O289" s="37">
        <f>SUMIFS('Billing Aug'!$F$2:$F$770,'Billing Aug'!$D$2:$D$770,A289)</f>
        <v/>
      </c>
      <c r="P289" s="41">
        <f>IF(N289=0,0,L289-SUMIFS('Billing Aug'!$H$2:$H$770,'Billing Aug'!$D$2:$D$770,A289)*SUMIFS('Billing Aug'!$I$2:$I$770,'Billing Aug'!$D$2:$D$770,A289))</f>
        <v/>
      </c>
      <c r="Q289" s="37">
        <f>IF(N289=0,"NO AUG TRANSACTION IN SUPPLIED EXTRACT",IF(ABS(P289)&gt;0.004,"SUBLEDGER ARITHMETIC ERROR",IF(ABS(M289)&gt;0.004,"BILLING VARIANCE","MATCH")))</f>
        <v/>
      </c>
    </row>
    <row r="290">
      <c r="A290" s="37" t="inlineStr">
        <is>
          <t>VB-0222</t>
        </is>
      </c>
      <c r="B290" s="37" t="inlineStr">
        <is>
          <t>Vessbank</t>
        </is>
      </c>
      <c r="C290" s="37" t="inlineStr">
        <is>
          <t>COVERED</t>
        </is>
      </c>
      <c r="D290" s="37" t="inlineStr">
        <is>
          <t>OCCUPIED</t>
        </is>
      </c>
      <c r="E290" s="37" t="inlineStr">
        <is>
          <t>WL-02331</t>
        </is>
      </c>
      <c r="F290" s="37" t="inlineStr">
        <is>
          <t>Cassandra Gibbs</t>
        </is>
      </c>
      <c r="G290" s="37" t="n">
        <v>28</v>
      </c>
      <c r="H290" s="39" t="n">
        <v>61.3</v>
      </c>
      <c r="I290" s="40">
        <f>ROUNDUP(MAX(G290,H290),0)</f>
        <v/>
      </c>
      <c r="J290" s="41">
        <f>IF(C290="COVERED",'Methodology'!$B$9,'Methodology'!$B$10)</f>
        <v/>
      </c>
      <c r="K290" s="41">
        <f>I290*J290</f>
        <v/>
      </c>
      <c r="L290" s="41">
        <f>SUMIFS('Billing Aug'!$J$2:$J$770,'Billing Aug'!$D$2:$D$770,A290)</f>
        <v/>
      </c>
      <c r="M290" s="41">
        <f>L290-K290</f>
        <v/>
      </c>
      <c r="N290" s="37">
        <f>COUNTIF('Billing Aug'!$D$2:$D$770,A290)</f>
        <v/>
      </c>
      <c r="O290" s="37">
        <f>SUMIFS('Billing Aug'!$F$2:$F$770,'Billing Aug'!$D$2:$D$770,A290)</f>
        <v/>
      </c>
      <c r="P290" s="41">
        <f>IF(N290=0,0,L290-SUMIFS('Billing Aug'!$H$2:$H$770,'Billing Aug'!$D$2:$D$770,A290)*SUMIFS('Billing Aug'!$I$2:$I$770,'Billing Aug'!$D$2:$D$770,A290))</f>
        <v/>
      </c>
      <c r="Q290" s="37">
        <f>IF(N290=0,"NO AUG TRANSACTION IN SUPPLIED EXTRACT",IF(ABS(P290)&gt;0.004,"SUBLEDGER ARITHMETIC ERROR",IF(ABS(M290)&gt;0.004,"BILLING VARIANCE","MATCH")))</f>
        <v/>
      </c>
    </row>
    <row r="291">
      <c r="A291" s="37" t="inlineStr">
        <is>
          <t>VB-0223</t>
        </is>
      </c>
      <c r="B291" s="37" t="inlineStr">
        <is>
          <t>Vessbank</t>
        </is>
      </c>
      <c r="C291" s="37" t="inlineStr">
        <is>
          <t>COVERED</t>
        </is>
      </c>
      <c r="D291" s="37" t="inlineStr">
        <is>
          <t>OCCUPIED</t>
        </is>
      </c>
      <c r="E291" s="37" t="inlineStr">
        <is>
          <t>WL-02078</t>
        </is>
      </c>
      <c r="F291" s="37" t="inlineStr">
        <is>
          <t>Brian Kramer</t>
        </is>
      </c>
      <c r="G291" s="37" t="n">
        <v>32</v>
      </c>
      <c r="H291" s="39" t="n">
        <v>31.4</v>
      </c>
      <c r="I291" s="40">
        <f>ROUNDUP(MAX(G291,H291),0)</f>
        <v/>
      </c>
      <c r="J291" s="41">
        <f>IF(C291="COVERED",'Methodology'!$B$9,'Methodology'!$B$10)</f>
        <v/>
      </c>
      <c r="K291" s="41">
        <f>I291*J291</f>
        <v/>
      </c>
      <c r="L291" s="41">
        <f>SUMIFS('Billing Aug'!$J$2:$J$770,'Billing Aug'!$D$2:$D$770,A291)</f>
        <v/>
      </c>
      <c r="M291" s="41">
        <f>L291-K291</f>
        <v/>
      </c>
      <c r="N291" s="37">
        <f>COUNTIF('Billing Aug'!$D$2:$D$770,A291)</f>
        <v/>
      </c>
      <c r="O291" s="37">
        <f>SUMIFS('Billing Aug'!$F$2:$F$770,'Billing Aug'!$D$2:$D$770,A291)</f>
        <v/>
      </c>
      <c r="P291" s="41">
        <f>IF(N291=0,0,L291-SUMIFS('Billing Aug'!$H$2:$H$770,'Billing Aug'!$D$2:$D$770,A291)*SUMIFS('Billing Aug'!$I$2:$I$770,'Billing Aug'!$D$2:$D$770,A291))</f>
        <v/>
      </c>
      <c r="Q291" s="37">
        <f>IF(N291=0,"NO AUG TRANSACTION IN SUPPLIED EXTRACT",IF(ABS(P291)&gt;0.004,"SUBLEDGER ARITHMETIC ERROR",IF(ABS(M291)&gt;0.004,"BILLING VARIANCE","MATCH")))</f>
        <v/>
      </c>
    </row>
    <row r="292">
      <c r="A292" s="37" t="inlineStr">
        <is>
          <t>VB-0224</t>
        </is>
      </c>
      <c r="B292" s="37" t="inlineStr">
        <is>
          <t>Vessbank</t>
        </is>
      </c>
      <c r="C292" s="37" t="inlineStr">
        <is>
          <t>COVERED</t>
        </is>
      </c>
      <c r="D292" s="37" t="inlineStr">
        <is>
          <t>OCCUPIED</t>
        </is>
      </c>
      <c r="E292" s="37" t="inlineStr">
        <is>
          <t>WL-01263</t>
        </is>
      </c>
      <c r="F292" s="37" t="inlineStr">
        <is>
          <t>Sandra Goodwin</t>
        </is>
      </c>
      <c r="G292" s="37" t="n">
        <v>28</v>
      </c>
      <c r="H292" s="39" t="n">
        <v>27</v>
      </c>
      <c r="I292" s="40">
        <f>ROUNDUP(MAX(G292,H292),0)</f>
        <v/>
      </c>
      <c r="J292" s="41">
        <f>IF(C292="COVERED",'Methodology'!$B$9,'Methodology'!$B$10)</f>
        <v/>
      </c>
      <c r="K292" s="41">
        <f>I292*J292</f>
        <v/>
      </c>
      <c r="L292" s="41">
        <f>SUMIFS('Billing Aug'!$J$2:$J$770,'Billing Aug'!$D$2:$D$770,A292)</f>
        <v/>
      </c>
      <c r="M292" s="41">
        <f>L292-K292</f>
        <v/>
      </c>
      <c r="N292" s="37">
        <f>COUNTIF('Billing Aug'!$D$2:$D$770,A292)</f>
        <v/>
      </c>
      <c r="O292" s="37">
        <f>SUMIFS('Billing Aug'!$F$2:$F$770,'Billing Aug'!$D$2:$D$770,A292)</f>
        <v/>
      </c>
      <c r="P292" s="41">
        <f>IF(N292=0,0,L292-SUMIFS('Billing Aug'!$H$2:$H$770,'Billing Aug'!$D$2:$D$770,A292)*SUMIFS('Billing Aug'!$I$2:$I$770,'Billing Aug'!$D$2:$D$770,A292))</f>
        <v/>
      </c>
      <c r="Q292" s="37">
        <f>IF(N292=0,"NO AUG TRANSACTION IN SUPPLIED EXTRACT",IF(ABS(P292)&gt;0.004,"SUBLEDGER ARITHMETIC ERROR",IF(ABS(M292)&gt;0.004,"BILLING VARIANCE","MATCH")))</f>
        <v/>
      </c>
    </row>
    <row r="293">
      <c r="A293" s="37" t="inlineStr">
        <is>
          <t>VB-0302</t>
        </is>
      </c>
      <c r="B293" s="37" t="inlineStr">
        <is>
          <t>Vessbank</t>
        </is>
      </c>
      <c r="C293" s="37" t="inlineStr">
        <is>
          <t>COVERED</t>
        </is>
      </c>
      <c r="D293" s="37" t="inlineStr">
        <is>
          <t>OCCUPIED</t>
        </is>
      </c>
      <c r="E293" s="37" t="inlineStr">
        <is>
          <t>WL-01447</t>
        </is>
      </c>
      <c r="F293" s="37" t="inlineStr">
        <is>
          <t>Tim Bailey</t>
        </is>
      </c>
      <c r="G293" s="37" t="n">
        <v>28</v>
      </c>
      <c r="H293" s="39" t="n">
        <v>41.3</v>
      </c>
      <c r="I293" s="40">
        <f>ROUNDUP(MAX(G293,H293),0)</f>
        <v/>
      </c>
      <c r="J293" s="41">
        <f>IF(C293="COVERED",'Methodology'!$B$9,'Methodology'!$B$10)</f>
        <v/>
      </c>
      <c r="K293" s="41">
        <f>I293*J293</f>
        <v/>
      </c>
      <c r="L293" s="41">
        <f>SUMIFS('Billing Aug'!$J$2:$J$770,'Billing Aug'!$D$2:$D$770,A293)</f>
        <v/>
      </c>
      <c r="M293" s="41">
        <f>L293-K293</f>
        <v/>
      </c>
      <c r="N293" s="37">
        <f>COUNTIF('Billing Aug'!$D$2:$D$770,A293)</f>
        <v/>
      </c>
      <c r="O293" s="37">
        <f>SUMIFS('Billing Aug'!$F$2:$F$770,'Billing Aug'!$D$2:$D$770,A293)</f>
        <v/>
      </c>
      <c r="P293" s="41">
        <f>IF(N293=0,0,L293-SUMIFS('Billing Aug'!$H$2:$H$770,'Billing Aug'!$D$2:$D$770,A293)*SUMIFS('Billing Aug'!$I$2:$I$770,'Billing Aug'!$D$2:$D$770,A293))</f>
        <v/>
      </c>
      <c r="Q293" s="37">
        <f>IF(N293=0,"NO AUG TRANSACTION IN SUPPLIED EXTRACT",IF(ABS(P293)&gt;0.004,"SUBLEDGER ARITHMETIC ERROR",IF(ABS(M293)&gt;0.004,"BILLING VARIANCE","MATCH")))</f>
        <v/>
      </c>
    </row>
    <row r="294">
      <c r="A294" s="37" t="inlineStr">
        <is>
          <t>VB-0303</t>
        </is>
      </c>
      <c r="B294" s="37" t="inlineStr">
        <is>
          <t>Vessbank</t>
        </is>
      </c>
      <c r="C294" s="37" t="inlineStr">
        <is>
          <t>COVERED</t>
        </is>
      </c>
      <c r="D294" s="37" t="inlineStr">
        <is>
          <t>OCCUPIED</t>
        </is>
      </c>
      <c r="E294" s="37" t="inlineStr">
        <is>
          <t>WL-01339</t>
        </is>
      </c>
      <c r="F294" s="37" t="inlineStr">
        <is>
          <t>Robert Houston</t>
        </is>
      </c>
      <c r="G294" s="37" t="n">
        <v>32</v>
      </c>
      <c r="H294" s="39" t="n">
        <v>30.5</v>
      </c>
      <c r="I294" s="40">
        <f>ROUNDUP(MAX(G294,H294),0)</f>
        <v/>
      </c>
      <c r="J294" s="41">
        <f>IF(C294="COVERED",'Methodology'!$B$9,'Methodology'!$B$10)</f>
        <v/>
      </c>
      <c r="K294" s="41">
        <f>I294*J294</f>
        <v/>
      </c>
      <c r="L294" s="41">
        <f>SUMIFS('Billing Aug'!$J$2:$J$770,'Billing Aug'!$D$2:$D$770,A294)</f>
        <v/>
      </c>
      <c r="M294" s="41">
        <f>L294-K294</f>
        <v/>
      </c>
      <c r="N294" s="37">
        <f>COUNTIF('Billing Aug'!$D$2:$D$770,A294)</f>
        <v/>
      </c>
      <c r="O294" s="37">
        <f>SUMIFS('Billing Aug'!$F$2:$F$770,'Billing Aug'!$D$2:$D$770,A294)</f>
        <v/>
      </c>
      <c r="P294" s="41">
        <f>IF(N294=0,0,L294-SUMIFS('Billing Aug'!$H$2:$H$770,'Billing Aug'!$D$2:$D$770,A294)*SUMIFS('Billing Aug'!$I$2:$I$770,'Billing Aug'!$D$2:$D$770,A294))</f>
        <v/>
      </c>
      <c r="Q294" s="37">
        <f>IF(N294=0,"NO AUG TRANSACTION IN SUPPLIED EXTRACT",IF(ABS(P294)&gt;0.004,"SUBLEDGER ARITHMETIC ERROR",IF(ABS(M294)&gt;0.004,"BILLING VARIANCE","MATCH")))</f>
        <v/>
      </c>
    </row>
    <row r="295">
      <c r="A295" s="37" t="inlineStr">
        <is>
          <t>VB-0304</t>
        </is>
      </c>
      <c r="B295" s="37" t="inlineStr">
        <is>
          <t>Vessbank</t>
        </is>
      </c>
      <c r="C295" s="37" t="inlineStr">
        <is>
          <t>COVERED</t>
        </is>
      </c>
      <c r="D295" s="37" t="inlineStr">
        <is>
          <t>OCCUPIED</t>
        </is>
      </c>
      <c r="E295" s="37" t="inlineStr">
        <is>
          <t>WL-01303</t>
        </is>
      </c>
      <c r="F295" s="37" t="inlineStr">
        <is>
          <t>Robert Harmon</t>
        </is>
      </c>
      <c r="G295" s="37" t="n">
        <v>32</v>
      </c>
      <c r="H295" s="39" t="n">
        <v>32.2</v>
      </c>
      <c r="I295" s="40">
        <f>ROUNDUP(MAX(G295,H295),0)</f>
        <v/>
      </c>
      <c r="J295" s="41">
        <f>IF(C295="COVERED",'Methodology'!$B$9,'Methodology'!$B$10)</f>
        <v/>
      </c>
      <c r="K295" s="41">
        <f>I295*J295</f>
        <v/>
      </c>
      <c r="L295" s="41">
        <f>SUMIFS('Billing Aug'!$J$2:$J$770,'Billing Aug'!$D$2:$D$770,A295)</f>
        <v/>
      </c>
      <c r="M295" s="41">
        <f>L295-K295</f>
        <v/>
      </c>
      <c r="N295" s="37">
        <f>COUNTIF('Billing Aug'!$D$2:$D$770,A295)</f>
        <v/>
      </c>
      <c r="O295" s="37">
        <f>SUMIFS('Billing Aug'!$F$2:$F$770,'Billing Aug'!$D$2:$D$770,A295)</f>
        <v/>
      </c>
      <c r="P295" s="41">
        <f>IF(N295=0,0,L295-SUMIFS('Billing Aug'!$H$2:$H$770,'Billing Aug'!$D$2:$D$770,A295)*SUMIFS('Billing Aug'!$I$2:$I$770,'Billing Aug'!$D$2:$D$770,A295))</f>
        <v/>
      </c>
      <c r="Q295" s="37">
        <f>IF(N295=0,"NO AUG TRANSACTION IN SUPPLIED EXTRACT",IF(ABS(P295)&gt;0.004,"SUBLEDGER ARITHMETIC ERROR",IF(ABS(M295)&gt;0.004,"BILLING VARIANCE","MATCH")))</f>
        <v/>
      </c>
    </row>
    <row r="296">
      <c r="A296" s="37" t="inlineStr">
        <is>
          <t>VB-0305</t>
        </is>
      </c>
      <c r="B296" s="37" t="inlineStr">
        <is>
          <t>Vessbank</t>
        </is>
      </c>
      <c r="C296" s="37" t="inlineStr">
        <is>
          <t>COVERED</t>
        </is>
      </c>
      <c r="D296" s="37" t="inlineStr">
        <is>
          <t>OCCUPIED</t>
        </is>
      </c>
      <c r="E296" s="37" t="inlineStr">
        <is>
          <t>WL-02130</t>
        </is>
      </c>
      <c r="F296" s="37" t="inlineStr">
        <is>
          <t>Sierra Le</t>
        </is>
      </c>
      <c r="G296" s="37" t="n">
        <v>24</v>
      </c>
      <c r="H296" s="39" t="n">
        <v>45.8</v>
      </c>
      <c r="I296" s="40">
        <f>ROUNDUP(MAX(G296,H296),0)</f>
        <v/>
      </c>
      <c r="J296" s="41">
        <f>IF(C296="COVERED",'Methodology'!$B$9,'Methodology'!$B$10)</f>
        <v/>
      </c>
      <c r="K296" s="41">
        <f>I296*J296</f>
        <v/>
      </c>
      <c r="L296" s="41">
        <f>SUMIFS('Billing Aug'!$J$2:$J$770,'Billing Aug'!$D$2:$D$770,A296)</f>
        <v/>
      </c>
      <c r="M296" s="41">
        <f>L296-K296</f>
        <v/>
      </c>
      <c r="N296" s="37">
        <f>COUNTIF('Billing Aug'!$D$2:$D$770,A296)</f>
        <v/>
      </c>
      <c r="O296" s="37">
        <f>SUMIFS('Billing Aug'!$F$2:$F$770,'Billing Aug'!$D$2:$D$770,A296)</f>
        <v/>
      </c>
      <c r="P296" s="41">
        <f>IF(N296=0,0,L296-SUMIFS('Billing Aug'!$H$2:$H$770,'Billing Aug'!$D$2:$D$770,A296)*SUMIFS('Billing Aug'!$I$2:$I$770,'Billing Aug'!$D$2:$D$770,A296))</f>
        <v/>
      </c>
      <c r="Q296" s="37">
        <f>IF(N296=0,"NO AUG TRANSACTION IN SUPPLIED EXTRACT",IF(ABS(P296)&gt;0.004,"SUBLEDGER ARITHMETIC ERROR",IF(ABS(M296)&gt;0.004,"BILLING VARIANCE","MATCH")))</f>
        <v/>
      </c>
    </row>
    <row r="297">
      <c r="A297" s="37" t="inlineStr">
        <is>
          <t>VB-0306</t>
        </is>
      </c>
      <c r="B297" s="37" t="inlineStr">
        <is>
          <t>Vessbank</t>
        </is>
      </c>
      <c r="C297" s="37" t="inlineStr">
        <is>
          <t>COVERED</t>
        </is>
      </c>
      <c r="D297" s="37" t="inlineStr">
        <is>
          <t>OCCUPIED</t>
        </is>
      </c>
      <c r="E297" s="37" t="inlineStr">
        <is>
          <t>WL-03397</t>
        </is>
      </c>
      <c r="F297" s="37" t="inlineStr">
        <is>
          <t>Jessica Daugherty</t>
        </is>
      </c>
      <c r="G297" s="37" t="n">
        <v>28</v>
      </c>
      <c r="H297" s="39" t="n">
        <v>18.3</v>
      </c>
      <c r="I297" s="40">
        <f>ROUNDUP(MAX(G297,H297),0)</f>
        <v/>
      </c>
      <c r="J297" s="41">
        <f>IF(C297="COVERED",'Methodology'!$B$9,'Methodology'!$B$10)</f>
        <v/>
      </c>
      <c r="K297" s="41">
        <f>I297*J297</f>
        <v/>
      </c>
      <c r="L297" s="41">
        <f>SUMIFS('Billing Aug'!$J$2:$J$770,'Billing Aug'!$D$2:$D$770,A297)</f>
        <v/>
      </c>
      <c r="M297" s="41">
        <f>L297-K297</f>
        <v/>
      </c>
      <c r="N297" s="37">
        <f>COUNTIF('Billing Aug'!$D$2:$D$770,A297)</f>
        <v/>
      </c>
      <c r="O297" s="37">
        <f>SUMIFS('Billing Aug'!$F$2:$F$770,'Billing Aug'!$D$2:$D$770,A297)</f>
        <v/>
      </c>
      <c r="P297" s="41">
        <f>IF(N297=0,0,L297-SUMIFS('Billing Aug'!$H$2:$H$770,'Billing Aug'!$D$2:$D$770,A297)*SUMIFS('Billing Aug'!$I$2:$I$770,'Billing Aug'!$D$2:$D$770,A297))</f>
        <v/>
      </c>
      <c r="Q297" s="37">
        <f>IF(N297=0,"NO AUG TRANSACTION IN SUPPLIED EXTRACT",IF(ABS(P297)&gt;0.004,"SUBLEDGER ARITHMETIC ERROR",IF(ABS(M297)&gt;0.004,"BILLING VARIANCE","MATCH")))</f>
        <v/>
      </c>
    </row>
    <row r="298">
      <c r="A298" s="37" t="inlineStr">
        <is>
          <t>VB-0307</t>
        </is>
      </c>
      <c r="B298" s="37" t="inlineStr">
        <is>
          <t>Vessbank</t>
        </is>
      </c>
      <c r="C298" s="37" t="inlineStr">
        <is>
          <t>COVERED</t>
        </is>
      </c>
      <c r="D298" s="37" t="inlineStr">
        <is>
          <t>OCCUPIED</t>
        </is>
      </c>
      <c r="E298" s="37" t="inlineStr">
        <is>
          <t>WL-01379</t>
        </is>
      </c>
      <c r="F298" s="37" t="inlineStr">
        <is>
          <t>Jacob Wong</t>
        </is>
      </c>
      <c r="G298" s="37" t="n">
        <v>24</v>
      </c>
      <c r="H298" s="39" t="n">
        <v>32</v>
      </c>
      <c r="I298" s="40">
        <f>ROUNDUP(MAX(G298,H298),0)</f>
        <v/>
      </c>
      <c r="J298" s="41">
        <f>IF(C298="COVERED",'Methodology'!$B$9,'Methodology'!$B$10)</f>
        <v/>
      </c>
      <c r="K298" s="41">
        <f>I298*J298</f>
        <v/>
      </c>
      <c r="L298" s="41">
        <f>SUMIFS('Billing Aug'!$J$2:$J$770,'Billing Aug'!$D$2:$D$770,A298)</f>
        <v/>
      </c>
      <c r="M298" s="41">
        <f>L298-K298</f>
        <v/>
      </c>
      <c r="N298" s="37">
        <f>COUNTIF('Billing Aug'!$D$2:$D$770,A298)</f>
        <v/>
      </c>
      <c r="O298" s="37">
        <f>SUMIFS('Billing Aug'!$F$2:$F$770,'Billing Aug'!$D$2:$D$770,A298)</f>
        <v/>
      </c>
      <c r="P298" s="41">
        <f>IF(N298=0,0,L298-SUMIFS('Billing Aug'!$H$2:$H$770,'Billing Aug'!$D$2:$D$770,A298)*SUMIFS('Billing Aug'!$I$2:$I$770,'Billing Aug'!$D$2:$D$770,A298))</f>
        <v/>
      </c>
      <c r="Q298" s="37">
        <f>IF(N298=0,"NO AUG TRANSACTION IN SUPPLIED EXTRACT",IF(ABS(P298)&gt;0.004,"SUBLEDGER ARITHMETIC ERROR",IF(ABS(M298)&gt;0.004,"BILLING VARIANCE","MATCH")))</f>
        <v/>
      </c>
    </row>
    <row r="299">
      <c r="A299" s="37" t="inlineStr">
        <is>
          <t>VB-0308</t>
        </is>
      </c>
      <c r="B299" s="37" t="inlineStr">
        <is>
          <t>Vessbank</t>
        </is>
      </c>
      <c r="C299" s="37" t="inlineStr">
        <is>
          <t>COVERED</t>
        </is>
      </c>
      <c r="D299" s="37" t="inlineStr">
        <is>
          <t>OCCUPIED</t>
        </is>
      </c>
      <c r="E299" s="37" t="inlineStr">
        <is>
          <t>WL-03564</t>
        </is>
      </c>
      <c r="F299" s="37" t="inlineStr">
        <is>
          <t>Amy Hernandez</t>
        </is>
      </c>
      <c r="G299" s="37" t="n">
        <v>24</v>
      </c>
      <c r="H299" s="39" t="n">
        <v>41.8</v>
      </c>
      <c r="I299" s="40">
        <f>ROUNDUP(MAX(G299,H299),0)</f>
        <v/>
      </c>
      <c r="J299" s="41">
        <f>IF(C299="COVERED",'Methodology'!$B$9,'Methodology'!$B$10)</f>
        <v/>
      </c>
      <c r="K299" s="41">
        <f>I299*J299</f>
        <v/>
      </c>
      <c r="L299" s="41">
        <f>SUMIFS('Billing Aug'!$J$2:$J$770,'Billing Aug'!$D$2:$D$770,A299)</f>
        <v/>
      </c>
      <c r="M299" s="41">
        <f>L299-K299</f>
        <v/>
      </c>
      <c r="N299" s="37">
        <f>COUNTIF('Billing Aug'!$D$2:$D$770,A299)</f>
        <v/>
      </c>
      <c r="O299" s="37">
        <f>SUMIFS('Billing Aug'!$F$2:$F$770,'Billing Aug'!$D$2:$D$770,A299)</f>
        <v/>
      </c>
      <c r="P299" s="41">
        <f>IF(N299=0,0,L299-SUMIFS('Billing Aug'!$H$2:$H$770,'Billing Aug'!$D$2:$D$770,A299)*SUMIFS('Billing Aug'!$I$2:$I$770,'Billing Aug'!$D$2:$D$770,A299))</f>
        <v/>
      </c>
      <c r="Q299" s="37">
        <f>IF(N299=0,"NO AUG TRANSACTION IN SUPPLIED EXTRACT",IF(ABS(P299)&gt;0.004,"SUBLEDGER ARITHMETIC ERROR",IF(ABS(M299)&gt;0.004,"BILLING VARIANCE","MATCH")))</f>
        <v/>
      </c>
    </row>
    <row r="300">
      <c r="A300" s="37" t="inlineStr">
        <is>
          <t>VB-0309</t>
        </is>
      </c>
      <c r="B300" s="37" t="inlineStr">
        <is>
          <t>Vessbank</t>
        </is>
      </c>
      <c r="C300" s="37" t="inlineStr">
        <is>
          <t>COVERED</t>
        </is>
      </c>
      <c r="D300" s="37" t="inlineStr">
        <is>
          <t>OCCUPIED</t>
        </is>
      </c>
      <c r="E300" s="37" t="inlineStr">
        <is>
          <t>WL-02656</t>
        </is>
      </c>
      <c r="F300" s="37" t="inlineStr">
        <is>
          <t>David Horton</t>
        </is>
      </c>
      <c r="G300" s="37" t="n">
        <v>36</v>
      </c>
      <c r="H300" s="39" t="n">
        <v>20.6</v>
      </c>
      <c r="I300" s="40">
        <f>ROUNDUP(MAX(G300,H300),0)</f>
        <v/>
      </c>
      <c r="J300" s="41">
        <f>IF(C300="COVERED",'Methodology'!$B$9,'Methodology'!$B$10)</f>
        <v/>
      </c>
      <c r="K300" s="41">
        <f>I300*J300</f>
        <v/>
      </c>
      <c r="L300" s="41">
        <f>SUMIFS('Billing Aug'!$J$2:$J$770,'Billing Aug'!$D$2:$D$770,A300)</f>
        <v/>
      </c>
      <c r="M300" s="41">
        <f>L300-K300</f>
        <v/>
      </c>
      <c r="N300" s="37">
        <f>COUNTIF('Billing Aug'!$D$2:$D$770,A300)</f>
        <v/>
      </c>
      <c r="O300" s="37">
        <f>SUMIFS('Billing Aug'!$F$2:$F$770,'Billing Aug'!$D$2:$D$770,A300)</f>
        <v/>
      </c>
      <c r="P300" s="41">
        <f>IF(N300=0,0,L300-SUMIFS('Billing Aug'!$H$2:$H$770,'Billing Aug'!$D$2:$D$770,A300)*SUMIFS('Billing Aug'!$I$2:$I$770,'Billing Aug'!$D$2:$D$770,A300))</f>
        <v/>
      </c>
      <c r="Q300" s="37">
        <f>IF(N300=0,"NO AUG TRANSACTION IN SUPPLIED EXTRACT",IF(ABS(P300)&gt;0.004,"SUBLEDGER ARITHMETIC ERROR",IF(ABS(M300)&gt;0.004,"BILLING VARIANCE","MATCH")))</f>
        <v/>
      </c>
    </row>
    <row r="301">
      <c r="A301" s="37" t="inlineStr">
        <is>
          <t>VB-0310</t>
        </is>
      </c>
      <c r="B301" s="37" t="inlineStr">
        <is>
          <t>Vessbank</t>
        </is>
      </c>
      <c r="C301" s="37" t="inlineStr">
        <is>
          <t>COVERED</t>
        </is>
      </c>
      <c r="D301" s="37" t="inlineStr">
        <is>
          <t>OCCUPIED</t>
        </is>
      </c>
      <c r="E301" s="37" t="inlineStr">
        <is>
          <t>WL-03313</t>
        </is>
      </c>
      <c r="F301" s="37" t="inlineStr">
        <is>
          <t>Jose Jimenez</t>
        </is>
      </c>
      <c r="G301" s="37" t="n">
        <v>28</v>
      </c>
      <c r="H301" s="39" t="n">
        <v>38.6</v>
      </c>
      <c r="I301" s="40">
        <f>ROUNDUP(MAX(G301,H301),0)</f>
        <v/>
      </c>
      <c r="J301" s="41">
        <f>IF(C301="COVERED",'Methodology'!$B$9,'Methodology'!$B$10)</f>
        <v/>
      </c>
      <c r="K301" s="41">
        <f>I301*J301</f>
        <v/>
      </c>
      <c r="L301" s="41">
        <f>SUMIFS('Billing Aug'!$J$2:$J$770,'Billing Aug'!$D$2:$D$770,A301)</f>
        <v/>
      </c>
      <c r="M301" s="41">
        <f>L301-K301</f>
        <v/>
      </c>
      <c r="N301" s="37">
        <f>COUNTIF('Billing Aug'!$D$2:$D$770,A301)</f>
        <v/>
      </c>
      <c r="O301" s="37">
        <f>SUMIFS('Billing Aug'!$F$2:$F$770,'Billing Aug'!$D$2:$D$770,A301)</f>
        <v/>
      </c>
      <c r="P301" s="41">
        <f>IF(N301=0,0,L301-SUMIFS('Billing Aug'!$H$2:$H$770,'Billing Aug'!$D$2:$D$770,A301)*SUMIFS('Billing Aug'!$I$2:$I$770,'Billing Aug'!$D$2:$D$770,A301))</f>
        <v/>
      </c>
      <c r="Q301" s="37">
        <f>IF(N301=0,"NO AUG TRANSACTION IN SUPPLIED EXTRACT",IF(ABS(P301)&gt;0.004,"SUBLEDGER ARITHMETIC ERROR",IF(ABS(M301)&gt;0.004,"BILLING VARIANCE","MATCH")))</f>
        <v/>
      </c>
    </row>
    <row r="302">
      <c r="A302" s="37" t="inlineStr">
        <is>
          <t>VB-0311</t>
        </is>
      </c>
      <c r="B302" s="37" t="inlineStr">
        <is>
          <t>Vessbank</t>
        </is>
      </c>
      <c r="C302" s="37" t="inlineStr">
        <is>
          <t>COVERED</t>
        </is>
      </c>
      <c r="D302" s="37" t="inlineStr">
        <is>
          <t>OCCUPIED</t>
        </is>
      </c>
      <c r="E302" s="37" t="inlineStr">
        <is>
          <t>WL-01760</t>
        </is>
      </c>
      <c r="F302" s="37" t="inlineStr">
        <is>
          <t>Jose Becker</t>
        </is>
      </c>
      <c r="G302" s="37" t="n">
        <v>32</v>
      </c>
      <c r="H302" s="39" t="n">
        <v>46.6</v>
      </c>
      <c r="I302" s="40">
        <f>ROUNDUP(MAX(G302,H302),0)</f>
        <v/>
      </c>
      <c r="J302" s="41">
        <f>IF(C302="COVERED",'Methodology'!$B$9,'Methodology'!$B$10)</f>
        <v/>
      </c>
      <c r="K302" s="41">
        <f>I302*J302</f>
        <v/>
      </c>
      <c r="L302" s="41">
        <f>SUMIFS('Billing Aug'!$J$2:$J$770,'Billing Aug'!$D$2:$D$770,A302)</f>
        <v/>
      </c>
      <c r="M302" s="41">
        <f>L302-K302</f>
        <v/>
      </c>
      <c r="N302" s="37">
        <f>COUNTIF('Billing Aug'!$D$2:$D$770,A302)</f>
        <v/>
      </c>
      <c r="O302" s="37">
        <f>SUMIFS('Billing Aug'!$F$2:$F$770,'Billing Aug'!$D$2:$D$770,A302)</f>
        <v/>
      </c>
      <c r="P302" s="41">
        <f>IF(N302=0,0,L302-SUMIFS('Billing Aug'!$H$2:$H$770,'Billing Aug'!$D$2:$D$770,A302)*SUMIFS('Billing Aug'!$I$2:$I$770,'Billing Aug'!$D$2:$D$770,A302))</f>
        <v/>
      </c>
      <c r="Q302" s="37">
        <f>IF(N302=0,"NO AUG TRANSACTION IN SUPPLIED EXTRACT",IF(ABS(P302)&gt;0.004,"SUBLEDGER ARITHMETIC ERROR",IF(ABS(M302)&gt;0.004,"BILLING VARIANCE","MATCH")))</f>
        <v/>
      </c>
    </row>
    <row r="303">
      <c r="A303" s="37" t="inlineStr">
        <is>
          <t>VB-0312</t>
        </is>
      </c>
      <c r="B303" s="37" t="inlineStr">
        <is>
          <t>Vessbank</t>
        </is>
      </c>
      <c r="C303" s="37" t="inlineStr">
        <is>
          <t>COVERED</t>
        </is>
      </c>
      <c r="D303" s="37" t="inlineStr">
        <is>
          <t>OCCUPIED</t>
        </is>
      </c>
      <c r="E303" s="37" t="inlineStr">
        <is>
          <t>WL-03224</t>
        </is>
      </c>
      <c r="F303" s="37" t="inlineStr">
        <is>
          <t>Catherine Flynn</t>
        </is>
      </c>
      <c r="G303" s="37" t="n">
        <v>24</v>
      </c>
      <c r="H303" s="39" t="n">
        <v>56.6</v>
      </c>
      <c r="I303" s="40">
        <f>ROUNDUP(MAX(G303,H303),0)</f>
        <v/>
      </c>
      <c r="J303" s="41">
        <f>IF(C303="COVERED",'Methodology'!$B$9,'Methodology'!$B$10)</f>
        <v/>
      </c>
      <c r="K303" s="41">
        <f>I303*J303</f>
        <v/>
      </c>
      <c r="L303" s="41">
        <f>SUMIFS('Billing Aug'!$J$2:$J$770,'Billing Aug'!$D$2:$D$770,A303)</f>
        <v/>
      </c>
      <c r="M303" s="41">
        <f>L303-K303</f>
        <v/>
      </c>
      <c r="N303" s="37">
        <f>COUNTIF('Billing Aug'!$D$2:$D$770,A303)</f>
        <v/>
      </c>
      <c r="O303" s="37">
        <f>SUMIFS('Billing Aug'!$F$2:$F$770,'Billing Aug'!$D$2:$D$770,A303)</f>
        <v/>
      </c>
      <c r="P303" s="41">
        <f>IF(N303=0,0,L303-SUMIFS('Billing Aug'!$H$2:$H$770,'Billing Aug'!$D$2:$D$770,A303)*SUMIFS('Billing Aug'!$I$2:$I$770,'Billing Aug'!$D$2:$D$770,A303))</f>
        <v/>
      </c>
      <c r="Q303" s="37">
        <f>IF(N303=0,"NO AUG TRANSACTION IN SUPPLIED EXTRACT",IF(ABS(P303)&gt;0.004,"SUBLEDGER ARITHMETIC ERROR",IF(ABS(M303)&gt;0.004,"BILLING VARIANCE","MATCH")))</f>
        <v/>
      </c>
    </row>
    <row r="304">
      <c r="A304" s="37" t="inlineStr">
        <is>
          <t>VB-0314</t>
        </is>
      </c>
      <c r="B304" s="37" t="inlineStr">
        <is>
          <t>Vessbank</t>
        </is>
      </c>
      <c r="C304" s="37" t="inlineStr">
        <is>
          <t>COVERED</t>
        </is>
      </c>
      <c r="D304" s="37" t="inlineStr">
        <is>
          <t>OCCUPIED</t>
        </is>
      </c>
      <c r="E304" s="37" t="inlineStr">
        <is>
          <t>WL-02315</t>
        </is>
      </c>
      <c r="F304" s="37" t="inlineStr">
        <is>
          <t>Mitchell Mendez</t>
        </is>
      </c>
      <c r="G304" s="37" t="n">
        <v>24</v>
      </c>
      <c r="H304" s="39" t="n">
        <v>61.1</v>
      </c>
      <c r="I304" s="40">
        <f>ROUNDUP(MAX(G304,H304),0)</f>
        <v/>
      </c>
      <c r="J304" s="41">
        <f>IF(C304="COVERED",'Methodology'!$B$9,'Methodology'!$B$10)</f>
        <v/>
      </c>
      <c r="K304" s="41">
        <f>I304*J304</f>
        <v/>
      </c>
      <c r="L304" s="41">
        <f>SUMIFS('Billing Aug'!$J$2:$J$770,'Billing Aug'!$D$2:$D$770,A304)</f>
        <v/>
      </c>
      <c r="M304" s="41">
        <f>L304-K304</f>
        <v/>
      </c>
      <c r="N304" s="37">
        <f>COUNTIF('Billing Aug'!$D$2:$D$770,A304)</f>
        <v/>
      </c>
      <c r="O304" s="37">
        <f>SUMIFS('Billing Aug'!$F$2:$F$770,'Billing Aug'!$D$2:$D$770,A304)</f>
        <v/>
      </c>
      <c r="P304" s="41">
        <f>IF(N304=0,0,L304-SUMIFS('Billing Aug'!$H$2:$H$770,'Billing Aug'!$D$2:$D$770,A304)*SUMIFS('Billing Aug'!$I$2:$I$770,'Billing Aug'!$D$2:$D$770,A304))</f>
        <v/>
      </c>
      <c r="Q304" s="37">
        <f>IF(N304=0,"NO AUG TRANSACTION IN SUPPLIED EXTRACT",IF(ABS(P304)&gt;0.004,"SUBLEDGER ARITHMETIC ERROR",IF(ABS(M304)&gt;0.004,"BILLING VARIANCE","MATCH")))</f>
        <v/>
      </c>
    </row>
    <row r="305">
      <c r="A305" s="37" t="inlineStr">
        <is>
          <t>VB-0315</t>
        </is>
      </c>
      <c r="B305" s="37" t="inlineStr">
        <is>
          <t>Vessbank</t>
        </is>
      </c>
      <c r="C305" s="37" t="inlineStr">
        <is>
          <t>COVERED</t>
        </is>
      </c>
      <c r="D305" s="37" t="inlineStr">
        <is>
          <t>OCCUPIED</t>
        </is>
      </c>
      <c r="E305" s="37" t="inlineStr">
        <is>
          <t>WL-03326</t>
        </is>
      </c>
      <c r="F305" s="37" t="inlineStr">
        <is>
          <t>Christopher Brock</t>
        </is>
      </c>
      <c r="G305" s="37" t="n">
        <v>28</v>
      </c>
      <c r="H305" s="39" t="n">
        <v>40</v>
      </c>
      <c r="I305" s="40">
        <f>ROUNDUP(MAX(G305,H305),0)</f>
        <v/>
      </c>
      <c r="J305" s="41">
        <f>IF(C305="COVERED",'Methodology'!$B$9,'Methodology'!$B$10)</f>
        <v/>
      </c>
      <c r="K305" s="41">
        <f>I305*J305</f>
        <v/>
      </c>
      <c r="L305" s="41">
        <f>SUMIFS('Billing Aug'!$J$2:$J$770,'Billing Aug'!$D$2:$D$770,A305)</f>
        <v/>
      </c>
      <c r="M305" s="41">
        <f>L305-K305</f>
        <v/>
      </c>
      <c r="N305" s="37">
        <f>COUNTIF('Billing Aug'!$D$2:$D$770,A305)</f>
        <v/>
      </c>
      <c r="O305" s="37">
        <f>SUMIFS('Billing Aug'!$F$2:$F$770,'Billing Aug'!$D$2:$D$770,A305)</f>
        <v/>
      </c>
      <c r="P305" s="41">
        <f>IF(N305=0,0,L305-SUMIFS('Billing Aug'!$H$2:$H$770,'Billing Aug'!$D$2:$D$770,A305)*SUMIFS('Billing Aug'!$I$2:$I$770,'Billing Aug'!$D$2:$D$770,A305))</f>
        <v/>
      </c>
      <c r="Q305" s="37">
        <f>IF(N305=0,"NO AUG TRANSACTION IN SUPPLIED EXTRACT",IF(ABS(P305)&gt;0.004,"SUBLEDGER ARITHMETIC ERROR",IF(ABS(M305)&gt;0.004,"BILLING VARIANCE","MATCH")))</f>
        <v/>
      </c>
    </row>
    <row r="306">
      <c r="A306" s="37" t="inlineStr">
        <is>
          <t>VB-0316</t>
        </is>
      </c>
      <c r="B306" s="37" t="inlineStr">
        <is>
          <t>Vessbank</t>
        </is>
      </c>
      <c r="C306" s="37" t="inlineStr">
        <is>
          <t>COVERED</t>
        </is>
      </c>
      <c r="D306" s="37" t="inlineStr">
        <is>
          <t>OCCUPIED</t>
        </is>
      </c>
      <c r="E306" s="37" t="inlineStr">
        <is>
          <t>WL-03492</t>
        </is>
      </c>
      <c r="F306" s="37" t="inlineStr">
        <is>
          <t>Lisa Hernandez</t>
        </is>
      </c>
      <c r="G306" s="37" t="n">
        <v>36</v>
      </c>
      <c r="H306" s="39" t="n">
        <v>32.7</v>
      </c>
      <c r="I306" s="40">
        <f>ROUNDUP(MAX(G306,H306),0)</f>
        <v/>
      </c>
      <c r="J306" s="41">
        <f>IF(C306="COVERED",'Methodology'!$B$9,'Methodology'!$B$10)</f>
        <v/>
      </c>
      <c r="K306" s="41">
        <f>I306*J306</f>
        <v/>
      </c>
      <c r="L306" s="41">
        <f>SUMIFS('Billing Aug'!$J$2:$J$770,'Billing Aug'!$D$2:$D$770,A306)</f>
        <v/>
      </c>
      <c r="M306" s="41">
        <f>L306-K306</f>
        <v/>
      </c>
      <c r="N306" s="37">
        <f>COUNTIF('Billing Aug'!$D$2:$D$770,A306)</f>
        <v/>
      </c>
      <c r="O306" s="37">
        <f>SUMIFS('Billing Aug'!$F$2:$F$770,'Billing Aug'!$D$2:$D$770,A306)</f>
        <v/>
      </c>
      <c r="P306" s="41">
        <f>IF(N306=0,0,L306-SUMIFS('Billing Aug'!$H$2:$H$770,'Billing Aug'!$D$2:$D$770,A306)*SUMIFS('Billing Aug'!$I$2:$I$770,'Billing Aug'!$D$2:$D$770,A306))</f>
        <v/>
      </c>
      <c r="Q306" s="37">
        <f>IF(N306=0,"NO AUG TRANSACTION IN SUPPLIED EXTRACT",IF(ABS(P306)&gt;0.004,"SUBLEDGER ARITHMETIC ERROR",IF(ABS(M306)&gt;0.004,"BILLING VARIANCE","MATCH")))</f>
        <v/>
      </c>
    </row>
    <row r="307">
      <c r="A307" s="37" t="inlineStr">
        <is>
          <t>VB-0317</t>
        </is>
      </c>
      <c r="B307" s="37" t="inlineStr">
        <is>
          <t>Vessbank</t>
        </is>
      </c>
      <c r="C307" s="37" t="inlineStr">
        <is>
          <t>COVERED</t>
        </is>
      </c>
      <c r="D307" s="37" t="inlineStr">
        <is>
          <t>OCCUPIED</t>
        </is>
      </c>
      <c r="E307" s="37" t="inlineStr">
        <is>
          <t>WL-02173</t>
        </is>
      </c>
      <c r="F307" s="37" t="inlineStr">
        <is>
          <t>Lisa Parker</t>
        </is>
      </c>
      <c r="G307" s="37" t="n">
        <v>24</v>
      </c>
      <c r="H307" s="39" t="n">
        <v>38.4</v>
      </c>
      <c r="I307" s="40">
        <f>ROUNDUP(MAX(G307,H307),0)</f>
        <v/>
      </c>
      <c r="J307" s="41">
        <f>IF(C307="COVERED",'Methodology'!$B$9,'Methodology'!$B$10)</f>
        <v/>
      </c>
      <c r="K307" s="41">
        <f>I307*J307</f>
        <v/>
      </c>
      <c r="L307" s="41">
        <f>SUMIFS('Billing Aug'!$J$2:$J$770,'Billing Aug'!$D$2:$D$770,A307)</f>
        <v/>
      </c>
      <c r="M307" s="41">
        <f>L307-K307</f>
        <v/>
      </c>
      <c r="N307" s="37">
        <f>COUNTIF('Billing Aug'!$D$2:$D$770,A307)</f>
        <v/>
      </c>
      <c r="O307" s="37">
        <f>SUMIFS('Billing Aug'!$F$2:$F$770,'Billing Aug'!$D$2:$D$770,A307)</f>
        <v/>
      </c>
      <c r="P307" s="41">
        <f>IF(N307=0,0,L307-SUMIFS('Billing Aug'!$H$2:$H$770,'Billing Aug'!$D$2:$D$770,A307)*SUMIFS('Billing Aug'!$I$2:$I$770,'Billing Aug'!$D$2:$D$770,A307))</f>
        <v/>
      </c>
      <c r="Q307" s="37">
        <f>IF(N307=0,"NO AUG TRANSACTION IN SUPPLIED EXTRACT",IF(ABS(P307)&gt;0.004,"SUBLEDGER ARITHMETIC ERROR",IF(ABS(M307)&gt;0.004,"BILLING VARIANCE","MATCH")))</f>
        <v/>
      </c>
    </row>
    <row r="308">
      <c r="A308" s="37" t="inlineStr">
        <is>
          <t>VB-0318</t>
        </is>
      </c>
      <c r="B308" s="37" t="inlineStr">
        <is>
          <t>Vessbank</t>
        </is>
      </c>
      <c r="C308" s="37" t="inlineStr">
        <is>
          <t>COVERED</t>
        </is>
      </c>
      <c r="D308" s="37" t="inlineStr">
        <is>
          <t>OCCUPIED</t>
        </is>
      </c>
      <c r="E308" s="37" t="inlineStr">
        <is>
          <t>WL-02255</t>
        </is>
      </c>
      <c r="F308" s="37" t="inlineStr">
        <is>
          <t>Scott Garcia</t>
        </is>
      </c>
      <c r="G308" s="37" t="n">
        <v>32</v>
      </c>
      <c r="H308" s="39" t="n">
        <v>27.2</v>
      </c>
      <c r="I308" s="40">
        <f>ROUNDUP(MAX(G308,H308),0)</f>
        <v/>
      </c>
      <c r="J308" s="41">
        <f>IF(C308="COVERED",'Methodology'!$B$9,'Methodology'!$B$10)</f>
        <v/>
      </c>
      <c r="K308" s="41">
        <f>I308*J308</f>
        <v/>
      </c>
      <c r="L308" s="41">
        <f>SUMIFS('Billing Aug'!$J$2:$J$770,'Billing Aug'!$D$2:$D$770,A308)</f>
        <v/>
      </c>
      <c r="M308" s="41">
        <f>L308-K308</f>
        <v/>
      </c>
      <c r="N308" s="37">
        <f>COUNTIF('Billing Aug'!$D$2:$D$770,A308)</f>
        <v/>
      </c>
      <c r="O308" s="37">
        <f>SUMIFS('Billing Aug'!$F$2:$F$770,'Billing Aug'!$D$2:$D$770,A308)</f>
        <v/>
      </c>
      <c r="P308" s="41">
        <f>IF(N308=0,0,L308-SUMIFS('Billing Aug'!$H$2:$H$770,'Billing Aug'!$D$2:$D$770,A308)*SUMIFS('Billing Aug'!$I$2:$I$770,'Billing Aug'!$D$2:$D$770,A308))</f>
        <v/>
      </c>
      <c r="Q308" s="37">
        <f>IF(N308=0,"NO AUG TRANSACTION IN SUPPLIED EXTRACT",IF(ABS(P308)&gt;0.004,"SUBLEDGER ARITHMETIC ERROR",IF(ABS(M308)&gt;0.004,"BILLING VARIANCE","MATCH")))</f>
        <v/>
      </c>
    </row>
    <row r="309">
      <c r="A309" s="37" t="inlineStr">
        <is>
          <t>VB-0319</t>
        </is>
      </c>
      <c r="B309" s="37" t="inlineStr">
        <is>
          <t>Vessbank</t>
        </is>
      </c>
      <c r="C309" s="37" t="inlineStr">
        <is>
          <t>COVERED</t>
        </is>
      </c>
      <c r="D309" s="37" t="inlineStr">
        <is>
          <t>OCCUPIED</t>
        </is>
      </c>
      <c r="E309" s="37" t="inlineStr">
        <is>
          <t>WL-01381</t>
        </is>
      </c>
      <c r="F309" s="37" t="inlineStr">
        <is>
          <t>Michael Dickson</t>
        </is>
      </c>
      <c r="G309" s="37" t="n">
        <v>28</v>
      </c>
      <c r="H309" s="39" t="n">
        <v>25.8</v>
      </c>
      <c r="I309" s="40">
        <f>ROUNDUP(MAX(G309,H309),0)</f>
        <v/>
      </c>
      <c r="J309" s="41">
        <f>IF(C309="COVERED",'Methodology'!$B$9,'Methodology'!$B$10)</f>
        <v/>
      </c>
      <c r="K309" s="41">
        <f>I309*J309</f>
        <v/>
      </c>
      <c r="L309" s="41">
        <f>SUMIFS('Billing Aug'!$J$2:$J$770,'Billing Aug'!$D$2:$D$770,A309)</f>
        <v/>
      </c>
      <c r="M309" s="41">
        <f>L309-K309</f>
        <v/>
      </c>
      <c r="N309" s="37">
        <f>COUNTIF('Billing Aug'!$D$2:$D$770,A309)</f>
        <v/>
      </c>
      <c r="O309" s="37">
        <f>SUMIFS('Billing Aug'!$F$2:$F$770,'Billing Aug'!$D$2:$D$770,A309)</f>
        <v/>
      </c>
      <c r="P309" s="41">
        <f>IF(N309=0,0,L309-SUMIFS('Billing Aug'!$H$2:$H$770,'Billing Aug'!$D$2:$D$770,A309)*SUMIFS('Billing Aug'!$I$2:$I$770,'Billing Aug'!$D$2:$D$770,A309))</f>
        <v/>
      </c>
      <c r="Q309" s="37">
        <f>IF(N309=0,"NO AUG TRANSACTION IN SUPPLIED EXTRACT",IF(ABS(P309)&gt;0.004,"SUBLEDGER ARITHMETIC ERROR",IF(ABS(M309)&gt;0.004,"BILLING VARIANCE","MATCH")))</f>
        <v/>
      </c>
    </row>
    <row r="310">
      <c r="A310" s="37" t="inlineStr">
        <is>
          <t>VB-0320</t>
        </is>
      </c>
      <c r="B310" s="37" t="inlineStr">
        <is>
          <t>Vessbank</t>
        </is>
      </c>
      <c r="C310" s="37" t="inlineStr">
        <is>
          <t>COVERED</t>
        </is>
      </c>
      <c r="D310" s="37" t="inlineStr">
        <is>
          <t>OCCUPIED</t>
        </is>
      </c>
      <c r="E310" s="37" t="inlineStr">
        <is>
          <t>WL-01254</t>
        </is>
      </c>
      <c r="F310" s="37" t="inlineStr">
        <is>
          <t>Barbara Jones</t>
        </is>
      </c>
      <c r="G310" s="37" t="n">
        <v>32</v>
      </c>
      <c r="H310" s="39" t="n">
        <v>50</v>
      </c>
      <c r="I310" s="40">
        <f>ROUNDUP(MAX(G310,H310),0)</f>
        <v/>
      </c>
      <c r="J310" s="41">
        <f>IF(C310="COVERED",'Methodology'!$B$9,'Methodology'!$B$10)</f>
        <v/>
      </c>
      <c r="K310" s="41">
        <f>I310*J310</f>
        <v/>
      </c>
      <c r="L310" s="41">
        <f>SUMIFS('Billing Aug'!$J$2:$J$770,'Billing Aug'!$D$2:$D$770,A310)</f>
        <v/>
      </c>
      <c r="M310" s="41">
        <f>L310-K310</f>
        <v/>
      </c>
      <c r="N310" s="37">
        <f>COUNTIF('Billing Aug'!$D$2:$D$770,A310)</f>
        <v/>
      </c>
      <c r="O310" s="37">
        <f>SUMIFS('Billing Aug'!$F$2:$F$770,'Billing Aug'!$D$2:$D$770,A310)</f>
        <v/>
      </c>
      <c r="P310" s="41">
        <f>IF(N310=0,0,L310-SUMIFS('Billing Aug'!$H$2:$H$770,'Billing Aug'!$D$2:$D$770,A310)*SUMIFS('Billing Aug'!$I$2:$I$770,'Billing Aug'!$D$2:$D$770,A310))</f>
        <v/>
      </c>
      <c r="Q310" s="37">
        <f>IF(N310=0,"NO AUG TRANSACTION IN SUPPLIED EXTRACT",IF(ABS(P310)&gt;0.004,"SUBLEDGER ARITHMETIC ERROR",IF(ABS(M310)&gt;0.004,"BILLING VARIANCE","MATCH")))</f>
        <v/>
      </c>
    </row>
    <row r="311">
      <c r="A311" s="37" t="inlineStr">
        <is>
          <t>VB-0321</t>
        </is>
      </c>
      <c r="B311" s="37" t="inlineStr">
        <is>
          <t>Vessbank</t>
        </is>
      </c>
      <c r="C311" s="37" t="inlineStr">
        <is>
          <t>COVERED</t>
        </is>
      </c>
      <c r="D311" s="37" t="inlineStr">
        <is>
          <t>OCCUPIED</t>
        </is>
      </c>
      <c r="E311" s="37" t="inlineStr">
        <is>
          <t>WL-03094</t>
        </is>
      </c>
      <c r="F311" s="37" t="inlineStr">
        <is>
          <t>Christine Cook</t>
        </is>
      </c>
      <c r="G311" s="37" t="n">
        <v>28</v>
      </c>
      <c r="H311" s="39" t="n">
        <v>26.2</v>
      </c>
      <c r="I311" s="40">
        <f>ROUNDUP(MAX(G311,H311),0)</f>
        <v/>
      </c>
      <c r="J311" s="41">
        <f>IF(C311="COVERED",'Methodology'!$B$9,'Methodology'!$B$10)</f>
        <v/>
      </c>
      <c r="K311" s="41">
        <f>I311*J311</f>
        <v/>
      </c>
      <c r="L311" s="41">
        <f>SUMIFS('Billing Aug'!$J$2:$J$770,'Billing Aug'!$D$2:$D$770,A311)</f>
        <v/>
      </c>
      <c r="M311" s="41">
        <f>L311-K311</f>
        <v/>
      </c>
      <c r="N311" s="37">
        <f>COUNTIF('Billing Aug'!$D$2:$D$770,A311)</f>
        <v/>
      </c>
      <c r="O311" s="37">
        <f>SUMIFS('Billing Aug'!$F$2:$F$770,'Billing Aug'!$D$2:$D$770,A311)</f>
        <v/>
      </c>
      <c r="P311" s="41">
        <f>IF(N311=0,0,L311-SUMIFS('Billing Aug'!$H$2:$H$770,'Billing Aug'!$D$2:$D$770,A311)*SUMIFS('Billing Aug'!$I$2:$I$770,'Billing Aug'!$D$2:$D$770,A311))</f>
        <v/>
      </c>
      <c r="Q311" s="37">
        <f>IF(N311=0,"NO AUG TRANSACTION IN SUPPLIED EXTRACT",IF(ABS(P311)&gt;0.004,"SUBLEDGER ARITHMETIC ERROR",IF(ABS(M311)&gt;0.004,"BILLING VARIANCE","MATCH")))</f>
        <v/>
      </c>
    </row>
    <row r="312">
      <c r="A312" s="37" t="inlineStr">
        <is>
          <t>VB-0322</t>
        </is>
      </c>
      <c r="B312" s="37" t="inlineStr">
        <is>
          <t>Vessbank</t>
        </is>
      </c>
      <c r="C312" s="37" t="inlineStr">
        <is>
          <t>COVERED</t>
        </is>
      </c>
      <c r="D312" s="37" t="inlineStr">
        <is>
          <t>OCCUPIED</t>
        </is>
      </c>
      <c r="E312" s="37" t="inlineStr">
        <is>
          <t>WL-02256</t>
        </is>
      </c>
      <c r="F312" s="37" t="inlineStr">
        <is>
          <t>Ryan Johnson</t>
        </is>
      </c>
      <c r="G312" s="37" t="n">
        <v>40</v>
      </c>
      <c r="H312" s="39" t="n">
        <v>22.7</v>
      </c>
      <c r="I312" s="40">
        <f>ROUNDUP(MAX(G312,H312),0)</f>
        <v/>
      </c>
      <c r="J312" s="41">
        <f>IF(C312="COVERED",'Methodology'!$B$9,'Methodology'!$B$10)</f>
        <v/>
      </c>
      <c r="K312" s="41">
        <f>I312*J312</f>
        <v/>
      </c>
      <c r="L312" s="41">
        <f>SUMIFS('Billing Aug'!$J$2:$J$770,'Billing Aug'!$D$2:$D$770,A312)</f>
        <v/>
      </c>
      <c r="M312" s="41">
        <f>L312-K312</f>
        <v/>
      </c>
      <c r="N312" s="37">
        <f>COUNTIF('Billing Aug'!$D$2:$D$770,A312)</f>
        <v/>
      </c>
      <c r="O312" s="37">
        <f>SUMIFS('Billing Aug'!$F$2:$F$770,'Billing Aug'!$D$2:$D$770,A312)</f>
        <v/>
      </c>
      <c r="P312" s="41">
        <f>IF(N312=0,0,L312-SUMIFS('Billing Aug'!$H$2:$H$770,'Billing Aug'!$D$2:$D$770,A312)*SUMIFS('Billing Aug'!$I$2:$I$770,'Billing Aug'!$D$2:$D$770,A312))</f>
        <v/>
      </c>
      <c r="Q312" s="37">
        <f>IF(N312=0,"NO AUG TRANSACTION IN SUPPLIED EXTRACT",IF(ABS(P312)&gt;0.004,"SUBLEDGER ARITHMETIC ERROR",IF(ABS(M312)&gt;0.004,"BILLING VARIANCE","MATCH")))</f>
        <v/>
      </c>
    </row>
    <row r="313">
      <c r="A313" s="37" t="inlineStr">
        <is>
          <t>VB-0323</t>
        </is>
      </c>
      <c r="B313" s="37" t="inlineStr">
        <is>
          <t>Vessbank</t>
        </is>
      </c>
      <c r="C313" s="37" t="inlineStr">
        <is>
          <t>COVERED</t>
        </is>
      </c>
      <c r="D313" s="37" t="inlineStr">
        <is>
          <t>OCCUPIED</t>
        </is>
      </c>
      <c r="E313" s="37" t="inlineStr">
        <is>
          <t>WL-01488</t>
        </is>
      </c>
      <c r="F313" s="37" t="inlineStr">
        <is>
          <t>Stephen Wilcox</t>
        </is>
      </c>
      <c r="G313" s="37" t="n">
        <v>40</v>
      </c>
      <c r="H313" s="39" t="n">
        <v>43.8</v>
      </c>
      <c r="I313" s="40">
        <f>ROUNDUP(MAX(G313,H313),0)</f>
        <v/>
      </c>
      <c r="J313" s="41">
        <f>IF(C313="COVERED",'Methodology'!$B$9,'Methodology'!$B$10)</f>
        <v/>
      </c>
      <c r="K313" s="41">
        <f>I313*J313</f>
        <v/>
      </c>
      <c r="L313" s="41">
        <f>SUMIFS('Billing Aug'!$J$2:$J$770,'Billing Aug'!$D$2:$D$770,A313)</f>
        <v/>
      </c>
      <c r="M313" s="41">
        <f>L313-K313</f>
        <v/>
      </c>
      <c r="N313" s="37">
        <f>COUNTIF('Billing Aug'!$D$2:$D$770,A313)</f>
        <v/>
      </c>
      <c r="O313" s="37">
        <f>SUMIFS('Billing Aug'!$F$2:$F$770,'Billing Aug'!$D$2:$D$770,A313)</f>
        <v/>
      </c>
      <c r="P313" s="41">
        <f>IF(N313=0,0,L313-SUMIFS('Billing Aug'!$H$2:$H$770,'Billing Aug'!$D$2:$D$770,A313)*SUMIFS('Billing Aug'!$I$2:$I$770,'Billing Aug'!$D$2:$D$770,A313))</f>
        <v/>
      </c>
      <c r="Q313" s="37">
        <f>IF(N313=0,"NO AUG TRANSACTION IN SUPPLIED EXTRACT",IF(ABS(P313)&gt;0.004,"SUBLEDGER ARITHMETIC ERROR",IF(ABS(M313)&gt;0.004,"BILLING VARIANCE","MATCH")))</f>
        <v/>
      </c>
    </row>
    <row r="314">
      <c r="A314" s="37" t="inlineStr">
        <is>
          <t>VB-0324</t>
        </is>
      </c>
      <c r="B314" s="37" t="inlineStr">
        <is>
          <t>Vessbank</t>
        </is>
      </c>
      <c r="C314" s="37" t="inlineStr">
        <is>
          <t>COVERED</t>
        </is>
      </c>
      <c r="D314" s="37" t="inlineStr">
        <is>
          <t>OCCUPIED</t>
        </is>
      </c>
      <c r="E314" s="37" t="inlineStr">
        <is>
          <t>WL-01311</t>
        </is>
      </c>
      <c r="F314" s="37" t="inlineStr">
        <is>
          <t>Michael Fox</t>
        </is>
      </c>
      <c r="G314" s="37" t="n">
        <v>36</v>
      </c>
      <c r="H314" s="39" t="n">
        <v>36.7</v>
      </c>
      <c r="I314" s="40">
        <f>ROUNDUP(MAX(G314,H314),0)</f>
        <v/>
      </c>
      <c r="J314" s="41">
        <f>IF(C314="COVERED",'Methodology'!$B$9,'Methodology'!$B$10)</f>
        <v/>
      </c>
      <c r="K314" s="41">
        <f>I314*J314</f>
        <v/>
      </c>
      <c r="L314" s="41">
        <f>SUMIFS('Billing Aug'!$J$2:$J$770,'Billing Aug'!$D$2:$D$770,A314)</f>
        <v/>
      </c>
      <c r="M314" s="41">
        <f>L314-K314</f>
        <v/>
      </c>
      <c r="N314" s="37">
        <f>COUNTIF('Billing Aug'!$D$2:$D$770,A314)</f>
        <v/>
      </c>
      <c r="O314" s="37">
        <f>SUMIFS('Billing Aug'!$F$2:$F$770,'Billing Aug'!$D$2:$D$770,A314)</f>
        <v/>
      </c>
      <c r="P314" s="41">
        <f>IF(N314=0,0,L314-SUMIFS('Billing Aug'!$H$2:$H$770,'Billing Aug'!$D$2:$D$770,A314)*SUMIFS('Billing Aug'!$I$2:$I$770,'Billing Aug'!$D$2:$D$770,A314))</f>
        <v/>
      </c>
      <c r="Q314" s="37">
        <f>IF(N314=0,"NO AUG TRANSACTION IN SUPPLIED EXTRACT",IF(ABS(P314)&gt;0.004,"SUBLEDGER ARITHMETIC ERROR",IF(ABS(M314)&gt;0.004,"BILLING VARIANCE","MATCH")))</f>
        <v/>
      </c>
    </row>
    <row r="315">
      <c r="A315" s="37" t="inlineStr">
        <is>
          <t>VB-0401</t>
        </is>
      </c>
      <c r="B315" s="37" t="inlineStr">
        <is>
          <t>Vessbank</t>
        </is>
      </c>
      <c r="C315" s="37" t="inlineStr">
        <is>
          <t>COVERED</t>
        </is>
      </c>
      <c r="D315" s="37" t="inlineStr">
        <is>
          <t>OCCUPIED</t>
        </is>
      </c>
      <c r="E315" s="37" t="inlineStr">
        <is>
          <t>WL-01799</t>
        </is>
      </c>
      <c r="F315" s="37" t="inlineStr">
        <is>
          <t>Robert Johnson</t>
        </is>
      </c>
      <c r="G315" s="37" t="n">
        <v>24</v>
      </c>
      <c r="H315" s="39" t="n">
        <v>41.1</v>
      </c>
      <c r="I315" s="40">
        <f>ROUNDUP(MAX(G315,H315),0)</f>
        <v/>
      </c>
      <c r="J315" s="41">
        <f>IF(C315="COVERED",'Methodology'!$B$9,'Methodology'!$B$10)</f>
        <v/>
      </c>
      <c r="K315" s="41">
        <f>I315*J315</f>
        <v/>
      </c>
      <c r="L315" s="41">
        <f>SUMIFS('Billing Aug'!$J$2:$J$770,'Billing Aug'!$D$2:$D$770,A315)</f>
        <v/>
      </c>
      <c r="M315" s="41">
        <f>L315-K315</f>
        <v/>
      </c>
      <c r="N315" s="37">
        <f>COUNTIF('Billing Aug'!$D$2:$D$770,A315)</f>
        <v/>
      </c>
      <c r="O315" s="37">
        <f>SUMIFS('Billing Aug'!$F$2:$F$770,'Billing Aug'!$D$2:$D$770,A315)</f>
        <v/>
      </c>
      <c r="P315" s="41">
        <f>IF(N315=0,0,L315-SUMIFS('Billing Aug'!$H$2:$H$770,'Billing Aug'!$D$2:$D$770,A315)*SUMIFS('Billing Aug'!$I$2:$I$770,'Billing Aug'!$D$2:$D$770,A315))</f>
        <v/>
      </c>
      <c r="Q315" s="37">
        <f>IF(N315=0,"NO AUG TRANSACTION IN SUPPLIED EXTRACT",IF(ABS(P315)&gt;0.004,"SUBLEDGER ARITHMETIC ERROR",IF(ABS(M315)&gt;0.004,"BILLING VARIANCE","MATCH")))</f>
        <v/>
      </c>
    </row>
    <row r="316">
      <c r="A316" s="37" t="inlineStr">
        <is>
          <t>VB-0402</t>
        </is>
      </c>
      <c r="B316" s="37" t="inlineStr">
        <is>
          <t>Vessbank</t>
        </is>
      </c>
      <c r="C316" s="37" t="inlineStr">
        <is>
          <t>COVERED</t>
        </is>
      </c>
      <c r="D316" s="37" t="inlineStr">
        <is>
          <t>OCCUPIED</t>
        </is>
      </c>
      <c r="E316" s="37" t="inlineStr">
        <is>
          <t>WL-01959</t>
        </is>
      </c>
      <c r="F316" s="37" t="inlineStr">
        <is>
          <t>Jonathan Moore</t>
        </is>
      </c>
      <c r="G316" s="37" t="n">
        <v>36</v>
      </c>
      <c r="H316" s="39" t="n">
        <v>46.8</v>
      </c>
      <c r="I316" s="40">
        <f>ROUNDUP(MAX(G316,H316),0)</f>
        <v/>
      </c>
      <c r="J316" s="41">
        <f>IF(C316="COVERED",'Methodology'!$B$9,'Methodology'!$B$10)</f>
        <v/>
      </c>
      <c r="K316" s="41">
        <f>I316*J316</f>
        <v/>
      </c>
      <c r="L316" s="41">
        <f>SUMIFS('Billing Aug'!$J$2:$J$770,'Billing Aug'!$D$2:$D$770,A316)</f>
        <v/>
      </c>
      <c r="M316" s="41">
        <f>L316-K316</f>
        <v/>
      </c>
      <c r="N316" s="37">
        <f>COUNTIF('Billing Aug'!$D$2:$D$770,A316)</f>
        <v/>
      </c>
      <c r="O316" s="37">
        <f>SUMIFS('Billing Aug'!$F$2:$F$770,'Billing Aug'!$D$2:$D$770,A316)</f>
        <v/>
      </c>
      <c r="P316" s="41">
        <f>IF(N316=0,0,L316-SUMIFS('Billing Aug'!$H$2:$H$770,'Billing Aug'!$D$2:$D$770,A316)*SUMIFS('Billing Aug'!$I$2:$I$770,'Billing Aug'!$D$2:$D$770,A316))</f>
        <v/>
      </c>
      <c r="Q316" s="37">
        <f>IF(N316=0,"NO AUG TRANSACTION IN SUPPLIED EXTRACT",IF(ABS(P316)&gt;0.004,"SUBLEDGER ARITHMETIC ERROR",IF(ABS(M316)&gt;0.004,"BILLING VARIANCE","MATCH")))</f>
        <v/>
      </c>
    </row>
    <row r="317">
      <c r="A317" s="37" t="inlineStr">
        <is>
          <t>VB-0403</t>
        </is>
      </c>
      <c r="B317" s="37" t="inlineStr">
        <is>
          <t>Vessbank</t>
        </is>
      </c>
      <c r="C317" s="37" t="inlineStr">
        <is>
          <t>COVERED</t>
        </is>
      </c>
      <c r="D317" s="37" t="inlineStr">
        <is>
          <t>OCCUPIED</t>
        </is>
      </c>
      <c r="E317" s="37" t="inlineStr">
        <is>
          <t>WL-03548</t>
        </is>
      </c>
      <c r="F317" s="37" t="inlineStr">
        <is>
          <t>Michael Clark</t>
        </is>
      </c>
      <c r="G317" s="37" t="n">
        <v>28</v>
      </c>
      <c r="H317" s="39" t="n">
        <v>37.4</v>
      </c>
      <c r="I317" s="40">
        <f>ROUNDUP(MAX(G317,H317),0)</f>
        <v/>
      </c>
      <c r="J317" s="41">
        <f>IF(C317="COVERED",'Methodology'!$B$9,'Methodology'!$B$10)</f>
        <v/>
      </c>
      <c r="K317" s="41">
        <f>I317*J317</f>
        <v/>
      </c>
      <c r="L317" s="41">
        <f>SUMIFS('Billing Aug'!$J$2:$J$770,'Billing Aug'!$D$2:$D$770,A317)</f>
        <v/>
      </c>
      <c r="M317" s="41">
        <f>L317-K317</f>
        <v/>
      </c>
      <c r="N317" s="37">
        <f>COUNTIF('Billing Aug'!$D$2:$D$770,A317)</f>
        <v/>
      </c>
      <c r="O317" s="37">
        <f>SUMIFS('Billing Aug'!$F$2:$F$770,'Billing Aug'!$D$2:$D$770,A317)</f>
        <v/>
      </c>
      <c r="P317" s="41">
        <f>IF(N317=0,0,L317-SUMIFS('Billing Aug'!$H$2:$H$770,'Billing Aug'!$D$2:$D$770,A317)*SUMIFS('Billing Aug'!$I$2:$I$770,'Billing Aug'!$D$2:$D$770,A317))</f>
        <v/>
      </c>
      <c r="Q317" s="37">
        <f>IF(N317=0,"NO AUG TRANSACTION IN SUPPLIED EXTRACT",IF(ABS(P317)&gt;0.004,"SUBLEDGER ARITHMETIC ERROR",IF(ABS(M317)&gt;0.004,"BILLING VARIANCE","MATCH")))</f>
        <v/>
      </c>
    </row>
    <row r="318">
      <c r="A318" s="37" t="inlineStr">
        <is>
          <t>VB-0405</t>
        </is>
      </c>
      <c r="B318" s="37" t="inlineStr">
        <is>
          <t>Vessbank</t>
        </is>
      </c>
      <c r="C318" s="37" t="inlineStr">
        <is>
          <t>COVERED</t>
        </is>
      </c>
      <c r="D318" s="37" t="inlineStr">
        <is>
          <t>OCCUPIED</t>
        </is>
      </c>
      <c r="E318" s="37" t="inlineStr">
        <is>
          <t>WL-02118</t>
        </is>
      </c>
      <c r="F318" s="37" t="inlineStr">
        <is>
          <t>Matthew Meyer</t>
        </is>
      </c>
      <c r="G318" s="37" t="n">
        <v>36</v>
      </c>
      <c r="H318" s="39" t="n">
        <v>55.4</v>
      </c>
      <c r="I318" s="40">
        <f>ROUNDUP(MAX(G318,H318),0)</f>
        <v/>
      </c>
      <c r="J318" s="41">
        <f>IF(C318="COVERED",'Methodology'!$B$9,'Methodology'!$B$10)</f>
        <v/>
      </c>
      <c r="K318" s="41">
        <f>I318*J318</f>
        <v/>
      </c>
      <c r="L318" s="41">
        <f>SUMIFS('Billing Aug'!$J$2:$J$770,'Billing Aug'!$D$2:$D$770,A318)</f>
        <v/>
      </c>
      <c r="M318" s="41">
        <f>L318-K318</f>
        <v/>
      </c>
      <c r="N318" s="37">
        <f>COUNTIF('Billing Aug'!$D$2:$D$770,A318)</f>
        <v/>
      </c>
      <c r="O318" s="37">
        <f>SUMIFS('Billing Aug'!$F$2:$F$770,'Billing Aug'!$D$2:$D$770,A318)</f>
        <v/>
      </c>
      <c r="P318" s="41">
        <f>IF(N318=0,0,L318-SUMIFS('Billing Aug'!$H$2:$H$770,'Billing Aug'!$D$2:$D$770,A318)*SUMIFS('Billing Aug'!$I$2:$I$770,'Billing Aug'!$D$2:$D$770,A318))</f>
        <v/>
      </c>
      <c r="Q318" s="37">
        <f>IF(N318=0,"NO AUG TRANSACTION IN SUPPLIED EXTRACT",IF(ABS(P318)&gt;0.004,"SUBLEDGER ARITHMETIC ERROR",IF(ABS(M318)&gt;0.004,"BILLING VARIANCE","MATCH")))</f>
        <v/>
      </c>
    </row>
    <row r="319">
      <c r="A319" s="37" t="inlineStr">
        <is>
          <t>VB-0406</t>
        </is>
      </c>
      <c r="B319" s="37" t="inlineStr">
        <is>
          <t>Vessbank</t>
        </is>
      </c>
      <c r="C319" s="37" t="inlineStr">
        <is>
          <t>COVERED</t>
        </is>
      </c>
      <c r="D319" s="37" t="inlineStr">
        <is>
          <t>OCCUPIED</t>
        </is>
      </c>
      <c r="E319" s="37" t="inlineStr">
        <is>
          <t>WL-01591</t>
        </is>
      </c>
      <c r="F319" s="37" t="inlineStr">
        <is>
          <t>Chad Yang</t>
        </is>
      </c>
      <c r="G319" s="37" t="n">
        <v>40</v>
      </c>
      <c r="H319" s="39" t="n">
        <v>56.4</v>
      </c>
      <c r="I319" s="40">
        <f>ROUNDUP(MAX(G319,H319),0)</f>
        <v/>
      </c>
      <c r="J319" s="41">
        <f>IF(C319="COVERED",'Methodology'!$B$9,'Methodology'!$B$10)</f>
        <v/>
      </c>
      <c r="K319" s="41">
        <f>I319*J319</f>
        <v/>
      </c>
      <c r="L319" s="41">
        <f>SUMIFS('Billing Aug'!$J$2:$J$770,'Billing Aug'!$D$2:$D$770,A319)</f>
        <v/>
      </c>
      <c r="M319" s="41">
        <f>L319-K319</f>
        <v/>
      </c>
      <c r="N319" s="37">
        <f>COUNTIF('Billing Aug'!$D$2:$D$770,A319)</f>
        <v/>
      </c>
      <c r="O319" s="37">
        <f>SUMIFS('Billing Aug'!$F$2:$F$770,'Billing Aug'!$D$2:$D$770,A319)</f>
        <v/>
      </c>
      <c r="P319" s="41">
        <f>IF(N319=0,0,L319-SUMIFS('Billing Aug'!$H$2:$H$770,'Billing Aug'!$D$2:$D$770,A319)*SUMIFS('Billing Aug'!$I$2:$I$770,'Billing Aug'!$D$2:$D$770,A319))</f>
        <v/>
      </c>
      <c r="Q319" s="37">
        <f>IF(N319=0,"NO AUG TRANSACTION IN SUPPLIED EXTRACT",IF(ABS(P319)&gt;0.004,"SUBLEDGER ARITHMETIC ERROR",IF(ABS(M319)&gt;0.004,"BILLING VARIANCE","MATCH")))</f>
        <v/>
      </c>
    </row>
    <row r="320">
      <c r="A320" s="37" t="inlineStr">
        <is>
          <t>VB-0407</t>
        </is>
      </c>
      <c r="B320" s="37" t="inlineStr">
        <is>
          <t>Vessbank</t>
        </is>
      </c>
      <c r="C320" s="37" t="inlineStr">
        <is>
          <t>COVERED</t>
        </is>
      </c>
      <c r="D320" s="37" t="inlineStr">
        <is>
          <t>OCCUPIED</t>
        </is>
      </c>
      <c r="E320" s="37" t="inlineStr">
        <is>
          <t>WL-02731</t>
        </is>
      </c>
      <c r="F320" s="37" t="inlineStr">
        <is>
          <t>Allison Taylor</t>
        </is>
      </c>
      <c r="G320" s="37" t="n">
        <v>24</v>
      </c>
      <c r="H320" s="39" t="n">
        <v>30.6</v>
      </c>
      <c r="I320" s="40">
        <f>ROUNDUP(MAX(G320,H320),0)</f>
        <v/>
      </c>
      <c r="J320" s="41">
        <f>IF(C320="COVERED",'Methodology'!$B$9,'Methodology'!$B$10)</f>
        <v/>
      </c>
      <c r="K320" s="41">
        <f>I320*J320</f>
        <v/>
      </c>
      <c r="L320" s="41">
        <f>SUMIFS('Billing Aug'!$J$2:$J$770,'Billing Aug'!$D$2:$D$770,A320)</f>
        <v/>
      </c>
      <c r="M320" s="41">
        <f>L320-K320</f>
        <v/>
      </c>
      <c r="N320" s="37">
        <f>COUNTIF('Billing Aug'!$D$2:$D$770,A320)</f>
        <v/>
      </c>
      <c r="O320" s="37">
        <f>SUMIFS('Billing Aug'!$F$2:$F$770,'Billing Aug'!$D$2:$D$770,A320)</f>
        <v/>
      </c>
      <c r="P320" s="41">
        <f>IF(N320=0,0,L320-SUMIFS('Billing Aug'!$H$2:$H$770,'Billing Aug'!$D$2:$D$770,A320)*SUMIFS('Billing Aug'!$I$2:$I$770,'Billing Aug'!$D$2:$D$770,A320))</f>
        <v/>
      </c>
      <c r="Q320" s="37">
        <f>IF(N320=0,"NO AUG TRANSACTION IN SUPPLIED EXTRACT",IF(ABS(P320)&gt;0.004,"SUBLEDGER ARITHMETIC ERROR",IF(ABS(M320)&gt;0.004,"BILLING VARIANCE","MATCH")))</f>
        <v/>
      </c>
    </row>
    <row r="321">
      <c r="A321" s="37" t="inlineStr">
        <is>
          <t>VB-0408</t>
        </is>
      </c>
      <c r="B321" s="37" t="inlineStr">
        <is>
          <t>Vessbank</t>
        </is>
      </c>
      <c r="C321" s="37" t="inlineStr">
        <is>
          <t>COVERED</t>
        </is>
      </c>
      <c r="D321" s="37" t="inlineStr">
        <is>
          <t>OCCUPIED</t>
        </is>
      </c>
      <c r="E321" s="37" t="inlineStr">
        <is>
          <t>WL-01061</t>
        </is>
      </c>
      <c r="F321" s="37" t="inlineStr">
        <is>
          <t>Casey Smith</t>
        </is>
      </c>
      <c r="G321" s="37" t="n">
        <v>36</v>
      </c>
      <c r="H321" s="39" t="n">
        <v>52.4</v>
      </c>
      <c r="I321" s="40">
        <f>ROUNDUP(MAX(G321,H321),0)</f>
        <v/>
      </c>
      <c r="J321" s="41">
        <f>IF(C321="COVERED",'Methodology'!$B$9,'Methodology'!$B$10)</f>
        <v/>
      </c>
      <c r="K321" s="41">
        <f>I321*J321</f>
        <v/>
      </c>
      <c r="L321" s="41">
        <f>SUMIFS('Billing Aug'!$J$2:$J$770,'Billing Aug'!$D$2:$D$770,A321)</f>
        <v/>
      </c>
      <c r="M321" s="41">
        <f>L321-K321</f>
        <v/>
      </c>
      <c r="N321" s="37">
        <f>COUNTIF('Billing Aug'!$D$2:$D$770,A321)</f>
        <v/>
      </c>
      <c r="O321" s="37">
        <f>SUMIFS('Billing Aug'!$F$2:$F$770,'Billing Aug'!$D$2:$D$770,A321)</f>
        <v/>
      </c>
      <c r="P321" s="41">
        <f>IF(N321=0,0,L321-SUMIFS('Billing Aug'!$H$2:$H$770,'Billing Aug'!$D$2:$D$770,A321)*SUMIFS('Billing Aug'!$I$2:$I$770,'Billing Aug'!$D$2:$D$770,A321))</f>
        <v/>
      </c>
      <c r="Q321" s="37">
        <f>IF(N321=0,"NO AUG TRANSACTION IN SUPPLIED EXTRACT",IF(ABS(P321)&gt;0.004,"SUBLEDGER ARITHMETIC ERROR",IF(ABS(M321)&gt;0.004,"BILLING VARIANCE","MATCH")))</f>
        <v/>
      </c>
    </row>
    <row r="322">
      <c r="A322" s="37" t="inlineStr">
        <is>
          <t>VB-0409</t>
        </is>
      </c>
      <c r="B322" s="37" t="inlineStr">
        <is>
          <t>Vessbank</t>
        </is>
      </c>
      <c r="C322" s="37" t="inlineStr">
        <is>
          <t>COVERED</t>
        </is>
      </c>
      <c r="D322" s="37" t="inlineStr">
        <is>
          <t>OCCUPIED</t>
        </is>
      </c>
      <c r="E322" s="37" t="inlineStr">
        <is>
          <t>WL-01832</t>
        </is>
      </c>
      <c r="F322" s="37" t="inlineStr">
        <is>
          <t>Bryan Spencer</t>
        </is>
      </c>
      <c r="G322" s="37" t="n">
        <v>32</v>
      </c>
      <c r="H322" s="39" t="n">
        <v>57</v>
      </c>
      <c r="I322" s="40">
        <f>ROUNDUP(MAX(G322,H322),0)</f>
        <v/>
      </c>
      <c r="J322" s="41">
        <f>IF(C322="COVERED",'Methodology'!$B$9,'Methodology'!$B$10)</f>
        <v/>
      </c>
      <c r="K322" s="41">
        <f>I322*J322</f>
        <v/>
      </c>
      <c r="L322" s="41">
        <f>SUMIFS('Billing Aug'!$J$2:$J$770,'Billing Aug'!$D$2:$D$770,A322)</f>
        <v/>
      </c>
      <c r="M322" s="41">
        <f>L322-K322</f>
        <v/>
      </c>
      <c r="N322" s="37">
        <f>COUNTIF('Billing Aug'!$D$2:$D$770,A322)</f>
        <v/>
      </c>
      <c r="O322" s="37">
        <f>SUMIFS('Billing Aug'!$F$2:$F$770,'Billing Aug'!$D$2:$D$770,A322)</f>
        <v/>
      </c>
      <c r="P322" s="41">
        <f>IF(N322=0,0,L322-SUMIFS('Billing Aug'!$H$2:$H$770,'Billing Aug'!$D$2:$D$770,A322)*SUMIFS('Billing Aug'!$I$2:$I$770,'Billing Aug'!$D$2:$D$770,A322))</f>
        <v/>
      </c>
      <c r="Q322" s="37">
        <f>IF(N322=0,"NO AUG TRANSACTION IN SUPPLIED EXTRACT",IF(ABS(P322)&gt;0.004,"SUBLEDGER ARITHMETIC ERROR",IF(ABS(M322)&gt;0.004,"BILLING VARIANCE","MATCH")))</f>
        <v/>
      </c>
    </row>
    <row r="323">
      <c r="A323" s="37" t="inlineStr">
        <is>
          <t>VB-0410</t>
        </is>
      </c>
      <c r="B323" s="37" t="inlineStr">
        <is>
          <t>Vessbank</t>
        </is>
      </c>
      <c r="C323" s="37" t="inlineStr">
        <is>
          <t>COVERED</t>
        </is>
      </c>
      <c r="D323" s="37" t="inlineStr">
        <is>
          <t>OCCUPIED</t>
        </is>
      </c>
      <c r="E323" s="37" t="inlineStr">
        <is>
          <t>WL-02745</t>
        </is>
      </c>
      <c r="F323" s="37" t="inlineStr">
        <is>
          <t>Olivia Baldwin</t>
        </is>
      </c>
      <c r="G323" s="37" t="n">
        <v>32</v>
      </c>
      <c r="H323" s="39" t="n">
        <v>20.6</v>
      </c>
      <c r="I323" s="40">
        <f>ROUNDUP(MAX(G323,H323),0)</f>
        <v/>
      </c>
      <c r="J323" s="41">
        <f>IF(C323="COVERED",'Methodology'!$B$9,'Methodology'!$B$10)</f>
        <v/>
      </c>
      <c r="K323" s="41">
        <f>I323*J323</f>
        <v/>
      </c>
      <c r="L323" s="41">
        <f>SUMIFS('Billing Aug'!$J$2:$J$770,'Billing Aug'!$D$2:$D$770,A323)</f>
        <v/>
      </c>
      <c r="M323" s="41">
        <f>L323-K323</f>
        <v/>
      </c>
      <c r="N323" s="37">
        <f>COUNTIF('Billing Aug'!$D$2:$D$770,A323)</f>
        <v/>
      </c>
      <c r="O323" s="37">
        <f>SUMIFS('Billing Aug'!$F$2:$F$770,'Billing Aug'!$D$2:$D$770,A323)</f>
        <v/>
      </c>
      <c r="P323" s="41">
        <f>IF(N323=0,0,L323-SUMIFS('Billing Aug'!$H$2:$H$770,'Billing Aug'!$D$2:$D$770,A323)*SUMIFS('Billing Aug'!$I$2:$I$770,'Billing Aug'!$D$2:$D$770,A323))</f>
        <v/>
      </c>
      <c r="Q323" s="37">
        <f>IF(N323=0,"NO AUG TRANSACTION IN SUPPLIED EXTRACT",IF(ABS(P323)&gt;0.004,"SUBLEDGER ARITHMETIC ERROR",IF(ABS(M323)&gt;0.004,"BILLING VARIANCE","MATCH")))</f>
        <v/>
      </c>
    </row>
    <row r="324">
      <c r="A324" s="37" t="inlineStr">
        <is>
          <t>VB-0411</t>
        </is>
      </c>
      <c r="B324" s="37" t="inlineStr">
        <is>
          <t>Vessbank</t>
        </is>
      </c>
      <c r="C324" s="37" t="inlineStr">
        <is>
          <t>COVERED</t>
        </is>
      </c>
      <c r="D324" s="37" t="inlineStr">
        <is>
          <t>OCCUPIED</t>
        </is>
      </c>
      <c r="E324" s="37" t="inlineStr">
        <is>
          <t>WL-02986</t>
        </is>
      </c>
      <c r="F324" s="37" t="inlineStr">
        <is>
          <t>Jaime Hernandez</t>
        </is>
      </c>
      <c r="G324" s="37" t="n">
        <v>24</v>
      </c>
      <c r="H324" s="39" t="n">
        <v>37</v>
      </c>
      <c r="I324" s="40">
        <f>ROUNDUP(MAX(G324,H324),0)</f>
        <v/>
      </c>
      <c r="J324" s="41">
        <f>IF(C324="COVERED",'Methodology'!$B$9,'Methodology'!$B$10)</f>
        <v/>
      </c>
      <c r="K324" s="41">
        <f>I324*J324</f>
        <v/>
      </c>
      <c r="L324" s="41">
        <f>SUMIFS('Billing Aug'!$J$2:$J$770,'Billing Aug'!$D$2:$D$770,A324)</f>
        <v/>
      </c>
      <c r="M324" s="41">
        <f>L324-K324</f>
        <v/>
      </c>
      <c r="N324" s="37">
        <f>COUNTIF('Billing Aug'!$D$2:$D$770,A324)</f>
        <v/>
      </c>
      <c r="O324" s="37">
        <f>SUMIFS('Billing Aug'!$F$2:$F$770,'Billing Aug'!$D$2:$D$770,A324)</f>
        <v/>
      </c>
      <c r="P324" s="41">
        <f>IF(N324=0,0,L324-SUMIFS('Billing Aug'!$H$2:$H$770,'Billing Aug'!$D$2:$D$770,A324)*SUMIFS('Billing Aug'!$I$2:$I$770,'Billing Aug'!$D$2:$D$770,A324))</f>
        <v/>
      </c>
      <c r="Q324" s="37">
        <f>IF(N324=0,"NO AUG TRANSACTION IN SUPPLIED EXTRACT",IF(ABS(P324)&gt;0.004,"SUBLEDGER ARITHMETIC ERROR",IF(ABS(M324)&gt;0.004,"BILLING VARIANCE","MATCH")))</f>
        <v/>
      </c>
    </row>
    <row r="325">
      <c r="A325" s="37" t="inlineStr">
        <is>
          <t>VB-0412</t>
        </is>
      </c>
      <c r="B325" s="37" t="inlineStr">
        <is>
          <t>Vessbank</t>
        </is>
      </c>
      <c r="C325" s="37" t="inlineStr">
        <is>
          <t>COVERED</t>
        </is>
      </c>
      <c r="D325" s="37" t="inlineStr">
        <is>
          <t>OCCUPIED</t>
        </is>
      </c>
      <c r="E325" s="37" t="inlineStr">
        <is>
          <t>WL-02252</t>
        </is>
      </c>
      <c r="F325" s="37" t="inlineStr">
        <is>
          <t>Donald Mitchell</t>
        </is>
      </c>
      <c r="G325" s="37" t="n">
        <v>36</v>
      </c>
      <c r="H325" s="39" t="n">
        <v>55.9</v>
      </c>
      <c r="I325" s="40">
        <f>ROUNDUP(MAX(G325,H325),0)</f>
        <v/>
      </c>
      <c r="J325" s="41">
        <f>IF(C325="COVERED",'Methodology'!$B$9,'Methodology'!$B$10)</f>
        <v/>
      </c>
      <c r="K325" s="41">
        <f>I325*J325</f>
        <v/>
      </c>
      <c r="L325" s="41">
        <f>SUMIFS('Billing Aug'!$J$2:$J$770,'Billing Aug'!$D$2:$D$770,A325)</f>
        <v/>
      </c>
      <c r="M325" s="41">
        <f>L325-K325</f>
        <v/>
      </c>
      <c r="N325" s="37">
        <f>COUNTIF('Billing Aug'!$D$2:$D$770,A325)</f>
        <v/>
      </c>
      <c r="O325" s="37">
        <f>SUMIFS('Billing Aug'!$F$2:$F$770,'Billing Aug'!$D$2:$D$770,A325)</f>
        <v/>
      </c>
      <c r="P325" s="41">
        <f>IF(N325=0,0,L325-SUMIFS('Billing Aug'!$H$2:$H$770,'Billing Aug'!$D$2:$D$770,A325)*SUMIFS('Billing Aug'!$I$2:$I$770,'Billing Aug'!$D$2:$D$770,A325))</f>
        <v/>
      </c>
      <c r="Q325" s="37">
        <f>IF(N325=0,"NO AUG TRANSACTION IN SUPPLIED EXTRACT",IF(ABS(P325)&gt;0.004,"SUBLEDGER ARITHMETIC ERROR",IF(ABS(M325)&gt;0.004,"BILLING VARIANCE","MATCH")))</f>
        <v/>
      </c>
    </row>
    <row r="326">
      <c r="A326" s="37" t="inlineStr">
        <is>
          <t>VB-0413</t>
        </is>
      </c>
      <c r="B326" s="37" t="inlineStr">
        <is>
          <t>Vessbank</t>
        </is>
      </c>
      <c r="C326" s="37" t="inlineStr">
        <is>
          <t>COVERED</t>
        </is>
      </c>
      <c r="D326" s="37" t="inlineStr">
        <is>
          <t>OCCUPIED</t>
        </is>
      </c>
      <c r="E326" s="37" t="inlineStr">
        <is>
          <t>WL-01014</t>
        </is>
      </c>
      <c r="F326" s="37" t="inlineStr">
        <is>
          <t>Maria Johnson</t>
        </is>
      </c>
      <c r="G326" s="37" t="n">
        <v>32</v>
      </c>
      <c r="H326" s="39" t="n">
        <v>43.6</v>
      </c>
      <c r="I326" s="40">
        <f>ROUNDUP(MAX(G326,H326),0)</f>
        <v/>
      </c>
      <c r="J326" s="41">
        <f>IF(C326="COVERED",'Methodology'!$B$9,'Methodology'!$B$10)</f>
        <v/>
      </c>
      <c r="K326" s="41">
        <f>I326*J326</f>
        <v/>
      </c>
      <c r="L326" s="41">
        <f>SUMIFS('Billing Aug'!$J$2:$J$770,'Billing Aug'!$D$2:$D$770,A326)</f>
        <v/>
      </c>
      <c r="M326" s="41">
        <f>L326-K326</f>
        <v/>
      </c>
      <c r="N326" s="37">
        <f>COUNTIF('Billing Aug'!$D$2:$D$770,A326)</f>
        <v/>
      </c>
      <c r="O326" s="37">
        <f>SUMIFS('Billing Aug'!$F$2:$F$770,'Billing Aug'!$D$2:$D$770,A326)</f>
        <v/>
      </c>
      <c r="P326" s="41">
        <f>IF(N326=0,0,L326-SUMIFS('Billing Aug'!$H$2:$H$770,'Billing Aug'!$D$2:$D$770,A326)*SUMIFS('Billing Aug'!$I$2:$I$770,'Billing Aug'!$D$2:$D$770,A326))</f>
        <v/>
      </c>
      <c r="Q326" s="37">
        <f>IF(N326=0,"NO AUG TRANSACTION IN SUPPLIED EXTRACT",IF(ABS(P326)&gt;0.004,"SUBLEDGER ARITHMETIC ERROR",IF(ABS(M326)&gt;0.004,"BILLING VARIANCE","MATCH")))</f>
        <v/>
      </c>
    </row>
    <row r="327">
      <c r="A327" s="37" t="inlineStr">
        <is>
          <t>VB-0414</t>
        </is>
      </c>
      <c r="B327" s="37" t="inlineStr">
        <is>
          <t>Vessbank</t>
        </is>
      </c>
      <c r="C327" s="37" t="inlineStr">
        <is>
          <t>COVERED</t>
        </is>
      </c>
      <c r="D327" s="37" t="inlineStr">
        <is>
          <t>OCCUPIED</t>
        </is>
      </c>
      <c r="E327" s="37" t="inlineStr">
        <is>
          <t>WL-03699</t>
        </is>
      </c>
      <c r="F327" s="37" t="inlineStr">
        <is>
          <t>Christopher Duncan</t>
        </is>
      </c>
      <c r="G327" s="37" t="n">
        <v>32</v>
      </c>
      <c r="H327" s="39" t="n">
        <v>55.4</v>
      </c>
      <c r="I327" s="40">
        <f>ROUNDUP(MAX(G327,H327),0)</f>
        <v/>
      </c>
      <c r="J327" s="41">
        <f>IF(C327="COVERED",'Methodology'!$B$9,'Methodology'!$B$10)</f>
        <v/>
      </c>
      <c r="K327" s="41">
        <f>I327*J327</f>
        <v/>
      </c>
      <c r="L327" s="41">
        <f>SUMIFS('Billing Aug'!$J$2:$J$770,'Billing Aug'!$D$2:$D$770,A327)</f>
        <v/>
      </c>
      <c r="M327" s="41">
        <f>L327-K327</f>
        <v/>
      </c>
      <c r="N327" s="37">
        <f>COUNTIF('Billing Aug'!$D$2:$D$770,A327)</f>
        <v/>
      </c>
      <c r="O327" s="37">
        <f>SUMIFS('Billing Aug'!$F$2:$F$770,'Billing Aug'!$D$2:$D$770,A327)</f>
        <v/>
      </c>
      <c r="P327" s="41">
        <f>IF(N327=0,0,L327-SUMIFS('Billing Aug'!$H$2:$H$770,'Billing Aug'!$D$2:$D$770,A327)*SUMIFS('Billing Aug'!$I$2:$I$770,'Billing Aug'!$D$2:$D$770,A327))</f>
        <v/>
      </c>
      <c r="Q327" s="37">
        <f>IF(N327=0,"NO AUG TRANSACTION IN SUPPLIED EXTRACT",IF(ABS(P327)&gt;0.004,"SUBLEDGER ARITHMETIC ERROR",IF(ABS(M327)&gt;0.004,"BILLING VARIANCE","MATCH")))</f>
        <v/>
      </c>
    </row>
    <row r="328">
      <c r="A328" s="37" t="inlineStr">
        <is>
          <t>VB-0415</t>
        </is>
      </c>
      <c r="B328" s="37" t="inlineStr">
        <is>
          <t>Vessbank</t>
        </is>
      </c>
      <c r="C328" s="37" t="inlineStr">
        <is>
          <t>COVERED</t>
        </is>
      </c>
      <c r="D328" s="37" t="inlineStr">
        <is>
          <t>OCCUPIED</t>
        </is>
      </c>
      <c r="E328" s="37" t="inlineStr">
        <is>
          <t>WL-03507</t>
        </is>
      </c>
      <c r="F328" s="37" t="inlineStr">
        <is>
          <t>John Chambers</t>
        </is>
      </c>
      <c r="G328" s="37" t="n">
        <v>24</v>
      </c>
      <c r="H328" s="39" t="n">
        <v>23.3</v>
      </c>
      <c r="I328" s="40">
        <f>ROUNDUP(MAX(G328,H328),0)</f>
        <v/>
      </c>
      <c r="J328" s="41">
        <f>IF(C328="COVERED",'Methodology'!$B$9,'Methodology'!$B$10)</f>
        <v/>
      </c>
      <c r="K328" s="41">
        <f>I328*J328</f>
        <v/>
      </c>
      <c r="L328" s="41">
        <f>SUMIFS('Billing Aug'!$J$2:$J$770,'Billing Aug'!$D$2:$D$770,A328)</f>
        <v/>
      </c>
      <c r="M328" s="41">
        <f>L328-K328</f>
        <v/>
      </c>
      <c r="N328" s="37">
        <f>COUNTIF('Billing Aug'!$D$2:$D$770,A328)</f>
        <v/>
      </c>
      <c r="O328" s="37">
        <f>SUMIFS('Billing Aug'!$F$2:$F$770,'Billing Aug'!$D$2:$D$770,A328)</f>
        <v/>
      </c>
      <c r="P328" s="41">
        <f>IF(N328=0,0,L328-SUMIFS('Billing Aug'!$H$2:$H$770,'Billing Aug'!$D$2:$D$770,A328)*SUMIFS('Billing Aug'!$I$2:$I$770,'Billing Aug'!$D$2:$D$770,A328))</f>
        <v/>
      </c>
      <c r="Q328" s="37">
        <f>IF(N328=0,"NO AUG TRANSACTION IN SUPPLIED EXTRACT",IF(ABS(P328)&gt;0.004,"SUBLEDGER ARITHMETIC ERROR",IF(ABS(M328)&gt;0.004,"BILLING VARIANCE","MATCH")))</f>
        <v/>
      </c>
    </row>
    <row r="329">
      <c r="A329" s="37" t="inlineStr">
        <is>
          <t>VB-0416</t>
        </is>
      </c>
      <c r="B329" s="37" t="inlineStr">
        <is>
          <t>Vessbank</t>
        </is>
      </c>
      <c r="C329" s="37" t="inlineStr">
        <is>
          <t>COVERED</t>
        </is>
      </c>
      <c r="D329" s="37" t="inlineStr">
        <is>
          <t>OCCUPIED</t>
        </is>
      </c>
      <c r="E329" s="37" t="inlineStr">
        <is>
          <t>WL-03602</t>
        </is>
      </c>
      <c r="F329" s="37" t="inlineStr">
        <is>
          <t>Michael Horne</t>
        </is>
      </c>
      <c r="G329" s="37" t="n">
        <v>36</v>
      </c>
      <c r="H329" s="39" t="n">
        <v>19</v>
      </c>
      <c r="I329" s="40">
        <f>ROUNDUP(MAX(G329,H329),0)</f>
        <v/>
      </c>
      <c r="J329" s="41">
        <f>IF(C329="COVERED",'Methodology'!$B$9,'Methodology'!$B$10)</f>
        <v/>
      </c>
      <c r="K329" s="41">
        <f>I329*J329</f>
        <v/>
      </c>
      <c r="L329" s="41">
        <f>SUMIFS('Billing Aug'!$J$2:$J$770,'Billing Aug'!$D$2:$D$770,A329)</f>
        <v/>
      </c>
      <c r="M329" s="41">
        <f>L329-K329</f>
        <v/>
      </c>
      <c r="N329" s="37">
        <f>COUNTIF('Billing Aug'!$D$2:$D$770,A329)</f>
        <v/>
      </c>
      <c r="O329" s="37">
        <f>SUMIFS('Billing Aug'!$F$2:$F$770,'Billing Aug'!$D$2:$D$770,A329)</f>
        <v/>
      </c>
      <c r="P329" s="41">
        <f>IF(N329=0,0,L329-SUMIFS('Billing Aug'!$H$2:$H$770,'Billing Aug'!$D$2:$D$770,A329)*SUMIFS('Billing Aug'!$I$2:$I$770,'Billing Aug'!$D$2:$D$770,A329))</f>
        <v/>
      </c>
      <c r="Q329" s="37">
        <f>IF(N329=0,"NO AUG TRANSACTION IN SUPPLIED EXTRACT",IF(ABS(P329)&gt;0.004,"SUBLEDGER ARITHMETIC ERROR",IF(ABS(M329)&gt;0.004,"BILLING VARIANCE","MATCH")))</f>
        <v/>
      </c>
    </row>
    <row r="330">
      <c r="A330" s="37" t="inlineStr">
        <is>
          <t>VB-0417</t>
        </is>
      </c>
      <c r="B330" s="37" t="inlineStr">
        <is>
          <t>Vessbank</t>
        </is>
      </c>
      <c r="C330" s="37" t="inlineStr">
        <is>
          <t>COVERED</t>
        </is>
      </c>
      <c r="D330" s="37" t="inlineStr">
        <is>
          <t>OCCUPIED</t>
        </is>
      </c>
      <c r="E330" s="37" t="inlineStr">
        <is>
          <t>WL-03358</t>
        </is>
      </c>
      <c r="F330" s="37" t="inlineStr">
        <is>
          <t>Jeremiah Cruz</t>
        </is>
      </c>
      <c r="G330" s="37" t="n">
        <v>32</v>
      </c>
      <c r="H330" s="39" t="n">
        <v>25.7</v>
      </c>
      <c r="I330" s="40">
        <f>ROUNDUP(MAX(G330,H330),0)</f>
        <v/>
      </c>
      <c r="J330" s="41">
        <f>IF(C330="COVERED",'Methodology'!$B$9,'Methodology'!$B$10)</f>
        <v/>
      </c>
      <c r="K330" s="41">
        <f>I330*J330</f>
        <v/>
      </c>
      <c r="L330" s="41">
        <f>SUMIFS('Billing Aug'!$J$2:$J$770,'Billing Aug'!$D$2:$D$770,A330)</f>
        <v/>
      </c>
      <c r="M330" s="41">
        <f>L330-K330</f>
        <v/>
      </c>
      <c r="N330" s="37">
        <f>COUNTIF('Billing Aug'!$D$2:$D$770,A330)</f>
        <v/>
      </c>
      <c r="O330" s="37">
        <f>SUMIFS('Billing Aug'!$F$2:$F$770,'Billing Aug'!$D$2:$D$770,A330)</f>
        <v/>
      </c>
      <c r="P330" s="41">
        <f>IF(N330=0,0,L330-SUMIFS('Billing Aug'!$H$2:$H$770,'Billing Aug'!$D$2:$D$770,A330)*SUMIFS('Billing Aug'!$I$2:$I$770,'Billing Aug'!$D$2:$D$770,A330))</f>
        <v/>
      </c>
      <c r="Q330" s="37">
        <f>IF(N330=0,"NO AUG TRANSACTION IN SUPPLIED EXTRACT",IF(ABS(P330)&gt;0.004,"SUBLEDGER ARITHMETIC ERROR",IF(ABS(M330)&gt;0.004,"BILLING VARIANCE","MATCH")))</f>
        <v/>
      </c>
    </row>
    <row r="331">
      <c r="A331" s="37" t="inlineStr">
        <is>
          <t>VB-0418</t>
        </is>
      </c>
      <c r="B331" s="37" t="inlineStr">
        <is>
          <t>Vessbank</t>
        </is>
      </c>
      <c r="C331" s="37" t="inlineStr">
        <is>
          <t>COVERED</t>
        </is>
      </c>
      <c r="D331" s="37" t="inlineStr">
        <is>
          <t>OCCUPIED</t>
        </is>
      </c>
      <c r="E331" s="37" t="inlineStr">
        <is>
          <t>WL-03210</t>
        </is>
      </c>
      <c r="F331" s="37" t="inlineStr">
        <is>
          <t>James Calderon</t>
        </is>
      </c>
      <c r="G331" s="37" t="n">
        <v>32</v>
      </c>
      <c r="H331" s="39" t="n">
        <v>33.8</v>
      </c>
      <c r="I331" s="40">
        <f>ROUNDUP(MAX(G331,H331),0)</f>
        <v/>
      </c>
      <c r="J331" s="41">
        <f>IF(C331="COVERED",'Methodology'!$B$9,'Methodology'!$B$10)</f>
        <v/>
      </c>
      <c r="K331" s="41">
        <f>I331*J331</f>
        <v/>
      </c>
      <c r="L331" s="41">
        <f>SUMIFS('Billing Aug'!$J$2:$J$770,'Billing Aug'!$D$2:$D$770,A331)</f>
        <v/>
      </c>
      <c r="M331" s="41">
        <f>L331-K331</f>
        <v/>
      </c>
      <c r="N331" s="37">
        <f>COUNTIF('Billing Aug'!$D$2:$D$770,A331)</f>
        <v/>
      </c>
      <c r="O331" s="37">
        <f>SUMIFS('Billing Aug'!$F$2:$F$770,'Billing Aug'!$D$2:$D$770,A331)</f>
        <v/>
      </c>
      <c r="P331" s="41">
        <f>IF(N331=0,0,L331-SUMIFS('Billing Aug'!$H$2:$H$770,'Billing Aug'!$D$2:$D$770,A331)*SUMIFS('Billing Aug'!$I$2:$I$770,'Billing Aug'!$D$2:$D$770,A331))</f>
        <v/>
      </c>
      <c r="Q331" s="37">
        <f>IF(N331=0,"NO AUG TRANSACTION IN SUPPLIED EXTRACT",IF(ABS(P331)&gt;0.004,"SUBLEDGER ARITHMETIC ERROR",IF(ABS(M331)&gt;0.004,"BILLING VARIANCE","MATCH")))</f>
        <v/>
      </c>
    </row>
    <row r="332">
      <c r="A332" s="37" t="inlineStr">
        <is>
          <t>VB-0419</t>
        </is>
      </c>
      <c r="B332" s="37" t="inlineStr">
        <is>
          <t>Vessbank</t>
        </is>
      </c>
      <c r="C332" s="37" t="inlineStr">
        <is>
          <t>COVERED</t>
        </is>
      </c>
      <c r="D332" s="37" t="inlineStr">
        <is>
          <t>OCCUPIED</t>
        </is>
      </c>
      <c r="E332" s="37" t="inlineStr">
        <is>
          <t>WL-03884</t>
        </is>
      </c>
      <c r="F332" s="37" t="inlineStr">
        <is>
          <t>Lindsay Williams</t>
        </is>
      </c>
      <c r="G332" s="37" t="n">
        <v>32</v>
      </c>
      <c r="H332" s="39" t="n">
        <v>32.3</v>
      </c>
      <c r="I332" s="40">
        <f>ROUNDUP(MAX(G332,H332),0)</f>
        <v/>
      </c>
      <c r="J332" s="41">
        <f>IF(C332="COVERED",'Methodology'!$B$9,'Methodology'!$B$10)</f>
        <v/>
      </c>
      <c r="K332" s="41">
        <f>I332*J332</f>
        <v/>
      </c>
      <c r="L332" s="41">
        <f>SUMIFS('Billing Aug'!$J$2:$J$770,'Billing Aug'!$D$2:$D$770,A332)</f>
        <v/>
      </c>
      <c r="M332" s="41">
        <f>L332-K332</f>
        <v/>
      </c>
      <c r="N332" s="37">
        <f>COUNTIF('Billing Aug'!$D$2:$D$770,A332)</f>
        <v/>
      </c>
      <c r="O332" s="37">
        <f>SUMIFS('Billing Aug'!$F$2:$F$770,'Billing Aug'!$D$2:$D$770,A332)</f>
        <v/>
      </c>
      <c r="P332" s="41">
        <f>IF(N332=0,0,L332-SUMIFS('Billing Aug'!$H$2:$H$770,'Billing Aug'!$D$2:$D$770,A332)*SUMIFS('Billing Aug'!$I$2:$I$770,'Billing Aug'!$D$2:$D$770,A332))</f>
        <v/>
      </c>
      <c r="Q332" s="37">
        <f>IF(N332=0,"NO AUG TRANSACTION IN SUPPLIED EXTRACT",IF(ABS(P332)&gt;0.004,"SUBLEDGER ARITHMETIC ERROR",IF(ABS(M332)&gt;0.004,"BILLING VARIANCE","MATCH")))</f>
        <v/>
      </c>
    </row>
    <row r="333">
      <c r="A333" s="37" t="inlineStr">
        <is>
          <t>VB-0420</t>
        </is>
      </c>
      <c r="B333" s="37" t="inlineStr">
        <is>
          <t>Vessbank</t>
        </is>
      </c>
      <c r="C333" s="37" t="inlineStr">
        <is>
          <t>COVERED</t>
        </is>
      </c>
      <c r="D333" s="37" t="inlineStr">
        <is>
          <t>OCCUPIED</t>
        </is>
      </c>
      <c r="E333" s="37" t="inlineStr">
        <is>
          <t>WL-01215</t>
        </is>
      </c>
      <c r="F333" s="37" t="inlineStr">
        <is>
          <t>David Harris</t>
        </is>
      </c>
      <c r="G333" s="37" t="n">
        <v>24</v>
      </c>
      <c r="H333" s="39" t="n">
        <v>27.2</v>
      </c>
      <c r="I333" s="40">
        <f>ROUNDUP(MAX(G333,H333),0)</f>
        <v/>
      </c>
      <c r="J333" s="41">
        <f>IF(C333="COVERED",'Methodology'!$B$9,'Methodology'!$B$10)</f>
        <v/>
      </c>
      <c r="K333" s="41">
        <f>I333*J333</f>
        <v/>
      </c>
      <c r="L333" s="41">
        <f>SUMIFS('Billing Aug'!$J$2:$J$770,'Billing Aug'!$D$2:$D$770,A333)</f>
        <v/>
      </c>
      <c r="M333" s="41">
        <f>L333-K333</f>
        <v/>
      </c>
      <c r="N333" s="37">
        <f>COUNTIF('Billing Aug'!$D$2:$D$770,A333)</f>
        <v/>
      </c>
      <c r="O333" s="37">
        <f>SUMIFS('Billing Aug'!$F$2:$F$770,'Billing Aug'!$D$2:$D$770,A333)</f>
        <v/>
      </c>
      <c r="P333" s="41">
        <f>IF(N333=0,0,L333-SUMIFS('Billing Aug'!$H$2:$H$770,'Billing Aug'!$D$2:$D$770,A333)*SUMIFS('Billing Aug'!$I$2:$I$770,'Billing Aug'!$D$2:$D$770,A333))</f>
        <v/>
      </c>
      <c r="Q333" s="37">
        <f>IF(N333=0,"NO AUG TRANSACTION IN SUPPLIED EXTRACT",IF(ABS(P333)&gt;0.004,"SUBLEDGER ARITHMETIC ERROR",IF(ABS(M333)&gt;0.004,"BILLING VARIANCE","MATCH")))</f>
        <v/>
      </c>
    </row>
    <row r="334">
      <c r="A334" s="37" t="inlineStr">
        <is>
          <t>VB-0422</t>
        </is>
      </c>
      <c r="B334" s="37" t="inlineStr">
        <is>
          <t>Vessbank</t>
        </is>
      </c>
      <c r="C334" s="37" t="inlineStr">
        <is>
          <t>COVERED</t>
        </is>
      </c>
      <c r="D334" s="37" t="inlineStr">
        <is>
          <t>OCCUPIED</t>
        </is>
      </c>
      <c r="E334" s="37" t="inlineStr">
        <is>
          <t>WL-03830</t>
        </is>
      </c>
      <c r="F334" s="37" t="inlineStr">
        <is>
          <t>Erica Smith</t>
        </is>
      </c>
      <c r="G334" s="37" t="n">
        <v>36</v>
      </c>
      <c r="H334" s="39" t="n">
        <v>31.6</v>
      </c>
      <c r="I334" s="40">
        <f>ROUNDUP(MAX(G334,H334),0)</f>
        <v/>
      </c>
      <c r="J334" s="41">
        <f>IF(C334="COVERED",'Methodology'!$B$9,'Methodology'!$B$10)</f>
        <v/>
      </c>
      <c r="K334" s="41">
        <f>I334*J334</f>
        <v/>
      </c>
      <c r="L334" s="41">
        <f>SUMIFS('Billing Aug'!$J$2:$J$770,'Billing Aug'!$D$2:$D$770,A334)</f>
        <v/>
      </c>
      <c r="M334" s="41">
        <f>L334-K334</f>
        <v/>
      </c>
      <c r="N334" s="37">
        <f>COUNTIF('Billing Aug'!$D$2:$D$770,A334)</f>
        <v/>
      </c>
      <c r="O334" s="37">
        <f>SUMIFS('Billing Aug'!$F$2:$F$770,'Billing Aug'!$D$2:$D$770,A334)</f>
        <v/>
      </c>
      <c r="P334" s="41">
        <f>IF(N334=0,0,L334-SUMIFS('Billing Aug'!$H$2:$H$770,'Billing Aug'!$D$2:$D$770,A334)*SUMIFS('Billing Aug'!$I$2:$I$770,'Billing Aug'!$D$2:$D$770,A334))</f>
        <v/>
      </c>
      <c r="Q334" s="37">
        <f>IF(N334=0,"NO AUG TRANSACTION IN SUPPLIED EXTRACT",IF(ABS(P334)&gt;0.004,"SUBLEDGER ARITHMETIC ERROR",IF(ABS(M334)&gt;0.004,"BILLING VARIANCE","MATCH")))</f>
        <v/>
      </c>
    </row>
    <row r="335">
      <c r="A335" s="37" t="inlineStr">
        <is>
          <t>VB-0423</t>
        </is>
      </c>
      <c r="B335" s="37" t="inlineStr">
        <is>
          <t>Vessbank</t>
        </is>
      </c>
      <c r="C335" s="37" t="inlineStr">
        <is>
          <t>COVERED</t>
        </is>
      </c>
      <c r="D335" s="37" t="inlineStr">
        <is>
          <t>OCCUPIED</t>
        </is>
      </c>
      <c r="E335" s="37" t="inlineStr">
        <is>
          <t>WL-03054</t>
        </is>
      </c>
      <c r="F335" s="37" t="inlineStr">
        <is>
          <t>Amanda Schmidt</t>
        </is>
      </c>
      <c r="G335" s="37" t="n">
        <v>24</v>
      </c>
      <c r="H335" s="39" t="n">
        <v>30.1</v>
      </c>
      <c r="I335" s="40">
        <f>ROUNDUP(MAX(G335,H335),0)</f>
        <v/>
      </c>
      <c r="J335" s="41">
        <f>IF(C335="COVERED",'Methodology'!$B$9,'Methodology'!$B$10)</f>
        <v/>
      </c>
      <c r="K335" s="41">
        <f>I335*J335</f>
        <v/>
      </c>
      <c r="L335" s="41">
        <f>SUMIFS('Billing Aug'!$J$2:$J$770,'Billing Aug'!$D$2:$D$770,A335)</f>
        <v/>
      </c>
      <c r="M335" s="41">
        <f>L335-K335</f>
        <v/>
      </c>
      <c r="N335" s="37">
        <f>COUNTIF('Billing Aug'!$D$2:$D$770,A335)</f>
        <v/>
      </c>
      <c r="O335" s="37">
        <f>SUMIFS('Billing Aug'!$F$2:$F$770,'Billing Aug'!$D$2:$D$770,A335)</f>
        <v/>
      </c>
      <c r="P335" s="41">
        <f>IF(N335=0,0,L335-SUMIFS('Billing Aug'!$H$2:$H$770,'Billing Aug'!$D$2:$D$770,A335)*SUMIFS('Billing Aug'!$I$2:$I$770,'Billing Aug'!$D$2:$D$770,A335))</f>
        <v/>
      </c>
      <c r="Q335" s="37">
        <f>IF(N335=0,"NO AUG TRANSACTION IN SUPPLIED EXTRACT",IF(ABS(P335)&gt;0.004,"SUBLEDGER ARITHMETIC ERROR",IF(ABS(M335)&gt;0.004,"BILLING VARIANCE","MATCH")))</f>
        <v/>
      </c>
    </row>
    <row r="336">
      <c r="A336" s="37" t="inlineStr">
        <is>
          <t>VB-0424</t>
        </is>
      </c>
      <c r="B336" s="37" t="inlineStr">
        <is>
          <t>Vessbank</t>
        </is>
      </c>
      <c r="C336" s="37" t="inlineStr">
        <is>
          <t>COVERED</t>
        </is>
      </c>
      <c r="D336" s="37" t="inlineStr">
        <is>
          <t>OCCUPIED</t>
        </is>
      </c>
      <c r="E336" s="37" t="inlineStr">
        <is>
          <t>WL-02816</t>
        </is>
      </c>
      <c r="F336" s="37" t="inlineStr">
        <is>
          <t>Joel Chang</t>
        </is>
      </c>
      <c r="G336" s="37" t="n">
        <v>40</v>
      </c>
      <c r="H336" s="39" t="n">
        <v>48.8</v>
      </c>
      <c r="I336" s="40">
        <f>ROUNDUP(MAX(G336,H336),0)</f>
        <v/>
      </c>
      <c r="J336" s="41">
        <f>IF(C336="COVERED",'Methodology'!$B$9,'Methodology'!$B$10)</f>
        <v/>
      </c>
      <c r="K336" s="41">
        <f>I336*J336</f>
        <v/>
      </c>
      <c r="L336" s="41">
        <f>SUMIFS('Billing Aug'!$J$2:$J$770,'Billing Aug'!$D$2:$D$770,A336)</f>
        <v/>
      </c>
      <c r="M336" s="41">
        <f>L336-K336</f>
        <v/>
      </c>
      <c r="N336" s="37">
        <f>COUNTIF('Billing Aug'!$D$2:$D$770,A336)</f>
        <v/>
      </c>
      <c r="O336" s="37">
        <f>SUMIFS('Billing Aug'!$F$2:$F$770,'Billing Aug'!$D$2:$D$770,A336)</f>
        <v/>
      </c>
      <c r="P336" s="41">
        <f>IF(N336=0,0,L336-SUMIFS('Billing Aug'!$H$2:$H$770,'Billing Aug'!$D$2:$D$770,A336)*SUMIFS('Billing Aug'!$I$2:$I$770,'Billing Aug'!$D$2:$D$770,A336))</f>
        <v/>
      </c>
      <c r="Q336" s="37">
        <f>IF(N336=0,"NO AUG TRANSACTION IN SUPPLIED EXTRACT",IF(ABS(P336)&gt;0.004,"SUBLEDGER ARITHMETIC ERROR",IF(ABS(M336)&gt;0.004,"BILLING VARIANCE","MATCH")))</f>
        <v/>
      </c>
    </row>
    <row r="337">
      <c r="A337" s="37" t="inlineStr">
        <is>
          <t>VB-0501</t>
        </is>
      </c>
      <c r="B337" s="37" t="inlineStr">
        <is>
          <t>Vessbank</t>
        </is>
      </c>
      <c r="C337" s="37" t="inlineStr">
        <is>
          <t>COVERED</t>
        </is>
      </c>
      <c r="D337" s="37" t="inlineStr">
        <is>
          <t>OCCUPIED</t>
        </is>
      </c>
      <c r="E337" s="37" t="inlineStr">
        <is>
          <t>WL-03576</t>
        </is>
      </c>
      <c r="F337" s="37" t="inlineStr">
        <is>
          <t>Aimee Cooper</t>
        </is>
      </c>
      <c r="G337" s="37" t="n">
        <v>28</v>
      </c>
      <c r="H337" s="39" t="n">
        <v>36.2</v>
      </c>
      <c r="I337" s="40">
        <f>ROUNDUP(MAX(G337,H337),0)</f>
        <v/>
      </c>
      <c r="J337" s="41">
        <f>IF(C337="COVERED",'Methodology'!$B$9,'Methodology'!$B$10)</f>
        <v/>
      </c>
      <c r="K337" s="41">
        <f>I337*J337</f>
        <v/>
      </c>
      <c r="L337" s="41">
        <f>SUMIFS('Billing Aug'!$J$2:$J$770,'Billing Aug'!$D$2:$D$770,A337)</f>
        <v/>
      </c>
      <c r="M337" s="41">
        <f>L337-K337</f>
        <v/>
      </c>
      <c r="N337" s="37">
        <f>COUNTIF('Billing Aug'!$D$2:$D$770,A337)</f>
        <v/>
      </c>
      <c r="O337" s="37">
        <f>SUMIFS('Billing Aug'!$F$2:$F$770,'Billing Aug'!$D$2:$D$770,A337)</f>
        <v/>
      </c>
      <c r="P337" s="41">
        <f>IF(N337=0,0,L337-SUMIFS('Billing Aug'!$H$2:$H$770,'Billing Aug'!$D$2:$D$770,A337)*SUMIFS('Billing Aug'!$I$2:$I$770,'Billing Aug'!$D$2:$D$770,A337))</f>
        <v/>
      </c>
      <c r="Q337" s="37">
        <f>IF(N337=0,"NO AUG TRANSACTION IN SUPPLIED EXTRACT",IF(ABS(P337)&gt;0.004,"SUBLEDGER ARITHMETIC ERROR",IF(ABS(M337)&gt;0.004,"BILLING VARIANCE","MATCH")))</f>
        <v/>
      </c>
    </row>
    <row r="338">
      <c r="A338" s="37" t="inlineStr">
        <is>
          <t>VB-0502</t>
        </is>
      </c>
      <c r="B338" s="37" t="inlineStr">
        <is>
          <t>Vessbank</t>
        </is>
      </c>
      <c r="C338" s="37" t="inlineStr">
        <is>
          <t>COVERED</t>
        </is>
      </c>
      <c r="D338" s="37" t="inlineStr">
        <is>
          <t>OCCUPIED</t>
        </is>
      </c>
      <c r="E338" s="37" t="inlineStr">
        <is>
          <t>WL-02127</t>
        </is>
      </c>
      <c r="F338" s="37" t="inlineStr">
        <is>
          <t>Kimberly Gomez</t>
        </is>
      </c>
      <c r="G338" s="37" t="n">
        <v>32</v>
      </c>
      <c r="H338" s="39" t="n">
        <v>40.1</v>
      </c>
      <c r="I338" s="40">
        <f>ROUNDUP(MAX(G338,H338),0)</f>
        <v/>
      </c>
      <c r="J338" s="41">
        <f>IF(C338="COVERED",'Methodology'!$B$9,'Methodology'!$B$10)</f>
        <v/>
      </c>
      <c r="K338" s="41">
        <f>I338*J338</f>
        <v/>
      </c>
      <c r="L338" s="41">
        <f>SUMIFS('Billing Aug'!$J$2:$J$770,'Billing Aug'!$D$2:$D$770,A338)</f>
        <v/>
      </c>
      <c r="M338" s="41">
        <f>L338-K338</f>
        <v/>
      </c>
      <c r="N338" s="37">
        <f>COUNTIF('Billing Aug'!$D$2:$D$770,A338)</f>
        <v/>
      </c>
      <c r="O338" s="37">
        <f>SUMIFS('Billing Aug'!$F$2:$F$770,'Billing Aug'!$D$2:$D$770,A338)</f>
        <v/>
      </c>
      <c r="P338" s="41">
        <f>IF(N338=0,0,L338-SUMIFS('Billing Aug'!$H$2:$H$770,'Billing Aug'!$D$2:$D$770,A338)*SUMIFS('Billing Aug'!$I$2:$I$770,'Billing Aug'!$D$2:$D$770,A338))</f>
        <v/>
      </c>
      <c r="Q338" s="37">
        <f>IF(N338=0,"NO AUG TRANSACTION IN SUPPLIED EXTRACT",IF(ABS(P338)&gt;0.004,"SUBLEDGER ARITHMETIC ERROR",IF(ABS(M338)&gt;0.004,"BILLING VARIANCE","MATCH")))</f>
        <v/>
      </c>
    </row>
    <row r="339">
      <c r="A339" s="37" t="inlineStr">
        <is>
          <t>VB-0504</t>
        </is>
      </c>
      <c r="B339" s="37" t="inlineStr">
        <is>
          <t>Vessbank</t>
        </is>
      </c>
      <c r="C339" s="37" t="inlineStr">
        <is>
          <t>COVERED</t>
        </is>
      </c>
      <c r="D339" s="37" t="inlineStr">
        <is>
          <t>OCCUPIED</t>
        </is>
      </c>
      <c r="E339" s="37" t="inlineStr">
        <is>
          <t>WL-03734</t>
        </is>
      </c>
      <c r="F339" s="37" t="inlineStr">
        <is>
          <t>Erin Lewis</t>
        </is>
      </c>
      <c r="G339" s="37" t="n">
        <v>36</v>
      </c>
      <c r="H339" s="39" t="n">
        <v>51.6</v>
      </c>
      <c r="I339" s="40">
        <f>ROUNDUP(MAX(G339,H339),0)</f>
        <v/>
      </c>
      <c r="J339" s="41">
        <f>IF(C339="COVERED",'Methodology'!$B$9,'Methodology'!$B$10)</f>
        <v/>
      </c>
      <c r="K339" s="41">
        <f>I339*J339</f>
        <v/>
      </c>
      <c r="L339" s="41">
        <f>SUMIFS('Billing Aug'!$J$2:$J$770,'Billing Aug'!$D$2:$D$770,A339)</f>
        <v/>
      </c>
      <c r="M339" s="41">
        <f>L339-K339</f>
        <v/>
      </c>
      <c r="N339" s="37">
        <f>COUNTIF('Billing Aug'!$D$2:$D$770,A339)</f>
        <v/>
      </c>
      <c r="O339" s="37">
        <f>SUMIFS('Billing Aug'!$F$2:$F$770,'Billing Aug'!$D$2:$D$770,A339)</f>
        <v/>
      </c>
      <c r="P339" s="41">
        <f>IF(N339=0,0,L339-SUMIFS('Billing Aug'!$H$2:$H$770,'Billing Aug'!$D$2:$D$770,A339)*SUMIFS('Billing Aug'!$I$2:$I$770,'Billing Aug'!$D$2:$D$770,A339))</f>
        <v/>
      </c>
      <c r="Q339" s="37">
        <f>IF(N339=0,"NO AUG TRANSACTION IN SUPPLIED EXTRACT",IF(ABS(P339)&gt;0.004,"SUBLEDGER ARITHMETIC ERROR",IF(ABS(M339)&gt;0.004,"BILLING VARIANCE","MATCH")))</f>
        <v/>
      </c>
    </row>
    <row r="340">
      <c r="A340" s="37" t="inlineStr">
        <is>
          <t>VB-0505</t>
        </is>
      </c>
      <c r="B340" s="37" t="inlineStr">
        <is>
          <t>Vessbank</t>
        </is>
      </c>
      <c r="C340" s="37" t="inlineStr">
        <is>
          <t>COVERED</t>
        </is>
      </c>
      <c r="D340" s="37" t="inlineStr">
        <is>
          <t>OCCUPIED</t>
        </is>
      </c>
      <c r="E340" s="37" t="inlineStr">
        <is>
          <t>WL-03343</t>
        </is>
      </c>
      <c r="F340" s="37" t="inlineStr">
        <is>
          <t>Justin Mckinney</t>
        </is>
      </c>
      <c r="G340" s="37" t="n">
        <v>36</v>
      </c>
      <c r="H340" s="39" t="n">
        <v>54.4</v>
      </c>
      <c r="I340" s="40">
        <f>ROUNDUP(MAX(G340,H340),0)</f>
        <v/>
      </c>
      <c r="J340" s="41">
        <f>IF(C340="COVERED",'Methodology'!$B$9,'Methodology'!$B$10)</f>
        <v/>
      </c>
      <c r="K340" s="41">
        <f>I340*J340</f>
        <v/>
      </c>
      <c r="L340" s="41">
        <f>SUMIFS('Billing Aug'!$J$2:$J$770,'Billing Aug'!$D$2:$D$770,A340)</f>
        <v/>
      </c>
      <c r="M340" s="41">
        <f>L340-K340</f>
        <v/>
      </c>
      <c r="N340" s="37">
        <f>COUNTIF('Billing Aug'!$D$2:$D$770,A340)</f>
        <v/>
      </c>
      <c r="O340" s="37">
        <f>SUMIFS('Billing Aug'!$F$2:$F$770,'Billing Aug'!$D$2:$D$770,A340)</f>
        <v/>
      </c>
      <c r="P340" s="41">
        <f>IF(N340=0,0,L340-SUMIFS('Billing Aug'!$H$2:$H$770,'Billing Aug'!$D$2:$D$770,A340)*SUMIFS('Billing Aug'!$I$2:$I$770,'Billing Aug'!$D$2:$D$770,A340))</f>
        <v/>
      </c>
      <c r="Q340" s="37">
        <f>IF(N340=0,"NO AUG TRANSACTION IN SUPPLIED EXTRACT",IF(ABS(P340)&gt;0.004,"SUBLEDGER ARITHMETIC ERROR",IF(ABS(M340)&gt;0.004,"BILLING VARIANCE","MATCH")))</f>
        <v/>
      </c>
    </row>
    <row r="341">
      <c r="A341" s="37" t="inlineStr">
        <is>
          <t>VB-0506</t>
        </is>
      </c>
      <c r="B341" s="37" t="inlineStr">
        <is>
          <t>Vessbank</t>
        </is>
      </c>
      <c r="C341" s="37" t="inlineStr">
        <is>
          <t>COVERED</t>
        </is>
      </c>
      <c r="D341" s="37" t="inlineStr">
        <is>
          <t>OCCUPIED</t>
        </is>
      </c>
      <c r="E341" s="37" t="inlineStr">
        <is>
          <t>WL-03154</t>
        </is>
      </c>
      <c r="F341" s="37" t="inlineStr">
        <is>
          <t>Michael Stevens</t>
        </is>
      </c>
      <c r="G341" s="37" t="n">
        <v>28</v>
      </c>
      <c r="H341" s="39" t="n">
        <v>39.5</v>
      </c>
      <c r="I341" s="40">
        <f>ROUNDUP(MAX(G341,H341),0)</f>
        <v/>
      </c>
      <c r="J341" s="41">
        <f>IF(C341="COVERED",'Methodology'!$B$9,'Methodology'!$B$10)</f>
        <v/>
      </c>
      <c r="K341" s="41">
        <f>I341*J341</f>
        <v/>
      </c>
      <c r="L341" s="41">
        <f>SUMIFS('Billing Aug'!$J$2:$J$770,'Billing Aug'!$D$2:$D$770,A341)</f>
        <v/>
      </c>
      <c r="M341" s="41">
        <f>L341-K341</f>
        <v/>
      </c>
      <c r="N341" s="37">
        <f>COUNTIF('Billing Aug'!$D$2:$D$770,A341)</f>
        <v/>
      </c>
      <c r="O341" s="37">
        <f>SUMIFS('Billing Aug'!$F$2:$F$770,'Billing Aug'!$D$2:$D$770,A341)</f>
        <v/>
      </c>
      <c r="P341" s="41">
        <f>IF(N341=0,0,L341-SUMIFS('Billing Aug'!$H$2:$H$770,'Billing Aug'!$D$2:$D$770,A341)*SUMIFS('Billing Aug'!$I$2:$I$770,'Billing Aug'!$D$2:$D$770,A341))</f>
        <v/>
      </c>
      <c r="Q341" s="37">
        <f>IF(N341=0,"NO AUG TRANSACTION IN SUPPLIED EXTRACT",IF(ABS(P341)&gt;0.004,"SUBLEDGER ARITHMETIC ERROR",IF(ABS(M341)&gt;0.004,"BILLING VARIANCE","MATCH")))</f>
        <v/>
      </c>
    </row>
    <row r="342">
      <c r="A342" s="37" t="inlineStr">
        <is>
          <t>VB-0507</t>
        </is>
      </c>
      <c r="B342" s="37" t="inlineStr">
        <is>
          <t>Vessbank</t>
        </is>
      </c>
      <c r="C342" s="37" t="inlineStr">
        <is>
          <t>COVERED</t>
        </is>
      </c>
      <c r="D342" s="37" t="inlineStr">
        <is>
          <t>OCCUPIED</t>
        </is>
      </c>
      <c r="E342" s="37" t="inlineStr">
        <is>
          <t>WL-01541</t>
        </is>
      </c>
      <c r="F342" s="37" t="inlineStr">
        <is>
          <t>Rhonda Johnson</t>
        </is>
      </c>
      <c r="G342" s="37" t="n">
        <v>40</v>
      </c>
      <c r="H342" s="39" t="n">
        <v>29.8</v>
      </c>
      <c r="I342" s="40">
        <f>ROUNDUP(MAX(G342,H342),0)</f>
        <v/>
      </c>
      <c r="J342" s="41">
        <f>IF(C342="COVERED",'Methodology'!$B$9,'Methodology'!$B$10)</f>
        <v/>
      </c>
      <c r="K342" s="41">
        <f>I342*J342</f>
        <v/>
      </c>
      <c r="L342" s="41">
        <f>SUMIFS('Billing Aug'!$J$2:$J$770,'Billing Aug'!$D$2:$D$770,A342)</f>
        <v/>
      </c>
      <c r="M342" s="41">
        <f>L342-K342</f>
        <v/>
      </c>
      <c r="N342" s="37">
        <f>COUNTIF('Billing Aug'!$D$2:$D$770,A342)</f>
        <v/>
      </c>
      <c r="O342" s="37">
        <f>SUMIFS('Billing Aug'!$F$2:$F$770,'Billing Aug'!$D$2:$D$770,A342)</f>
        <v/>
      </c>
      <c r="P342" s="41">
        <f>IF(N342=0,0,L342-SUMIFS('Billing Aug'!$H$2:$H$770,'Billing Aug'!$D$2:$D$770,A342)*SUMIFS('Billing Aug'!$I$2:$I$770,'Billing Aug'!$D$2:$D$770,A342))</f>
        <v/>
      </c>
      <c r="Q342" s="37">
        <f>IF(N342=0,"NO AUG TRANSACTION IN SUPPLIED EXTRACT",IF(ABS(P342)&gt;0.004,"SUBLEDGER ARITHMETIC ERROR",IF(ABS(M342)&gt;0.004,"BILLING VARIANCE","MATCH")))</f>
        <v/>
      </c>
    </row>
    <row r="343">
      <c r="A343" s="37" t="inlineStr">
        <is>
          <t>VB-0508</t>
        </is>
      </c>
      <c r="B343" s="37" t="inlineStr">
        <is>
          <t>Vessbank</t>
        </is>
      </c>
      <c r="C343" s="37" t="inlineStr">
        <is>
          <t>COVERED</t>
        </is>
      </c>
      <c r="D343" s="37" t="inlineStr">
        <is>
          <t>OCCUPIED</t>
        </is>
      </c>
      <c r="E343" s="37" t="inlineStr">
        <is>
          <t>WL-01834</t>
        </is>
      </c>
      <c r="F343" s="37" t="inlineStr">
        <is>
          <t>Kevin Baker</t>
        </is>
      </c>
      <c r="G343" s="37" t="n">
        <v>24</v>
      </c>
      <c r="H343" s="39" t="n">
        <v>53.2</v>
      </c>
      <c r="I343" s="40">
        <f>ROUNDUP(MAX(G343,H343),0)</f>
        <v/>
      </c>
      <c r="J343" s="41">
        <f>IF(C343="COVERED",'Methodology'!$B$9,'Methodology'!$B$10)</f>
        <v/>
      </c>
      <c r="K343" s="41">
        <f>I343*J343</f>
        <v/>
      </c>
      <c r="L343" s="41">
        <f>SUMIFS('Billing Aug'!$J$2:$J$770,'Billing Aug'!$D$2:$D$770,A343)</f>
        <v/>
      </c>
      <c r="M343" s="41">
        <f>L343-K343</f>
        <v/>
      </c>
      <c r="N343" s="37">
        <f>COUNTIF('Billing Aug'!$D$2:$D$770,A343)</f>
        <v/>
      </c>
      <c r="O343" s="37">
        <f>SUMIFS('Billing Aug'!$F$2:$F$770,'Billing Aug'!$D$2:$D$770,A343)</f>
        <v/>
      </c>
      <c r="P343" s="41">
        <f>IF(N343=0,0,L343-SUMIFS('Billing Aug'!$H$2:$H$770,'Billing Aug'!$D$2:$D$770,A343)*SUMIFS('Billing Aug'!$I$2:$I$770,'Billing Aug'!$D$2:$D$770,A343))</f>
        <v/>
      </c>
      <c r="Q343" s="37">
        <f>IF(N343=0,"NO AUG TRANSACTION IN SUPPLIED EXTRACT",IF(ABS(P343)&gt;0.004,"SUBLEDGER ARITHMETIC ERROR",IF(ABS(M343)&gt;0.004,"BILLING VARIANCE","MATCH")))</f>
        <v/>
      </c>
    </row>
    <row r="344">
      <c r="A344" s="37" t="inlineStr">
        <is>
          <t>VB-0509</t>
        </is>
      </c>
      <c r="B344" s="37" t="inlineStr">
        <is>
          <t>Vessbank</t>
        </is>
      </c>
      <c r="C344" s="37" t="inlineStr">
        <is>
          <t>COVERED</t>
        </is>
      </c>
      <c r="D344" s="37" t="inlineStr">
        <is>
          <t>OCCUPIED</t>
        </is>
      </c>
      <c r="E344" s="37" t="inlineStr">
        <is>
          <t>WL-02326</t>
        </is>
      </c>
      <c r="F344" s="37" t="inlineStr">
        <is>
          <t>Debra Blackwell</t>
        </is>
      </c>
      <c r="G344" s="37" t="n">
        <v>28</v>
      </c>
      <c r="H344" s="39" t="n">
        <v>33</v>
      </c>
      <c r="I344" s="40">
        <f>ROUNDUP(MAX(G344,H344),0)</f>
        <v/>
      </c>
      <c r="J344" s="41">
        <f>IF(C344="COVERED",'Methodology'!$B$9,'Methodology'!$B$10)</f>
        <v/>
      </c>
      <c r="K344" s="41">
        <f>I344*J344</f>
        <v/>
      </c>
      <c r="L344" s="41">
        <f>SUMIFS('Billing Aug'!$J$2:$J$770,'Billing Aug'!$D$2:$D$770,A344)</f>
        <v/>
      </c>
      <c r="M344" s="41">
        <f>L344-K344</f>
        <v/>
      </c>
      <c r="N344" s="37">
        <f>COUNTIF('Billing Aug'!$D$2:$D$770,A344)</f>
        <v/>
      </c>
      <c r="O344" s="37">
        <f>SUMIFS('Billing Aug'!$F$2:$F$770,'Billing Aug'!$D$2:$D$770,A344)</f>
        <v/>
      </c>
      <c r="P344" s="41">
        <f>IF(N344=0,0,L344-SUMIFS('Billing Aug'!$H$2:$H$770,'Billing Aug'!$D$2:$D$770,A344)*SUMIFS('Billing Aug'!$I$2:$I$770,'Billing Aug'!$D$2:$D$770,A344))</f>
        <v/>
      </c>
      <c r="Q344" s="37">
        <f>IF(N344=0,"NO AUG TRANSACTION IN SUPPLIED EXTRACT",IF(ABS(P344)&gt;0.004,"SUBLEDGER ARITHMETIC ERROR",IF(ABS(M344)&gt;0.004,"BILLING VARIANCE","MATCH")))</f>
        <v/>
      </c>
    </row>
    <row r="345">
      <c r="A345" s="37" t="inlineStr">
        <is>
          <t>VB-0510</t>
        </is>
      </c>
      <c r="B345" s="37" t="inlineStr">
        <is>
          <t>Vessbank</t>
        </is>
      </c>
      <c r="C345" s="37" t="inlineStr">
        <is>
          <t>COVERED</t>
        </is>
      </c>
      <c r="D345" s="37" t="inlineStr">
        <is>
          <t>OCCUPIED</t>
        </is>
      </c>
      <c r="E345" s="37" t="inlineStr">
        <is>
          <t>WL-03831</t>
        </is>
      </c>
      <c r="F345" s="37" t="inlineStr">
        <is>
          <t>Michael Burns</t>
        </is>
      </c>
      <c r="G345" s="37" t="n">
        <v>40</v>
      </c>
      <c r="H345" s="39" t="n">
        <v>21</v>
      </c>
      <c r="I345" s="40">
        <f>ROUNDUP(MAX(G345,H345),0)</f>
        <v/>
      </c>
      <c r="J345" s="41">
        <f>IF(C345="COVERED",'Methodology'!$B$9,'Methodology'!$B$10)</f>
        <v/>
      </c>
      <c r="K345" s="41">
        <f>I345*J345</f>
        <v/>
      </c>
      <c r="L345" s="41">
        <f>SUMIFS('Billing Aug'!$J$2:$J$770,'Billing Aug'!$D$2:$D$770,A345)</f>
        <v/>
      </c>
      <c r="M345" s="41">
        <f>L345-K345</f>
        <v/>
      </c>
      <c r="N345" s="37">
        <f>COUNTIF('Billing Aug'!$D$2:$D$770,A345)</f>
        <v/>
      </c>
      <c r="O345" s="37">
        <f>SUMIFS('Billing Aug'!$F$2:$F$770,'Billing Aug'!$D$2:$D$770,A345)</f>
        <v/>
      </c>
      <c r="P345" s="41">
        <f>IF(N345=0,0,L345-SUMIFS('Billing Aug'!$H$2:$H$770,'Billing Aug'!$D$2:$D$770,A345)*SUMIFS('Billing Aug'!$I$2:$I$770,'Billing Aug'!$D$2:$D$770,A345))</f>
        <v/>
      </c>
      <c r="Q345" s="37">
        <f>IF(N345=0,"NO AUG TRANSACTION IN SUPPLIED EXTRACT",IF(ABS(P345)&gt;0.004,"SUBLEDGER ARITHMETIC ERROR",IF(ABS(M345)&gt;0.004,"BILLING VARIANCE","MATCH")))</f>
        <v/>
      </c>
    </row>
    <row r="346">
      <c r="A346" s="37" t="inlineStr">
        <is>
          <t>VB-0511</t>
        </is>
      </c>
      <c r="B346" s="37" t="inlineStr">
        <is>
          <t>Vessbank</t>
        </is>
      </c>
      <c r="C346" s="37" t="inlineStr">
        <is>
          <t>COVERED</t>
        </is>
      </c>
      <c r="D346" s="37" t="inlineStr">
        <is>
          <t>OCCUPIED</t>
        </is>
      </c>
      <c r="E346" s="37" t="inlineStr">
        <is>
          <t>WL-02036</t>
        </is>
      </c>
      <c r="F346" s="37" t="inlineStr">
        <is>
          <t>Susan Miller</t>
        </is>
      </c>
      <c r="G346" s="37" t="n">
        <v>28</v>
      </c>
      <c r="H346" s="39" t="n">
        <v>46.2</v>
      </c>
      <c r="I346" s="40">
        <f>ROUNDUP(MAX(G346,H346),0)</f>
        <v/>
      </c>
      <c r="J346" s="41">
        <f>IF(C346="COVERED",'Methodology'!$B$9,'Methodology'!$B$10)</f>
        <v/>
      </c>
      <c r="K346" s="41">
        <f>I346*J346</f>
        <v/>
      </c>
      <c r="L346" s="41">
        <f>SUMIFS('Billing Aug'!$J$2:$J$770,'Billing Aug'!$D$2:$D$770,A346)</f>
        <v/>
      </c>
      <c r="M346" s="41">
        <f>L346-K346</f>
        <v/>
      </c>
      <c r="N346" s="37">
        <f>COUNTIF('Billing Aug'!$D$2:$D$770,A346)</f>
        <v/>
      </c>
      <c r="O346" s="37">
        <f>SUMIFS('Billing Aug'!$F$2:$F$770,'Billing Aug'!$D$2:$D$770,A346)</f>
        <v/>
      </c>
      <c r="P346" s="41">
        <f>IF(N346=0,0,L346-SUMIFS('Billing Aug'!$H$2:$H$770,'Billing Aug'!$D$2:$D$770,A346)*SUMIFS('Billing Aug'!$I$2:$I$770,'Billing Aug'!$D$2:$D$770,A346))</f>
        <v/>
      </c>
      <c r="Q346" s="37">
        <f>IF(N346=0,"NO AUG TRANSACTION IN SUPPLIED EXTRACT",IF(ABS(P346)&gt;0.004,"SUBLEDGER ARITHMETIC ERROR",IF(ABS(M346)&gt;0.004,"BILLING VARIANCE","MATCH")))</f>
        <v/>
      </c>
    </row>
    <row r="347">
      <c r="A347" s="37" t="inlineStr">
        <is>
          <t>VB-0512</t>
        </is>
      </c>
      <c r="B347" s="37" t="inlineStr">
        <is>
          <t>Vessbank</t>
        </is>
      </c>
      <c r="C347" s="37" t="inlineStr">
        <is>
          <t>COVERED</t>
        </is>
      </c>
      <c r="D347" s="37" t="inlineStr">
        <is>
          <t>OCCUPIED</t>
        </is>
      </c>
      <c r="E347" s="37" t="inlineStr">
        <is>
          <t>WL-02592</t>
        </is>
      </c>
      <c r="F347" s="37" t="inlineStr">
        <is>
          <t>Stacy Hernandez</t>
        </is>
      </c>
      <c r="G347" s="37" t="n">
        <v>28</v>
      </c>
      <c r="H347" s="39" t="n">
        <v>21.8</v>
      </c>
      <c r="I347" s="40">
        <f>ROUNDUP(MAX(G347,H347),0)</f>
        <v/>
      </c>
      <c r="J347" s="41">
        <f>IF(C347="COVERED",'Methodology'!$B$9,'Methodology'!$B$10)</f>
        <v/>
      </c>
      <c r="K347" s="41">
        <f>I347*J347</f>
        <v/>
      </c>
      <c r="L347" s="41">
        <f>SUMIFS('Billing Aug'!$J$2:$J$770,'Billing Aug'!$D$2:$D$770,A347)</f>
        <v/>
      </c>
      <c r="M347" s="41">
        <f>L347-K347</f>
        <v/>
      </c>
      <c r="N347" s="37">
        <f>COUNTIF('Billing Aug'!$D$2:$D$770,A347)</f>
        <v/>
      </c>
      <c r="O347" s="37">
        <f>SUMIFS('Billing Aug'!$F$2:$F$770,'Billing Aug'!$D$2:$D$770,A347)</f>
        <v/>
      </c>
      <c r="P347" s="41">
        <f>IF(N347=0,0,L347-SUMIFS('Billing Aug'!$H$2:$H$770,'Billing Aug'!$D$2:$D$770,A347)*SUMIFS('Billing Aug'!$I$2:$I$770,'Billing Aug'!$D$2:$D$770,A347))</f>
        <v/>
      </c>
      <c r="Q347" s="37">
        <f>IF(N347=0,"NO AUG TRANSACTION IN SUPPLIED EXTRACT",IF(ABS(P347)&gt;0.004,"SUBLEDGER ARITHMETIC ERROR",IF(ABS(M347)&gt;0.004,"BILLING VARIANCE","MATCH")))</f>
        <v/>
      </c>
    </row>
    <row r="348">
      <c r="A348" s="37" t="inlineStr">
        <is>
          <t>VB-0513</t>
        </is>
      </c>
      <c r="B348" s="37" t="inlineStr">
        <is>
          <t>Vessbank</t>
        </is>
      </c>
      <c r="C348" s="37" t="inlineStr">
        <is>
          <t>COVERED</t>
        </is>
      </c>
      <c r="D348" s="37" t="inlineStr">
        <is>
          <t>OCCUPIED</t>
        </is>
      </c>
      <c r="E348" s="37" t="inlineStr">
        <is>
          <t>WL-01169</t>
        </is>
      </c>
      <c r="F348" s="37" t="inlineStr">
        <is>
          <t>Cheyenne Kim</t>
        </is>
      </c>
      <c r="G348" s="37" t="n">
        <v>32</v>
      </c>
      <c r="H348" s="39" t="n">
        <v>57.9</v>
      </c>
      <c r="I348" s="40">
        <f>ROUNDUP(MAX(G348,H348),0)</f>
        <v/>
      </c>
      <c r="J348" s="41">
        <f>IF(C348="COVERED",'Methodology'!$B$9,'Methodology'!$B$10)</f>
        <v/>
      </c>
      <c r="K348" s="41">
        <f>I348*J348</f>
        <v/>
      </c>
      <c r="L348" s="41">
        <f>SUMIFS('Billing Aug'!$J$2:$J$770,'Billing Aug'!$D$2:$D$770,A348)</f>
        <v/>
      </c>
      <c r="M348" s="41">
        <f>L348-K348</f>
        <v/>
      </c>
      <c r="N348" s="37">
        <f>COUNTIF('Billing Aug'!$D$2:$D$770,A348)</f>
        <v/>
      </c>
      <c r="O348" s="37">
        <f>SUMIFS('Billing Aug'!$F$2:$F$770,'Billing Aug'!$D$2:$D$770,A348)</f>
        <v/>
      </c>
      <c r="P348" s="41">
        <f>IF(N348=0,0,L348-SUMIFS('Billing Aug'!$H$2:$H$770,'Billing Aug'!$D$2:$D$770,A348)*SUMIFS('Billing Aug'!$I$2:$I$770,'Billing Aug'!$D$2:$D$770,A348))</f>
        <v/>
      </c>
      <c r="Q348" s="37">
        <f>IF(N348=0,"NO AUG TRANSACTION IN SUPPLIED EXTRACT",IF(ABS(P348)&gt;0.004,"SUBLEDGER ARITHMETIC ERROR",IF(ABS(M348)&gt;0.004,"BILLING VARIANCE","MATCH")))</f>
        <v/>
      </c>
    </row>
    <row r="349">
      <c r="A349" s="37" t="inlineStr">
        <is>
          <t>VB-0514</t>
        </is>
      </c>
      <c r="B349" s="37" t="inlineStr">
        <is>
          <t>Vessbank</t>
        </is>
      </c>
      <c r="C349" s="37" t="inlineStr">
        <is>
          <t>COVERED</t>
        </is>
      </c>
      <c r="D349" s="37" t="inlineStr">
        <is>
          <t>OCCUPIED</t>
        </is>
      </c>
      <c r="E349" s="37" t="inlineStr">
        <is>
          <t>WL-03262</t>
        </is>
      </c>
      <c r="F349" s="37" t="inlineStr">
        <is>
          <t>Melissa Kerr</t>
        </is>
      </c>
      <c r="G349" s="37" t="n">
        <v>24</v>
      </c>
      <c r="H349" s="39" t="n">
        <v>26</v>
      </c>
      <c r="I349" s="40">
        <f>ROUNDUP(MAX(G349,H349),0)</f>
        <v/>
      </c>
      <c r="J349" s="41">
        <f>IF(C349="COVERED",'Methodology'!$B$9,'Methodology'!$B$10)</f>
        <v/>
      </c>
      <c r="K349" s="41">
        <f>I349*J349</f>
        <v/>
      </c>
      <c r="L349" s="41">
        <f>SUMIFS('Billing Aug'!$J$2:$J$770,'Billing Aug'!$D$2:$D$770,A349)</f>
        <v/>
      </c>
      <c r="M349" s="41">
        <f>L349-K349</f>
        <v/>
      </c>
      <c r="N349" s="37">
        <f>COUNTIF('Billing Aug'!$D$2:$D$770,A349)</f>
        <v/>
      </c>
      <c r="O349" s="37">
        <f>SUMIFS('Billing Aug'!$F$2:$F$770,'Billing Aug'!$D$2:$D$770,A349)</f>
        <v/>
      </c>
      <c r="P349" s="41">
        <f>IF(N349=0,0,L349-SUMIFS('Billing Aug'!$H$2:$H$770,'Billing Aug'!$D$2:$D$770,A349)*SUMIFS('Billing Aug'!$I$2:$I$770,'Billing Aug'!$D$2:$D$770,A349))</f>
        <v/>
      </c>
      <c r="Q349" s="37">
        <f>IF(N349=0,"NO AUG TRANSACTION IN SUPPLIED EXTRACT",IF(ABS(P349)&gt;0.004,"SUBLEDGER ARITHMETIC ERROR",IF(ABS(M349)&gt;0.004,"BILLING VARIANCE","MATCH")))</f>
        <v/>
      </c>
    </row>
    <row r="350">
      <c r="A350" s="37" t="inlineStr">
        <is>
          <t>VB-0515</t>
        </is>
      </c>
      <c r="B350" s="37" t="inlineStr">
        <is>
          <t>Vessbank</t>
        </is>
      </c>
      <c r="C350" s="37" t="inlineStr">
        <is>
          <t>COVERED</t>
        </is>
      </c>
      <c r="D350" s="37" t="inlineStr">
        <is>
          <t>OCCUPIED</t>
        </is>
      </c>
      <c r="E350" s="37" t="inlineStr">
        <is>
          <t>WL-02590</t>
        </is>
      </c>
      <c r="F350" s="37" t="inlineStr">
        <is>
          <t>Thomas Anderson</t>
        </is>
      </c>
      <c r="G350" s="37" t="n">
        <v>24</v>
      </c>
      <c r="H350" s="39" t="n">
        <v>41.5</v>
      </c>
      <c r="I350" s="40">
        <f>ROUNDUP(MAX(G350,H350),0)</f>
        <v/>
      </c>
      <c r="J350" s="41">
        <f>IF(C350="COVERED",'Methodology'!$B$9,'Methodology'!$B$10)</f>
        <v/>
      </c>
      <c r="K350" s="41">
        <f>I350*J350</f>
        <v/>
      </c>
      <c r="L350" s="41">
        <f>SUMIFS('Billing Aug'!$J$2:$J$770,'Billing Aug'!$D$2:$D$770,A350)</f>
        <v/>
      </c>
      <c r="M350" s="41">
        <f>L350-K350</f>
        <v/>
      </c>
      <c r="N350" s="37">
        <f>COUNTIF('Billing Aug'!$D$2:$D$770,A350)</f>
        <v/>
      </c>
      <c r="O350" s="37">
        <f>SUMIFS('Billing Aug'!$F$2:$F$770,'Billing Aug'!$D$2:$D$770,A350)</f>
        <v/>
      </c>
      <c r="P350" s="41">
        <f>IF(N350=0,0,L350-SUMIFS('Billing Aug'!$H$2:$H$770,'Billing Aug'!$D$2:$D$770,A350)*SUMIFS('Billing Aug'!$I$2:$I$770,'Billing Aug'!$D$2:$D$770,A350))</f>
        <v/>
      </c>
      <c r="Q350" s="37">
        <f>IF(N350=0,"NO AUG TRANSACTION IN SUPPLIED EXTRACT",IF(ABS(P350)&gt;0.004,"SUBLEDGER ARITHMETIC ERROR",IF(ABS(M350)&gt;0.004,"BILLING VARIANCE","MATCH")))</f>
        <v/>
      </c>
    </row>
    <row r="351">
      <c r="A351" s="37" t="inlineStr">
        <is>
          <t>VB-0517</t>
        </is>
      </c>
      <c r="B351" s="37" t="inlineStr">
        <is>
          <t>Vessbank</t>
        </is>
      </c>
      <c r="C351" s="37" t="inlineStr">
        <is>
          <t>COVERED</t>
        </is>
      </c>
      <c r="D351" s="37" t="inlineStr">
        <is>
          <t>OCCUPIED</t>
        </is>
      </c>
      <c r="E351" s="37" t="inlineStr">
        <is>
          <t>WL-03489</t>
        </is>
      </c>
      <c r="F351" s="37" t="inlineStr">
        <is>
          <t>Alec Padilla</t>
        </is>
      </c>
      <c r="G351" s="37" t="n">
        <v>28</v>
      </c>
      <c r="H351" s="39" t="n">
        <v>59.8</v>
      </c>
      <c r="I351" s="40">
        <f>ROUNDUP(MAX(G351,H351),0)</f>
        <v/>
      </c>
      <c r="J351" s="41">
        <f>IF(C351="COVERED",'Methodology'!$B$9,'Methodology'!$B$10)</f>
        <v/>
      </c>
      <c r="K351" s="41">
        <f>I351*J351</f>
        <v/>
      </c>
      <c r="L351" s="41">
        <f>SUMIFS('Billing Aug'!$J$2:$J$770,'Billing Aug'!$D$2:$D$770,A351)</f>
        <v/>
      </c>
      <c r="M351" s="41">
        <f>L351-K351</f>
        <v/>
      </c>
      <c r="N351" s="37">
        <f>COUNTIF('Billing Aug'!$D$2:$D$770,A351)</f>
        <v/>
      </c>
      <c r="O351" s="37">
        <f>SUMIFS('Billing Aug'!$F$2:$F$770,'Billing Aug'!$D$2:$D$770,A351)</f>
        <v/>
      </c>
      <c r="P351" s="41">
        <f>IF(N351=0,0,L351-SUMIFS('Billing Aug'!$H$2:$H$770,'Billing Aug'!$D$2:$D$770,A351)*SUMIFS('Billing Aug'!$I$2:$I$770,'Billing Aug'!$D$2:$D$770,A351))</f>
        <v/>
      </c>
      <c r="Q351" s="37">
        <f>IF(N351=0,"NO AUG TRANSACTION IN SUPPLIED EXTRACT",IF(ABS(P351)&gt;0.004,"SUBLEDGER ARITHMETIC ERROR",IF(ABS(M351)&gt;0.004,"BILLING VARIANCE","MATCH")))</f>
        <v/>
      </c>
    </row>
    <row r="352">
      <c r="A352" s="37" t="inlineStr">
        <is>
          <t>VB-0518</t>
        </is>
      </c>
      <c r="B352" s="37" t="inlineStr">
        <is>
          <t>Vessbank</t>
        </is>
      </c>
      <c r="C352" s="37" t="inlineStr">
        <is>
          <t>COVERED</t>
        </is>
      </c>
      <c r="D352" s="37" t="inlineStr">
        <is>
          <t>OCCUPIED</t>
        </is>
      </c>
      <c r="E352" s="37" t="inlineStr">
        <is>
          <t>WL-01561</t>
        </is>
      </c>
      <c r="F352" s="37" t="inlineStr">
        <is>
          <t>Brandon Jacobs</t>
        </is>
      </c>
      <c r="G352" s="37" t="n">
        <v>28</v>
      </c>
      <c r="H352" s="39" t="n">
        <v>56.9</v>
      </c>
      <c r="I352" s="40">
        <f>ROUNDUP(MAX(G352,H352),0)</f>
        <v/>
      </c>
      <c r="J352" s="41">
        <f>IF(C352="COVERED",'Methodology'!$B$9,'Methodology'!$B$10)</f>
        <v/>
      </c>
      <c r="K352" s="41">
        <f>I352*J352</f>
        <v/>
      </c>
      <c r="L352" s="41">
        <f>SUMIFS('Billing Aug'!$J$2:$J$770,'Billing Aug'!$D$2:$D$770,A352)</f>
        <v/>
      </c>
      <c r="M352" s="41">
        <f>L352-K352</f>
        <v/>
      </c>
      <c r="N352" s="37">
        <f>COUNTIF('Billing Aug'!$D$2:$D$770,A352)</f>
        <v/>
      </c>
      <c r="O352" s="37">
        <f>SUMIFS('Billing Aug'!$F$2:$F$770,'Billing Aug'!$D$2:$D$770,A352)</f>
        <v/>
      </c>
      <c r="P352" s="41">
        <f>IF(N352=0,0,L352-SUMIFS('Billing Aug'!$H$2:$H$770,'Billing Aug'!$D$2:$D$770,A352)*SUMIFS('Billing Aug'!$I$2:$I$770,'Billing Aug'!$D$2:$D$770,A352))</f>
        <v/>
      </c>
      <c r="Q352" s="37">
        <f>IF(N352=0,"NO AUG TRANSACTION IN SUPPLIED EXTRACT",IF(ABS(P352)&gt;0.004,"SUBLEDGER ARITHMETIC ERROR",IF(ABS(M352)&gt;0.004,"BILLING VARIANCE","MATCH")))</f>
        <v/>
      </c>
    </row>
    <row r="353">
      <c r="A353" s="37" t="inlineStr">
        <is>
          <t>VB-0519</t>
        </is>
      </c>
      <c r="B353" s="37" t="inlineStr">
        <is>
          <t>Vessbank</t>
        </is>
      </c>
      <c r="C353" s="37" t="inlineStr">
        <is>
          <t>COVERED</t>
        </is>
      </c>
      <c r="D353" s="37" t="inlineStr">
        <is>
          <t>OCCUPIED</t>
        </is>
      </c>
      <c r="E353" s="37" t="inlineStr">
        <is>
          <t>WL-02751</t>
        </is>
      </c>
      <c r="F353" s="37" t="inlineStr">
        <is>
          <t>Tracy Austin</t>
        </is>
      </c>
      <c r="G353" s="37" t="n">
        <v>24</v>
      </c>
      <c r="H353" s="39" t="n">
        <v>48.2</v>
      </c>
      <c r="I353" s="40">
        <f>ROUNDUP(MAX(G353,H353),0)</f>
        <v/>
      </c>
      <c r="J353" s="41">
        <f>IF(C353="COVERED",'Methodology'!$B$9,'Methodology'!$B$10)</f>
        <v/>
      </c>
      <c r="K353" s="41">
        <f>I353*J353</f>
        <v/>
      </c>
      <c r="L353" s="41">
        <f>SUMIFS('Billing Aug'!$J$2:$J$770,'Billing Aug'!$D$2:$D$770,A353)</f>
        <v/>
      </c>
      <c r="M353" s="41">
        <f>L353-K353</f>
        <v/>
      </c>
      <c r="N353" s="37">
        <f>COUNTIF('Billing Aug'!$D$2:$D$770,A353)</f>
        <v/>
      </c>
      <c r="O353" s="37">
        <f>SUMIFS('Billing Aug'!$F$2:$F$770,'Billing Aug'!$D$2:$D$770,A353)</f>
        <v/>
      </c>
      <c r="P353" s="41">
        <f>IF(N353=0,0,L353-SUMIFS('Billing Aug'!$H$2:$H$770,'Billing Aug'!$D$2:$D$770,A353)*SUMIFS('Billing Aug'!$I$2:$I$770,'Billing Aug'!$D$2:$D$770,A353))</f>
        <v/>
      </c>
      <c r="Q353" s="37">
        <f>IF(N353=0,"NO AUG TRANSACTION IN SUPPLIED EXTRACT",IF(ABS(P353)&gt;0.004,"SUBLEDGER ARITHMETIC ERROR",IF(ABS(M353)&gt;0.004,"BILLING VARIANCE","MATCH")))</f>
        <v/>
      </c>
    </row>
    <row r="354">
      <c r="A354" s="37" t="inlineStr">
        <is>
          <t>VB-0520</t>
        </is>
      </c>
      <c r="B354" s="37" t="inlineStr">
        <is>
          <t>Vessbank</t>
        </is>
      </c>
      <c r="C354" s="37" t="inlineStr">
        <is>
          <t>COVERED</t>
        </is>
      </c>
      <c r="D354" s="37" t="inlineStr">
        <is>
          <t>OCCUPIED</t>
        </is>
      </c>
      <c r="E354" s="37" t="inlineStr">
        <is>
          <t>WL-03010</t>
        </is>
      </c>
      <c r="F354" s="37" t="inlineStr">
        <is>
          <t>Anthony Fleming</t>
        </is>
      </c>
      <c r="G354" s="37" t="n">
        <v>28</v>
      </c>
      <c r="H354" s="39" t="n">
        <v>36</v>
      </c>
      <c r="I354" s="40">
        <f>ROUNDUP(MAX(G354,H354),0)</f>
        <v/>
      </c>
      <c r="J354" s="41">
        <f>IF(C354="COVERED",'Methodology'!$B$9,'Methodology'!$B$10)</f>
        <v/>
      </c>
      <c r="K354" s="41">
        <f>I354*J354</f>
        <v/>
      </c>
      <c r="L354" s="41">
        <f>SUMIFS('Billing Aug'!$J$2:$J$770,'Billing Aug'!$D$2:$D$770,A354)</f>
        <v/>
      </c>
      <c r="M354" s="41">
        <f>L354-K354</f>
        <v/>
      </c>
      <c r="N354" s="37">
        <f>COUNTIF('Billing Aug'!$D$2:$D$770,A354)</f>
        <v/>
      </c>
      <c r="O354" s="37">
        <f>SUMIFS('Billing Aug'!$F$2:$F$770,'Billing Aug'!$D$2:$D$770,A354)</f>
        <v/>
      </c>
      <c r="P354" s="41">
        <f>IF(N354=0,0,L354-SUMIFS('Billing Aug'!$H$2:$H$770,'Billing Aug'!$D$2:$D$770,A354)*SUMIFS('Billing Aug'!$I$2:$I$770,'Billing Aug'!$D$2:$D$770,A354))</f>
        <v/>
      </c>
      <c r="Q354" s="37">
        <f>IF(N354=0,"NO AUG TRANSACTION IN SUPPLIED EXTRACT",IF(ABS(P354)&gt;0.004,"SUBLEDGER ARITHMETIC ERROR",IF(ABS(M354)&gt;0.004,"BILLING VARIANCE","MATCH")))</f>
        <v/>
      </c>
    </row>
    <row r="355">
      <c r="A355" s="37" t="inlineStr">
        <is>
          <t>VB-0521</t>
        </is>
      </c>
      <c r="B355" s="37" t="inlineStr">
        <is>
          <t>Vessbank</t>
        </is>
      </c>
      <c r="C355" s="37" t="inlineStr">
        <is>
          <t>COVERED</t>
        </is>
      </c>
      <c r="D355" s="37" t="inlineStr">
        <is>
          <t>OCCUPIED</t>
        </is>
      </c>
      <c r="E355" s="37" t="inlineStr">
        <is>
          <t>WL-02877</t>
        </is>
      </c>
      <c r="F355" s="37" t="inlineStr">
        <is>
          <t>Sandra Milovich</t>
        </is>
      </c>
      <c r="G355" s="37" t="n">
        <v>32</v>
      </c>
      <c r="H355" s="39" t="n">
        <v>33.2</v>
      </c>
      <c r="I355" s="40">
        <f>ROUNDUP(MAX(G355,H355),0)</f>
        <v/>
      </c>
      <c r="J355" s="41">
        <f>IF(C355="COVERED",'Methodology'!$B$9,'Methodology'!$B$10)</f>
        <v/>
      </c>
      <c r="K355" s="41">
        <f>I355*J355</f>
        <v/>
      </c>
      <c r="L355" s="41">
        <f>SUMIFS('Billing Aug'!$J$2:$J$770,'Billing Aug'!$D$2:$D$770,A355)</f>
        <v/>
      </c>
      <c r="M355" s="41">
        <f>L355-K355</f>
        <v/>
      </c>
      <c r="N355" s="37">
        <f>COUNTIF('Billing Aug'!$D$2:$D$770,A355)</f>
        <v/>
      </c>
      <c r="O355" s="37">
        <f>SUMIFS('Billing Aug'!$F$2:$F$770,'Billing Aug'!$D$2:$D$770,A355)</f>
        <v/>
      </c>
      <c r="P355" s="41">
        <f>IF(N355=0,0,L355-SUMIFS('Billing Aug'!$H$2:$H$770,'Billing Aug'!$D$2:$D$770,A355)*SUMIFS('Billing Aug'!$I$2:$I$770,'Billing Aug'!$D$2:$D$770,A355))</f>
        <v/>
      </c>
      <c r="Q355" s="37">
        <f>IF(N355=0,"NO AUG TRANSACTION IN SUPPLIED EXTRACT",IF(ABS(P355)&gt;0.004,"SUBLEDGER ARITHMETIC ERROR",IF(ABS(M355)&gt;0.004,"BILLING VARIANCE","MATCH")))</f>
        <v/>
      </c>
    </row>
    <row r="356">
      <c r="A356" s="37" t="inlineStr">
        <is>
          <t>VB-0522</t>
        </is>
      </c>
      <c r="B356" s="37" t="inlineStr">
        <is>
          <t>Vessbank</t>
        </is>
      </c>
      <c r="C356" s="37" t="inlineStr">
        <is>
          <t>COVERED</t>
        </is>
      </c>
      <c r="D356" s="37" t="inlineStr">
        <is>
          <t>OCCUPIED</t>
        </is>
      </c>
      <c r="E356" s="37" t="inlineStr">
        <is>
          <t>WL-03485</t>
        </is>
      </c>
      <c r="F356" s="37" t="inlineStr">
        <is>
          <t>Timothy Moon</t>
        </is>
      </c>
      <c r="G356" s="37" t="n">
        <v>32</v>
      </c>
      <c r="H356" s="39" t="n">
        <v>42.5</v>
      </c>
      <c r="I356" s="40">
        <f>ROUNDUP(MAX(G356,H356),0)</f>
        <v/>
      </c>
      <c r="J356" s="41">
        <f>IF(C356="COVERED",'Methodology'!$B$9,'Methodology'!$B$10)</f>
        <v/>
      </c>
      <c r="K356" s="41">
        <f>I356*J356</f>
        <v/>
      </c>
      <c r="L356" s="41">
        <f>SUMIFS('Billing Aug'!$J$2:$J$770,'Billing Aug'!$D$2:$D$770,A356)</f>
        <v/>
      </c>
      <c r="M356" s="41">
        <f>L356-K356</f>
        <v/>
      </c>
      <c r="N356" s="37">
        <f>COUNTIF('Billing Aug'!$D$2:$D$770,A356)</f>
        <v/>
      </c>
      <c r="O356" s="37">
        <f>SUMIFS('Billing Aug'!$F$2:$F$770,'Billing Aug'!$D$2:$D$770,A356)</f>
        <v/>
      </c>
      <c r="P356" s="41">
        <f>IF(N356=0,0,L356-SUMIFS('Billing Aug'!$H$2:$H$770,'Billing Aug'!$D$2:$D$770,A356)*SUMIFS('Billing Aug'!$I$2:$I$770,'Billing Aug'!$D$2:$D$770,A356))</f>
        <v/>
      </c>
      <c r="Q356" s="37">
        <f>IF(N356=0,"NO AUG TRANSACTION IN SUPPLIED EXTRACT",IF(ABS(P356)&gt;0.004,"SUBLEDGER ARITHMETIC ERROR",IF(ABS(M356)&gt;0.004,"BILLING VARIANCE","MATCH")))</f>
        <v/>
      </c>
    </row>
    <row r="357">
      <c r="A357" s="37" t="inlineStr">
        <is>
          <t>VB-0523</t>
        </is>
      </c>
      <c r="B357" s="37" t="inlineStr">
        <is>
          <t>Vessbank</t>
        </is>
      </c>
      <c r="C357" s="37" t="inlineStr">
        <is>
          <t>COVERED</t>
        </is>
      </c>
      <c r="D357" s="37" t="inlineStr">
        <is>
          <t>OCCUPIED</t>
        </is>
      </c>
      <c r="E357" s="37" t="inlineStr">
        <is>
          <t>WL-01927</t>
        </is>
      </c>
      <c r="F357" s="37" t="inlineStr">
        <is>
          <t>Mark Mclaughlin</t>
        </is>
      </c>
      <c r="G357" s="37" t="n">
        <v>32</v>
      </c>
      <c r="H357" s="39" t="n">
        <v>38.7</v>
      </c>
      <c r="I357" s="40">
        <f>ROUNDUP(MAX(G357,H357),0)</f>
        <v/>
      </c>
      <c r="J357" s="41">
        <f>IF(C357="COVERED",'Methodology'!$B$9,'Methodology'!$B$10)</f>
        <v/>
      </c>
      <c r="K357" s="41">
        <f>I357*J357</f>
        <v/>
      </c>
      <c r="L357" s="41">
        <f>SUMIFS('Billing Aug'!$J$2:$J$770,'Billing Aug'!$D$2:$D$770,A357)</f>
        <v/>
      </c>
      <c r="M357" s="41">
        <f>L357-K357</f>
        <v/>
      </c>
      <c r="N357" s="37">
        <f>COUNTIF('Billing Aug'!$D$2:$D$770,A357)</f>
        <v/>
      </c>
      <c r="O357" s="37">
        <f>SUMIFS('Billing Aug'!$F$2:$F$770,'Billing Aug'!$D$2:$D$770,A357)</f>
        <v/>
      </c>
      <c r="P357" s="41">
        <f>IF(N357=0,0,L357-SUMIFS('Billing Aug'!$H$2:$H$770,'Billing Aug'!$D$2:$D$770,A357)*SUMIFS('Billing Aug'!$I$2:$I$770,'Billing Aug'!$D$2:$D$770,A357))</f>
        <v/>
      </c>
      <c r="Q357" s="37">
        <f>IF(N357=0,"NO AUG TRANSACTION IN SUPPLIED EXTRACT",IF(ABS(P357)&gt;0.004,"SUBLEDGER ARITHMETIC ERROR",IF(ABS(M357)&gt;0.004,"BILLING VARIANCE","MATCH")))</f>
        <v/>
      </c>
    </row>
    <row r="358">
      <c r="A358" s="37" t="inlineStr">
        <is>
          <t>VB-0524</t>
        </is>
      </c>
      <c r="B358" s="37" t="inlineStr">
        <is>
          <t>Vessbank</t>
        </is>
      </c>
      <c r="C358" s="37" t="inlineStr">
        <is>
          <t>COVERED</t>
        </is>
      </c>
      <c r="D358" s="37" t="inlineStr">
        <is>
          <t>OCCUPIED</t>
        </is>
      </c>
      <c r="E358" s="37" t="inlineStr">
        <is>
          <t>WL-02787</t>
        </is>
      </c>
      <c r="F358" s="37" t="inlineStr">
        <is>
          <t>David Dawson</t>
        </is>
      </c>
      <c r="G358" s="37" t="n">
        <v>28</v>
      </c>
      <c r="H358" s="39" t="n">
        <v>22.5</v>
      </c>
      <c r="I358" s="40">
        <f>ROUNDUP(MAX(G358,H358),0)</f>
        <v/>
      </c>
      <c r="J358" s="41">
        <f>IF(C358="COVERED",'Methodology'!$B$9,'Methodology'!$B$10)</f>
        <v/>
      </c>
      <c r="K358" s="41">
        <f>I358*J358</f>
        <v/>
      </c>
      <c r="L358" s="41">
        <f>SUMIFS('Billing Aug'!$J$2:$J$770,'Billing Aug'!$D$2:$D$770,A358)</f>
        <v/>
      </c>
      <c r="M358" s="41">
        <f>L358-K358</f>
        <v/>
      </c>
      <c r="N358" s="37">
        <f>COUNTIF('Billing Aug'!$D$2:$D$770,A358)</f>
        <v/>
      </c>
      <c r="O358" s="37">
        <f>SUMIFS('Billing Aug'!$F$2:$F$770,'Billing Aug'!$D$2:$D$770,A358)</f>
        <v/>
      </c>
      <c r="P358" s="41">
        <f>IF(N358=0,0,L358-SUMIFS('Billing Aug'!$H$2:$H$770,'Billing Aug'!$D$2:$D$770,A358)*SUMIFS('Billing Aug'!$I$2:$I$770,'Billing Aug'!$D$2:$D$770,A358))</f>
        <v/>
      </c>
      <c r="Q358" s="37">
        <f>IF(N358=0,"NO AUG TRANSACTION IN SUPPLIED EXTRACT",IF(ABS(P358)&gt;0.004,"SUBLEDGER ARITHMETIC ERROR",IF(ABS(M358)&gt;0.004,"BILLING VARIANCE","MATCH")))</f>
        <v/>
      </c>
    </row>
    <row r="359">
      <c r="A359" s="37" t="inlineStr">
        <is>
          <t>VB-0601</t>
        </is>
      </c>
      <c r="B359" s="37" t="inlineStr">
        <is>
          <t>Vessbank</t>
        </is>
      </c>
      <c r="C359" s="37" t="inlineStr">
        <is>
          <t>COVERED</t>
        </is>
      </c>
      <c r="D359" s="37" t="inlineStr">
        <is>
          <t>OCCUPIED</t>
        </is>
      </c>
      <c r="E359" s="37" t="inlineStr">
        <is>
          <t>WL-01730</t>
        </is>
      </c>
      <c r="F359" s="37" t="inlineStr">
        <is>
          <t>Charles Sparks</t>
        </is>
      </c>
      <c r="G359" s="37" t="n">
        <v>24</v>
      </c>
      <c r="H359" s="39" t="n">
        <v>45.6</v>
      </c>
      <c r="I359" s="40">
        <f>ROUNDUP(MAX(G359,H359),0)</f>
        <v/>
      </c>
      <c r="J359" s="41">
        <f>IF(C359="COVERED",'Methodology'!$B$9,'Methodology'!$B$10)</f>
        <v/>
      </c>
      <c r="K359" s="41">
        <f>I359*J359</f>
        <v/>
      </c>
      <c r="L359" s="41">
        <f>SUMIFS('Billing Aug'!$J$2:$J$770,'Billing Aug'!$D$2:$D$770,A359)</f>
        <v/>
      </c>
      <c r="M359" s="41">
        <f>L359-K359</f>
        <v/>
      </c>
      <c r="N359" s="37">
        <f>COUNTIF('Billing Aug'!$D$2:$D$770,A359)</f>
        <v/>
      </c>
      <c r="O359" s="37">
        <f>SUMIFS('Billing Aug'!$F$2:$F$770,'Billing Aug'!$D$2:$D$770,A359)</f>
        <v/>
      </c>
      <c r="P359" s="41">
        <f>IF(N359=0,0,L359-SUMIFS('Billing Aug'!$H$2:$H$770,'Billing Aug'!$D$2:$D$770,A359)*SUMIFS('Billing Aug'!$I$2:$I$770,'Billing Aug'!$D$2:$D$770,A359))</f>
        <v/>
      </c>
      <c r="Q359" s="37">
        <f>IF(N359=0,"NO AUG TRANSACTION IN SUPPLIED EXTRACT",IF(ABS(P359)&gt;0.004,"SUBLEDGER ARITHMETIC ERROR",IF(ABS(M359)&gt;0.004,"BILLING VARIANCE","MATCH")))</f>
        <v/>
      </c>
    </row>
    <row r="360">
      <c r="A360" s="37" t="inlineStr">
        <is>
          <t>VB-0602</t>
        </is>
      </c>
      <c r="B360" s="37" t="inlineStr">
        <is>
          <t>Vessbank</t>
        </is>
      </c>
      <c r="C360" s="37" t="inlineStr">
        <is>
          <t>COVERED</t>
        </is>
      </c>
      <c r="D360" s="37" t="inlineStr">
        <is>
          <t>OCCUPIED</t>
        </is>
      </c>
      <c r="E360" s="37" t="inlineStr">
        <is>
          <t>WL-03241</t>
        </is>
      </c>
      <c r="F360" s="37" t="inlineStr">
        <is>
          <t>Michael Ford</t>
        </is>
      </c>
      <c r="G360" s="37" t="n">
        <v>24</v>
      </c>
      <c r="H360" s="39" t="n">
        <v>39.8</v>
      </c>
      <c r="I360" s="40">
        <f>ROUNDUP(MAX(G360,H360),0)</f>
        <v/>
      </c>
      <c r="J360" s="41">
        <f>IF(C360="COVERED",'Methodology'!$B$9,'Methodology'!$B$10)</f>
        <v/>
      </c>
      <c r="K360" s="41">
        <f>I360*J360</f>
        <v/>
      </c>
      <c r="L360" s="41">
        <f>SUMIFS('Billing Aug'!$J$2:$J$770,'Billing Aug'!$D$2:$D$770,A360)</f>
        <v/>
      </c>
      <c r="M360" s="41">
        <f>L360-K360</f>
        <v/>
      </c>
      <c r="N360" s="37">
        <f>COUNTIF('Billing Aug'!$D$2:$D$770,A360)</f>
        <v/>
      </c>
      <c r="O360" s="37">
        <f>SUMIFS('Billing Aug'!$F$2:$F$770,'Billing Aug'!$D$2:$D$770,A360)</f>
        <v/>
      </c>
      <c r="P360" s="41">
        <f>IF(N360=0,0,L360-SUMIFS('Billing Aug'!$H$2:$H$770,'Billing Aug'!$D$2:$D$770,A360)*SUMIFS('Billing Aug'!$I$2:$I$770,'Billing Aug'!$D$2:$D$770,A360))</f>
        <v/>
      </c>
      <c r="Q360" s="37">
        <f>IF(N360=0,"NO AUG TRANSACTION IN SUPPLIED EXTRACT",IF(ABS(P360)&gt;0.004,"SUBLEDGER ARITHMETIC ERROR",IF(ABS(M360)&gt;0.004,"BILLING VARIANCE","MATCH")))</f>
        <v/>
      </c>
    </row>
    <row r="361">
      <c r="A361" s="37" t="inlineStr">
        <is>
          <t>VB-0603</t>
        </is>
      </c>
      <c r="B361" s="37" t="inlineStr">
        <is>
          <t>Vessbank</t>
        </is>
      </c>
      <c r="C361" s="37" t="inlineStr">
        <is>
          <t>COVERED</t>
        </is>
      </c>
      <c r="D361" s="37" t="inlineStr">
        <is>
          <t>OCCUPIED</t>
        </is>
      </c>
      <c r="E361" s="37" t="inlineStr">
        <is>
          <t>WL-01129</t>
        </is>
      </c>
      <c r="F361" s="37" t="inlineStr">
        <is>
          <t>Alexander Thompson</t>
        </is>
      </c>
      <c r="G361" s="37" t="n">
        <v>28</v>
      </c>
      <c r="H361" s="39" t="n">
        <v>27.8</v>
      </c>
      <c r="I361" s="40">
        <f>ROUNDUP(MAX(G361,H361),0)</f>
        <v/>
      </c>
      <c r="J361" s="41">
        <f>IF(C361="COVERED",'Methodology'!$B$9,'Methodology'!$B$10)</f>
        <v/>
      </c>
      <c r="K361" s="41">
        <f>I361*J361</f>
        <v/>
      </c>
      <c r="L361" s="41">
        <f>SUMIFS('Billing Aug'!$J$2:$J$770,'Billing Aug'!$D$2:$D$770,A361)</f>
        <v/>
      </c>
      <c r="M361" s="41">
        <f>L361-K361</f>
        <v/>
      </c>
      <c r="N361" s="37">
        <f>COUNTIF('Billing Aug'!$D$2:$D$770,A361)</f>
        <v/>
      </c>
      <c r="O361" s="37">
        <f>SUMIFS('Billing Aug'!$F$2:$F$770,'Billing Aug'!$D$2:$D$770,A361)</f>
        <v/>
      </c>
      <c r="P361" s="41">
        <f>IF(N361=0,0,L361-SUMIFS('Billing Aug'!$H$2:$H$770,'Billing Aug'!$D$2:$D$770,A361)*SUMIFS('Billing Aug'!$I$2:$I$770,'Billing Aug'!$D$2:$D$770,A361))</f>
        <v/>
      </c>
      <c r="Q361" s="37">
        <f>IF(N361=0,"NO AUG TRANSACTION IN SUPPLIED EXTRACT",IF(ABS(P361)&gt;0.004,"SUBLEDGER ARITHMETIC ERROR",IF(ABS(M361)&gt;0.004,"BILLING VARIANCE","MATCH")))</f>
        <v/>
      </c>
    </row>
    <row r="362">
      <c r="A362" s="37" t="inlineStr">
        <is>
          <t>VB-0604</t>
        </is>
      </c>
      <c r="B362" s="37" t="inlineStr">
        <is>
          <t>Vessbank</t>
        </is>
      </c>
      <c r="C362" s="37" t="inlineStr">
        <is>
          <t>COVERED</t>
        </is>
      </c>
      <c r="D362" s="37" t="inlineStr">
        <is>
          <t>OCCUPIED</t>
        </is>
      </c>
      <c r="E362" s="37" t="inlineStr">
        <is>
          <t>WL-01999</t>
        </is>
      </c>
      <c r="F362" s="37" t="inlineStr">
        <is>
          <t>Kristen Williams</t>
        </is>
      </c>
      <c r="G362" s="37" t="n">
        <v>28</v>
      </c>
      <c r="H362" s="39" t="n">
        <v>19.5</v>
      </c>
      <c r="I362" s="40">
        <f>ROUNDUP(MAX(G362,H362),0)</f>
        <v/>
      </c>
      <c r="J362" s="41">
        <f>IF(C362="COVERED",'Methodology'!$B$9,'Methodology'!$B$10)</f>
        <v/>
      </c>
      <c r="K362" s="41">
        <f>I362*J362</f>
        <v/>
      </c>
      <c r="L362" s="41">
        <f>SUMIFS('Billing Aug'!$J$2:$J$770,'Billing Aug'!$D$2:$D$770,A362)</f>
        <v/>
      </c>
      <c r="M362" s="41">
        <f>L362-K362</f>
        <v/>
      </c>
      <c r="N362" s="37">
        <f>COUNTIF('Billing Aug'!$D$2:$D$770,A362)</f>
        <v/>
      </c>
      <c r="O362" s="37">
        <f>SUMIFS('Billing Aug'!$F$2:$F$770,'Billing Aug'!$D$2:$D$770,A362)</f>
        <v/>
      </c>
      <c r="P362" s="41">
        <f>IF(N362=0,0,L362-SUMIFS('Billing Aug'!$H$2:$H$770,'Billing Aug'!$D$2:$D$770,A362)*SUMIFS('Billing Aug'!$I$2:$I$770,'Billing Aug'!$D$2:$D$770,A362))</f>
        <v/>
      </c>
      <c r="Q362" s="37">
        <f>IF(N362=0,"NO AUG TRANSACTION IN SUPPLIED EXTRACT",IF(ABS(P362)&gt;0.004,"SUBLEDGER ARITHMETIC ERROR",IF(ABS(M362)&gt;0.004,"BILLING VARIANCE","MATCH")))</f>
        <v/>
      </c>
    </row>
    <row r="363">
      <c r="A363" s="37" t="inlineStr">
        <is>
          <t>VB-0605</t>
        </is>
      </c>
      <c r="B363" s="37" t="inlineStr">
        <is>
          <t>Vessbank</t>
        </is>
      </c>
      <c r="C363" s="37" t="inlineStr">
        <is>
          <t>COVERED</t>
        </is>
      </c>
      <c r="D363" s="37" t="inlineStr">
        <is>
          <t>OCCUPIED</t>
        </is>
      </c>
      <c r="E363" s="37" t="inlineStr">
        <is>
          <t>WL-02890</t>
        </is>
      </c>
      <c r="F363" s="37" t="inlineStr">
        <is>
          <t>Crystal Morales</t>
        </is>
      </c>
      <c r="G363" s="37" t="n">
        <v>24</v>
      </c>
      <c r="H363" s="39" t="n">
        <v>35.2</v>
      </c>
      <c r="I363" s="40">
        <f>ROUNDUP(MAX(G363,H363),0)</f>
        <v/>
      </c>
      <c r="J363" s="41">
        <f>IF(C363="COVERED",'Methodology'!$B$9,'Methodology'!$B$10)</f>
        <v/>
      </c>
      <c r="K363" s="41">
        <f>I363*J363</f>
        <v/>
      </c>
      <c r="L363" s="41">
        <f>SUMIFS('Billing Aug'!$J$2:$J$770,'Billing Aug'!$D$2:$D$770,A363)</f>
        <v/>
      </c>
      <c r="M363" s="41">
        <f>L363-K363</f>
        <v/>
      </c>
      <c r="N363" s="37">
        <f>COUNTIF('Billing Aug'!$D$2:$D$770,A363)</f>
        <v/>
      </c>
      <c r="O363" s="37">
        <f>SUMIFS('Billing Aug'!$F$2:$F$770,'Billing Aug'!$D$2:$D$770,A363)</f>
        <v/>
      </c>
      <c r="P363" s="41">
        <f>IF(N363=0,0,L363-SUMIFS('Billing Aug'!$H$2:$H$770,'Billing Aug'!$D$2:$D$770,A363)*SUMIFS('Billing Aug'!$I$2:$I$770,'Billing Aug'!$D$2:$D$770,A363))</f>
        <v/>
      </c>
      <c r="Q363" s="37">
        <f>IF(N363=0,"NO AUG TRANSACTION IN SUPPLIED EXTRACT",IF(ABS(P363)&gt;0.004,"SUBLEDGER ARITHMETIC ERROR",IF(ABS(M363)&gt;0.004,"BILLING VARIANCE","MATCH")))</f>
        <v/>
      </c>
    </row>
    <row r="364">
      <c r="A364" s="37" t="inlineStr">
        <is>
          <t>VB-0606</t>
        </is>
      </c>
      <c r="B364" s="37" t="inlineStr">
        <is>
          <t>Vessbank</t>
        </is>
      </c>
      <c r="C364" s="37" t="inlineStr">
        <is>
          <t>COVERED</t>
        </is>
      </c>
      <c r="D364" s="37" t="inlineStr">
        <is>
          <t>OCCUPIED</t>
        </is>
      </c>
      <c r="E364" s="37" t="inlineStr">
        <is>
          <t>WL-02404</t>
        </is>
      </c>
      <c r="F364" s="37" t="inlineStr">
        <is>
          <t>Samuel King</t>
        </is>
      </c>
      <c r="G364" s="37" t="n">
        <v>28</v>
      </c>
      <c r="H364" s="39" t="n">
        <v>44.8</v>
      </c>
      <c r="I364" s="40">
        <f>ROUNDUP(MAX(G364,H364),0)</f>
        <v/>
      </c>
      <c r="J364" s="41">
        <f>IF(C364="COVERED",'Methodology'!$B$9,'Methodology'!$B$10)</f>
        <v/>
      </c>
      <c r="K364" s="41">
        <f>I364*J364</f>
        <v/>
      </c>
      <c r="L364" s="41">
        <f>SUMIFS('Billing Aug'!$J$2:$J$770,'Billing Aug'!$D$2:$D$770,A364)</f>
        <v/>
      </c>
      <c r="M364" s="41">
        <f>L364-K364</f>
        <v/>
      </c>
      <c r="N364" s="37">
        <f>COUNTIF('Billing Aug'!$D$2:$D$770,A364)</f>
        <v/>
      </c>
      <c r="O364" s="37">
        <f>SUMIFS('Billing Aug'!$F$2:$F$770,'Billing Aug'!$D$2:$D$770,A364)</f>
        <v/>
      </c>
      <c r="P364" s="41">
        <f>IF(N364=0,0,L364-SUMIFS('Billing Aug'!$H$2:$H$770,'Billing Aug'!$D$2:$D$770,A364)*SUMIFS('Billing Aug'!$I$2:$I$770,'Billing Aug'!$D$2:$D$770,A364))</f>
        <v/>
      </c>
      <c r="Q364" s="37">
        <f>IF(N364=0,"NO AUG TRANSACTION IN SUPPLIED EXTRACT",IF(ABS(P364)&gt;0.004,"SUBLEDGER ARITHMETIC ERROR",IF(ABS(M364)&gt;0.004,"BILLING VARIANCE","MATCH")))</f>
        <v/>
      </c>
    </row>
    <row r="365">
      <c r="A365" s="37" t="inlineStr">
        <is>
          <t>VB-0607</t>
        </is>
      </c>
      <c r="B365" s="37" t="inlineStr">
        <is>
          <t>Vessbank</t>
        </is>
      </c>
      <c r="C365" s="37" t="inlineStr">
        <is>
          <t>COVERED</t>
        </is>
      </c>
      <c r="D365" s="37" t="inlineStr">
        <is>
          <t>OCCUPIED</t>
        </is>
      </c>
      <c r="E365" s="37" t="inlineStr">
        <is>
          <t>WL-01590</t>
        </is>
      </c>
      <c r="F365" s="37" t="inlineStr">
        <is>
          <t>Cynthia Gutierrez</t>
        </is>
      </c>
      <c r="G365" s="37" t="n">
        <v>36</v>
      </c>
      <c r="H365" s="39" t="n">
        <v>29.2</v>
      </c>
      <c r="I365" s="40">
        <f>ROUNDUP(MAX(G365,H365),0)</f>
        <v/>
      </c>
      <c r="J365" s="41">
        <f>IF(C365="COVERED",'Methodology'!$B$9,'Methodology'!$B$10)</f>
        <v/>
      </c>
      <c r="K365" s="41">
        <f>I365*J365</f>
        <v/>
      </c>
      <c r="L365" s="41">
        <f>SUMIFS('Billing Aug'!$J$2:$J$770,'Billing Aug'!$D$2:$D$770,A365)</f>
        <v/>
      </c>
      <c r="M365" s="41">
        <f>L365-K365</f>
        <v/>
      </c>
      <c r="N365" s="37">
        <f>COUNTIF('Billing Aug'!$D$2:$D$770,A365)</f>
        <v/>
      </c>
      <c r="O365" s="37">
        <f>SUMIFS('Billing Aug'!$F$2:$F$770,'Billing Aug'!$D$2:$D$770,A365)</f>
        <v/>
      </c>
      <c r="P365" s="41">
        <f>IF(N365=0,0,L365-SUMIFS('Billing Aug'!$H$2:$H$770,'Billing Aug'!$D$2:$D$770,A365)*SUMIFS('Billing Aug'!$I$2:$I$770,'Billing Aug'!$D$2:$D$770,A365))</f>
        <v/>
      </c>
      <c r="Q365" s="37">
        <f>IF(N365=0,"NO AUG TRANSACTION IN SUPPLIED EXTRACT",IF(ABS(P365)&gt;0.004,"SUBLEDGER ARITHMETIC ERROR",IF(ABS(M365)&gt;0.004,"BILLING VARIANCE","MATCH")))</f>
        <v/>
      </c>
    </row>
    <row r="366">
      <c r="A366" s="37" t="inlineStr">
        <is>
          <t>VB-0609</t>
        </is>
      </c>
      <c r="B366" s="37" t="inlineStr">
        <is>
          <t>Vessbank</t>
        </is>
      </c>
      <c r="C366" s="37" t="inlineStr">
        <is>
          <t>COVERED</t>
        </is>
      </c>
      <c r="D366" s="37" t="inlineStr">
        <is>
          <t>OCCUPIED</t>
        </is>
      </c>
      <c r="E366" s="37" t="inlineStr">
        <is>
          <t>WL-01547</t>
        </is>
      </c>
      <c r="F366" s="37" t="inlineStr">
        <is>
          <t>Nicole Burke</t>
        </is>
      </c>
      <c r="G366" s="37" t="n">
        <v>36</v>
      </c>
      <c r="H366" s="39" t="n">
        <v>34.2</v>
      </c>
      <c r="I366" s="40">
        <f>ROUNDUP(MAX(G366,H366),0)</f>
        <v/>
      </c>
      <c r="J366" s="41">
        <f>IF(C366="COVERED",'Methodology'!$B$9,'Methodology'!$B$10)</f>
        <v/>
      </c>
      <c r="K366" s="41">
        <f>I366*J366</f>
        <v/>
      </c>
      <c r="L366" s="41">
        <f>SUMIFS('Billing Aug'!$J$2:$J$770,'Billing Aug'!$D$2:$D$770,A366)</f>
        <v/>
      </c>
      <c r="M366" s="41">
        <f>L366-K366</f>
        <v/>
      </c>
      <c r="N366" s="37">
        <f>COUNTIF('Billing Aug'!$D$2:$D$770,A366)</f>
        <v/>
      </c>
      <c r="O366" s="37">
        <f>SUMIFS('Billing Aug'!$F$2:$F$770,'Billing Aug'!$D$2:$D$770,A366)</f>
        <v/>
      </c>
      <c r="P366" s="41">
        <f>IF(N366=0,0,L366-SUMIFS('Billing Aug'!$H$2:$H$770,'Billing Aug'!$D$2:$D$770,A366)*SUMIFS('Billing Aug'!$I$2:$I$770,'Billing Aug'!$D$2:$D$770,A366))</f>
        <v/>
      </c>
      <c r="Q366" s="37">
        <f>IF(N366=0,"NO AUG TRANSACTION IN SUPPLIED EXTRACT",IF(ABS(P366)&gt;0.004,"SUBLEDGER ARITHMETIC ERROR",IF(ABS(M366)&gt;0.004,"BILLING VARIANCE","MATCH")))</f>
        <v/>
      </c>
    </row>
    <row r="367">
      <c r="A367" s="37" t="inlineStr">
        <is>
          <t>VB-0610</t>
        </is>
      </c>
      <c r="B367" s="37" t="inlineStr">
        <is>
          <t>Vessbank</t>
        </is>
      </c>
      <c r="C367" s="37" t="inlineStr">
        <is>
          <t>COVERED</t>
        </is>
      </c>
      <c r="D367" s="37" t="inlineStr">
        <is>
          <t>OCCUPIED</t>
        </is>
      </c>
      <c r="E367" s="37" t="inlineStr">
        <is>
          <t>WL-03058</t>
        </is>
      </c>
      <c r="F367" s="37" t="inlineStr">
        <is>
          <t>Mary Thomas</t>
        </is>
      </c>
      <c r="G367" s="37" t="n">
        <v>32</v>
      </c>
      <c r="H367" s="39" t="n">
        <v>59.6</v>
      </c>
      <c r="I367" s="40">
        <f>ROUNDUP(MAX(G367,H367),0)</f>
        <v/>
      </c>
      <c r="J367" s="41">
        <f>IF(C367="COVERED",'Methodology'!$B$9,'Methodology'!$B$10)</f>
        <v/>
      </c>
      <c r="K367" s="41">
        <f>I367*J367</f>
        <v/>
      </c>
      <c r="L367" s="41">
        <f>SUMIFS('Billing Aug'!$J$2:$J$770,'Billing Aug'!$D$2:$D$770,A367)</f>
        <v/>
      </c>
      <c r="M367" s="41">
        <f>L367-K367</f>
        <v/>
      </c>
      <c r="N367" s="37">
        <f>COUNTIF('Billing Aug'!$D$2:$D$770,A367)</f>
        <v/>
      </c>
      <c r="O367" s="37">
        <f>SUMIFS('Billing Aug'!$F$2:$F$770,'Billing Aug'!$D$2:$D$770,A367)</f>
        <v/>
      </c>
      <c r="P367" s="41">
        <f>IF(N367=0,0,L367-SUMIFS('Billing Aug'!$H$2:$H$770,'Billing Aug'!$D$2:$D$770,A367)*SUMIFS('Billing Aug'!$I$2:$I$770,'Billing Aug'!$D$2:$D$770,A367))</f>
        <v/>
      </c>
      <c r="Q367" s="37">
        <f>IF(N367=0,"NO AUG TRANSACTION IN SUPPLIED EXTRACT",IF(ABS(P367)&gt;0.004,"SUBLEDGER ARITHMETIC ERROR",IF(ABS(M367)&gt;0.004,"BILLING VARIANCE","MATCH")))</f>
        <v/>
      </c>
    </row>
    <row r="368">
      <c r="A368" s="37" t="inlineStr">
        <is>
          <t>VB-0611</t>
        </is>
      </c>
      <c r="B368" s="37" t="inlineStr">
        <is>
          <t>Vessbank</t>
        </is>
      </c>
      <c r="C368" s="37" t="inlineStr">
        <is>
          <t>COVERED</t>
        </is>
      </c>
      <c r="D368" s="37" t="inlineStr">
        <is>
          <t>OCCUPIED</t>
        </is>
      </c>
      <c r="E368" s="37" t="inlineStr">
        <is>
          <t>WL-01330</t>
        </is>
      </c>
      <c r="F368" s="37" t="inlineStr">
        <is>
          <t>Mark Flynn</t>
        </is>
      </c>
      <c r="G368" s="37" t="n">
        <v>32</v>
      </c>
      <c r="H368" s="39" t="n">
        <v>18.3</v>
      </c>
      <c r="I368" s="40">
        <f>ROUNDUP(MAX(G368,H368),0)</f>
        <v/>
      </c>
      <c r="J368" s="41">
        <f>IF(C368="COVERED",'Methodology'!$B$9,'Methodology'!$B$10)</f>
        <v/>
      </c>
      <c r="K368" s="41">
        <f>I368*J368</f>
        <v/>
      </c>
      <c r="L368" s="41">
        <f>SUMIFS('Billing Aug'!$J$2:$J$770,'Billing Aug'!$D$2:$D$770,A368)</f>
        <v/>
      </c>
      <c r="M368" s="41">
        <f>L368-K368</f>
        <v/>
      </c>
      <c r="N368" s="37">
        <f>COUNTIF('Billing Aug'!$D$2:$D$770,A368)</f>
        <v/>
      </c>
      <c r="O368" s="37">
        <f>SUMIFS('Billing Aug'!$F$2:$F$770,'Billing Aug'!$D$2:$D$770,A368)</f>
        <v/>
      </c>
      <c r="P368" s="41">
        <f>IF(N368=0,0,L368-SUMIFS('Billing Aug'!$H$2:$H$770,'Billing Aug'!$D$2:$D$770,A368)*SUMIFS('Billing Aug'!$I$2:$I$770,'Billing Aug'!$D$2:$D$770,A368))</f>
        <v/>
      </c>
      <c r="Q368" s="37">
        <f>IF(N368=0,"NO AUG TRANSACTION IN SUPPLIED EXTRACT",IF(ABS(P368)&gt;0.004,"SUBLEDGER ARITHMETIC ERROR",IF(ABS(M368)&gt;0.004,"BILLING VARIANCE","MATCH")))</f>
        <v/>
      </c>
    </row>
    <row r="369">
      <c r="A369" s="37" t="inlineStr">
        <is>
          <t>VB-0612</t>
        </is>
      </c>
      <c r="B369" s="37" t="inlineStr">
        <is>
          <t>Vessbank</t>
        </is>
      </c>
      <c r="C369" s="37" t="inlineStr">
        <is>
          <t>COVERED</t>
        </is>
      </c>
      <c r="D369" s="37" t="inlineStr">
        <is>
          <t>OCCUPIED</t>
        </is>
      </c>
      <c r="E369" s="37" t="inlineStr">
        <is>
          <t>WL-03873</t>
        </is>
      </c>
      <c r="F369" s="37" t="inlineStr">
        <is>
          <t>Michele Clay</t>
        </is>
      </c>
      <c r="G369" s="37" t="n">
        <v>24</v>
      </c>
      <c r="H369" s="39" t="n">
        <v>57</v>
      </c>
      <c r="I369" s="40">
        <f>ROUNDUP(MAX(G369,H369),0)</f>
        <v/>
      </c>
      <c r="J369" s="41">
        <f>IF(C369="COVERED",'Methodology'!$B$9,'Methodology'!$B$10)</f>
        <v/>
      </c>
      <c r="K369" s="41">
        <f>I369*J369</f>
        <v/>
      </c>
      <c r="L369" s="41">
        <f>SUMIFS('Billing Aug'!$J$2:$J$770,'Billing Aug'!$D$2:$D$770,A369)</f>
        <v/>
      </c>
      <c r="M369" s="41">
        <f>L369-K369</f>
        <v/>
      </c>
      <c r="N369" s="37">
        <f>COUNTIF('Billing Aug'!$D$2:$D$770,A369)</f>
        <v/>
      </c>
      <c r="O369" s="37">
        <f>SUMIFS('Billing Aug'!$F$2:$F$770,'Billing Aug'!$D$2:$D$770,A369)</f>
        <v/>
      </c>
      <c r="P369" s="41">
        <f>IF(N369=0,0,L369-SUMIFS('Billing Aug'!$H$2:$H$770,'Billing Aug'!$D$2:$D$770,A369)*SUMIFS('Billing Aug'!$I$2:$I$770,'Billing Aug'!$D$2:$D$770,A369))</f>
        <v/>
      </c>
      <c r="Q369" s="37">
        <f>IF(N369=0,"NO AUG TRANSACTION IN SUPPLIED EXTRACT",IF(ABS(P369)&gt;0.004,"SUBLEDGER ARITHMETIC ERROR",IF(ABS(M369)&gt;0.004,"BILLING VARIANCE","MATCH")))</f>
        <v/>
      </c>
    </row>
    <row r="370">
      <c r="A370" s="37" t="inlineStr">
        <is>
          <t>VB-0613</t>
        </is>
      </c>
      <c r="B370" s="37" t="inlineStr">
        <is>
          <t>Vessbank</t>
        </is>
      </c>
      <c r="C370" s="37" t="inlineStr">
        <is>
          <t>COVERED</t>
        </is>
      </c>
      <c r="D370" s="37" t="inlineStr">
        <is>
          <t>OCCUPIED</t>
        </is>
      </c>
      <c r="E370" s="37" t="inlineStr">
        <is>
          <t>WL-02467</t>
        </is>
      </c>
      <c r="F370" s="37" t="inlineStr">
        <is>
          <t>Joseph Davis</t>
        </is>
      </c>
      <c r="G370" s="37" t="n">
        <v>24</v>
      </c>
      <c r="H370" s="39" t="n">
        <v>54.3</v>
      </c>
      <c r="I370" s="40">
        <f>ROUNDUP(MAX(G370,H370),0)</f>
        <v/>
      </c>
      <c r="J370" s="41">
        <f>IF(C370="COVERED",'Methodology'!$B$9,'Methodology'!$B$10)</f>
        <v/>
      </c>
      <c r="K370" s="41">
        <f>I370*J370</f>
        <v/>
      </c>
      <c r="L370" s="41">
        <f>SUMIFS('Billing Aug'!$J$2:$J$770,'Billing Aug'!$D$2:$D$770,A370)</f>
        <v/>
      </c>
      <c r="M370" s="41">
        <f>L370-K370</f>
        <v/>
      </c>
      <c r="N370" s="37">
        <f>COUNTIF('Billing Aug'!$D$2:$D$770,A370)</f>
        <v/>
      </c>
      <c r="O370" s="37">
        <f>SUMIFS('Billing Aug'!$F$2:$F$770,'Billing Aug'!$D$2:$D$770,A370)</f>
        <v/>
      </c>
      <c r="P370" s="41">
        <f>IF(N370=0,0,L370-SUMIFS('Billing Aug'!$H$2:$H$770,'Billing Aug'!$D$2:$D$770,A370)*SUMIFS('Billing Aug'!$I$2:$I$770,'Billing Aug'!$D$2:$D$770,A370))</f>
        <v/>
      </c>
      <c r="Q370" s="37">
        <f>IF(N370=0,"NO AUG TRANSACTION IN SUPPLIED EXTRACT",IF(ABS(P370)&gt;0.004,"SUBLEDGER ARITHMETIC ERROR",IF(ABS(M370)&gt;0.004,"BILLING VARIANCE","MATCH")))</f>
        <v/>
      </c>
    </row>
    <row r="371">
      <c r="A371" s="37" t="inlineStr">
        <is>
          <t>VB-0614</t>
        </is>
      </c>
      <c r="B371" s="37" t="inlineStr">
        <is>
          <t>Vessbank</t>
        </is>
      </c>
      <c r="C371" s="37" t="inlineStr">
        <is>
          <t>COVERED</t>
        </is>
      </c>
      <c r="D371" s="37" t="inlineStr">
        <is>
          <t>OCCUPIED</t>
        </is>
      </c>
      <c r="E371" s="37" t="inlineStr">
        <is>
          <t>WL-01843</t>
        </is>
      </c>
      <c r="F371" s="37" t="inlineStr">
        <is>
          <t>Donna Kim</t>
        </is>
      </c>
      <c r="G371" s="37" t="n">
        <v>32</v>
      </c>
      <c r="H371" s="39" t="n">
        <v>44.8</v>
      </c>
      <c r="I371" s="40">
        <f>ROUNDUP(MAX(G371,H371),0)</f>
        <v/>
      </c>
      <c r="J371" s="41">
        <f>IF(C371="COVERED",'Methodology'!$B$9,'Methodology'!$B$10)</f>
        <v/>
      </c>
      <c r="K371" s="41">
        <f>I371*J371</f>
        <v/>
      </c>
      <c r="L371" s="41">
        <f>SUMIFS('Billing Aug'!$J$2:$J$770,'Billing Aug'!$D$2:$D$770,A371)</f>
        <v/>
      </c>
      <c r="M371" s="41">
        <f>L371-K371</f>
        <v/>
      </c>
      <c r="N371" s="37">
        <f>COUNTIF('Billing Aug'!$D$2:$D$770,A371)</f>
        <v/>
      </c>
      <c r="O371" s="37">
        <f>SUMIFS('Billing Aug'!$F$2:$F$770,'Billing Aug'!$D$2:$D$770,A371)</f>
        <v/>
      </c>
      <c r="P371" s="41">
        <f>IF(N371=0,0,L371-SUMIFS('Billing Aug'!$H$2:$H$770,'Billing Aug'!$D$2:$D$770,A371)*SUMIFS('Billing Aug'!$I$2:$I$770,'Billing Aug'!$D$2:$D$770,A371))</f>
        <v/>
      </c>
      <c r="Q371" s="37">
        <f>IF(N371=0,"NO AUG TRANSACTION IN SUPPLIED EXTRACT",IF(ABS(P371)&gt;0.004,"SUBLEDGER ARITHMETIC ERROR",IF(ABS(M371)&gt;0.004,"BILLING VARIANCE","MATCH")))</f>
        <v/>
      </c>
    </row>
    <row r="372">
      <c r="A372" s="37" t="inlineStr">
        <is>
          <t>VB-0615</t>
        </is>
      </c>
      <c r="B372" s="37" t="inlineStr">
        <is>
          <t>Vessbank</t>
        </is>
      </c>
      <c r="C372" s="37" t="inlineStr">
        <is>
          <t>COVERED</t>
        </is>
      </c>
      <c r="D372" s="37" t="inlineStr">
        <is>
          <t>OCCUPIED</t>
        </is>
      </c>
      <c r="E372" s="37" t="inlineStr">
        <is>
          <t>WL-02699</t>
        </is>
      </c>
      <c r="F372" s="37" t="inlineStr">
        <is>
          <t>Sharon Gonzales</t>
        </is>
      </c>
      <c r="G372" s="37" t="n">
        <v>40</v>
      </c>
      <c r="H372" s="39" t="n">
        <v>49.6</v>
      </c>
      <c r="I372" s="40">
        <f>ROUNDUP(MAX(G372,H372),0)</f>
        <v/>
      </c>
      <c r="J372" s="41">
        <f>IF(C372="COVERED",'Methodology'!$B$9,'Methodology'!$B$10)</f>
        <v/>
      </c>
      <c r="K372" s="41">
        <f>I372*J372</f>
        <v/>
      </c>
      <c r="L372" s="41">
        <f>SUMIFS('Billing Aug'!$J$2:$J$770,'Billing Aug'!$D$2:$D$770,A372)</f>
        <v/>
      </c>
      <c r="M372" s="41">
        <f>L372-K372</f>
        <v/>
      </c>
      <c r="N372" s="37">
        <f>COUNTIF('Billing Aug'!$D$2:$D$770,A372)</f>
        <v/>
      </c>
      <c r="O372" s="37">
        <f>SUMIFS('Billing Aug'!$F$2:$F$770,'Billing Aug'!$D$2:$D$770,A372)</f>
        <v/>
      </c>
      <c r="P372" s="41">
        <f>IF(N372=0,0,L372-SUMIFS('Billing Aug'!$H$2:$H$770,'Billing Aug'!$D$2:$D$770,A372)*SUMIFS('Billing Aug'!$I$2:$I$770,'Billing Aug'!$D$2:$D$770,A372))</f>
        <v/>
      </c>
      <c r="Q372" s="37">
        <f>IF(N372=0,"NO AUG TRANSACTION IN SUPPLIED EXTRACT",IF(ABS(P372)&gt;0.004,"SUBLEDGER ARITHMETIC ERROR",IF(ABS(M372)&gt;0.004,"BILLING VARIANCE","MATCH")))</f>
        <v/>
      </c>
    </row>
    <row r="373">
      <c r="A373" s="37" t="inlineStr">
        <is>
          <t>VB-0616</t>
        </is>
      </c>
      <c r="B373" s="37" t="inlineStr">
        <is>
          <t>Vessbank</t>
        </is>
      </c>
      <c r="C373" s="37" t="inlineStr">
        <is>
          <t>COVERED</t>
        </is>
      </c>
      <c r="D373" s="37" t="inlineStr">
        <is>
          <t>OCCUPIED</t>
        </is>
      </c>
      <c r="E373" s="37" t="inlineStr">
        <is>
          <t>WL-01627</t>
        </is>
      </c>
      <c r="F373" s="37" t="inlineStr">
        <is>
          <t>Paige Cherry</t>
        </is>
      </c>
      <c r="G373" s="37" t="n">
        <v>24</v>
      </c>
      <c r="H373" s="39" t="n">
        <v>32.5</v>
      </c>
      <c r="I373" s="40">
        <f>ROUNDUP(MAX(G373,H373),0)</f>
        <v/>
      </c>
      <c r="J373" s="41">
        <f>IF(C373="COVERED",'Methodology'!$B$9,'Methodology'!$B$10)</f>
        <v/>
      </c>
      <c r="K373" s="41">
        <f>I373*J373</f>
        <v/>
      </c>
      <c r="L373" s="41">
        <f>SUMIFS('Billing Aug'!$J$2:$J$770,'Billing Aug'!$D$2:$D$770,A373)</f>
        <v/>
      </c>
      <c r="M373" s="41">
        <f>L373-K373</f>
        <v/>
      </c>
      <c r="N373" s="37">
        <f>COUNTIF('Billing Aug'!$D$2:$D$770,A373)</f>
        <v/>
      </c>
      <c r="O373" s="37">
        <f>SUMIFS('Billing Aug'!$F$2:$F$770,'Billing Aug'!$D$2:$D$770,A373)</f>
        <v/>
      </c>
      <c r="P373" s="41">
        <f>IF(N373=0,0,L373-SUMIFS('Billing Aug'!$H$2:$H$770,'Billing Aug'!$D$2:$D$770,A373)*SUMIFS('Billing Aug'!$I$2:$I$770,'Billing Aug'!$D$2:$D$770,A373))</f>
        <v/>
      </c>
      <c r="Q373" s="37">
        <f>IF(N373=0,"NO AUG TRANSACTION IN SUPPLIED EXTRACT",IF(ABS(P373)&gt;0.004,"SUBLEDGER ARITHMETIC ERROR",IF(ABS(M373)&gt;0.004,"BILLING VARIANCE","MATCH")))</f>
        <v/>
      </c>
    </row>
    <row r="374">
      <c r="A374" s="37" t="inlineStr">
        <is>
          <t>VB-0617</t>
        </is>
      </c>
      <c r="B374" s="37" t="inlineStr">
        <is>
          <t>Vessbank</t>
        </is>
      </c>
      <c r="C374" s="37" t="inlineStr">
        <is>
          <t>COVERED</t>
        </is>
      </c>
      <c r="D374" s="37" t="inlineStr">
        <is>
          <t>OCCUPIED</t>
        </is>
      </c>
      <c r="E374" s="37" t="inlineStr">
        <is>
          <t>WL-02887</t>
        </is>
      </c>
      <c r="F374" s="37" t="inlineStr">
        <is>
          <t>Shelly Mayer</t>
        </is>
      </c>
      <c r="G374" s="37" t="n">
        <v>40</v>
      </c>
      <c r="H374" s="39" t="n">
        <v>48.2</v>
      </c>
      <c r="I374" s="40">
        <f>ROUNDUP(MAX(G374,H374),0)</f>
        <v/>
      </c>
      <c r="J374" s="41">
        <f>IF(C374="COVERED",'Methodology'!$B$9,'Methodology'!$B$10)</f>
        <v/>
      </c>
      <c r="K374" s="41">
        <f>I374*J374</f>
        <v/>
      </c>
      <c r="L374" s="41">
        <f>SUMIFS('Billing Aug'!$J$2:$J$770,'Billing Aug'!$D$2:$D$770,A374)</f>
        <v/>
      </c>
      <c r="M374" s="41">
        <f>L374-K374</f>
        <v/>
      </c>
      <c r="N374" s="37">
        <f>COUNTIF('Billing Aug'!$D$2:$D$770,A374)</f>
        <v/>
      </c>
      <c r="O374" s="37">
        <f>SUMIFS('Billing Aug'!$F$2:$F$770,'Billing Aug'!$D$2:$D$770,A374)</f>
        <v/>
      </c>
      <c r="P374" s="41">
        <f>IF(N374=0,0,L374-SUMIFS('Billing Aug'!$H$2:$H$770,'Billing Aug'!$D$2:$D$770,A374)*SUMIFS('Billing Aug'!$I$2:$I$770,'Billing Aug'!$D$2:$D$770,A374))</f>
        <v/>
      </c>
      <c r="Q374" s="37">
        <f>IF(N374=0,"NO AUG TRANSACTION IN SUPPLIED EXTRACT",IF(ABS(P374)&gt;0.004,"SUBLEDGER ARITHMETIC ERROR",IF(ABS(M374)&gt;0.004,"BILLING VARIANCE","MATCH")))</f>
        <v/>
      </c>
    </row>
    <row r="375">
      <c r="A375" s="37" t="inlineStr">
        <is>
          <t>VB-0618</t>
        </is>
      </c>
      <c r="B375" s="37" t="inlineStr">
        <is>
          <t>Vessbank</t>
        </is>
      </c>
      <c r="C375" s="37" t="inlineStr">
        <is>
          <t>COVERED</t>
        </is>
      </c>
      <c r="D375" s="37" t="inlineStr">
        <is>
          <t>OCCUPIED</t>
        </is>
      </c>
      <c r="E375" s="37" t="inlineStr">
        <is>
          <t>WL-02828</t>
        </is>
      </c>
      <c r="F375" s="37" t="inlineStr">
        <is>
          <t>Desiree Olsen</t>
        </is>
      </c>
      <c r="G375" s="37" t="n">
        <v>24</v>
      </c>
      <c r="H375" s="39" t="n">
        <v>59.7</v>
      </c>
      <c r="I375" s="40">
        <f>ROUNDUP(MAX(G375,H375),0)</f>
        <v/>
      </c>
      <c r="J375" s="41">
        <f>IF(C375="COVERED",'Methodology'!$B$9,'Methodology'!$B$10)</f>
        <v/>
      </c>
      <c r="K375" s="41">
        <f>I375*J375</f>
        <v/>
      </c>
      <c r="L375" s="41">
        <f>SUMIFS('Billing Aug'!$J$2:$J$770,'Billing Aug'!$D$2:$D$770,A375)</f>
        <v/>
      </c>
      <c r="M375" s="41">
        <f>L375-K375</f>
        <v/>
      </c>
      <c r="N375" s="37">
        <f>COUNTIF('Billing Aug'!$D$2:$D$770,A375)</f>
        <v/>
      </c>
      <c r="O375" s="37">
        <f>SUMIFS('Billing Aug'!$F$2:$F$770,'Billing Aug'!$D$2:$D$770,A375)</f>
        <v/>
      </c>
      <c r="P375" s="41">
        <f>IF(N375=0,0,L375-SUMIFS('Billing Aug'!$H$2:$H$770,'Billing Aug'!$D$2:$D$770,A375)*SUMIFS('Billing Aug'!$I$2:$I$770,'Billing Aug'!$D$2:$D$770,A375))</f>
        <v/>
      </c>
      <c r="Q375" s="37">
        <f>IF(N375=0,"NO AUG TRANSACTION IN SUPPLIED EXTRACT",IF(ABS(P375)&gt;0.004,"SUBLEDGER ARITHMETIC ERROR",IF(ABS(M375)&gt;0.004,"BILLING VARIANCE","MATCH")))</f>
        <v/>
      </c>
    </row>
    <row r="376">
      <c r="A376" s="37" t="inlineStr">
        <is>
          <t>VB-0619</t>
        </is>
      </c>
      <c r="B376" s="37" t="inlineStr">
        <is>
          <t>Vessbank</t>
        </is>
      </c>
      <c r="C376" s="37" t="inlineStr">
        <is>
          <t>COVERED</t>
        </is>
      </c>
      <c r="D376" s="37" t="inlineStr">
        <is>
          <t>OCCUPIED</t>
        </is>
      </c>
      <c r="E376" s="37" t="inlineStr">
        <is>
          <t>WL-01841</t>
        </is>
      </c>
      <c r="F376" s="37" t="inlineStr">
        <is>
          <t>Arthur Jones</t>
        </is>
      </c>
      <c r="G376" s="37" t="n">
        <v>24</v>
      </c>
      <c r="H376" s="39" t="n">
        <v>61.4</v>
      </c>
      <c r="I376" s="40">
        <f>ROUNDUP(MAX(G376,H376),0)</f>
        <v/>
      </c>
      <c r="J376" s="41">
        <f>IF(C376="COVERED",'Methodology'!$B$9,'Methodology'!$B$10)</f>
        <v/>
      </c>
      <c r="K376" s="41">
        <f>I376*J376</f>
        <v/>
      </c>
      <c r="L376" s="41">
        <f>SUMIFS('Billing Aug'!$J$2:$J$770,'Billing Aug'!$D$2:$D$770,A376)</f>
        <v/>
      </c>
      <c r="M376" s="41">
        <f>L376-K376</f>
        <v/>
      </c>
      <c r="N376" s="37">
        <f>COUNTIF('Billing Aug'!$D$2:$D$770,A376)</f>
        <v/>
      </c>
      <c r="O376" s="37">
        <f>SUMIFS('Billing Aug'!$F$2:$F$770,'Billing Aug'!$D$2:$D$770,A376)</f>
        <v/>
      </c>
      <c r="P376" s="41">
        <f>IF(N376=0,0,L376-SUMIFS('Billing Aug'!$H$2:$H$770,'Billing Aug'!$D$2:$D$770,A376)*SUMIFS('Billing Aug'!$I$2:$I$770,'Billing Aug'!$D$2:$D$770,A376))</f>
        <v/>
      </c>
      <c r="Q376" s="37">
        <f>IF(N376=0,"NO AUG TRANSACTION IN SUPPLIED EXTRACT",IF(ABS(P376)&gt;0.004,"SUBLEDGER ARITHMETIC ERROR",IF(ABS(M376)&gt;0.004,"BILLING VARIANCE","MATCH")))</f>
        <v/>
      </c>
    </row>
    <row r="377">
      <c r="A377" s="37" t="inlineStr">
        <is>
          <t>VB-0620</t>
        </is>
      </c>
      <c r="B377" s="37" t="inlineStr">
        <is>
          <t>Vessbank</t>
        </is>
      </c>
      <c r="C377" s="37" t="inlineStr">
        <is>
          <t>COVERED</t>
        </is>
      </c>
      <c r="D377" s="37" t="inlineStr">
        <is>
          <t>OCCUPIED</t>
        </is>
      </c>
      <c r="E377" s="37" t="inlineStr">
        <is>
          <t>WL-01226</t>
        </is>
      </c>
      <c r="F377" s="37" t="inlineStr">
        <is>
          <t>Phyllis Vargas</t>
        </is>
      </c>
      <c r="G377" s="37" t="n">
        <v>40</v>
      </c>
      <c r="H377" s="39" t="n">
        <v>48</v>
      </c>
      <c r="I377" s="40">
        <f>ROUNDUP(MAX(G377,H377),0)</f>
        <v/>
      </c>
      <c r="J377" s="41">
        <f>IF(C377="COVERED",'Methodology'!$B$9,'Methodology'!$B$10)</f>
        <v/>
      </c>
      <c r="K377" s="41">
        <f>I377*J377</f>
        <v/>
      </c>
      <c r="L377" s="41">
        <f>SUMIFS('Billing Aug'!$J$2:$J$770,'Billing Aug'!$D$2:$D$770,A377)</f>
        <v/>
      </c>
      <c r="M377" s="41">
        <f>L377-K377</f>
        <v/>
      </c>
      <c r="N377" s="37">
        <f>COUNTIF('Billing Aug'!$D$2:$D$770,A377)</f>
        <v/>
      </c>
      <c r="O377" s="37">
        <f>SUMIFS('Billing Aug'!$F$2:$F$770,'Billing Aug'!$D$2:$D$770,A377)</f>
        <v/>
      </c>
      <c r="P377" s="41">
        <f>IF(N377=0,0,L377-SUMIFS('Billing Aug'!$H$2:$H$770,'Billing Aug'!$D$2:$D$770,A377)*SUMIFS('Billing Aug'!$I$2:$I$770,'Billing Aug'!$D$2:$D$770,A377))</f>
        <v/>
      </c>
      <c r="Q377" s="37">
        <f>IF(N377=0,"NO AUG TRANSACTION IN SUPPLIED EXTRACT",IF(ABS(P377)&gt;0.004,"SUBLEDGER ARITHMETIC ERROR",IF(ABS(M377)&gt;0.004,"BILLING VARIANCE","MATCH")))</f>
        <v/>
      </c>
    </row>
    <row r="378">
      <c r="A378" s="37" t="inlineStr">
        <is>
          <t>VB-0621</t>
        </is>
      </c>
      <c r="B378" s="37" t="inlineStr">
        <is>
          <t>Vessbank</t>
        </is>
      </c>
      <c r="C378" s="37" t="inlineStr">
        <is>
          <t>COVERED</t>
        </is>
      </c>
      <c r="D378" s="37" t="inlineStr">
        <is>
          <t>OCCUPIED</t>
        </is>
      </c>
      <c r="E378" s="37" t="inlineStr">
        <is>
          <t>WL-01275</t>
        </is>
      </c>
      <c r="F378" s="37" t="inlineStr">
        <is>
          <t>Adam Shepherd</t>
        </is>
      </c>
      <c r="G378" s="37" t="n">
        <v>24</v>
      </c>
      <c r="H378" s="39" t="n">
        <v>19.9</v>
      </c>
      <c r="I378" s="40">
        <f>ROUNDUP(MAX(G378,H378),0)</f>
        <v/>
      </c>
      <c r="J378" s="41">
        <f>IF(C378="COVERED",'Methodology'!$B$9,'Methodology'!$B$10)</f>
        <v/>
      </c>
      <c r="K378" s="41">
        <f>I378*J378</f>
        <v/>
      </c>
      <c r="L378" s="41">
        <f>SUMIFS('Billing Aug'!$J$2:$J$770,'Billing Aug'!$D$2:$D$770,A378)</f>
        <v/>
      </c>
      <c r="M378" s="41">
        <f>L378-K378</f>
        <v/>
      </c>
      <c r="N378" s="37">
        <f>COUNTIF('Billing Aug'!$D$2:$D$770,A378)</f>
        <v/>
      </c>
      <c r="O378" s="37">
        <f>SUMIFS('Billing Aug'!$F$2:$F$770,'Billing Aug'!$D$2:$D$770,A378)</f>
        <v/>
      </c>
      <c r="P378" s="41">
        <f>IF(N378=0,0,L378-SUMIFS('Billing Aug'!$H$2:$H$770,'Billing Aug'!$D$2:$D$770,A378)*SUMIFS('Billing Aug'!$I$2:$I$770,'Billing Aug'!$D$2:$D$770,A378))</f>
        <v/>
      </c>
      <c r="Q378" s="37">
        <f>IF(N378=0,"NO AUG TRANSACTION IN SUPPLIED EXTRACT",IF(ABS(P378)&gt;0.004,"SUBLEDGER ARITHMETIC ERROR",IF(ABS(M378)&gt;0.004,"BILLING VARIANCE","MATCH")))</f>
        <v/>
      </c>
    </row>
    <row r="379">
      <c r="A379" s="37" t="inlineStr">
        <is>
          <t>VB-0622</t>
        </is>
      </c>
      <c r="B379" s="37" t="inlineStr">
        <is>
          <t>Vessbank</t>
        </is>
      </c>
      <c r="C379" s="37" t="inlineStr">
        <is>
          <t>COVERED</t>
        </is>
      </c>
      <c r="D379" s="37" t="inlineStr">
        <is>
          <t>OCCUPIED</t>
        </is>
      </c>
      <c r="E379" s="37" t="inlineStr">
        <is>
          <t>WL-01083</t>
        </is>
      </c>
      <c r="F379" s="37" t="inlineStr">
        <is>
          <t>Dennis Schmidt</t>
        </is>
      </c>
      <c r="G379" s="37" t="n">
        <v>32</v>
      </c>
      <c r="H379" s="39" t="n">
        <v>19.6</v>
      </c>
      <c r="I379" s="40">
        <f>ROUNDUP(MAX(G379,H379),0)</f>
        <v/>
      </c>
      <c r="J379" s="41">
        <f>IF(C379="COVERED",'Methodology'!$B$9,'Methodology'!$B$10)</f>
        <v/>
      </c>
      <c r="K379" s="41">
        <f>I379*J379</f>
        <v/>
      </c>
      <c r="L379" s="41">
        <f>SUMIFS('Billing Aug'!$J$2:$J$770,'Billing Aug'!$D$2:$D$770,A379)</f>
        <v/>
      </c>
      <c r="M379" s="41">
        <f>L379-K379</f>
        <v/>
      </c>
      <c r="N379" s="37">
        <f>COUNTIF('Billing Aug'!$D$2:$D$770,A379)</f>
        <v/>
      </c>
      <c r="O379" s="37">
        <f>SUMIFS('Billing Aug'!$F$2:$F$770,'Billing Aug'!$D$2:$D$770,A379)</f>
        <v/>
      </c>
      <c r="P379" s="41">
        <f>IF(N379=0,0,L379-SUMIFS('Billing Aug'!$H$2:$H$770,'Billing Aug'!$D$2:$D$770,A379)*SUMIFS('Billing Aug'!$I$2:$I$770,'Billing Aug'!$D$2:$D$770,A379))</f>
        <v/>
      </c>
      <c r="Q379" s="37">
        <f>IF(N379=0,"NO AUG TRANSACTION IN SUPPLIED EXTRACT",IF(ABS(P379)&gt;0.004,"SUBLEDGER ARITHMETIC ERROR",IF(ABS(M379)&gt;0.004,"BILLING VARIANCE","MATCH")))</f>
        <v/>
      </c>
    </row>
    <row r="380">
      <c r="A380" s="37" t="inlineStr">
        <is>
          <t>VB-0623</t>
        </is>
      </c>
      <c r="B380" s="37" t="inlineStr">
        <is>
          <t>Vessbank</t>
        </is>
      </c>
      <c r="C380" s="37" t="inlineStr">
        <is>
          <t>COVERED</t>
        </is>
      </c>
      <c r="D380" s="37" t="inlineStr">
        <is>
          <t>OCCUPIED</t>
        </is>
      </c>
      <c r="E380" s="37" t="inlineStr">
        <is>
          <t>WL-02748</t>
        </is>
      </c>
      <c r="F380" s="37" t="inlineStr">
        <is>
          <t>Ross Griffin</t>
        </is>
      </c>
      <c r="G380" s="37" t="n">
        <v>24</v>
      </c>
      <c r="H380" s="39" t="n">
        <v>42.6</v>
      </c>
      <c r="I380" s="40">
        <f>ROUNDUP(MAX(G380,H380),0)</f>
        <v/>
      </c>
      <c r="J380" s="41">
        <f>IF(C380="COVERED",'Methodology'!$B$9,'Methodology'!$B$10)</f>
        <v/>
      </c>
      <c r="K380" s="41">
        <f>I380*J380</f>
        <v/>
      </c>
      <c r="L380" s="41">
        <f>SUMIFS('Billing Aug'!$J$2:$J$770,'Billing Aug'!$D$2:$D$770,A380)</f>
        <v/>
      </c>
      <c r="M380" s="41">
        <f>L380-K380</f>
        <v/>
      </c>
      <c r="N380" s="37">
        <f>COUNTIF('Billing Aug'!$D$2:$D$770,A380)</f>
        <v/>
      </c>
      <c r="O380" s="37">
        <f>SUMIFS('Billing Aug'!$F$2:$F$770,'Billing Aug'!$D$2:$D$770,A380)</f>
        <v/>
      </c>
      <c r="P380" s="41">
        <f>IF(N380=0,0,L380-SUMIFS('Billing Aug'!$H$2:$H$770,'Billing Aug'!$D$2:$D$770,A380)*SUMIFS('Billing Aug'!$I$2:$I$770,'Billing Aug'!$D$2:$D$770,A380))</f>
        <v/>
      </c>
      <c r="Q380" s="37">
        <f>IF(N380=0,"NO AUG TRANSACTION IN SUPPLIED EXTRACT",IF(ABS(P380)&gt;0.004,"SUBLEDGER ARITHMETIC ERROR",IF(ABS(M380)&gt;0.004,"BILLING VARIANCE","MATCH")))</f>
        <v/>
      </c>
    </row>
    <row r="381">
      <c r="A381" s="37" t="inlineStr">
        <is>
          <t>VB-0624</t>
        </is>
      </c>
      <c r="B381" s="37" t="inlineStr">
        <is>
          <t>Vessbank</t>
        </is>
      </c>
      <c r="C381" s="37" t="inlineStr">
        <is>
          <t>COVERED</t>
        </is>
      </c>
      <c r="D381" s="37" t="inlineStr">
        <is>
          <t>OCCUPIED</t>
        </is>
      </c>
      <c r="E381" s="37" t="inlineStr">
        <is>
          <t>WL-03304</t>
        </is>
      </c>
      <c r="F381" s="37" t="inlineStr">
        <is>
          <t>Heather Brown</t>
        </is>
      </c>
      <c r="G381" s="37" t="n">
        <v>40</v>
      </c>
      <c r="H381" s="39" t="n">
        <v>19.5</v>
      </c>
      <c r="I381" s="40">
        <f>ROUNDUP(MAX(G381,H381),0)</f>
        <v/>
      </c>
      <c r="J381" s="41">
        <f>IF(C381="COVERED",'Methodology'!$B$9,'Methodology'!$B$10)</f>
        <v/>
      </c>
      <c r="K381" s="41">
        <f>I381*J381</f>
        <v/>
      </c>
      <c r="L381" s="41">
        <f>SUMIFS('Billing Aug'!$J$2:$J$770,'Billing Aug'!$D$2:$D$770,A381)</f>
        <v/>
      </c>
      <c r="M381" s="41">
        <f>L381-K381</f>
        <v/>
      </c>
      <c r="N381" s="37">
        <f>COUNTIF('Billing Aug'!$D$2:$D$770,A381)</f>
        <v/>
      </c>
      <c r="O381" s="37">
        <f>SUMIFS('Billing Aug'!$F$2:$F$770,'Billing Aug'!$D$2:$D$770,A381)</f>
        <v/>
      </c>
      <c r="P381" s="41">
        <f>IF(N381=0,0,L381-SUMIFS('Billing Aug'!$H$2:$H$770,'Billing Aug'!$D$2:$D$770,A381)*SUMIFS('Billing Aug'!$I$2:$I$770,'Billing Aug'!$D$2:$D$770,A381))</f>
        <v/>
      </c>
      <c r="Q381" s="37">
        <f>IF(N381=0,"NO AUG TRANSACTION IN SUPPLIED EXTRACT",IF(ABS(P381)&gt;0.004,"SUBLEDGER ARITHMETIC ERROR",IF(ABS(M381)&gt;0.004,"BILLING VARIANCE","MATCH")))</f>
        <v/>
      </c>
    </row>
    <row r="382">
      <c r="A382" s="37" t="inlineStr">
        <is>
          <t>VB-0701</t>
        </is>
      </c>
      <c r="B382" s="37" t="inlineStr">
        <is>
          <t>Vessbank</t>
        </is>
      </c>
      <c r="C382" s="37" t="inlineStr">
        <is>
          <t>COVERED</t>
        </is>
      </c>
      <c r="D382" s="37" t="inlineStr">
        <is>
          <t>OCCUPIED</t>
        </is>
      </c>
      <c r="E382" s="37" t="inlineStr">
        <is>
          <t>WL-02201</t>
        </is>
      </c>
      <c r="F382" s="37" t="inlineStr">
        <is>
          <t>Johnathan Gould</t>
        </is>
      </c>
      <c r="G382" s="37" t="n">
        <v>32</v>
      </c>
      <c r="H382" s="39" t="n">
        <v>38</v>
      </c>
      <c r="I382" s="40">
        <f>ROUNDUP(MAX(G382,H382),0)</f>
        <v/>
      </c>
      <c r="J382" s="41">
        <f>IF(C382="COVERED",'Methodology'!$B$9,'Methodology'!$B$10)</f>
        <v/>
      </c>
      <c r="K382" s="41">
        <f>I382*J382</f>
        <v/>
      </c>
      <c r="L382" s="41">
        <f>SUMIFS('Billing Aug'!$J$2:$J$770,'Billing Aug'!$D$2:$D$770,A382)</f>
        <v/>
      </c>
      <c r="M382" s="41">
        <f>L382-K382</f>
        <v/>
      </c>
      <c r="N382" s="37">
        <f>COUNTIF('Billing Aug'!$D$2:$D$770,A382)</f>
        <v/>
      </c>
      <c r="O382" s="37">
        <f>SUMIFS('Billing Aug'!$F$2:$F$770,'Billing Aug'!$D$2:$D$770,A382)</f>
        <v/>
      </c>
      <c r="P382" s="41">
        <f>IF(N382=0,0,L382-SUMIFS('Billing Aug'!$H$2:$H$770,'Billing Aug'!$D$2:$D$770,A382)*SUMIFS('Billing Aug'!$I$2:$I$770,'Billing Aug'!$D$2:$D$770,A382))</f>
        <v/>
      </c>
      <c r="Q382" s="37">
        <f>IF(N382=0,"NO AUG TRANSACTION IN SUPPLIED EXTRACT",IF(ABS(P382)&gt;0.004,"SUBLEDGER ARITHMETIC ERROR",IF(ABS(M382)&gt;0.004,"BILLING VARIANCE","MATCH")))</f>
        <v/>
      </c>
    </row>
    <row r="383">
      <c r="A383" s="37" t="inlineStr">
        <is>
          <t>VB-0703</t>
        </is>
      </c>
      <c r="B383" s="37" t="inlineStr">
        <is>
          <t>Vessbank</t>
        </is>
      </c>
      <c r="C383" s="37" t="inlineStr">
        <is>
          <t>COVERED</t>
        </is>
      </c>
      <c r="D383" s="37" t="inlineStr">
        <is>
          <t>OCCUPIED</t>
        </is>
      </c>
      <c r="E383" s="37" t="inlineStr">
        <is>
          <t>WL-01897</t>
        </is>
      </c>
      <c r="F383" s="37" t="inlineStr">
        <is>
          <t>Raymond Davis</t>
        </is>
      </c>
      <c r="G383" s="37" t="n">
        <v>28</v>
      </c>
      <c r="H383" s="39" t="n">
        <v>60.8</v>
      </c>
      <c r="I383" s="40">
        <f>ROUNDUP(MAX(G383,H383),0)</f>
        <v/>
      </c>
      <c r="J383" s="41">
        <f>IF(C383="COVERED",'Methodology'!$B$9,'Methodology'!$B$10)</f>
        <v/>
      </c>
      <c r="K383" s="41">
        <f>I383*J383</f>
        <v/>
      </c>
      <c r="L383" s="41">
        <f>SUMIFS('Billing Aug'!$J$2:$J$770,'Billing Aug'!$D$2:$D$770,A383)</f>
        <v/>
      </c>
      <c r="M383" s="41">
        <f>L383-K383</f>
        <v/>
      </c>
      <c r="N383" s="37">
        <f>COUNTIF('Billing Aug'!$D$2:$D$770,A383)</f>
        <v/>
      </c>
      <c r="O383" s="37">
        <f>SUMIFS('Billing Aug'!$F$2:$F$770,'Billing Aug'!$D$2:$D$770,A383)</f>
        <v/>
      </c>
      <c r="P383" s="41">
        <f>IF(N383=0,0,L383-SUMIFS('Billing Aug'!$H$2:$H$770,'Billing Aug'!$D$2:$D$770,A383)*SUMIFS('Billing Aug'!$I$2:$I$770,'Billing Aug'!$D$2:$D$770,A383))</f>
        <v/>
      </c>
      <c r="Q383" s="37">
        <f>IF(N383=0,"NO AUG TRANSACTION IN SUPPLIED EXTRACT",IF(ABS(P383)&gt;0.004,"SUBLEDGER ARITHMETIC ERROR",IF(ABS(M383)&gt;0.004,"BILLING VARIANCE","MATCH")))</f>
        <v/>
      </c>
    </row>
    <row r="384">
      <c r="A384" s="37" t="inlineStr">
        <is>
          <t>VB-0704</t>
        </is>
      </c>
      <c r="B384" s="37" t="inlineStr">
        <is>
          <t>Vessbank</t>
        </is>
      </c>
      <c r="C384" s="37" t="inlineStr">
        <is>
          <t>COVERED</t>
        </is>
      </c>
      <c r="D384" s="37" t="inlineStr">
        <is>
          <t>OCCUPIED</t>
        </is>
      </c>
      <c r="E384" s="37" t="inlineStr">
        <is>
          <t>WL-02737</t>
        </is>
      </c>
      <c r="F384" s="37" t="inlineStr">
        <is>
          <t>Kimberly Crosby</t>
        </is>
      </c>
      <c r="G384" s="37" t="n">
        <v>40</v>
      </c>
      <c r="H384" s="39" t="n">
        <v>43.1</v>
      </c>
      <c r="I384" s="40">
        <f>ROUNDUP(MAX(G384,H384),0)</f>
        <v/>
      </c>
      <c r="J384" s="41">
        <f>IF(C384="COVERED",'Methodology'!$B$9,'Methodology'!$B$10)</f>
        <v/>
      </c>
      <c r="K384" s="41">
        <f>I384*J384</f>
        <v/>
      </c>
      <c r="L384" s="41">
        <f>SUMIFS('Billing Aug'!$J$2:$J$770,'Billing Aug'!$D$2:$D$770,A384)</f>
        <v/>
      </c>
      <c r="M384" s="41">
        <f>L384-K384</f>
        <v/>
      </c>
      <c r="N384" s="37">
        <f>COUNTIF('Billing Aug'!$D$2:$D$770,A384)</f>
        <v/>
      </c>
      <c r="O384" s="37">
        <f>SUMIFS('Billing Aug'!$F$2:$F$770,'Billing Aug'!$D$2:$D$770,A384)</f>
        <v/>
      </c>
      <c r="P384" s="41">
        <f>IF(N384=0,0,L384-SUMIFS('Billing Aug'!$H$2:$H$770,'Billing Aug'!$D$2:$D$770,A384)*SUMIFS('Billing Aug'!$I$2:$I$770,'Billing Aug'!$D$2:$D$770,A384))</f>
        <v/>
      </c>
      <c r="Q384" s="37">
        <f>IF(N384=0,"NO AUG TRANSACTION IN SUPPLIED EXTRACT",IF(ABS(P384)&gt;0.004,"SUBLEDGER ARITHMETIC ERROR",IF(ABS(M384)&gt;0.004,"BILLING VARIANCE","MATCH")))</f>
        <v/>
      </c>
    </row>
    <row r="385">
      <c r="A385" s="37" t="inlineStr">
        <is>
          <t>VB-0705</t>
        </is>
      </c>
      <c r="B385" s="37" t="inlineStr">
        <is>
          <t>Vessbank</t>
        </is>
      </c>
      <c r="C385" s="37" t="inlineStr">
        <is>
          <t>COVERED</t>
        </is>
      </c>
      <c r="D385" s="37" t="inlineStr">
        <is>
          <t>OCCUPIED</t>
        </is>
      </c>
      <c r="E385" s="37" t="inlineStr">
        <is>
          <t>WL-02998</t>
        </is>
      </c>
      <c r="F385" s="37" t="inlineStr">
        <is>
          <t>Luis Bradley</t>
        </is>
      </c>
      <c r="G385" s="37" t="n">
        <v>28</v>
      </c>
      <c r="H385" s="39" t="n">
        <v>45.4</v>
      </c>
      <c r="I385" s="40">
        <f>ROUNDUP(MAX(G385,H385),0)</f>
        <v/>
      </c>
      <c r="J385" s="41">
        <f>IF(C385="COVERED",'Methodology'!$B$9,'Methodology'!$B$10)</f>
        <v/>
      </c>
      <c r="K385" s="41">
        <f>I385*J385</f>
        <v/>
      </c>
      <c r="L385" s="41">
        <f>SUMIFS('Billing Aug'!$J$2:$J$770,'Billing Aug'!$D$2:$D$770,A385)</f>
        <v/>
      </c>
      <c r="M385" s="41">
        <f>L385-K385</f>
        <v/>
      </c>
      <c r="N385" s="37">
        <f>COUNTIF('Billing Aug'!$D$2:$D$770,A385)</f>
        <v/>
      </c>
      <c r="O385" s="37">
        <f>SUMIFS('Billing Aug'!$F$2:$F$770,'Billing Aug'!$D$2:$D$770,A385)</f>
        <v/>
      </c>
      <c r="P385" s="41">
        <f>IF(N385=0,0,L385-SUMIFS('Billing Aug'!$H$2:$H$770,'Billing Aug'!$D$2:$D$770,A385)*SUMIFS('Billing Aug'!$I$2:$I$770,'Billing Aug'!$D$2:$D$770,A385))</f>
        <v/>
      </c>
      <c r="Q385" s="37">
        <f>IF(N385=0,"NO AUG TRANSACTION IN SUPPLIED EXTRACT",IF(ABS(P385)&gt;0.004,"SUBLEDGER ARITHMETIC ERROR",IF(ABS(M385)&gt;0.004,"BILLING VARIANCE","MATCH")))</f>
        <v/>
      </c>
    </row>
    <row r="386">
      <c r="A386" s="37" t="inlineStr">
        <is>
          <t>VB-0706</t>
        </is>
      </c>
      <c r="B386" s="37" t="inlineStr">
        <is>
          <t>Vessbank</t>
        </is>
      </c>
      <c r="C386" s="37" t="inlineStr">
        <is>
          <t>COVERED</t>
        </is>
      </c>
      <c r="D386" s="37" t="inlineStr">
        <is>
          <t>OCCUPIED</t>
        </is>
      </c>
      <c r="E386" s="37" t="inlineStr">
        <is>
          <t>WL-02627</t>
        </is>
      </c>
      <c r="F386" s="37" t="inlineStr">
        <is>
          <t>Cynthia Campbell</t>
        </is>
      </c>
      <c r="G386" s="37" t="n">
        <v>32</v>
      </c>
      <c r="H386" s="39" t="n">
        <v>33.5</v>
      </c>
      <c r="I386" s="40">
        <f>ROUNDUP(MAX(G386,H386),0)</f>
        <v/>
      </c>
      <c r="J386" s="41">
        <f>IF(C386="COVERED",'Methodology'!$B$9,'Methodology'!$B$10)</f>
        <v/>
      </c>
      <c r="K386" s="41">
        <f>I386*J386</f>
        <v/>
      </c>
      <c r="L386" s="41">
        <f>SUMIFS('Billing Aug'!$J$2:$J$770,'Billing Aug'!$D$2:$D$770,A386)</f>
        <v/>
      </c>
      <c r="M386" s="41">
        <f>L386-K386</f>
        <v/>
      </c>
      <c r="N386" s="37">
        <f>COUNTIF('Billing Aug'!$D$2:$D$770,A386)</f>
        <v/>
      </c>
      <c r="O386" s="37">
        <f>SUMIFS('Billing Aug'!$F$2:$F$770,'Billing Aug'!$D$2:$D$770,A386)</f>
        <v/>
      </c>
      <c r="P386" s="41">
        <f>IF(N386=0,0,L386-SUMIFS('Billing Aug'!$H$2:$H$770,'Billing Aug'!$D$2:$D$770,A386)*SUMIFS('Billing Aug'!$I$2:$I$770,'Billing Aug'!$D$2:$D$770,A386))</f>
        <v/>
      </c>
      <c r="Q386" s="37">
        <f>IF(N386=0,"NO AUG TRANSACTION IN SUPPLIED EXTRACT",IF(ABS(P386)&gt;0.004,"SUBLEDGER ARITHMETIC ERROR",IF(ABS(M386)&gt;0.004,"BILLING VARIANCE","MATCH")))</f>
        <v/>
      </c>
    </row>
    <row r="387">
      <c r="A387" s="37" t="inlineStr">
        <is>
          <t>VB-0707</t>
        </is>
      </c>
      <c r="B387" s="37" t="inlineStr">
        <is>
          <t>Vessbank</t>
        </is>
      </c>
      <c r="C387" s="37" t="inlineStr">
        <is>
          <t>COVERED</t>
        </is>
      </c>
      <c r="D387" s="37" t="inlineStr">
        <is>
          <t>OCCUPIED</t>
        </is>
      </c>
      <c r="E387" s="37" t="inlineStr">
        <is>
          <t>WL-01144</t>
        </is>
      </c>
      <c r="F387" s="37" t="inlineStr">
        <is>
          <t>James Lopez</t>
        </is>
      </c>
      <c r="G387" s="37" t="n">
        <v>28</v>
      </c>
      <c r="H387" s="39" t="n">
        <v>19.6</v>
      </c>
      <c r="I387" s="40">
        <f>ROUNDUP(MAX(G387,H387),0)</f>
        <v/>
      </c>
      <c r="J387" s="41">
        <f>IF(C387="COVERED",'Methodology'!$B$9,'Methodology'!$B$10)</f>
        <v/>
      </c>
      <c r="K387" s="41">
        <f>I387*J387</f>
        <v/>
      </c>
      <c r="L387" s="41">
        <f>SUMIFS('Billing Aug'!$J$2:$J$770,'Billing Aug'!$D$2:$D$770,A387)</f>
        <v/>
      </c>
      <c r="M387" s="41">
        <f>L387-K387</f>
        <v/>
      </c>
      <c r="N387" s="37">
        <f>COUNTIF('Billing Aug'!$D$2:$D$770,A387)</f>
        <v/>
      </c>
      <c r="O387" s="37">
        <f>SUMIFS('Billing Aug'!$F$2:$F$770,'Billing Aug'!$D$2:$D$770,A387)</f>
        <v/>
      </c>
      <c r="P387" s="41">
        <f>IF(N387=0,0,L387-SUMIFS('Billing Aug'!$H$2:$H$770,'Billing Aug'!$D$2:$D$770,A387)*SUMIFS('Billing Aug'!$I$2:$I$770,'Billing Aug'!$D$2:$D$770,A387))</f>
        <v/>
      </c>
      <c r="Q387" s="37">
        <f>IF(N387=0,"NO AUG TRANSACTION IN SUPPLIED EXTRACT",IF(ABS(P387)&gt;0.004,"SUBLEDGER ARITHMETIC ERROR",IF(ABS(M387)&gt;0.004,"BILLING VARIANCE","MATCH")))</f>
        <v/>
      </c>
    </row>
    <row r="388">
      <c r="A388" s="37" t="inlineStr">
        <is>
          <t>VB-0708</t>
        </is>
      </c>
      <c r="B388" s="37" t="inlineStr">
        <is>
          <t>Vessbank</t>
        </is>
      </c>
      <c r="C388" s="37" t="inlineStr">
        <is>
          <t>COVERED</t>
        </is>
      </c>
      <c r="D388" s="37" t="inlineStr">
        <is>
          <t>OCCUPIED</t>
        </is>
      </c>
      <c r="E388" s="37" t="inlineStr">
        <is>
          <t>WL-01549</t>
        </is>
      </c>
      <c r="F388" s="37" t="inlineStr">
        <is>
          <t>Zachary Wilson</t>
        </is>
      </c>
      <c r="G388" s="37" t="n">
        <v>36</v>
      </c>
      <c r="H388" s="39" t="n">
        <v>21.4</v>
      </c>
      <c r="I388" s="40">
        <f>ROUNDUP(MAX(G388,H388),0)</f>
        <v/>
      </c>
      <c r="J388" s="41">
        <f>IF(C388="COVERED",'Methodology'!$B$9,'Methodology'!$B$10)</f>
        <v/>
      </c>
      <c r="K388" s="41">
        <f>I388*J388</f>
        <v/>
      </c>
      <c r="L388" s="41">
        <f>SUMIFS('Billing Aug'!$J$2:$J$770,'Billing Aug'!$D$2:$D$770,A388)</f>
        <v/>
      </c>
      <c r="M388" s="41">
        <f>L388-K388</f>
        <v/>
      </c>
      <c r="N388" s="37">
        <f>COUNTIF('Billing Aug'!$D$2:$D$770,A388)</f>
        <v/>
      </c>
      <c r="O388" s="37">
        <f>SUMIFS('Billing Aug'!$F$2:$F$770,'Billing Aug'!$D$2:$D$770,A388)</f>
        <v/>
      </c>
      <c r="P388" s="41">
        <f>IF(N388=0,0,L388-SUMIFS('Billing Aug'!$H$2:$H$770,'Billing Aug'!$D$2:$D$770,A388)*SUMIFS('Billing Aug'!$I$2:$I$770,'Billing Aug'!$D$2:$D$770,A388))</f>
        <v/>
      </c>
      <c r="Q388" s="37">
        <f>IF(N388=0,"NO AUG TRANSACTION IN SUPPLIED EXTRACT",IF(ABS(P388)&gt;0.004,"SUBLEDGER ARITHMETIC ERROR",IF(ABS(M388)&gt;0.004,"BILLING VARIANCE","MATCH")))</f>
        <v/>
      </c>
    </row>
    <row r="389">
      <c r="A389" s="37" t="inlineStr">
        <is>
          <t>VB-0709</t>
        </is>
      </c>
      <c r="B389" s="37" t="inlineStr">
        <is>
          <t>Vessbank</t>
        </is>
      </c>
      <c r="C389" s="37" t="inlineStr">
        <is>
          <t>COVERED</t>
        </is>
      </c>
      <c r="D389" s="37" t="inlineStr">
        <is>
          <t>OCCUPIED</t>
        </is>
      </c>
      <c r="E389" s="37" t="inlineStr">
        <is>
          <t>WL-03117</t>
        </is>
      </c>
      <c r="F389" s="37" t="inlineStr">
        <is>
          <t>Stephanie Hawkins</t>
        </is>
      </c>
      <c r="G389" s="37" t="n">
        <v>40</v>
      </c>
      <c r="H389" s="39" t="n">
        <v>43.5</v>
      </c>
      <c r="I389" s="40">
        <f>ROUNDUP(MAX(G389,H389),0)</f>
        <v/>
      </c>
      <c r="J389" s="41">
        <f>IF(C389="COVERED",'Methodology'!$B$9,'Methodology'!$B$10)</f>
        <v/>
      </c>
      <c r="K389" s="41">
        <f>I389*J389</f>
        <v/>
      </c>
      <c r="L389" s="41">
        <f>SUMIFS('Billing Aug'!$J$2:$J$770,'Billing Aug'!$D$2:$D$770,A389)</f>
        <v/>
      </c>
      <c r="M389" s="41">
        <f>L389-K389</f>
        <v/>
      </c>
      <c r="N389" s="37">
        <f>COUNTIF('Billing Aug'!$D$2:$D$770,A389)</f>
        <v/>
      </c>
      <c r="O389" s="37">
        <f>SUMIFS('Billing Aug'!$F$2:$F$770,'Billing Aug'!$D$2:$D$770,A389)</f>
        <v/>
      </c>
      <c r="P389" s="41">
        <f>IF(N389=0,0,L389-SUMIFS('Billing Aug'!$H$2:$H$770,'Billing Aug'!$D$2:$D$770,A389)*SUMIFS('Billing Aug'!$I$2:$I$770,'Billing Aug'!$D$2:$D$770,A389))</f>
        <v/>
      </c>
      <c r="Q389" s="37">
        <f>IF(N389=0,"NO AUG TRANSACTION IN SUPPLIED EXTRACT",IF(ABS(P389)&gt;0.004,"SUBLEDGER ARITHMETIC ERROR",IF(ABS(M389)&gt;0.004,"BILLING VARIANCE","MATCH")))</f>
        <v/>
      </c>
    </row>
    <row r="390">
      <c r="A390" s="37" t="inlineStr">
        <is>
          <t>VB-0710</t>
        </is>
      </c>
      <c r="B390" s="37" t="inlineStr">
        <is>
          <t>Vessbank</t>
        </is>
      </c>
      <c r="C390" s="37" t="inlineStr">
        <is>
          <t>COVERED</t>
        </is>
      </c>
      <c r="D390" s="37" t="inlineStr">
        <is>
          <t>OCCUPIED</t>
        </is>
      </c>
      <c r="E390" s="37" t="inlineStr">
        <is>
          <t>WL-01146</t>
        </is>
      </c>
      <c r="F390" s="37" t="inlineStr">
        <is>
          <t>Jessica English</t>
        </is>
      </c>
      <c r="G390" s="37" t="n">
        <v>36</v>
      </c>
      <c r="H390" s="39" t="n">
        <v>36.7</v>
      </c>
      <c r="I390" s="40">
        <f>ROUNDUP(MAX(G390,H390),0)</f>
        <v/>
      </c>
      <c r="J390" s="41">
        <f>IF(C390="COVERED",'Methodology'!$B$9,'Methodology'!$B$10)</f>
        <v/>
      </c>
      <c r="K390" s="41">
        <f>I390*J390</f>
        <v/>
      </c>
      <c r="L390" s="41">
        <f>SUMIFS('Billing Aug'!$J$2:$J$770,'Billing Aug'!$D$2:$D$770,A390)</f>
        <v/>
      </c>
      <c r="M390" s="41">
        <f>L390-K390</f>
        <v/>
      </c>
      <c r="N390" s="37">
        <f>COUNTIF('Billing Aug'!$D$2:$D$770,A390)</f>
        <v/>
      </c>
      <c r="O390" s="37">
        <f>SUMIFS('Billing Aug'!$F$2:$F$770,'Billing Aug'!$D$2:$D$770,A390)</f>
        <v/>
      </c>
      <c r="P390" s="41">
        <f>IF(N390=0,0,L390-SUMIFS('Billing Aug'!$H$2:$H$770,'Billing Aug'!$D$2:$D$770,A390)*SUMIFS('Billing Aug'!$I$2:$I$770,'Billing Aug'!$D$2:$D$770,A390))</f>
        <v/>
      </c>
      <c r="Q390" s="37">
        <f>IF(N390=0,"NO AUG TRANSACTION IN SUPPLIED EXTRACT",IF(ABS(P390)&gt;0.004,"SUBLEDGER ARITHMETIC ERROR",IF(ABS(M390)&gt;0.004,"BILLING VARIANCE","MATCH")))</f>
        <v/>
      </c>
    </row>
    <row r="391">
      <c r="A391" s="37" t="inlineStr">
        <is>
          <t>VB-0711</t>
        </is>
      </c>
      <c r="B391" s="37" t="inlineStr">
        <is>
          <t>Vessbank</t>
        </is>
      </c>
      <c r="C391" s="37" t="inlineStr">
        <is>
          <t>COVERED</t>
        </is>
      </c>
      <c r="D391" s="37" t="inlineStr">
        <is>
          <t>OCCUPIED</t>
        </is>
      </c>
      <c r="E391" s="37" t="inlineStr">
        <is>
          <t>WL-03156</t>
        </is>
      </c>
      <c r="F391" s="37" t="inlineStr">
        <is>
          <t>Stephen Riley</t>
        </is>
      </c>
      <c r="G391" s="37" t="n">
        <v>36</v>
      </c>
      <c r="H391" s="39" t="n">
        <v>37.2</v>
      </c>
      <c r="I391" s="40">
        <f>ROUNDUP(MAX(G391,H391),0)</f>
        <v/>
      </c>
      <c r="J391" s="41">
        <f>IF(C391="COVERED",'Methodology'!$B$9,'Methodology'!$B$10)</f>
        <v/>
      </c>
      <c r="K391" s="41">
        <f>I391*J391</f>
        <v/>
      </c>
      <c r="L391" s="41">
        <f>SUMIFS('Billing Aug'!$J$2:$J$770,'Billing Aug'!$D$2:$D$770,A391)</f>
        <v/>
      </c>
      <c r="M391" s="41">
        <f>L391-K391</f>
        <v/>
      </c>
      <c r="N391" s="37">
        <f>COUNTIF('Billing Aug'!$D$2:$D$770,A391)</f>
        <v/>
      </c>
      <c r="O391" s="37">
        <f>SUMIFS('Billing Aug'!$F$2:$F$770,'Billing Aug'!$D$2:$D$770,A391)</f>
        <v/>
      </c>
      <c r="P391" s="41">
        <f>IF(N391=0,0,L391-SUMIFS('Billing Aug'!$H$2:$H$770,'Billing Aug'!$D$2:$D$770,A391)*SUMIFS('Billing Aug'!$I$2:$I$770,'Billing Aug'!$D$2:$D$770,A391))</f>
        <v/>
      </c>
      <c r="Q391" s="37">
        <f>IF(N391=0,"NO AUG TRANSACTION IN SUPPLIED EXTRACT",IF(ABS(P391)&gt;0.004,"SUBLEDGER ARITHMETIC ERROR",IF(ABS(M391)&gt;0.004,"BILLING VARIANCE","MATCH")))</f>
        <v/>
      </c>
    </row>
    <row r="392">
      <c r="A392" s="37" t="inlineStr">
        <is>
          <t>VB-0712</t>
        </is>
      </c>
      <c r="B392" s="37" t="inlineStr">
        <is>
          <t>Vessbank</t>
        </is>
      </c>
      <c r="C392" s="37" t="inlineStr">
        <is>
          <t>COVERED</t>
        </is>
      </c>
      <c r="D392" s="37" t="inlineStr">
        <is>
          <t>OCCUPIED</t>
        </is>
      </c>
      <c r="E392" s="37" t="inlineStr">
        <is>
          <t>WL-03530</t>
        </is>
      </c>
      <c r="F392" s="37" t="inlineStr">
        <is>
          <t>Jay Dominguez</t>
        </is>
      </c>
      <c r="G392" s="37" t="n">
        <v>28</v>
      </c>
      <c r="H392" s="39" t="n">
        <v>40.6</v>
      </c>
      <c r="I392" s="40">
        <f>ROUNDUP(MAX(G392,H392),0)</f>
        <v/>
      </c>
      <c r="J392" s="41">
        <f>IF(C392="COVERED",'Methodology'!$B$9,'Methodology'!$B$10)</f>
        <v/>
      </c>
      <c r="K392" s="41">
        <f>I392*J392</f>
        <v/>
      </c>
      <c r="L392" s="41">
        <f>SUMIFS('Billing Aug'!$J$2:$J$770,'Billing Aug'!$D$2:$D$770,A392)</f>
        <v/>
      </c>
      <c r="M392" s="41">
        <f>L392-K392</f>
        <v/>
      </c>
      <c r="N392" s="37">
        <f>COUNTIF('Billing Aug'!$D$2:$D$770,A392)</f>
        <v/>
      </c>
      <c r="O392" s="37">
        <f>SUMIFS('Billing Aug'!$F$2:$F$770,'Billing Aug'!$D$2:$D$770,A392)</f>
        <v/>
      </c>
      <c r="P392" s="41">
        <f>IF(N392=0,0,L392-SUMIFS('Billing Aug'!$H$2:$H$770,'Billing Aug'!$D$2:$D$770,A392)*SUMIFS('Billing Aug'!$I$2:$I$770,'Billing Aug'!$D$2:$D$770,A392))</f>
        <v/>
      </c>
      <c r="Q392" s="37">
        <f>IF(N392=0,"NO AUG TRANSACTION IN SUPPLIED EXTRACT",IF(ABS(P392)&gt;0.004,"SUBLEDGER ARITHMETIC ERROR",IF(ABS(M392)&gt;0.004,"BILLING VARIANCE","MATCH")))</f>
        <v/>
      </c>
    </row>
    <row r="393">
      <c r="A393" s="37" t="inlineStr">
        <is>
          <t>VB-0713</t>
        </is>
      </c>
      <c r="B393" s="37" t="inlineStr">
        <is>
          <t>Vessbank</t>
        </is>
      </c>
      <c r="C393" s="37" t="inlineStr">
        <is>
          <t>COVERED</t>
        </is>
      </c>
      <c r="D393" s="37" t="inlineStr">
        <is>
          <t>OCCUPIED</t>
        </is>
      </c>
      <c r="E393" s="37" t="inlineStr">
        <is>
          <t>WL-01276</t>
        </is>
      </c>
      <c r="F393" s="37" t="inlineStr">
        <is>
          <t>Nicole Fritz</t>
        </is>
      </c>
      <c r="G393" s="37" t="n">
        <v>32</v>
      </c>
      <c r="H393" s="39" t="n">
        <v>33.8</v>
      </c>
      <c r="I393" s="40">
        <f>ROUNDUP(MAX(G393,H393),0)</f>
        <v/>
      </c>
      <c r="J393" s="41">
        <f>IF(C393="COVERED",'Methodology'!$B$9,'Methodology'!$B$10)</f>
        <v/>
      </c>
      <c r="K393" s="41">
        <f>I393*J393</f>
        <v/>
      </c>
      <c r="L393" s="41">
        <f>SUMIFS('Billing Aug'!$J$2:$J$770,'Billing Aug'!$D$2:$D$770,A393)</f>
        <v/>
      </c>
      <c r="M393" s="41">
        <f>L393-K393</f>
        <v/>
      </c>
      <c r="N393" s="37">
        <f>COUNTIF('Billing Aug'!$D$2:$D$770,A393)</f>
        <v/>
      </c>
      <c r="O393" s="37">
        <f>SUMIFS('Billing Aug'!$F$2:$F$770,'Billing Aug'!$D$2:$D$770,A393)</f>
        <v/>
      </c>
      <c r="P393" s="41">
        <f>IF(N393=0,0,L393-SUMIFS('Billing Aug'!$H$2:$H$770,'Billing Aug'!$D$2:$D$770,A393)*SUMIFS('Billing Aug'!$I$2:$I$770,'Billing Aug'!$D$2:$D$770,A393))</f>
        <v/>
      </c>
      <c r="Q393" s="37">
        <f>IF(N393=0,"NO AUG TRANSACTION IN SUPPLIED EXTRACT",IF(ABS(P393)&gt;0.004,"SUBLEDGER ARITHMETIC ERROR",IF(ABS(M393)&gt;0.004,"BILLING VARIANCE","MATCH")))</f>
        <v/>
      </c>
    </row>
    <row r="394">
      <c r="A394" s="37" t="inlineStr">
        <is>
          <t>VB-0714</t>
        </is>
      </c>
      <c r="B394" s="37" t="inlineStr">
        <is>
          <t>Vessbank</t>
        </is>
      </c>
      <c r="C394" s="37" t="inlineStr">
        <is>
          <t>COVERED</t>
        </is>
      </c>
      <c r="D394" s="37" t="inlineStr">
        <is>
          <t>OCCUPIED</t>
        </is>
      </c>
      <c r="E394" s="37" t="inlineStr">
        <is>
          <t>WL-02262</t>
        </is>
      </c>
      <c r="F394" s="37" t="inlineStr">
        <is>
          <t>James Rice</t>
        </is>
      </c>
      <c r="G394" s="37" t="n">
        <v>32</v>
      </c>
      <c r="H394" s="39" t="n">
        <v>61.3</v>
      </c>
      <c r="I394" s="40">
        <f>ROUNDUP(MAX(G394,H394),0)</f>
        <v/>
      </c>
      <c r="J394" s="41">
        <f>IF(C394="COVERED",'Methodology'!$B$9,'Methodology'!$B$10)</f>
        <v/>
      </c>
      <c r="K394" s="41">
        <f>I394*J394</f>
        <v/>
      </c>
      <c r="L394" s="41">
        <f>SUMIFS('Billing Aug'!$J$2:$J$770,'Billing Aug'!$D$2:$D$770,A394)</f>
        <v/>
      </c>
      <c r="M394" s="41">
        <f>L394-K394</f>
        <v/>
      </c>
      <c r="N394" s="37">
        <f>COUNTIF('Billing Aug'!$D$2:$D$770,A394)</f>
        <v/>
      </c>
      <c r="O394" s="37">
        <f>SUMIFS('Billing Aug'!$F$2:$F$770,'Billing Aug'!$D$2:$D$770,A394)</f>
        <v/>
      </c>
      <c r="P394" s="41">
        <f>IF(N394=0,0,L394-SUMIFS('Billing Aug'!$H$2:$H$770,'Billing Aug'!$D$2:$D$770,A394)*SUMIFS('Billing Aug'!$I$2:$I$770,'Billing Aug'!$D$2:$D$770,A394))</f>
        <v/>
      </c>
      <c r="Q394" s="37">
        <f>IF(N394=0,"NO AUG TRANSACTION IN SUPPLIED EXTRACT",IF(ABS(P394)&gt;0.004,"SUBLEDGER ARITHMETIC ERROR",IF(ABS(M394)&gt;0.004,"BILLING VARIANCE","MATCH")))</f>
        <v/>
      </c>
    </row>
    <row r="395">
      <c r="A395" s="37" t="inlineStr">
        <is>
          <t>VB-0715</t>
        </is>
      </c>
      <c r="B395" s="37" t="inlineStr">
        <is>
          <t>Vessbank</t>
        </is>
      </c>
      <c r="C395" s="37" t="inlineStr">
        <is>
          <t>COVERED</t>
        </is>
      </c>
      <c r="D395" s="37" t="inlineStr">
        <is>
          <t>OCCUPIED</t>
        </is>
      </c>
      <c r="E395" s="37" t="inlineStr">
        <is>
          <t>WL-02850</t>
        </is>
      </c>
      <c r="F395" s="37" t="inlineStr">
        <is>
          <t>Edwin Boone</t>
        </is>
      </c>
      <c r="G395" s="37" t="n">
        <v>24</v>
      </c>
      <c r="H395" s="39" t="n">
        <v>48.7</v>
      </c>
      <c r="I395" s="40">
        <f>ROUNDUP(MAX(G395,H395),0)</f>
        <v/>
      </c>
      <c r="J395" s="41">
        <f>IF(C395="COVERED",'Methodology'!$B$9,'Methodology'!$B$10)</f>
        <v/>
      </c>
      <c r="K395" s="41">
        <f>I395*J395</f>
        <v/>
      </c>
      <c r="L395" s="41">
        <f>SUMIFS('Billing Aug'!$J$2:$J$770,'Billing Aug'!$D$2:$D$770,A395)</f>
        <v/>
      </c>
      <c r="M395" s="41">
        <f>L395-K395</f>
        <v/>
      </c>
      <c r="N395" s="37">
        <f>COUNTIF('Billing Aug'!$D$2:$D$770,A395)</f>
        <v/>
      </c>
      <c r="O395" s="37">
        <f>SUMIFS('Billing Aug'!$F$2:$F$770,'Billing Aug'!$D$2:$D$770,A395)</f>
        <v/>
      </c>
      <c r="P395" s="41">
        <f>IF(N395=0,0,L395-SUMIFS('Billing Aug'!$H$2:$H$770,'Billing Aug'!$D$2:$D$770,A395)*SUMIFS('Billing Aug'!$I$2:$I$770,'Billing Aug'!$D$2:$D$770,A395))</f>
        <v/>
      </c>
      <c r="Q395" s="37">
        <f>IF(N395=0,"NO AUG TRANSACTION IN SUPPLIED EXTRACT",IF(ABS(P395)&gt;0.004,"SUBLEDGER ARITHMETIC ERROR",IF(ABS(M395)&gt;0.004,"BILLING VARIANCE","MATCH")))</f>
        <v/>
      </c>
    </row>
    <row r="396">
      <c r="A396" s="37" t="inlineStr">
        <is>
          <t>VB-0716</t>
        </is>
      </c>
      <c r="B396" s="37" t="inlineStr">
        <is>
          <t>Vessbank</t>
        </is>
      </c>
      <c r="C396" s="37" t="inlineStr">
        <is>
          <t>COVERED</t>
        </is>
      </c>
      <c r="D396" s="37" t="inlineStr">
        <is>
          <t>OCCUPIED</t>
        </is>
      </c>
      <c r="E396" s="37" t="inlineStr">
        <is>
          <t>WL-02482</t>
        </is>
      </c>
      <c r="F396" s="37" t="inlineStr">
        <is>
          <t>Emily Taylor</t>
        </is>
      </c>
      <c r="G396" s="37" t="n">
        <v>32</v>
      </c>
      <c r="H396" s="39" t="n">
        <v>57.3</v>
      </c>
      <c r="I396" s="40">
        <f>ROUNDUP(MAX(G396,H396),0)</f>
        <v/>
      </c>
      <c r="J396" s="41">
        <f>IF(C396="COVERED",'Methodology'!$B$9,'Methodology'!$B$10)</f>
        <v/>
      </c>
      <c r="K396" s="41">
        <f>I396*J396</f>
        <v/>
      </c>
      <c r="L396" s="41">
        <f>SUMIFS('Billing Aug'!$J$2:$J$770,'Billing Aug'!$D$2:$D$770,A396)</f>
        <v/>
      </c>
      <c r="M396" s="41">
        <f>L396-K396</f>
        <v/>
      </c>
      <c r="N396" s="37">
        <f>COUNTIF('Billing Aug'!$D$2:$D$770,A396)</f>
        <v/>
      </c>
      <c r="O396" s="37">
        <f>SUMIFS('Billing Aug'!$F$2:$F$770,'Billing Aug'!$D$2:$D$770,A396)</f>
        <v/>
      </c>
      <c r="P396" s="41">
        <f>IF(N396=0,0,L396-SUMIFS('Billing Aug'!$H$2:$H$770,'Billing Aug'!$D$2:$D$770,A396)*SUMIFS('Billing Aug'!$I$2:$I$770,'Billing Aug'!$D$2:$D$770,A396))</f>
        <v/>
      </c>
      <c r="Q396" s="37">
        <f>IF(N396=0,"NO AUG TRANSACTION IN SUPPLIED EXTRACT",IF(ABS(P396)&gt;0.004,"SUBLEDGER ARITHMETIC ERROR",IF(ABS(M396)&gt;0.004,"BILLING VARIANCE","MATCH")))</f>
        <v/>
      </c>
    </row>
    <row r="397">
      <c r="A397" s="37" t="inlineStr">
        <is>
          <t>VB-0717</t>
        </is>
      </c>
      <c r="B397" s="37" t="inlineStr">
        <is>
          <t>Vessbank</t>
        </is>
      </c>
      <c r="C397" s="37" t="inlineStr">
        <is>
          <t>COVERED</t>
        </is>
      </c>
      <c r="D397" s="37" t="inlineStr">
        <is>
          <t>OCCUPIED</t>
        </is>
      </c>
      <c r="E397" s="37" t="inlineStr">
        <is>
          <t>WL-01515</t>
        </is>
      </c>
      <c r="F397" s="37" t="inlineStr">
        <is>
          <t>Andrea Simpson</t>
        </is>
      </c>
      <c r="G397" s="37" t="n">
        <v>32</v>
      </c>
      <c r="H397" s="39" t="n">
        <v>50.3</v>
      </c>
      <c r="I397" s="40">
        <f>ROUNDUP(MAX(G397,H397),0)</f>
        <v/>
      </c>
      <c r="J397" s="41">
        <f>IF(C397="COVERED",'Methodology'!$B$9,'Methodology'!$B$10)</f>
        <v/>
      </c>
      <c r="K397" s="41">
        <f>I397*J397</f>
        <v/>
      </c>
      <c r="L397" s="41">
        <f>SUMIFS('Billing Aug'!$J$2:$J$770,'Billing Aug'!$D$2:$D$770,A397)</f>
        <v/>
      </c>
      <c r="M397" s="41">
        <f>L397-K397</f>
        <v/>
      </c>
      <c r="N397" s="37">
        <f>COUNTIF('Billing Aug'!$D$2:$D$770,A397)</f>
        <v/>
      </c>
      <c r="O397" s="37">
        <f>SUMIFS('Billing Aug'!$F$2:$F$770,'Billing Aug'!$D$2:$D$770,A397)</f>
        <v/>
      </c>
      <c r="P397" s="41">
        <f>IF(N397=0,0,L397-SUMIFS('Billing Aug'!$H$2:$H$770,'Billing Aug'!$D$2:$D$770,A397)*SUMIFS('Billing Aug'!$I$2:$I$770,'Billing Aug'!$D$2:$D$770,A397))</f>
        <v/>
      </c>
      <c r="Q397" s="37">
        <f>IF(N397=0,"NO AUG TRANSACTION IN SUPPLIED EXTRACT",IF(ABS(P397)&gt;0.004,"SUBLEDGER ARITHMETIC ERROR",IF(ABS(M397)&gt;0.004,"BILLING VARIANCE","MATCH")))</f>
        <v/>
      </c>
    </row>
    <row r="398">
      <c r="A398" s="37" t="inlineStr">
        <is>
          <t>VB-0718</t>
        </is>
      </c>
      <c r="B398" s="37" t="inlineStr">
        <is>
          <t>Vessbank</t>
        </is>
      </c>
      <c r="C398" s="37" t="inlineStr">
        <is>
          <t>COVERED</t>
        </is>
      </c>
      <c r="D398" s="37" t="inlineStr">
        <is>
          <t>OCCUPIED</t>
        </is>
      </c>
      <c r="E398" s="37" t="inlineStr">
        <is>
          <t>WL-02670</t>
        </is>
      </c>
      <c r="F398" s="37" t="inlineStr">
        <is>
          <t>Sara Hamilton</t>
        </is>
      </c>
      <c r="G398" s="37" t="n">
        <v>28</v>
      </c>
      <c r="H398" s="39" t="n">
        <v>35.6</v>
      </c>
      <c r="I398" s="40">
        <f>ROUNDUP(MAX(G398,H398),0)</f>
        <v/>
      </c>
      <c r="J398" s="41">
        <f>IF(C398="COVERED",'Methodology'!$B$9,'Methodology'!$B$10)</f>
        <v/>
      </c>
      <c r="K398" s="41">
        <f>I398*J398</f>
        <v/>
      </c>
      <c r="L398" s="41">
        <f>SUMIFS('Billing Aug'!$J$2:$J$770,'Billing Aug'!$D$2:$D$770,A398)</f>
        <v/>
      </c>
      <c r="M398" s="41">
        <f>L398-K398</f>
        <v/>
      </c>
      <c r="N398" s="37">
        <f>COUNTIF('Billing Aug'!$D$2:$D$770,A398)</f>
        <v/>
      </c>
      <c r="O398" s="37">
        <f>SUMIFS('Billing Aug'!$F$2:$F$770,'Billing Aug'!$D$2:$D$770,A398)</f>
        <v/>
      </c>
      <c r="P398" s="41">
        <f>IF(N398=0,0,L398-SUMIFS('Billing Aug'!$H$2:$H$770,'Billing Aug'!$D$2:$D$770,A398)*SUMIFS('Billing Aug'!$I$2:$I$770,'Billing Aug'!$D$2:$D$770,A398))</f>
        <v/>
      </c>
      <c r="Q398" s="37">
        <f>IF(N398=0,"NO AUG TRANSACTION IN SUPPLIED EXTRACT",IF(ABS(P398)&gt;0.004,"SUBLEDGER ARITHMETIC ERROR",IF(ABS(M398)&gt;0.004,"BILLING VARIANCE","MATCH")))</f>
        <v/>
      </c>
    </row>
    <row r="399">
      <c r="A399" s="37" t="inlineStr">
        <is>
          <t>VB-0719</t>
        </is>
      </c>
      <c r="B399" s="37" t="inlineStr">
        <is>
          <t>Vessbank</t>
        </is>
      </c>
      <c r="C399" s="37" t="inlineStr">
        <is>
          <t>COVERED</t>
        </is>
      </c>
      <c r="D399" s="37" t="inlineStr">
        <is>
          <t>OCCUPIED</t>
        </is>
      </c>
      <c r="E399" s="37" t="inlineStr">
        <is>
          <t>WL-01748</t>
        </is>
      </c>
      <c r="F399" s="37" t="inlineStr">
        <is>
          <t>Daniel Brown</t>
        </is>
      </c>
      <c r="G399" s="37" t="n">
        <v>32</v>
      </c>
      <c r="H399" s="39" t="n">
        <v>22.5</v>
      </c>
      <c r="I399" s="40">
        <f>ROUNDUP(MAX(G399,H399),0)</f>
        <v/>
      </c>
      <c r="J399" s="41">
        <f>IF(C399="COVERED",'Methodology'!$B$9,'Methodology'!$B$10)</f>
        <v/>
      </c>
      <c r="K399" s="41">
        <f>I399*J399</f>
        <v/>
      </c>
      <c r="L399" s="41">
        <f>SUMIFS('Billing Aug'!$J$2:$J$770,'Billing Aug'!$D$2:$D$770,A399)</f>
        <v/>
      </c>
      <c r="M399" s="41">
        <f>L399-K399</f>
        <v/>
      </c>
      <c r="N399" s="37">
        <f>COUNTIF('Billing Aug'!$D$2:$D$770,A399)</f>
        <v/>
      </c>
      <c r="O399" s="37">
        <f>SUMIFS('Billing Aug'!$F$2:$F$770,'Billing Aug'!$D$2:$D$770,A399)</f>
        <v/>
      </c>
      <c r="P399" s="41">
        <f>IF(N399=0,0,L399-SUMIFS('Billing Aug'!$H$2:$H$770,'Billing Aug'!$D$2:$D$770,A399)*SUMIFS('Billing Aug'!$I$2:$I$770,'Billing Aug'!$D$2:$D$770,A399))</f>
        <v/>
      </c>
      <c r="Q399" s="37">
        <f>IF(N399=0,"NO AUG TRANSACTION IN SUPPLIED EXTRACT",IF(ABS(P399)&gt;0.004,"SUBLEDGER ARITHMETIC ERROR",IF(ABS(M399)&gt;0.004,"BILLING VARIANCE","MATCH")))</f>
        <v/>
      </c>
    </row>
    <row r="400">
      <c r="A400" s="37" t="inlineStr">
        <is>
          <t>VB-0720</t>
        </is>
      </c>
      <c r="B400" s="37" t="inlineStr">
        <is>
          <t>Vessbank</t>
        </is>
      </c>
      <c r="C400" s="37" t="inlineStr">
        <is>
          <t>COVERED</t>
        </is>
      </c>
      <c r="D400" s="37" t="inlineStr">
        <is>
          <t>OCCUPIED</t>
        </is>
      </c>
      <c r="E400" s="37" t="inlineStr">
        <is>
          <t>WL-01043</t>
        </is>
      </c>
      <c r="F400" s="37" t="inlineStr">
        <is>
          <t>Diane James</t>
        </is>
      </c>
      <c r="G400" s="37" t="n">
        <v>40</v>
      </c>
      <c r="H400" s="39" t="n">
        <v>61.5</v>
      </c>
      <c r="I400" s="40">
        <f>ROUNDUP(MAX(G400,H400),0)</f>
        <v/>
      </c>
      <c r="J400" s="41">
        <f>IF(C400="COVERED",'Methodology'!$B$9,'Methodology'!$B$10)</f>
        <v/>
      </c>
      <c r="K400" s="41">
        <f>I400*J400</f>
        <v/>
      </c>
      <c r="L400" s="41">
        <f>SUMIFS('Billing Aug'!$J$2:$J$770,'Billing Aug'!$D$2:$D$770,A400)</f>
        <v/>
      </c>
      <c r="M400" s="41">
        <f>L400-K400</f>
        <v/>
      </c>
      <c r="N400" s="37">
        <f>COUNTIF('Billing Aug'!$D$2:$D$770,A400)</f>
        <v/>
      </c>
      <c r="O400" s="37">
        <f>SUMIFS('Billing Aug'!$F$2:$F$770,'Billing Aug'!$D$2:$D$770,A400)</f>
        <v/>
      </c>
      <c r="P400" s="41">
        <f>IF(N400=0,0,L400-SUMIFS('Billing Aug'!$H$2:$H$770,'Billing Aug'!$D$2:$D$770,A400)*SUMIFS('Billing Aug'!$I$2:$I$770,'Billing Aug'!$D$2:$D$770,A400))</f>
        <v/>
      </c>
      <c r="Q400" s="37">
        <f>IF(N400=0,"NO AUG TRANSACTION IN SUPPLIED EXTRACT",IF(ABS(P400)&gt;0.004,"SUBLEDGER ARITHMETIC ERROR",IF(ABS(M400)&gt;0.004,"BILLING VARIANCE","MATCH")))</f>
        <v/>
      </c>
    </row>
    <row r="401">
      <c r="A401" s="37" t="inlineStr">
        <is>
          <t>VB-0721</t>
        </is>
      </c>
      <c r="B401" s="37" t="inlineStr">
        <is>
          <t>Vessbank</t>
        </is>
      </c>
      <c r="C401" s="37" t="inlineStr">
        <is>
          <t>COVERED</t>
        </is>
      </c>
      <c r="D401" s="37" t="inlineStr">
        <is>
          <t>OCCUPIED</t>
        </is>
      </c>
      <c r="E401" s="37" t="inlineStr">
        <is>
          <t>WL-01272</t>
        </is>
      </c>
      <c r="F401" s="37" t="inlineStr">
        <is>
          <t>Christopher Dixon</t>
        </is>
      </c>
      <c r="G401" s="37" t="n">
        <v>28</v>
      </c>
      <c r="H401" s="39" t="n">
        <v>20.5</v>
      </c>
      <c r="I401" s="40">
        <f>ROUNDUP(MAX(G401,H401),0)</f>
        <v/>
      </c>
      <c r="J401" s="41">
        <f>IF(C401="COVERED",'Methodology'!$B$9,'Methodology'!$B$10)</f>
        <v/>
      </c>
      <c r="K401" s="41">
        <f>I401*J401</f>
        <v/>
      </c>
      <c r="L401" s="41">
        <f>SUMIFS('Billing Aug'!$J$2:$J$770,'Billing Aug'!$D$2:$D$770,A401)</f>
        <v/>
      </c>
      <c r="M401" s="41">
        <f>L401-K401</f>
        <v/>
      </c>
      <c r="N401" s="37">
        <f>COUNTIF('Billing Aug'!$D$2:$D$770,A401)</f>
        <v/>
      </c>
      <c r="O401" s="37">
        <f>SUMIFS('Billing Aug'!$F$2:$F$770,'Billing Aug'!$D$2:$D$770,A401)</f>
        <v/>
      </c>
      <c r="P401" s="41">
        <f>IF(N401=0,0,L401-SUMIFS('Billing Aug'!$H$2:$H$770,'Billing Aug'!$D$2:$D$770,A401)*SUMIFS('Billing Aug'!$I$2:$I$770,'Billing Aug'!$D$2:$D$770,A401))</f>
        <v/>
      </c>
      <c r="Q401" s="37">
        <f>IF(N401=0,"NO AUG TRANSACTION IN SUPPLIED EXTRACT",IF(ABS(P401)&gt;0.004,"SUBLEDGER ARITHMETIC ERROR",IF(ABS(M401)&gt;0.004,"BILLING VARIANCE","MATCH")))</f>
        <v/>
      </c>
    </row>
    <row r="402">
      <c r="A402" s="37" t="inlineStr">
        <is>
          <t>VB-0722</t>
        </is>
      </c>
      <c r="B402" s="37" t="inlineStr">
        <is>
          <t>Vessbank</t>
        </is>
      </c>
      <c r="C402" s="37" t="inlineStr">
        <is>
          <t>COVERED</t>
        </is>
      </c>
      <c r="D402" s="37" t="inlineStr">
        <is>
          <t>OCCUPIED</t>
        </is>
      </c>
      <c r="E402" s="37" t="inlineStr">
        <is>
          <t>WL-03066</t>
        </is>
      </c>
      <c r="F402" s="37" t="inlineStr">
        <is>
          <t>Shawna Cain</t>
        </is>
      </c>
      <c r="G402" s="37" t="n">
        <v>32</v>
      </c>
      <c r="H402" s="39" t="n">
        <v>53.8</v>
      </c>
      <c r="I402" s="40">
        <f>ROUNDUP(MAX(G402,H402),0)</f>
        <v/>
      </c>
      <c r="J402" s="41">
        <f>IF(C402="COVERED",'Methodology'!$B$9,'Methodology'!$B$10)</f>
        <v/>
      </c>
      <c r="K402" s="41">
        <f>I402*J402</f>
        <v/>
      </c>
      <c r="L402" s="41">
        <f>SUMIFS('Billing Aug'!$J$2:$J$770,'Billing Aug'!$D$2:$D$770,A402)</f>
        <v/>
      </c>
      <c r="M402" s="41">
        <f>L402-K402</f>
        <v/>
      </c>
      <c r="N402" s="37">
        <f>COUNTIF('Billing Aug'!$D$2:$D$770,A402)</f>
        <v/>
      </c>
      <c r="O402" s="37">
        <f>SUMIFS('Billing Aug'!$F$2:$F$770,'Billing Aug'!$D$2:$D$770,A402)</f>
        <v/>
      </c>
      <c r="P402" s="41">
        <f>IF(N402=0,0,L402-SUMIFS('Billing Aug'!$H$2:$H$770,'Billing Aug'!$D$2:$D$770,A402)*SUMIFS('Billing Aug'!$I$2:$I$770,'Billing Aug'!$D$2:$D$770,A402))</f>
        <v/>
      </c>
      <c r="Q402" s="37">
        <f>IF(N402=0,"NO AUG TRANSACTION IN SUPPLIED EXTRACT",IF(ABS(P402)&gt;0.004,"SUBLEDGER ARITHMETIC ERROR",IF(ABS(M402)&gt;0.004,"BILLING VARIANCE","MATCH")))</f>
        <v/>
      </c>
    </row>
    <row r="403">
      <c r="A403" s="37" t="inlineStr">
        <is>
          <t>VB-0723</t>
        </is>
      </c>
      <c r="B403" s="37" t="inlineStr">
        <is>
          <t>Vessbank</t>
        </is>
      </c>
      <c r="C403" s="37" t="inlineStr">
        <is>
          <t>COVERED</t>
        </is>
      </c>
      <c r="D403" s="37" t="inlineStr">
        <is>
          <t>OCCUPIED</t>
        </is>
      </c>
      <c r="E403" s="37" t="inlineStr">
        <is>
          <t>WL-03192</t>
        </is>
      </c>
      <c r="F403" s="37" t="inlineStr">
        <is>
          <t>Aaron Johnson</t>
        </is>
      </c>
      <c r="G403" s="37" t="n">
        <v>24</v>
      </c>
      <c r="H403" s="39" t="n">
        <v>55.2</v>
      </c>
      <c r="I403" s="40">
        <f>ROUNDUP(MAX(G403,H403),0)</f>
        <v/>
      </c>
      <c r="J403" s="41">
        <f>IF(C403="COVERED",'Methodology'!$B$9,'Methodology'!$B$10)</f>
        <v/>
      </c>
      <c r="K403" s="41">
        <f>I403*J403</f>
        <v/>
      </c>
      <c r="L403" s="41">
        <f>SUMIFS('Billing Aug'!$J$2:$J$770,'Billing Aug'!$D$2:$D$770,A403)</f>
        <v/>
      </c>
      <c r="M403" s="41">
        <f>L403-K403</f>
        <v/>
      </c>
      <c r="N403" s="37">
        <f>COUNTIF('Billing Aug'!$D$2:$D$770,A403)</f>
        <v/>
      </c>
      <c r="O403" s="37">
        <f>SUMIFS('Billing Aug'!$F$2:$F$770,'Billing Aug'!$D$2:$D$770,A403)</f>
        <v/>
      </c>
      <c r="P403" s="41">
        <f>IF(N403=0,0,L403-SUMIFS('Billing Aug'!$H$2:$H$770,'Billing Aug'!$D$2:$D$770,A403)*SUMIFS('Billing Aug'!$I$2:$I$770,'Billing Aug'!$D$2:$D$770,A403))</f>
        <v/>
      </c>
      <c r="Q403" s="37">
        <f>IF(N403=0,"NO AUG TRANSACTION IN SUPPLIED EXTRACT",IF(ABS(P403)&gt;0.004,"SUBLEDGER ARITHMETIC ERROR",IF(ABS(M403)&gt;0.004,"BILLING VARIANCE","MATCH")))</f>
        <v/>
      </c>
    </row>
    <row r="404">
      <c r="A404" s="37" t="inlineStr">
        <is>
          <t>VB-0724</t>
        </is>
      </c>
      <c r="B404" s="37" t="inlineStr">
        <is>
          <t>Vessbank</t>
        </is>
      </c>
      <c r="C404" s="37" t="inlineStr">
        <is>
          <t>COVERED</t>
        </is>
      </c>
      <c r="D404" s="37" t="inlineStr">
        <is>
          <t>OCCUPIED</t>
        </is>
      </c>
      <c r="E404" s="37" t="inlineStr">
        <is>
          <t>WL-02714</t>
        </is>
      </c>
      <c r="F404" s="37" t="inlineStr">
        <is>
          <t>Mitchell Sanchez</t>
        </is>
      </c>
      <c r="G404" s="37" t="n">
        <v>24</v>
      </c>
      <c r="H404" s="39" t="n">
        <v>54.7</v>
      </c>
      <c r="I404" s="40">
        <f>ROUNDUP(MAX(G404,H404),0)</f>
        <v/>
      </c>
      <c r="J404" s="41">
        <f>IF(C404="COVERED",'Methodology'!$B$9,'Methodology'!$B$10)</f>
        <v/>
      </c>
      <c r="K404" s="41">
        <f>I404*J404</f>
        <v/>
      </c>
      <c r="L404" s="41">
        <f>SUMIFS('Billing Aug'!$J$2:$J$770,'Billing Aug'!$D$2:$D$770,A404)</f>
        <v/>
      </c>
      <c r="M404" s="41">
        <f>L404-K404</f>
        <v/>
      </c>
      <c r="N404" s="37">
        <f>COUNTIF('Billing Aug'!$D$2:$D$770,A404)</f>
        <v/>
      </c>
      <c r="O404" s="37">
        <f>SUMIFS('Billing Aug'!$F$2:$F$770,'Billing Aug'!$D$2:$D$770,A404)</f>
        <v/>
      </c>
      <c r="P404" s="41">
        <f>IF(N404=0,0,L404-SUMIFS('Billing Aug'!$H$2:$H$770,'Billing Aug'!$D$2:$D$770,A404)*SUMIFS('Billing Aug'!$I$2:$I$770,'Billing Aug'!$D$2:$D$770,A404))</f>
        <v/>
      </c>
      <c r="Q404" s="37">
        <f>IF(N404=0,"NO AUG TRANSACTION IN SUPPLIED EXTRACT",IF(ABS(P404)&gt;0.004,"SUBLEDGER ARITHMETIC ERROR",IF(ABS(M404)&gt;0.004,"BILLING VARIANCE","MATCH")))</f>
        <v/>
      </c>
    </row>
    <row r="405">
      <c r="A405" s="37" t="inlineStr">
        <is>
          <t>VB-0801</t>
        </is>
      </c>
      <c r="B405" s="37" t="inlineStr">
        <is>
          <t>Vessbank</t>
        </is>
      </c>
      <c r="C405" s="37" t="inlineStr">
        <is>
          <t>COVERED</t>
        </is>
      </c>
      <c r="D405" s="37" t="inlineStr">
        <is>
          <t>OCCUPIED</t>
        </is>
      </c>
      <c r="E405" s="37" t="inlineStr">
        <is>
          <t>WL-01099</t>
        </is>
      </c>
      <c r="F405" s="37" t="inlineStr">
        <is>
          <t>Joseph Cooper</t>
        </is>
      </c>
      <c r="G405" s="37" t="n">
        <v>40</v>
      </c>
      <c r="H405" s="39" t="n">
        <v>37.8</v>
      </c>
      <c r="I405" s="40">
        <f>ROUNDUP(MAX(G405,H405),0)</f>
        <v/>
      </c>
      <c r="J405" s="41">
        <f>IF(C405="COVERED",'Methodology'!$B$9,'Methodology'!$B$10)</f>
        <v/>
      </c>
      <c r="K405" s="41">
        <f>I405*J405</f>
        <v/>
      </c>
      <c r="L405" s="41">
        <f>SUMIFS('Billing Aug'!$J$2:$J$770,'Billing Aug'!$D$2:$D$770,A405)</f>
        <v/>
      </c>
      <c r="M405" s="41">
        <f>L405-K405</f>
        <v/>
      </c>
      <c r="N405" s="37">
        <f>COUNTIF('Billing Aug'!$D$2:$D$770,A405)</f>
        <v/>
      </c>
      <c r="O405" s="37">
        <f>SUMIFS('Billing Aug'!$F$2:$F$770,'Billing Aug'!$D$2:$D$770,A405)</f>
        <v/>
      </c>
      <c r="P405" s="41">
        <f>IF(N405=0,0,L405-SUMIFS('Billing Aug'!$H$2:$H$770,'Billing Aug'!$D$2:$D$770,A405)*SUMIFS('Billing Aug'!$I$2:$I$770,'Billing Aug'!$D$2:$D$770,A405))</f>
        <v/>
      </c>
      <c r="Q405" s="37">
        <f>IF(N405=0,"NO AUG TRANSACTION IN SUPPLIED EXTRACT",IF(ABS(P405)&gt;0.004,"SUBLEDGER ARITHMETIC ERROR",IF(ABS(M405)&gt;0.004,"BILLING VARIANCE","MATCH")))</f>
        <v/>
      </c>
    </row>
    <row r="406">
      <c r="A406" s="37" t="inlineStr">
        <is>
          <t>VB-0802</t>
        </is>
      </c>
      <c r="B406" s="37" t="inlineStr">
        <is>
          <t>Vessbank</t>
        </is>
      </c>
      <c r="C406" s="37" t="inlineStr">
        <is>
          <t>COVERED</t>
        </is>
      </c>
      <c r="D406" s="37" t="inlineStr">
        <is>
          <t>OCCUPIED</t>
        </is>
      </c>
      <c r="E406" s="37" t="inlineStr">
        <is>
          <t>WL-03073</t>
        </is>
      </c>
      <c r="F406" s="37" t="inlineStr">
        <is>
          <t>Donna Silva</t>
        </is>
      </c>
      <c r="G406" s="37" t="n">
        <v>40</v>
      </c>
      <c r="H406" s="39" t="n">
        <v>49.8</v>
      </c>
      <c r="I406" s="40">
        <f>ROUNDUP(MAX(G406,H406),0)</f>
        <v/>
      </c>
      <c r="J406" s="41">
        <f>IF(C406="COVERED",'Methodology'!$B$9,'Methodology'!$B$10)</f>
        <v/>
      </c>
      <c r="K406" s="41">
        <f>I406*J406</f>
        <v/>
      </c>
      <c r="L406" s="41">
        <f>SUMIFS('Billing Aug'!$J$2:$J$770,'Billing Aug'!$D$2:$D$770,A406)</f>
        <v/>
      </c>
      <c r="M406" s="41">
        <f>L406-K406</f>
        <v/>
      </c>
      <c r="N406" s="37">
        <f>COUNTIF('Billing Aug'!$D$2:$D$770,A406)</f>
        <v/>
      </c>
      <c r="O406" s="37">
        <f>SUMIFS('Billing Aug'!$F$2:$F$770,'Billing Aug'!$D$2:$D$770,A406)</f>
        <v/>
      </c>
      <c r="P406" s="41">
        <f>IF(N406=0,0,L406-SUMIFS('Billing Aug'!$H$2:$H$770,'Billing Aug'!$D$2:$D$770,A406)*SUMIFS('Billing Aug'!$I$2:$I$770,'Billing Aug'!$D$2:$D$770,A406))</f>
        <v/>
      </c>
      <c r="Q406" s="37">
        <f>IF(N406=0,"NO AUG TRANSACTION IN SUPPLIED EXTRACT",IF(ABS(P406)&gt;0.004,"SUBLEDGER ARITHMETIC ERROR",IF(ABS(M406)&gt;0.004,"BILLING VARIANCE","MATCH")))</f>
        <v/>
      </c>
    </row>
    <row r="407">
      <c r="A407" s="37" t="inlineStr">
        <is>
          <t>VB-0803</t>
        </is>
      </c>
      <c r="B407" s="37" t="inlineStr">
        <is>
          <t>Vessbank</t>
        </is>
      </c>
      <c r="C407" s="37" t="inlineStr">
        <is>
          <t>COVERED</t>
        </is>
      </c>
      <c r="D407" s="37" t="inlineStr">
        <is>
          <t>OCCUPIED</t>
        </is>
      </c>
      <c r="E407" s="37" t="inlineStr">
        <is>
          <t>WL-01889</t>
        </is>
      </c>
      <c r="F407" s="37" t="inlineStr">
        <is>
          <t>Haley Scott</t>
        </is>
      </c>
      <c r="G407" s="37" t="n">
        <v>28</v>
      </c>
      <c r="H407" s="39" t="n">
        <v>27.9</v>
      </c>
      <c r="I407" s="40">
        <f>ROUNDUP(MAX(G407,H407),0)</f>
        <v/>
      </c>
      <c r="J407" s="41">
        <f>IF(C407="COVERED",'Methodology'!$B$9,'Methodology'!$B$10)</f>
        <v/>
      </c>
      <c r="K407" s="41">
        <f>I407*J407</f>
        <v/>
      </c>
      <c r="L407" s="41">
        <f>SUMIFS('Billing Aug'!$J$2:$J$770,'Billing Aug'!$D$2:$D$770,A407)</f>
        <v/>
      </c>
      <c r="M407" s="41">
        <f>L407-K407</f>
        <v/>
      </c>
      <c r="N407" s="37">
        <f>COUNTIF('Billing Aug'!$D$2:$D$770,A407)</f>
        <v/>
      </c>
      <c r="O407" s="37">
        <f>SUMIFS('Billing Aug'!$F$2:$F$770,'Billing Aug'!$D$2:$D$770,A407)</f>
        <v/>
      </c>
      <c r="P407" s="41">
        <f>IF(N407=0,0,L407-SUMIFS('Billing Aug'!$H$2:$H$770,'Billing Aug'!$D$2:$D$770,A407)*SUMIFS('Billing Aug'!$I$2:$I$770,'Billing Aug'!$D$2:$D$770,A407))</f>
        <v/>
      </c>
      <c r="Q407" s="37">
        <f>IF(N407=0,"NO AUG TRANSACTION IN SUPPLIED EXTRACT",IF(ABS(P407)&gt;0.004,"SUBLEDGER ARITHMETIC ERROR",IF(ABS(M407)&gt;0.004,"BILLING VARIANCE","MATCH")))</f>
        <v/>
      </c>
    </row>
    <row r="408">
      <c r="A408" s="37" t="inlineStr">
        <is>
          <t>VB-0804</t>
        </is>
      </c>
      <c r="B408" s="37" t="inlineStr">
        <is>
          <t>Vessbank</t>
        </is>
      </c>
      <c r="C408" s="37" t="inlineStr">
        <is>
          <t>COVERED</t>
        </is>
      </c>
      <c r="D408" s="37" t="inlineStr">
        <is>
          <t>OCCUPIED</t>
        </is>
      </c>
      <c r="E408" s="37" t="inlineStr">
        <is>
          <t>WL-02837</t>
        </is>
      </c>
      <c r="F408" s="37" t="inlineStr">
        <is>
          <t>Tara Elliott</t>
        </is>
      </c>
      <c r="G408" s="37" t="n">
        <v>24</v>
      </c>
      <c r="H408" s="39" t="n">
        <v>21.2</v>
      </c>
      <c r="I408" s="40">
        <f>ROUNDUP(MAX(G408,H408),0)</f>
        <v/>
      </c>
      <c r="J408" s="41">
        <f>IF(C408="COVERED",'Methodology'!$B$9,'Methodology'!$B$10)</f>
        <v/>
      </c>
      <c r="K408" s="41">
        <f>I408*J408</f>
        <v/>
      </c>
      <c r="L408" s="41">
        <f>SUMIFS('Billing Aug'!$J$2:$J$770,'Billing Aug'!$D$2:$D$770,A408)</f>
        <v/>
      </c>
      <c r="M408" s="41">
        <f>L408-K408</f>
        <v/>
      </c>
      <c r="N408" s="37">
        <f>COUNTIF('Billing Aug'!$D$2:$D$770,A408)</f>
        <v/>
      </c>
      <c r="O408" s="37">
        <f>SUMIFS('Billing Aug'!$F$2:$F$770,'Billing Aug'!$D$2:$D$770,A408)</f>
        <v/>
      </c>
      <c r="P408" s="41">
        <f>IF(N408=0,0,L408-SUMIFS('Billing Aug'!$H$2:$H$770,'Billing Aug'!$D$2:$D$770,A408)*SUMIFS('Billing Aug'!$I$2:$I$770,'Billing Aug'!$D$2:$D$770,A408))</f>
        <v/>
      </c>
      <c r="Q408" s="37">
        <f>IF(N408=0,"NO AUG TRANSACTION IN SUPPLIED EXTRACT",IF(ABS(P408)&gt;0.004,"SUBLEDGER ARITHMETIC ERROR",IF(ABS(M408)&gt;0.004,"BILLING VARIANCE","MATCH")))</f>
        <v/>
      </c>
    </row>
    <row r="409">
      <c r="A409" s="37" t="inlineStr">
        <is>
          <t>VB-0805</t>
        </is>
      </c>
      <c r="B409" s="37" t="inlineStr">
        <is>
          <t>Vessbank</t>
        </is>
      </c>
      <c r="C409" s="37" t="inlineStr">
        <is>
          <t>COVERED</t>
        </is>
      </c>
      <c r="D409" s="37" t="inlineStr">
        <is>
          <t>OCCUPIED</t>
        </is>
      </c>
      <c r="E409" s="37" t="inlineStr">
        <is>
          <t>WL-03293</t>
        </is>
      </c>
      <c r="F409" s="37" t="inlineStr">
        <is>
          <t>Laurie Huerta</t>
        </is>
      </c>
      <c r="G409" s="37" t="n">
        <v>32</v>
      </c>
      <c r="H409" s="39" t="n">
        <v>23.2</v>
      </c>
      <c r="I409" s="40">
        <f>ROUNDUP(MAX(G409,H409),0)</f>
        <v/>
      </c>
      <c r="J409" s="41">
        <f>IF(C409="COVERED",'Methodology'!$B$9,'Methodology'!$B$10)</f>
        <v/>
      </c>
      <c r="K409" s="41">
        <f>I409*J409</f>
        <v/>
      </c>
      <c r="L409" s="41">
        <f>SUMIFS('Billing Aug'!$J$2:$J$770,'Billing Aug'!$D$2:$D$770,A409)</f>
        <v/>
      </c>
      <c r="M409" s="41">
        <f>L409-K409</f>
        <v/>
      </c>
      <c r="N409" s="37">
        <f>COUNTIF('Billing Aug'!$D$2:$D$770,A409)</f>
        <v/>
      </c>
      <c r="O409" s="37">
        <f>SUMIFS('Billing Aug'!$F$2:$F$770,'Billing Aug'!$D$2:$D$770,A409)</f>
        <v/>
      </c>
      <c r="P409" s="41">
        <f>IF(N409=0,0,L409-SUMIFS('Billing Aug'!$H$2:$H$770,'Billing Aug'!$D$2:$D$770,A409)*SUMIFS('Billing Aug'!$I$2:$I$770,'Billing Aug'!$D$2:$D$770,A409))</f>
        <v/>
      </c>
      <c r="Q409" s="37">
        <f>IF(N409=0,"NO AUG TRANSACTION IN SUPPLIED EXTRACT",IF(ABS(P409)&gt;0.004,"SUBLEDGER ARITHMETIC ERROR",IF(ABS(M409)&gt;0.004,"BILLING VARIANCE","MATCH")))</f>
        <v/>
      </c>
    </row>
    <row r="410">
      <c r="A410" s="37" t="inlineStr">
        <is>
          <t>VB-0806</t>
        </is>
      </c>
      <c r="B410" s="37" t="inlineStr">
        <is>
          <t>Vessbank</t>
        </is>
      </c>
      <c r="C410" s="37" t="inlineStr">
        <is>
          <t>COVERED</t>
        </is>
      </c>
      <c r="D410" s="37" t="inlineStr">
        <is>
          <t>OCCUPIED</t>
        </is>
      </c>
      <c r="E410" s="37" t="inlineStr">
        <is>
          <t>WL-01493</t>
        </is>
      </c>
      <c r="F410" s="37" t="inlineStr">
        <is>
          <t>Jean Guerra</t>
        </is>
      </c>
      <c r="G410" s="37" t="n">
        <v>32</v>
      </c>
      <c r="H410" s="39" t="n">
        <v>18.4</v>
      </c>
      <c r="I410" s="40">
        <f>ROUNDUP(MAX(G410,H410),0)</f>
        <v/>
      </c>
      <c r="J410" s="41">
        <f>IF(C410="COVERED",'Methodology'!$B$9,'Methodology'!$B$10)</f>
        <v/>
      </c>
      <c r="K410" s="41">
        <f>I410*J410</f>
        <v/>
      </c>
      <c r="L410" s="41">
        <f>SUMIFS('Billing Aug'!$J$2:$J$770,'Billing Aug'!$D$2:$D$770,A410)</f>
        <v/>
      </c>
      <c r="M410" s="41">
        <f>L410-K410</f>
        <v/>
      </c>
      <c r="N410" s="37">
        <f>COUNTIF('Billing Aug'!$D$2:$D$770,A410)</f>
        <v/>
      </c>
      <c r="O410" s="37">
        <f>SUMIFS('Billing Aug'!$F$2:$F$770,'Billing Aug'!$D$2:$D$770,A410)</f>
        <v/>
      </c>
      <c r="P410" s="41">
        <f>IF(N410=0,0,L410-SUMIFS('Billing Aug'!$H$2:$H$770,'Billing Aug'!$D$2:$D$770,A410)*SUMIFS('Billing Aug'!$I$2:$I$770,'Billing Aug'!$D$2:$D$770,A410))</f>
        <v/>
      </c>
      <c r="Q410" s="37">
        <f>IF(N410=0,"NO AUG TRANSACTION IN SUPPLIED EXTRACT",IF(ABS(P410)&gt;0.004,"SUBLEDGER ARITHMETIC ERROR",IF(ABS(M410)&gt;0.004,"BILLING VARIANCE","MATCH")))</f>
        <v/>
      </c>
    </row>
    <row r="411">
      <c r="A411" s="37" t="inlineStr">
        <is>
          <t>VB-0807</t>
        </is>
      </c>
      <c r="B411" s="37" t="inlineStr">
        <is>
          <t>Vessbank</t>
        </is>
      </c>
      <c r="C411" s="37" t="inlineStr">
        <is>
          <t>COVERED</t>
        </is>
      </c>
      <c r="D411" s="37" t="inlineStr">
        <is>
          <t>OCCUPIED</t>
        </is>
      </c>
      <c r="E411" s="37" t="inlineStr">
        <is>
          <t>WL-01492</t>
        </is>
      </c>
      <c r="F411" s="37" t="inlineStr">
        <is>
          <t>Elizabeth Williams</t>
        </is>
      </c>
      <c r="G411" s="37" t="n">
        <v>36</v>
      </c>
      <c r="H411" s="39" t="n">
        <v>58.2</v>
      </c>
      <c r="I411" s="40">
        <f>ROUNDUP(MAX(G411,H411),0)</f>
        <v/>
      </c>
      <c r="J411" s="41">
        <f>IF(C411="COVERED",'Methodology'!$B$9,'Methodology'!$B$10)</f>
        <v/>
      </c>
      <c r="K411" s="41">
        <f>I411*J411</f>
        <v/>
      </c>
      <c r="L411" s="41">
        <f>SUMIFS('Billing Aug'!$J$2:$J$770,'Billing Aug'!$D$2:$D$770,A411)</f>
        <v/>
      </c>
      <c r="M411" s="41">
        <f>L411-K411</f>
        <v/>
      </c>
      <c r="N411" s="37">
        <f>COUNTIF('Billing Aug'!$D$2:$D$770,A411)</f>
        <v/>
      </c>
      <c r="O411" s="37">
        <f>SUMIFS('Billing Aug'!$F$2:$F$770,'Billing Aug'!$D$2:$D$770,A411)</f>
        <v/>
      </c>
      <c r="P411" s="41">
        <f>IF(N411=0,0,L411-SUMIFS('Billing Aug'!$H$2:$H$770,'Billing Aug'!$D$2:$D$770,A411)*SUMIFS('Billing Aug'!$I$2:$I$770,'Billing Aug'!$D$2:$D$770,A411))</f>
        <v/>
      </c>
      <c r="Q411" s="37">
        <f>IF(N411=0,"NO AUG TRANSACTION IN SUPPLIED EXTRACT",IF(ABS(P411)&gt;0.004,"SUBLEDGER ARITHMETIC ERROR",IF(ABS(M411)&gt;0.004,"BILLING VARIANCE","MATCH")))</f>
        <v/>
      </c>
    </row>
    <row r="412">
      <c r="A412" s="37" t="inlineStr">
        <is>
          <t>VB-0808</t>
        </is>
      </c>
      <c r="B412" s="37" t="inlineStr">
        <is>
          <t>Vessbank</t>
        </is>
      </c>
      <c r="C412" s="37" t="inlineStr">
        <is>
          <t>COVERED</t>
        </is>
      </c>
      <c r="D412" s="37" t="inlineStr">
        <is>
          <t>OCCUPIED</t>
        </is>
      </c>
      <c r="E412" s="37" t="inlineStr">
        <is>
          <t>WL-03837</t>
        </is>
      </c>
      <c r="F412" s="37" t="inlineStr">
        <is>
          <t>John Griffith</t>
        </is>
      </c>
      <c r="G412" s="37" t="n">
        <v>24</v>
      </c>
      <c r="H412" s="39" t="n">
        <v>18.2</v>
      </c>
      <c r="I412" s="40">
        <f>ROUNDUP(MAX(G412,H412),0)</f>
        <v/>
      </c>
      <c r="J412" s="41">
        <f>IF(C412="COVERED",'Methodology'!$B$9,'Methodology'!$B$10)</f>
        <v/>
      </c>
      <c r="K412" s="41">
        <f>I412*J412</f>
        <v/>
      </c>
      <c r="L412" s="41">
        <f>SUMIFS('Billing Aug'!$J$2:$J$770,'Billing Aug'!$D$2:$D$770,A412)</f>
        <v/>
      </c>
      <c r="M412" s="41">
        <f>L412-K412</f>
        <v/>
      </c>
      <c r="N412" s="37">
        <f>COUNTIF('Billing Aug'!$D$2:$D$770,A412)</f>
        <v/>
      </c>
      <c r="O412" s="37">
        <f>SUMIFS('Billing Aug'!$F$2:$F$770,'Billing Aug'!$D$2:$D$770,A412)</f>
        <v/>
      </c>
      <c r="P412" s="41">
        <f>IF(N412=0,0,L412-SUMIFS('Billing Aug'!$H$2:$H$770,'Billing Aug'!$D$2:$D$770,A412)*SUMIFS('Billing Aug'!$I$2:$I$770,'Billing Aug'!$D$2:$D$770,A412))</f>
        <v/>
      </c>
      <c r="Q412" s="37">
        <f>IF(N412=0,"NO AUG TRANSACTION IN SUPPLIED EXTRACT",IF(ABS(P412)&gt;0.004,"SUBLEDGER ARITHMETIC ERROR",IF(ABS(M412)&gt;0.004,"BILLING VARIANCE","MATCH")))</f>
        <v/>
      </c>
    </row>
    <row r="413">
      <c r="A413" s="37" t="inlineStr">
        <is>
          <t>VB-0810</t>
        </is>
      </c>
      <c r="B413" s="37" t="inlineStr">
        <is>
          <t>Vessbank</t>
        </is>
      </c>
      <c r="C413" s="37" t="inlineStr">
        <is>
          <t>COVERED</t>
        </is>
      </c>
      <c r="D413" s="37" t="inlineStr">
        <is>
          <t>OCCUPIED</t>
        </is>
      </c>
      <c r="E413" s="37" t="inlineStr">
        <is>
          <t>WL-03458</t>
        </is>
      </c>
      <c r="F413" s="37" t="inlineStr">
        <is>
          <t>Brittany Wells</t>
        </is>
      </c>
      <c r="G413" s="37" t="n">
        <v>32</v>
      </c>
      <c r="H413" s="39" t="n">
        <v>21.3</v>
      </c>
      <c r="I413" s="40">
        <f>ROUNDUP(MAX(G413,H413),0)</f>
        <v/>
      </c>
      <c r="J413" s="41">
        <f>IF(C413="COVERED",'Methodology'!$B$9,'Methodology'!$B$10)</f>
        <v/>
      </c>
      <c r="K413" s="41">
        <f>I413*J413</f>
        <v/>
      </c>
      <c r="L413" s="41">
        <f>SUMIFS('Billing Aug'!$J$2:$J$770,'Billing Aug'!$D$2:$D$770,A413)</f>
        <v/>
      </c>
      <c r="M413" s="41">
        <f>L413-K413</f>
        <v/>
      </c>
      <c r="N413" s="37">
        <f>COUNTIF('Billing Aug'!$D$2:$D$770,A413)</f>
        <v/>
      </c>
      <c r="O413" s="37">
        <f>SUMIFS('Billing Aug'!$F$2:$F$770,'Billing Aug'!$D$2:$D$770,A413)</f>
        <v/>
      </c>
      <c r="P413" s="41">
        <f>IF(N413=0,0,L413-SUMIFS('Billing Aug'!$H$2:$H$770,'Billing Aug'!$D$2:$D$770,A413)*SUMIFS('Billing Aug'!$I$2:$I$770,'Billing Aug'!$D$2:$D$770,A413))</f>
        <v/>
      </c>
      <c r="Q413" s="37">
        <f>IF(N413=0,"NO AUG TRANSACTION IN SUPPLIED EXTRACT",IF(ABS(P413)&gt;0.004,"SUBLEDGER ARITHMETIC ERROR",IF(ABS(M413)&gt;0.004,"BILLING VARIANCE","MATCH")))</f>
        <v/>
      </c>
    </row>
    <row r="414">
      <c r="A414" s="37" t="inlineStr">
        <is>
          <t>VB-0811</t>
        </is>
      </c>
      <c r="B414" s="37" t="inlineStr">
        <is>
          <t>Vessbank</t>
        </is>
      </c>
      <c r="C414" s="37" t="inlineStr">
        <is>
          <t>COVERED</t>
        </is>
      </c>
      <c r="D414" s="37" t="inlineStr">
        <is>
          <t>OCCUPIED</t>
        </is>
      </c>
      <c r="E414" s="37" t="inlineStr">
        <is>
          <t>WL-02419</t>
        </is>
      </c>
      <c r="F414" s="37" t="inlineStr">
        <is>
          <t>Cameron Aguirre</t>
        </is>
      </c>
      <c r="G414" s="37" t="n">
        <v>40</v>
      </c>
      <c r="H414" s="39" t="n">
        <v>52.9</v>
      </c>
      <c r="I414" s="40">
        <f>ROUNDUP(MAX(G414,H414),0)</f>
        <v/>
      </c>
      <c r="J414" s="41">
        <f>IF(C414="COVERED",'Methodology'!$B$9,'Methodology'!$B$10)</f>
        <v/>
      </c>
      <c r="K414" s="41">
        <f>I414*J414</f>
        <v/>
      </c>
      <c r="L414" s="41">
        <f>SUMIFS('Billing Aug'!$J$2:$J$770,'Billing Aug'!$D$2:$D$770,A414)</f>
        <v/>
      </c>
      <c r="M414" s="41">
        <f>L414-K414</f>
        <v/>
      </c>
      <c r="N414" s="37">
        <f>COUNTIF('Billing Aug'!$D$2:$D$770,A414)</f>
        <v/>
      </c>
      <c r="O414" s="37">
        <f>SUMIFS('Billing Aug'!$F$2:$F$770,'Billing Aug'!$D$2:$D$770,A414)</f>
        <v/>
      </c>
      <c r="P414" s="41">
        <f>IF(N414=0,0,L414-SUMIFS('Billing Aug'!$H$2:$H$770,'Billing Aug'!$D$2:$D$770,A414)*SUMIFS('Billing Aug'!$I$2:$I$770,'Billing Aug'!$D$2:$D$770,A414))</f>
        <v/>
      </c>
      <c r="Q414" s="37">
        <f>IF(N414=0,"NO AUG TRANSACTION IN SUPPLIED EXTRACT",IF(ABS(P414)&gt;0.004,"SUBLEDGER ARITHMETIC ERROR",IF(ABS(M414)&gt;0.004,"BILLING VARIANCE","MATCH")))</f>
        <v/>
      </c>
    </row>
    <row r="415">
      <c r="A415" s="37" t="inlineStr">
        <is>
          <t>VB-0812</t>
        </is>
      </c>
      <c r="B415" s="37" t="inlineStr">
        <is>
          <t>Vessbank</t>
        </is>
      </c>
      <c r="C415" s="37" t="inlineStr">
        <is>
          <t>COVERED</t>
        </is>
      </c>
      <c r="D415" s="37" t="inlineStr">
        <is>
          <t>OCCUPIED</t>
        </is>
      </c>
      <c r="E415" s="37" t="inlineStr">
        <is>
          <t>WL-02636</t>
        </is>
      </c>
      <c r="F415" s="37" t="inlineStr">
        <is>
          <t>Andrew Young</t>
        </is>
      </c>
      <c r="G415" s="37" t="n">
        <v>32</v>
      </c>
      <c r="H415" s="39" t="n">
        <v>33.4</v>
      </c>
      <c r="I415" s="40">
        <f>ROUNDUP(MAX(G415,H415),0)</f>
        <v/>
      </c>
      <c r="J415" s="41">
        <f>IF(C415="COVERED",'Methodology'!$B$9,'Methodology'!$B$10)</f>
        <v/>
      </c>
      <c r="K415" s="41">
        <f>I415*J415</f>
        <v/>
      </c>
      <c r="L415" s="41">
        <f>SUMIFS('Billing Aug'!$J$2:$J$770,'Billing Aug'!$D$2:$D$770,A415)</f>
        <v/>
      </c>
      <c r="M415" s="41">
        <f>L415-K415</f>
        <v/>
      </c>
      <c r="N415" s="37">
        <f>COUNTIF('Billing Aug'!$D$2:$D$770,A415)</f>
        <v/>
      </c>
      <c r="O415" s="37">
        <f>SUMIFS('Billing Aug'!$F$2:$F$770,'Billing Aug'!$D$2:$D$770,A415)</f>
        <v/>
      </c>
      <c r="P415" s="41">
        <f>IF(N415=0,0,L415-SUMIFS('Billing Aug'!$H$2:$H$770,'Billing Aug'!$D$2:$D$770,A415)*SUMIFS('Billing Aug'!$I$2:$I$770,'Billing Aug'!$D$2:$D$770,A415))</f>
        <v/>
      </c>
      <c r="Q415" s="37">
        <f>IF(N415=0,"NO AUG TRANSACTION IN SUPPLIED EXTRACT",IF(ABS(P415)&gt;0.004,"SUBLEDGER ARITHMETIC ERROR",IF(ABS(M415)&gt;0.004,"BILLING VARIANCE","MATCH")))</f>
        <v/>
      </c>
    </row>
    <row r="416">
      <c r="A416" s="37" t="inlineStr">
        <is>
          <t>VB-0813</t>
        </is>
      </c>
      <c r="B416" s="37" t="inlineStr">
        <is>
          <t>Vessbank</t>
        </is>
      </c>
      <c r="C416" s="37" t="inlineStr">
        <is>
          <t>COVERED</t>
        </is>
      </c>
      <c r="D416" s="37" t="inlineStr">
        <is>
          <t>OCCUPIED</t>
        </is>
      </c>
      <c r="E416" s="37" t="inlineStr">
        <is>
          <t>WL-03132</t>
        </is>
      </c>
      <c r="F416" s="37" t="inlineStr">
        <is>
          <t>David Fox</t>
        </is>
      </c>
      <c r="G416" s="37" t="n">
        <v>28</v>
      </c>
      <c r="H416" s="39" t="n">
        <v>56.2</v>
      </c>
      <c r="I416" s="40">
        <f>ROUNDUP(MAX(G416,H416),0)</f>
        <v/>
      </c>
      <c r="J416" s="41">
        <f>IF(C416="COVERED",'Methodology'!$B$9,'Methodology'!$B$10)</f>
        <v/>
      </c>
      <c r="K416" s="41">
        <f>I416*J416</f>
        <v/>
      </c>
      <c r="L416" s="41">
        <f>SUMIFS('Billing Aug'!$J$2:$J$770,'Billing Aug'!$D$2:$D$770,A416)</f>
        <v/>
      </c>
      <c r="M416" s="41">
        <f>L416-K416</f>
        <v/>
      </c>
      <c r="N416" s="37">
        <f>COUNTIF('Billing Aug'!$D$2:$D$770,A416)</f>
        <v/>
      </c>
      <c r="O416" s="37">
        <f>SUMIFS('Billing Aug'!$F$2:$F$770,'Billing Aug'!$D$2:$D$770,A416)</f>
        <v/>
      </c>
      <c r="P416" s="41">
        <f>IF(N416=0,0,L416-SUMIFS('Billing Aug'!$H$2:$H$770,'Billing Aug'!$D$2:$D$770,A416)*SUMIFS('Billing Aug'!$I$2:$I$770,'Billing Aug'!$D$2:$D$770,A416))</f>
        <v/>
      </c>
      <c r="Q416" s="37">
        <f>IF(N416=0,"NO AUG TRANSACTION IN SUPPLIED EXTRACT",IF(ABS(P416)&gt;0.004,"SUBLEDGER ARITHMETIC ERROR",IF(ABS(M416)&gt;0.004,"BILLING VARIANCE","MATCH")))</f>
        <v/>
      </c>
    </row>
    <row r="417">
      <c r="A417" s="37" t="inlineStr">
        <is>
          <t>VB-0814</t>
        </is>
      </c>
      <c r="B417" s="37" t="inlineStr">
        <is>
          <t>Vessbank</t>
        </is>
      </c>
      <c r="C417" s="37" t="inlineStr">
        <is>
          <t>COVERED</t>
        </is>
      </c>
      <c r="D417" s="37" t="inlineStr">
        <is>
          <t>OCCUPIED</t>
        </is>
      </c>
      <c r="E417" s="37" t="inlineStr">
        <is>
          <t>WL-03609</t>
        </is>
      </c>
      <c r="F417" s="37" t="inlineStr">
        <is>
          <t>Daniel Dunn</t>
        </is>
      </c>
      <c r="G417" s="37" t="n">
        <v>28</v>
      </c>
      <c r="H417" s="39" t="n">
        <v>59.7</v>
      </c>
      <c r="I417" s="40">
        <f>ROUNDUP(MAX(G417,H417),0)</f>
        <v/>
      </c>
      <c r="J417" s="41">
        <f>IF(C417="COVERED",'Methodology'!$B$9,'Methodology'!$B$10)</f>
        <v/>
      </c>
      <c r="K417" s="41">
        <f>I417*J417</f>
        <v/>
      </c>
      <c r="L417" s="41">
        <f>SUMIFS('Billing Aug'!$J$2:$J$770,'Billing Aug'!$D$2:$D$770,A417)</f>
        <v/>
      </c>
      <c r="M417" s="41">
        <f>L417-K417</f>
        <v/>
      </c>
      <c r="N417" s="37">
        <f>COUNTIF('Billing Aug'!$D$2:$D$770,A417)</f>
        <v/>
      </c>
      <c r="O417" s="37">
        <f>SUMIFS('Billing Aug'!$F$2:$F$770,'Billing Aug'!$D$2:$D$770,A417)</f>
        <v/>
      </c>
      <c r="P417" s="41">
        <f>IF(N417=0,0,L417-SUMIFS('Billing Aug'!$H$2:$H$770,'Billing Aug'!$D$2:$D$770,A417)*SUMIFS('Billing Aug'!$I$2:$I$770,'Billing Aug'!$D$2:$D$770,A417))</f>
        <v/>
      </c>
      <c r="Q417" s="37">
        <f>IF(N417=0,"NO AUG TRANSACTION IN SUPPLIED EXTRACT",IF(ABS(P417)&gt;0.004,"SUBLEDGER ARITHMETIC ERROR",IF(ABS(M417)&gt;0.004,"BILLING VARIANCE","MATCH")))</f>
        <v/>
      </c>
    </row>
    <row r="418">
      <c r="A418" s="37" t="inlineStr">
        <is>
          <t>VB-0815</t>
        </is>
      </c>
      <c r="B418" s="37" t="inlineStr">
        <is>
          <t>Vessbank</t>
        </is>
      </c>
      <c r="C418" s="37" t="inlineStr">
        <is>
          <t>COVERED</t>
        </is>
      </c>
      <c r="D418" s="37" t="inlineStr">
        <is>
          <t>OCCUPIED</t>
        </is>
      </c>
      <c r="E418" s="37" t="inlineStr">
        <is>
          <t>WL-01850</t>
        </is>
      </c>
      <c r="F418" s="37" t="inlineStr">
        <is>
          <t>Bryce Benjamin</t>
        </is>
      </c>
      <c r="G418" s="37" t="n">
        <v>36</v>
      </c>
      <c r="H418" s="39" t="n">
        <v>22.4</v>
      </c>
      <c r="I418" s="40">
        <f>ROUNDUP(MAX(G418,H418),0)</f>
        <v/>
      </c>
      <c r="J418" s="41">
        <f>IF(C418="COVERED",'Methodology'!$B$9,'Methodology'!$B$10)</f>
        <v/>
      </c>
      <c r="K418" s="41">
        <f>I418*J418</f>
        <v/>
      </c>
      <c r="L418" s="41">
        <f>SUMIFS('Billing Aug'!$J$2:$J$770,'Billing Aug'!$D$2:$D$770,A418)</f>
        <v/>
      </c>
      <c r="M418" s="41">
        <f>L418-K418</f>
        <v/>
      </c>
      <c r="N418" s="37">
        <f>COUNTIF('Billing Aug'!$D$2:$D$770,A418)</f>
        <v/>
      </c>
      <c r="O418" s="37">
        <f>SUMIFS('Billing Aug'!$F$2:$F$770,'Billing Aug'!$D$2:$D$770,A418)</f>
        <v/>
      </c>
      <c r="P418" s="41">
        <f>IF(N418=0,0,L418-SUMIFS('Billing Aug'!$H$2:$H$770,'Billing Aug'!$D$2:$D$770,A418)*SUMIFS('Billing Aug'!$I$2:$I$770,'Billing Aug'!$D$2:$D$770,A418))</f>
        <v/>
      </c>
      <c r="Q418" s="37">
        <f>IF(N418=0,"NO AUG TRANSACTION IN SUPPLIED EXTRACT",IF(ABS(P418)&gt;0.004,"SUBLEDGER ARITHMETIC ERROR",IF(ABS(M418)&gt;0.004,"BILLING VARIANCE","MATCH")))</f>
        <v/>
      </c>
    </row>
    <row r="419">
      <c r="A419" s="37" t="inlineStr">
        <is>
          <t>VB-0816</t>
        </is>
      </c>
      <c r="B419" s="37" t="inlineStr">
        <is>
          <t>Vessbank</t>
        </is>
      </c>
      <c r="C419" s="37" t="inlineStr">
        <is>
          <t>COVERED</t>
        </is>
      </c>
      <c r="D419" s="37" t="inlineStr">
        <is>
          <t>OCCUPIED</t>
        </is>
      </c>
      <c r="E419" s="37" t="inlineStr">
        <is>
          <t>WL-02825</t>
        </is>
      </c>
      <c r="F419" s="37" t="inlineStr">
        <is>
          <t>Dustin Watkins</t>
        </is>
      </c>
      <c r="G419" s="37" t="n">
        <v>32</v>
      </c>
      <c r="H419" s="39" t="n">
        <v>58.6</v>
      </c>
      <c r="I419" s="40">
        <f>ROUNDUP(MAX(G419,H419),0)</f>
        <v/>
      </c>
      <c r="J419" s="41">
        <f>IF(C419="COVERED",'Methodology'!$B$9,'Methodology'!$B$10)</f>
        <v/>
      </c>
      <c r="K419" s="41">
        <f>I419*J419</f>
        <v/>
      </c>
      <c r="L419" s="41">
        <f>SUMIFS('Billing Aug'!$J$2:$J$770,'Billing Aug'!$D$2:$D$770,A419)</f>
        <v/>
      </c>
      <c r="M419" s="41">
        <f>L419-K419</f>
        <v/>
      </c>
      <c r="N419" s="37">
        <f>COUNTIF('Billing Aug'!$D$2:$D$770,A419)</f>
        <v/>
      </c>
      <c r="O419" s="37">
        <f>SUMIFS('Billing Aug'!$F$2:$F$770,'Billing Aug'!$D$2:$D$770,A419)</f>
        <v/>
      </c>
      <c r="P419" s="41">
        <f>IF(N419=0,0,L419-SUMIFS('Billing Aug'!$H$2:$H$770,'Billing Aug'!$D$2:$D$770,A419)*SUMIFS('Billing Aug'!$I$2:$I$770,'Billing Aug'!$D$2:$D$770,A419))</f>
        <v/>
      </c>
      <c r="Q419" s="37">
        <f>IF(N419=0,"NO AUG TRANSACTION IN SUPPLIED EXTRACT",IF(ABS(P419)&gt;0.004,"SUBLEDGER ARITHMETIC ERROR",IF(ABS(M419)&gt;0.004,"BILLING VARIANCE","MATCH")))</f>
        <v/>
      </c>
    </row>
    <row r="420">
      <c r="A420" s="37" t="inlineStr">
        <is>
          <t>VB-0817</t>
        </is>
      </c>
      <c r="B420" s="37" t="inlineStr">
        <is>
          <t>Vessbank</t>
        </is>
      </c>
      <c r="C420" s="37" t="inlineStr">
        <is>
          <t>COVERED</t>
        </is>
      </c>
      <c r="D420" s="37" t="inlineStr">
        <is>
          <t>OCCUPIED</t>
        </is>
      </c>
      <c r="E420" s="37" t="inlineStr">
        <is>
          <t>WL-02072</t>
        </is>
      </c>
      <c r="F420" s="37" t="inlineStr">
        <is>
          <t>Stephen Hoffman</t>
        </is>
      </c>
      <c r="G420" s="37" t="n">
        <v>28</v>
      </c>
      <c r="H420" s="39" t="n">
        <v>54.9</v>
      </c>
      <c r="I420" s="40">
        <f>ROUNDUP(MAX(G420,H420),0)</f>
        <v/>
      </c>
      <c r="J420" s="41">
        <f>IF(C420="COVERED",'Methodology'!$B$9,'Methodology'!$B$10)</f>
        <v/>
      </c>
      <c r="K420" s="41">
        <f>I420*J420</f>
        <v/>
      </c>
      <c r="L420" s="41">
        <f>SUMIFS('Billing Aug'!$J$2:$J$770,'Billing Aug'!$D$2:$D$770,A420)</f>
        <v/>
      </c>
      <c r="M420" s="41">
        <f>L420-K420</f>
        <v/>
      </c>
      <c r="N420" s="37">
        <f>COUNTIF('Billing Aug'!$D$2:$D$770,A420)</f>
        <v/>
      </c>
      <c r="O420" s="37">
        <f>SUMIFS('Billing Aug'!$F$2:$F$770,'Billing Aug'!$D$2:$D$770,A420)</f>
        <v/>
      </c>
      <c r="P420" s="41">
        <f>IF(N420=0,0,L420-SUMIFS('Billing Aug'!$H$2:$H$770,'Billing Aug'!$D$2:$D$770,A420)*SUMIFS('Billing Aug'!$I$2:$I$770,'Billing Aug'!$D$2:$D$770,A420))</f>
        <v/>
      </c>
      <c r="Q420" s="37">
        <f>IF(N420=0,"NO AUG TRANSACTION IN SUPPLIED EXTRACT",IF(ABS(P420)&gt;0.004,"SUBLEDGER ARITHMETIC ERROR",IF(ABS(M420)&gt;0.004,"BILLING VARIANCE","MATCH")))</f>
        <v/>
      </c>
    </row>
    <row r="421">
      <c r="A421" s="37" t="inlineStr">
        <is>
          <t>VB-0818</t>
        </is>
      </c>
      <c r="B421" s="37" t="inlineStr">
        <is>
          <t>Vessbank</t>
        </is>
      </c>
      <c r="C421" s="37" t="inlineStr">
        <is>
          <t>COVERED</t>
        </is>
      </c>
      <c r="D421" s="37" t="inlineStr">
        <is>
          <t>OCCUPIED</t>
        </is>
      </c>
      <c r="E421" s="37" t="inlineStr">
        <is>
          <t>WL-01501</t>
        </is>
      </c>
      <c r="F421" s="37" t="inlineStr">
        <is>
          <t>Thomas Levine</t>
        </is>
      </c>
      <c r="G421" s="37" t="n">
        <v>24</v>
      </c>
      <c r="H421" s="39" t="n">
        <v>47</v>
      </c>
      <c r="I421" s="40">
        <f>ROUNDUP(MAX(G421,H421),0)</f>
        <v/>
      </c>
      <c r="J421" s="41">
        <f>IF(C421="COVERED",'Methodology'!$B$9,'Methodology'!$B$10)</f>
        <v/>
      </c>
      <c r="K421" s="41">
        <f>I421*J421</f>
        <v/>
      </c>
      <c r="L421" s="41">
        <f>SUMIFS('Billing Aug'!$J$2:$J$770,'Billing Aug'!$D$2:$D$770,A421)</f>
        <v/>
      </c>
      <c r="M421" s="41">
        <f>L421-K421</f>
        <v/>
      </c>
      <c r="N421" s="37">
        <f>COUNTIF('Billing Aug'!$D$2:$D$770,A421)</f>
        <v/>
      </c>
      <c r="O421" s="37">
        <f>SUMIFS('Billing Aug'!$F$2:$F$770,'Billing Aug'!$D$2:$D$770,A421)</f>
        <v/>
      </c>
      <c r="P421" s="41">
        <f>IF(N421=0,0,L421-SUMIFS('Billing Aug'!$H$2:$H$770,'Billing Aug'!$D$2:$D$770,A421)*SUMIFS('Billing Aug'!$I$2:$I$770,'Billing Aug'!$D$2:$D$770,A421))</f>
        <v/>
      </c>
      <c r="Q421" s="37">
        <f>IF(N421=0,"NO AUG TRANSACTION IN SUPPLIED EXTRACT",IF(ABS(P421)&gt;0.004,"SUBLEDGER ARITHMETIC ERROR",IF(ABS(M421)&gt;0.004,"BILLING VARIANCE","MATCH")))</f>
        <v/>
      </c>
    </row>
    <row r="422">
      <c r="A422" s="37" t="inlineStr">
        <is>
          <t>VB-0819</t>
        </is>
      </c>
      <c r="B422" s="37" t="inlineStr">
        <is>
          <t>Vessbank</t>
        </is>
      </c>
      <c r="C422" s="37" t="inlineStr">
        <is>
          <t>COVERED</t>
        </is>
      </c>
      <c r="D422" s="37" t="inlineStr">
        <is>
          <t>OCCUPIED</t>
        </is>
      </c>
      <c r="E422" s="37" t="inlineStr">
        <is>
          <t>WL-03202</t>
        </is>
      </c>
      <c r="F422" s="37" t="inlineStr">
        <is>
          <t>Brian Scott</t>
        </is>
      </c>
      <c r="G422" s="37" t="n">
        <v>24</v>
      </c>
      <c r="H422" s="39" t="n">
        <v>56.9</v>
      </c>
      <c r="I422" s="40">
        <f>ROUNDUP(MAX(G422,H422),0)</f>
        <v/>
      </c>
      <c r="J422" s="41">
        <f>IF(C422="COVERED",'Methodology'!$B$9,'Methodology'!$B$10)</f>
        <v/>
      </c>
      <c r="K422" s="41">
        <f>I422*J422</f>
        <v/>
      </c>
      <c r="L422" s="41">
        <f>SUMIFS('Billing Aug'!$J$2:$J$770,'Billing Aug'!$D$2:$D$770,A422)</f>
        <v/>
      </c>
      <c r="M422" s="41">
        <f>L422-K422</f>
        <v/>
      </c>
      <c r="N422" s="37">
        <f>COUNTIF('Billing Aug'!$D$2:$D$770,A422)</f>
        <v/>
      </c>
      <c r="O422" s="37">
        <f>SUMIFS('Billing Aug'!$F$2:$F$770,'Billing Aug'!$D$2:$D$770,A422)</f>
        <v/>
      </c>
      <c r="P422" s="41">
        <f>IF(N422=0,0,L422-SUMIFS('Billing Aug'!$H$2:$H$770,'Billing Aug'!$D$2:$D$770,A422)*SUMIFS('Billing Aug'!$I$2:$I$770,'Billing Aug'!$D$2:$D$770,A422))</f>
        <v/>
      </c>
      <c r="Q422" s="37">
        <f>IF(N422=0,"NO AUG TRANSACTION IN SUPPLIED EXTRACT",IF(ABS(P422)&gt;0.004,"SUBLEDGER ARITHMETIC ERROR",IF(ABS(M422)&gt;0.004,"BILLING VARIANCE","MATCH")))</f>
        <v/>
      </c>
    </row>
    <row r="423">
      <c r="A423" s="37" t="inlineStr">
        <is>
          <t>VB-0820</t>
        </is>
      </c>
      <c r="B423" s="37" t="inlineStr">
        <is>
          <t>Vessbank</t>
        </is>
      </c>
      <c r="C423" s="37" t="inlineStr">
        <is>
          <t>COVERED</t>
        </is>
      </c>
      <c r="D423" s="37" t="inlineStr">
        <is>
          <t>OCCUPIED</t>
        </is>
      </c>
      <c r="E423" s="37" t="inlineStr">
        <is>
          <t>WL-01842</t>
        </is>
      </c>
      <c r="F423" s="37" t="inlineStr">
        <is>
          <t>Amy Thomas</t>
        </is>
      </c>
      <c r="G423" s="37" t="n">
        <v>36</v>
      </c>
      <c r="H423" s="39" t="n">
        <v>39.8</v>
      </c>
      <c r="I423" s="40">
        <f>ROUNDUP(MAX(G423,H423),0)</f>
        <v/>
      </c>
      <c r="J423" s="41">
        <f>IF(C423="COVERED",'Methodology'!$B$9,'Methodology'!$B$10)</f>
        <v/>
      </c>
      <c r="K423" s="41">
        <f>I423*J423</f>
        <v/>
      </c>
      <c r="L423" s="41">
        <f>SUMIFS('Billing Aug'!$J$2:$J$770,'Billing Aug'!$D$2:$D$770,A423)</f>
        <v/>
      </c>
      <c r="M423" s="41">
        <f>L423-K423</f>
        <v/>
      </c>
      <c r="N423" s="37">
        <f>COUNTIF('Billing Aug'!$D$2:$D$770,A423)</f>
        <v/>
      </c>
      <c r="O423" s="37">
        <f>SUMIFS('Billing Aug'!$F$2:$F$770,'Billing Aug'!$D$2:$D$770,A423)</f>
        <v/>
      </c>
      <c r="P423" s="41">
        <f>IF(N423=0,0,L423-SUMIFS('Billing Aug'!$H$2:$H$770,'Billing Aug'!$D$2:$D$770,A423)*SUMIFS('Billing Aug'!$I$2:$I$770,'Billing Aug'!$D$2:$D$770,A423))</f>
        <v/>
      </c>
      <c r="Q423" s="37">
        <f>IF(N423=0,"NO AUG TRANSACTION IN SUPPLIED EXTRACT",IF(ABS(P423)&gt;0.004,"SUBLEDGER ARITHMETIC ERROR",IF(ABS(M423)&gt;0.004,"BILLING VARIANCE","MATCH")))</f>
        <v/>
      </c>
    </row>
    <row r="424">
      <c r="A424" s="37" t="inlineStr">
        <is>
          <t>VB-0821</t>
        </is>
      </c>
      <c r="B424" s="37" t="inlineStr">
        <is>
          <t>Vessbank</t>
        </is>
      </c>
      <c r="C424" s="37" t="inlineStr">
        <is>
          <t>COVERED</t>
        </is>
      </c>
      <c r="D424" s="37" t="inlineStr">
        <is>
          <t>OCCUPIED</t>
        </is>
      </c>
      <c r="E424" s="37" t="inlineStr">
        <is>
          <t>WL-02284</t>
        </is>
      </c>
      <c r="F424" s="37" t="inlineStr">
        <is>
          <t>Tonya Ruiz</t>
        </is>
      </c>
      <c r="G424" s="37" t="n">
        <v>40</v>
      </c>
      <c r="H424" s="39" t="n">
        <v>57.6</v>
      </c>
      <c r="I424" s="40">
        <f>ROUNDUP(MAX(G424,H424),0)</f>
        <v/>
      </c>
      <c r="J424" s="41">
        <f>IF(C424="COVERED",'Methodology'!$B$9,'Methodology'!$B$10)</f>
        <v/>
      </c>
      <c r="K424" s="41">
        <f>I424*J424</f>
        <v/>
      </c>
      <c r="L424" s="41">
        <f>SUMIFS('Billing Aug'!$J$2:$J$770,'Billing Aug'!$D$2:$D$770,A424)</f>
        <v/>
      </c>
      <c r="M424" s="41">
        <f>L424-K424</f>
        <v/>
      </c>
      <c r="N424" s="37">
        <f>COUNTIF('Billing Aug'!$D$2:$D$770,A424)</f>
        <v/>
      </c>
      <c r="O424" s="37">
        <f>SUMIFS('Billing Aug'!$F$2:$F$770,'Billing Aug'!$D$2:$D$770,A424)</f>
        <v/>
      </c>
      <c r="P424" s="41">
        <f>IF(N424=0,0,L424-SUMIFS('Billing Aug'!$H$2:$H$770,'Billing Aug'!$D$2:$D$770,A424)*SUMIFS('Billing Aug'!$I$2:$I$770,'Billing Aug'!$D$2:$D$770,A424))</f>
        <v/>
      </c>
      <c r="Q424" s="37">
        <f>IF(N424=0,"NO AUG TRANSACTION IN SUPPLIED EXTRACT",IF(ABS(P424)&gt;0.004,"SUBLEDGER ARITHMETIC ERROR",IF(ABS(M424)&gt;0.004,"BILLING VARIANCE","MATCH")))</f>
        <v/>
      </c>
    </row>
    <row r="425">
      <c r="A425" s="37" t="inlineStr">
        <is>
          <t>VB-0822</t>
        </is>
      </c>
      <c r="B425" s="37" t="inlineStr">
        <is>
          <t>Vessbank</t>
        </is>
      </c>
      <c r="C425" s="37" t="inlineStr">
        <is>
          <t>COVERED</t>
        </is>
      </c>
      <c r="D425" s="37" t="inlineStr">
        <is>
          <t>OCCUPIED</t>
        </is>
      </c>
      <c r="E425" s="37" t="inlineStr">
        <is>
          <t>WL-01320</t>
        </is>
      </c>
      <c r="F425" s="37" t="inlineStr">
        <is>
          <t>Jesse Jennings</t>
        </is>
      </c>
      <c r="G425" s="37" t="n">
        <v>36</v>
      </c>
      <c r="H425" s="39" t="n">
        <v>50.8</v>
      </c>
      <c r="I425" s="40">
        <f>ROUNDUP(MAX(G425,H425),0)</f>
        <v/>
      </c>
      <c r="J425" s="41">
        <f>IF(C425="COVERED",'Methodology'!$B$9,'Methodology'!$B$10)</f>
        <v/>
      </c>
      <c r="K425" s="41">
        <f>I425*J425</f>
        <v/>
      </c>
      <c r="L425" s="41">
        <f>SUMIFS('Billing Aug'!$J$2:$J$770,'Billing Aug'!$D$2:$D$770,A425)</f>
        <v/>
      </c>
      <c r="M425" s="41">
        <f>L425-K425</f>
        <v/>
      </c>
      <c r="N425" s="37">
        <f>COUNTIF('Billing Aug'!$D$2:$D$770,A425)</f>
        <v/>
      </c>
      <c r="O425" s="37">
        <f>SUMIFS('Billing Aug'!$F$2:$F$770,'Billing Aug'!$D$2:$D$770,A425)</f>
        <v/>
      </c>
      <c r="P425" s="41">
        <f>IF(N425=0,0,L425-SUMIFS('Billing Aug'!$H$2:$H$770,'Billing Aug'!$D$2:$D$770,A425)*SUMIFS('Billing Aug'!$I$2:$I$770,'Billing Aug'!$D$2:$D$770,A425))</f>
        <v/>
      </c>
      <c r="Q425" s="37">
        <f>IF(N425=0,"NO AUG TRANSACTION IN SUPPLIED EXTRACT",IF(ABS(P425)&gt;0.004,"SUBLEDGER ARITHMETIC ERROR",IF(ABS(M425)&gt;0.004,"BILLING VARIANCE","MATCH")))</f>
        <v/>
      </c>
    </row>
    <row r="426">
      <c r="A426" s="37" t="inlineStr">
        <is>
          <t>VB-0823</t>
        </is>
      </c>
      <c r="B426" s="37" t="inlineStr">
        <is>
          <t>Vessbank</t>
        </is>
      </c>
      <c r="C426" s="37" t="inlineStr">
        <is>
          <t>COVERED</t>
        </is>
      </c>
      <c r="D426" s="37" t="inlineStr">
        <is>
          <t>OCCUPIED</t>
        </is>
      </c>
      <c r="E426" s="37" t="inlineStr">
        <is>
          <t>WL-01903</t>
        </is>
      </c>
      <c r="F426" s="37" t="inlineStr">
        <is>
          <t>Andrea Brady</t>
        </is>
      </c>
      <c r="G426" s="37" t="n">
        <v>40</v>
      </c>
      <c r="H426" s="39" t="n">
        <v>58.3</v>
      </c>
      <c r="I426" s="40">
        <f>ROUNDUP(MAX(G426,H426),0)</f>
        <v/>
      </c>
      <c r="J426" s="41">
        <f>IF(C426="COVERED",'Methodology'!$B$9,'Methodology'!$B$10)</f>
        <v/>
      </c>
      <c r="K426" s="41">
        <f>I426*J426</f>
        <v/>
      </c>
      <c r="L426" s="41">
        <f>SUMIFS('Billing Aug'!$J$2:$J$770,'Billing Aug'!$D$2:$D$770,A426)</f>
        <v/>
      </c>
      <c r="M426" s="41">
        <f>L426-K426</f>
        <v/>
      </c>
      <c r="N426" s="37">
        <f>COUNTIF('Billing Aug'!$D$2:$D$770,A426)</f>
        <v/>
      </c>
      <c r="O426" s="37">
        <f>SUMIFS('Billing Aug'!$F$2:$F$770,'Billing Aug'!$D$2:$D$770,A426)</f>
        <v/>
      </c>
      <c r="P426" s="41">
        <f>IF(N426=0,0,L426-SUMIFS('Billing Aug'!$H$2:$H$770,'Billing Aug'!$D$2:$D$770,A426)*SUMIFS('Billing Aug'!$I$2:$I$770,'Billing Aug'!$D$2:$D$770,A426))</f>
        <v/>
      </c>
      <c r="Q426" s="37">
        <f>IF(N426=0,"NO AUG TRANSACTION IN SUPPLIED EXTRACT",IF(ABS(P426)&gt;0.004,"SUBLEDGER ARITHMETIC ERROR",IF(ABS(M426)&gt;0.004,"BILLING VARIANCE","MATCH")))</f>
        <v/>
      </c>
    </row>
    <row r="427">
      <c r="A427" s="37" t="inlineStr">
        <is>
          <t>VB-0901</t>
        </is>
      </c>
      <c r="B427" s="37" t="inlineStr">
        <is>
          <t>Vessbank</t>
        </is>
      </c>
      <c r="C427" s="37" t="inlineStr">
        <is>
          <t>COVERED</t>
        </is>
      </c>
      <c r="D427" s="37" t="inlineStr">
        <is>
          <t>OCCUPIED</t>
        </is>
      </c>
      <c r="E427" s="37" t="inlineStr">
        <is>
          <t>WL-02650</t>
        </is>
      </c>
      <c r="F427" s="37" t="inlineStr">
        <is>
          <t>Alex White</t>
        </is>
      </c>
      <c r="G427" s="37" t="n">
        <v>36</v>
      </c>
      <c r="H427" s="39" t="n">
        <v>46.5</v>
      </c>
      <c r="I427" s="40">
        <f>ROUNDUP(MAX(G427,H427),0)</f>
        <v/>
      </c>
      <c r="J427" s="41">
        <f>IF(C427="COVERED",'Methodology'!$B$9,'Methodology'!$B$10)</f>
        <v/>
      </c>
      <c r="K427" s="41">
        <f>I427*J427</f>
        <v/>
      </c>
      <c r="L427" s="41">
        <f>SUMIFS('Billing Aug'!$J$2:$J$770,'Billing Aug'!$D$2:$D$770,A427)</f>
        <v/>
      </c>
      <c r="M427" s="41">
        <f>L427-K427</f>
        <v/>
      </c>
      <c r="N427" s="37">
        <f>COUNTIF('Billing Aug'!$D$2:$D$770,A427)</f>
        <v/>
      </c>
      <c r="O427" s="37">
        <f>SUMIFS('Billing Aug'!$F$2:$F$770,'Billing Aug'!$D$2:$D$770,A427)</f>
        <v/>
      </c>
      <c r="P427" s="41">
        <f>IF(N427=0,0,L427-SUMIFS('Billing Aug'!$H$2:$H$770,'Billing Aug'!$D$2:$D$770,A427)*SUMIFS('Billing Aug'!$I$2:$I$770,'Billing Aug'!$D$2:$D$770,A427))</f>
        <v/>
      </c>
      <c r="Q427" s="37">
        <f>IF(N427=0,"NO AUG TRANSACTION IN SUPPLIED EXTRACT",IF(ABS(P427)&gt;0.004,"SUBLEDGER ARITHMETIC ERROR",IF(ABS(M427)&gt;0.004,"BILLING VARIANCE","MATCH")))</f>
        <v/>
      </c>
    </row>
    <row r="428">
      <c r="A428" s="37" t="inlineStr">
        <is>
          <t>VB-0902</t>
        </is>
      </c>
      <c r="B428" s="37" t="inlineStr">
        <is>
          <t>Vessbank</t>
        </is>
      </c>
      <c r="C428" s="37" t="inlineStr">
        <is>
          <t>COVERED</t>
        </is>
      </c>
      <c r="D428" s="37" t="inlineStr">
        <is>
          <t>OCCUPIED</t>
        </is>
      </c>
      <c r="E428" s="37" t="inlineStr">
        <is>
          <t>WL-01273</t>
        </is>
      </c>
      <c r="F428" s="37" t="inlineStr">
        <is>
          <t>Eduardo Henry</t>
        </is>
      </c>
      <c r="G428" s="37" t="n">
        <v>28</v>
      </c>
      <c r="H428" s="39" t="n">
        <v>58.1</v>
      </c>
      <c r="I428" s="40">
        <f>ROUNDUP(MAX(G428,H428),0)</f>
        <v/>
      </c>
      <c r="J428" s="41">
        <f>IF(C428="COVERED",'Methodology'!$B$9,'Methodology'!$B$10)</f>
        <v/>
      </c>
      <c r="K428" s="41">
        <f>I428*J428</f>
        <v/>
      </c>
      <c r="L428" s="41">
        <f>SUMIFS('Billing Aug'!$J$2:$J$770,'Billing Aug'!$D$2:$D$770,A428)</f>
        <v/>
      </c>
      <c r="M428" s="41">
        <f>L428-K428</f>
        <v/>
      </c>
      <c r="N428" s="37">
        <f>COUNTIF('Billing Aug'!$D$2:$D$770,A428)</f>
        <v/>
      </c>
      <c r="O428" s="37">
        <f>SUMIFS('Billing Aug'!$F$2:$F$770,'Billing Aug'!$D$2:$D$770,A428)</f>
        <v/>
      </c>
      <c r="P428" s="41">
        <f>IF(N428=0,0,L428-SUMIFS('Billing Aug'!$H$2:$H$770,'Billing Aug'!$D$2:$D$770,A428)*SUMIFS('Billing Aug'!$I$2:$I$770,'Billing Aug'!$D$2:$D$770,A428))</f>
        <v/>
      </c>
      <c r="Q428" s="37">
        <f>IF(N428=0,"NO AUG TRANSACTION IN SUPPLIED EXTRACT",IF(ABS(P428)&gt;0.004,"SUBLEDGER ARITHMETIC ERROR",IF(ABS(M428)&gt;0.004,"BILLING VARIANCE","MATCH")))</f>
        <v/>
      </c>
    </row>
    <row r="429">
      <c r="A429" s="37" t="inlineStr">
        <is>
          <t>VB-0903</t>
        </is>
      </c>
      <c r="B429" s="37" t="inlineStr">
        <is>
          <t>Vessbank</t>
        </is>
      </c>
      <c r="C429" s="37" t="inlineStr">
        <is>
          <t>COVERED</t>
        </is>
      </c>
      <c r="D429" s="37" t="inlineStr">
        <is>
          <t>OCCUPIED</t>
        </is>
      </c>
      <c r="E429" s="37" t="inlineStr">
        <is>
          <t>WL-02456</t>
        </is>
      </c>
      <c r="F429" s="37" t="inlineStr">
        <is>
          <t>Madeline Nunez</t>
        </is>
      </c>
      <c r="G429" s="37" t="n">
        <v>36</v>
      </c>
      <c r="H429" s="39" t="n">
        <v>56.6</v>
      </c>
      <c r="I429" s="40">
        <f>ROUNDUP(MAX(G429,H429),0)</f>
        <v/>
      </c>
      <c r="J429" s="41">
        <f>IF(C429="COVERED",'Methodology'!$B$9,'Methodology'!$B$10)</f>
        <v/>
      </c>
      <c r="K429" s="41">
        <f>I429*J429</f>
        <v/>
      </c>
      <c r="L429" s="41">
        <f>SUMIFS('Billing Aug'!$J$2:$J$770,'Billing Aug'!$D$2:$D$770,A429)</f>
        <v/>
      </c>
      <c r="M429" s="41">
        <f>L429-K429</f>
        <v/>
      </c>
      <c r="N429" s="37">
        <f>COUNTIF('Billing Aug'!$D$2:$D$770,A429)</f>
        <v/>
      </c>
      <c r="O429" s="37">
        <f>SUMIFS('Billing Aug'!$F$2:$F$770,'Billing Aug'!$D$2:$D$770,A429)</f>
        <v/>
      </c>
      <c r="P429" s="41">
        <f>IF(N429=0,0,L429-SUMIFS('Billing Aug'!$H$2:$H$770,'Billing Aug'!$D$2:$D$770,A429)*SUMIFS('Billing Aug'!$I$2:$I$770,'Billing Aug'!$D$2:$D$770,A429))</f>
        <v/>
      </c>
      <c r="Q429" s="37">
        <f>IF(N429=0,"NO AUG TRANSACTION IN SUPPLIED EXTRACT",IF(ABS(P429)&gt;0.004,"SUBLEDGER ARITHMETIC ERROR",IF(ABS(M429)&gt;0.004,"BILLING VARIANCE","MATCH")))</f>
        <v/>
      </c>
    </row>
    <row r="430">
      <c r="A430" s="37" t="inlineStr">
        <is>
          <t>VB-0904</t>
        </is>
      </c>
      <c r="B430" s="37" t="inlineStr">
        <is>
          <t>Vessbank</t>
        </is>
      </c>
      <c r="C430" s="37" t="inlineStr">
        <is>
          <t>COVERED</t>
        </is>
      </c>
      <c r="D430" s="37" t="inlineStr">
        <is>
          <t>OCCUPIED</t>
        </is>
      </c>
      <c r="E430" s="37" t="inlineStr">
        <is>
          <t>WL-02354</t>
        </is>
      </c>
      <c r="F430" s="37" t="inlineStr">
        <is>
          <t>Makayla Sanchez</t>
        </is>
      </c>
      <c r="G430" s="37" t="n">
        <v>28</v>
      </c>
      <c r="H430" s="39" t="n">
        <v>56.5</v>
      </c>
      <c r="I430" s="40">
        <f>ROUNDUP(MAX(G430,H430),0)</f>
        <v/>
      </c>
      <c r="J430" s="41">
        <f>IF(C430="COVERED",'Methodology'!$B$9,'Methodology'!$B$10)</f>
        <v/>
      </c>
      <c r="K430" s="41">
        <f>I430*J430</f>
        <v/>
      </c>
      <c r="L430" s="41">
        <f>SUMIFS('Billing Aug'!$J$2:$J$770,'Billing Aug'!$D$2:$D$770,A430)</f>
        <v/>
      </c>
      <c r="M430" s="41">
        <f>L430-K430</f>
        <v/>
      </c>
      <c r="N430" s="37">
        <f>COUNTIF('Billing Aug'!$D$2:$D$770,A430)</f>
        <v/>
      </c>
      <c r="O430" s="37">
        <f>SUMIFS('Billing Aug'!$F$2:$F$770,'Billing Aug'!$D$2:$D$770,A430)</f>
        <v/>
      </c>
      <c r="P430" s="41">
        <f>IF(N430=0,0,L430-SUMIFS('Billing Aug'!$H$2:$H$770,'Billing Aug'!$D$2:$D$770,A430)*SUMIFS('Billing Aug'!$I$2:$I$770,'Billing Aug'!$D$2:$D$770,A430))</f>
        <v/>
      </c>
      <c r="Q430" s="37">
        <f>IF(N430=0,"NO AUG TRANSACTION IN SUPPLIED EXTRACT",IF(ABS(P430)&gt;0.004,"SUBLEDGER ARITHMETIC ERROR",IF(ABS(M430)&gt;0.004,"BILLING VARIANCE","MATCH")))</f>
        <v/>
      </c>
    </row>
    <row r="431">
      <c r="A431" s="37" t="inlineStr">
        <is>
          <t>VB-0905</t>
        </is>
      </c>
      <c r="B431" s="37" t="inlineStr">
        <is>
          <t>Vessbank</t>
        </is>
      </c>
      <c r="C431" s="37" t="inlineStr">
        <is>
          <t>COVERED</t>
        </is>
      </c>
      <c r="D431" s="37" t="inlineStr">
        <is>
          <t>OCCUPIED</t>
        </is>
      </c>
      <c r="E431" s="37" t="inlineStr">
        <is>
          <t>WL-03101</t>
        </is>
      </c>
      <c r="F431" s="37" t="inlineStr">
        <is>
          <t>Kristie Cunningham</t>
        </is>
      </c>
      <c r="G431" s="37" t="n">
        <v>28</v>
      </c>
      <c r="H431" s="39" t="n">
        <v>24.5</v>
      </c>
      <c r="I431" s="40">
        <f>ROUNDUP(MAX(G431,H431),0)</f>
        <v/>
      </c>
      <c r="J431" s="41">
        <f>IF(C431="COVERED",'Methodology'!$B$9,'Methodology'!$B$10)</f>
        <v/>
      </c>
      <c r="K431" s="41">
        <f>I431*J431</f>
        <v/>
      </c>
      <c r="L431" s="41">
        <f>SUMIFS('Billing Aug'!$J$2:$J$770,'Billing Aug'!$D$2:$D$770,A431)</f>
        <v/>
      </c>
      <c r="M431" s="41">
        <f>L431-K431</f>
        <v/>
      </c>
      <c r="N431" s="37">
        <f>COUNTIF('Billing Aug'!$D$2:$D$770,A431)</f>
        <v/>
      </c>
      <c r="O431" s="37">
        <f>SUMIFS('Billing Aug'!$F$2:$F$770,'Billing Aug'!$D$2:$D$770,A431)</f>
        <v/>
      </c>
      <c r="P431" s="41">
        <f>IF(N431=0,0,L431-SUMIFS('Billing Aug'!$H$2:$H$770,'Billing Aug'!$D$2:$D$770,A431)*SUMIFS('Billing Aug'!$I$2:$I$770,'Billing Aug'!$D$2:$D$770,A431))</f>
        <v/>
      </c>
      <c r="Q431" s="37">
        <f>IF(N431=0,"NO AUG TRANSACTION IN SUPPLIED EXTRACT",IF(ABS(P431)&gt;0.004,"SUBLEDGER ARITHMETIC ERROR",IF(ABS(M431)&gt;0.004,"BILLING VARIANCE","MATCH")))</f>
        <v/>
      </c>
    </row>
    <row r="432">
      <c r="A432" s="37" t="inlineStr">
        <is>
          <t>VB-0906</t>
        </is>
      </c>
      <c r="B432" s="37" t="inlineStr">
        <is>
          <t>Vessbank</t>
        </is>
      </c>
      <c r="C432" s="37" t="inlineStr">
        <is>
          <t>COVERED</t>
        </is>
      </c>
      <c r="D432" s="37" t="inlineStr">
        <is>
          <t>OCCUPIED</t>
        </is>
      </c>
      <c r="E432" s="37" t="inlineStr">
        <is>
          <t>WL-02747</t>
        </is>
      </c>
      <c r="F432" s="37" t="inlineStr">
        <is>
          <t>Angel Massey</t>
        </is>
      </c>
      <c r="G432" s="37" t="n">
        <v>36</v>
      </c>
      <c r="H432" s="39" t="n">
        <v>29.3</v>
      </c>
      <c r="I432" s="40">
        <f>ROUNDUP(MAX(G432,H432),0)</f>
        <v/>
      </c>
      <c r="J432" s="41">
        <f>IF(C432="COVERED",'Methodology'!$B$9,'Methodology'!$B$10)</f>
        <v/>
      </c>
      <c r="K432" s="41">
        <f>I432*J432</f>
        <v/>
      </c>
      <c r="L432" s="41">
        <f>SUMIFS('Billing Aug'!$J$2:$J$770,'Billing Aug'!$D$2:$D$770,A432)</f>
        <v/>
      </c>
      <c r="M432" s="41">
        <f>L432-K432</f>
        <v/>
      </c>
      <c r="N432" s="37">
        <f>COUNTIF('Billing Aug'!$D$2:$D$770,A432)</f>
        <v/>
      </c>
      <c r="O432" s="37">
        <f>SUMIFS('Billing Aug'!$F$2:$F$770,'Billing Aug'!$D$2:$D$770,A432)</f>
        <v/>
      </c>
      <c r="P432" s="41">
        <f>IF(N432=0,0,L432-SUMIFS('Billing Aug'!$H$2:$H$770,'Billing Aug'!$D$2:$D$770,A432)*SUMIFS('Billing Aug'!$I$2:$I$770,'Billing Aug'!$D$2:$D$770,A432))</f>
        <v/>
      </c>
      <c r="Q432" s="37">
        <f>IF(N432=0,"NO AUG TRANSACTION IN SUPPLIED EXTRACT",IF(ABS(P432)&gt;0.004,"SUBLEDGER ARITHMETIC ERROR",IF(ABS(M432)&gt;0.004,"BILLING VARIANCE","MATCH")))</f>
        <v/>
      </c>
    </row>
    <row r="433">
      <c r="A433" s="37" t="inlineStr">
        <is>
          <t>VB-0907</t>
        </is>
      </c>
      <c r="B433" s="37" t="inlineStr">
        <is>
          <t>Vessbank</t>
        </is>
      </c>
      <c r="C433" s="37" t="inlineStr">
        <is>
          <t>COVERED</t>
        </is>
      </c>
      <c r="D433" s="37" t="inlineStr">
        <is>
          <t>OCCUPIED</t>
        </is>
      </c>
      <c r="E433" s="37" t="inlineStr">
        <is>
          <t>WL-03855</t>
        </is>
      </c>
      <c r="F433" s="37" t="inlineStr">
        <is>
          <t>Peggy Solomon</t>
        </is>
      </c>
      <c r="G433" s="37" t="n">
        <v>28</v>
      </c>
      <c r="H433" s="39" t="n">
        <v>35.8</v>
      </c>
      <c r="I433" s="40">
        <f>ROUNDUP(MAX(G433,H433),0)</f>
        <v/>
      </c>
      <c r="J433" s="41">
        <f>IF(C433="COVERED",'Methodology'!$B$9,'Methodology'!$B$10)</f>
        <v/>
      </c>
      <c r="K433" s="41">
        <f>I433*J433</f>
        <v/>
      </c>
      <c r="L433" s="41">
        <f>SUMIFS('Billing Aug'!$J$2:$J$770,'Billing Aug'!$D$2:$D$770,A433)</f>
        <v/>
      </c>
      <c r="M433" s="41">
        <f>L433-K433</f>
        <v/>
      </c>
      <c r="N433" s="37">
        <f>COUNTIF('Billing Aug'!$D$2:$D$770,A433)</f>
        <v/>
      </c>
      <c r="O433" s="37">
        <f>SUMIFS('Billing Aug'!$F$2:$F$770,'Billing Aug'!$D$2:$D$770,A433)</f>
        <v/>
      </c>
      <c r="P433" s="41">
        <f>IF(N433=0,0,L433-SUMIFS('Billing Aug'!$H$2:$H$770,'Billing Aug'!$D$2:$D$770,A433)*SUMIFS('Billing Aug'!$I$2:$I$770,'Billing Aug'!$D$2:$D$770,A433))</f>
        <v/>
      </c>
      <c r="Q433" s="37">
        <f>IF(N433=0,"NO AUG TRANSACTION IN SUPPLIED EXTRACT",IF(ABS(P433)&gt;0.004,"SUBLEDGER ARITHMETIC ERROR",IF(ABS(M433)&gt;0.004,"BILLING VARIANCE","MATCH")))</f>
        <v/>
      </c>
    </row>
    <row r="434">
      <c r="A434" s="37" t="inlineStr">
        <is>
          <t>VB-0908</t>
        </is>
      </c>
      <c r="B434" s="37" t="inlineStr">
        <is>
          <t>Vessbank</t>
        </is>
      </c>
      <c r="C434" s="37" t="inlineStr">
        <is>
          <t>COVERED</t>
        </is>
      </c>
      <c r="D434" s="37" t="inlineStr">
        <is>
          <t>OCCUPIED</t>
        </is>
      </c>
      <c r="E434" s="37" t="inlineStr">
        <is>
          <t>WL-02711</t>
        </is>
      </c>
      <c r="F434" s="37" t="inlineStr">
        <is>
          <t>David Baker</t>
        </is>
      </c>
      <c r="G434" s="37" t="n">
        <v>32</v>
      </c>
      <c r="H434" s="39" t="n">
        <v>55.4</v>
      </c>
      <c r="I434" s="40">
        <f>ROUNDUP(MAX(G434,H434),0)</f>
        <v/>
      </c>
      <c r="J434" s="41">
        <f>IF(C434="COVERED",'Methodology'!$B$9,'Methodology'!$B$10)</f>
        <v/>
      </c>
      <c r="K434" s="41">
        <f>I434*J434</f>
        <v/>
      </c>
      <c r="L434" s="41">
        <f>SUMIFS('Billing Aug'!$J$2:$J$770,'Billing Aug'!$D$2:$D$770,A434)</f>
        <v/>
      </c>
      <c r="M434" s="41">
        <f>L434-K434</f>
        <v/>
      </c>
      <c r="N434" s="37">
        <f>COUNTIF('Billing Aug'!$D$2:$D$770,A434)</f>
        <v/>
      </c>
      <c r="O434" s="37">
        <f>SUMIFS('Billing Aug'!$F$2:$F$770,'Billing Aug'!$D$2:$D$770,A434)</f>
        <v/>
      </c>
      <c r="P434" s="41">
        <f>IF(N434=0,0,L434-SUMIFS('Billing Aug'!$H$2:$H$770,'Billing Aug'!$D$2:$D$770,A434)*SUMIFS('Billing Aug'!$I$2:$I$770,'Billing Aug'!$D$2:$D$770,A434))</f>
        <v/>
      </c>
      <c r="Q434" s="37">
        <f>IF(N434=0,"NO AUG TRANSACTION IN SUPPLIED EXTRACT",IF(ABS(P434)&gt;0.004,"SUBLEDGER ARITHMETIC ERROR",IF(ABS(M434)&gt;0.004,"BILLING VARIANCE","MATCH")))</f>
        <v/>
      </c>
    </row>
    <row r="435">
      <c r="A435" s="37" t="inlineStr">
        <is>
          <t>VB-0909</t>
        </is>
      </c>
      <c r="B435" s="37" t="inlineStr">
        <is>
          <t>Vessbank</t>
        </is>
      </c>
      <c r="C435" s="37" t="inlineStr">
        <is>
          <t>COVERED</t>
        </is>
      </c>
      <c r="D435" s="37" t="inlineStr">
        <is>
          <t>OCCUPIED</t>
        </is>
      </c>
      <c r="E435" s="37" t="inlineStr">
        <is>
          <t>WL-02313</t>
        </is>
      </c>
      <c r="F435" s="37" t="inlineStr">
        <is>
          <t>Aaron Bell</t>
        </is>
      </c>
      <c r="G435" s="37" t="n">
        <v>24</v>
      </c>
      <c r="H435" s="39" t="n">
        <v>61.6</v>
      </c>
      <c r="I435" s="40">
        <f>ROUNDUP(MAX(G435,H435),0)</f>
        <v/>
      </c>
      <c r="J435" s="41">
        <f>IF(C435="COVERED",'Methodology'!$B$9,'Methodology'!$B$10)</f>
        <v/>
      </c>
      <c r="K435" s="41">
        <f>I435*J435</f>
        <v/>
      </c>
      <c r="L435" s="41">
        <f>SUMIFS('Billing Aug'!$J$2:$J$770,'Billing Aug'!$D$2:$D$770,A435)</f>
        <v/>
      </c>
      <c r="M435" s="41">
        <f>L435-K435</f>
        <v/>
      </c>
      <c r="N435" s="37">
        <f>COUNTIF('Billing Aug'!$D$2:$D$770,A435)</f>
        <v/>
      </c>
      <c r="O435" s="37">
        <f>SUMIFS('Billing Aug'!$F$2:$F$770,'Billing Aug'!$D$2:$D$770,A435)</f>
        <v/>
      </c>
      <c r="P435" s="41">
        <f>IF(N435=0,0,L435-SUMIFS('Billing Aug'!$H$2:$H$770,'Billing Aug'!$D$2:$D$770,A435)*SUMIFS('Billing Aug'!$I$2:$I$770,'Billing Aug'!$D$2:$D$770,A435))</f>
        <v/>
      </c>
      <c r="Q435" s="37">
        <f>IF(N435=0,"NO AUG TRANSACTION IN SUPPLIED EXTRACT",IF(ABS(P435)&gt;0.004,"SUBLEDGER ARITHMETIC ERROR",IF(ABS(M435)&gt;0.004,"BILLING VARIANCE","MATCH")))</f>
        <v/>
      </c>
    </row>
    <row r="436">
      <c r="A436" s="37" t="inlineStr">
        <is>
          <t>VB-0910</t>
        </is>
      </c>
      <c r="B436" s="37" t="inlineStr">
        <is>
          <t>Vessbank</t>
        </is>
      </c>
      <c r="C436" s="37" t="inlineStr">
        <is>
          <t>COVERED</t>
        </is>
      </c>
      <c r="D436" s="37" t="inlineStr">
        <is>
          <t>OCCUPIED</t>
        </is>
      </c>
      <c r="E436" s="37" t="inlineStr">
        <is>
          <t>WL-03308</t>
        </is>
      </c>
      <c r="F436" s="37" t="inlineStr">
        <is>
          <t>Tanya Hunt</t>
        </is>
      </c>
      <c r="G436" s="37" t="n">
        <v>36</v>
      </c>
      <c r="H436" s="39" t="n">
        <v>61</v>
      </c>
      <c r="I436" s="40">
        <f>ROUNDUP(MAX(G436,H436),0)</f>
        <v/>
      </c>
      <c r="J436" s="41">
        <f>IF(C436="COVERED",'Methodology'!$B$9,'Methodology'!$B$10)</f>
        <v/>
      </c>
      <c r="K436" s="41">
        <f>I436*J436</f>
        <v/>
      </c>
      <c r="L436" s="41">
        <f>SUMIFS('Billing Aug'!$J$2:$J$770,'Billing Aug'!$D$2:$D$770,A436)</f>
        <v/>
      </c>
      <c r="M436" s="41">
        <f>L436-K436</f>
        <v/>
      </c>
      <c r="N436" s="37">
        <f>COUNTIF('Billing Aug'!$D$2:$D$770,A436)</f>
        <v/>
      </c>
      <c r="O436" s="37">
        <f>SUMIFS('Billing Aug'!$F$2:$F$770,'Billing Aug'!$D$2:$D$770,A436)</f>
        <v/>
      </c>
      <c r="P436" s="41">
        <f>IF(N436=0,0,L436-SUMIFS('Billing Aug'!$H$2:$H$770,'Billing Aug'!$D$2:$D$770,A436)*SUMIFS('Billing Aug'!$I$2:$I$770,'Billing Aug'!$D$2:$D$770,A436))</f>
        <v/>
      </c>
      <c r="Q436" s="37">
        <f>IF(N436=0,"NO AUG TRANSACTION IN SUPPLIED EXTRACT",IF(ABS(P436)&gt;0.004,"SUBLEDGER ARITHMETIC ERROR",IF(ABS(M436)&gt;0.004,"BILLING VARIANCE","MATCH")))</f>
        <v/>
      </c>
    </row>
    <row r="437">
      <c r="A437" s="37" t="inlineStr">
        <is>
          <t>VB-0911</t>
        </is>
      </c>
      <c r="B437" s="37" t="inlineStr">
        <is>
          <t>Vessbank</t>
        </is>
      </c>
      <c r="C437" s="37" t="inlineStr">
        <is>
          <t>COVERED</t>
        </is>
      </c>
      <c r="D437" s="37" t="inlineStr">
        <is>
          <t>OCCUPIED</t>
        </is>
      </c>
      <c r="E437" s="37" t="inlineStr">
        <is>
          <t>WL-01513</t>
        </is>
      </c>
      <c r="F437" s="37" t="inlineStr">
        <is>
          <t>Jennifer Thomas</t>
        </is>
      </c>
      <c r="G437" s="37" t="n">
        <v>40</v>
      </c>
      <c r="H437" s="39" t="n">
        <v>47.3</v>
      </c>
      <c r="I437" s="40">
        <f>ROUNDUP(MAX(G437,H437),0)</f>
        <v/>
      </c>
      <c r="J437" s="41">
        <f>IF(C437="COVERED",'Methodology'!$B$9,'Methodology'!$B$10)</f>
        <v/>
      </c>
      <c r="K437" s="41">
        <f>I437*J437</f>
        <v/>
      </c>
      <c r="L437" s="41">
        <f>SUMIFS('Billing Aug'!$J$2:$J$770,'Billing Aug'!$D$2:$D$770,A437)</f>
        <v/>
      </c>
      <c r="M437" s="41">
        <f>L437-K437</f>
        <v/>
      </c>
      <c r="N437" s="37">
        <f>COUNTIF('Billing Aug'!$D$2:$D$770,A437)</f>
        <v/>
      </c>
      <c r="O437" s="37">
        <f>SUMIFS('Billing Aug'!$F$2:$F$770,'Billing Aug'!$D$2:$D$770,A437)</f>
        <v/>
      </c>
      <c r="P437" s="41">
        <f>IF(N437=0,0,L437-SUMIFS('Billing Aug'!$H$2:$H$770,'Billing Aug'!$D$2:$D$770,A437)*SUMIFS('Billing Aug'!$I$2:$I$770,'Billing Aug'!$D$2:$D$770,A437))</f>
        <v/>
      </c>
      <c r="Q437" s="37">
        <f>IF(N437=0,"NO AUG TRANSACTION IN SUPPLIED EXTRACT",IF(ABS(P437)&gt;0.004,"SUBLEDGER ARITHMETIC ERROR",IF(ABS(M437)&gt;0.004,"BILLING VARIANCE","MATCH")))</f>
        <v/>
      </c>
    </row>
    <row r="438">
      <c r="A438" s="37" t="inlineStr">
        <is>
          <t>VB-0912</t>
        </is>
      </c>
      <c r="B438" s="37" t="inlineStr">
        <is>
          <t>Vessbank</t>
        </is>
      </c>
      <c r="C438" s="37" t="inlineStr">
        <is>
          <t>COVERED</t>
        </is>
      </c>
      <c r="D438" s="37" t="inlineStr">
        <is>
          <t>OCCUPIED</t>
        </is>
      </c>
      <c r="E438" s="37" t="inlineStr">
        <is>
          <t>WL-01027</t>
        </is>
      </c>
      <c r="F438" s="37" t="inlineStr">
        <is>
          <t>Rachel Jones</t>
        </is>
      </c>
      <c r="G438" s="37" t="n">
        <v>40</v>
      </c>
      <c r="H438" s="39" t="n">
        <v>53.9</v>
      </c>
      <c r="I438" s="40">
        <f>ROUNDUP(MAX(G438,H438),0)</f>
        <v/>
      </c>
      <c r="J438" s="41">
        <f>IF(C438="COVERED",'Methodology'!$B$9,'Methodology'!$B$10)</f>
        <v/>
      </c>
      <c r="K438" s="41">
        <f>I438*J438</f>
        <v/>
      </c>
      <c r="L438" s="41">
        <f>SUMIFS('Billing Aug'!$J$2:$J$770,'Billing Aug'!$D$2:$D$770,A438)</f>
        <v/>
      </c>
      <c r="M438" s="41">
        <f>L438-K438</f>
        <v/>
      </c>
      <c r="N438" s="37">
        <f>COUNTIF('Billing Aug'!$D$2:$D$770,A438)</f>
        <v/>
      </c>
      <c r="O438" s="37">
        <f>SUMIFS('Billing Aug'!$F$2:$F$770,'Billing Aug'!$D$2:$D$770,A438)</f>
        <v/>
      </c>
      <c r="P438" s="41">
        <f>IF(N438=0,0,L438-SUMIFS('Billing Aug'!$H$2:$H$770,'Billing Aug'!$D$2:$D$770,A438)*SUMIFS('Billing Aug'!$I$2:$I$770,'Billing Aug'!$D$2:$D$770,A438))</f>
        <v/>
      </c>
      <c r="Q438" s="37">
        <f>IF(N438=0,"NO AUG TRANSACTION IN SUPPLIED EXTRACT",IF(ABS(P438)&gt;0.004,"SUBLEDGER ARITHMETIC ERROR",IF(ABS(M438)&gt;0.004,"BILLING VARIANCE","MATCH")))</f>
        <v/>
      </c>
    </row>
    <row r="439">
      <c r="A439" s="37" t="inlineStr">
        <is>
          <t>VB-0913</t>
        </is>
      </c>
      <c r="B439" s="37" t="inlineStr">
        <is>
          <t>Vessbank</t>
        </is>
      </c>
      <c r="C439" s="37" t="inlineStr">
        <is>
          <t>COVERED</t>
        </is>
      </c>
      <c r="D439" s="37" t="inlineStr">
        <is>
          <t>OCCUPIED</t>
        </is>
      </c>
      <c r="E439" s="37" t="inlineStr">
        <is>
          <t>WL-03838</t>
        </is>
      </c>
      <c r="F439" s="37" t="inlineStr">
        <is>
          <t>Sean Cruz</t>
        </is>
      </c>
      <c r="G439" s="37" t="n">
        <v>24</v>
      </c>
      <c r="H439" s="39" t="n">
        <v>29.2</v>
      </c>
      <c r="I439" s="40">
        <f>ROUNDUP(MAX(G439,H439),0)</f>
        <v/>
      </c>
      <c r="J439" s="41">
        <f>IF(C439="COVERED",'Methodology'!$B$9,'Methodology'!$B$10)</f>
        <v/>
      </c>
      <c r="K439" s="41">
        <f>I439*J439</f>
        <v/>
      </c>
      <c r="L439" s="41">
        <f>SUMIFS('Billing Aug'!$J$2:$J$770,'Billing Aug'!$D$2:$D$770,A439)</f>
        <v/>
      </c>
      <c r="M439" s="41">
        <f>L439-K439</f>
        <v/>
      </c>
      <c r="N439" s="37">
        <f>COUNTIF('Billing Aug'!$D$2:$D$770,A439)</f>
        <v/>
      </c>
      <c r="O439" s="37">
        <f>SUMIFS('Billing Aug'!$F$2:$F$770,'Billing Aug'!$D$2:$D$770,A439)</f>
        <v/>
      </c>
      <c r="P439" s="41">
        <f>IF(N439=0,0,L439-SUMIFS('Billing Aug'!$H$2:$H$770,'Billing Aug'!$D$2:$D$770,A439)*SUMIFS('Billing Aug'!$I$2:$I$770,'Billing Aug'!$D$2:$D$770,A439))</f>
        <v/>
      </c>
      <c r="Q439" s="37">
        <f>IF(N439=0,"NO AUG TRANSACTION IN SUPPLIED EXTRACT",IF(ABS(P439)&gt;0.004,"SUBLEDGER ARITHMETIC ERROR",IF(ABS(M439)&gt;0.004,"BILLING VARIANCE","MATCH")))</f>
        <v/>
      </c>
    </row>
    <row r="440">
      <c r="A440" s="37" t="inlineStr">
        <is>
          <t>VB-0914</t>
        </is>
      </c>
      <c r="B440" s="37" t="inlineStr">
        <is>
          <t>Vessbank</t>
        </is>
      </c>
      <c r="C440" s="37" t="inlineStr">
        <is>
          <t>COVERED</t>
        </is>
      </c>
      <c r="D440" s="37" t="inlineStr">
        <is>
          <t>OCCUPIED</t>
        </is>
      </c>
      <c r="E440" s="37" t="inlineStr">
        <is>
          <t>WL-02950</t>
        </is>
      </c>
      <c r="F440" s="37" t="inlineStr">
        <is>
          <t>Travis Young</t>
        </is>
      </c>
      <c r="G440" s="37" t="n">
        <v>28</v>
      </c>
      <c r="H440" s="39" t="n">
        <v>23.5</v>
      </c>
      <c r="I440" s="40">
        <f>ROUNDUP(MAX(G440,H440),0)</f>
        <v/>
      </c>
      <c r="J440" s="41">
        <f>IF(C440="COVERED",'Methodology'!$B$9,'Methodology'!$B$10)</f>
        <v/>
      </c>
      <c r="K440" s="41">
        <f>I440*J440</f>
        <v/>
      </c>
      <c r="L440" s="41">
        <f>SUMIFS('Billing Aug'!$J$2:$J$770,'Billing Aug'!$D$2:$D$770,A440)</f>
        <v/>
      </c>
      <c r="M440" s="41">
        <f>L440-K440</f>
        <v/>
      </c>
      <c r="N440" s="37">
        <f>COUNTIF('Billing Aug'!$D$2:$D$770,A440)</f>
        <v/>
      </c>
      <c r="O440" s="37">
        <f>SUMIFS('Billing Aug'!$F$2:$F$770,'Billing Aug'!$D$2:$D$770,A440)</f>
        <v/>
      </c>
      <c r="P440" s="41">
        <f>IF(N440=0,0,L440-SUMIFS('Billing Aug'!$H$2:$H$770,'Billing Aug'!$D$2:$D$770,A440)*SUMIFS('Billing Aug'!$I$2:$I$770,'Billing Aug'!$D$2:$D$770,A440))</f>
        <v/>
      </c>
      <c r="Q440" s="37">
        <f>IF(N440=0,"NO AUG TRANSACTION IN SUPPLIED EXTRACT",IF(ABS(P440)&gt;0.004,"SUBLEDGER ARITHMETIC ERROR",IF(ABS(M440)&gt;0.004,"BILLING VARIANCE","MATCH")))</f>
        <v/>
      </c>
    </row>
    <row r="441">
      <c r="A441" s="37" t="inlineStr">
        <is>
          <t>VB-0915</t>
        </is>
      </c>
      <c r="B441" s="37" t="inlineStr">
        <is>
          <t>Vessbank</t>
        </is>
      </c>
      <c r="C441" s="37" t="inlineStr">
        <is>
          <t>COVERED</t>
        </is>
      </c>
      <c r="D441" s="37" t="inlineStr">
        <is>
          <t>OCCUPIED</t>
        </is>
      </c>
      <c r="E441" s="37" t="inlineStr">
        <is>
          <t>WL-02424</t>
        </is>
      </c>
      <c r="F441" s="37" t="inlineStr">
        <is>
          <t>Jessica Nguyen</t>
        </is>
      </c>
      <c r="G441" s="37" t="n">
        <v>28</v>
      </c>
      <c r="H441" s="39" t="n">
        <v>37</v>
      </c>
      <c r="I441" s="40">
        <f>ROUNDUP(MAX(G441,H441),0)</f>
        <v/>
      </c>
      <c r="J441" s="41">
        <f>IF(C441="COVERED",'Methodology'!$B$9,'Methodology'!$B$10)</f>
        <v/>
      </c>
      <c r="K441" s="41">
        <f>I441*J441</f>
        <v/>
      </c>
      <c r="L441" s="41">
        <f>SUMIFS('Billing Aug'!$J$2:$J$770,'Billing Aug'!$D$2:$D$770,A441)</f>
        <v/>
      </c>
      <c r="M441" s="41">
        <f>L441-K441</f>
        <v/>
      </c>
      <c r="N441" s="37">
        <f>COUNTIF('Billing Aug'!$D$2:$D$770,A441)</f>
        <v/>
      </c>
      <c r="O441" s="37">
        <f>SUMIFS('Billing Aug'!$F$2:$F$770,'Billing Aug'!$D$2:$D$770,A441)</f>
        <v/>
      </c>
      <c r="P441" s="41">
        <f>IF(N441=0,0,L441-SUMIFS('Billing Aug'!$H$2:$H$770,'Billing Aug'!$D$2:$D$770,A441)*SUMIFS('Billing Aug'!$I$2:$I$770,'Billing Aug'!$D$2:$D$770,A441))</f>
        <v/>
      </c>
      <c r="Q441" s="37">
        <f>IF(N441=0,"NO AUG TRANSACTION IN SUPPLIED EXTRACT",IF(ABS(P441)&gt;0.004,"SUBLEDGER ARITHMETIC ERROR",IF(ABS(M441)&gt;0.004,"BILLING VARIANCE","MATCH")))</f>
        <v/>
      </c>
    </row>
    <row r="442">
      <c r="A442" s="37" t="inlineStr">
        <is>
          <t>VB-0916</t>
        </is>
      </c>
      <c r="B442" s="37" t="inlineStr">
        <is>
          <t>Vessbank</t>
        </is>
      </c>
      <c r="C442" s="37" t="inlineStr">
        <is>
          <t>COVERED</t>
        </is>
      </c>
      <c r="D442" s="37" t="inlineStr">
        <is>
          <t>OCCUPIED</t>
        </is>
      </c>
      <c r="E442" s="37" t="inlineStr">
        <is>
          <t>WL-01194</t>
        </is>
      </c>
      <c r="F442" s="37" t="inlineStr">
        <is>
          <t>Kathryn Munoz</t>
        </is>
      </c>
      <c r="G442" s="37" t="n">
        <v>24</v>
      </c>
      <c r="H442" s="39" t="n">
        <v>26.9</v>
      </c>
      <c r="I442" s="40">
        <f>ROUNDUP(MAX(G442,H442),0)</f>
        <v/>
      </c>
      <c r="J442" s="41">
        <f>IF(C442="COVERED",'Methodology'!$B$9,'Methodology'!$B$10)</f>
        <v/>
      </c>
      <c r="K442" s="41">
        <f>I442*J442</f>
        <v/>
      </c>
      <c r="L442" s="41">
        <f>SUMIFS('Billing Aug'!$J$2:$J$770,'Billing Aug'!$D$2:$D$770,A442)</f>
        <v/>
      </c>
      <c r="M442" s="41">
        <f>L442-K442</f>
        <v/>
      </c>
      <c r="N442" s="37">
        <f>COUNTIF('Billing Aug'!$D$2:$D$770,A442)</f>
        <v/>
      </c>
      <c r="O442" s="37">
        <f>SUMIFS('Billing Aug'!$F$2:$F$770,'Billing Aug'!$D$2:$D$770,A442)</f>
        <v/>
      </c>
      <c r="P442" s="41">
        <f>IF(N442=0,0,L442-SUMIFS('Billing Aug'!$H$2:$H$770,'Billing Aug'!$D$2:$D$770,A442)*SUMIFS('Billing Aug'!$I$2:$I$770,'Billing Aug'!$D$2:$D$770,A442))</f>
        <v/>
      </c>
      <c r="Q442" s="37">
        <f>IF(N442=0,"NO AUG TRANSACTION IN SUPPLIED EXTRACT",IF(ABS(P442)&gt;0.004,"SUBLEDGER ARITHMETIC ERROR",IF(ABS(M442)&gt;0.004,"BILLING VARIANCE","MATCH")))</f>
        <v/>
      </c>
    </row>
    <row r="443">
      <c r="A443" s="37" t="inlineStr">
        <is>
          <t>VB-0917</t>
        </is>
      </c>
      <c r="B443" s="37" t="inlineStr">
        <is>
          <t>Vessbank</t>
        </is>
      </c>
      <c r="C443" s="37" t="inlineStr">
        <is>
          <t>COVERED</t>
        </is>
      </c>
      <c r="D443" s="37" t="inlineStr">
        <is>
          <t>OCCUPIED</t>
        </is>
      </c>
      <c r="E443" s="37" t="inlineStr">
        <is>
          <t>WL-03422</t>
        </is>
      </c>
      <c r="F443" s="37" t="inlineStr">
        <is>
          <t>Robin Jones</t>
        </is>
      </c>
      <c r="G443" s="37" t="n">
        <v>28</v>
      </c>
      <c r="H443" s="39" t="n">
        <v>54.5</v>
      </c>
      <c r="I443" s="40">
        <f>ROUNDUP(MAX(G443,H443),0)</f>
        <v/>
      </c>
      <c r="J443" s="41">
        <f>IF(C443="COVERED",'Methodology'!$B$9,'Methodology'!$B$10)</f>
        <v/>
      </c>
      <c r="K443" s="41">
        <f>I443*J443</f>
        <v/>
      </c>
      <c r="L443" s="41">
        <f>SUMIFS('Billing Aug'!$J$2:$J$770,'Billing Aug'!$D$2:$D$770,A443)</f>
        <v/>
      </c>
      <c r="M443" s="41">
        <f>L443-K443</f>
        <v/>
      </c>
      <c r="N443" s="37">
        <f>COUNTIF('Billing Aug'!$D$2:$D$770,A443)</f>
        <v/>
      </c>
      <c r="O443" s="37">
        <f>SUMIFS('Billing Aug'!$F$2:$F$770,'Billing Aug'!$D$2:$D$770,A443)</f>
        <v/>
      </c>
      <c r="P443" s="41">
        <f>IF(N443=0,0,L443-SUMIFS('Billing Aug'!$H$2:$H$770,'Billing Aug'!$D$2:$D$770,A443)*SUMIFS('Billing Aug'!$I$2:$I$770,'Billing Aug'!$D$2:$D$770,A443))</f>
        <v/>
      </c>
      <c r="Q443" s="37">
        <f>IF(N443=0,"NO AUG TRANSACTION IN SUPPLIED EXTRACT",IF(ABS(P443)&gt;0.004,"SUBLEDGER ARITHMETIC ERROR",IF(ABS(M443)&gt;0.004,"BILLING VARIANCE","MATCH")))</f>
        <v/>
      </c>
    </row>
    <row r="444">
      <c r="A444" s="37" t="inlineStr">
        <is>
          <t>VB-0918</t>
        </is>
      </c>
      <c r="B444" s="37" t="inlineStr">
        <is>
          <t>Vessbank</t>
        </is>
      </c>
      <c r="C444" s="37" t="inlineStr">
        <is>
          <t>COVERED</t>
        </is>
      </c>
      <c r="D444" s="37" t="inlineStr">
        <is>
          <t>OCCUPIED</t>
        </is>
      </c>
      <c r="E444" s="37" t="inlineStr">
        <is>
          <t>WL-03033</t>
        </is>
      </c>
      <c r="F444" s="37" t="inlineStr">
        <is>
          <t>Brian Sellers</t>
        </is>
      </c>
      <c r="G444" s="37" t="n">
        <v>36</v>
      </c>
      <c r="H444" s="39" t="n">
        <v>26.6</v>
      </c>
      <c r="I444" s="40">
        <f>ROUNDUP(MAX(G444,H444),0)</f>
        <v/>
      </c>
      <c r="J444" s="41">
        <f>IF(C444="COVERED",'Methodology'!$B$9,'Methodology'!$B$10)</f>
        <v/>
      </c>
      <c r="K444" s="41">
        <f>I444*J444</f>
        <v/>
      </c>
      <c r="L444" s="41">
        <f>SUMIFS('Billing Aug'!$J$2:$J$770,'Billing Aug'!$D$2:$D$770,A444)</f>
        <v/>
      </c>
      <c r="M444" s="41">
        <f>L444-K444</f>
        <v/>
      </c>
      <c r="N444" s="37">
        <f>COUNTIF('Billing Aug'!$D$2:$D$770,A444)</f>
        <v/>
      </c>
      <c r="O444" s="37">
        <f>SUMIFS('Billing Aug'!$F$2:$F$770,'Billing Aug'!$D$2:$D$770,A444)</f>
        <v/>
      </c>
      <c r="P444" s="41">
        <f>IF(N444=0,0,L444-SUMIFS('Billing Aug'!$H$2:$H$770,'Billing Aug'!$D$2:$D$770,A444)*SUMIFS('Billing Aug'!$I$2:$I$770,'Billing Aug'!$D$2:$D$770,A444))</f>
        <v/>
      </c>
      <c r="Q444" s="37">
        <f>IF(N444=0,"NO AUG TRANSACTION IN SUPPLIED EXTRACT",IF(ABS(P444)&gt;0.004,"SUBLEDGER ARITHMETIC ERROR",IF(ABS(M444)&gt;0.004,"BILLING VARIANCE","MATCH")))</f>
        <v/>
      </c>
    </row>
    <row r="445">
      <c r="A445" s="37" t="inlineStr">
        <is>
          <t>VB-0919</t>
        </is>
      </c>
      <c r="B445" s="37" t="inlineStr">
        <is>
          <t>Vessbank</t>
        </is>
      </c>
      <c r="C445" s="37" t="inlineStr">
        <is>
          <t>COVERED</t>
        </is>
      </c>
      <c r="D445" s="37" t="inlineStr">
        <is>
          <t>OCCUPIED</t>
        </is>
      </c>
      <c r="E445" s="37" t="inlineStr">
        <is>
          <t>WL-03091</t>
        </is>
      </c>
      <c r="F445" s="37" t="inlineStr">
        <is>
          <t>Sandra Barber</t>
        </is>
      </c>
      <c r="G445" s="37" t="n">
        <v>24</v>
      </c>
      <c r="H445" s="39" t="n">
        <v>61.6</v>
      </c>
      <c r="I445" s="40">
        <f>ROUNDUP(MAX(G445,H445),0)</f>
        <v/>
      </c>
      <c r="J445" s="41">
        <f>IF(C445="COVERED",'Methodology'!$B$9,'Methodology'!$B$10)</f>
        <v/>
      </c>
      <c r="K445" s="41">
        <f>I445*J445</f>
        <v/>
      </c>
      <c r="L445" s="41">
        <f>SUMIFS('Billing Aug'!$J$2:$J$770,'Billing Aug'!$D$2:$D$770,A445)</f>
        <v/>
      </c>
      <c r="M445" s="41">
        <f>L445-K445</f>
        <v/>
      </c>
      <c r="N445" s="37">
        <f>COUNTIF('Billing Aug'!$D$2:$D$770,A445)</f>
        <v/>
      </c>
      <c r="O445" s="37">
        <f>SUMIFS('Billing Aug'!$F$2:$F$770,'Billing Aug'!$D$2:$D$770,A445)</f>
        <v/>
      </c>
      <c r="P445" s="41">
        <f>IF(N445=0,0,L445-SUMIFS('Billing Aug'!$H$2:$H$770,'Billing Aug'!$D$2:$D$770,A445)*SUMIFS('Billing Aug'!$I$2:$I$770,'Billing Aug'!$D$2:$D$770,A445))</f>
        <v/>
      </c>
      <c r="Q445" s="37">
        <f>IF(N445=0,"NO AUG TRANSACTION IN SUPPLIED EXTRACT",IF(ABS(P445)&gt;0.004,"SUBLEDGER ARITHMETIC ERROR",IF(ABS(M445)&gt;0.004,"BILLING VARIANCE","MATCH")))</f>
        <v/>
      </c>
    </row>
    <row r="446">
      <c r="A446" s="37" t="inlineStr">
        <is>
          <t>VB-0920</t>
        </is>
      </c>
      <c r="B446" s="37" t="inlineStr">
        <is>
          <t>Vessbank</t>
        </is>
      </c>
      <c r="C446" s="37" t="inlineStr">
        <is>
          <t>COVERED</t>
        </is>
      </c>
      <c r="D446" s="37" t="inlineStr">
        <is>
          <t>OCCUPIED</t>
        </is>
      </c>
      <c r="E446" s="37" t="inlineStr">
        <is>
          <t>WL-02265</t>
        </is>
      </c>
      <c r="F446" s="37" t="inlineStr">
        <is>
          <t>Kimberly Bailey</t>
        </is>
      </c>
      <c r="G446" s="37" t="n">
        <v>32</v>
      </c>
      <c r="H446" s="39" t="n">
        <v>47.1</v>
      </c>
      <c r="I446" s="40">
        <f>ROUNDUP(MAX(G446,H446),0)</f>
        <v/>
      </c>
      <c r="J446" s="41">
        <f>IF(C446="COVERED",'Methodology'!$B$9,'Methodology'!$B$10)</f>
        <v/>
      </c>
      <c r="K446" s="41">
        <f>I446*J446</f>
        <v/>
      </c>
      <c r="L446" s="41">
        <f>SUMIFS('Billing Aug'!$J$2:$J$770,'Billing Aug'!$D$2:$D$770,A446)</f>
        <v/>
      </c>
      <c r="M446" s="41">
        <f>L446-K446</f>
        <v/>
      </c>
      <c r="N446" s="37">
        <f>COUNTIF('Billing Aug'!$D$2:$D$770,A446)</f>
        <v/>
      </c>
      <c r="O446" s="37">
        <f>SUMIFS('Billing Aug'!$F$2:$F$770,'Billing Aug'!$D$2:$D$770,A446)</f>
        <v/>
      </c>
      <c r="P446" s="41">
        <f>IF(N446=0,0,L446-SUMIFS('Billing Aug'!$H$2:$H$770,'Billing Aug'!$D$2:$D$770,A446)*SUMIFS('Billing Aug'!$I$2:$I$770,'Billing Aug'!$D$2:$D$770,A446))</f>
        <v/>
      </c>
      <c r="Q446" s="37">
        <f>IF(N446=0,"NO AUG TRANSACTION IN SUPPLIED EXTRACT",IF(ABS(P446)&gt;0.004,"SUBLEDGER ARITHMETIC ERROR",IF(ABS(M446)&gt;0.004,"BILLING VARIANCE","MATCH")))</f>
        <v/>
      </c>
    </row>
    <row r="447">
      <c r="A447" s="37" t="inlineStr">
        <is>
          <t>VB-0921</t>
        </is>
      </c>
      <c r="B447" s="37" t="inlineStr">
        <is>
          <t>Vessbank</t>
        </is>
      </c>
      <c r="C447" s="37" t="inlineStr">
        <is>
          <t>COVERED</t>
        </is>
      </c>
      <c r="D447" s="37" t="inlineStr">
        <is>
          <t>OCCUPIED</t>
        </is>
      </c>
      <c r="E447" s="37" t="inlineStr">
        <is>
          <t>WL-03544</t>
        </is>
      </c>
      <c r="F447" s="37" t="inlineStr">
        <is>
          <t>Sarah Walker</t>
        </is>
      </c>
      <c r="G447" s="37" t="n">
        <v>28</v>
      </c>
      <c r="H447" s="39" t="n">
        <v>19.3</v>
      </c>
      <c r="I447" s="40">
        <f>ROUNDUP(MAX(G447,H447),0)</f>
        <v/>
      </c>
      <c r="J447" s="41">
        <f>IF(C447="COVERED",'Methodology'!$B$9,'Methodology'!$B$10)</f>
        <v/>
      </c>
      <c r="K447" s="41">
        <f>I447*J447</f>
        <v/>
      </c>
      <c r="L447" s="41">
        <f>SUMIFS('Billing Aug'!$J$2:$J$770,'Billing Aug'!$D$2:$D$770,A447)</f>
        <v/>
      </c>
      <c r="M447" s="41">
        <f>L447-K447</f>
        <v/>
      </c>
      <c r="N447" s="37">
        <f>COUNTIF('Billing Aug'!$D$2:$D$770,A447)</f>
        <v/>
      </c>
      <c r="O447" s="37">
        <f>SUMIFS('Billing Aug'!$F$2:$F$770,'Billing Aug'!$D$2:$D$770,A447)</f>
        <v/>
      </c>
      <c r="P447" s="41">
        <f>IF(N447=0,0,L447-SUMIFS('Billing Aug'!$H$2:$H$770,'Billing Aug'!$D$2:$D$770,A447)*SUMIFS('Billing Aug'!$I$2:$I$770,'Billing Aug'!$D$2:$D$770,A447))</f>
        <v/>
      </c>
      <c r="Q447" s="37">
        <f>IF(N447=0,"NO AUG TRANSACTION IN SUPPLIED EXTRACT",IF(ABS(P447)&gt;0.004,"SUBLEDGER ARITHMETIC ERROR",IF(ABS(M447)&gt;0.004,"BILLING VARIANCE","MATCH")))</f>
        <v/>
      </c>
    </row>
    <row r="448">
      <c r="A448" s="37" t="inlineStr">
        <is>
          <t>VB-0923</t>
        </is>
      </c>
      <c r="B448" s="37" t="inlineStr">
        <is>
          <t>Vessbank</t>
        </is>
      </c>
      <c r="C448" s="37" t="inlineStr">
        <is>
          <t>COVERED</t>
        </is>
      </c>
      <c r="D448" s="37" t="inlineStr">
        <is>
          <t>OCCUPIED</t>
        </is>
      </c>
      <c r="E448" s="37" t="inlineStr">
        <is>
          <t>WL-02666</t>
        </is>
      </c>
      <c r="F448" s="37" t="inlineStr">
        <is>
          <t>Amber Liu</t>
        </is>
      </c>
      <c r="G448" s="37" t="n">
        <v>36</v>
      </c>
      <c r="H448" s="39" t="n">
        <v>40.3</v>
      </c>
      <c r="I448" s="40">
        <f>ROUNDUP(MAX(G448,H448),0)</f>
        <v/>
      </c>
      <c r="J448" s="41">
        <f>IF(C448="COVERED",'Methodology'!$B$9,'Methodology'!$B$10)</f>
        <v/>
      </c>
      <c r="K448" s="41">
        <f>I448*J448</f>
        <v/>
      </c>
      <c r="L448" s="41">
        <f>SUMIFS('Billing Aug'!$J$2:$J$770,'Billing Aug'!$D$2:$D$770,A448)</f>
        <v/>
      </c>
      <c r="M448" s="41">
        <f>L448-K448</f>
        <v/>
      </c>
      <c r="N448" s="37">
        <f>COUNTIF('Billing Aug'!$D$2:$D$770,A448)</f>
        <v/>
      </c>
      <c r="O448" s="37">
        <f>SUMIFS('Billing Aug'!$F$2:$F$770,'Billing Aug'!$D$2:$D$770,A448)</f>
        <v/>
      </c>
      <c r="P448" s="41">
        <f>IF(N448=0,0,L448-SUMIFS('Billing Aug'!$H$2:$H$770,'Billing Aug'!$D$2:$D$770,A448)*SUMIFS('Billing Aug'!$I$2:$I$770,'Billing Aug'!$D$2:$D$770,A448))</f>
        <v/>
      </c>
      <c r="Q448" s="37">
        <f>IF(N448=0,"NO AUG TRANSACTION IN SUPPLIED EXTRACT",IF(ABS(P448)&gt;0.004,"SUBLEDGER ARITHMETIC ERROR",IF(ABS(M448)&gt;0.004,"BILLING VARIANCE","MATCH")))</f>
        <v/>
      </c>
    </row>
    <row r="449">
      <c r="A449" s="37" t="inlineStr">
        <is>
          <t>VB-0924</t>
        </is>
      </c>
      <c r="B449" s="37" t="inlineStr">
        <is>
          <t>Vessbank</t>
        </is>
      </c>
      <c r="C449" s="37" t="inlineStr">
        <is>
          <t>COVERED</t>
        </is>
      </c>
      <c r="D449" s="37" t="inlineStr">
        <is>
          <t>OCCUPIED</t>
        </is>
      </c>
      <c r="E449" s="37" t="inlineStr">
        <is>
          <t>WL-03176</t>
        </is>
      </c>
      <c r="F449" s="37" t="inlineStr">
        <is>
          <t>Elizabeth Kelly</t>
        </is>
      </c>
      <c r="G449" s="37" t="n">
        <v>32</v>
      </c>
      <c r="H449" s="39" t="n">
        <v>27.6</v>
      </c>
      <c r="I449" s="40">
        <f>ROUNDUP(MAX(G449,H449),0)</f>
        <v/>
      </c>
      <c r="J449" s="41">
        <f>IF(C449="COVERED",'Methodology'!$B$9,'Methodology'!$B$10)</f>
        <v/>
      </c>
      <c r="K449" s="41">
        <f>I449*J449</f>
        <v/>
      </c>
      <c r="L449" s="41">
        <f>SUMIFS('Billing Aug'!$J$2:$J$770,'Billing Aug'!$D$2:$D$770,A449)</f>
        <v/>
      </c>
      <c r="M449" s="41">
        <f>L449-K449</f>
        <v/>
      </c>
      <c r="N449" s="37">
        <f>COUNTIF('Billing Aug'!$D$2:$D$770,A449)</f>
        <v/>
      </c>
      <c r="O449" s="37">
        <f>SUMIFS('Billing Aug'!$F$2:$F$770,'Billing Aug'!$D$2:$D$770,A449)</f>
        <v/>
      </c>
      <c r="P449" s="41">
        <f>IF(N449=0,0,L449-SUMIFS('Billing Aug'!$H$2:$H$770,'Billing Aug'!$D$2:$D$770,A449)*SUMIFS('Billing Aug'!$I$2:$I$770,'Billing Aug'!$D$2:$D$770,A449))</f>
        <v/>
      </c>
      <c r="Q449" s="37">
        <f>IF(N449=0,"NO AUG TRANSACTION IN SUPPLIED EXTRACT",IF(ABS(P449)&gt;0.004,"SUBLEDGER ARITHMETIC ERROR",IF(ABS(M449)&gt;0.004,"BILLING VARIANCE","MATCH")))</f>
        <v/>
      </c>
    </row>
    <row r="450">
      <c r="A450" s="37" t="inlineStr">
        <is>
          <t>VB-1001</t>
        </is>
      </c>
      <c r="B450" s="37" t="inlineStr">
        <is>
          <t>Vessbank</t>
        </is>
      </c>
      <c r="C450" s="37" t="inlineStr">
        <is>
          <t>COVERED</t>
        </is>
      </c>
      <c r="D450" s="37" t="inlineStr">
        <is>
          <t>OCCUPIED</t>
        </is>
      </c>
      <c r="E450" s="37" t="inlineStr">
        <is>
          <t>WL-03801</t>
        </is>
      </c>
      <c r="F450" s="37" t="inlineStr">
        <is>
          <t>Brian Robertson</t>
        </is>
      </c>
      <c r="G450" s="37" t="n">
        <v>40</v>
      </c>
      <c r="H450" s="39" t="n">
        <v>20.9</v>
      </c>
      <c r="I450" s="40">
        <f>ROUNDUP(MAX(G450,H450),0)</f>
        <v/>
      </c>
      <c r="J450" s="41">
        <f>IF(C450="COVERED",'Methodology'!$B$9,'Methodology'!$B$10)</f>
        <v/>
      </c>
      <c r="K450" s="41">
        <f>I450*J450</f>
        <v/>
      </c>
      <c r="L450" s="41">
        <f>SUMIFS('Billing Aug'!$J$2:$J$770,'Billing Aug'!$D$2:$D$770,A450)</f>
        <v/>
      </c>
      <c r="M450" s="41">
        <f>L450-K450</f>
        <v/>
      </c>
      <c r="N450" s="37">
        <f>COUNTIF('Billing Aug'!$D$2:$D$770,A450)</f>
        <v/>
      </c>
      <c r="O450" s="37">
        <f>SUMIFS('Billing Aug'!$F$2:$F$770,'Billing Aug'!$D$2:$D$770,A450)</f>
        <v/>
      </c>
      <c r="P450" s="41">
        <f>IF(N450=0,0,L450-SUMIFS('Billing Aug'!$H$2:$H$770,'Billing Aug'!$D$2:$D$770,A450)*SUMIFS('Billing Aug'!$I$2:$I$770,'Billing Aug'!$D$2:$D$770,A450))</f>
        <v/>
      </c>
      <c r="Q450" s="37">
        <f>IF(N450=0,"NO AUG TRANSACTION IN SUPPLIED EXTRACT",IF(ABS(P450)&gt;0.004,"SUBLEDGER ARITHMETIC ERROR",IF(ABS(M450)&gt;0.004,"BILLING VARIANCE","MATCH")))</f>
        <v/>
      </c>
    </row>
    <row r="451">
      <c r="A451" s="37" t="inlineStr">
        <is>
          <t>VB-1002</t>
        </is>
      </c>
      <c r="B451" s="37" t="inlineStr">
        <is>
          <t>Vessbank</t>
        </is>
      </c>
      <c r="C451" s="37" t="inlineStr">
        <is>
          <t>COVERED</t>
        </is>
      </c>
      <c r="D451" s="37" t="inlineStr">
        <is>
          <t>OCCUPIED</t>
        </is>
      </c>
      <c r="E451" s="37" t="inlineStr">
        <is>
          <t>WL-02902</t>
        </is>
      </c>
      <c r="F451" s="37" t="inlineStr">
        <is>
          <t>Lorraine Schultz</t>
        </is>
      </c>
      <c r="G451" s="37" t="n">
        <v>28</v>
      </c>
      <c r="H451" s="39" t="n">
        <v>60</v>
      </c>
      <c r="I451" s="40">
        <f>ROUNDUP(MAX(G451,H451),0)</f>
        <v/>
      </c>
      <c r="J451" s="41">
        <f>IF(C451="COVERED",'Methodology'!$B$9,'Methodology'!$B$10)</f>
        <v/>
      </c>
      <c r="K451" s="41">
        <f>I451*J451</f>
        <v/>
      </c>
      <c r="L451" s="41">
        <f>SUMIFS('Billing Aug'!$J$2:$J$770,'Billing Aug'!$D$2:$D$770,A451)</f>
        <v/>
      </c>
      <c r="M451" s="41">
        <f>L451-K451</f>
        <v/>
      </c>
      <c r="N451" s="37">
        <f>COUNTIF('Billing Aug'!$D$2:$D$770,A451)</f>
        <v/>
      </c>
      <c r="O451" s="37">
        <f>SUMIFS('Billing Aug'!$F$2:$F$770,'Billing Aug'!$D$2:$D$770,A451)</f>
        <v/>
      </c>
      <c r="P451" s="41">
        <f>IF(N451=0,0,L451-SUMIFS('Billing Aug'!$H$2:$H$770,'Billing Aug'!$D$2:$D$770,A451)*SUMIFS('Billing Aug'!$I$2:$I$770,'Billing Aug'!$D$2:$D$770,A451))</f>
        <v/>
      </c>
      <c r="Q451" s="37">
        <f>IF(N451=0,"NO AUG TRANSACTION IN SUPPLIED EXTRACT",IF(ABS(P451)&gt;0.004,"SUBLEDGER ARITHMETIC ERROR",IF(ABS(M451)&gt;0.004,"BILLING VARIANCE","MATCH")))</f>
        <v/>
      </c>
    </row>
    <row r="452">
      <c r="A452" s="37" t="inlineStr">
        <is>
          <t>VB-1004</t>
        </is>
      </c>
      <c r="B452" s="37" t="inlineStr">
        <is>
          <t>Vessbank</t>
        </is>
      </c>
      <c r="C452" s="37" t="inlineStr">
        <is>
          <t>COVERED</t>
        </is>
      </c>
      <c r="D452" s="37" t="inlineStr">
        <is>
          <t>OCCUPIED</t>
        </is>
      </c>
      <c r="E452" s="37" t="inlineStr">
        <is>
          <t>WL-03765</t>
        </is>
      </c>
      <c r="F452" s="37" t="inlineStr">
        <is>
          <t>Joel Schmidt</t>
        </is>
      </c>
      <c r="G452" s="37" t="n">
        <v>28</v>
      </c>
      <c r="H452" s="39" t="n">
        <v>35.9</v>
      </c>
      <c r="I452" s="40">
        <f>ROUNDUP(MAX(G452,H452),0)</f>
        <v/>
      </c>
      <c r="J452" s="41">
        <f>IF(C452="COVERED",'Methodology'!$B$9,'Methodology'!$B$10)</f>
        <v/>
      </c>
      <c r="K452" s="41">
        <f>I452*J452</f>
        <v/>
      </c>
      <c r="L452" s="41">
        <f>SUMIFS('Billing Aug'!$J$2:$J$770,'Billing Aug'!$D$2:$D$770,A452)</f>
        <v/>
      </c>
      <c r="M452" s="41">
        <f>L452-K452</f>
        <v/>
      </c>
      <c r="N452" s="37">
        <f>COUNTIF('Billing Aug'!$D$2:$D$770,A452)</f>
        <v/>
      </c>
      <c r="O452" s="37">
        <f>SUMIFS('Billing Aug'!$F$2:$F$770,'Billing Aug'!$D$2:$D$770,A452)</f>
        <v/>
      </c>
      <c r="P452" s="41">
        <f>IF(N452=0,0,L452-SUMIFS('Billing Aug'!$H$2:$H$770,'Billing Aug'!$D$2:$D$770,A452)*SUMIFS('Billing Aug'!$I$2:$I$770,'Billing Aug'!$D$2:$D$770,A452))</f>
        <v/>
      </c>
      <c r="Q452" s="37">
        <f>IF(N452=0,"NO AUG TRANSACTION IN SUPPLIED EXTRACT",IF(ABS(P452)&gt;0.004,"SUBLEDGER ARITHMETIC ERROR",IF(ABS(M452)&gt;0.004,"BILLING VARIANCE","MATCH")))</f>
        <v/>
      </c>
    </row>
    <row r="453">
      <c r="A453" s="37" t="inlineStr">
        <is>
          <t>VB-1005</t>
        </is>
      </c>
      <c r="B453" s="37" t="inlineStr">
        <is>
          <t>Vessbank</t>
        </is>
      </c>
      <c r="C453" s="37" t="inlineStr">
        <is>
          <t>COVERED</t>
        </is>
      </c>
      <c r="D453" s="37" t="inlineStr">
        <is>
          <t>OCCUPIED</t>
        </is>
      </c>
      <c r="E453" s="37" t="inlineStr">
        <is>
          <t>WL-01874</t>
        </is>
      </c>
      <c r="F453" s="37" t="inlineStr">
        <is>
          <t>Glenda Williams</t>
        </is>
      </c>
      <c r="G453" s="37" t="n">
        <v>28</v>
      </c>
      <c r="H453" s="39" t="n">
        <v>56.3</v>
      </c>
      <c r="I453" s="40">
        <f>ROUNDUP(MAX(G453,H453),0)</f>
        <v/>
      </c>
      <c r="J453" s="41">
        <f>IF(C453="COVERED",'Methodology'!$B$9,'Methodology'!$B$10)</f>
        <v/>
      </c>
      <c r="K453" s="41">
        <f>I453*J453</f>
        <v/>
      </c>
      <c r="L453" s="41">
        <f>SUMIFS('Billing Aug'!$J$2:$J$770,'Billing Aug'!$D$2:$D$770,A453)</f>
        <v/>
      </c>
      <c r="M453" s="41">
        <f>L453-K453</f>
        <v/>
      </c>
      <c r="N453" s="37">
        <f>COUNTIF('Billing Aug'!$D$2:$D$770,A453)</f>
        <v/>
      </c>
      <c r="O453" s="37">
        <f>SUMIFS('Billing Aug'!$F$2:$F$770,'Billing Aug'!$D$2:$D$770,A453)</f>
        <v/>
      </c>
      <c r="P453" s="41">
        <f>IF(N453=0,0,L453-SUMIFS('Billing Aug'!$H$2:$H$770,'Billing Aug'!$D$2:$D$770,A453)*SUMIFS('Billing Aug'!$I$2:$I$770,'Billing Aug'!$D$2:$D$770,A453))</f>
        <v/>
      </c>
      <c r="Q453" s="37">
        <f>IF(N453=0,"NO AUG TRANSACTION IN SUPPLIED EXTRACT",IF(ABS(P453)&gt;0.004,"SUBLEDGER ARITHMETIC ERROR",IF(ABS(M453)&gt;0.004,"BILLING VARIANCE","MATCH")))</f>
        <v/>
      </c>
    </row>
    <row r="454">
      <c r="A454" s="37" t="inlineStr">
        <is>
          <t>VB-1006</t>
        </is>
      </c>
      <c r="B454" s="37" t="inlineStr">
        <is>
          <t>Vessbank</t>
        </is>
      </c>
      <c r="C454" s="37" t="inlineStr">
        <is>
          <t>COVERED</t>
        </is>
      </c>
      <c r="D454" s="37" t="inlineStr">
        <is>
          <t>OCCUPIED</t>
        </is>
      </c>
      <c r="E454" s="37" t="inlineStr">
        <is>
          <t>WL-03723</t>
        </is>
      </c>
      <c r="F454" s="37" t="inlineStr">
        <is>
          <t>Michael Douglas</t>
        </is>
      </c>
      <c r="G454" s="37" t="n">
        <v>24</v>
      </c>
      <c r="H454" s="39" t="n">
        <v>28.1</v>
      </c>
      <c r="I454" s="40">
        <f>ROUNDUP(MAX(G454,H454),0)</f>
        <v/>
      </c>
      <c r="J454" s="41">
        <f>IF(C454="COVERED",'Methodology'!$B$9,'Methodology'!$B$10)</f>
        <v/>
      </c>
      <c r="K454" s="41">
        <f>I454*J454</f>
        <v/>
      </c>
      <c r="L454" s="41">
        <f>SUMIFS('Billing Aug'!$J$2:$J$770,'Billing Aug'!$D$2:$D$770,A454)</f>
        <v/>
      </c>
      <c r="M454" s="41">
        <f>L454-K454</f>
        <v/>
      </c>
      <c r="N454" s="37">
        <f>COUNTIF('Billing Aug'!$D$2:$D$770,A454)</f>
        <v/>
      </c>
      <c r="O454" s="37">
        <f>SUMIFS('Billing Aug'!$F$2:$F$770,'Billing Aug'!$D$2:$D$770,A454)</f>
        <v/>
      </c>
      <c r="P454" s="41">
        <f>IF(N454=0,0,L454-SUMIFS('Billing Aug'!$H$2:$H$770,'Billing Aug'!$D$2:$D$770,A454)*SUMIFS('Billing Aug'!$I$2:$I$770,'Billing Aug'!$D$2:$D$770,A454))</f>
        <v/>
      </c>
      <c r="Q454" s="37">
        <f>IF(N454=0,"NO AUG TRANSACTION IN SUPPLIED EXTRACT",IF(ABS(P454)&gt;0.004,"SUBLEDGER ARITHMETIC ERROR",IF(ABS(M454)&gt;0.004,"BILLING VARIANCE","MATCH")))</f>
        <v/>
      </c>
    </row>
    <row r="455">
      <c r="A455" s="37" t="inlineStr">
        <is>
          <t>VB-1007</t>
        </is>
      </c>
      <c r="B455" s="37" t="inlineStr">
        <is>
          <t>Vessbank</t>
        </is>
      </c>
      <c r="C455" s="37" t="inlineStr">
        <is>
          <t>COVERED</t>
        </is>
      </c>
      <c r="D455" s="37" t="inlineStr">
        <is>
          <t>OCCUPIED</t>
        </is>
      </c>
      <c r="E455" s="37" t="inlineStr">
        <is>
          <t>WL-02796</t>
        </is>
      </c>
      <c r="F455" s="37" t="inlineStr">
        <is>
          <t>Gavin Scott</t>
        </is>
      </c>
      <c r="G455" s="37" t="n">
        <v>36</v>
      </c>
      <c r="H455" s="39" t="n">
        <v>46.3</v>
      </c>
      <c r="I455" s="40">
        <f>ROUNDUP(MAX(G455,H455),0)</f>
        <v/>
      </c>
      <c r="J455" s="41">
        <f>IF(C455="COVERED",'Methodology'!$B$9,'Methodology'!$B$10)</f>
        <v/>
      </c>
      <c r="K455" s="41">
        <f>I455*J455</f>
        <v/>
      </c>
      <c r="L455" s="41">
        <f>SUMIFS('Billing Aug'!$J$2:$J$770,'Billing Aug'!$D$2:$D$770,A455)</f>
        <v/>
      </c>
      <c r="M455" s="41">
        <f>L455-K455</f>
        <v/>
      </c>
      <c r="N455" s="37">
        <f>COUNTIF('Billing Aug'!$D$2:$D$770,A455)</f>
        <v/>
      </c>
      <c r="O455" s="37">
        <f>SUMIFS('Billing Aug'!$F$2:$F$770,'Billing Aug'!$D$2:$D$770,A455)</f>
        <v/>
      </c>
      <c r="P455" s="41">
        <f>IF(N455=0,0,L455-SUMIFS('Billing Aug'!$H$2:$H$770,'Billing Aug'!$D$2:$D$770,A455)*SUMIFS('Billing Aug'!$I$2:$I$770,'Billing Aug'!$D$2:$D$770,A455))</f>
        <v/>
      </c>
      <c r="Q455" s="37">
        <f>IF(N455=0,"NO AUG TRANSACTION IN SUPPLIED EXTRACT",IF(ABS(P455)&gt;0.004,"SUBLEDGER ARITHMETIC ERROR",IF(ABS(M455)&gt;0.004,"BILLING VARIANCE","MATCH")))</f>
        <v/>
      </c>
    </row>
    <row r="456">
      <c r="A456" s="37" t="inlineStr">
        <is>
          <t>VB-1008</t>
        </is>
      </c>
      <c r="B456" s="37" t="inlineStr">
        <is>
          <t>Vessbank</t>
        </is>
      </c>
      <c r="C456" s="37" t="inlineStr">
        <is>
          <t>COVERED</t>
        </is>
      </c>
      <c r="D456" s="37" t="inlineStr">
        <is>
          <t>OCCUPIED</t>
        </is>
      </c>
      <c r="E456" s="37" t="inlineStr">
        <is>
          <t>WL-02193</t>
        </is>
      </c>
      <c r="F456" s="37" t="inlineStr">
        <is>
          <t>Valerie Berg</t>
        </is>
      </c>
      <c r="G456" s="37" t="n">
        <v>36</v>
      </c>
      <c r="H456" s="39" t="n">
        <v>49.2</v>
      </c>
      <c r="I456" s="40">
        <f>ROUNDUP(MAX(G456,H456),0)</f>
        <v/>
      </c>
      <c r="J456" s="41">
        <f>IF(C456="COVERED",'Methodology'!$B$9,'Methodology'!$B$10)</f>
        <v/>
      </c>
      <c r="K456" s="41">
        <f>I456*J456</f>
        <v/>
      </c>
      <c r="L456" s="41">
        <f>SUMIFS('Billing Aug'!$J$2:$J$770,'Billing Aug'!$D$2:$D$770,A456)</f>
        <v/>
      </c>
      <c r="M456" s="41">
        <f>L456-K456</f>
        <v/>
      </c>
      <c r="N456" s="37">
        <f>COUNTIF('Billing Aug'!$D$2:$D$770,A456)</f>
        <v/>
      </c>
      <c r="O456" s="37">
        <f>SUMIFS('Billing Aug'!$F$2:$F$770,'Billing Aug'!$D$2:$D$770,A456)</f>
        <v/>
      </c>
      <c r="P456" s="41">
        <f>IF(N456=0,0,L456-SUMIFS('Billing Aug'!$H$2:$H$770,'Billing Aug'!$D$2:$D$770,A456)*SUMIFS('Billing Aug'!$I$2:$I$770,'Billing Aug'!$D$2:$D$770,A456))</f>
        <v/>
      </c>
      <c r="Q456" s="37">
        <f>IF(N456=0,"NO AUG TRANSACTION IN SUPPLIED EXTRACT",IF(ABS(P456)&gt;0.004,"SUBLEDGER ARITHMETIC ERROR",IF(ABS(M456)&gt;0.004,"BILLING VARIANCE","MATCH")))</f>
        <v/>
      </c>
    </row>
    <row r="457">
      <c r="A457" s="37" t="inlineStr">
        <is>
          <t>VB-1009</t>
        </is>
      </c>
      <c r="B457" s="37" t="inlineStr">
        <is>
          <t>Vessbank</t>
        </is>
      </c>
      <c r="C457" s="37" t="inlineStr">
        <is>
          <t>COVERED</t>
        </is>
      </c>
      <c r="D457" s="37" t="inlineStr">
        <is>
          <t>OCCUPIED</t>
        </is>
      </c>
      <c r="E457" s="37" t="inlineStr">
        <is>
          <t>WL-02802</t>
        </is>
      </c>
      <c r="F457" s="37" t="inlineStr">
        <is>
          <t>Kimberly Poole</t>
        </is>
      </c>
      <c r="G457" s="37" t="n">
        <v>28</v>
      </c>
      <c r="H457" s="39" t="n">
        <v>43.3</v>
      </c>
      <c r="I457" s="40">
        <f>ROUNDUP(MAX(G457,H457),0)</f>
        <v/>
      </c>
      <c r="J457" s="41">
        <f>IF(C457="COVERED",'Methodology'!$B$9,'Methodology'!$B$10)</f>
        <v/>
      </c>
      <c r="K457" s="41">
        <f>I457*J457</f>
        <v/>
      </c>
      <c r="L457" s="41">
        <f>SUMIFS('Billing Aug'!$J$2:$J$770,'Billing Aug'!$D$2:$D$770,A457)</f>
        <v/>
      </c>
      <c r="M457" s="41">
        <f>L457-K457</f>
        <v/>
      </c>
      <c r="N457" s="37">
        <f>COUNTIF('Billing Aug'!$D$2:$D$770,A457)</f>
        <v/>
      </c>
      <c r="O457" s="37">
        <f>SUMIFS('Billing Aug'!$F$2:$F$770,'Billing Aug'!$D$2:$D$770,A457)</f>
        <v/>
      </c>
      <c r="P457" s="41">
        <f>IF(N457=0,0,L457-SUMIFS('Billing Aug'!$H$2:$H$770,'Billing Aug'!$D$2:$D$770,A457)*SUMIFS('Billing Aug'!$I$2:$I$770,'Billing Aug'!$D$2:$D$770,A457))</f>
        <v/>
      </c>
      <c r="Q457" s="37">
        <f>IF(N457=0,"NO AUG TRANSACTION IN SUPPLIED EXTRACT",IF(ABS(P457)&gt;0.004,"SUBLEDGER ARITHMETIC ERROR",IF(ABS(M457)&gt;0.004,"BILLING VARIANCE","MATCH")))</f>
        <v/>
      </c>
    </row>
    <row r="458">
      <c r="A458" s="37" t="inlineStr">
        <is>
          <t>VB-1010</t>
        </is>
      </c>
      <c r="B458" s="37" t="inlineStr">
        <is>
          <t>Vessbank</t>
        </is>
      </c>
      <c r="C458" s="37" t="inlineStr">
        <is>
          <t>COVERED</t>
        </is>
      </c>
      <c r="D458" s="37" t="inlineStr">
        <is>
          <t>OCCUPIED</t>
        </is>
      </c>
      <c r="E458" s="37" t="inlineStr">
        <is>
          <t>WL-03077</t>
        </is>
      </c>
      <c r="F458" s="37" t="inlineStr">
        <is>
          <t>Lisa Jensen</t>
        </is>
      </c>
      <c r="G458" s="37" t="n">
        <v>24</v>
      </c>
      <c r="H458" s="39" t="n">
        <v>48.1</v>
      </c>
      <c r="I458" s="40">
        <f>ROUNDUP(MAX(G458,H458),0)</f>
        <v/>
      </c>
      <c r="J458" s="41">
        <f>IF(C458="COVERED",'Methodology'!$B$9,'Methodology'!$B$10)</f>
        <v/>
      </c>
      <c r="K458" s="41">
        <f>I458*J458</f>
        <v/>
      </c>
      <c r="L458" s="41">
        <f>SUMIFS('Billing Aug'!$J$2:$J$770,'Billing Aug'!$D$2:$D$770,A458)</f>
        <v/>
      </c>
      <c r="M458" s="41">
        <f>L458-K458</f>
        <v/>
      </c>
      <c r="N458" s="37">
        <f>COUNTIF('Billing Aug'!$D$2:$D$770,A458)</f>
        <v/>
      </c>
      <c r="O458" s="37">
        <f>SUMIFS('Billing Aug'!$F$2:$F$770,'Billing Aug'!$D$2:$D$770,A458)</f>
        <v/>
      </c>
      <c r="P458" s="41">
        <f>IF(N458=0,0,L458-SUMIFS('Billing Aug'!$H$2:$H$770,'Billing Aug'!$D$2:$D$770,A458)*SUMIFS('Billing Aug'!$I$2:$I$770,'Billing Aug'!$D$2:$D$770,A458))</f>
        <v/>
      </c>
      <c r="Q458" s="37">
        <f>IF(N458=0,"NO AUG TRANSACTION IN SUPPLIED EXTRACT",IF(ABS(P458)&gt;0.004,"SUBLEDGER ARITHMETIC ERROR",IF(ABS(M458)&gt;0.004,"BILLING VARIANCE","MATCH")))</f>
        <v/>
      </c>
    </row>
    <row r="459">
      <c r="A459" s="37" t="inlineStr">
        <is>
          <t>VB-1011</t>
        </is>
      </c>
      <c r="B459" s="37" t="inlineStr">
        <is>
          <t>Vessbank</t>
        </is>
      </c>
      <c r="C459" s="37" t="inlineStr">
        <is>
          <t>COVERED</t>
        </is>
      </c>
      <c r="D459" s="37" t="inlineStr">
        <is>
          <t>OCCUPIED</t>
        </is>
      </c>
      <c r="E459" s="37" t="inlineStr">
        <is>
          <t>WL-01187</t>
        </is>
      </c>
      <c r="F459" s="37" t="inlineStr">
        <is>
          <t>James Lee</t>
        </is>
      </c>
      <c r="G459" s="37" t="n">
        <v>40</v>
      </c>
      <c r="H459" s="39" t="n">
        <v>28.3</v>
      </c>
      <c r="I459" s="40">
        <f>ROUNDUP(MAX(G459,H459),0)</f>
        <v/>
      </c>
      <c r="J459" s="41">
        <f>IF(C459="COVERED",'Methodology'!$B$9,'Methodology'!$B$10)</f>
        <v/>
      </c>
      <c r="K459" s="41">
        <f>I459*J459</f>
        <v/>
      </c>
      <c r="L459" s="41">
        <f>SUMIFS('Billing Aug'!$J$2:$J$770,'Billing Aug'!$D$2:$D$770,A459)</f>
        <v/>
      </c>
      <c r="M459" s="41">
        <f>L459-K459</f>
        <v/>
      </c>
      <c r="N459" s="37">
        <f>COUNTIF('Billing Aug'!$D$2:$D$770,A459)</f>
        <v/>
      </c>
      <c r="O459" s="37">
        <f>SUMIFS('Billing Aug'!$F$2:$F$770,'Billing Aug'!$D$2:$D$770,A459)</f>
        <v/>
      </c>
      <c r="P459" s="41">
        <f>IF(N459=0,0,L459-SUMIFS('Billing Aug'!$H$2:$H$770,'Billing Aug'!$D$2:$D$770,A459)*SUMIFS('Billing Aug'!$I$2:$I$770,'Billing Aug'!$D$2:$D$770,A459))</f>
        <v/>
      </c>
      <c r="Q459" s="37">
        <f>IF(N459=0,"NO AUG TRANSACTION IN SUPPLIED EXTRACT",IF(ABS(P459)&gt;0.004,"SUBLEDGER ARITHMETIC ERROR",IF(ABS(M459)&gt;0.004,"BILLING VARIANCE","MATCH")))</f>
        <v/>
      </c>
    </row>
    <row r="460">
      <c r="A460" s="37" t="inlineStr">
        <is>
          <t>VB-1012</t>
        </is>
      </c>
      <c r="B460" s="37" t="inlineStr">
        <is>
          <t>Vessbank</t>
        </is>
      </c>
      <c r="C460" s="37" t="inlineStr">
        <is>
          <t>COVERED</t>
        </is>
      </c>
      <c r="D460" s="37" t="inlineStr">
        <is>
          <t>OCCUPIED</t>
        </is>
      </c>
      <c r="E460" s="37" t="inlineStr">
        <is>
          <t>WL-01323</t>
        </is>
      </c>
      <c r="F460" s="37" t="inlineStr">
        <is>
          <t>Melanie Alvarado</t>
        </is>
      </c>
      <c r="G460" s="37" t="n">
        <v>40</v>
      </c>
      <c r="H460" s="39" t="n">
        <v>57.4</v>
      </c>
      <c r="I460" s="40">
        <f>ROUNDUP(MAX(G460,H460),0)</f>
        <v/>
      </c>
      <c r="J460" s="41">
        <f>IF(C460="COVERED",'Methodology'!$B$9,'Methodology'!$B$10)</f>
        <v/>
      </c>
      <c r="K460" s="41">
        <f>I460*J460</f>
        <v/>
      </c>
      <c r="L460" s="41">
        <f>SUMIFS('Billing Aug'!$J$2:$J$770,'Billing Aug'!$D$2:$D$770,A460)</f>
        <v/>
      </c>
      <c r="M460" s="41">
        <f>L460-K460</f>
        <v/>
      </c>
      <c r="N460" s="37">
        <f>COUNTIF('Billing Aug'!$D$2:$D$770,A460)</f>
        <v/>
      </c>
      <c r="O460" s="37">
        <f>SUMIFS('Billing Aug'!$F$2:$F$770,'Billing Aug'!$D$2:$D$770,A460)</f>
        <v/>
      </c>
      <c r="P460" s="41">
        <f>IF(N460=0,0,L460-SUMIFS('Billing Aug'!$H$2:$H$770,'Billing Aug'!$D$2:$D$770,A460)*SUMIFS('Billing Aug'!$I$2:$I$770,'Billing Aug'!$D$2:$D$770,A460))</f>
        <v/>
      </c>
      <c r="Q460" s="37">
        <f>IF(N460=0,"NO AUG TRANSACTION IN SUPPLIED EXTRACT",IF(ABS(P460)&gt;0.004,"SUBLEDGER ARITHMETIC ERROR",IF(ABS(M460)&gt;0.004,"BILLING VARIANCE","MATCH")))</f>
        <v/>
      </c>
    </row>
    <row r="461">
      <c r="A461" s="37" t="inlineStr">
        <is>
          <t>VB-1013</t>
        </is>
      </c>
      <c r="B461" s="37" t="inlineStr">
        <is>
          <t>Vessbank</t>
        </is>
      </c>
      <c r="C461" s="37" t="inlineStr">
        <is>
          <t>COVERED</t>
        </is>
      </c>
      <c r="D461" s="37" t="inlineStr">
        <is>
          <t>OCCUPIED</t>
        </is>
      </c>
      <c r="E461" s="37" t="inlineStr">
        <is>
          <t>WL-02105</t>
        </is>
      </c>
      <c r="F461" s="37" t="inlineStr">
        <is>
          <t>Kenneth Underwood</t>
        </is>
      </c>
      <c r="G461" s="37" t="n">
        <v>28</v>
      </c>
      <c r="H461" s="39" t="n">
        <v>21</v>
      </c>
      <c r="I461" s="40">
        <f>ROUNDUP(MAX(G461,H461),0)</f>
        <v/>
      </c>
      <c r="J461" s="41">
        <f>IF(C461="COVERED",'Methodology'!$B$9,'Methodology'!$B$10)</f>
        <v/>
      </c>
      <c r="K461" s="41">
        <f>I461*J461</f>
        <v/>
      </c>
      <c r="L461" s="41">
        <f>SUMIFS('Billing Aug'!$J$2:$J$770,'Billing Aug'!$D$2:$D$770,A461)</f>
        <v/>
      </c>
      <c r="M461" s="41">
        <f>L461-K461</f>
        <v/>
      </c>
      <c r="N461" s="37">
        <f>COUNTIF('Billing Aug'!$D$2:$D$770,A461)</f>
        <v/>
      </c>
      <c r="O461" s="37">
        <f>SUMIFS('Billing Aug'!$F$2:$F$770,'Billing Aug'!$D$2:$D$770,A461)</f>
        <v/>
      </c>
      <c r="P461" s="41">
        <f>IF(N461=0,0,L461-SUMIFS('Billing Aug'!$H$2:$H$770,'Billing Aug'!$D$2:$D$770,A461)*SUMIFS('Billing Aug'!$I$2:$I$770,'Billing Aug'!$D$2:$D$770,A461))</f>
        <v/>
      </c>
      <c r="Q461" s="37">
        <f>IF(N461=0,"NO AUG TRANSACTION IN SUPPLIED EXTRACT",IF(ABS(P461)&gt;0.004,"SUBLEDGER ARITHMETIC ERROR",IF(ABS(M461)&gt;0.004,"BILLING VARIANCE","MATCH")))</f>
        <v/>
      </c>
    </row>
    <row r="462">
      <c r="A462" s="37" t="inlineStr">
        <is>
          <t>VB-1014</t>
        </is>
      </c>
      <c r="B462" s="37" t="inlineStr">
        <is>
          <t>Vessbank</t>
        </is>
      </c>
      <c r="C462" s="37" t="inlineStr">
        <is>
          <t>COVERED</t>
        </is>
      </c>
      <c r="D462" s="37" t="inlineStr">
        <is>
          <t>OCCUPIED</t>
        </is>
      </c>
      <c r="E462" s="37" t="inlineStr">
        <is>
          <t>WL-02188</t>
        </is>
      </c>
      <c r="F462" s="37" t="inlineStr">
        <is>
          <t>Courtney Zamora</t>
        </is>
      </c>
      <c r="G462" s="37" t="n">
        <v>36</v>
      </c>
      <c r="H462" s="39" t="n">
        <v>32.3</v>
      </c>
      <c r="I462" s="40">
        <f>ROUNDUP(MAX(G462,H462),0)</f>
        <v/>
      </c>
      <c r="J462" s="41">
        <f>IF(C462="COVERED",'Methodology'!$B$9,'Methodology'!$B$10)</f>
        <v/>
      </c>
      <c r="K462" s="41">
        <f>I462*J462</f>
        <v/>
      </c>
      <c r="L462" s="41">
        <f>SUMIFS('Billing Aug'!$J$2:$J$770,'Billing Aug'!$D$2:$D$770,A462)</f>
        <v/>
      </c>
      <c r="M462" s="41">
        <f>L462-K462</f>
        <v/>
      </c>
      <c r="N462" s="37">
        <f>COUNTIF('Billing Aug'!$D$2:$D$770,A462)</f>
        <v/>
      </c>
      <c r="O462" s="37">
        <f>SUMIFS('Billing Aug'!$F$2:$F$770,'Billing Aug'!$D$2:$D$770,A462)</f>
        <v/>
      </c>
      <c r="P462" s="41">
        <f>IF(N462=0,0,L462-SUMIFS('Billing Aug'!$H$2:$H$770,'Billing Aug'!$D$2:$D$770,A462)*SUMIFS('Billing Aug'!$I$2:$I$770,'Billing Aug'!$D$2:$D$770,A462))</f>
        <v/>
      </c>
      <c r="Q462" s="37">
        <f>IF(N462=0,"NO AUG TRANSACTION IN SUPPLIED EXTRACT",IF(ABS(P462)&gt;0.004,"SUBLEDGER ARITHMETIC ERROR",IF(ABS(M462)&gt;0.004,"BILLING VARIANCE","MATCH")))</f>
        <v/>
      </c>
    </row>
    <row r="463">
      <c r="A463" s="37" t="inlineStr">
        <is>
          <t>VB-1015</t>
        </is>
      </c>
      <c r="B463" s="37" t="inlineStr">
        <is>
          <t>Vessbank</t>
        </is>
      </c>
      <c r="C463" s="37" t="inlineStr">
        <is>
          <t>COVERED</t>
        </is>
      </c>
      <c r="D463" s="37" t="inlineStr">
        <is>
          <t>OCCUPIED</t>
        </is>
      </c>
      <c r="E463" s="37" t="inlineStr">
        <is>
          <t>WL-01478</t>
        </is>
      </c>
      <c r="F463" s="37" t="inlineStr">
        <is>
          <t>William Thomas</t>
        </is>
      </c>
      <c r="G463" s="37" t="n">
        <v>36</v>
      </c>
      <c r="H463" s="39" t="n">
        <v>38.1</v>
      </c>
      <c r="I463" s="40">
        <f>ROUNDUP(MAX(G463,H463),0)</f>
        <v/>
      </c>
      <c r="J463" s="41">
        <f>IF(C463="COVERED",'Methodology'!$B$9,'Methodology'!$B$10)</f>
        <v/>
      </c>
      <c r="K463" s="41">
        <f>I463*J463</f>
        <v/>
      </c>
      <c r="L463" s="41">
        <f>SUMIFS('Billing Aug'!$J$2:$J$770,'Billing Aug'!$D$2:$D$770,A463)</f>
        <v/>
      </c>
      <c r="M463" s="41">
        <f>L463-K463</f>
        <v/>
      </c>
      <c r="N463" s="37">
        <f>COUNTIF('Billing Aug'!$D$2:$D$770,A463)</f>
        <v/>
      </c>
      <c r="O463" s="37">
        <f>SUMIFS('Billing Aug'!$F$2:$F$770,'Billing Aug'!$D$2:$D$770,A463)</f>
        <v/>
      </c>
      <c r="P463" s="41">
        <f>IF(N463=0,0,L463-SUMIFS('Billing Aug'!$H$2:$H$770,'Billing Aug'!$D$2:$D$770,A463)*SUMIFS('Billing Aug'!$I$2:$I$770,'Billing Aug'!$D$2:$D$770,A463))</f>
        <v/>
      </c>
      <c r="Q463" s="37">
        <f>IF(N463=0,"NO AUG TRANSACTION IN SUPPLIED EXTRACT",IF(ABS(P463)&gt;0.004,"SUBLEDGER ARITHMETIC ERROR",IF(ABS(M463)&gt;0.004,"BILLING VARIANCE","MATCH")))</f>
        <v/>
      </c>
    </row>
    <row r="464">
      <c r="A464" s="37" t="inlineStr">
        <is>
          <t>VB-1016</t>
        </is>
      </c>
      <c r="B464" s="37" t="inlineStr">
        <is>
          <t>Vessbank</t>
        </is>
      </c>
      <c r="C464" s="37" t="inlineStr">
        <is>
          <t>COVERED</t>
        </is>
      </c>
      <c r="D464" s="37" t="inlineStr">
        <is>
          <t>OCCUPIED</t>
        </is>
      </c>
      <c r="E464" s="37" t="inlineStr">
        <is>
          <t>WL-03078</t>
        </is>
      </c>
      <c r="F464" s="37" t="inlineStr">
        <is>
          <t>Rachael Mitchell</t>
        </is>
      </c>
      <c r="G464" s="37" t="n">
        <v>24</v>
      </c>
      <c r="H464" s="39" t="n">
        <v>50</v>
      </c>
      <c r="I464" s="40">
        <f>ROUNDUP(MAX(G464,H464),0)</f>
        <v/>
      </c>
      <c r="J464" s="41">
        <f>IF(C464="COVERED",'Methodology'!$B$9,'Methodology'!$B$10)</f>
        <v/>
      </c>
      <c r="K464" s="41">
        <f>I464*J464</f>
        <v/>
      </c>
      <c r="L464" s="41">
        <f>SUMIFS('Billing Aug'!$J$2:$J$770,'Billing Aug'!$D$2:$D$770,A464)</f>
        <v/>
      </c>
      <c r="M464" s="41">
        <f>L464-K464</f>
        <v/>
      </c>
      <c r="N464" s="37">
        <f>COUNTIF('Billing Aug'!$D$2:$D$770,A464)</f>
        <v/>
      </c>
      <c r="O464" s="37">
        <f>SUMIFS('Billing Aug'!$F$2:$F$770,'Billing Aug'!$D$2:$D$770,A464)</f>
        <v/>
      </c>
      <c r="P464" s="41">
        <f>IF(N464=0,0,L464-SUMIFS('Billing Aug'!$H$2:$H$770,'Billing Aug'!$D$2:$D$770,A464)*SUMIFS('Billing Aug'!$I$2:$I$770,'Billing Aug'!$D$2:$D$770,A464))</f>
        <v/>
      </c>
      <c r="Q464" s="37">
        <f>IF(N464=0,"NO AUG TRANSACTION IN SUPPLIED EXTRACT",IF(ABS(P464)&gt;0.004,"SUBLEDGER ARITHMETIC ERROR",IF(ABS(M464)&gt;0.004,"BILLING VARIANCE","MATCH")))</f>
        <v/>
      </c>
    </row>
    <row r="465">
      <c r="A465" s="37" t="inlineStr">
        <is>
          <t>VB-1017</t>
        </is>
      </c>
      <c r="B465" s="37" t="inlineStr">
        <is>
          <t>Vessbank</t>
        </is>
      </c>
      <c r="C465" s="37" t="inlineStr">
        <is>
          <t>COVERED</t>
        </is>
      </c>
      <c r="D465" s="37" t="inlineStr">
        <is>
          <t>OCCUPIED</t>
        </is>
      </c>
      <c r="E465" s="37" t="inlineStr">
        <is>
          <t>WL-03104</t>
        </is>
      </c>
      <c r="F465" s="37" t="inlineStr">
        <is>
          <t>Jill Maldonado</t>
        </is>
      </c>
      <c r="G465" s="37" t="n">
        <v>24</v>
      </c>
      <c r="H465" s="39" t="n">
        <v>34.6</v>
      </c>
      <c r="I465" s="40">
        <f>ROUNDUP(MAX(G465,H465),0)</f>
        <v/>
      </c>
      <c r="J465" s="41">
        <f>IF(C465="COVERED",'Methodology'!$B$9,'Methodology'!$B$10)</f>
        <v/>
      </c>
      <c r="K465" s="41">
        <f>I465*J465</f>
        <v/>
      </c>
      <c r="L465" s="41">
        <f>SUMIFS('Billing Aug'!$J$2:$J$770,'Billing Aug'!$D$2:$D$770,A465)</f>
        <v/>
      </c>
      <c r="M465" s="41">
        <f>L465-K465</f>
        <v/>
      </c>
      <c r="N465" s="37">
        <f>COUNTIF('Billing Aug'!$D$2:$D$770,A465)</f>
        <v/>
      </c>
      <c r="O465" s="37">
        <f>SUMIFS('Billing Aug'!$F$2:$F$770,'Billing Aug'!$D$2:$D$770,A465)</f>
        <v/>
      </c>
      <c r="P465" s="41">
        <f>IF(N465=0,0,L465-SUMIFS('Billing Aug'!$H$2:$H$770,'Billing Aug'!$D$2:$D$770,A465)*SUMIFS('Billing Aug'!$I$2:$I$770,'Billing Aug'!$D$2:$D$770,A465))</f>
        <v/>
      </c>
      <c r="Q465" s="37">
        <f>IF(N465=0,"NO AUG TRANSACTION IN SUPPLIED EXTRACT",IF(ABS(P465)&gt;0.004,"SUBLEDGER ARITHMETIC ERROR",IF(ABS(M465)&gt;0.004,"BILLING VARIANCE","MATCH")))</f>
        <v/>
      </c>
    </row>
    <row r="466">
      <c r="A466" s="37" t="inlineStr">
        <is>
          <t>VB-1018</t>
        </is>
      </c>
      <c r="B466" s="37" t="inlineStr">
        <is>
          <t>Vessbank</t>
        </is>
      </c>
      <c r="C466" s="37" t="inlineStr">
        <is>
          <t>COVERED</t>
        </is>
      </c>
      <c r="D466" s="37" t="inlineStr">
        <is>
          <t>OCCUPIED</t>
        </is>
      </c>
      <c r="E466" s="37" t="inlineStr">
        <is>
          <t>WL-02100</t>
        </is>
      </c>
      <c r="F466" s="37" t="inlineStr">
        <is>
          <t>Michelle Pena</t>
        </is>
      </c>
      <c r="G466" s="37" t="n">
        <v>36</v>
      </c>
      <c r="H466" s="39" t="n">
        <v>51.9</v>
      </c>
      <c r="I466" s="40">
        <f>ROUNDUP(MAX(G466,H466),0)</f>
        <v/>
      </c>
      <c r="J466" s="41">
        <f>IF(C466="COVERED",'Methodology'!$B$9,'Methodology'!$B$10)</f>
        <v/>
      </c>
      <c r="K466" s="41">
        <f>I466*J466</f>
        <v/>
      </c>
      <c r="L466" s="41">
        <f>SUMIFS('Billing Aug'!$J$2:$J$770,'Billing Aug'!$D$2:$D$770,A466)</f>
        <v/>
      </c>
      <c r="M466" s="41">
        <f>L466-K466</f>
        <v/>
      </c>
      <c r="N466" s="37">
        <f>COUNTIF('Billing Aug'!$D$2:$D$770,A466)</f>
        <v/>
      </c>
      <c r="O466" s="37">
        <f>SUMIFS('Billing Aug'!$F$2:$F$770,'Billing Aug'!$D$2:$D$770,A466)</f>
        <v/>
      </c>
      <c r="P466" s="41">
        <f>IF(N466=0,0,L466-SUMIFS('Billing Aug'!$H$2:$H$770,'Billing Aug'!$D$2:$D$770,A466)*SUMIFS('Billing Aug'!$I$2:$I$770,'Billing Aug'!$D$2:$D$770,A466))</f>
        <v/>
      </c>
      <c r="Q466" s="37">
        <f>IF(N466=0,"NO AUG TRANSACTION IN SUPPLIED EXTRACT",IF(ABS(P466)&gt;0.004,"SUBLEDGER ARITHMETIC ERROR",IF(ABS(M466)&gt;0.004,"BILLING VARIANCE","MATCH")))</f>
        <v/>
      </c>
    </row>
    <row r="467">
      <c r="A467" s="37" t="inlineStr">
        <is>
          <t>VB-1019</t>
        </is>
      </c>
      <c r="B467" s="37" t="inlineStr">
        <is>
          <t>Vessbank</t>
        </is>
      </c>
      <c r="C467" s="37" t="inlineStr">
        <is>
          <t>COVERED</t>
        </is>
      </c>
      <c r="D467" s="37" t="inlineStr">
        <is>
          <t>OCCUPIED</t>
        </is>
      </c>
      <c r="E467" s="37" t="inlineStr">
        <is>
          <t>WL-03674</t>
        </is>
      </c>
      <c r="F467" s="37" t="inlineStr">
        <is>
          <t>Savannah Scott</t>
        </is>
      </c>
      <c r="G467" s="37" t="n">
        <v>24</v>
      </c>
      <c r="H467" s="39" t="n">
        <v>33.4</v>
      </c>
      <c r="I467" s="40">
        <f>ROUNDUP(MAX(G467,H467),0)</f>
        <v/>
      </c>
      <c r="J467" s="41">
        <f>IF(C467="COVERED",'Methodology'!$B$9,'Methodology'!$B$10)</f>
        <v/>
      </c>
      <c r="K467" s="41">
        <f>I467*J467</f>
        <v/>
      </c>
      <c r="L467" s="41">
        <f>SUMIFS('Billing Aug'!$J$2:$J$770,'Billing Aug'!$D$2:$D$770,A467)</f>
        <v/>
      </c>
      <c r="M467" s="41">
        <f>L467-K467</f>
        <v/>
      </c>
      <c r="N467" s="37">
        <f>COUNTIF('Billing Aug'!$D$2:$D$770,A467)</f>
        <v/>
      </c>
      <c r="O467" s="37">
        <f>SUMIFS('Billing Aug'!$F$2:$F$770,'Billing Aug'!$D$2:$D$770,A467)</f>
        <v/>
      </c>
      <c r="P467" s="41">
        <f>IF(N467=0,0,L467-SUMIFS('Billing Aug'!$H$2:$H$770,'Billing Aug'!$D$2:$D$770,A467)*SUMIFS('Billing Aug'!$I$2:$I$770,'Billing Aug'!$D$2:$D$770,A467))</f>
        <v/>
      </c>
      <c r="Q467" s="37">
        <f>IF(N467=0,"NO AUG TRANSACTION IN SUPPLIED EXTRACT",IF(ABS(P467)&gt;0.004,"SUBLEDGER ARITHMETIC ERROR",IF(ABS(M467)&gt;0.004,"BILLING VARIANCE","MATCH")))</f>
        <v/>
      </c>
    </row>
    <row r="468">
      <c r="A468" s="37" t="inlineStr">
        <is>
          <t>VB-1020</t>
        </is>
      </c>
      <c r="B468" s="37" t="inlineStr">
        <is>
          <t>Vessbank</t>
        </is>
      </c>
      <c r="C468" s="37" t="inlineStr">
        <is>
          <t>COVERED</t>
        </is>
      </c>
      <c r="D468" s="37" t="inlineStr">
        <is>
          <t>OCCUPIED</t>
        </is>
      </c>
      <c r="E468" s="37" t="inlineStr">
        <is>
          <t>WL-02112</t>
        </is>
      </c>
      <c r="F468" s="37" t="inlineStr">
        <is>
          <t>Molly Perez</t>
        </is>
      </c>
      <c r="G468" s="37" t="n">
        <v>40</v>
      </c>
      <c r="H468" s="39" t="n">
        <v>36.8</v>
      </c>
      <c r="I468" s="40">
        <f>ROUNDUP(MAX(G468,H468),0)</f>
        <v/>
      </c>
      <c r="J468" s="41">
        <f>IF(C468="COVERED",'Methodology'!$B$9,'Methodology'!$B$10)</f>
        <v/>
      </c>
      <c r="K468" s="41">
        <f>I468*J468</f>
        <v/>
      </c>
      <c r="L468" s="41">
        <f>SUMIFS('Billing Aug'!$J$2:$J$770,'Billing Aug'!$D$2:$D$770,A468)</f>
        <v/>
      </c>
      <c r="M468" s="41">
        <f>L468-K468</f>
        <v/>
      </c>
      <c r="N468" s="37">
        <f>COUNTIF('Billing Aug'!$D$2:$D$770,A468)</f>
        <v/>
      </c>
      <c r="O468" s="37">
        <f>SUMIFS('Billing Aug'!$F$2:$F$770,'Billing Aug'!$D$2:$D$770,A468)</f>
        <v/>
      </c>
      <c r="P468" s="41">
        <f>IF(N468=0,0,L468-SUMIFS('Billing Aug'!$H$2:$H$770,'Billing Aug'!$D$2:$D$770,A468)*SUMIFS('Billing Aug'!$I$2:$I$770,'Billing Aug'!$D$2:$D$770,A468))</f>
        <v/>
      </c>
      <c r="Q468" s="37">
        <f>IF(N468=0,"NO AUG TRANSACTION IN SUPPLIED EXTRACT",IF(ABS(P468)&gt;0.004,"SUBLEDGER ARITHMETIC ERROR",IF(ABS(M468)&gt;0.004,"BILLING VARIANCE","MATCH")))</f>
        <v/>
      </c>
    </row>
    <row r="469">
      <c r="A469" s="37" t="inlineStr">
        <is>
          <t>VB-1021</t>
        </is>
      </c>
      <c r="B469" s="37" t="inlineStr">
        <is>
          <t>Vessbank</t>
        </is>
      </c>
      <c r="C469" s="37" t="inlineStr">
        <is>
          <t>COVERED</t>
        </is>
      </c>
      <c r="D469" s="37" t="inlineStr">
        <is>
          <t>OCCUPIED</t>
        </is>
      </c>
      <c r="E469" s="37" t="inlineStr">
        <is>
          <t>WL-03142</t>
        </is>
      </c>
      <c r="F469" s="37" t="inlineStr">
        <is>
          <t>Tommy Bennett</t>
        </is>
      </c>
      <c r="G469" s="37" t="n">
        <v>40</v>
      </c>
      <c r="H469" s="39" t="n">
        <v>40.5</v>
      </c>
      <c r="I469" s="40">
        <f>ROUNDUP(MAX(G469,H469),0)</f>
        <v/>
      </c>
      <c r="J469" s="41">
        <f>IF(C469="COVERED",'Methodology'!$B$9,'Methodology'!$B$10)</f>
        <v/>
      </c>
      <c r="K469" s="41">
        <f>I469*J469</f>
        <v/>
      </c>
      <c r="L469" s="41">
        <f>SUMIFS('Billing Aug'!$J$2:$J$770,'Billing Aug'!$D$2:$D$770,A469)</f>
        <v/>
      </c>
      <c r="M469" s="41">
        <f>L469-K469</f>
        <v/>
      </c>
      <c r="N469" s="37">
        <f>COUNTIF('Billing Aug'!$D$2:$D$770,A469)</f>
        <v/>
      </c>
      <c r="O469" s="37">
        <f>SUMIFS('Billing Aug'!$F$2:$F$770,'Billing Aug'!$D$2:$D$770,A469)</f>
        <v/>
      </c>
      <c r="P469" s="41">
        <f>IF(N469=0,0,L469-SUMIFS('Billing Aug'!$H$2:$H$770,'Billing Aug'!$D$2:$D$770,A469)*SUMIFS('Billing Aug'!$I$2:$I$770,'Billing Aug'!$D$2:$D$770,A469))</f>
        <v/>
      </c>
      <c r="Q469" s="37">
        <f>IF(N469=0,"NO AUG TRANSACTION IN SUPPLIED EXTRACT",IF(ABS(P469)&gt;0.004,"SUBLEDGER ARITHMETIC ERROR",IF(ABS(M469)&gt;0.004,"BILLING VARIANCE","MATCH")))</f>
        <v/>
      </c>
    </row>
    <row r="470">
      <c r="A470" s="37" t="inlineStr">
        <is>
          <t>VB-1022</t>
        </is>
      </c>
      <c r="B470" s="37" t="inlineStr">
        <is>
          <t>Vessbank</t>
        </is>
      </c>
      <c r="C470" s="37" t="inlineStr">
        <is>
          <t>COVERED</t>
        </is>
      </c>
      <c r="D470" s="37" t="inlineStr">
        <is>
          <t>OCCUPIED</t>
        </is>
      </c>
      <c r="E470" s="37" t="inlineStr">
        <is>
          <t>WL-01981</t>
        </is>
      </c>
      <c r="F470" s="37" t="inlineStr">
        <is>
          <t>Kathleen Walker</t>
        </is>
      </c>
      <c r="G470" s="37" t="n">
        <v>36</v>
      </c>
      <c r="H470" s="39" t="n">
        <v>56.3</v>
      </c>
      <c r="I470" s="40">
        <f>ROUNDUP(MAX(G470,H470),0)</f>
        <v/>
      </c>
      <c r="J470" s="41">
        <f>IF(C470="COVERED",'Methodology'!$B$9,'Methodology'!$B$10)</f>
        <v/>
      </c>
      <c r="K470" s="41">
        <f>I470*J470</f>
        <v/>
      </c>
      <c r="L470" s="41">
        <f>SUMIFS('Billing Aug'!$J$2:$J$770,'Billing Aug'!$D$2:$D$770,A470)</f>
        <v/>
      </c>
      <c r="M470" s="41">
        <f>L470-K470</f>
        <v/>
      </c>
      <c r="N470" s="37">
        <f>COUNTIF('Billing Aug'!$D$2:$D$770,A470)</f>
        <v/>
      </c>
      <c r="O470" s="37">
        <f>SUMIFS('Billing Aug'!$F$2:$F$770,'Billing Aug'!$D$2:$D$770,A470)</f>
        <v/>
      </c>
      <c r="P470" s="41">
        <f>IF(N470=0,0,L470-SUMIFS('Billing Aug'!$H$2:$H$770,'Billing Aug'!$D$2:$D$770,A470)*SUMIFS('Billing Aug'!$I$2:$I$770,'Billing Aug'!$D$2:$D$770,A470))</f>
        <v/>
      </c>
      <c r="Q470" s="37">
        <f>IF(N470=0,"NO AUG TRANSACTION IN SUPPLIED EXTRACT",IF(ABS(P470)&gt;0.004,"SUBLEDGER ARITHMETIC ERROR",IF(ABS(M470)&gt;0.004,"BILLING VARIANCE","MATCH")))</f>
        <v/>
      </c>
    </row>
    <row r="471">
      <c r="A471" s="37" t="inlineStr">
        <is>
          <t>VB-1023</t>
        </is>
      </c>
      <c r="B471" s="37" t="inlineStr">
        <is>
          <t>Vessbank</t>
        </is>
      </c>
      <c r="C471" s="37" t="inlineStr">
        <is>
          <t>COVERED</t>
        </is>
      </c>
      <c r="D471" s="37" t="inlineStr">
        <is>
          <t>OCCUPIED</t>
        </is>
      </c>
      <c r="E471" s="37" t="inlineStr">
        <is>
          <t>WL-01467</t>
        </is>
      </c>
      <c r="F471" s="37" t="inlineStr">
        <is>
          <t>Walter Soto</t>
        </is>
      </c>
      <c r="G471" s="37" t="n">
        <v>28</v>
      </c>
      <c r="H471" s="39" t="n">
        <v>29.6</v>
      </c>
      <c r="I471" s="40">
        <f>ROUNDUP(MAX(G471,H471),0)</f>
        <v/>
      </c>
      <c r="J471" s="41">
        <f>IF(C471="COVERED",'Methodology'!$B$9,'Methodology'!$B$10)</f>
        <v/>
      </c>
      <c r="K471" s="41">
        <f>I471*J471</f>
        <v/>
      </c>
      <c r="L471" s="41">
        <f>SUMIFS('Billing Aug'!$J$2:$J$770,'Billing Aug'!$D$2:$D$770,A471)</f>
        <v/>
      </c>
      <c r="M471" s="41">
        <f>L471-K471</f>
        <v/>
      </c>
      <c r="N471" s="37">
        <f>COUNTIF('Billing Aug'!$D$2:$D$770,A471)</f>
        <v/>
      </c>
      <c r="O471" s="37">
        <f>SUMIFS('Billing Aug'!$F$2:$F$770,'Billing Aug'!$D$2:$D$770,A471)</f>
        <v/>
      </c>
      <c r="P471" s="41">
        <f>IF(N471=0,0,L471-SUMIFS('Billing Aug'!$H$2:$H$770,'Billing Aug'!$D$2:$D$770,A471)*SUMIFS('Billing Aug'!$I$2:$I$770,'Billing Aug'!$D$2:$D$770,A471))</f>
        <v/>
      </c>
      <c r="Q471" s="37">
        <f>IF(N471=0,"NO AUG TRANSACTION IN SUPPLIED EXTRACT",IF(ABS(P471)&gt;0.004,"SUBLEDGER ARITHMETIC ERROR",IF(ABS(M471)&gt;0.004,"BILLING VARIANCE","MATCH")))</f>
        <v/>
      </c>
    </row>
    <row r="472">
      <c r="A472" s="37" t="inlineStr">
        <is>
          <t>VB-1024</t>
        </is>
      </c>
      <c r="B472" s="37" t="inlineStr">
        <is>
          <t>Vessbank</t>
        </is>
      </c>
      <c r="C472" s="37" t="inlineStr">
        <is>
          <t>COVERED</t>
        </is>
      </c>
      <c r="D472" s="37" t="inlineStr">
        <is>
          <t>OCCUPIED</t>
        </is>
      </c>
      <c r="E472" s="37" t="inlineStr">
        <is>
          <t>WL-02463</t>
        </is>
      </c>
      <c r="F472" s="37" t="inlineStr">
        <is>
          <t>Lauren Oconnor</t>
        </is>
      </c>
      <c r="G472" s="37" t="n">
        <v>32</v>
      </c>
      <c r="H472" s="39" t="n">
        <v>55.7</v>
      </c>
      <c r="I472" s="40">
        <f>ROUNDUP(MAX(G472,H472),0)</f>
        <v/>
      </c>
      <c r="J472" s="41">
        <f>IF(C472="COVERED",'Methodology'!$B$9,'Methodology'!$B$10)</f>
        <v/>
      </c>
      <c r="K472" s="41">
        <f>I472*J472</f>
        <v/>
      </c>
      <c r="L472" s="41">
        <f>SUMIFS('Billing Aug'!$J$2:$J$770,'Billing Aug'!$D$2:$D$770,A472)</f>
        <v/>
      </c>
      <c r="M472" s="41">
        <f>L472-K472</f>
        <v/>
      </c>
      <c r="N472" s="37">
        <f>COUNTIF('Billing Aug'!$D$2:$D$770,A472)</f>
        <v/>
      </c>
      <c r="O472" s="37">
        <f>SUMIFS('Billing Aug'!$F$2:$F$770,'Billing Aug'!$D$2:$D$770,A472)</f>
        <v/>
      </c>
      <c r="P472" s="41">
        <f>IF(N472=0,0,L472-SUMIFS('Billing Aug'!$H$2:$H$770,'Billing Aug'!$D$2:$D$770,A472)*SUMIFS('Billing Aug'!$I$2:$I$770,'Billing Aug'!$D$2:$D$770,A472))</f>
        <v/>
      </c>
      <c r="Q472" s="37">
        <f>IF(N472=0,"NO AUG TRANSACTION IN SUPPLIED EXTRACT",IF(ABS(P472)&gt;0.004,"SUBLEDGER ARITHMETIC ERROR",IF(ABS(M472)&gt;0.004,"BILLING VARIANCE","MATCH")))</f>
        <v/>
      </c>
    </row>
    <row r="473">
      <c r="A473" s="37" t="inlineStr">
        <is>
          <t>EW-0101</t>
        </is>
      </c>
      <c r="B473" s="37" t="inlineStr">
        <is>
          <t>Eastwey</t>
        </is>
      </c>
      <c r="C473" s="37" t="inlineStr">
        <is>
          <t>OPEN</t>
        </is>
      </c>
      <c r="D473" s="37" t="inlineStr">
        <is>
          <t>OCCUPIED</t>
        </is>
      </c>
      <c r="E473" s="37" t="inlineStr">
        <is>
          <t>WL-01414</t>
        </is>
      </c>
      <c r="F473" s="37" t="inlineStr">
        <is>
          <t>Phillip Massey</t>
        </is>
      </c>
      <c r="G473" s="37" t="n">
        <v>80</v>
      </c>
      <c r="H473" s="39" t="n">
        <v>29.3</v>
      </c>
      <c r="I473" s="40">
        <f>ROUNDUP(MAX(G473,H473),0)</f>
        <v/>
      </c>
      <c r="J473" s="41">
        <f>IF(C473="COVERED",'Methodology'!$B$9,'Methodology'!$B$10)</f>
        <v/>
      </c>
      <c r="K473" s="41">
        <f>I473*J473</f>
        <v/>
      </c>
      <c r="L473" s="41">
        <f>SUMIFS('Billing Aug'!$J$2:$J$770,'Billing Aug'!$D$2:$D$770,A473)</f>
        <v/>
      </c>
      <c r="M473" s="41">
        <f>L473-K473</f>
        <v/>
      </c>
      <c r="N473" s="37">
        <f>COUNTIF('Billing Aug'!$D$2:$D$770,A473)</f>
        <v/>
      </c>
      <c r="O473" s="37">
        <f>SUMIFS('Billing Aug'!$F$2:$F$770,'Billing Aug'!$D$2:$D$770,A473)</f>
        <v/>
      </c>
      <c r="P473" s="41">
        <f>IF(N473=0,0,L473-SUMIFS('Billing Aug'!$H$2:$H$770,'Billing Aug'!$D$2:$D$770,A473)*SUMIFS('Billing Aug'!$I$2:$I$770,'Billing Aug'!$D$2:$D$770,A473))</f>
        <v/>
      </c>
      <c r="Q473" s="37">
        <f>IF(N473=0,"NO AUG TRANSACTION IN SUPPLIED EXTRACT",IF(ABS(P473)&gt;0.004,"SUBLEDGER ARITHMETIC ERROR",IF(ABS(M473)&gt;0.004,"BILLING VARIANCE","MATCH")))</f>
        <v/>
      </c>
    </row>
    <row r="474">
      <c r="A474" s="37" t="inlineStr">
        <is>
          <t>EW-0102</t>
        </is>
      </c>
      <c r="B474" s="37" t="inlineStr">
        <is>
          <t>Eastwey</t>
        </is>
      </c>
      <c r="C474" s="37" t="inlineStr">
        <is>
          <t>OPEN</t>
        </is>
      </c>
      <c r="D474" s="37" t="inlineStr">
        <is>
          <t>OCCUPIED</t>
        </is>
      </c>
      <c r="E474" s="37" t="inlineStr">
        <is>
          <t>WL-03666</t>
        </is>
      </c>
      <c r="F474" s="37" t="inlineStr">
        <is>
          <t>Andrea Franco</t>
        </is>
      </c>
      <c r="G474" s="37" t="n">
        <v>24</v>
      </c>
      <c r="H474" s="39" t="n">
        <v>55.3</v>
      </c>
      <c r="I474" s="40">
        <f>ROUNDUP(MAX(G474,H474),0)</f>
        <v/>
      </c>
      <c r="J474" s="41">
        <f>IF(C474="COVERED",'Methodology'!$B$9,'Methodology'!$B$10)</f>
        <v/>
      </c>
      <c r="K474" s="41">
        <f>I474*J474</f>
        <v/>
      </c>
      <c r="L474" s="41">
        <f>SUMIFS('Billing Aug'!$J$2:$J$770,'Billing Aug'!$D$2:$D$770,A474)</f>
        <v/>
      </c>
      <c r="M474" s="41">
        <f>L474-K474</f>
        <v/>
      </c>
      <c r="N474" s="37">
        <f>COUNTIF('Billing Aug'!$D$2:$D$770,A474)</f>
        <v/>
      </c>
      <c r="O474" s="37">
        <f>SUMIFS('Billing Aug'!$F$2:$F$770,'Billing Aug'!$D$2:$D$770,A474)</f>
        <v/>
      </c>
      <c r="P474" s="41">
        <f>IF(N474=0,0,L474-SUMIFS('Billing Aug'!$H$2:$H$770,'Billing Aug'!$D$2:$D$770,A474)*SUMIFS('Billing Aug'!$I$2:$I$770,'Billing Aug'!$D$2:$D$770,A474))</f>
        <v/>
      </c>
      <c r="Q474" s="37">
        <f>IF(N474=0,"NO AUG TRANSACTION IN SUPPLIED EXTRACT",IF(ABS(P474)&gt;0.004,"SUBLEDGER ARITHMETIC ERROR",IF(ABS(M474)&gt;0.004,"BILLING VARIANCE","MATCH")))</f>
        <v/>
      </c>
    </row>
    <row r="475">
      <c r="A475" s="37" t="inlineStr">
        <is>
          <t>EW-0103</t>
        </is>
      </c>
      <c r="B475" s="37" t="inlineStr">
        <is>
          <t>Eastwey</t>
        </is>
      </c>
      <c r="C475" s="37" t="inlineStr">
        <is>
          <t>OPEN</t>
        </is>
      </c>
      <c r="D475" s="37" t="inlineStr">
        <is>
          <t>OCCUPIED</t>
        </is>
      </c>
      <c r="E475" s="37" t="inlineStr">
        <is>
          <t>WL-01149</t>
        </is>
      </c>
      <c r="F475" s="37" t="inlineStr">
        <is>
          <t>David Hoffman</t>
        </is>
      </c>
      <c r="G475" s="37" t="n">
        <v>36</v>
      </c>
      <c r="H475" s="39" t="n">
        <v>42.6</v>
      </c>
      <c r="I475" s="40">
        <f>ROUNDUP(MAX(G475,H475),0)</f>
        <v/>
      </c>
      <c r="J475" s="41">
        <f>IF(C475="COVERED",'Methodology'!$B$9,'Methodology'!$B$10)</f>
        <v/>
      </c>
      <c r="K475" s="41">
        <f>I475*J475</f>
        <v/>
      </c>
      <c r="L475" s="41">
        <f>SUMIFS('Billing Aug'!$J$2:$J$770,'Billing Aug'!$D$2:$D$770,A475)</f>
        <v/>
      </c>
      <c r="M475" s="41">
        <f>L475-K475</f>
        <v/>
      </c>
      <c r="N475" s="37">
        <f>COUNTIF('Billing Aug'!$D$2:$D$770,A475)</f>
        <v/>
      </c>
      <c r="O475" s="37">
        <f>SUMIFS('Billing Aug'!$F$2:$F$770,'Billing Aug'!$D$2:$D$770,A475)</f>
        <v/>
      </c>
      <c r="P475" s="41">
        <f>IF(N475=0,0,L475-SUMIFS('Billing Aug'!$H$2:$H$770,'Billing Aug'!$D$2:$D$770,A475)*SUMIFS('Billing Aug'!$I$2:$I$770,'Billing Aug'!$D$2:$D$770,A475))</f>
        <v/>
      </c>
      <c r="Q475" s="37">
        <f>IF(N475=0,"NO AUG TRANSACTION IN SUPPLIED EXTRACT",IF(ABS(P475)&gt;0.004,"SUBLEDGER ARITHMETIC ERROR",IF(ABS(M475)&gt;0.004,"BILLING VARIANCE","MATCH")))</f>
        <v/>
      </c>
    </row>
    <row r="476">
      <c r="A476" s="37" t="inlineStr">
        <is>
          <t>EW-0105</t>
        </is>
      </c>
      <c r="B476" s="37" t="inlineStr">
        <is>
          <t>Eastwey</t>
        </is>
      </c>
      <c r="C476" s="37" t="inlineStr">
        <is>
          <t>OPEN</t>
        </is>
      </c>
      <c r="D476" s="37" t="inlineStr">
        <is>
          <t>OCCUPIED</t>
        </is>
      </c>
      <c r="E476" s="37" t="inlineStr">
        <is>
          <t>WL-03242</t>
        </is>
      </c>
      <c r="F476" s="37" t="inlineStr">
        <is>
          <t>Micheal Navarro</t>
        </is>
      </c>
      <c r="G476" s="37" t="n">
        <v>36</v>
      </c>
      <c r="H476" s="39" t="n">
        <v>60.2</v>
      </c>
      <c r="I476" s="40">
        <f>ROUNDUP(MAX(G476,H476),0)</f>
        <v/>
      </c>
      <c r="J476" s="41">
        <f>IF(C476="COVERED",'Methodology'!$B$9,'Methodology'!$B$10)</f>
        <v/>
      </c>
      <c r="K476" s="41">
        <f>I476*J476</f>
        <v/>
      </c>
      <c r="L476" s="41">
        <f>SUMIFS('Billing Aug'!$J$2:$J$770,'Billing Aug'!$D$2:$D$770,A476)</f>
        <v/>
      </c>
      <c r="M476" s="41">
        <f>L476-K476</f>
        <v/>
      </c>
      <c r="N476" s="37">
        <f>COUNTIF('Billing Aug'!$D$2:$D$770,A476)</f>
        <v/>
      </c>
      <c r="O476" s="37">
        <f>SUMIFS('Billing Aug'!$F$2:$F$770,'Billing Aug'!$D$2:$D$770,A476)</f>
        <v/>
      </c>
      <c r="P476" s="41">
        <f>IF(N476=0,0,L476-SUMIFS('Billing Aug'!$H$2:$H$770,'Billing Aug'!$D$2:$D$770,A476)*SUMIFS('Billing Aug'!$I$2:$I$770,'Billing Aug'!$D$2:$D$770,A476))</f>
        <v/>
      </c>
      <c r="Q476" s="37">
        <f>IF(N476=0,"NO AUG TRANSACTION IN SUPPLIED EXTRACT",IF(ABS(P476)&gt;0.004,"SUBLEDGER ARITHMETIC ERROR",IF(ABS(M476)&gt;0.004,"BILLING VARIANCE","MATCH")))</f>
        <v/>
      </c>
    </row>
    <row r="477">
      <c r="A477" s="37" t="inlineStr">
        <is>
          <t>EW-0106</t>
        </is>
      </c>
      <c r="B477" s="37" t="inlineStr">
        <is>
          <t>Eastwey</t>
        </is>
      </c>
      <c r="C477" s="37" t="inlineStr">
        <is>
          <t>OPEN</t>
        </is>
      </c>
      <c r="D477" s="37" t="inlineStr">
        <is>
          <t>OCCUPIED</t>
        </is>
      </c>
      <c r="E477" s="37" t="inlineStr">
        <is>
          <t>WL-03380</t>
        </is>
      </c>
      <c r="F477" s="37" t="inlineStr">
        <is>
          <t>Charles Snyder</t>
        </is>
      </c>
      <c r="G477" s="37" t="n">
        <v>45</v>
      </c>
      <c r="H477" s="39" t="n">
        <v>47.5</v>
      </c>
      <c r="I477" s="40">
        <f>ROUNDUP(MAX(G477,H477),0)</f>
        <v/>
      </c>
      <c r="J477" s="41">
        <f>IF(C477="COVERED",'Methodology'!$B$9,'Methodology'!$B$10)</f>
        <v/>
      </c>
      <c r="K477" s="41">
        <f>I477*J477</f>
        <v/>
      </c>
      <c r="L477" s="41">
        <f>SUMIFS('Billing Aug'!$J$2:$J$770,'Billing Aug'!$D$2:$D$770,A477)</f>
        <v/>
      </c>
      <c r="M477" s="41">
        <f>L477-K477</f>
        <v/>
      </c>
      <c r="N477" s="37">
        <f>COUNTIF('Billing Aug'!$D$2:$D$770,A477)</f>
        <v/>
      </c>
      <c r="O477" s="37">
        <f>SUMIFS('Billing Aug'!$F$2:$F$770,'Billing Aug'!$D$2:$D$770,A477)</f>
        <v/>
      </c>
      <c r="P477" s="41">
        <f>IF(N477=0,0,L477-SUMIFS('Billing Aug'!$H$2:$H$770,'Billing Aug'!$D$2:$D$770,A477)*SUMIFS('Billing Aug'!$I$2:$I$770,'Billing Aug'!$D$2:$D$770,A477))</f>
        <v/>
      </c>
      <c r="Q477" s="37">
        <f>IF(N477=0,"NO AUG TRANSACTION IN SUPPLIED EXTRACT",IF(ABS(P477)&gt;0.004,"SUBLEDGER ARITHMETIC ERROR",IF(ABS(M477)&gt;0.004,"BILLING VARIANCE","MATCH")))</f>
        <v/>
      </c>
    </row>
    <row r="478">
      <c r="A478" s="37" t="inlineStr">
        <is>
          <t>EW-0107</t>
        </is>
      </c>
      <c r="B478" s="37" t="inlineStr">
        <is>
          <t>Eastwey</t>
        </is>
      </c>
      <c r="C478" s="37" t="inlineStr">
        <is>
          <t>OPEN</t>
        </is>
      </c>
      <c r="D478" s="37" t="inlineStr">
        <is>
          <t>OCCUPIED</t>
        </is>
      </c>
      <c r="E478" s="37" t="inlineStr">
        <is>
          <t>WL-01368</t>
        </is>
      </c>
      <c r="F478" s="37" t="inlineStr">
        <is>
          <t>Justin Turner</t>
        </is>
      </c>
      <c r="G478" s="37" t="n">
        <v>28</v>
      </c>
      <c r="H478" s="39" t="n">
        <v>23.7</v>
      </c>
      <c r="I478" s="40">
        <f>ROUNDUP(MAX(G478,H478),0)</f>
        <v/>
      </c>
      <c r="J478" s="41">
        <f>IF(C478="COVERED",'Methodology'!$B$9,'Methodology'!$B$10)</f>
        <v/>
      </c>
      <c r="K478" s="41">
        <f>I478*J478</f>
        <v/>
      </c>
      <c r="L478" s="41">
        <f>SUMIFS('Billing Aug'!$J$2:$J$770,'Billing Aug'!$D$2:$D$770,A478)</f>
        <v/>
      </c>
      <c r="M478" s="41">
        <f>L478-K478</f>
        <v/>
      </c>
      <c r="N478" s="37">
        <f>COUNTIF('Billing Aug'!$D$2:$D$770,A478)</f>
        <v/>
      </c>
      <c r="O478" s="37">
        <f>SUMIFS('Billing Aug'!$F$2:$F$770,'Billing Aug'!$D$2:$D$770,A478)</f>
        <v/>
      </c>
      <c r="P478" s="41">
        <f>IF(N478=0,0,L478-SUMIFS('Billing Aug'!$H$2:$H$770,'Billing Aug'!$D$2:$D$770,A478)*SUMIFS('Billing Aug'!$I$2:$I$770,'Billing Aug'!$D$2:$D$770,A478))</f>
        <v/>
      </c>
      <c r="Q478" s="37">
        <f>IF(N478=0,"NO AUG TRANSACTION IN SUPPLIED EXTRACT",IF(ABS(P478)&gt;0.004,"SUBLEDGER ARITHMETIC ERROR",IF(ABS(M478)&gt;0.004,"BILLING VARIANCE","MATCH")))</f>
        <v/>
      </c>
    </row>
    <row r="479">
      <c r="A479" s="37" t="inlineStr">
        <is>
          <t>EW-0108</t>
        </is>
      </c>
      <c r="B479" s="37" t="inlineStr">
        <is>
          <t>Eastwey</t>
        </is>
      </c>
      <c r="C479" s="37" t="inlineStr">
        <is>
          <t>OPEN</t>
        </is>
      </c>
      <c r="D479" s="37" t="inlineStr">
        <is>
          <t>OCCUPIED</t>
        </is>
      </c>
      <c r="E479" s="37" t="inlineStr">
        <is>
          <t>WL-02070</t>
        </is>
      </c>
      <c r="F479" s="37" t="inlineStr">
        <is>
          <t>Leslie Thomas</t>
        </is>
      </c>
      <c r="G479" s="37" t="n">
        <v>40</v>
      </c>
      <c r="H479" s="39" t="n">
        <v>59.3</v>
      </c>
      <c r="I479" s="40">
        <f>ROUNDUP(MAX(G479,H479),0)</f>
        <v/>
      </c>
      <c r="J479" s="41">
        <f>IF(C479="COVERED",'Methodology'!$B$9,'Methodology'!$B$10)</f>
        <v/>
      </c>
      <c r="K479" s="41">
        <f>I479*J479</f>
        <v/>
      </c>
      <c r="L479" s="41">
        <f>SUMIFS('Billing Aug'!$J$2:$J$770,'Billing Aug'!$D$2:$D$770,A479)</f>
        <v/>
      </c>
      <c r="M479" s="41">
        <f>L479-K479</f>
        <v/>
      </c>
      <c r="N479" s="37">
        <f>COUNTIF('Billing Aug'!$D$2:$D$770,A479)</f>
        <v/>
      </c>
      <c r="O479" s="37">
        <f>SUMIFS('Billing Aug'!$F$2:$F$770,'Billing Aug'!$D$2:$D$770,A479)</f>
        <v/>
      </c>
      <c r="P479" s="41">
        <f>IF(N479=0,0,L479-SUMIFS('Billing Aug'!$H$2:$H$770,'Billing Aug'!$D$2:$D$770,A479)*SUMIFS('Billing Aug'!$I$2:$I$770,'Billing Aug'!$D$2:$D$770,A479))</f>
        <v/>
      </c>
      <c r="Q479" s="37">
        <f>IF(N479=0,"NO AUG TRANSACTION IN SUPPLIED EXTRACT",IF(ABS(P479)&gt;0.004,"SUBLEDGER ARITHMETIC ERROR",IF(ABS(M479)&gt;0.004,"BILLING VARIANCE","MATCH")))</f>
        <v/>
      </c>
    </row>
    <row r="480">
      <c r="A480" s="37" t="inlineStr">
        <is>
          <t>EW-0109</t>
        </is>
      </c>
      <c r="B480" s="37" t="inlineStr">
        <is>
          <t>Eastwey</t>
        </is>
      </c>
      <c r="C480" s="37" t="inlineStr">
        <is>
          <t>OPEN</t>
        </is>
      </c>
      <c r="D480" s="37" t="inlineStr">
        <is>
          <t>OCCUPIED</t>
        </is>
      </c>
      <c r="E480" s="37" t="inlineStr">
        <is>
          <t>WL-03624</t>
        </is>
      </c>
      <c r="F480" s="37" t="inlineStr">
        <is>
          <t>Robert Rodriguez</t>
        </is>
      </c>
      <c r="G480" s="37" t="n">
        <v>60</v>
      </c>
      <c r="H480" s="39" t="n">
        <v>30.9</v>
      </c>
      <c r="I480" s="40">
        <f>ROUNDUP(MAX(G480,H480),0)</f>
        <v/>
      </c>
      <c r="J480" s="41">
        <f>IF(C480="COVERED",'Methodology'!$B$9,'Methodology'!$B$10)</f>
        <v/>
      </c>
      <c r="K480" s="41">
        <f>I480*J480</f>
        <v/>
      </c>
      <c r="L480" s="41">
        <f>SUMIFS('Billing Aug'!$J$2:$J$770,'Billing Aug'!$D$2:$D$770,A480)</f>
        <v/>
      </c>
      <c r="M480" s="41">
        <f>L480-K480</f>
        <v/>
      </c>
      <c r="N480" s="37">
        <f>COUNTIF('Billing Aug'!$D$2:$D$770,A480)</f>
        <v/>
      </c>
      <c r="O480" s="37">
        <f>SUMIFS('Billing Aug'!$F$2:$F$770,'Billing Aug'!$D$2:$D$770,A480)</f>
        <v/>
      </c>
      <c r="P480" s="41">
        <f>IF(N480=0,0,L480-SUMIFS('Billing Aug'!$H$2:$H$770,'Billing Aug'!$D$2:$D$770,A480)*SUMIFS('Billing Aug'!$I$2:$I$770,'Billing Aug'!$D$2:$D$770,A480))</f>
        <v/>
      </c>
      <c r="Q480" s="37">
        <f>IF(N480=0,"NO AUG TRANSACTION IN SUPPLIED EXTRACT",IF(ABS(P480)&gt;0.004,"SUBLEDGER ARITHMETIC ERROR",IF(ABS(M480)&gt;0.004,"BILLING VARIANCE","MATCH")))</f>
        <v/>
      </c>
    </row>
    <row r="481">
      <c r="A481" s="37" t="inlineStr">
        <is>
          <t>EW-0110</t>
        </is>
      </c>
      <c r="B481" s="37" t="inlineStr">
        <is>
          <t>Eastwey</t>
        </is>
      </c>
      <c r="C481" s="37" t="inlineStr">
        <is>
          <t>OPEN</t>
        </is>
      </c>
      <c r="D481" s="37" t="inlineStr">
        <is>
          <t>OCCUPIED</t>
        </is>
      </c>
      <c r="E481" s="37" t="inlineStr">
        <is>
          <t>WL-01831</t>
        </is>
      </c>
      <c r="F481" s="37" t="inlineStr">
        <is>
          <t>Angela Andersen</t>
        </is>
      </c>
      <c r="G481" s="37" t="n">
        <v>28</v>
      </c>
      <c r="H481" s="39" t="n">
        <v>36.3</v>
      </c>
      <c r="I481" s="40">
        <f>ROUNDUP(MAX(G481,H481),0)</f>
        <v/>
      </c>
      <c r="J481" s="41">
        <f>IF(C481="COVERED",'Methodology'!$B$9,'Methodology'!$B$10)</f>
        <v/>
      </c>
      <c r="K481" s="41">
        <f>I481*J481</f>
        <v/>
      </c>
      <c r="L481" s="41">
        <f>SUMIFS('Billing Aug'!$J$2:$J$770,'Billing Aug'!$D$2:$D$770,A481)</f>
        <v/>
      </c>
      <c r="M481" s="41">
        <f>L481-K481</f>
        <v/>
      </c>
      <c r="N481" s="37">
        <f>COUNTIF('Billing Aug'!$D$2:$D$770,A481)</f>
        <v/>
      </c>
      <c r="O481" s="37">
        <f>SUMIFS('Billing Aug'!$F$2:$F$770,'Billing Aug'!$D$2:$D$770,A481)</f>
        <v/>
      </c>
      <c r="P481" s="41">
        <f>IF(N481=0,0,L481-SUMIFS('Billing Aug'!$H$2:$H$770,'Billing Aug'!$D$2:$D$770,A481)*SUMIFS('Billing Aug'!$I$2:$I$770,'Billing Aug'!$D$2:$D$770,A481))</f>
        <v/>
      </c>
      <c r="Q481" s="37">
        <f>IF(N481=0,"NO AUG TRANSACTION IN SUPPLIED EXTRACT",IF(ABS(P481)&gt;0.004,"SUBLEDGER ARITHMETIC ERROR",IF(ABS(M481)&gt;0.004,"BILLING VARIANCE","MATCH")))</f>
        <v/>
      </c>
    </row>
    <row r="482">
      <c r="A482" s="37" t="inlineStr">
        <is>
          <t>EW-0111</t>
        </is>
      </c>
      <c r="B482" s="37" t="inlineStr">
        <is>
          <t>Eastwey</t>
        </is>
      </c>
      <c r="C482" s="37" t="inlineStr">
        <is>
          <t>OPEN</t>
        </is>
      </c>
      <c r="D482" s="37" t="inlineStr">
        <is>
          <t>OCCUPIED</t>
        </is>
      </c>
      <c r="E482" s="37" t="inlineStr">
        <is>
          <t>WL-01617</t>
        </is>
      </c>
      <c r="F482" s="37" t="inlineStr">
        <is>
          <t>James Ferguson</t>
        </is>
      </c>
      <c r="G482" s="37" t="n">
        <v>28</v>
      </c>
      <c r="H482" s="39" t="n">
        <v>43.9</v>
      </c>
      <c r="I482" s="40">
        <f>ROUNDUP(MAX(G482,H482),0)</f>
        <v/>
      </c>
      <c r="J482" s="41">
        <f>IF(C482="COVERED",'Methodology'!$B$9,'Methodology'!$B$10)</f>
        <v/>
      </c>
      <c r="K482" s="41">
        <f>I482*J482</f>
        <v/>
      </c>
      <c r="L482" s="41">
        <f>SUMIFS('Billing Aug'!$J$2:$J$770,'Billing Aug'!$D$2:$D$770,A482)</f>
        <v/>
      </c>
      <c r="M482" s="41">
        <f>L482-K482</f>
        <v/>
      </c>
      <c r="N482" s="37">
        <f>COUNTIF('Billing Aug'!$D$2:$D$770,A482)</f>
        <v/>
      </c>
      <c r="O482" s="37">
        <f>SUMIFS('Billing Aug'!$F$2:$F$770,'Billing Aug'!$D$2:$D$770,A482)</f>
        <v/>
      </c>
      <c r="P482" s="41">
        <f>IF(N482=0,0,L482-SUMIFS('Billing Aug'!$H$2:$H$770,'Billing Aug'!$D$2:$D$770,A482)*SUMIFS('Billing Aug'!$I$2:$I$770,'Billing Aug'!$D$2:$D$770,A482))</f>
        <v/>
      </c>
      <c r="Q482" s="37">
        <f>IF(N482=0,"NO AUG TRANSACTION IN SUPPLIED EXTRACT",IF(ABS(P482)&gt;0.004,"SUBLEDGER ARITHMETIC ERROR",IF(ABS(M482)&gt;0.004,"BILLING VARIANCE","MATCH")))</f>
        <v/>
      </c>
    </row>
    <row r="483">
      <c r="A483" s="37" t="inlineStr">
        <is>
          <t>EW-0112</t>
        </is>
      </c>
      <c r="B483" s="37" t="inlineStr">
        <is>
          <t>Eastwey</t>
        </is>
      </c>
      <c r="C483" s="37" t="inlineStr">
        <is>
          <t>OPEN</t>
        </is>
      </c>
      <c r="D483" s="37" t="inlineStr">
        <is>
          <t>OCCUPIED</t>
        </is>
      </c>
      <c r="E483" s="37" t="inlineStr">
        <is>
          <t>WL-01533</t>
        </is>
      </c>
      <c r="F483" s="37" t="inlineStr">
        <is>
          <t>Beth Cooper</t>
        </is>
      </c>
      <c r="G483" s="37" t="n">
        <v>70</v>
      </c>
      <c r="H483" s="39" t="n">
        <v>38.7</v>
      </c>
      <c r="I483" s="40">
        <f>ROUNDUP(MAX(G483,H483),0)</f>
        <v/>
      </c>
      <c r="J483" s="41">
        <f>IF(C483="COVERED",'Methodology'!$B$9,'Methodology'!$B$10)</f>
        <v/>
      </c>
      <c r="K483" s="41">
        <f>I483*J483</f>
        <v/>
      </c>
      <c r="L483" s="41">
        <f>SUMIFS('Billing Aug'!$J$2:$J$770,'Billing Aug'!$D$2:$D$770,A483)</f>
        <v/>
      </c>
      <c r="M483" s="41">
        <f>L483-K483</f>
        <v/>
      </c>
      <c r="N483" s="37">
        <f>COUNTIF('Billing Aug'!$D$2:$D$770,A483)</f>
        <v/>
      </c>
      <c r="O483" s="37">
        <f>SUMIFS('Billing Aug'!$F$2:$F$770,'Billing Aug'!$D$2:$D$770,A483)</f>
        <v/>
      </c>
      <c r="P483" s="41">
        <f>IF(N483=0,0,L483-SUMIFS('Billing Aug'!$H$2:$H$770,'Billing Aug'!$D$2:$D$770,A483)*SUMIFS('Billing Aug'!$I$2:$I$770,'Billing Aug'!$D$2:$D$770,A483))</f>
        <v/>
      </c>
      <c r="Q483" s="37">
        <f>IF(N483=0,"NO AUG TRANSACTION IN SUPPLIED EXTRACT",IF(ABS(P483)&gt;0.004,"SUBLEDGER ARITHMETIC ERROR",IF(ABS(M483)&gt;0.004,"BILLING VARIANCE","MATCH")))</f>
        <v/>
      </c>
    </row>
    <row r="484">
      <c r="A484" s="37" t="inlineStr">
        <is>
          <t>EW-0113</t>
        </is>
      </c>
      <c r="B484" s="37" t="inlineStr">
        <is>
          <t>Eastwey</t>
        </is>
      </c>
      <c r="C484" s="37" t="inlineStr">
        <is>
          <t>OPEN</t>
        </is>
      </c>
      <c r="D484" s="37" t="inlineStr">
        <is>
          <t>OCCUPIED</t>
        </is>
      </c>
      <c r="E484" s="37" t="inlineStr">
        <is>
          <t>WL-01482</t>
        </is>
      </c>
      <c r="F484" s="37" t="inlineStr">
        <is>
          <t>Brandon Boyer</t>
        </is>
      </c>
      <c r="G484" s="37" t="n">
        <v>45</v>
      </c>
      <c r="H484" s="39" t="n">
        <v>61.3</v>
      </c>
      <c r="I484" s="40">
        <f>ROUNDUP(MAX(G484,H484),0)</f>
        <v/>
      </c>
      <c r="J484" s="41">
        <f>IF(C484="COVERED",'Methodology'!$B$9,'Methodology'!$B$10)</f>
        <v/>
      </c>
      <c r="K484" s="41">
        <f>I484*J484</f>
        <v/>
      </c>
      <c r="L484" s="41">
        <f>SUMIFS('Billing Aug'!$J$2:$J$770,'Billing Aug'!$D$2:$D$770,A484)</f>
        <v/>
      </c>
      <c r="M484" s="41">
        <f>L484-K484</f>
        <v/>
      </c>
      <c r="N484" s="37">
        <f>COUNTIF('Billing Aug'!$D$2:$D$770,A484)</f>
        <v/>
      </c>
      <c r="O484" s="37">
        <f>SUMIFS('Billing Aug'!$F$2:$F$770,'Billing Aug'!$D$2:$D$770,A484)</f>
        <v/>
      </c>
      <c r="P484" s="41">
        <f>IF(N484=0,0,L484-SUMIFS('Billing Aug'!$H$2:$H$770,'Billing Aug'!$D$2:$D$770,A484)*SUMIFS('Billing Aug'!$I$2:$I$770,'Billing Aug'!$D$2:$D$770,A484))</f>
        <v/>
      </c>
      <c r="Q484" s="37">
        <f>IF(N484=0,"NO AUG TRANSACTION IN SUPPLIED EXTRACT",IF(ABS(P484)&gt;0.004,"SUBLEDGER ARITHMETIC ERROR",IF(ABS(M484)&gt;0.004,"BILLING VARIANCE","MATCH")))</f>
        <v/>
      </c>
    </row>
    <row r="485">
      <c r="A485" s="37" t="inlineStr">
        <is>
          <t>EW-0114</t>
        </is>
      </c>
      <c r="B485" s="37" t="inlineStr">
        <is>
          <t>Eastwey</t>
        </is>
      </c>
      <c r="C485" s="37" t="inlineStr">
        <is>
          <t>OPEN</t>
        </is>
      </c>
      <c r="D485" s="37" t="inlineStr">
        <is>
          <t>OCCUPIED</t>
        </is>
      </c>
      <c r="E485" s="37" t="inlineStr">
        <is>
          <t>WL-03340</t>
        </is>
      </c>
      <c r="F485" s="37" t="inlineStr">
        <is>
          <t>Linda Gonzalez</t>
        </is>
      </c>
      <c r="G485" s="37" t="n">
        <v>24</v>
      </c>
      <c r="H485" s="39" t="n">
        <v>41.6</v>
      </c>
      <c r="I485" s="40">
        <f>ROUNDUP(MAX(G485,H485),0)</f>
        <v/>
      </c>
      <c r="J485" s="41">
        <f>IF(C485="COVERED",'Methodology'!$B$9,'Methodology'!$B$10)</f>
        <v/>
      </c>
      <c r="K485" s="41">
        <f>I485*J485</f>
        <v/>
      </c>
      <c r="L485" s="41">
        <f>SUMIFS('Billing Aug'!$J$2:$J$770,'Billing Aug'!$D$2:$D$770,A485)</f>
        <v/>
      </c>
      <c r="M485" s="41">
        <f>L485-K485</f>
        <v/>
      </c>
      <c r="N485" s="37">
        <f>COUNTIF('Billing Aug'!$D$2:$D$770,A485)</f>
        <v/>
      </c>
      <c r="O485" s="37">
        <f>SUMIFS('Billing Aug'!$F$2:$F$770,'Billing Aug'!$D$2:$D$770,A485)</f>
        <v/>
      </c>
      <c r="P485" s="41">
        <f>IF(N485=0,0,L485-SUMIFS('Billing Aug'!$H$2:$H$770,'Billing Aug'!$D$2:$D$770,A485)*SUMIFS('Billing Aug'!$I$2:$I$770,'Billing Aug'!$D$2:$D$770,A485))</f>
        <v/>
      </c>
      <c r="Q485" s="37">
        <f>IF(N485=0,"NO AUG TRANSACTION IN SUPPLIED EXTRACT",IF(ABS(P485)&gt;0.004,"SUBLEDGER ARITHMETIC ERROR",IF(ABS(M485)&gt;0.004,"BILLING VARIANCE","MATCH")))</f>
        <v/>
      </c>
    </row>
    <row r="486">
      <c r="A486" s="37" t="inlineStr">
        <is>
          <t>EW-0115</t>
        </is>
      </c>
      <c r="B486" s="37" t="inlineStr">
        <is>
          <t>Eastwey</t>
        </is>
      </c>
      <c r="C486" s="37" t="inlineStr">
        <is>
          <t>OPEN</t>
        </is>
      </c>
      <c r="D486" s="37" t="inlineStr">
        <is>
          <t>OCCUPIED</t>
        </is>
      </c>
      <c r="E486" s="37" t="inlineStr">
        <is>
          <t>WL-01809</t>
        </is>
      </c>
      <c r="F486" s="37" t="inlineStr">
        <is>
          <t>Tim Banks</t>
        </is>
      </c>
      <c r="G486" s="37" t="n">
        <v>32</v>
      </c>
      <c r="H486" s="39" t="n">
        <v>38.4</v>
      </c>
      <c r="I486" s="40">
        <f>ROUNDUP(MAX(G486,H486),0)</f>
        <v/>
      </c>
      <c r="J486" s="41">
        <f>IF(C486="COVERED",'Methodology'!$B$9,'Methodology'!$B$10)</f>
        <v/>
      </c>
      <c r="K486" s="41">
        <f>I486*J486</f>
        <v/>
      </c>
      <c r="L486" s="41">
        <f>SUMIFS('Billing Aug'!$J$2:$J$770,'Billing Aug'!$D$2:$D$770,A486)</f>
        <v/>
      </c>
      <c r="M486" s="41">
        <f>L486-K486</f>
        <v/>
      </c>
      <c r="N486" s="37">
        <f>COUNTIF('Billing Aug'!$D$2:$D$770,A486)</f>
        <v/>
      </c>
      <c r="O486" s="37">
        <f>SUMIFS('Billing Aug'!$F$2:$F$770,'Billing Aug'!$D$2:$D$770,A486)</f>
        <v/>
      </c>
      <c r="P486" s="41">
        <f>IF(N486=0,0,L486-SUMIFS('Billing Aug'!$H$2:$H$770,'Billing Aug'!$D$2:$D$770,A486)*SUMIFS('Billing Aug'!$I$2:$I$770,'Billing Aug'!$D$2:$D$770,A486))</f>
        <v/>
      </c>
      <c r="Q486" s="37">
        <f>IF(N486=0,"NO AUG TRANSACTION IN SUPPLIED EXTRACT",IF(ABS(P486)&gt;0.004,"SUBLEDGER ARITHMETIC ERROR",IF(ABS(M486)&gt;0.004,"BILLING VARIANCE","MATCH")))</f>
        <v/>
      </c>
    </row>
    <row r="487">
      <c r="A487" s="37" t="inlineStr">
        <is>
          <t>EW-0116</t>
        </is>
      </c>
      <c r="B487" s="37" t="inlineStr">
        <is>
          <t>Eastwey</t>
        </is>
      </c>
      <c r="C487" s="37" t="inlineStr">
        <is>
          <t>OPEN</t>
        </is>
      </c>
      <c r="D487" s="37" t="inlineStr">
        <is>
          <t>OCCUPIED</t>
        </is>
      </c>
      <c r="E487" s="37" t="inlineStr">
        <is>
          <t>WL-02558</t>
        </is>
      </c>
      <c r="F487" s="37" t="inlineStr">
        <is>
          <t>Edward Hardy</t>
        </is>
      </c>
      <c r="G487" s="37" t="n">
        <v>32</v>
      </c>
      <c r="H487" s="39" t="n">
        <v>25.7</v>
      </c>
      <c r="I487" s="40">
        <f>ROUNDUP(MAX(G487,H487),0)</f>
        <v/>
      </c>
      <c r="J487" s="41">
        <f>IF(C487="COVERED",'Methodology'!$B$9,'Methodology'!$B$10)</f>
        <v/>
      </c>
      <c r="K487" s="41">
        <f>I487*J487</f>
        <v/>
      </c>
      <c r="L487" s="41">
        <f>SUMIFS('Billing Aug'!$J$2:$J$770,'Billing Aug'!$D$2:$D$770,A487)</f>
        <v/>
      </c>
      <c r="M487" s="41">
        <f>L487-K487</f>
        <v/>
      </c>
      <c r="N487" s="37">
        <f>COUNTIF('Billing Aug'!$D$2:$D$770,A487)</f>
        <v/>
      </c>
      <c r="O487" s="37">
        <f>SUMIFS('Billing Aug'!$F$2:$F$770,'Billing Aug'!$D$2:$D$770,A487)</f>
        <v/>
      </c>
      <c r="P487" s="41">
        <f>IF(N487=0,0,L487-SUMIFS('Billing Aug'!$H$2:$H$770,'Billing Aug'!$D$2:$D$770,A487)*SUMIFS('Billing Aug'!$I$2:$I$770,'Billing Aug'!$D$2:$D$770,A487))</f>
        <v/>
      </c>
      <c r="Q487" s="37">
        <f>IF(N487=0,"NO AUG TRANSACTION IN SUPPLIED EXTRACT",IF(ABS(P487)&gt;0.004,"SUBLEDGER ARITHMETIC ERROR",IF(ABS(M487)&gt;0.004,"BILLING VARIANCE","MATCH")))</f>
        <v/>
      </c>
    </row>
    <row r="488">
      <c r="A488" s="37" t="inlineStr">
        <is>
          <t>EW-0118</t>
        </is>
      </c>
      <c r="B488" s="37" t="inlineStr">
        <is>
          <t>Eastwey</t>
        </is>
      </c>
      <c r="C488" s="37" t="inlineStr">
        <is>
          <t>OPEN</t>
        </is>
      </c>
      <c r="D488" s="37" t="inlineStr">
        <is>
          <t>OCCUPIED</t>
        </is>
      </c>
      <c r="E488" s="37" t="inlineStr">
        <is>
          <t>WL-03472</t>
        </is>
      </c>
      <c r="F488" s="37" t="inlineStr">
        <is>
          <t>Robert Shea</t>
        </is>
      </c>
      <c r="G488" s="37" t="n">
        <v>45</v>
      </c>
      <c r="H488" s="39" t="n">
        <v>48.3</v>
      </c>
      <c r="I488" s="40">
        <f>ROUNDUP(MAX(G488,H488),0)</f>
        <v/>
      </c>
      <c r="J488" s="41">
        <f>IF(C488="COVERED",'Methodology'!$B$9,'Methodology'!$B$10)</f>
        <v/>
      </c>
      <c r="K488" s="41">
        <f>I488*J488</f>
        <v/>
      </c>
      <c r="L488" s="41">
        <f>SUMIFS('Billing Aug'!$J$2:$J$770,'Billing Aug'!$D$2:$D$770,A488)</f>
        <v/>
      </c>
      <c r="M488" s="41">
        <f>L488-K488</f>
        <v/>
      </c>
      <c r="N488" s="37">
        <f>COUNTIF('Billing Aug'!$D$2:$D$770,A488)</f>
        <v/>
      </c>
      <c r="O488" s="37">
        <f>SUMIFS('Billing Aug'!$F$2:$F$770,'Billing Aug'!$D$2:$D$770,A488)</f>
        <v/>
      </c>
      <c r="P488" s="41">
        <f>IF(N488=0,0,L488-SUMIFS('Billing Aug'!$H$2:$H$770,'Billing Aug'!$D$2:$D$770,A488)*SUMIFS('Billing Aug'!$I$2:$I$770,'Billing Aug'!$D$2:$D$770,A488))</f>
        <v/>
      </c>
      <c r="Q488" s="37">
        <f>IF(N488=0,"NO AUG TRANSACTION IN SUPPLIED EXTRACT",IF(ABS(P488)&gt;0.004,"SUBLEDGER ARITHMETIC ERROR",IF(ABS(M488)&gt;0.004,"BILLING VARIANCE","MATCH")))</f>
        <v/>
      </c>
    </row>
    <row r="489">
      <c r="A489" s="37" t="inlineStr">
        <is>
          <t>EW-0119</t>
        </is>
      </c>
      <c r="B489" s="37" t="inlineStr">
        <is>
          <t>Eastwey</t>
        </is>
      </c>
      <c r="C489" s="37" t="inlineStr">
        <is>
          <t>OPEN</t>
        </is>
      </c>
      <c r="D489" s="37" t="inlineStr">
        <is>
          <t>OCCUPIED</t>
        </is>
      </c>
      <c r="E489" s="37" t="inlineStr">
        <is>
          <t>WL-02417</t>
        </is>
      </c>
      <c r="F489" s="37" t="inlineStr">
        <is>
          <t>Eric Benjamin</t>
        </is>
      </c>
      <c r="G489" s="37" t="n">
        <v>32</v>
      </c>
      <c r="H489" s="39" t="n">
        <v>48.3</v>
      </c>
      <c r="I489" s="40">
        <f>ROUNDUP(MAX(G489,H489),0)</f>
        <v/>
      </c>
      <c r="J489" s="41">
        <f>IF(C489="COVERED",'Methodology'!$B$9,'Methodology'!$B$10)</f>
        <v/>
      </c>
      <c r="K489" s="41">
        <f>I489*J489</f>
        <v/>
      </c>
      <c r="L489" s="41">
        <f>SUMIFS('Billing Aug'!$J$2:$J$770,'Billing Aug'!$D$2:$D$770,A489)</f>
        <v/>
      </c>
      <c r="M489" s="41">
        <f>L489-K489</f>
        <v/>
      </c>
      <c r="N489" s="37">
        <f>COUNTIF('Billing Aug'!$D$2:$D$770,A489)</f>
        <v/>
      </c>
      <c r="O489" s="37">
        <f>SUMIFS('Billing Aug'!$F$2:$F$770,'Billing Aug'!$D$2:$D$770,A489)</f>
        <v/>
      </c>
      <c r="P489" s="41">
        <f>IF(N489=0,0,L489-SUMIFS('Billing Aug'!$H$2:$H$770,'Billing Aug'!$D$2:$D$770,A489)*SUMIFS('Billing Aug'!$I$2:$I$770,'Billing Aug'!$D$2:$D$770,A489))</f>
        <v/>
      </c>
      <c r="Q489" s="37">
        <f>IF(N489=0,"NO AUG TRANSACTION IN SUPPLIED EXTRACT",IF(ABS(P489)&gt;0.004,"SUBLEDGER ARITHMETIC ERROR",IF(ABS(M489)&gt;0.004,"BILLING VARIANCE","MATCH")))</f>
        <v/>
      </c>
    </row>
    <row r="490">
      <c r="A490" s="37" t="inlineStr">
        <is>
          <t>EW-0120</t>
        </is>
      </c>
      <c r="B490" s="37" t="inlineStr">
        <is>
          <t>Eastwey</t>
        </is>
      </c>
      <c r="C490" s="37" t="inlineStr">
        <is>
          <t>OPEN</t>
        </is>
      </c>
      <c r="D490" s="37" t="inlineStr">
        <is>
          <t>OCCUPIED</t>
        </is>
      </c>
      <c r="E490" s="37" t="inlineStr">
        <is>
          <t>WL-02149</t>
        </is>
      </c>
      <c r="F490" s="37" t="inlineStr">
        <is>
          <t>Tonya Bowman</t>
        </is>
      </c>
      <c r="G490" s="37" t="n">
        <v>80</v>
      </c>
      <c r="H490" s="39" t="n">
        <v>59.3</v>
      </c>
      <c r="I490" s="40">
        <f>ROUNDUP(MAX(G490,H490),0)</f>
        <v/>
      </c>
      <c r="J490" s="41">
        <f>IF(C490="COVERED",'Methodology'!$B$9,'Methodology'!$B$10)</f>
        <v/>
      </c>
      <c r="K490" s="41">
        <f>I490*J490</f>
        <v/>
      </c>
      <c r="L490" s="41">
        <f>SUMIFS('Billing Aug'!$J$2:$J$770,'Billing Aug'!$D$2:$D$770,A490)</f>
        <v/>
      </c>
      <c r="M490" s="41">
        <f>L490-K490</f>
        <v/>
      </c>
      <c r="N490" s="37">
        <f>COUNTIF('Billing Aug'!$D$2:$D$770,A490)</f>
        <v/>
      </c>
      <c r="O490" s="37">
        <f>SUMIFS('Billing Aug'!$F$2:$F$770,'Billing Aug'!$D$2:$D$770,A490)</f>
        <v/>
      </c>
      <c r="P490" s="41">
        <f>IF(N490=0,0,L490-SUMIFS('Billing Aug'!$H$2:$H$770,'Billing Aug'!$D$2:$D$770,A490)*SUMIFS('Billing Aug'!$I$2:$I$770,'Billing Aug'!$D$2:$D$770,A490))</f>
        <v/>
      </c>
      <c r="Q490" s="37">
        <f>IF(N490=0,"NO AUG TRANSACTION IN SUPPLIED EXTRACT",IF(ABS(P490)&gt;0.004,"SUBLEDGER ARITHMETIC ERROR",IF(ABS(M490)&gt;0.004,"BILLING VARIANCE","MATCH")))</f>
        <v/>
      </c>
    </row>
    <row r="491">
      <c r="A491" s="37" t="inlineStr">
        <is>
          <t>EW-0121</t>
        </is>
      </c>
      <c r="B491" s="37" t="inlineStr">
        <is>
          <t>Eastwey</t>
        </is>
      </c>
      <c r="C491" s="37" t="inlineStr">
        <is>
          <t>OPEN</t>
        </is>
      </c>
      <c r="D491" s="37" t="inlineStr">
        <is>
          <t>OCCUPIED</t>
        </is>
      </c>
      <c r="E491" s="37" t="inlineStr">
        <is>
          <t>WL-01125</t>
        </is>
      </c>
      <c r="F491" s="37" t="inlineStr">
        <is>
          <t>Brandi Baker</t>
        </is>
      </c>
      <c r="G491" s="37" t="n">
        <v>28</v>
      </c>
      <c r="H491" s="39" t="n">
        <v>37.9</v>
      </c>
      <c r="I491" s="40">
        <f>ROUNDUP(MAX(G491,H491),0)</f>
        <v/>
      </c>
      <c r="J491" s="41">
        <f>IF(C491="COVERED",'Methodology'!$B$9,'Methodology'!$B$10)</f>
        <v/>
      </c>
      <c r="K491" s="41">
        <f>I491*J491</f>
        <v/>
      </c>
      <c r="L491" s="41">
        <f>SUMIFS('Billing Aug'!$J$2:$J$770,'Billing Aug'!$D$2:$D$770,A491)</f>
        <v/>
      </c>
      <c r="M491" s="41">
        <f>L491-K491</f>
        <v/>
      </c>
      <c r="N491" s="37">
        <f>COUNTIF('Billing Aug'!$D$2:$D$770,A491)</f>
        <v/>
      </c>
      <c r="O491" s="37">
        <f>SUMIFS('Billing Aug'!$F$2:$F$770,'Billing Aug'!$D$2:$D$770,A491)</f>
        <v/>
      </c>
      <c r="P491" s="41">
        <f>IF(N491=0,0,L491-SUMIFS('Billing Aug'!$H$2:$H$770,'Billing Aug'!$D$2:$D$770,A491)*SUMIFS('Billing Aug'!$I$2:$I$770,'Billing Aug'!$D$2:$D$770,A491))</f>
        <v/>
      </c>
      <c r="Q491" s="37">
        <f>IF(N491=0,"NO AUG TRANSACTION IN SUPPLIED EXTRACT",IF(ABS(P491)&gt;0.004,"SUBLEDGER ARITHMETIC ERROR",IF(ABS(M491)&gt;0.004,"BILLING VARIANCE","MATCH")))</f>
        <v/>
      </c>
    </row>
    <row r="492">
      <c r="A492" s="37" t="inlineStr">
        <is>
          <t>EW-0122</t>
        </is>
      </c>
      <c r="B492" s="37" t="inlineStr">
        <is>
          <t>Eastwey</t>
        </is>
      </c>
      <c r="C492" s="37" t="inlineStr">
        <is>
          <t>OPEN</t>
        </is>
      </c>
      <c r="D492" s="37" t="inlineStr">
        <is>
          <t>OCCUPIED</t>
        </is>
      </c>
      <c r="E492" s="37" t="inlineStr">
        <is>
          <t>WL-03816</t>
        </is>
      </c>
      <c r="F492" s="37" t="inlineStr">
        <is>
          <t>Brittany Lopez</t>
        </is>
      </c>
      <c r="G492" s="37" t="n">
        <v>70</v>
      </c>
      <c r="H492" s="39" t="n">
        <v>25.7</v>
      </c>
      <c r="I492" s="40">
        <f>ROUNDUP(MAX(G492,H492),0)</f>
        <v/>
      </c>
      <c r="J492" s="41">
        <f>IF(C492="COVERED",'Methodology'!$B$9,'Methodology'!$B$10)</f>
        <v/>
      </c>
      <c r="K492" s="41">
        <f>I492*J492</f>
        <v/>
      </c>
      <c r="L492" s="41">
        <f>SUMIFS('Billing Aug'!$J$2:$J$770,'Billing Aug'!$D$2:$D$770,A492)</f>
        <v/>
      </c>
      <c r="M492" s="41">
        <f>L492-K492</f>
        <v/>
      </c>
      <c r="N492" s="37">
        <f>COUNTIF('Billing Aug'!$D$2:$D$770,A492)</f>
        <v/>
      </c>
      <c r="O492" s="37">
        <f>SUMIFS('Billing Aug'!$F$2:$F$770,'Billing Aug'!$D$2:$D$770,A492)</f>
        <v/>
      </c>
      <c r="P492" s="41">
        <f>IF(N492=0,0,L492-SUMIFS('Billing Aug'!$H$2:$H$770,'Billing Aug'!$D$2:$D$770,A492)*SUMIFS('Billing Aug'!$I$2:$I$770,'Billing Aug'!$D$2:$D$770,A492))</f>
        <v/>
      </c>
      <c r="Q492" s="37">
        <f>IF(N492=0,"NO AUG TRANSACTION IN SUPPLIED EXTRACT",IF(ABS(P492)&gt;0.004,"SUBLEDGER ARITHMETIC ERROR",IF(ABS(M492)&gt;0.004,"BILLING VARIANCE","MATCH")))</f>
        <v/>
      </c>
    </row>
    <row r="493">
      <c r="A493" s="37" t="inlineStr">
        <is>
          <t>EW-0123</t>
        </is>
      </c>
      <c r="B493" s="37" t="inlineStr">
        <is>
          <t>Eastwey</t>
        </is>
      </c>
      <c r="C493" s="37" t="inlineStr">
        <is>
          <t>OPEN</t>
        </is>
      </c>
      <c r="D493" s="37" t="inlineStr">
        <is>
          <t>OCCUPIED</t>
        </is>
      </c>
      <c r="E493" s="37" t="inlineStr">
        <is>
          <t>WL-03203</t>
        </is>
      </c>
      <c r="F493" s="37" t="inlineStr">
        <is>
          <t>Kyle Shepard</t>
        </is>
      </c>
      <c r="G493" s="37" t="n">
        <v>28</v>
      </c>
      <c r="H493" s="39" t="n">
        <v>44.4</v>
      </c>
      <c r="I493" s="40">
        <f>ROUNDUP(MAX(G493,H493),0)</f>
        <v/>
      </c>
      <c r="J493" s="41">
        <f>IF(C493="COVERED",'Methodology'!$B$9,'Methodology'!$B$10)</f>
        <v/>
      </c>
      <c r="K493" s="41">
        <f>I493*J493</f>
        <v/>
      </c>
      <c r="L493" s="41">
        <f>SUMIFS('Billing Aug'!$J$2:$J$770,'Billing Aug'!$D$2:$D$770,A493)</f>
        <v/>
      </c>
      <c r="M493" s="41">
        <f>L493-K493</f>
        <v/>
      </c>
      <c r="N493" s="37">
        <f>COUNTIF('Billing Aug'!$D$2:$D$770,A493)</f>
        <v/>
      </c>
      <c r="O493" s="37">
        <f>SUMIFS('Billing Aug'!$F$2:$F$770,'Billing Aug'!$D$2:$D$770,A493)</f>
        <v/>
      </c>
      <c r="P493" s="41">
        <f>IF(N493=0,0,L493-SUMIFS('Billing Aug'!$H$2:$H$770,'Billing Aug'!$D$2:$D$770,A493)*SUMIFS('Billing Aug'!$I$2:$I$770,'Billing Aug'!$D$2:$D$770,A493))</f>
        <v/>
      </c>
      <c r="Q493" s="37">
        <f>IF(N493=0,"NO AUG TRANSACTION IN SUPPLIED EXTRACT",IF(ABS(P493)&gt;0.004,"SUBLEDGER ARITHMETIC ERROR",IF(ABS(M493)&gt;0.004,"BILLING VARIANCE","MATCH")))</f>
        <v/>
      </c>
    </row>
    <row r="494">
      <c r="A494" s="37" t="inlineStr">
        <is>
          <t>EW-0124</t>
        </is>
      </c>
      <c r="B494" s="37" t="inlineStr">
        <is>
          <t>Eastwey</t>
        </is>
      </c>
      <c r="C494" s="37" t="inlineStr">
        <is>
          <t>OPEN</t>
        </is>
      </c>
      <c r="D494" s="37" t="inlineStr">
        <is>
          <t>OCCUPIED</t>
        </is>
      </c>
      <c r="E494" s="37" t="inlineStr">
        <is>
          <t>WL-03361</t>
        </is>
      </c>
      <c r="F494" s="37" t="inlineStr">
        <is>
          <t>Donna Robertson</t>
        </is>
      </c>
      <c r="G494" s="37" t="n">
        <v>32</v>
      </c>
      <c r="H494" s="39" t="n">
        <v>55.7</v>
      </c>
      <c r="I494" s="40">
        <f>ROUNDUP(MAX(G494,H494),0)</f>
        <v/>
      </c>
      <c r="J494" s="41">
        <f>IF(C494="COVERED",'Methodology'!$B$9,'Methodology'!$B$10)</f>
        <v/>
      </c>
      <c r="K494" s="41">
        <f>I494*J494</f>
        <v/>
      </c>
      <c r="L494" s="41">
        <f>SUMIFS('Billing Aug'!$J$2:$J$770,'Billing Aug'!$D$2:$D$770,A494)</f>
        <v/>
      </c>
      <c r="M494" s="41">
        <f>L494-K494</f>
        <v/>
      </c>
      <c r="N494" s="37">
        <f>COUNTIF('Billing Aug'!$D$2:$D$770,A494)</f>
        <v/>
      </c>
      <c r="O494" s="37">
        <f>SUMIFS('Billing Aug'!$F$2:$F$770,'Billing Aug'!$D$2:$D$770,A494)</f>
        <v/>
      </c>
      <c r="P494" s="41">
        <f>IF(N494=0,0,L494-SUMIFS('Billing Aug'!$H$2:$H$770,'Billing Aug'!$D$2:$D$770,A494)*SUMIFS('Billing Aug'!$I$2:$I$770,'Billing Aug'!$D$2:$D$770,A494))</f>
        <v/>
      </c>
      <c r="Q494" s="37">
        <f>IF(N494=0,"NO AUG TRANSACTION IN SUPPLIED EXTRACT",IF(ABS(P494)&gt;0.004,"SUBLEDGER ARITHMETIC ERROR",IF(ABS(M494)&gt;0.004,"BILLING VARIANCE","MATCH")))</f>
        <v/>
      </c>
    </row>
    <row r="495">
      <c r="A495" s="37" t="inlineStr">
        <is>
          <t>EW-0201</t>
        </is>
      </c>
      <c r="B495" s="37" t="inlineStr">
        <is>
          <t>Eastwey</t>
        </is>
      </c>
      <c r="C495" s="37" t="inlineStr">
        <is>
          <t>OPEN</t>
        </is>
      </c>
      <c r="D495" s="37" t="inlineStr">
        <is>
          <t>OCCUPIED</t>
        </is>
      </c>
      <c r="E495" s="37" t="inlineStr">
        <is>
          <t>WL-02818</t>
        </is>
      </c>
      <c r="F495" s="37" t="inlineStr">
        <is>
          <t>Andrew Bryan</t>
        </is>
      </c>
      <c r="G495" s="37" t="n">
        <v>36</v>
      </c>
      <c r="H495" s="39" t="n">
        <v>39.3</v>
      </c>
      <c r="I495" s="40">
        <f>ROUNDUP(MAX(G495,H495),0)</f>
        <v/>
      </c>
      <c r="J495" s="41">
        <f>IF(C495="COVERED",'Methodology'!$B$9,'Methodology'!$B$10)</f>
        <v/>
      </c>
      <c r="K495" s="41">
        <f>I495*J495</f>
        <v/>
      </c>
      <c r="L495" s="41">
        <f>SUMIFS('Billing Aug'!$J$2:$J$770,'Billing Aug'!$D$2:$D$770,A495)</f>
        <v/>
      </c>
      <c r="M495" s="41">
        <f>L495-K495</f>
        <v/>
      </c>
      <c r="N495" s="37">
        <f>COUNTIF('Billing Aug'!$D$2:$D$770,A495)</f>
        <v/>
      </c>
      <c r="O495" s="37">
        <f>SUMIFS('Billing Aug'!$F$2:$F$770,'Billing Aug'!$D$2:$D$770,A495)</f>
        <v/>
      </c>
      <c r="P495" s="41">
        <f>IF(N495=0,0,L495-SUMIFS('Billing Aug'!$H$2:$H$770,'Billing Aug'!$D$2:$D$770,A495)*SUMIFS('Billing Aug'!$I$2:$I$770,'Billing Aug'!$D$2:$D$770,A495))</f>
        <v/>
      </c>
      <c r="Q495" s="37">
        <f>IF(N495=0,"NO AUG TRANSACTION IN SUPPLIED EXTRACT",IF(ABS(P495)&gt;0.004,"SUBLEDGER ARITHMETIC ERROR",IF(ABS(M495)&gt;0.004,"BILLING VARIANCE","MATCH")))</f>
        <v/>
      </c>
    </row>
    <row r="496">
      <c r="A496" s="37" t="inlineStr">
        <is>
          <t>EW-0202</t>
        </is>
      </c>
      <c r="B496" s="37" t="inlineStr">
        <is>
          <t>Eastwey</t>
        </is>
      </c>
      <c r="C496" s="37" t="inlineStr">
        <is>
          <t>OPEN</t>
        </is>
      </c>
      <c r="D496" s="37" t="inlineStr">
        <is>
          <t>OCCUPIED</t>
        </is>
      </c>
      <c r="E496" s="37" t="inlineStr">
        <is>
          <t>WL-03332</t>
        </is>
      </c>
      <c r="F496" s="37" t="inlineStr">
        <is>
          <t>Amanda Rodgers</t>
        </is>
      </c>
      <c r="G496" s="37" t="n">
        <v>32</v>
      </c>
      <c r="H496" s="39" t="n">
        <v>49.2</v>
      </c>
      <c r="I496" s="40">
        <f>ROUNDUP(MAX(G496,H496),0)</f>
        <v/>
      </c>
      <c r="J496" s="41">
        <f>IF(C496="COVERED",'Methodology'!$B$9,'Methodology'!$B$10)</f>
        <v/>
      </c>
      <c r="K496" s="41">
        <f>I496*J496</f>
        <v/>
      </c>
      <c r="L496" s="41">
        <f>SUMIFS('Billing Aug'!$J$2:$J$770,'Billing Aug'!$D$2:$D$770,A496)</f>
        <v/>
      </c>
      <c r="M496" s="41">
        <f>L496-K496</f>
        <v/>
      </c>
      <c r="N496" s="37">
        <f>COUNTIF('Billing Aug'!$D$2:$D$770,A496)</f>
        <v/>
      </c>
      <c r="O496" s="37">
        <f>SUMIFS('Billing Aug'!$F$2:$F$770,'Billing Aug'!$D$2:$D$770,A496)</f>
        <v/>
      </c>
      <c r="P496" s="41">
        <f>IF(N496=0,0,L496-SUMIFS('Billing Aug'!$H$2:$H$770,'Billing Aug'!$D$2:$D$770,A496)*SUMIFS('Billing Aug'!$I$2:$I$770,'Billing Aug'!$D$2:$D$770,A496))</f>
        <v/>
      </c>
      <c r="Q496" s="37">
        <f>IF(N496=0,"NO AUG TRANSACTION IN SUPPLIED EXTRACT",IF(ABS(P496)&gt;0.004,"SUBLEDGER ARITHMETIC ERROR",IF(ABS(M496)&gt;0.004,"BILLING VARIANCE","MATCH")))</f>
        <v/>
      </c>
    </row>
    <row r="497">
      <c r="A497" s="37" t="inlineStr">
        <is>
          <t>EW-0203</t>
        </is>
      </c>
      <c r="B497" s="37" t="inlineStr">
        <is>
          <t>Eastwey</t>
        </is>
      </c>
      <c r="C497" s="37" t="inlineStr">
        <is>
          <t>OPEN</t>
        </is>
      </c>
      <c r="D497" s="37" t="inlineStr">
        <is>
          <t>OCCUPIED</t>
        </is>
      </c>
      <c r="E497" s="37" t="inlineStr">
        <is>
          <t>WL-02676</t>
        </is>
      </c>
      <c r="F497" s="37" t="inlineStr">
        <is>
          <t>Janice Walker</t>
        </is>
      </c>
      <c r="G497" s="37" t="n">
        <v>28</v>
      </c>
      <c r="H497" s="39" t="n">
        <v>34.1</v>
      </c>
      <c r="I497" s="40">
        <f>ROUNDUP(MAX(G497,H497),0)</f>
        <v/>
      </c>
      <c r="J497" s="41">
        <f>IF(C497="COVERED",'Methodology'!$B$9,'Methodology'!$B$10)</f>
        <v/>
      </c>
      <c r="K497" s="41">
        <f>I497*J497</f>
        <v/>
      </c>
      <c r="L497" s="41">
        <f>SUMIFS('Billing Aug'!$J$2:$J$770,'Billing Aug'!$D$2:$D$770,A497)</f>
        <v/>
      </c>
      <c r="M497" s="41">
        <f>L497-K497</f>
        <v/>
      </c>
      <c r="N497" s="37">
        <f>COUNTIF('Billing Aug'!$D$2:$D$770,A497)</f>
        <v/>
      </c>
      <c r="O497" s="37">
        <f>SUMIFS('Billing Aug'!$F$2:$F$770,'Billing Aug'!$D$2:$D$770,A497)</f>
        <v/>
      </c>
      <c r="P497" s="41">
        <f>IF(N497=0,0,L497-SUMIFS('Billing Aug'!$H$2:$H$770,'Billing Aug'!$D$2:$D$770,A497)*SUMIFS('Billing Aug'!$I$2:$I$770,'Billing Aug'!$D$2:$D$770,A497))</f>
        <v/>
      </c>
      <c r="Q497" s="37">
        <f>IF(N497=0,"NO AUG TRANSACTION IN SUPPLIED EXTRACT",IF(ABS(P497)&gt;0.004,"SUBLEDGER ARITHMETIC ERROR",IF(ABS(M497)&gt;0.004,"BILLING VARIANCE","MATCH")))</f>
        <v/>
      </c>
    </row>
    <row r="498">
      <c r="A498" s="37" t="inlineStr">
        <is>
          <t>EW-0204</t>
        </is>
      </c>
      <c r="B498" s="37" t="inlineStr">
        <is>
          <t>Eastwey</t>
        </is>
      </c>
      <c r="C498" s="37" t="inlineStr">
        <is>
          <t>OPEN</t>
        </is>
      </c>
      <c r="D498" s="37" t="inlineStr">
        <is>
          <t>OCCUPIED</t>
        </is>
      </c>
      <c r="E498" s="37" t="inlineStr">
        <is>
          <t>WL-01545</t>
        </is>
      </c>
      <c r="F498" s="37" t="inlineStr">
        <is>
          <t>Jessica King</t>
        </is>
      </c>
      <c r="G498" s="37" t="n">
        <v>40</v>
      </c>
      <c r="H498" s="39" t="n">
        <v>21.1</v>
      </c>
      <c r="I498" s="40">
        <f>ROUNDUP(MAX(G498,H498),0)</f>
        <v/>
      </c>
      <c r="J498" s="41">
        <f>IF(C498="COVERED",'Methodology'!$B$9,'Methodology'!$B$10)</f>
        <v/>
      </c>
      <c r="K498" s="41">
        <f>I498*J498</f>
        <v/>
      </c>
      <c r="L498" s="41">
        <f>SUMIFS('Billing Aug'!$J$2:$J$770,'Billing Aug'!$D$2:$D$770,A498)</f>
        <v/>
      </c>
      <c r="M498" s="41">
        <f>L498-K498</f>
        <v/>
      </c>
      <c r="N498" s="37">
        <f>COUNTIF('Billing Aug'!$D$2:$D$770,A498)</f>
        <v/>
      </c>
      <c r="O498" s="37">
        <f>SUMIFS('Billing Aug'!$F$2:$F$770,'Billing Aug'!$D$2:$D$770,A498)</f>
        <v/>
      </c>
      <c r="P498" s="41">
        <f>IF(N498=0,0,L498-SUMIFS('Billing Aug'!$H$2:$H$770,'Billing Aug'!$D$2:$D$770,A498)*SUMIFS('Billing Aug'!$I$2:$I$770,'Billing Aug'!$D$2:$D$770,A498))</f>
        <v/>
      </c>
      <c r="Q498" s="37">
        <f>IF(N498=0,"NO AUG TRANSACTION IN SUPPLIED EXTRACT",IF(ABS(P498)&gt;0.004,"SUBLEDGER ARITHMETIC ERROR",IF(ABS(M498)&gt;0.004,"BILLING VARIANCE","MATCH")))</f>
        <v/>
      </c>
    </row>
    <row r="499">
      <c r="A499" s="37" t="inlineStr">
        <is>
          <t>EW-0206</t>
        </is>
      </c>
      <c r="B499" s="37" t="inlineStr">
        <is>
          <t>Eastwey</t>
        </is>
      </c>
      <c r="C499" s="37" t="inlineStr">
        <is>
          <t>OPEN</t>
        </is>
      </c>
      <c r="D499" s="37" t="inlineStr">
        <is>
          <t>OCCUPIED</t>
        </is>
      </c>
      <c r="E499" s="37" t="inlineStr">
        <is>
          <t>WL-01286</t>
        </is>
      </c>
      <c r="F499" s="37" t="inlineStr">
        <is>
          <t>Kevin Wiley</t>
        </is>
      </c>
      <c r="G499" s="37" t="n">
        <v>24</v>
      </c>
      <c r="H499" s="39" t="n">
        <v>35.2</v>
      </c>
      <c r="I499" s="40">
        <f>ROUNDUP(MAX(G499,H499),0)</f>
        <v/>
      </c>
      <c r="J499" s="41">
        <f>IF(C499="COVERED",'Methodology'!$B$9,'Methodology'!$B$10)</f>
        <v/>
      </c>
      <c r="K499" s="41">
        <f>I499*J499</f>
        <v/>
      </c>
      <c r="L499" s="41">
        <f>SUMIFS('Billing Aug'!$J$2:$J$770,'Billing Aug'!$D$2:$D$770,A499)</f>
        <v/>
      </c>
      <c r="M499" s="41">
        <f>L499-K499</f>
        <v/>
      </c>
      <c r="N499" s="37">
        <f>COUNTIF('Billing Aug'!$D$2:$D$770,A499)</f>
        <v/>
      </c>
      <c r="O499" s="37">
        <f>SUMIFS('Billing Aug'!$F$2:$F$770,'Billing Aug'!$D$2:$D$770,A499)</f>
        <v/>
      </c>
      <c r="P499" s="41">
        <f>IF(N499=0,0,L499-SUMIFS('Billing Aug'!$H$2:$H$770,'Billing Aug'!$D$2:$D$770,A499)*SUMIFS('Billing Aug'!$I$2:$I$770,'Billing Aug'!$D$2:$D$770,A499))</f>
        <v/>
      </c>
      <c r="Q499" s="37">
        <f>IF(N499=0,"NO AUG TRANSACTION IN SUPPLIED EXTRACT",IF(ABS(P499)&gt;0.004,"SUBLEDGER ARITHMETIC ERROR",IF(ABS(M499)&gt;0.004,"BILLING VARIANCE","MATCH")))</f>
        <v/>
      </c>
    </row>
    <row r="500">
      <c r="A500" s="37" t="inlineStr">
        <is>
          <t>EW-0207</t>
        </is>
      </c>
      <c r="B500" s="37" t="inlineStr">
        <is>
          <t>Eastwey</t>
        </is>
      </c>
      <c r="C500" s="37" t="inlineStr">
        <is>
          <t>OPEN</t>
        </is>
      </c>
      <c r="D500" s="37" t="inlineStr">
        <is>
          <t>OCCUPIED</t>
        </is>
      </c>
      <c r="E500" s="37" t="inlineStr">
        <is>
          <t>WL-01486</t>
        </is>
      </c>
      <c r="F500" s="37" t="inlineStr">
        <is>
          <t>Stacey Spears</t>
        </is>
      </c>
      <c r="G500" s="37" t="n">
        <v>45</v>
      </c>
      <c r="H500" s="39" t="n">
        <v>42.1</v>
      </c>
      <c r="I500" s="40">
        <f>ROUNDUP(MAX(G500,H500),0)</f>
        <v/>
      </c>
      <c r="J500" s="41">
        <f>IF(C500="COVERED",'Methodology'!$B$9,'Methodology'!$B$10)</f>
        <v/>
      </c>
      <c r="K500" s="41">
        <f>I500*J500</f>
        <v/>
      </c>
      <c r="L500" s="41">
        <f>SUMIFS('Billing Aug'!$J$2:$J$770,'Billing Aug'!$D$2:$D$770,A500)</f>
        <v/>
      </c>
      <c r="M500" s="41">
        <f>L500-K500</f>
        <v/>
      </c>
      <c r="N500" s="37">
        <f>COUNTIF('Billing Aug'!$D$2:$D$770,A500)</f>
        <v/>
      </c>
      <c r="O500" s="37">
        <f>SUMIFS('Billing Aug'!$F$2:$F$770,'Billing Aug'!$D$2:$D$770,A500)</f>
        <v/>
      </c>
      <c r="P500" s="41">
        <f>IF(N500=0,0,L500-SUMIFS('Billing Aug'!$H$2:$H$770,'Billing Aug'!$D$2:$D$770,A500)*SUMIFS('Billing Aug'!$I$2:$I$770,'Billing Aug'!$D$2:$D$770,A500))</f>
        <v/>
      </c>
      <c r="Q500" s="37">
        <f>IF(N500=0,"NO AUG TRANSACTION IN SUPPLIED EXTRACT",IF(ABS(P500)&gt;0.004,"SUBLEDGER ARITHMETIC ERROR",IF(ABS(M500)&gt;0.004,"BILLING VARIANCE","MATCH")))</f>
        <v/>
      </c>
    </row>
    <row r="501">
      <c r="A501" s="37" t="inlineStr">
        <is>
          <t>EW-0208</t>
        </is>
      </c>
      <c r="B501" s="37" t="inlineStr">
        <is>
          <t>Eastwey</t>
        </is>
      </c>
      <c r="C501" s="37" t="inlineStr">
        <is>
          <t>OPEN</t>
        </is>
      </c>
      <c r="D501" s="37" t="inlineStr">
        <is>
          <t>OCCUPIED</t>
        </is>
      </c>
      <c r="E501" s="37" t="inlineStr">
        <is>
          <t>WL-03130</t>
        </is>
      </c>
      <c r="F501" s="37" t="inlineStr">
        <is>
          <t>Nicole Berger</t>
        </is>
      </c>
      <c r="G501" s="37" t="n">
        <v>32</v>
      </c>
      <c r="H501" s="39" t="n">
        <v>24.5</v>
      </c>
      <c r="I501" s="40">
        <f>ROUNDUP(MAX(G501,H501),0)</f>
        <v/>
      </c>
      <c r="J501" s="41">
        <f>IF(C501="COVERED",'Methodology'!$B$9,'Methodology'!$B$10)</f>
        <v/>
      </c>
      <c r="K501" s="41">
        <f>I501*J501</f>
        <v/>
      </c>
      <c r="L501" s="41">
        <f>SUMIFS('Billing Aug'!$J$2:$J$770,'Billing Aug'!$D$2:$D$770,A501)</f>
        <v/>
      </c>
      <c r="M501" s="41">
        <f>L501-K501</f>
        <v/>
      </c>
      <c r="N501" s="37">
        <f>COUNTIF('Billing Aug'!$D$2:$D$770,A501)</f>
        <v/>
      </c>
      <c r="O501" s="37">
        <f>SUMIFS('Billing Aug'!$F$2:$F$770,'Billing Aug'!$D$2:$D$770,A501)</f>
        <v/>
      </c>
      <c r="P501" s="41">
        <f>IF(N501=0,0,L501-SUMIFS('Billing Aug'!$H$2:$H$770,'Billing Aug'!$D$2:$D$770,A501)*SUMIFS('Billing Aug'!$I$2:$I$770,'Billing Aug'!$D$2:$D$770,A501))</f>
        <v/>
      </c>
      <c r="Q501" s="37">
        <f>IF(N501=0,"NO AUG TRANSACTION IN SUPPLIED EXTRACT",IF(ABS(P501)&gt;0.004,"SUBLEDGER ARITHMETIC ERROR",IF(ABS(M501)&gt;0.004,"BILLING VARIANCE","MATCH")))</f>
        <v/>
      </c>
    </row>
    <row r="502">
      <c r="A502" s="37" t="inlineStr">
        <is>
          <t>EW-0209</t>
        </is>
      </c>
      <c r="B502" s="37" t="inlineStr">
        <is>
          <t>Eastwey</t>
        </is>
      </c>
      <c r="C502" s="37" t="inlineStr">
        <is>
          <t>OPEN</t>
        </is>
      </c>
      <c r="D502" s="37" t="inlineStr">
        <is>
          <t>OCCUPIED</t>
        </is>
      </c>
      <c r="E502" s="37" t="inlineStr">
        <is>
          <t>WL-02673</t>
        </is>
      </c>
      <c r="F502" s="37" t="inlineStr">
        <is>
          <t>Rodney Watson</t>
        </is>
      </c>
      <c r="G502" s="37" t="n">
        <v>36</v>
      </c>
      <c r="H502" s="39" t="n">
        <v>30.4</v>
      </c>
      <c r="I502" s="40">
        <f>ROUNDUP(MAX(G502,H502),0)</f>
        <v/>
      </c>
      <c r="J502" s="41">
        <f>IF(C502="COVERED",'Methodology'!$B$9,'Methodology'!$B$10)</f>
        <v/>
      </c>
      <c r="K502" s="41">
        <f>I502*J502</f>
        <v/>
      </c>
      <c r="L502" s="41">
        <f>SUMIFS('Billing Aug'!$J$2:$J$770,'Billing Aug'!$D$2:$D$770,A502)</f>
        <v/>
      </c>
      <c r="M502" s="41">
        <f>L502-K502</f>
        <v/>
      </c>
      <c r="N502" s="37">
        <f>COUNTIF('Billing Aug'!$D$2:$D$770,A502)</f>
        <v/>
      </c>
      <c r="O502" s="37">
        <f>SUMIFS('Billing Aug'!$F$2:$F$770,'Billing Aug'!$D$2:$D$770,A502)</f>
        <v/>
      </c>
      <c r="P502" s="41">
        <f>IF(N502=0,0,L502-SUMIFS('Billing Aug'!$H$2:$H$770,'Billing Aug'!$D$2:$D$770,A502)*SUMIFS('Billing Aug'!$I$2:$I$770,'Billing Aug'!$D$2:$D$770,A502))</f>
        <v/>
      </c>
      <c r="Q502" s="37">
        <f>IF(N502=0,"NO AUG TRANSACTION IN SUPPLIED EXTRACT",IF(ABS(P502)&gt;0.004,"SUBLEDGER ARITHMETIC ERROR",IF(ABS(M502)&gt;0.004,"BILLING VARIANCE","MATCH")))</f>
        <v/>
      </c>
    </row>
    <row r="503">
      <c r="A503" s="37" t="inlineStr">
        <is>
          <t>EW-0210</t>
        </is>
      </c>
      <c r="B503" s="37" t="inlineStr">
        <is>
          <t>Eastwey</t>
        </is>
      </c>
      <c r="C503" s="37" t="inlineStr">
        <is>
          <t>OPEN</t>
        </is>
      </c>
      <c r="D503" s="37" t="inlineStr">
        <is>
          <t>OCCUPIED</t>
        </is>
      </c>
      <c r="E503" s="37" t="inlineStr">
        <is>
          <t>WL-01729</t>
        </is>
      </c>
      <c r="F503" s="37" t="inlineStr">
        <is>
          <t>Whitney Baker</t>
        </is>
      </c>
      <c r="G503" s="37" t="n">
        <v>24</v>
      </c>
      <c r="H503" s="39" t="n">
        <v>39.6</v>
      </c>
      <c r="I503" s="40">
        <f>ROUNDUP(MAX(G503,H503),0)</f>
        <v/>
      </c>
      <c r="J503" s="41">
        <f>IF(C503="COVERED",'Methodology'!$B$9,'Methodology'!$B$10)</f>
        <v/>
      </c>
      <c r="K503" s="41">
        <f>I503*J503</f>
        <v/>
      </c>
      <c r="L503" s="41">
        <f>SUMIFS('Billing Aug'!$J$2:$J$770,'Billing Aug'!$D$2:$D$770,A503)</f>
        <v/>
      </c>
      <c r="M503" s="41">
        <f>L503-K503</f>
        <v/>
      </c>
      <c r="N503" s="37">
        <f>COUNTIF('Billing Aug'!$D$2:$D$770,A503)</f>
        <v/>
      </c>
      <c r="O503" s="37">
        <f>SUMIFS('Billing Aug'!$F$2:$F$770,'Billing Aug'!$D$2:$D$770,A503)</f>
        <v/>
      </c>
      <c r="P503" s="41">
        <f>IF(N503=0,0,L503-SUMIFS('Billing Aug'!$H$2:$H$770,'Billing Aug'!$D$2:$D$770,A503)*SUMIFS('Billing Aug'!$I$2:$I$770,'Billing Aug'!$D$2:$D$770,A503))</f>
        <v/>
      </c>
      <c r="Q503" s="37">
        <f>IF(N503=0,"NO AUG TRANSACTION IN SUPPLIED EXTRACT",IF(ABS(P503)&gt;0.004,"SUBLEDGER ARITHMETIC ERROR",IF(ABS(M503)&gt;0.004,"BILLING VARIANCE","MATCH")))</f>
        <v/>
      </c>
    </row>
    <row r="504">
      <c r="A504" s="37" t="inlineStr">
        <is>
          <t>EW-0211</t>
        </is>
      </c>
      <c r="B504" s="37" t="inlineStr">
        <is>
          <t>Eastwey</t>
        </is>
      </c>
      <c r="C504" s="37" t="inlineStr">
        <is>
          <t>OPEN</t>
        </is>
      </c>
      <c r="D504" s="37" t="inlineStr">
        <is>
          <t>OCCUPIED</t>
        </is>
      </c>
      <c r="E504" s="37" t="inlineStr">
        <is>
          <t>WL-02171</t>
        </is>
      </c>
      <c r="F504" s="37" t="inlineStr">
        <is>
          <t>Andrea Hill</t>
        </is>
      </c>
      <c r="G504" s="37" t="n">
        <v>50</v>
      </c>
      <c r="H504" s="39" t="n">
        <v>41.5</v>
      </c>
      <c r="I504" s="40">
        <f>ROUNDUP(MAX(G504,H504),0)</f>
        <v/>
      </c>
      <c r="J504" s="41">
        <f>IF(C504="COVERED",'Methodology'!$B$9,'Methodology'!$B$10)</f>
        <v/>
      </c>
      <c r="K504" s="41">
        <f>I504*J504</f>
        <v/>
      </c>
      <c r="L504" s="41">
        <f>SUMIFS('Billing Aug'!$J$2:$J$770,'Billing Aug'!$D$2:$D$770,A504)</f>
        <v/>
      </c>
      <c r="M504" s="41">
        <f>L504-K504</f>
        <v/>
      </c>
      <c r="N504" s="37">
        <f>COUNTIF('Billing Aug'!$D$2:$D$770,A504)</f>
        <v/>
      </c>
      <c r="O504" s="37">
        <f>SUMIFS('Billing Aug'!$F$2:$F$770,'Billing Aug'!$D$2:$D$770,A504)</f>
        <v/>
      </c>
      <c r="P504" s="41">
        <f>IF(N504=0,0,L504-SUMIFS('Billing Aug'!$H$2:$H$770,'Billing Aug'!$D$2:$D$770,A504)*SUMIFS('Billing Aug'!$I$2:$I$770,'Billing Aug'!$D$2:$D$770,A504))</f>
        <v/>
      </c>
      <c r="Q504" s="37">
        <f>IF(N504=0,"NO AUG TRANSACTION IN SUPPLIED EXTRACT",IF(ABS(P504)&gt;0.004,"SUBLEDGER ARITHMETIC ERROR",IF(ABS(M504)&gt;0.004,"BILLING VARIANCE","MATCH")))</f>
        <v/>
      </c>
    </row>
    <row r="505">
      <c r="A505" s="37" t="inlineStr">
        <is>
          <t>EW-0212</t>
        </is>
      </c>
      <c r="B505" s="37" t="inlineStr">
        <is>
          <t>Eastwey</t>
        </is>
      </c>
      <c r="C505" s="37" t="inlineStr">
        <is>
          <t>OPEN</t>
        </is>
      </c>
      <c r="D505" s="37" t="inlineStr">
        <is>
          <t>OCCUPIED</t>
        </is>
      </c>
      <c r="E505" s="37" t="inlineStr">
        <is>
          <t>WL-01589</t>
        </is>
      </c>
      <c r="F505" s="37" t="inlineStr">
        <is>
          <t>Caitlin Klein</t>
        </is>
      </c>
      <c r="G505" s="37" t="n">
        <v>32</v>
      </c>
      <c r="H505" s="39" t="n">
        <v>19.5</v>
      </c>
      <c r="I505" s="40">
        <f>ROUNDUP(MAX(G505,H505),0)</f>
        <v/>
      </c>
      <c r="J505" s="41">
        <f>IF(C505="COVERED",'Methodology'!$B$9,'Methodology'!$B$10)</f>
        <v/>
      </c>
      <c r="K505" s="41">
        <f>I505*J505</f>
        <v/>
      </c>
      <c r="L505" s="41">
        <f>SUMIFS('Billing Aug'!$J$2:$J$770,'Billing Aug'!$D$2:$D$770,A505)</f>
        <v/>
      </c>
      <c r="M505" s="41">
        <f>L505-K505</f>
        <v/>
      </c>
      <c r="N505" s="37">
        <f>COUNTIF('Billing Aug'!$D$2:$D$770,A505)</f>
        <v/>
      </c>
      <c r="O505" s="37">
        <f>SUMIFS('Billing Aug'!$F$2:$F$770,'Billing Aug'!$D$2:$D$770,A505)</f>
        <v/>
      </c>
      <c r="P505" s="41">
        <f>IF(N505=0,0,L505-SUMIFS('Billing Aug'!$H$2:$H$770,'Billing Aug'!$D$2:$D$770,A505)*SUMIFS('Billing Aug'!$I$2:$I$770,'Billing Aug'!$D$2:$D$770,A505))</f>
        <v/>
      </c>
      <c r="Q505" s="37">
        <f>IF(N505=0,"NO AUG TRANSACTION IN SUPPLIED EXTRACT",IF(ABS(P505)&gt;0.004,"SUBLEDGER ARITHMETIC ERROR",IF(ABS(M505)&gt;0.004,"BILLING VARIANCE","MATCH")))</f>
        <v/>
      </c>
    </row>
    <row r="506">
      <c r="A506" s="37" t="inlineStr">
        <is>
          <t>EW-0214</t>
        </is>
      </c>
      <c r="B506" s="37" t="inlineStr">
        <is>
          <t>Eastwey</t>
        </is>
      </c>
      <c r="C506" s="37" t="inlineStr">
        <is>
          <t>OPEN</t>
        </is>
      </c>
      <c r="D506" s="37" t="inlineStr">
        <is>
          <t>OCCUPIED</t>
        </is>
      </c>
      <c r="E506" s="37" t="inlineStr">
        <is>
          <t>WL-01651</t>
        </is>
      </c>
      <c r="F506" s="37" t="inlineStr">
        <is>
          <t>Kayla Lawson</t>
        </is>
      </c>
      <c r="G506" s="37" t="n">
        <v>60</v>
      </c>
      <c r="H506" s="39" t="n">
        <v>23.2</v>
      </c>
      <c r="I506" s="40">
        <f>ROUNDUP(MAX(G506,H506),0)</f>
        <v/>
      </c>
      <c r="J506" s="41">
        <f>IF(C506="COVERED",'Methodology'!$B$9,'Methodology'!$B$10)</f>
        <v/>
      </c>
      <c r="K506" s="41">
        <f>I506*J506</f>
        <v/>
      </c>
      <c r="L506" s="41">
        <f>SUMIFS('Billing Aug'!$J$2:$J$770,'Billing Aug'!$D$2:$D$770,A506)</f>
        <v/>
      </c>
      <c r="M506" s="41">
        <f>L506-K506</f>
        <v/>
      </c>
      <c r="N506" s="37">
        <f>COUNTIF('Billing Aug'!$D$2:$D$770,A506)</f>
        <v/>
      </c>
      <c r="O506" s="37">
        <f>SUMIFS('Billing Aug'!$F$2:$F$770,'Billing Aug'!$D$2:$D$770,A506)</f>
        <v/>
      </c>
      <c r="P506" s="41">
        <f>IF(N506=0,0,L506-SUMIFS('Billing Aug'!$H$2:$H$770,'Billing Aug'!$D$2:$D$770,A506)*SUMIFS('Billing Aug'!$I$2:$I$770,'Billing Aug'!$D$2:$D$770,A506))</f>
        <v/>
      </c>
      <c r="Q506" s="37">
        <f>IF(N506=0,"NO AUG TRANSACTION IN SUPPLIED EXTRACT",IF(ABS(P506)&gt;0.004,"SUBLEDGER ARITHMETIC ERROR",IF(ABS(M506)&gt;0.004,"BILLING VARIANCE","MATCH")))</f>
        <v/>
      </c>
    </row>
    <row r="507">
      <c r="A507" s="37" t="inlineStr">
        <is>
          <t>EW-0215</t>
        </is>
      </c>
      <c r="B507" s="37" t="inlineStr">
        <is>
          <t>Eastwey</t>
        </is>
      </c>
      <c r="C507" s="37" t="inlineStr">
        <is>
          <t>OPEN</t>
        </is>
      </c>
      <c r="D507" s="37" t="inlineStr">
        <is>
          <t>OCCUPIED</t>
        </is>
      </c>
      <c r="E507" s="37" t="inlineStr">
        <is>
          <t>WL-03669</t>
        </is>
      </c>
      <c r="F507" s="37" t="inlineStr">
        <is>
          <t>Samantha Powers</t>
        </is>
      </c>
      <c r="G507" s="37" t="n">
        <v>32</v>
      </c>
      <c r="H507" s="39" t="n">
        <v>20.4</v>
      </c>
      <c r="I507" s="40">
        <f>ROUNDUP(MAX(G507,H507),0)</f>
        <v/>
      </c>
      <c r="J507" s="41">
        <f>IF(C507="COVERED",'Methodology'!$B$9,'Methodology'!$B$10)</f>
        <v/>
      </c>
      <c r="K507" s="41">
        <f>I507*J507</f>
        <v/>
      </c>
      <c r="L507" s="41">
        <f>SUMIFS('Billing Aug'!$J$2:$J$770,'Billing Aug'!$D$2:$D$770,A507)</f>
        <v/>
      </c>
      <c r="M507" s="41">
        <f>L507-K507</f>
        <v/>
      </c>
      <c r="N507" s="37">
        <f>COUNTIF('Billing Aug'!$D$2:$D$770,A507)</f>
        <v/>
      </c>
      <c r="O507" s="37">
        <f>SUMIFS('Billing Aug'!$F$2:$F$770,'Billing Aug'!$D$2:$D$770,A507)</f>
        <v/>
      </c>
      <c r="P507" s="41">
        <f>IF(N507=0,0,L507-SUMIFS('Billing Aug'!$H$2:$H$770,'Billing Aug'!$D$2:$D$770,A507)*SUMIFS('Billing Aug'!$I$2:$I$770,'Billing Aug'!$D$2:$D$770,A507))</f>
        <v/>
      </c>
      <c r="Q507" s="37">
        <f>IF(N507=0,"NO AUG TRANSACTION IN SUPPLIED EXTRACT",IF(ABS(P507)&gt;0.004,"SUBLEDGER ARITHMETIC ERROR",IF(ABS(M507)&gt;0.004,"BILLING VARIANCE","MATCH")))</f>
        <v/>
      </c>
    </row>
    <row r="508">
      <c r="A508" s="37" t="inlineStr">
        <is>
          <t>EW-0216</t>
        </is>
      </c>
      <c r="B508" s="37" t="inlineStr">
        <is>
          <t>Eastwey</t>
        </is>
      </c>
      <c r="C508" s="37" t="inlineStr">
        <is>
          <t>OPEN</t>
        </is>
      </c>
      <c r="D508" s="37" t="inlineStr">
        <is>
          <t>OCCUPIED</t>
        </is>
      </c>
      <c r="E508" s="37" t="inlineStr">
        <is>
          <t>WL-01352</t>
        </is>
      </c>
      <c r="F508" s="37" t="inlineStr">
        <is>
          <t>Donald Hoffman</t>
        </is>
      </c>
      <c r="G508" s="37" t="n">
        <v>50</v>
      </c>
      <c r="H508" s="39" t="n">
        <v>42.6</v>
      </c>
      <c r="I508" s="40">
        <f>ROUNDUP(MAX(G508,H508),0)</f>
        <v/>
      </c>
      <c r="J508" s="41">
        <f>IF(C508="COVERED",'Methodology'!$B$9,'Methodology'!$B$10)</f>
        <v/>
      </c>
      <c r="K508" s="41">
        <f>I508*J508</f>
        <v/>
      </c>
      <c r="L508" s="41">
        <f>SUMIFS('Billing Aug'!$J$2:$J$770,'Billing Aug'!$D$2:$D$770,A508)</f>
        <v/>
      </c>
      <c r="M508" s="41">
        <f>L508-K508</f>
        <v/>
      </c>
      <c r="N508" s="37">
        <f>COUNTIF('Billing Aug'!$D$2:$D$770,A508)</f>
        <v/>
      </c>
      <c r="O508" s="37">
        <f>SUMIFS('Billing Aug'!$F$2:$F$770,'Billing Aug'!$D$2:$D$770,A508)</f>
        <v/>
      </c>
      <c r="P508" s="41">
        <f>IF(N508=0,0,L508-SUMIFS('Billing Aug'!$H$2:$H$770,'Billing Aug'!$D$2:$D$770,A508)*SUMIFS('Billing Aug'!$I$2:$I$770,'Billing Aug'!$D$2:$D$770,A508))</f>
        <v/>
      </c>
      <c r="Q508" s="37">
        <f>IF(N508=0,"NO AUG TRANSACTION IN SUPPLIED EXTRACT",IF(ABS(P508)&gt;0.004,"SUBLEDGER ARITHMETIC ERROR",IF(ABS(M508)&gt;0.004,"BILLING VARIANCE","MATCH")))</f>
        <v/>
      </c>
    </row>
    <row r="509">
      <c r="A509" s="37" t="inlineStr">
        <is>
          <t>EW-0217</t>
        </is>
      </c>
      <c r="B509" s="37" t="inlineStr">
        <is>
          <t>Eastwey</t>
        </is>
      </c>
      <c r="C509" s="37" t="inlineStr">
        <is>
          <t>OPEN</t>
        </is>
      </c>
      <c r="D509" s="37" t="inlineStr">
        <is>
          <t>OCCUPIED</t>
        </is>
      </c>
      <c r="E509" s="37" t="inlineStr">
        <is>
          <t>WL-01566</t>
        </is>
      </c>
      <c r="F509" s="37" t="inlineStr">
        <is>
          <t>Sara Garcia</t>
        </is>
      </c>
      <c r="G509" s="37" t="n">
        <v>32</v>
      </c>
      <c r="H509" s="39" t="n">
        <v>32.9</v>
      </c>
      <c r="I509" s="40">
        <f>ROUNDUP(MAX(G509,H509),0)</f>
        <v/>
      </c>
      <c r="J509" s="41">
        <f>IF(C509="COVERED",'Methodology'!$B$9,'Methodology'!$B$10)</f>
        <v/>
      </c>
      <c r="K509" s="41">
        <f>I509*J509</f>
        <v/>
      </c>
      <c r="L509" s="41">
        <f>SUMIFS('Billing Aug'!$J$2:$J$770,'Billing Aug'!$D$2:$D$770,A509)</f>
        <v/>
      </c>
      <c r="M509" s="41">
        <f>L509-K509</f>
        <v/>
      </c>
      <c r="N509" s="37">
        <f>COUNTIF('Billing Aug'!$D$2:$D$770,A509)</f>
        <v/>
      </c>
      <c r="O509" s="37">
        <f>SUMIFS('Billing Aug'!$F$2:$F$770,'Billing Aug'!$D$2:$D$770,A509)</f>
        <v/>
      </c>
      <c r="P509" s="41">
        <f>IF(N509=0,0,L509-SUMIFS('Billing Aug'!$H$2:$H$770,'Billing Aug'!$D$2:$D$770,A509)*SUMIFS('Billing Aug'!$I$2:$I$770,'Billing Aug'!$D$2:$D$770,A509))</f>
        <v/>
      </c>
      <c r="Q509" s="37">
        <f>IF(N509=0,"NO AUG TRANSACTION IN SUPPLIED EXTRACT",IF(ABS(P509)&gt;0.004,"SUBLEDGER ARITHMETIC ERROR",IF(ABS(M509)&gt;0.004,"BILLING VARIANCE","MATCH")))</f>
        <v/>
      </c>
    </row>
    <row r="510">
      <c r="A510" s="37" t="inlineStr">
        <is>
          <t>EW-0218</t>
        </is>
      </c>
      <c r="B510" s="37" t="inlineStr">
        <is>
          <t>Eastwey</t>
        </is>
      </c>
      <c r="C510" s="37" t="inlineStr">
        <is>
          <t>OPEN</t>
        </is>
      </c>
      <c r="D510" s="37" t="inlineStr">
        <is>
          <t>OCCUPIED</t>
        </is>
      </c>
      <c r="E510" s="37" t="inlineStr">
        <is>
          <t>WL-01012</t>
        </is>
      </c>
      <c r="F510" s="37" t="inlineStr">
        <is>
          <t>Janet Jones</t>
        </is>
      </c>
      <c r="G510" s="37" t="n">
        <v>36</v>
      </c>
      <c r="H510" s="39" t="n">
        <v>23</v>
      </c>
      <c r="I510" s="40">
        <f>ROUNDUP(MAX(G510,H510),0)</f>
        <v/>
      </c>
      <c r="J510" s="41">
        <f>IF(C510="COVERED",'Methodology'!$B$9,'Methodology'!$B$10)</f>
        <v/>
      </c>
      <c r="K510" s="41">
        <f>I510*J510</f>
        <v/>
      </c>
      <c r="L510" s="41">
        <f>SUMIFS('Billing Aug'!$J$2:$J$770,'Billing Aug'!$D$2:$D$770,A510)</f>
        <v/>
      </c>
      <c r="M510" s="41">
        <f>L510-K510</f>
        <v/>
      </c>
      <c r="N510" s="37">
        <f>COUNTIF('Billing Aug'!$D$2:$D$770,A510)</f>
        <v/>
      </c>
      <c r="O510" s="37">
        <f>SUMIFS('Billing Aug'!$F$2:$F$770,'Billing Aug'!$D$2:$D$770,A510)</f>
        <v/>
      </c>
      <c r="P510" s="41">
        <f>IF(N510=0,0,L510-SUMIFS('Billing Aug'!$H$2:$H$770,'Billing Aug'!$D$2:$D$770,A510)*SUMIFS('Billing Aug'!$I$2:$I$770,'Billing Aug'!$D$2:$D$770,A510))</f>
        <v/>
      </c>
      <c r="Q510" s="37">
        <f>IF(N510=0,"NO AUG TRANSACTION IN SUPPLIED EXTRACT",IF(ABS(P510)&gt;0.004,"SUBLEDGER ARITHMETIC ERROR",IF(ABS(M510)&gt;0.004,"BILLING VARIANCE","MATCH")))</f>
        <v/>
      </c>
    </row>
    <row r="511">
      <c r="A511" s="37" t="inlineStr">
        <is>
          <t>EW-0219</t>
        </is>
      </c>
      <c r="B511" s="37" t="inlineStr">
        <is>
          <t>Eastwey</t>
        </is>
      </c>
      <c r="C511" s="37" t="inlineStr">
        <is>
          <t>OPEN</t>
        </is>
      </c>
      <c r="D511" s="37" t="inlineStr">
        <is>
          <t>OCCUPIED</t>
        </is>
      </c>
      <c r="E511" s="37" t="inlineStr">
        <is>
          <t>WL-02243</t>
        </is>
      </c>
      <c r="F511" s="37" t="inlineStr">
        <is>
          <t>Andrew Miller</t>
        </is>
      </c>
      <c r="G511" s="37" t="n">
        <v>70</v>
      </c>
      <c r="H511" s="39" t="n">
        <v>21.3</v>
      </c>
      <c r="I511" s="40">
        <f>ROUNDUP(MAX(G511,H511),0)</f>
        <v/>
      </c>
      <c r="J511" s="41">
        <f>IF(C511="COVERED",'Methodology'!$B$9,'Methodology'!$B$10)</f>
        <v/>
      </c>
      <c r="K511" s="41">
        <f>I511*J511</f>
        <v/>
      </c>
      <c r="L511" s="41">
        <f>SUMIFS('Billing Aug'!$J$2:$J$770,'Billing Aug'!$D$2:$D$770,A511)</f>
        <v/>
      </c>
      <c r="M511" s="41">
        <f>L511-K511</f>
        <v/>
      </c>
      <c r="N511" s="37">
        <f>COUNTIF('Billing Aug'!$D$2:$D$770,A511)</f>
        <v/>
      </c>
      <c r="O511" s="37">
        <f>SUMIFS('Billing Aug'!$F$2:$F$770,'Billing Aug'!$D$2:$D$770,A511)</f>
        <v/>
      </c>
      <c r="P511" s="41">
        <f>IF(N511=0,0,L511-SUMIFS('Billing Aug'!$H$2:$H$770,'Billing Aug'!$D$2:$D$770,A511)*SUMIFS('Billing Aug'!$I$2:$I$770,'Billing Aug'!$D$2:$D$770,A511))</f>
        <v/>
      </c>
      <c r="Q511" s="37">
        <f>IF(N511=0,"NO AUG TRANSACTION IN SUPPLIED EXTRACT",IF(ABS(P511)&gt;0.004,"SUBLEDGER ARITHMETIC ERROR",IF(ABS(M511)&gt;0.004,"BILLING VARIANCE","MATCH")))</f>
        <v/>
      </c>
    </row>
    <row r="512">
      <c r="A512" s="37" t="inlineStr">
        <is>
          <t>EW-0220</t>
        </is>
      </c>
      <c r="B512" s="37" t="inlineStr">
        <is>
          <t>Eastwey</t>
        </is>
      </c>
      <c r="C512" s="37" t="inlineStr">
        <is>
          <t>OPEN</t>
        </is>
      </c>
      <c r="D512" s="37" t="inlineStr">
        <is>
          <t>OCCUPIED</t>
        </is>
      </c>
      <c r="E512" s="37" t="inlineStr">
        <is>
          <t>WL-01203</t>
        </is>
      </c>
      <c r="F512" s="37" t="inlineStr">
        <is>
          <t>Tracy Conrad</t>
        </is>
      </c>
      <c r="G512" s="37" t="n">
        <v>40</v>
      </c>
      <c r="H512" s="39" t="n">
        <v>22.1</v>
      </c>
      <c r="I512" s="40">
        <f>ROUNDUP(MAX(G512,H512),0)</f>
        <v/>
      </c>
      <c r="J512" s="41">
        <f>IF(C512="COVERED",'Methodology'!$B$9,'Methodology'!$B$10)</f>
        <v/>
      </c>
      <c r="K512" s="41">
        <f>I512*J512</f>
        <v/>
      </c>
      <c r="L512" s="41">
        <f>SUMIFS('Billing Aug'!$J$2:$J$770,'Billing Aug'!$D$2:$D$770,A512)</f>
        <v/>
      </c>
      <c r="M512" s="41">
        <f>L512-K512</f>
        <v/>
      </c>
      <c r="N512" s="37">
        <f>COUNTIF('Billing Aug'!$D$2:$D$770,A512)</f>
        <v/>
      </c>
      <c r="O512" s="37">
        <f>SUMIFS('Billing Aug'!$F$2:$F$770,'Billing Aug'!$D$2:$D$770,A512)</f>
        <v/>
      </c>
      <c r="P512" s="41">
        <f>IF(N512=0,0,L512-SUMIFS('Billing Aug'!$H$2:$H$770,'Billing Aug'!$D$2:$D$770,A512)*SUMIFS('Billing Aug'!$I$2:$I$770,'Billing Aug'!$D$2:$D$770,A512))</f>
        <v/>
      </c>
      <c r="Q512" s="37">
        <f>IF(N512=0,"NO AUG TRANSACTION IN SUPPLIED EXTRACT",IF(ABS(P512)&gt;0.004,"SUBLEDGER ARITHMETIC ERROR",IF(ABS(M512)&gt;0.004,"BILLING VARIANCE","MATCH")))</f>
        <v/>
      </c>
    </row>
    <row r="513">
      <c r="A513" s="37" t="inlineStr">
        <is>
          <t>EW-0221</t>
        </is>
      </c>
      <c r="B513" s="37" t="inlineStr">
        <is>
          <t>Eastwey</t>
        </is>
      </c>
      <c r="C513" s="37" t="inlineStr">
        <is>
          <t>OPEN</t>
        </is>
      </c>
      <c r="D513" s="37" t="inlineStr">
        <is>
          <t>OCCUPIED</t>
        </is>
      </c>
      <c r="E513" s="37" t="inlineStr">
        <is>
          <t>WL-02645</t>
        </is>
      </c>
      <c r="F513" s="37" t="inlineStr">
        <is>
          <t>Rose Gonzalez</t>
        </is>
      </c>
      <c r="G513" s="37" t="n">
        <v>28</v>
      </c>
      <c r="H513" s="39" t="n">
        <v>57.1</v>
      </c>
      <c r="I513" s="40">
        <f>ROUNDUP(MAX(G513,H513),0)</f>
        <v/>
      </c>
      <c r="J513" s="41">
        <f>IF(C513="COVERED",'Methodology'!$B$9,'Methodology'!$B$10)</f>
        <v/>
      </c>
      <c r="K513" s="41">
        <f>I513*J513</f>
        <v/>
      </c>
      <c r="L513" s="41">
        <f>SUMIFS('Billing Aug'!$J$2:$J$770,'Billing Aug'!$D$2:$D$770,A513)</f>
        <v/>
      </c>
      <c r="M513" s="41">
        <f>L513-K513</f>
        <v/>
      </c>
      <c r="N513" s="37">
        <f>COUNTIF('Billing Aug'!$D$2:$D$770,A513)</f>
        <v/>
      </c>
      <c r="O513" s="37">
        <f>SUMIFS('Billing Aug'!$F$2:$F$770,'Billing Aug'!$D$2:$D$770,A513)</f>
        <v/>
      </c>
      <c r="P513" s="41">
        <f>IF(N513=0,0,L513-SUMIFS('Billing Aug'!$H$2:$H$770,'Billing Aug'!$D$2:$D$770,A513)*SUMIFS('Billing Aug'!$I$2:$I$770,'Billing Aug'!$D$2:$D$770,A513))</f>
        <v/>
      </c>
      <c r="Q513" s="37">
        <f>IF(N513=0,"NO AUG TRANSACTION IN SUPPLIED EXTRACT",IF(ABS(P513)&gt;0.004,"SUBLEDGER ARITHMETIC ERROR",IF(ABS(M513)&gt;0.004,"BILLING VARIANCE","MATCH")))</f>
        <v/>
      </c>
    </row>
    <row r="514">
      <c r="A514" s="37" t="inlineStr">
        <is>
          <t>EW-0222</t>
        </is>
      </c>
      <c r="B514" s="37" t="inlineStr">
        <is>
          <t>Eastwey</t>
        </is>
      </c>
      <c r="C514" s="37" t="inlineStr">
        <is>
          <t>OPEN</t>
        </is>
      </c>
      <c r="D514" s="37" t="inlineStr">
        <is>
          <t>OCCUPIED</t>
        </is>
      </c>
      <c r="E514" s="37" t="inlineStr">
        <is>
          <t>WL-02910</t>
        </is>
      </c>
      <c r="F514" s="37" t="inlineStr">
        <is>
          <t>David Taylor</t>
        </is>
      </c>
      <c r="G514" s="37" t="n">
        <v>24</v>
      </c>
      <c r="H514" s="39" t="n">
        <v>29.3</v>
      </c>
      <c r="I514" s="40">
        <f>ROUNDUP(MAX(G514,H514),0)</f>
        <v/>
      </c>
      <c r="J514" s="41">
        <f>IF(C514="COVERED",'Methodology'!$B$9,'Methodology'!$B$10)</f>
        <v/>
      </c>
      <c r="K514" s="41">
        <f>I514*J514</f>
        <v/>
      </c>
      <c r="L514" s="41">
        <f>SUMIFS('Billing Aug'!$J$2:$J$770,'Billing Aug'!$D$2:$D$770,A514)</f>
        <v/>
      </c>
      <c r="M514" s="41">
        <f>L514-K514</f>
        <v/>
      </c>
      <c r="N514" s="37">
        <f>COUNTIF('Billing Aug'!$D$2:$D$770,A514)</f>
        <v/>
      </c>
      <c r="O514" s="37">
        <f>SUMIFS('Billing Aug'!$F$2:$F$770,'Billing Aug'!$D$2:$D$770,A514)</f>
        <v/>
      </c>
      <c r="P514" s="41">
        <f>IF(N514=0,0,L514-SUMIFS('Billing Aug'!$H$2:$H$770,'Billing Aug'!$D$2:$D$770,A514)*SUMIFS('Billing Aug'!$I$2:$I$770,'Billing Aug'!$D$2:$D$770,A514))</f>
        <v/>
      </c>
      <c r="Q514" s="37">
        <f>IF(N514=0,"NO AUG TRANSACTION IN SUPPLIED EXTRACT",IF(ABS(P514)&gt;0.004,"SUBLEDGER ARITHMETIC ERROR",IF(ABS(M514)&gt;0.004,"BILLING VARIANCE","MATCH")))</f>
        <v/>
      </c>
    </row>
    <row r="515">
      <c r="A515" s="37" t="inlineStr">
        <is>
          <t>EW-0223</t>
        </is>
      </c>
      <c r="B515" s="37" t="inlineStr">
        <is>
          <t>Eastwey</t>
        </is>
      </c>
      <c r="C515" s="37" t="inlineStr">
        <is>
          <t>OPEN</t>
        </is>
      </c>
      <c r="D515" s="37" t="inlineStr">
        <is>
          <t>OCCUPIED</t>
        </is>
      </c>
      <c r="E515" s="37" t="inlineStr">
        <is>
          <t>WL-01945</t>
        </is>
      </c>
      <c r="F515" s="37" t="inlineStr">
        <is>
          <t>Jacob Bonilla</t>
        </is>
      </c>
      <c r="G515" s="37" t="n">
        <v>36</v>
      </c>
      <c r="H515" s="39" t="n">
        <v>19</v>
      </c>
      <c r="I515" s="40">
        <f>ROUNDUP(MAX(G515,H515),0)</f>
        <v/>
      </c>
      <c r="J515" s="41">
        <f>IF(C515="COVERED",'Methodology'!$B$9,'Methodology'!$B$10)</f>
        <v/>
      </c>
      <c r="K515" s="41">
        <f>I515*J515</f>
        <v/>
      </c>
      <c r="L515" s="41">
        <f>SUMIFS('Billing Aug'!$J$2:$J$770,'Billing Aug'!$D$2:$D$770,A515)</f>
        <v/>
      </c>
      <c r="M515" s="41">
        <f>L515-K515</f>
        <v/>
      </c>
      <c r="N515" s="37">
        <f>COUNTIF('Billing Aug'!$D$2:$D$770,A515)</f>
        <v/>
      </c>
      <c r="O515" s="37">
        <f>SUMIFS('Billing Aug'!$F$2:$F$770,'Billing Aug'!$D$2:$D$770,A515)</f>
        <v/>
      </c>
      <c r="P515" s="41">
        <f>IF(N515=0,0,L515-SUMIFS('Billing Aug'!$H$2:$H$770,'Billing Aug'!$D$2:$D$770,A515)*SUMIFS('Billing Aug'!$I$2:$I$770,'Billing Aug'!$D$2:$D$770,A515))</f>
        <v/>
      </c>
      <c r="Q515" s="37">
        <f>IF(N515=0,"NO AUG TRANSACTION IN SUPPLIED EXTRACT",IF(ABS(P515)&gt;0.004,"SUBLEDGER ARITHMETIC ERROR",IF(ABS(M515)&gt;0.004,"BILLING VARIANCE","MATCH")))</f>
        <v/>
      </c>
    </row>
    <row r="516">
      <c r="A516" s="37" t="inlineStr">
        <is>
          <t>EW-0224</t>
        </is>
      </c>
      <c r="B516" s="37" t="inlineStr">
        <is>
          <t>Eastwey</t>
        </is>
      </c>
      <c r="C516" s="37" t="inlineStr">
        <is>
          <t>OPEN</t>
        </is>
      </c>
      <c r="D516" s="37" t="inlineStr">
        <is>
          <t>OCCUPIED</t>
        </is>
      </c>
      <c r="E516" s="37" t="inlineStr">
        <is>
          <t>WL-01127</t>
        </is>
      </c>
      <c r="F516" s="37" t="inlineStr">
        <is>
          <t>Thomas Hawkins</t>
        </is>
      </c>
      <c r="G516" s="37" t="n">
        <v>24</v>
      </c>
      <c r="H516" s="39" t="n">
        <v>49.6</v>
      </c>
      <c r="I516" s="40">
        <f>ROUNDUP(MAX(G516,H516),0)</f>
        <v/>
      </c>
      <c r="J516" s="41">
        <f>IF(C516="COVERED",'Methodology'!$B$9,'Methodology'!$B$10)</f>
        <v/>
      </c>
      <c r="K516" s="41">
        <f>I516*J516</f>
        <v/>
      </c>
      <c r="L516" s="41">
        <f>SUMIFS('Billing Aug'!$J$2:$J$770,'Billing Aug'!$D$2:$D$770,A516)</f>
        <v/>
      </c>
      <c r="M516" s="41">
        <f>L516-K516</f>
        <v/>
      </c>
      <c r="N516" s="37">
        <f>COUNTIF('Billing Aug'!$D$2:$D$770,A516)</f>
        <v/>
      </c>
      <c r="O516" s="37">
        <f>SUMIFS('Billing Aug'!$F$2:$F$770,'Billing Aug'!$D$2:$D$770,A516)</f>
        <v/>
      </c>
      <c r="P516" s="41">
        <f>IF(N516=0,0,L516-SUMIFS('Billing Aug'!$H$2:$H$770,'Billing Aug'!$D$2:$D$770,A516)*SUMIFS('Billing Aug'!$I$2:$I$770,'Billing Aug'!$D$2:$D$770,A516))</f>
        <v/>
      </c>
      <c r="Q516" s="37">
        <f>IF(N516=0,"NO AUG TRANSACTION IN SUPPLIED EXTRACT",IF(ABS(P516)&gt;0.004,"SUBLEDGER ARITHMETIC ERROR",IF(ABS(M516)&gt;0.004,"BILLING VARIANCE","MATCH")))</f>
        <v/>
      </c>
    </row>
    <row r="517">
      <c r="A517" s="37" t="inlineStr">
        <is>
          <t>EW-0302</t>
        </is>
      </c>
      <c r="B517" s="37" t="inlineStr">
        <is>
          <t>Eastwey</t>
        </is>
      </c>
      <c r="C517" s="37" t="inlineStr">
        <is>
          <t>OPEN</t>
        </is>
      </c>
      <c r="D517" s="37" t="inlineStr">
        <is>
          <t>OCCUPIED</t>
        </is>
      </c>
      <c r="E517" s="37" t="inlineStr">
        <is>
          <t>WL-01910</t>
        </is>
      </c>
      <c r="F517" s="37" t="inlineStr">
        <is>
          <t>Charles Gates</t>
        </is>
      </c>
      <c r="G517" s="37" t="n">
        <v>40</v>
      </c>
      <c r="H517" s="39" t="n">
        <v>49.2</v>
      </c>
      <c r="I517" s="40">
        <f>ROUNDUP(MAX(G517,H517),0)</f>
        <v/>
      </c>
      <c r="J517" s="41">
        <f>IF(C517="COVERED",'Methodology'!$B$9,'Methodology'!$B$10)</f>
        <v/>
      </c>
      <c r="K517" s="41">
        <f>I517*J517</f>
        <v/>
      </c>
      <c r="L517" s="41">
        <f>SUMIFS('Billing Aug'!$J$2:$J$770,'Billing Aug'!$D$2:$D$770,A517)</f>
        <v/>
      </c>
      <c r="M517" s="41">
        <f>L517-K517</f>
        <v/>
      </c>
      <c r="N517" s="37">
        <f>COUNTIF('Billing Aug'!$D$2:$D$770,A517)</f>
        <v/>
      </c>
      <c r="O517" s="37">
        <f>SUMIFS('Billing Aug'!$F$2:$F$770,'Billing Aug'!$D$2:$D$770,A517)</f>
        <v/>
      </c>
      <c r="P517" s="41">
        <f>IF(N517=0,0,L517-SUMIFS('Billing Aug'!$H$2:$H$770,'Billing Aug'!$D$2:$D$770,A517)*SUMIFS('Billing Aug'!$I$2:$I$770,'Billing Aug'!$D$2:$D$770,A517))</f>
        <v/>
      </c>
      <c r="Q517" s="37">
        <f>IF(N517=0,"NO AUG TRANSACTION IN SUPPLIED EXTRACT",IF(ABS(P517)&gt;0.004,"SUBLEDGER ARITHMETIC ERROR",IF(ABS(M517)&gt;0.004,"BILLING VARIANCE","MATCH")))</f>
        <v/>
      </c>
    </row>
    <row r="518">
      <c r="A518" s="37" t="inlineStr">
        <is>
          <t>EW-0303</t>
        </is>
      </c>
      <c r="B518" s="37" t="inlineStr">
        <is>
          <t>Eastwey</t>
        </is>
      </c>
      <c r="C518" s="37" t="inlineStr">
        <is>
          <t>OPEN</t>
        </is>
      </c>
      <c r="D518" s="37" t="inlineStr">
        <is>
          <t>OCCUPIED</t>
        </is>
      </c>
      <c r="E518" s="37" t="inlineStr">
        <is>
          <t>WL-01094</t>
        </is>
      </c>
      <c r="F518" s="37" t="inlineStr">
        <is>
          <t>Denise Jenkins</t>
        </is>
      </c>
      <c r="G518" s="37" t="n">
        <v>40</v>
      </c>
      <c r="H518" s="39" t="n">
        <v>29.4</v>
      </c>
      <c r="I518" s="40">
        <f>ROUNDUP(MAX(G518,H518),0)</f>
        <v/>
      </c>
      <c r="J518" s="41">
        <f>IF(C518="COVERED",'Methodology'!$B$9,'Methodology'!$B$10)</f>
        <v/>
      </c>
      <c r="K518" s="41">
        <f>I518*J518</f>
        <v/>
      </c>
      <c r="L518" s="41">
        <f>SUMIFS('Billing Aug'!$J$2:$J$770,'Billing Aug'!$D$2:$D$770,A518)</f>
        <v/>
      </c>
      <c r="M518" s="41">
        <f>L518-K518</f>
        <v/>
      </c>
      <c r="N518" s="37">
        <f>COUNTIF('Billing Aug'!$D$2:$D$770,A518)</f>
        <v/>
      </c>
      <c r="O518" s="37">
        <f>SUMIFS('Billing Aug'!$F$2:$F$770,'Billing Aug'!$D$2:$D$770,A518)</f>
        <v/>
      </c>
      <c r="P518" s="41">
        <f>IF(N518=0,0,L518-SUMIFS('Billing Aug'!$H$2:$H$770,'Billing Aug'!$D$2:$D$770,A518)*SUMIFS('Billing Aug'!$I$2:$I$770,'Billing Aug'!$D$2:$D$770,A518))</f>
        <v/>
      </c>
      <c r="Q518" s="37">
        <f>IF(N518=0,"NO AUG TRANSACTION IN SUPPLIED EXTRACT",IF(ABS(P518)&gt;0.004,"SUBLEDGER ARITHMETIC ERROR",IF(ABS(M518)&gt;0.004,"BILLING VARIANCE","MATCH")))</f>
        <v/>
      </c>
    </row>
    <row r="519">
      <c r="A519" s="37" t="inlineStr">
        <is>
          <t>EW-0304</t>
        </is>
      </c>
      <c r="B519" s="37" t="inlineStr">
        <is>
          <t>Eastwey</t>
        </is>
      </c>
      <c r="C519" s="37" t="inlineStr">
        <is>
          <t>OPEN</t>
        </is>
      </c>
      <c r="D519" s="37" t="inlineStr">
        <is>
          <t>OCCUPIED</t>
        </is>
      </c>
      <c r="E519" s="37" t="inlineStr">
        <is>
          <t>WL-03721</t>
        </is>
      </c>
      <c r="F519" s="37" t="inlineStr">
        <is>
          <t>Ann Vaughn</t>
        </is>
      </c>
      <c r="G519" s="37" t="n">
        <v>36</v>
      </c>
      <c r="H519" s="39" t="n">
        <v>39.1</v>
      </c>
      <c r="I519" s="40">
        <f>ROUNDUP(MAX(G519,H519),0)</f>
        <v/>
      </c>
      <c r="J519" s="41">
        <f>IF(C519="COVERED",'Methodology'!$B$9,'Methodology'!$B$10)</f>
        <v/>
      </c>
      <c r="K519" s="41">
        <f>I519*J519</f>
        <v/>
      </c>
      <c r="L519" s="41">
        <f>SUMIFS('Billing Aug'!$J$2:$J$770,'Billing Aug'!$D$2:$D$770,A519)</f>
        <v/>
      </c>
      <c r="M519" s="41">
        <f>L519-K519</f>
        <v/>
      </c>
      <c r="N519" s="37">
        <f>COUNTIF('Billing Aug'!$D$2:$D$770,A519)</f>
        <v/>
      </c>
      <c r="O519" s="37">
        <f>SUMIFS('Billing Aug'!$F$2:$F$770,'Billing Aug'!$D$2:$D$770,A519)</f>
        <v/>
      </c>
      <c r="P519" s="41">
        <f>IF(N519=0,0,L519-SUMIFS('Billing Aug'!$H$2:$H$770,'Billing Aug'!$D$2:$D$770,A519)*SUMIFS('Billing Aug'!$I$2:$I$770,'Billing Aug'!$D$2:$D$770,A519))</f>
        <v/>
      </c>
      <c r="Q519" s="37">
        <f>IF(N519=0,"NO AUG TRANSACTION IN SUPPLIED EXTRACT",IF(ABS(P519)&gt;0.004,"SUBLEDGER ARITHMETIC ERROR",IF(ABS(M519)&gt;0.004,"BILLING VARIANCE","MATCH")))</f>
        <v/>
      </c>
    </row>
    <row r="520">
      <c r="A520" s="37" t="inlineStr">
        <is>
          <t>EW-0305</t>
        </is>
      </c>
      <c r="B520" s="37" t="inlineStr">
        <is>
          <t>Eastwey</t>
        </is>
      </c>
      <c r="C520" s="37" t="inlineStr">
        <is>
          <t>OPEN</t>
        </is>
      </c>
      <c r="D520" s="37" t="inlineStr">
        <is>
          <t>OCCUPIED</t>
        </is>
      </c>
      <c r="E520" s="37" t="inlineStr">
        <is>
          <t>WL-02577</t>
        </is>
      </c>
      <c r="F520" s="37" t="inlineStr">
        <is>
          <t>Aaron Higgins</t>
        </is>
      </c>
      <c r="G520" s="37" t="n">
        <v>40</v>
      </c>
      <c r="H520" s="39" t="n">
        <v>61.9</v>
      </c>
      <c r="I520" s="40">
        <f>ROUNDUP(MAX(G520,H520),0)</f>
        <v/>
      </c>
      <c r="J520" s="41">
        <f>IF(C520="COVERED",'Methodology'!$B$9,'Methodology'!$B$10)</f>
        <v/>
      </c>
      <c r="K520" s="41">
        <f>I520*J520</f>
        <v/>
      </c>
      <c r="L520" s="41">
        <f>SUMIFS('Billing Aug'!$J$2:$J$770,'Billing Aug'!$D$2:$D$770,A520)</f>
        <v/>
      </c>
      <c r="M520" s="41">
        <f>L520-K520</f>
        <v/>
      </c>
      <c r="N520" s="37">
        <f>COUNTIF('Billing Aug'!$D$2:$D$770,A520)</f>
        <v/>
      </c>
      <c r="O520" s="37">
        <f>SUMIFS('Billing Aug'!$F$2:$F$770,'Billing Aug'!$D$2:$D$770,A520)</f>
        <v/>
      </c>
      <c r="P520" s="41">
        <f>IF(N520=0,0,L520-SUMIFS('Billing Aug'!$H$2:$H$770,'Billing Aug'!$D$2:$D$770,A520)*SUMIFS('Billing Aug'!$I$2:$I$770,'Billing Aug'!$D$2:$D$770,A520))</f>
        <v/>
      </c>
      <c r="Q520" s="37">
        <f>IF(N520=0,"NO AUG TRANSACTION IN SUPPLIED EXTRACT",IF(ABS(P520)&gt;0.004,"SUBLEDGER ARITHMETIC ERROR",IF(ABS(M520)&gt;0.004,"BILLING VARIANCE","MATCH")))</f>
        <v/>
      </c>
    </row>
    <row r="521">
      <c r="A521" s="37" t="inlineStr">
        <is>
          <t>EW-0306</t>
        </is>
      </c>
      <c r="B521" s="37" t="inlineStr">
        <is>
          <t>Eastwey</t>
        </is>
      </c>
      <c r="C521" s="37" t="inlineStr">
        <is>
          <t>OPEN</t>
        </is>
      </c>
      <c r="D521" s="37" t="inlineStr">
        <is>
          <t>OCCUPIED</t>
        </is>
      </c>
      <c r="E521" s="37" t="inlineStr">
        <is>
          <t>WL-01860</t>
        </is>
      </c>
      <c r="F521" s="37" t="inlineStr">
        <is>
          <t>Justin Brown</t>
        </is>
      </c>
      <c r="G521" s="37" t="n">
        <v>50</v>
      </c>
      <c r="H521" s="39" t="n">
        <v>21</v>
      </c>
      <c r="I521" s="40">
        <f>ROUNDUP(MAX(G521,H521),0)</f>
        <v/>
      </c>
      <c r="J521" s="41">
        <f>IF(C521="COVERED",'Methodology'!$B$9,'Methodology'!$B$10)</f>
        <v/>
      </c>
      <c r="K521" s="41">
        <f>I521*J521</f>
        <v/>
      </c>
      <c r="L521" s="41">
        <f>SUMIFS('Billing Aug'!$J$2:$J$770,'Billing Aug'!$D$2:$D$770,A521)</f>
        <v/>
      </c>
      <c r="M521" s="41">
        <f>L521-K521</f>
        <v/>
      </c>
      <c r="N521" s="37">
        <f>COUNTIF('Billing Aug'!$D$2:$D$770,A521)</f>
        <v/>
      </c>
      <c r="O521" s="37">
        <f>SUMIFS('Billing Aug'!$F$2:$F$770,'Billing Aug'!$D$2:$D$770,A521)</f>
        <v/>
      </c>
      <c r="P521" s="41">
        <f>IF(N521=0,0,L521-SUMIFS('Billing Aug'!$H$2:$H$770,'Billing Aug'!$D$2:$D$770,A521)*SUMIFS('Billing Aug'!$I$2:$I$770,'Billing Aug'!$D$2:$D$770,A521))</f>
        <v/>
      </c>
      <c r="Q521" s="37">
        <f>IF(N521=0,"NO AUG TRANSACTION IN SUPPLIED EXTRACT",IF(ABS(P521)&gt;0.004,"SUBLEDGER ARITHMETIC ERROR",IF(ABS(M521)&gt;0.004,"BILLING VARIANCE","MATCH")))</f>
        <v/>
      </c>
    </row>
    <row r="522">
      <c r="A522" s="37" t="inlineStr">
        <is>
          <t>EW-0307</t>
        </is>
      </c>
      <c r="B522" s="37" t="inlineStr">
        <is>
          <t>Eastwey</t>
        </is>
      </c>
      <c r="C522" s="37" t="inlineStr">
        <is>
          <t>OPEN</t>
        </is>
      </c>
      <c r="D522" s="37" t="inlineStr">
        <is>
          <t>OCCUPIED</t>
        </is>
      </c>
      <c r="E522" s="37" t="inlineStr">
        <is>
          <t>WL-01183</t>
        </is>
      </c>
      <c r="F522" s="37" t="inlineStr">
        <is>
          <t>Shelley Tucker</t>
        </is>
      </c>
      <c r="G522" s="37" t="n">
        <v>70</v>
      </c>
      <c r="H522" s="39" t="n">
        <v>19.3</v>
      </c>
      <c r="I522" s="40">
        <f>ROUNDUP(MAX(G522,H522),0)</f>
        <v/>
      </c>
      <c r="J522" s="41">
        <f>IF(C522="COVERED",'Methodology'!$B$9,'Methodology'!$B$10)</f>
        <v/>
      </c>
      <c r="K522" s="41">
        <f>I522*J522</f>
        <v/>
      </c>
      <c r="L522" s="41">
        <f>SUMIFS('Billing Aug'!$J$2:$J$770,'Billing Aug'!$D$2:$D$770,A522)</f>
        <v/>
      </c>
      <c r="M522" s="41">
        <f>L522-K522</f>
        <v/>
      </c>
      <c r="N522" s="37">
        <f>COUNTIF('Billing Aug'!$D$2:$D$770,A522)</f>
        <v/>
      </c>
      <c r="O522" s="37">
        <f>SUMIFS('Billing Aug'!$F$2:$F$770,'Billing Aug'!$D$2:$D$770,A522)</f>
        <v/>
      </c>
      <c r="P522" s="41">
        <f>IF(N522=0,0,L522-SUMIFS('Billing Aug'!$H$2:$H$770,'Billing Aug'!$D$2:$D$770,A522)*SUMIFS('Billing Aug'!$I$2:$I$770,'Billing Aug'!$D$2:$D$770,A522))</f>
        <v/>
      </c>
      <c r="Q522" s="37">
        <f>IF(N522=0,"NO AUG TRANSACTION IN SUPPLIED EXTRACT",IF(ABS(P522)&gt;0.004,"SUBLEDGER ARITHMETIC ERROR",IF(ABS(M522)&gt;0.004,"BILLING VARIANCE","MATCH")))</f>
        <v/>
      </c>
    </row>
    <row r="523">
      <c r="A523" s="37" t="inlineStr">
        <is>
          <t>EW-0308</t>
        </is>
      </c>
      <c r="B523" s="37" t="inlineStr">
        <is>
          <t>Eastwey</t>
        </is>
      </c>
      <c r="C523" s="37" t="inlineStr">
        <is>
          <t>OPEN</t>
        </is>
      </c>
      <c r="D523" s="37" t="inlineStr">
        <is>
          <t>OCCUPIED</t>
        </is>
      </c>
      <c r="E523" s="37" t="inlineStr">
        <is>
          <t>WL-02107</t>
        </is>
      </c>
      <c r="F523" s="37" t="inlineStr">
        <is>
          <t>Brittany Baldwin</t>
        </is>
      </c>
      <c r="G523" s="37" t="n">
        <v>28</v>
      </c>
      <c r="H523" s="39" t="n">
        <v>26.7</v>
      </c>
      <c r="I523" s="40">
        <f>ROUNDUP(MAX(G523,H523),0)</f>
        <v/>
      </c>
      <c r="J523" s="41">
        <f>IF(C523="COVERED",'Methodology'!$B$9,'Methodology'!$B$10)</f>
        <v/>
      </c>
      <c r="K523" s="41">
        <f>I523*J523</f>
        <v/>
      </c>
      <c r="L523" s="41">
        <f>SUMIFS('Billing Aug'!$J$2:$J$770,'Billing Aug'!$D$2:$D$770,A523)</f>
        <v/>
      </c>
      <c r="M523" s="41">
        <f>L523-K523</f>
        <v/>
      </c>
      <c r="N523" s="37">
        <f>COUNTIF('Billing Aug'!$D$2:$D$770,A523)</f>
        <v/>
      </c>
      <c r="O523" s="37">
        <f>SUMIFS('Billing Aug'!$F$2:$F$770,'Billing Aug'!$D$2:$D$770,A523)</f>
        <v/>
      </c>
      <c r="P523" s="41">
        <f>IF(N523=0,0,L523-SUMIFS('Billing Aug'!$H$2:$H$770,'Billing Aug'!$D$2:$D$770,A523)*SUMIFS('Billing Aug'!$I$2:$I$770,'Billing Aug'!$D$2:$D$770,A523))</f>
        <v/>
      </c>
      <c r="Q523" s="37">
        <f>IF(N523=0,"NO AUG TRANSACTION IN SUPPLIED EXTRACT",IF(ABS(P523)&gt;0.004,"SUBLEDGER ARITHMETIC ERROR",IF(ABS(M523)&gt;0.004,"BILLING VARIANCE","MATCH")))</f>
        <v/>
      </c>
    </row>
    <row r="524">
      <c r="A524" s="37" t="inlineStr">
        <is>
          <t>EW-0309</t>
        </is>
      </c>
      <c r="B524" s="37" t="inlineStr">
        <is>
          <t>Eastwey</t>
        </is>
      </c>
      <c r="C524" s="37" t="inlineStr">
        <is>
          <t>OPEN</t>
        </is>
      </c>
      <c r="D524" s="37" t="inlineStr">
        <is>
          <t>OCCUPIED</t>
        </is>
      </c>
      <c r="E524" s="37" t="inlineStr">
        <is>
          <t>WL-01963</t>
        </is>
      </c>
      <c r="F524" s="37" t="inlineStr">
        <is>
          <t>Erik Beck</t>
        </is>
      </c>
      <c r="G524" s="37" t="n">
        <v>50</v>
      </c>
      <c r="H524" s="39" t="n">
        <v>43.4</v>
      </c>
      <c r="I524" s="40">
        <f>ROUNDUP(MAX(G524,H524),0)</f>
        <v/>
      </c>
      <c r="J524" s="41">
        <f>IF(C524="COVERED",'Methodology'!$B$9,'Methodology'!$B$10)</f>
        <v/>
      </c>
      <c r="K524" s="41">
        <f>I524*J524</f>
        <v/>
      </c>
      <c r="L524" s="41">
        <f>SUMIFS('Billing Aug'!$J$2:$J$770,'Billing Aug'!$D$2:$D$770,A524)</f>
        <v/>
      </c>
      <c r="M524" s="41">
        <f>L524-K524</f>
        <v/>
      </c>
      <c r="N524" s="37">
        <f>COUNTIF('Billing Aug'!$D$2:$D$770,A524)</f>
        <v/>
      </c>
      <c r="O524" s="37">
        <f>SUMIFS('Billing Aug'!$F$2:$F$770,'Billing Aug'!$D$2:$D$770,A524)</f>
        <v/>
      </c>
      <c r="P524" s="41">
        <f>IF(N524=0,0,L524-SUMIFS('Billing Aug'!$H$2:$H$770,'Billing Aug'!$D$2:$D$770,A524)*SUMIFS('Billing Aug'!$I$2:$I$770,'Billing Aug'!$D$2:$D$770,A524))</f>
        <v/>
      </c>
      <c r="Q524" s="37">
        <f>IF(N524=0,"NO AUG TRANSACTION IN SUPPLIED EXTRACT",IF(ABS(P524)&gt;0.004,"SUBLEDGER ARITHMETIC ERROR",IF(ABS(M524)&gt;0.004,"BILLING VARIANCE","MATCH")))</f>
        <v/>
      </c>
    </row>
    <row r="525">
      <c r="A525" s="37" t="inlineStr">
        <is>
          <t>EW-0311</t>
        </is>
      </c>
      <c r="B525" s="37" t="inlineStr">
        <is>
          <t>Eastwey</t>
        </is>
      </c>
      <c r="C525" s="37" t="inlineStr">
        <is>
          <t>OPEN</t>
        </is>
      </c>
      <c r="D525" s="37" t="inlineStr">
        <is>
          <t>OCCUPIED</t>
        </is>
      </c>
      <c r="E525" s="37" t="inlineStr">
        <is>
          <t>WL-02248</t>
        </is>
      </c>
      <c r="F525" s="37" t="inlineStr">
        <is>
          <t>Devon Griffin</t>
        </is>
      </c>
      <c r="G525" s="37" t="n">
        <v>32</v>
      </c>
      <c r="H525" s="39" t="n">
        <v>22.3</v>
      </c>
      <c r="I525" s="40">
        <f>ROUNDUP(MAX(G525,H525),0)</f>
        <v/>
      </c>
      <c r="J525" s="41">
        <f>IF(C525="COVERED",'Methodology'!$B$9,'Methodology'!$B$10)</f>
        <v/>
      </c>
      <c r="K525" s="41">
        <f>I525*J525</f>
        <v/>
      </c>
      <c r="L525" s="41">
        <f>SUMIFS('Billing Aug'!$J$2:$J$770,'Billing Aug'!$D$2:$D$770,A525)</f>
        <v/>
      </c>
      <c r="M525" s="41">
        <f>L525-K525</f>
        <v/>
      </c>
      <c r="N525" s="37">
        <f>COUNTIF('Billing Aug'!$D$2:$D$770,A525)</f>
        <v/>
      </c>
      <c r="O525" s="37">
        <f>SUMIFS('Billing Aug'!$F$2:$F$770,'Billing Aug'!$D$2:$D$770,A525)</f>
        <v/>
      </c>
      <c r="P525" s="41">
        <f>IF(N525=0,0,L525-SUMIFS('Billing Aug'!$H$2:$H$770,'Billing Aug'!$D$2:$D$770,A525)*SUMIFS('Billing Aug'!$I$2:$I$770,'Billing Aug'!$D$2:$D$770,A525))</f>
        <v/>
      </c>
      <c r="Q525" s="37">
        <f>IF(N525=0,"NO AUG TRANSACTION IN SUPPLIED EXTRACT",IF(ABS(P525)&gt;0.004,"SUBLEDGER ARITHMETIC ERROR",IF(ABS(M525)&gt;0.004,"BILLING VARIANCE","MATCH")))</f>
        <v/>
      </c>
    </row>
    <row r="526">
      <c r="A526" s="37" t="inlineStr">
        <is>
          <t>EW-0312</t>
        </is>
      </c>
      <c r="B526" s="37" t="inlineStr">
        <is>
          <t>Eastwey</t>
        </is>
      </c>
      <c r="C526" s="37" t="inlineStr">
        <is>
          <t>OPEN</t>
        </is>
      </c>
      <c r="D526" s="37" t="inlineStr">
        <is>
          <t>OCCUPIED</t>
        </is>
      </c>
      <c r="E526" s="37" t="inlineStr">
        <is>
          <t>WL-03809</t>
        </is>
      </c>
      <c r="F526" s="37" t="inlineStr">
        <is>
          <t>Richard Mcguire</t>
        </is>
      </c>
      <c r="G526" s="37" t="n">
        <v>28</v>
      </c>
      <c r="H526" s="39" t="n">
        <v>30.1</v>
      </c>
      <c r="I526" s="40">
        <f>ROUNDUP(MAX(G526,H526),0)</f>
        <v/>
      </c>
      <c r="J526" s="41">
        <f>IF(C526="COVERED",'Methodology'!$B$9,'Methodology'!$B$10)</f>
        <v/>
      </c>
      <c r="K526" s="41">
        <f>I526*J526</f>
        <v/>
      </c>
      <c r="L526" s="41">
        <f>SUMIFS('Billing Aug'!$J$2:$J$770,'Billing Aug'!$D$2:$D$770,A526)</f>
        <v/>
      </c>
      <c r="M526" s="41">
        <f>L526-K526</f>
        <v/>
      </c>
      <c r="N526" s="37">
        <f>COUNTIF('Billing Aug'!$D$2:$D$770,A526)</f>
        <v/>
      </c>
      <c r="O526" s="37">
        <f>SUMIFS('Billing Aug'!$F$2:$F$770,'Billing Aug'!$D$2:$D$770,A526)</f>
        <v/>
      </c>
      <c r="P526" s="41">
        <f>IF(N526=0,0,L526-SUMIFS('Billing Aug'!$H$2:$H$770,'Billing Aug'!$D$2:$D$770,A526)*SUMIFS('Billing Aug'!$I$2:$I$770,'Billing Aug'!$D$2:$D$770,A526))</f>
        <v/>
      </c>
      <c r="Q526" s="37">
        <f>IF(N526=0,"NO AUG TRANSACTION IN SUPPLIED EXTRACT",IF(ABS(P526)&gt;0.004,"SUBLEDGER ARITHMETIC ERROR",IF(ABS(M526)&gt;0.004,"BILLING VARIANCE","MATCH")))</f>
        <v/>
      </c>
    </row>
    <row r="527">
      <c r="A527" s="37" t="inlineStr">
        <is>
          <t>EW-0313</t>
        </is>
      </c>
      <c r="B527" s="37" t="inlineStr">
        <is>
          <t>Eastwey</t>
        </is>
      </c>
      <c r="C527" s="37" t="inlineStr">
        <is>
          <t>OPEN</t>
        </is>
      </c>
      <c r="D527" s="37" t="inlineStr">
        <is>
          <t>OCCUPIED</t>
        </is>
      </c>
      <c r="E527" s="37" t="inlineStr">
        <is>
          <t>WL-01429</t>
        </is>
      </c>
      <c r="F527" s="37" t="inlineStr">
        <is>
          <t>Teresa Evans</t>
        </is>
      </c>
      <c r="G527" s="37" t="n">
        <v>50</v>
      </c>
      <c r="H527" s="39" t="n">
        <v>21.8</v>
      </c>
      <c r="I527" s="40">
        <f>ROUNDUP(MAX(G527,H527),0)</f>
        <v/>
      </c>
      <c r="J527" s="41">
        <f>IF(C527="COVERED",'Methodology'!$B$9,'Methodology'!$B$10)</f>
        <v/>
      </c>
      <c r="K527" s="41">
        <f>I527*J527</f>
        <v/>
      </c>
      <c r="L527" s="41">
        <f>SUMIFS('Billing Aug'!$J$2:$J$770,'Billing Aug'!$D$2:$D$770,A527)</f>
        <v/>
      </c>
      <c r="M527" s="41">
        <f>L527-K527</f>
        <v/>
      </c>
      <c r="N527" s="37">
        <f>COUNTIF('Billing Aug'!$D$2:$D$770,A527)</f>
        <v/>
      </c>
      <c r="O527" s="37">
        <f>SUMIFS('Billing Aug'!$F$2:$F$770,'Billing Aug'!$D$2:$D$770,A527)</f>
        <v/>
      </c>
      <c r="P527" s="41">
        <f>IF(N527=0,0,L527-SUMIFS('Billing Aug'!$H$2:$H$770,'Billing Aug'!$D$2:$D$770,A527)*SUMIFS('Billing Aug'!$I$2:$I$770,'Billing Aug'!$D$2:$D$770,A527))</f>
        <v/>
      </c>
      <c r="Q527" s="37">
        <f>IF(N527=0,"NO AUG TRANSACTION IN SUPPLIED EXTRACT",IF(ABS(P527)&gt;0.004,"SUBLEDGER ARITHMETIC ERROR",IF(ABS(M527)&gt;0.004,"BILLING VARIANCE","MATCH")))</f>
        <v/>
      </c>
    </row>
    <row r="528">
      <c r="A528" s="37" t="inlineStr">
        <is>
          <t>EW-0314</t>
        </is>
      </c>
      <c r="B528" s="37" t="inlineStr">
        <is>
          <t>Eastwey</t>
        </is>
      </c>
      <c r="C528" s="37" t="inlineStr">
        <is>
          <t>OPEN</t>
        </is>
      </c>
      <c r="D528" s="37" t="inlineStr">
        <is>
          <t>OCCUPIED</t>
        </is>
      </c>
      <c r="E528" s="37" t="inlineStr">
        <is>
          <t>WL-01716</t>
        </is>
      </c>
      <c r="F528" s="37" t="inlineStr">
        <is>
          <t>Christina Olsen</t>
        </is>
      </c>
      <c r="G528" s="37" t="n">
        <v>32</v>
      </c>
      <c r="H528" s="39" t="n">
        <v>32.5</v>
      </c>
      <c r="I528" s="40">
        <f>ROUNDUP(MAX(G528,H528),0)</f>
        <v/>
      </c>
      <c r="J528" s="41">
        <f>IF(C528="COVERED",'Methodology'!$B$9,'Methodology'!$B$10)</f>
        <v/>
      </c>
      <c r="K528" s="41">
        <f>I528*J528</f>
        <v/>
      </c>
      <c r="L528" s="41">
        <f>SUMIFS('Billing Aug'!$J$2:$J$770,'Billing Aug'!$D$2:$D$770,A528)</f>
        <v/>
      </c>
      <c r="M528" s="41">
        <f>L528-K528</f>
        <v/>
      </c>
      <c r="N528" s="37">
        <f>COUNTIF('Billing Aug'!$D$2:$D$770,A528)</f>
        <v/>
      </c>
      <c r="O528" s="37">
        <f>SUMIFS('Billing Aug'!$F$2:$F$770,'Billing Aug'!$D$2:$D$770,A528)</f>
        <v/>
      </c>
      <c r="P528" s="41">
        <f>IF(N528=0,0,L528-SUMIFS('Billing Aug'!$H$2:$H$770,'Billing Aug'!$D$2:$D$770,A528)*SUMIFS('Billing Aug'!$I$2:$I$770,'Billing Aug'!$D$2:$D$770,A528))</f>
        <v/>
      </c>
      <c r="Q528" s="37">
        <f>IF(N528=0,"NO AUG TRANSACTION IN SUPPLIED EXTRACT",IF(ABS(P528)&gt;0.004,"SUBLEDGER ARITHMETIC ERROR",IF(ABS(M528)&gt;0.004,"BILLING VARIANCE","MATCH")))</f>
        <v/>
      </c>
    </row>
    <row r="529">
      <c r="A529" s="37" t="inlineStr">
        <is>
          <t>EW-0315</t>
        </is>
      </c>
      <c r="B529" s="37" t="inlineStr">
        <is>
          <t>Eastwey</t>
        </is>
      </c>
      <c r="C529" s="37" t="inlineStr">
        <is>
          <t>OPEN</t>
        </is>
      </c>
      <c r="D529" s="37" t="inlineStr">
        <is>
          <t>OCCUPIED</t>
        </is>
      </c>
      <c r="E529" s="37" t="inlineStr">
        <is>
          <t>WL-01385</t>
        </is>
      </c>
      <c r="F529" s="37" t="inlineStr">
        <is>
          <t>Amanda Morrison</t>
        </is>
      </c>
      <c r="G529" s="37" t="n">
        <v>24</v>
      </c>
      <c r="H529" s="39" t="n">
        <v>43.2</v>
      </c>
      <c r="I529" s="40">
        <f>ROUNDUP(MAX(G529,H529),0)</f>
        <v/>
      </c>
      <c r="J529" s="41">
        <f>IF(C529="COVERED",'Methodology'!$B$9,'Methodology'!$B$10)</f>
        <v/>
      </c>
      <c r="K529" s="41">
        <f>I529*J529</f>
        <v/>
      </c>
      <c r="L529" s="41">
        <f>SUMIFS('Billing Aug'!$J$2:$J$770,'Billing Aug'!$D$2:$D$770,A529)</f>
        <v/>
      </c>
      <c r="M529" s="41">
        <f>L529-K529</f>
        <v/>
      </c>
      <c r="N529" s="37">
        <f>COUNTIF('Billing Aug'!$D$2:$D$770,A529)</f>
        <v/>
      </c>
      <c r="O529" s="37">
        <f>SUMIFS('Billing Aug'!$F$2:$F$770,'Billing Aug'!$D$2:$D$770,A529)</f>
        <v/>
      </c>
      <c r="P529" s="41">
        <f>IF(N529=0,0,L529-SUMIFS('Billing Aug'!$H$2:$H$770,'Billing Aug'!$D$2:$D$770,A529)*SUMIFS('Billing Aug'!$I$2:$I$770,'Billing Aug'!$D$2:$D$770,A529))</f>
        <v/>
      </c>
      <c r="Q529" s="37">
        <f>IF(N529=0,"NO AUG TRANSACTION IN SUPPLIED EXTRACT",IF(ABS(P529)&gt;0.004,"SUBLEDGER ARITHMETIC ERROR",IF(ABS(M529)&gt;0.004,"BILLING VARIANCE","MATCH")))</f>
        <v/>
      </c>
    </row>
    <row r="530">
      <c r="A530" s="37" t="inlineStr">
        <is>
          <t>EW-0316</t>
        </is>
      </c>
      <c r="B530" s="37" t="inlineStr">
        <is>
          <t>Eastwey</t>
        </is>
      </c>
      <c r="C530" s="37" t="inlineStr">
        <is>
          <t>OPEN</t>
        </is>
      </c>
      <c r="D530" s="37" t="inlineStr">
        <is>
          <t>OCCUPIED</t>
        </is>
      </c>
      <c r="E530" s="37" t="inlineStr">
        <is>
          <t>WL-02940</t>
        </is>
      </c>
      <c r="F530" s="37" t="inlineStr">
        <is>
          <t>Leah Carter</t>
        </is>
      </c>
      <c r="G530" s="37" t="n">
        <v>36</v>
      </c>
      <c r="H530" s="39" t="n">
        <v>60.1</v>
      </c>
      <c r="I530" s="40">
        <f>ROUNDUP(MAX(G530,H530),0)</f>
        <v/>
      </c>
      <c r="J530" s="41">
        <f>IF(C530="COVERED",'Methodology'!$B$9,'Methodology'!$B$10)</f>
        <v/>
      </c>
      <c r="K530" s="41">
        <f>I530*J530</f>
        <v/>
      </c>
      <c r="L530" s="41">
        <f>SUMIFS('Billing Aug'!$J$2:$J$770,'Billing Aug'!$D$2:$D$770,A530)</f>
        <v/>
      </c>
      <c r="M530" s="41">
        <f>L530-K530</f>
        <v/>
      </c>
      <c r="N530" s="37">
        <f>COUNTIF('Billing Aug'!$D$2:$D$770,A530)</f>
        <v/>
      </c>
      <c r="O530" s="37">
        <f>SUMIFS('Billing Aug'!$F$2:$F$770,'Billing Aug'!$D$2:$D$770,A530)</f>
        <v/>
      </c>
      <c r="P530" s="41">
        <f>IF(N530=0,0,L530-SUMIFS('Billing Aug'!$H$2:$H$770,'Billing Aug'!$D$2:$D$770,A530)*SUMIFS('Billing Aug'!$I$2:$I$770,'Billing Aug'!$D$2:$D$770,A530))</f>
        <v/>
      </c>
      <c r="Q530" s="37">
        <f>IF(N530=0,"NO AUG TRANSACTION IN SUPPLIED EXTRACT",IF(ABS(P530)&gt;0.004,"SUBLEDGER ARITHMETIC ERROR",IF(ABS(M530)&gt;0.004,"BILLING VARIANCE","MATCH")))</f>
        <v/>
      </c>
    </row>
    <row r="531">
      <c r="A531" s="37" t="inlineStr">
        <is>
          <t>EW-0317</t>
        </is>
      </c>
      <c r="B531" s="37" t="inlineStr">
        <is>
          <t>Eastwey</t>
        </is>
      </c>
      <c r="C531" s="37" t="inlineStr">
        <is>
          <t>OPEN</t>
        </is>
      </c>
      <c r="D531" s="37" t="inlineStr">
        <is>
          <t>OCCUPIED</t>
        </is>
      </c>
      <c r="E531" s="37" t="inlineStr">
        <is>
          <t>WL-02017</t>
        </is>
      </c>
      <c r="F531" s="37" t="inlineStr">
        <is>
          <t>Gary Horton</t>
        </is>
      </c>
      <c r="G531" s="37" t="n">
        <v>36</v>
      </c>
      <c r="H531" s="39" t="n">
        <v>44.2</v>
      </c>
      <c r="I531" s="40">
        <f>ROUNDUP(MAX(G531,H531),0)</f>
        <v/>
      </c>
      <c r="J531" s="41">
        <f>IF(C531="COVERED",'Methodology'!$B$9,'Methodology'!$B$10)</f>
        <v/>
      </c>
      <c r="K531" s="41">
        <f>I531*J531</f>
        <v/>
      </c>
      <c r="L531" s="41">
        <f>SUMIFS('Billing Aug'!$J$2:$J$770,'Billing Aug'!$D$2:$D$770,A531)</f>
        <v/>
      </c>
      <c r="M531" s="41">
        <f>L531-K531</f>
        <v/>
      </c>
      <c r="N531" s="37">
        <f>COUNTIF('Billing Aug'!$D$2:$D$770,A531)</f>
        <v/>
      </c>
      <c r="O531" s="37">
        <f>SUMIFS('Billing Aug'!$F$2:$F$770,'Billing Aug'!$D$2:$D$770,A531)</f>
        <v/>
      </c>
      <c r="P531" s="41">
        <f>IF(N531=0,0,L531-SUMIFS('Billing Aug'!$H$2:$H$770,'Billing Aug'!$D$2:$D$770,A531)*SUMIFS('Billing Aug'!$I$2:$I$770,'Billing Aug'!$D$2:$D$770,A531))</f>
        <v/>
      </c>
      <c r="Q531" s="37">
        <f>IF(N531=0,"NO AUG TRANSACTION IN SUPPLIED EXTRACT",IF(ABS(P531)&gt;0.004,"SUBLEDGER ARITHMETIC ERROR",IF(ABS(M531)&gt;0.004,"BILLING VARIANCE","MATCH")))</f>
        <v/>
      </c>
    </row>
    <row r="532">
      <c r="A532" s="37" t="inlineStr">
        <is>
          <t>EW-0318</t>
        </is>
      </c>
      <c r="B532" s="37" t="inlineStr">
        <is>
          <t>Eastwey</t>
        </is>
      </c>
      <c r="C532" s="37" t="inlineStr">
        <is>
          <t>OPEN</t>
        </is>
      </c>
      <c r="D532" s="37" t="inlineStr">
        <is>
          <t>OCCUPIED</t>
        </is>
      </c>
      <c r="E532" s="37" t="inlineStr">
        <is>
          <t>WL-03162</t>
        </is>
      </c>
      <c r="F532" s="37" t="inlineStr">
        <is>
          <t>Sarah Edwards</t>
        </is>
      </c>
      <c r="G532" s="37" t="n">
        <v>32</v>
      </c>
      <c r="H532" s="39" t="n">
        <v>37</v>
      </c>
      <c r="I532" s="40">
        <f>ROUNDUP(MAX(G532,H532),0)</f>
        <v/>
      </c>
      <c r="J532" s="41">
        <f>IF(C532="COVERED",'Methodology'!$B$9,'Methodology'!$B$10)</f>
        <v/>
      </c>
      <c r="K532" s="41">
        <f>I532*J532</f>
        <v/>
      </c>
      <c r="L532" s="41">
        <f>SUMIFS('Billing Aug'!$J$2:$J$770,'Billing Aug'!$D$2:$D$770,A532)</f>
        <v/>
      </c>
      <c r="M532" s="41">
        <f>L532-K532</f>
        <v/>
      </c>
      <c r="N532" s="37">
        <f>COUNTIF('Billing Aug'!$D$2:$D$770,A532)</f>
        <v/>
      </c>
      <c r="O532" s="37">
        <f>SUMIFS('Billing Aug'!$F$2:$F$770,'Billing Aug'!$D$2:$D$770,A532)</f>
        <v/>
      </c>
      <c r="P532" s="41">
        <f>IF(N532=0,0,L532-SUMIFS('Billing Aug'!$H$2:$H$770,'Billing Aug'!$D$2:$D$770,A532)*SUMIFS('Billing Aug'!$I$2:$I$770,'Billing Aug'!$D$2:$D$770,A532))</f>
        <v/>
      </c>
      <c r="Q532" s="37">
        <f>IF(N532=0,"NO AUG TRANSACTION IN SUPPLIED EXTRACT",IF(ABS(P532)&gt;0.004,"SUBLEDGER ARITHMETIC ERROR",IF(ABS(M532)&gt;0.004,"BILLING VARIANCE","MATCH")))</f>
        <v/>
      </c>
    </row>
    <row r="533">
      <c r="A533" s="37" t="inlineStr">
        <is>
          <t>EW-0319</t>
        </is>
      </c>
      <c r="B533" s="37" t="inlineStr">
        <is>
          <t>Eastwey</t>
        </is>
      </c>
      <c r="C533" s="37" t="inlineStr">
        <is>
          <t>OPEN</t>
        </is>
      </c>
      <c r="D533" s="37" t="inlineStr">
        <is>
          <t>OCCUPIED</t>
        </is>
      </c>
      <c r="E533" s="37" t="inlineStr">
        <is>
          <t>WL-02697</t>
        </is>
      </c>
      <c r="F533" s="37" t="inlineStr">
        <is>
          <t>Wendy Green</t>
        </is>
      </c>
      <c r="G533" s="37" t="n">
        <v>70</v>
      </c>
      <c r="H533" s="39" t="n">
        <v>56.8</v>
      </c>
      <c r="I533" s="40">
        <f>ROUNDUP(MAX(G533,H533),0)</f>
        <v/>
      </c>
      <c r="J533" s="41">
        <f>IF(C533="COVERED",'Methodology'!$B$9,'Methodology'!$B$10)</f>
        <v/>
      </c>
      <c r="K533" s="41">
        <f>I533*J533</f>
        <v/>
      </c>
      <c r="L533" s="41">
        <f>SUMIFS('Billing Aug'!$J$2:$J$770,'Billing Aug'!$D$2:$D$770,A533)</f>
        <v/>
      </c>
      <c r="M533" s="41">
        <f>L533-K533</f>
        <v/>
      </c>
      <c r="N533" s="37">
        <f>COUNTIF('Billing Aug'!$D$2:$D$770,A533)</f>
        <v/>
      </c>
      <c r="O533" s="37">
        <f>SUMIFS('Billing Aug'!$F$2:$F$770,'Billing Aug'!$D$2:$D$770,A533)</f>
        <v/>
      </c>
      <c r="P533" s="41">
        <f>IF(N533=0,0,L533-SUMIFS('Billing Aug'!$H$2:$H$770,'Billing Aug'!$D$2:$D$770,A533)*SUMIFS('Billing Aug'!$I$2:$I$770,'Billing Aug'!$D$2:$D$770,A533))</f>
        <v/>
      </c>
      <c r="Q533" s="37">
        <f>IF(N533=0,"NO AUG TRANSACTION IN SUPPLIED EXTRACT",IF(ABS(P533)&gt;0.004,"SUBLEDGER ARITHMETIC ERROR",IF(ABS(M533)&gt;0.004,"BILLING VARIANCE","MATCH")))</f>
        <v/>
      </c>
    </row>
    <row r="534">
      <c r="A534" s="37" t="inlineStr">
        <is>
          <t>EW-0321</t>
        </is>
      </c>
      <c r="B534" s="37" t="inlineStr">
        <is>
          <t>Eastwey</t>
        </is>
      </c>
      <c r="C534" s="37" t="inlineStr">
        <is>
          <t>OPEN</t>
        </is>
      </c>
      <c r="D534" s="37" t="inlineStr">
        <is>
          <t>OCCUPIED</t>
        </is>
      </c>
      <c r="E534" s="37" t="inlineStr">
        <is>
          <t>WL-02660</t>
        </is>
      </c>
      <c r="F534" s="37" t="inlineStr">
        <is>
          <t>Bridget Moore</t>
        </is>
      </c>
      <c r="G534" s="37" t="n">
        <v>70</v>
      </c>
      <c r="H534" s="39" t="n">
        <v>18.7</v>
      </c>
      <c r="I534" s="40">
        <f>ROUNDUP(MAX(G534,H534),0)</f>
        <v/>
      </c>
      <c r="J534" s="41">
        <f>IF(C534="COVERED",'Methodology'!$B$9,'Methodology'!$B$10)</f>
        <v/>
      </c>
      <c r="K534" s="41">
        <f>I534*J534</f>
        <v/>
      </c>
      <c r="L534" s="41">
        <f>SUMIFS('Billing Aug'!$J$2:$J$770,'Billing Aug'!$D$2:$D$770,A534)</f>
        <v/>
      </c>
      <c r="M534" s="41">
        <f>L534-K534</f>
        <v/>
      </c>
      <c r="N534" s="37">
        <f>COUNTIF('Billing Aug'!$D$2:$D$770,A534)</f>
        <v/>
      </c>
      <c r="O534" s="37">
        <f>SUMIFS('Billing Aug'!$F$2:$F$770,'Billing Aug'!$D$2:$D$770,A534)</f>
        <v/>
      </c>
      <c r="P534" s="41">
        <f>IF(N534=0,0,L534-SUMIFS('Billing Aug'!$H$2:$H$770,'Billing Aug'!$D$2:$D$770,A534)*SUMIFS('Billing Aug'!$I$2:$I$770,'Billing Aug'!$D$2:$D$770,A534))</f>
        <v/>
      </c>
      <c r="Q534" s="37">
        <f>IF(N534=0,"NO AUG TRANSACTION IN SUPPLIED EXTRACT",IF(ABS(P534)&gt;0.004,"SUBLEDGER ARITHMETIC ERROR",IF(ABS(M534)&gt;0.004,"BILLING VARIANCE","MATCH")))</f>
        <v/>
      </c>
    </row>
    <row r="535">
      <c r="A535" s="37" t="inlineStr">
        <is>
          <t>EW-0322</t>
        </is>
      </c>
      <c r="B535" s="37" t="inlineStr">
        <is>
          <t>Eastwey</t>
        </is>
      </c>
      <c r="C535" s="37" t="inlineStr">
        <is>
          <t>OPEN</t>
        </is>
      </c>
      <c r="D535" s="37" t="inlineStr">
        <is>
          <t>OCCUPIED</t>
        </is>
      </c>
      <c r="E535" s="37" t="inlineStr">
        <is>
          <t>WL-02010</t>
        </is>
      </c>
      <c r="F535" s="37" t="inlineStr">
        <is>
          <t>Anthony Thompson</t>
        </is>
      </c>
      <c r="G535" s="37" t="n">
        <v>28</v>
      </c>
      <c r="H535" s="39" t="n">
        <v>56.7</v>
      </c>
      <c r="I535" s="40">
        <f>ROUNDUP(MAX(G535,H535),0)</f>
        <v/>
      </c>
      <c r="J535" s="41">
        <f>IF(C535="COVERED",'Methodology'!$B$9,'Methodology'!$B$10)</f>
        <v/>
      </c>
      <c r="K535" s="41">
        <f>I535*J535</f>
        <v/>
      </c>
      <c r="L535" s="41">
        <f>SUMIFS('Billing Aug'!$J$2:$J$770,'Billing Aug'!$D$2:$D$770,A535)</f>
        <v/>
      </c>
      <c r="M535" s="41">
        <f>L535-K535</f>
        <v/>
      </c>
      <c r="N535" s="37">
        <f>COUNTIF('Billing Aug'!$D$2:$D$770,A535)</f>
        <v/>
      </c>
      <c r="O535" s="37">
        <f>SUMIFS('Billing Aug'!$F$2:$F$770,'Billing Aug'!$D$2:$D$770,A535)</f>
        <v/>
      </c>
      <c r="P535" s="41">
        <f>IF(N535=0,0,L535-SUMIFS('Billing Aug'!$H$2:$H$770,'Billing Aug'!$D$2:$D$770,A535)*SUMIFS('Billing Aug'!$I$2:$I$770,'Billing Aug'!$D$2:$D$770,A535))</f>
        <v/>
      </c>
      <c r="Q535" s="37">
        <f>IF(N535=0,"NO AUG TRANSACTION IN SUPPLIED EXTRACT",IF(ABS(P535)&gt;0.004,"SUBLEDGER ARITHMETIC ERROR",IF(ABS(M535)&gt;0.004,"BILLING VARIANCE","MATCH")))</f>
        <v/>
      </c>
    </row>
    <row r="536">
      <c r="A536" s="37" t="inlineStr">
        <is>
          <t>EW-0323</t>
        </is>
      </c>
      <c r="B536" s="37" t="inlineStr">
        <is>
          <t>Eastwey</t>
        </is>
      </c>
      <c r="C536" s="37" t="inlineStr">
        <is>
          <t>OPEN</t>
        </is>
      </c>
      <c r="D536" s="37" t="inlineStr">
        <is>
          <t>OCCUPIED</t>
        </is>
      </c>
      <c r="E536" s="37" t="inlineStr">
        <is>
          <t>WL-02685</t>
        </is>
      </c>
      <c r="F536" s="37" t="inlineStr">
        <is>
          <t>Stephanie Hill</t>
        </is>
      </c>
      <c r="G536" s="37" t="n">
        <v>36</v>
      </c>
      <c r="H536" s="39" t="n">
        <v>50.2</v>
      </c>
      <c r="I536" s="40">
        <f>ROUNDUP(MAX(G536,H536),0)</f>
        <v/>
      </c>
      <c r="J536" s="41">
        <f>IF(C536="COVERED",'Methodology'!$B$9,'Methodology'!$B$10)</f>
        <v/>
      </c>
      <c r="K536" s="41">
        <f>I536*J536</f>
        <v/>
      </c>
      <c r="L536" s="41">
        <f>SUMIFS('Billing Aug'!$J$2:$J$770,'Billing Aug'!$D$2:$D$770,A536)</f>
        <v/>
      </c>
      <c r="M536" s="41">
        <f>L536-K536</f>
        <v/>
      </c>
      <c r="N536" s="37">
        <f>COUNTIF('Billing Aug'!$D$2:$D$770,A536)</f>
        <v/>
      </c>
      <c r="O536" s="37">
        <f>SUMIFS('Billing Aug'!$F$2:$F$770,'Billing Aug'!$D$2:$D$770,A536)</f>
        <v/>
      </c>
      <c r="P536" s="41">
        <f>IF(N536=0,0,L536-SUMIFS('Billing Aug'!$H$2:$H$770,'Billing Aug'!$D$2:$D$770,A536)*SUMIFS('Billing Aug'!$I$2:$I$770,'Billing Aug'!$D$2:$D$770,A536))</f>
        <v/>
      </c>
      <c r="Q536" s="37">
        <f>IF(N536=0,"NO AUG TRANSACTION IN SUPPLIED EXTRACT",IF(ABS(P536)&gt;0.004,"SUBLEDGER ARITHMETIC ERROR",IF(ABS(M536)&gt;0.004,"BILLING VARIANCE","MATCH")))</f>
        <v/>
      </c>
    </row>
    <row r="537">
      <c r="A537" s="37" t="inlineStr">
        <is>
          <t>EW-0324</t>
        </is>
      </c>
      <c r="B537" s="37" t="inlineStr">
        <is>
          <t>Eastwey</t>
        </is>
      </c>
      <c r="C537" s="37" t="inlineStr">
        <is>
          <t>OPEN</t>
        </is>
      </c>
      <c r="D537" s="37" t="inlineStr">
        <is>
          <t>OCCUPIED</t>
        </is>
      </c>
      <c r="E537" s="37" t="inlineStr">
        <is>
          <t>WL-02459</t>
        </is>
      </c>
      <c r="F537" s="37" t="inlineStr">
        <is>
          <t>Kimberly Smith</t>
        </is>
      </c>
      <c r="G537" s="37" t="n">
        <v>80</v>
      </c>
      <c r="H537" s="39" t="n">
        <v>19.3</v>
      </c>
      <c r="I537" s="40">
        <f>ROUNDUP(MAX(G537,H537),0)</f>
        <v/>
      </c>
      <c r="J537" s="41">
        <f>IF(C537="COVERED",'Methodology'!$B$9,'Methodology'!$B$10)</f>
        <v/>
      </c>
      <c r="K537" s="41">
        <f>I537*J537</f>
        <v/>
      </c>
      <c r="L537" s="41">
        <f>SUMIFS('Billing Aug'!$J$2:$J$770,'Billing Aug'!$D$2:$D$770,A537)</f>
        <v/>
      </c>
      <c r="M537" s="41">
        <f>L537-K537</f>
        <v/>
      </c>
      <c r="N537" s="37">
        <f>COUNTIF('Billing Aug'!$D$2:$D$770,A537)</f>
        <v/>
      </c>
      <c r="O537" s="37">
        <f>SUMIFS('Billing Aug'!$F$2:$F$770,'Billing Aug'!$D$2:$D$770,A537)</f>
        <v/>
      </c>
      <c r="P537" s="41">
        <f>IF(N537=0,0,L537-SUMIFS('Billing Aug'!$H$2:$H$770,'Billing Aug'!$D$2:$D$770,A537)*SUMIFS('Billing Aug'!$I$2:$I$770,'Billing Aug'!$D$2:$D$770,A537))</f>
        <v/>
      </c>
      <c r="Q537" s="37">
        <f>IF(N537=0,"NO AUG TRANSACTION IN SUPPLIED EXTRACT",IF(ABS(P537)&gt;0.004,"SUBLEDGER ARITHMETIC ERROR",IF(ABS(M537)&gt;0.004,"BILLING VARIANCE","MATCH")))</f>
        <v/>
      </c>
    </row>
    <row r="538">
      <c r="A538" s="37" t="inlineStr">
        <is>
          <t>EW-0401</t>
        </is>
      </c>
      <c r="B538" s="37" t="inlineStr">
        <is>
          <t>Eastwey</t>
        </is>
      </c>
      <c r="C538" s="37" t="inlineStr">
        <is>
          <t>OPEN</t>
        </is>
      </c>
      <c r="D538" s="37" t="inlineStr">
        <is>
          <t>OCCUPIED</t>
        </is>
      </c>
      <c r="E538" s="37" t="inlineStr">
        <is>
          <t>WL-02377</t>
        </is>
      </c>
      <c r="F538" s="37" t="inlineStr">
        <is>
          <t>Tammy Patterson</t>
        </is>
      </c>
      <c r="G538" s="37" t="n">
        <v>28</v>
      </c>
      <c r="H538" s="39" t="n">
        <v>50.5</v>
      </c>
      <c r="I538" s="40">
        <f>ROUNDUP(MAX(G538,H538),0)</f>
        <v/>
      </c>
      <c r="J538" s="41">
        <f>IF(C538="COVERED",'Methodology'!$B$9,'Methodology'!$B$10)</f>
        <v/>
      </c>
      <c r="K538" s="41">
        <f>I538*J538</f>
        <v/>
      </c>
      <c r="L538" s="41">
        <f>SUMIFS('Billing Aug'!$J$2:$J$770,'Billing Aug'!$D$2:$D$770,A538)</f>
        <v/>
      </c>
      <c r="M538" s="41">
        <f>L538-K538</f>
        <v/>
      </c>
      <c r="N538" s="37">
        <f>COUNTIF('Billing Aug'!$D$2:$D$770,A538)</f>
        <v/>
      </c>
      <c r="O538" s="37">
        <f>SUMIFS('Billing Aug'!$F$2:$F$770,'Billing Aug'!$D$2:$D$770,A538)</f>
        <v/>
      </c>
      <c r="P538" s="41">
        <f>IF(N538=0,0,L538-SUMIFS('Billing Aug'!$H$2:$H$770,'Billing Aug'!$D$2:$D$770,A538)*SUMIFS('Billing Aug'!$I$2:$I$770,'Billing Aug'!$D$2:$D$770,A538))</f>
        <v/>
      </c>
      <c r="Q538" s="37">
        <f>IF(N538=0,"NO AUG TRANSACTION IN SUPPLIED EXTRACT",IF(ABS(P538)&gt;0.004,"SUBLEDGER ARITHMETIC ERROR",IF(ABS(M538)&gt;0.004,"BILLING VARIANCE","MATCH")))</f>
        <v/>
      </c>
    </row>
    <row r="539">
      <c r="A539" s="37" t="inlineStr">
        <is>
          <t>EW-0402</t>
        </is>
      </c>
      <c r="B539" s="37" t="inlineStr">
        <is>
          <t>Eastwey</t>
        </is>
      </c>
      <c r="C539" s="37" t="inlineStr">
        <is>
          <t>OPEN</t>
        </is>
      </c>
      <c r="D539" s="37" t="inlineStr">
        <is>
          <t>OCCUPIED</t>
        </is>
      </c>
      <c r="E539" s="37" t="inlineStr">
        <is>
          <t>WL-01741</t>
        </is>
      </c>
      <c r="F539" s="37" t="inlineStr">
        <is>
          <t>Lisa Burton</t>
        </is>
      </c>
      <c r="G539" s="37" t="n">
        <v>40</v>
      </c>
      <c r="H539" s="39" t="n">
        <v>31.6</v>
      </c>
      <c r="I539" s="40">
        <f>ROUNDUP(MAX(G539,H539),0)</f>
        <v/>
      </c>
      <c r="J539" s="41">
        <f>IF(C539="COVERED",'Methodology'!$B$9,'Methodology'!$B$10)</f>
        <v/>
      </c>
      <c r="K539" s="41">
        <f>I539*J539</f>
        <v/>
      </c>
      <c r="L539" s="41">
        <f>SUMIFS('Billing Aug'!$J$2:$J$770,'Billing Aug'!$D$2:$D$770,A539)</f>
        <v/>
      </c>
      <c r="M539" s="41">
        <f>L539-K539</f>
        <v/>
      </c>
      <c r="N539" s="37">
        <f>COUNTIF('Billing Aug'!$D$2:$D$770,A539)</f>
        <v/>
      </c>
      <c r="O539" s="37">
        <f>SUMIFS('Billing Aug'!$F$2:$F$770,'Billing Aug'!$D$2:$D$770,A539)</f>
        <v/>
      </c>
      <c r="P539" s="41">
        <f>IF(N539=0,0,L539-SUMIFS('Billing Aug'!$H$2:$H$770,'Billing Aug'!$D$2:$D$770,A539)*SUMIFS('Billing Aug'!$I$2:$I$770,'Billing Aug'!$D$2:$D$770,A539))</f>
        <v/>
      </c>
      <c r="Q539" s="37">
        <f>IF(N539=0,"NO AUG TRANSACTION IN SUPPLIED EXTRACT",IF(ABS(P539)&gt;0.004,"SUBLEDGER ARITHMETIC ERROR",IF(ABS(M539)&gt;0.004,"BILLING VARIANCE","MATCH")))</f>
        <v/>
      </c>
    </row>
    <row r="540">
      <c r="A540" s="37" t="inlineStr">
        <is>
          <t>EW-0403</t>
        </is>
      </c>
      <c r="B540" s="37" t="inlineStr">
        <is>
          <t>Eastwey</t>
        </is>
      </c>
      <c r="C540" s="37" t="inlineStr">
        <is>
          <t>OPEN</t>
        </is>
      </c>
      <c r="D540" s="37" t="inlineStr">
        <is>
          <t>OCCUPIED</t>
        </is>
      </c>
      <c r="E540" s="37" t="inlineStr">
        <is>
          <t>WL-01209</t>
        </is>
      </c>
      <c r="F540" s="37" t="inlineStr">
        <is>
          <t>Amy Luna</t>
        </is>
      </c>
      <c r="G540" s="37" t="n">
        <v>50</v>
      </c>
      <c r="H540" s="39" t="n">
        <v>60</v>
      </c>
      <c r="I540" s="40">
        <f>ROUNDUP(MAX(G540,H540),0)</f>
        <v/>
      </c>
      <c r="J540" s="41">
        <f>IF(C540="COVERED",'Methodology'!$B$9,'Methodology'!$B$10)</f>
        <v/>
      </c>
      <c r="K540" s="41">
        <f>I540*J540</f>
        <v/>
      </c>
      <c r="L540" s="41">
        <f>SUMIFS('Billing Aug'!$J$2:$J$770,'Billing Aug'!$D$2:$D$770,A540)</f>
        <v/>
      </c>
      <c r="M540" s="41">
        <f>L540-K540</f>
        <v/>
      </c>
      <c r="N540" s="37">
        <f>COUNTIF('Billing Aug'!$D$2:$D$770,A540)</f>
        <v/>
      </c>
      <c r="O540" s="37">
        <f>SUMIFS('Billing Aug'!$F$2:$F$770,'Billing Aug'!$D$2:$D$770,A540)</f>
        <v/>
      </c>
      <c r="P540" s="41">
        <f>IF(N540=0,0,L540-SUMIFS('Billing Aug'!$H$2:$H$770,'Billing Aug'!$D$2:$D$770,A540)*SUMIFS('Billing Aug'!$I$2:$I$770,'Billing Aug'!$D$2:$D$770,A540))</f>
        <v/>
      </c>
      <c r="Q540" s="37">
        <f>IF(N540=0,"NO AUG TRANSACTION IN SUPPLIED EXTRACT",IF(ABS(P540)&gt;0.004,"SUBLEDGER ARITHMETIC ERROR",IF(ABS(M540)&gt;0.004,"BILLING VARIANCE","MATCH")))</f>
        <v/>
      </c>
    </row>
    <row r="541">
      <c r="A541" s="37" t="inlineStr">
        <is>
          <t>EW-0404</t>
        </is>
      </c>
      <c r="B541" s="37" t="inlineStr">
        <is>
          <t>Eastwey</t>
        </is>
      </c>
      <c r="C541" s="37" t="inlineStr">
        <is>
          <t>OPEN</t>
        </is>
      </c>
      <c r="D541" s="37" t="inlineStr">
        <is>
          <t>OCCUPIED</t>
        </is>
      </c>
      <c r="E541" s="37" t="inlineStr">
        <is>
          <t>WL-01370</t>
        </is>
      </c>
      <c r="F541" s="37" t="inlineStr">
        <is>
          <t>James Graham</t>
        </is>
      </c>
      <c r="G541" s="37" t="n">
        <v>70</v>
      </c>
      <c r="H541" s="39" t="n">
        <v>31.8</v>
      </c>
      <c r="I541" s="40">
        <f>ROUNDUP(MAX(G541,H541),0)</f>
        <v/>
      </c>
      <c r="J541" s="41">
        <f>IF(C541="COVERED",'Methodology'!$B$9,'Methodology'!$B$10)</f>
        <v/>
      </c>
      <c r="K541" s="41">
        <f>I541*J541</f>
        <v/>
      </c>
      <c r="L541" s="41">
        <f>SUMIFS('Billing Aug'!$J$2:$J$770,'Billing Aug'!$D$2:$D$770,A541)</f>
        <v/>
      </c>
      <c r="M541" s="41">
        <f>L541-K541</f>
        <v/>
      </c>
      <c r="N541" s="37">
        <f>COUNTIF('Billing Aug'!$D$2:$D$770,A541)</f>
        <v/>
      </c>
      <c r="O541" s="37">
        <f>SUMIFS('Billing Aug'!$F$2:$F$770,'Billing Aug'!$D$2:$D$770,A541)</f>
        <v/>
      </c>
      <c r="P541" s="41">
        <f>IF(N541=0,0,L541-SUMIFS('Billing Aug'!$H$2:$H$770,'Billing Aug'!$D$2:$D$770,A541)*SUMIFS('Billing Aug'!$I$2:$I$770,'Billing Aug'!$D$2:$D$770,A541))</f>
        <v/>
      </c>
      <c r="Q541" s="37">
        <f>IF(N541=0,"NO AUG TRANSACTION IN SUPPLIED EXTRACT",IF(ABS(P541)&gt;0.004,"SUBLEDGER ARITHMETIC ERROR",IF(ABS(M541)&gt;0.004,"BILLING VARIANCE","MATCH")))</f>
        <v/>
      </c>
    </row>
    <row r="542">
      <c r="A542" s="37" t="inlineStr">
        <is>
          <t>EW-0405</t>
        </is>
      </c>
      <c r="B542" s="37" t="inlineStr">
        <is>
          <t>Eastwey</t>
        </is>
      </c>
      <c r="C542" s="37" t="inlineStr">
        <is>
          <t>OPEN</t>
        </is>
      </c>
      <c r="D542" s="37" t="inlineStr">
        <is>
          <t>OCCUPIED</t>
        </is>
      </c>
      <c r="E542" s="37" t="inlineStr">
        <is>
          <t>WL-02480</t>
        </is>
      </c>
      <c r="F542" s="37" t="inlineStr">
        <is>
          <t>Rachel Edwards</t>
        </is>
      </c>
      <c r="G542" s="37" t="n">
        <v>24</v>
      </c>
      <c r="H542" s="39" t="n">
        <v>46.9</v>
      </c>
      <c r="I542" s="40">
        <f>ROUNDUP(MAX(G542,H542),0)</f>
        <v/>
      </c>
      <c r="J542" s="41">
        <f>IF(C542="COVERED",'Methodology'!$B$9,'Methodology'!$B$10)</f>
        <v/>
      </c>
      <c r="K542" s="41">
        <f>I542*J542</f>
        <v/>
      </c>
      <c r="L542" s="41">
        <f>SUMIFS('Billing Aug'!$J$2:$J$770,'Billing Aug'!$D$2:$D$770,A542)</f>
        <v/>
      </c>
      <c r="M542" s="41">
        <f>L542-K542</f>
        <v/>
      </c>
      <c r="N542" s="37">
        <f>COUNTIF('Billing Aug'!$D$2:$D$770,A542)</f>
        <v/>
      </c>
      <c r="O542" s="37">
        <f>SUMIFS('Billing Aug'!$F$2:$F$770,'Billing Aug'!$D$2:$D$770,A542)</f>
        <v/>
      </c>
      <c r="P542" s="41">
        <f>IF(N542=0,0,L542-SUMIFS('Billing Aug'!$H$2:$H$770,'Billing Aug'!$D$2:$D$770,A542)*SUMIFS('Billing Aug'!$I$2:$I$770,'Billing Aug'!$D$2:$D$770,A542))</f>
        <v/>
      </c>
      <c r="Q542" s="37">
        <f>IF(N542=0,"NO AUG TRANSACTION IN SUPPLIED EXTRACT",IF(ABS(P542)&gt;0.004,"SUBLEDGER ARITHMETIC ERROR",IF(ABS(M542)&gt;0.004,"BILLING VARIANCE","MATCH")))</f>
        <v/>
      </c>
    </row>
    <row r="543">
      <c r="A543" s="37" t="inlineStr">
        <is>
          <t>EW-0406</t>
        </is>
      </c>
      <c r="B543" s="37" t="inlineStr">
        <is>
          <t>Eastwey</t>
        </is>
      </c>
      <c r="C543" s="37" t="inlineStr">
        <is>
          <t>OPEN</t>
        </is>
      </c>
      <c r="D543" s="37" t="inlineStr">
        <is>
          <t>OCCUPIED</t>
        </is>
      </c>
      <c r="E543" s="37" t="inlineStr">
        <is>
          <t>WL-02810</t>
        </is>
      </c>
      <c r="F543" s="37" t="inlineStr">
        <is>
          <t>Steven Morgan</t>
        </is>
      </c>
      <c r="G543" s="37" t="n">
        <v>40</v>
      </c>
      <c r="H543" s="39" t="n">
        <v>29.4</v>
      </c>
      <c r="I543" s="40">
        <f>ROUNDUP(MAX(G543,H543),0)</f>
        <v/>
      </c>
      <c r="J543" s="41">
        <f>IF(C543="COVERED",'Methodology'!$B$9,'Methodology'!$B$10)</f>
        <v/>
      </c>
      <c r="K543" s="41">
        <f>I543*J543</f>
        <v/>
      </c>
      <c r="L543" s="41">
        <f>SUMIFS('Billing Aug'!$J$2:$J$770,'Billing Aug'!$D$2:$D$770,A543)</f>
        <v/>
      </c>
      <c r="M543" s="41">
        <f>L543-K543</f>
        <v/>
      </c>
      <c r="N543" s="37">
        <f>COUNTIF('Billing Aug'!$D$2:$D$770,A543)</f>
        <v/>
      </c>
      <c r="O543" s="37">
        <f>SUMIFS('Billing Aug'!$F$2:$F$770,'Billing Aug'!$D$2:$D$770,A543)</f>
        <v/>
      </c>
      <c r="P543" s="41">
        <f>IF(N543=0,0,L543-SUMIFS('Billing Aug'!$H$2:$H$770,'Billing Aug'!$D$2:$D$770,A543)*SUMIFS('Billing Aug'!$I$2:$I$770,'Billing Aug'!$D$2:$D$770,A543))</f>
        <v/>
      </c>
      <c r="Q543" s="37">
        <f>IF(N543=0,"NO AUG TRANSACTION IN SUPPLIED EXTRACT",IF(ABS(P543)&gt;0.004,"SUBLEDGER ARITHMETIC ERROR",IF(ABS(M543)&gt;0.004,"BILLING VARIANCE","MATCH")))</f>
        <v/>
      </c>
    </row>
    <row r="544">
      <c r="A544" s="37" t="inlineStr">
        <is>
          <t>EW-0407</t>
        </is>
      </c>
      <c r="B544" s="37" t="inlineStr">
        <is>
          <t>Eastwey</t>
        </is>
      </c>
      <c r="C544" s="37" t="inlineStr">
        <is>
          <t>OPEN</t>
        </is>
      </c>
      <c r="D544" s="37" t="inlineStr">
        <is>
          <t>OCCUPIED</t>
        </is>
      </c>
      <c r="E544" s="37" t="inlineStr">
        <is>
          <t>WL-02314</t>
        </is>
      </c>
      <c r="F544" s="37" t="inlineStr">
        <is>
          <t>David Silva</t>
        </is>
      </c>
      <c r="G544" s="37" t="n">
        <v>45</v>
      </c>
      <c r="H544" s="39" t="n">
        <v>31.1</v>
      </c>
      <c r="I544" s="40">
        <f>ROUNDUP(MAX(G544,H544),0)</f>
        <v/>
      </c>
      <c r="J544" s="41">
        <f>IF(C544="COVERED",'Methodology'!$B$9,'Methodology'!$B$10)</f>
        <v/>
      </c>
      <c r="K544" s="41">
        <f>I544*J544</f>
        <v/>
      </c>
      <c r="L544" s="41">
        <f>SUMIFS('Billing Aug'!$J$2:$J$770,'Billing Aug'!$D$2:$D$770,A544)</f>
        <v/>
      </c>
      <c r="M544" s="41">
        <f>L544-K544</f>
        <v/>
      </c>
      <c r="N544" s="37">
        <f>COUNTIF('Billing Aug'!$D$2:$D$770,A544)</f>
        <v/>
      </c>
      <c r="O544" s="37">
        <f>SUMIFS('Billing Aug'!$F$2:$F$770,'Billing Aug'!$D$2:$D$770,A544)</f>
        <v/>
      </c>
      <c r="P544" s="41">
        <f>IF(N544=0,0,L544-SUMIFS('Billing Aug'!$H$2:$H$770,'Billing Aug'!$D$2:$D$770,A544)*SUMIFS('Billing Aug'!$I$2:$I$770,'Billing Aug'!$D$2:$D$770,A544))</f>
        <v/>
      </c>
      <c r="Q544" s="37">
        <f>IF(N544=0,"NO AUG TRANSACTION IN SUPPLIED EXTRACT",IF(ABS(P544)&gt;0.004,"SUBLEDGER ARITHMETIC ERROR",IF(ABS(M544)&gt;0.004,"BILLING VARIANCE","MATCH")))</f>
        <v/>
      </c>
    </row>
    <row r="545">
      <c r="A545" s="37" t="inlineStr">
        <is>
          <t>EW-0408</t>
        </is>
      </c>
      <c r="B545" s="37" t="inlineStr">
        <is>
          <t>Eastwey</t>
        </is>
      </c>
      <c r="C545" s="37" t="inlineStr">
        <is>
          <t>OPEN</t>
        </is>
      </c>
      <c r="D545" s="37" t="inlineStr">
        <is>
          <t>OCCUPIED</t>
        </is>
      </c>
      <c r="E545" s="37" t="inlineStr">
        <is>
          <t>WL-02705</t>
        </is>
      </c>
      <c r="F545" s="37" t="inlineStr">
        <is>
          <t>Amy Smith</t>
        </is>
      </c>
      <c r="G545" s="37" t="n">
        <v>28</v>
      </c>
      <c r="H545" s="39" t="n">
        <v>59.4</v>
      </c>
      <c r="I545" s="40">
        <f>ROUNDUP(MAX(G545,H545),0)</f>
        <v/>
      </c>
      <c r="J545" s="41">
        <f>IF(C545="COVERED",'Methodology'!$B$9,'Methodology'!$B$10)</f>
        <v/>
      </c>
      <c r="K545" s="41">
        <f>I545*J545</f>
        <v/>
      </c>
      <c r="L545" s="41">
        <f>SUMIFS('Billing Aug'!$J$2:$J$770,'Billing Aug'!$D$2:$D$770,A545)</f>
        <v/>
      </c>
      <c r="M545" s="41">
        <f>L545-K545</f>
        <v/>
      </c>
      <c r="N545" s="37">
        <f>COUNTIF('Billing Aug'!$D$2:$D$770,A545)</f>
        <v/>
      </c>
      <c r="O545" s="37">
        <f>SUMIFS('Billing Aug'!$F$2:$F$770,'Billing Aug'!$D$2:$D$770,A545)</f>
        <v/>
      </c>
      <c r="P545" s="41">
        <f>IF(N545=0,0,L545-SUMIFS('Billing Aug'!$H$2:$H$770,'Billing Aug'!$D$2:$D$770,A545)*SUMIFS('Billing Aug'!$I$2:$I$770,'Billing Aug'!$D$2:$D$770,A545))</f>
        <v/>
      </c>
      <c r="Q545" s="37">
        <f>IF(N545=0,"NO AUG TRANSACTION IN SUPPLIED EXTRACT",IF(ABS(P545)&gt;0.004,"SUBLEDGER ARITHMETIC ERROR",IF(ABS(M545)&gt;0.004,"BILLING VARIANCE","MATCH")))</f>
        <v/>
      </c>
    </row>
    <row r="546">
      <c r="A546" s="37" t="inlineStr">
        <is>
          <t>EW-0409</t>
        </is>
      </c>
      <c r="B546" s="37" t="inlineStr">
        <is>
          <t>Eastwey</t>
        </is>
      </c>
      <c r="C546" s="37" t="inlineStr">
        <is>
          <t>OPEN</t>
        </is>
      </c>
      <c r="D546" s="37" t="inlineStr">
        <is>
          <t>OCCUPIED</t>
        </is>
      </c>
      <c r="E546" s="37" t="inlineStr">
        <is>
          <t>WL-01264</t>
        </is>
      </c>
      <c r="F546" s="37" t="inlineStr">
        <is>
          <t>Jeffery Lewis</t>
        </is>
      </c>
      <c r="G546" s="37" t="n">
        <v>70</v>
      </c>
      <c r="H546" s="39" t="n">
        <v>51.6</v>
      </c>
      <c r="I546" s="40">
        <f>ROUNDUP(MAX(G546,H546),0)</f>
        <v/>
      </c>
      <c r="J546" s="41">
        <f>IF(C546="COVERED",'Methodology'!$B$9,'Methodology'!$B$10)</f>
        <v/>
      </c>
      <c r="K546" s="41">
        <f>I546*J546</f>
        <v/>
      </c>
      <c r="L546" s="41">
        <f>SUMIFS('Billing Aug'!$J$2:$J$770,'Billing Aug'!$D$2:$D$770,A546)</f>
        <v/>
      </c>
      <c r="M546" s="41">
        <f>L546-K546</f>
        <v/>
      </c>
      <c r="N546" s="37">
        <f>COUNTIF('Billing Aug'!$D$2:$D$770,A546)</f>
        <v/>
      </c>
      <c r="O546" s="37">
        <f>SUMIFS('Billing Aug'!$F$2:$F$770,'Billing Aug'!$D$2:$D$770,A546)</f>
        <v/>
      </c>
      <c r="P546" s="41">
        <f>IF(N546=0,0,L546-SUMIFS('Billing Aug'!$H$2:$H$770,'Billing Aug'!$D$2:$D$770,A546)*SUMIFS('Billing Aug'!$I$2:$I$770,'Billing Aug'!$D$2:$D$770,A546))</f>
        <v/>
      </c>
      <c r="Q546" s="37">
        <f>IF(N546=0,"NO AUG TRANSACTION IN SUPPLIED EXTRACT",IF(ABS(P546)&gt;0.004,"SUBLEDGER ARITHMETIC ERROR",IF(ABS(M546)&gt;0.004,"BILLING VARIANCE","MATCH")))</f>
        <v/>
      </c>
    </row>
    <row r="547">
      <c r="A547" s="37" t="inlineStr">
        <is>
          <t>EW-0410</t>
        </is>
      </c>
      <c r="B547" s="37" t="inlineStr">
        <is>
          <t>Eastwey</t>
        </is>
      </c>
      <c r="C547" s="37" t="inlineStr">
        <is>
          <t>OPEN</t>
        </is>
      </c>
      <c r="D547" s="37" t="inlineStr">
        <is>
          <t>OCCUPIED</t>
        </is>
      </c>
      <c r="E547" s="37" t="inlineStr">
        <is>
          <t>WL-02449</t>
        </is>
      </c>
      <c r="F547" s="37" t="inlineStr">
        <is>
          <t>Herbert Johnson</t>
        </is>
      </c>
      <c r="G547" s="37" t="n">
        <v>32</v>
      </c>
      <c r="H547" s="39" t="n">
        <v>44.8</v>
      </c>
      <c r="I547" s="40">
        <f>ROUNDUP(MAX(G547,H547),0)</f>
        <v/>
      </c>
      <c r="J547" s="41">
        <f>IF(C547="COVERED",'Methodology'!$B$9,'Methodology'!$B$10)</f>
        <v/>
      </c>
      <c r="K547" s="41">
        <f>I547*J547</f>
        <v/>
      </c>
      <c r="L547" s="41">
        <f>SUMIFS('Billing Aug'!$J$2:$J$770,'Billing Aug'!$D$2:$D$770,A547)</f>
        <v/>
      </c>
      <c r="M547" s="41">
        <f>L547-K547</f>
        <v/>
      </c>
      <c r="N547" s="37">
        <f>COUNTIF('Billing Aug'!$D$2:$D$770,A547)</f>
        <v/>
      </c>
      <c r="O547" s="37">
        <f>SUMIFS('Billing Aug'!$F$2:$F$770,'Billing Aug'!$D$2:$D$770,A547)</f>
        <v/>
      </c>
      <c r="P547" s="41">
        <f>IF(N547=0,0,L547-SUMIFS('Billing Aug'!$H$2:$H$770,'Billing Aug'!$D$2:$D$770,A547)*SUMIFS('Billing Aug'!$I$2:$I$770,'Billing Aug'!$D$2:$D$770,A547))</f>
        <v/>
      </c>
      <c r="Q547" s="37">
        <f>IF(N547=0,"NO AUG TRANSACTION IN SUPPLIED EXTRACT",IF(ABS(P547)&gt;0.004,"SUBLEDGER ARITHMETIC ERROR",IF(ABS(M547)&gt;0.004,"BILLING VARIANCE","MATCH")))</f>
        <v/>
      </c>
    </row>
    <row r="548">
      <c r="A548" s="37" t="inlineStr">
        <is>
          <t>EW-0411</t>
        </is>
      </c>
      <c r="B548" s="37" t="inlineStr">
        <is>
          <t>Eastwey</t>
        </is>
      </c>
      <c r="C548" s="37" t="inlineStr">
        <is>
          <t>OPEN</t>
        </is>
      </c>
      <c r="D548" s="37" t="inlineStr">
        <is>
          <t>OCCUPIED</t>
        </is>
      </c>
      <c r="E548" s="37" t="inlineStr">
        <is>
          <t>WL-01489</t>
        </is>
      </c>
      <c r="F548" s="37" t="inlineStr">
        <is>
          <t>Donna Thomas</t>
        </is>
      </c>
      <c r="G548" s="37" t="n">
        <v>70</v>
      </c>
      <c r="H548" s="39" t="n">
        <v>26.8</v>
      </c>
      <c r="I548" s="40">
        <f>ROUNDUP(MAX(G548,H548),0)</f>
        <v/>
      </c>
      <c r="J548" s="41">
        <f>IF(C548="COVERED",'Methodology'!$B$9,'Methodology'!$B$10)</f>
        <v/>
      </c>
      <c r="K548" s="41">
        <f>I548*J548</f>
        <v/>
      </c>
      <c r="L548" s="41">
        <f>SUMIFS('Billing Aug'!$J$2:$J$770,'Billing Aug'!$D$2:$D$770,A548)</f>
        <v/>
      </c>
      <c r="M548" s="41">
        <f>L548-K548</f>
        <v/>
      </c>
      <c r="N548" s="37">
        <f>COUNTIF('Billing Aug'!$D$2:$D$770,A548)</f>
        <v/>
      </c>
      <c r="O548" s="37">
        <f>SUMIFS('Billing Aug'!$F$2:$F$770,'Billing Aug'!$D$2:$D$770,A548)</f>
        <v/>
      </c>
      <c r="P548" s="41">
        <f>IF(N548=0,0,L548-SUMIFS('Billing Aug'!$H$2:$H$770,'Billing Aug'!$D$2:$D$770,A548)*SUMIFS('Billing Aug'!$I$2:$I$770,'Billing Aug'!$D$2:$D$770,A548))</f>
        <v/>
      </c>
      <c r="Q548" s="37">
        <f>IF(N548=0,"NO AUG TRANSACTION IN SUPPLIED EXTRACT",IF(ABS(P548)&gt;0.004,"SUBLEDGER ARITHMETIC ERROR",IF(ABS(M548)&gt;0.004,"BILLING VARIANCE","MATCH")))</f>
        <v/>
      </c>
    </row>
    <row r="549">
      <c r="A549" s="37" t="inlineStr">
        <is>
          <t>EW-0412</t>
        </is>
      </c>
      <c r="B549" s="37" t="inlineStr">
        <is>
          <t>Eastwey</t>
        </is>
      </c>
      <c r="C549" s="37" t="inlineStr">
        <is>
          <t>OPEN</t>
        </is>
      </c>
      <c r="D549" s="37" t="inlineStr">
        <is>
          <t>OCCUPIED</t>
        </is>
      </c>
      <c r="E549" s="37" t="inlineStr">
        <is>
          <t>WL-01854</t>
        </is>
      </c>
      <c r="F549" s="37" t="inlineStr">
        <is>
          <t>Vincent Simon</t>
        </is>
      </c>
      <c r="G549" s="37" t="n">
        <v>70</v>
      </c>
      <c r="H549" s="39" t="n">
        <v>42.5</v>
      </c>
      <c r="I549" s="40">
        <f>ROUNDUP(MAX(G549,H549),0)</f>
        <v/>
      </c>
      <c r="J549" s="41">
        <f>IF(C549="COVERED",'Methodology'!$B$9,'Methodology'!$B$10)</f>
        <v/>
      </c>
      <c r="K549" s="41">
        <f>I549*J549</f>
        <v/>
      </c>
      <c r="L549" s="41">
        <f>SUMIFS('Billing Aug'!$J$2:$J$770,'Billing Aug'!$D$2:$D$770,A549)</f>
        <v/>
      </c>
      <c r="M549" s="41">
        <f>L549-K549</f>
        <v/>
      </c>
      <c r="N549" s="37">
        <f>COUNTIF('Billing Aug'!$D$2:$D$770,A549)</f>
        <v/>
      </c>
      <c r="O549" s="37">
        <f>SUMIFS('Billing Aug'!$F$2:$F$770,'Billing Aug'!$D$2:$D$770,A549)</f>
        <v/>
      </c>
      <c r="P549" s="41">
        <f>IF(N549=0,0,L549-SUMIFS('Billing Aug'!$H$2:$H$770,'Billing Aug'!$D$2:$D$770,A549)*SUMIFS('Billing Aug'!$I$2:$I$770,'Billing Aug'!$D$2:$D$770,A549))</f>
        <v/>
      </c>
      <c r="Q549" s="37">
        <f>IF(N549=0,"NO AUG TRANSACTION IN SUPPLIED EXTRACT",IF(ABS(P549)&gt;0.004,"SUBLEDGER ARITHMETIC ERROR",IF(ABS(M549)&gt;0.004,"BILLING VARIANCE","MATCH")))</f>
        <v/>
      </c>
    </row>
    <row r="550">
      <c r="A550" s="37" t="inlineStr">
        <is>
          <t>EW-0413</t>
        </is>
      </c>
      <c r="B550" s="37" t="inlineStr">
        <is>
          <t>Eastwey</t>
        </is>
      </c>
      <c r="C550" s="37" t="inlineStr">
        <is>
          <t>OPEN</t>
        </is>
      </c>
      <c r="D550" s="37" t="inlineStr">
        <is>
          <t>OCCUPIED</t>
        </is>
      </c>
      <c r="E550" s="37" t="inlineStr">
        <is>
          <t>WL-02169</t>
        </is>
      </c>
      <c r="F550" s="37" t="inlineStr">
        <is>
          <t>Maria Weber</t>
        </is>
      </c>
      <c r="G550" s="37" t="n">
        <v>70</v>
      </c>
      <c r="H550" s="39" t="n">
        <v>58.8</v>
      </c>
      <c r="I550" s="40">
        <f>ROUNDUP(MAX(G550,H550),0)</f>
        <v/>
      </c>
      <c r="J550" s="41">
        <f>IF(C550="COVERED",'Methodology'!$B$9,'Methodology'!$B$10)</f>
        <v/>
      </c>
      <c r="K550" s="41">
        <f>I550*J550</f>
        <v/>
      </c>
      <c r="L550" s="41">
        <f>SUMIFS('Billing Aug'!$J$2:$J$770,'Billing Aug'!$D$2:$D$770,A550)</f>
        <v/>
      </c>
      <c r="M550" s="41">
        <f>L550-K550</f>
        <v/>
      </c>
      <c r="N550" s="37">
        <f>COUNTIF('Billing Aug'!$D$2:$D$770,A550)</f>
        <v/>
      </c>
      <c r="O550" s="37">
        <f>SUMIFS('Billing Aug'!$F$2:$F$770,'Billing Aug'!$D$2:$D$770,A550)</f>
        <v/>
      </c>
      <c r="P550" s="41">
        <f>IF(N550=0,0,L550-SUMIFS('Billing Aug'!$H$2:$H$770,'Billing Aug'!$D$2:$D$770,A550)*SUMIFS('Billing Aug'!$I$2:$I$770,'Billing Aug'!$D$2:$D$770,A550))</f>
        <v/>
      </c>
      <c r="Q550" s="37">
        <f>IF(N550=0,"NO AUG TRANSACTION IN SUPPLIED EXTRACT",IF(ABS(P550)&gt;0.004,"SUBLEDGER ARITHMETIC ERROR",IF(ABS(M550)&gt;0.004,"BILLING VARIANCE","MATCH")))</f>
        <v/>
      </c>
    </row>
    <row r="551">
      <c r="A551" s="37" t="inlineStr">
        <is>
          <t>EW-0414</t>
        </is>
      </c>
      <c r="B551" s="37" t="inlineStr">
        <is>
          <t>Eastwey</t>
        </is>
      </c>
      <c r="C551" s="37" t="inlineStr">
        <is>
          <t>OPEN</t>
        </is>
      </c>
      <c r="D551" s="37" t="inlineStr">
        <is>
          <t>OCCUPIED</t>
        </is>
      </c>
      <c r="E551" s="37" t="inlineStr">
        <is>
          <t>WL-02221</t>
        </is>
      </c>
      <c r="F551" s="37" t="inlineStr">
        <is>
          <t>Jason Howe</t>
        </is>
      </c>
      <c r="G551" s="37" t="n">
        <v>40</v>
      </c>
      <c r="H551" s="39" t="n">
        <v>20.6</v>
      </c>
      <c r="I551" s="40">
        <f>ROUNDUP(MAX(G551,H551),0)</f>
        <v/>
      </c>
      <c r="J551" s="41">
        <f>IF(C551="COVERED",'Methodology'!$B$9,'Methodology'!$B$10)</f>
        <v/>
      </c>
      <c r="K551" s="41">
        <f>I551*J551</f>
        <v/>
      </c>
      <c r="L551" s="41">
        <f>SUMIFS('Billing Aug'!$J$2:$J$770,'Billing Aug'!$D$2:$D$770,A551)</f>
        <v/>
      </c>
      <c r="M551" s="41">
        <f>L551-K551</f>
        <v/>
      </c>
      <c r="N551" s="37">
        <f>COUNTIF('Billing Aug'!$D$2:$D$770,A551)</f>
        <v/>
      </c>
      <c r="O551" s="37">
        <f>SUMIFS('Billing Aug'!$F$2:$F$770,'Billing Aug'!$D$2:$D$770,A551)</f>
        <v/>
      </c>
      <c r="P551" s="41">
        <f>IF(N551=0,0,L551-SUMIFS('Billing Aug'!$H$2:$H$770,'Billing Aug'!$D$2:$D$770,A551)*SUMIFS('Billing Aug'!$I$2:$I$770,'Billing Aug'!$D$2:$D$770,A551))</f>
        <v/>
      </c>
      <c r="Q551" s="37">
        <f>IF(N551=0,"NO AUG TRANSACTION IN SUPPLIED EXTRACT",IF(ABS(P551)&gt;0.004,"SUBLEDGER ARITHMETIC ERROR",IF(ABS(M551)&gt;0.004,"BILLING VARIANCE","MATCH")))</f>
        <v/>
      </c>
    </row>
    <row r="552">
      <c r="A552" s="37" t="inlineStr">
        <is>
          <t>EW-0415</t>
        </is>
      </c>
      <c r="B552" s="37" t="inlineStr">
        <is>
          <t>Eastwey</t>
        </is>
      </c>
      <c r="C552" s="37" t="inlineStr">
        <is>
          <t>OPEN</t>
        </is>
      </c>
      <c r="D552" s="37" t="inlineStr">
        <is>
          <t>OCCUPIED</t>
        </is>
      </c>
      <c r="E552" s="37" t="inlineStr">
        <is>
          <t>WL-02536</t>
        </is>
      </c>
      <c r="F552" s="37" t="inlineStr">
        <is>
          <t>Christian Ellis</t>
        </is>
      </c>
      <c r="G552" s="37" t="n">
        <v>24</v>
      </c>
      <c r="H552" s="39" t="n">
        <v>42.4</v>
      </c>
      <c r="I552" s="40">
        <f>ROUNDUP(MAX(G552,H552),0)</f>
        <v/>
      </c>
      <c r="J552" s="41">
        <f>IF(C552="COVERED",'Methodology'!$B$9,'Methodology'!$B$10)</f>
        <v/>
      </c>
      <c r="K552" s="41">
        <f>I552*J552</f>
        <v/>
      </c>
      <c r="L552" s="41">
        <f>SUMIFS('Billing Aug'!$J$2:$J$770,'Billing Aug'!$D$2:$D$770,A552)</f>
        <v/>
      </c>
      <c r="M552" s="41">
        <f>L552-K552</f>
        <v/>
      </c>
      <c r="N552" s="37">
        <f>COUNTIF('Billing Aug'!$D$2:$D$770,A552)</f>
        <v/>
      </c>
      <c r="O552" s="37">
        <f>SUMIFS('Billing Aug'!$F$2:$F$770,'Billing Aug'!$D$2:$D$770,A552)</f>
        <v/>
      </c>
      <c r="P552" s="41">
        <f>IF(N552=0,0,L552-SUMIFS('Billing Aug'!$H$2:$H$770,'Billing Aug'!$D$2:$D$770,A552)*SUMIFS('Billing Aug'!$I$2:$I$770,'Billing Aug'!$D$2:$D$770,A552))</f>
        <v/>
      </c>
      <c r="Q552" s="37">
        <f>IF(N552=0,"NO AUG TRANSACTION IN SUPPLIED EXTRACT",IF(ABS(P552)&gt;0.004,"SUBLEDGER ARITHMETIC ERROR",IF(ABS(M552)&gt;0.004,"BILLING VARIANCE","MATCH")))</f>
        <v/>
      </c>
    </row>
    <row r="553">
      <c r="A553" s="37" t="inlineStr">
        <is>
          <t>EW-0416</t>
        </is>
      </c>
      <c r="B553" s="37" t="inlineStr">
        <is>
          <t>Eastwey</t>
        </is>
      </c>
      <c r="C553" s="37" t="inlineStr">
        <is>
          <t>OPEN</t>
        </is>
      </c>
      <c r="D553" s="37" t="inlineStr">
        <is>
          <t>OCCUPIED</t>
        </is>
      </c>
      <c r="E553" s="37" t="inlineStr">
        <is>
          <t>WL-02988</t>
        </is>
      </c>
      <c r="F553" s="37" t="inlineStr">
        <is>
          <t>Jamie Roberts</t>
        </is>
      </c>
      <c r="G553" s="37" t="n">
        <v>24</v>
      </c>
      <c r="H553" s="39" t="n">
        <v>33.7</v>
      </c>
      <c r="I553" s="40">
        <f>ROUNDUP(MAX(G553,H553),0)</f>
        <v/>
      </c>
      <c r="J553" s="41">
        <f>IF(C553="COVERED",'Methodology'!$B$9,'Methodology'!$B$10)</f>
        <v/>
      </c>
      <c r="K553" s="41">
        <f>I553*J553</f>
        <v/>
      </c>
      <c r="L553" s="41">
        <f>SUMIFS('Billing Aug'!$J$2:$J$770,'Billing Aug'!$D$2:$D$770,A553)</f>
        <v/>
      </c>
      <c r="M553" s="41">
        <f>L553-K553</f>
        <v/>
      </c>
      <c r="N553" s="37">
        <f>COUNTIF('Billing Aug'!$D$2:$D$770,A553)</f>
        <v/>
      </c>
      <c r="O553" s="37">
        <f>SUMIFS('Billing Aug'!$F$2:$F$770,'Billing Aug'!$D$2:$D$770,A553)</f>
        <v/>
      </c>
      <c r="P553" s="41">
        <f>IF(N553=0,0,L553-SUMIFS('Billing Aug'!$H$2:$H$770,'Billing Aug'!$D$2:$D$770,A553)*SUMIFS('Billing Aug'!$I$2:$I$770,'Billing Aug'!$D$2:$D$770,A553))</f>
        <v/>
      </c>
      <c r="Q553" s="37">
        <f>IF(N553=0,"NO AUG TRANSACTION IN SUPPLIED EXTRACT",IF(ABS(P553)&gt;0.004,"SUBLEDGER ARITHMETIC ERROR",IF(ABS(M553)&gt;0.004,"BILLING VARIANCE","MATCH")))</f>
        <v/>
      </c>
    </row>
    <row r="554">
      <c r="A554" s="37" t="inlineStr">
        <is>
          <t>EW-0417</t>
        </is>
      </c>
      <c r="B554" s="37" t="inlineStr">
        <is>
          <t>Eastwey</t>
        </is>
      </c>
      <c r="C554" s="37" t="inlineStr">
        <is>
          <t>OPEN</t>
        </is>
      </c>
      <c r="D554" s="37" t="inlineStr">
        <is>
          <t>OCCUPIED</t>
        </is>
      </c>
      <c r="E554" s="37" t="inlineStr">
        <is>
          <t>WL-01997</t>
        </is>
      </c>
      <c r="F554" s="37" t="inlineStr">
        <is>
          <t>Laura Avila</t>
        </is>
      </c>
      <c r="G554" s="37" t="n">
        <v>28</v>
      </c>
      <c r="H554" s="39" t="n">
        <v>56.9</v>
      </c>
      <c r="I554" s="40">
        <f>ROUNDUP(MAX(G554,H554),0)</f>
        <v/>
      </c>
      <c r="J554" s="41">
        <f>IF(C554="COVERED",'Methodology'!$B$9,'Methodology'!$B$10)</f>
        <v/>
      </c>
      <c r="K554" s="41">
        <f>I554*J554</f>
        <v/>
      </c>
      <c r="L554" s="41">
        <f>SUMIFS('Billing Aug'!$J$2:$J$770,'Billing Aug'!$D$2:$D$770,A554)</f>
        <v/>
      </c>
      <c r="M554" s="41">
        <f>L554-K554</f>
        <v/>
      </c>
      <c r="N554" s="37">
        <f>COUNTIF('Billing Aug'!$D$2:$D$770,A554)</f>
        <v/>
      </c>
      <c r="O554" s="37">
        <f>SUMIFS('Billing Aug'!$F$2:$F$770,'Billing Aug'!$D$2:$D$770,A554)</f>
        <v/>
      </c>
      <c r="P554" s="41">
        <f>IF(N554=0,0,L554-SUMIFS('Billing Aug'!$H$2:$H$770,'Billing Aug'!$D$2:$D$770,A554)*SUMIFS('Billing Aug'!$I$2:$I$770,'Billing Aug'!$D$2:$D$770,A554))</f>
        <v/>
      </c>
      <c r="Q554" s="37">
        <f>IF(N554=0,"NO AUG TRANSACTION IN SUPPLIED EXTRACT",IF(ABS(P554)&gt;0.004,"SUBLEDGER ARITHMETIC ERROR",IF(ABS(M554)&gt;0.004,"BILLING VARIANCE","MATCH")))</f>
        <v/>
      </c>
    </row>
    <row r="555">
      <c r="A555" s="37" t="inlineStr">
        <is>
          <t>EW-0418</t>
        </is>
      </c>
      <c r="B555" s="37" t="inlineStr">
        <is>
          <t>Eastwey</t>
        </is>
      </c>
      <c r="C555" s="37" t="inlineStr">
        <is>
          <t>OPEN</t>
        </is>
      </c>
      <c r="D555" s="37" t="inlineStr">
        <is>
          <t>OCCUPIED</t>
        </is>
      </c>
      <c r="E555" s="37" t="inlineStr">
        <is>
          <t>WL-02772</t>
        </is>
      </c>
      <c r="F555" s="37" t="inlineStr">
        <is>
          <t>Sarah Chambers</t>
        </is>
      </c>
      <c r="G555" s="37" t="n">
        <v>24</v>
      </c>
      <c r="H555" s="39" t="n">
        <v>58</v>
      </c>
      <c r="I555" s="40">
        <f>ROUNDUP(MAX(G555,H555),0)</f>
        <v/>
      </c>
      <c r="J555" s="41">
        <f>IF(C555="COVERED",'Methodology'!$B$9,'Methodology'!$B$10)</f>
        <v/>
      </c>
      <c r="K555" s="41">
        <f>I555*J555</f>
        <v/>
      </c>
      <c r="L555" s="41">
        <f>SUMIFS('Billing Aug'!$J$2:$J$770,'Billing Aug'!$D$2:$D$770,A555)</f>
        <v/>
      </c>
      <c r="M555" s="41">
        <f>L555-K555</f>
        <v/>
      </c>
      <c r="N555" s="37">
        <f>COUNTIF('Billing Aug'!$D$2:$D$770,A555)</f>
        <v/>
      </c>
      <c r="O555" s="37">
        <f>SUMIFS('Billing Aug'!$F$2:$F$770,'Billing Aug'!$D$2:$D$770,A555)</f>
        <v/>
      </c>
      <c r="P555" s="41">
        <f>IF(N555=0,0,L555-SUMIFS('Billing Aug'!$H$2:$H$770,'Billing Aug'!$D$2:$D$770,A555)*SUMIFS('Billing Aug'!$I$2:$I$770,'Billing Aug'!$D$2:$D$770,A555))</f>
        <v/>
      </c>
      <c r="Q555" s="37">
        <f>IF(N555=0,"NO AUG TRANSACTION IN SUPPLIED EXTRACT",IF(ABS(P555)&gt;0.004,"SUBLEDGER ARITHMETIC ERROR",IF(ABS(M555)&gt;0.004,"BILLING VARIANCE","MATCH")))</f>
        <v/>
      </c>
    </row>
    <row r="556">
      <c r="A556" s="37" t="inlineStr">
        <is>
          <t>EW-0419</t>
        </is>
      </c>
      <c r="B556" s="37" t="inlineStr">
        <is>
          <t>Eastwey</t>
        </is>
      </c>
      <c r="C556" s="37" t="inlineStr">
        <is>
          <t>OPEN</t>
        </is>
      </c>
      <c r="D556" s="37" t="inlineStr">
        <is>
          <t>OCCUPIED</t>
        </is>
      </c>
      <c r="E556" s="37" t="inlineStr">
        <is>
          <t>WL-03750</t>
        </is>
      </c>
      <c r="F556" s="37" t="inlineStr">
        <is>
          <t>Michael Phillips</t>
        </is>
      </c>
      <c r="G556" s="37" t="n">
        <v>45</v>
      </c>
      <c r="H556" s="39" t="n">
        <v>36.5</v>
      </c>
      <c r="I556" s="40">
        <f>ROUNDUP(MAX(G556,H556),0)</f>
        <v/>
      </c>
      <c r="J556" s="41">
        <f>IF(C556="COVERED",'Methodology'!$B$9,'Methodology'!$B$10)</f>
        <v/>
      </c>
      <c r="K556" s="41">
        <f>I556*J556</f>
        <v/>
      </c>
      <c r="L556" s="41">
        <f>SUMIFS('Billing Aug'!$J$2:$J$770,'Billing Aug'!$D$2:$D$770,A556)</f>
        <v/>
      </c>
      <c r="M556" s="41">
        <f>L556-K556</f>
        <v/>
      </c>
      <c r="N556" s="37">
        <f>COUNTIF('Billing Aug'!$D$2:$D$770,A556)</f>
        <v/>
      </c>
      <c r="O556" s="37">
        <f>SUMIFS('Billing Aug'!$F$2:$F$770,'Billing Aug'!$D$2:$D$770,A556)</f>
        <v/>
      </c>
      <c r="P556" s="41">
        <f>IF(N556=0,0,L556-SUMIFS('Billing Aug'!$H$2:$H$770,'Billing Aug'!$D$2:$D$770,A556)*SUMIFS('Billing Aug'!$I$2:$I$770,'Billing Aug'!$D$2:$D$770,A556))</f>
        <v/>
      </c>
      <c r="Q556" s="37">
        <f>IF(N556=0,"NO AUG TRANSACTION IN SUPPLIED EXTRACT",IF(ABS(P556)&gt;0.004,"SUBLEDGER ARITHMETIC ERROR",IF(ABS(M556)&gt;0.004,"BILLING VARIANCE","MATCH")))</f>
        <v/>
      </c>
    </row>
    <row r="557">
      <c r="A557" s="37" t="inlineStr">
        <is>
          <t>EW-0420</t>
        </is>
      </c>
      <c r="B557" s="37" t="inlineStr">
        <is>
          <t>Eastwey</t>
        </is>
      </c>
      <c r="C557" s="37" t="inlineStr">
        <is>
          <t>OPEN</t>
        </is>
      </c>
      <c r="D557" s="37" t="inlineStr">
        <is>
          <t>OCCUPIED</t>
        </is>
      </c>
      <c r="E557" s="37" t="inlineStr">
        <is>
          <t>WL-03050</t>
        </is>
      </c>
      <c r="F557" s="37" t="inlineStr">
        <is>
          <t>Justin Pearson</t>
        </is>
      </c>
      <c r="G557" s="37" t="n">
        <v>32</v>
      </c>
      <c r="H557" s="39" t="n">
        <v>21.8</v>
      </c>
      <c r="I557" s="40">
        <f>ROUNDUP(MAX(G557,H557),0)</f>
        <v/>
      </c>
      <c r="J557" s="41">
        <f>IF(C557="COVERED",'Methodology'!$B$9,'Methodology'!$B$10)</f>
        <v/>
      </c>
      <c r="K557" s="41">
        <f>I557*J557</f>
        <v/>
      </c>
      <c r="L557" s="41">
        <f>SUMIFS('Billing Aug'!$J$2:$J$770,'Billing Aug'!$D$2:$D$770,A557)</f>
        <v/>
      </c>
      <c r="M557" s="41">
        <f>L557-K557</f>
        <v/>
      </c>
      <c r="N557" s="37">
        <f>COUNTIF('Billing Aug'!$D$2:$D$770,A557)</f>
        <v/>
      </c>
      <c r="O557" s="37">
        <f>SUMIFS('Billing Aug'!$F$2:$F$770,'Billing Aug'!$D$2:$D$770,A557)</f>
        <v/>
      </c>
      <c r="P557" s="41">
        <f>IF(N557=0,0,L557-SUMIFS('Billing Aug'!$H$2:$H$770,'Billing Aug'!$D$2:$D$770,A557)*SUMIFS('Billing Aug'!$I$2:$I$770,'Billing Aug'!$D$2:$D$770,A557))</f>
        <v/>
      </c>
      <c r="Q557" s="37">
        <f>IF(N557=0,"NO AUG TRANSACTION IN SUPPLIED EXTRACT",IF(ABS(P557)&gt;0.004,"SUBLEDGER ARITHMETIC ERROR",IF(ABS(M557)&gt;0.004,"BILLING VARIANCE","MATCH")))</f>
        <v/>
      </c>
    </row>
    <row r="558">
      <c r="A558" s="37" t="inlineStr">
        <is>
          <t>EW-0421</t>
        </is>
      </c>
      <c r="B558" s="37" t="inlineStr">
        <is>
          <t>Eastwey</t>
        </is>
      </c>
      <c r="C558" s="37" t="inlineStr">
        <is>
          <t>OPEN</t>
        </is>
      </c>
      <c r="D558" s="37" t="inlineStr">
        <is>
          <t>OCCUPIED</t>
        </is>
      </c>
      <c r="E558" s="37" t="inlineStr">
        <is>
          <t>WL-01420</t>
        </is>
      </c>
      <c r="F558" s="37" t="inlineStr">
        <is>
          <t>Patricia Wilson</t>
        </is>
      </c>
      <c r="G558" s="37" t="n">
        <v>36</v>
      </c>
      <c r="H558" s="39" t="n">
        <v>26.2</v>
      </c>
      <c r="I558" s="40">
        <f>ROUNDUP(MAX(G558,H558),0)</f>
        <v/>
      </c>
      <c r="J558" s="41">
        <f>IF(C558="COVERED",'Methodology'!$B$9,'Methodology'!$B$10)</f>
        <v/>
      </c>
      <c r="K558" s="41">
        <f>I558*J558</f>
        <v/>
      </c>
      <c r="L558" s="41">
        <f>SUMIFS('Billing Aug'!$J$2:$J$770,'Billing Aug'!$D$2:$D$770,A558)</f>
        <v/>
      </c>
      <c r="M558" s="41">
        <f>L558-K558</f>
        <v/>
      </c>
      <c r="N558" s="37">
        <f>COUNTIF('Billing Aug'!$D$2:$D$770,A558)</f>
        <v/>
      </c>
      <c r="O558" s="37">
        <f>SUMIFS('Billing Aug'!$F$2:$F$770,'Billing Aug'!$D$2:$D$770,A558)</f>
        <v/>
      </c>
      <c r="P558" s="41">
        <f>IF(N558=0,0,L558-SUMIFS('Billing Aug'!$H$2:$H$770,'Billing Aug'!$D$2:$D$770,A558)*SUMIFS('Billing Aug'!$I$2:$I$770,'Billing Aug'!$D$2:$D$770,A558))</f>
        <v/>
      </c>
      <c r="Q558" s="37">
        <f>IF(N558=0,"NO AUG TRANSACTION IN SUPPLIED EXTRACT",IF(ABS(P558)&gt;0.004,"SUBLEDGER ARITHMETIC ERROR",IF(ABS(M558)&gt;0.004,"BILLING VARIANCE","MATCH")))</f>
        <v/>
      </c>
    </row>
    <row r="559">
      <c r="A559" s="37" t="inlineStr">
        <is>
          <t>EW-0423</t>
        </is>
      </c>
      <c r="B559" s="37" t="inlineStr">
        <is>
          <t>Eastwey</t>
        </is>
      </c>
      <c r="C559" s="37" t="inlineStr">
        <is>
          <t>OPEN</t>
        </is>
      </c>
      <c r="D559" s="37" t="inlineStr">
        <is>
          <t>OCCUPIED</t>
        </is>
      </c>
      <c r="E559" s="37" t="inlineStr">
        <is>
          <t>WL-01906</t>
        </is>
      </c>
      <c r="F559" s="37" t="inlineStr">
        <is>
          <t>Jessica Flores</t>
        </is>
      </c>
      <c r="G559" s="37" t="n">
        <v>70</v>
      </c>
      <c r="H559" s="39" t="n">
        <v>37.2</v>
      </c>
      <c r="I559" s="40">
        <f>ROUNDUP(MAX(G559,H559),0)</f>
        <v/>
      </c>
      <c r="J559" s="41">
        <f>IF(C559="COVERED",'Methodology'!$B$9,'Methodology'!$B$10)</f>
        <v/>
      </c>
      <c r="K559" s="41">
        <f>I559*J559</f>
        <v/>
      </c>
      <c r="L559" s="41">
        <f>SUMIFS('Billing Aug'!$J$2:$J$770,'Billing Aug'!$D$2:$D$770,A559)</f>
        <v/>
      </c>
      <c r="M559" s="41">
        <f>L559-K559</f>
        <v/>
      </c>
      <c r="N559" s="37">
        <f>COUNTIF('Billing Aug'!$D$2:$D$770,A559)</f>
        <v/>
      </c>
      <c r="O559" s="37">
        <f>SUMIFS('Billing Aug'!$F$2:$F$770,'Billing Aug'!$D$2:$D$770,A559)</f>
        <v/>
      </c>
      <c r="P559" s="41">
        <f>IF(N559=0,0,L559-SUMIFS('Billing Aug'!$H$2:$H$770,'Billing Aug'!$D$2:$D$770,A559)*SUMIFS('Billing Aug'!$I$2:$I$770,'Billing Aug'!$D$2:$D$770,A559))</f>
        <v/>
      </c>
      <c r="Q559" s="37">
        <f>IF(N559=0,"NO AUG TRANSACTION IN SUPPLIED EXTRACT",IF(ABS(P559)&gt;0.004,"SUBLEDGER ARITHMETIC ERROR",IF(ABS(M559)&gt;0.004,"BILLING VARIANCE","MATCH")))</f>
        <v/>
      </c>
    </row>
    <row r="560">
      <c r="A560" s="37" t="inlineStr">
        <is>
          <t>EW-0424</t>
        </is>
      </c>
      <c r="B560" s="37" t="inlineStr">
        <is>
          <t>Eastwey</t>
        </is>
      </c>
      <c r="C560" s="37" t="inlineStr">
        <is>
          <t>OPEN</t>
        </is>
      </c>
      <c r="D560" s="37" t="inlineStr">
        <is>
          <t>OCCUPIED</t>
        </is>
      </c>
      <c r="E560" s="37" t="inlineStr">
        <is>
          <t>WL-03790</t>
        </is>
      </c>
      <c r="F560" s="37" t="inlineStr">
        <is>
          <t>Bradley Walker</t>
        </is>
      </c>
      <c r="G560" s="37" t="n">
        <v>45</v>
      </c>
      <c r="H560" s="39" t="n">
        <v>51.9</v>
      </c>
      <c r="I560" s="40">
        <f>ROUNDUP(MAX(G560,H560),0)</f>
        <v/>
      </c>
      <c r="J560" s="41">
        <f>IF(C560="COVERED",'Methodology'!$B$9,'Methodology'!$B$10)</f>
        <v/>
      </c>
      <c r="K560" s="41">
        <f>I560*J560</f>
        <v/>
      </c>
      <c r="L560" s="41">
        <f>SUMIFS('Billing Aug'!$J$2:$J$770,'Billing Aug'!$D$2:$D$770,A560)</f>
        <v/>
      </c>
      <c r="M560" s="41">
        <f>L560-K560</f>
        <v/>
      </c>
      <c r="N560" s="37">
        <f>COUNTIF('Billing Aug'!$D$2:$D$770,A560)</f>
        <v/>
      </c>
      <c r="O560" s="37">
        <f>SUMIFS('Billing Aug'!$F$2:$F$770,'Billing Aug'!$D$2:$D$770,A560)</f>
        <v/>
      </c>
      <c r="P560" s="41">
        <f>IF(N560=0,0,L560-SUMIFS('Billing Aug'!$H$2:$H$770,'Billing Aug'!$D$2:$D$770,A560)*SUMIFS('Billing Aug'!$I$2:$I$770,'Billing Aug'!$D$2:$D$770,A560))</f>
        <v/>
      </c>
      <c r="Q560" s="37">
        <f>IF(N560=0,"NO AUG TRANSACTION IN SUPPLIED EXTRACT",IF(ABS(P560)&gt;0.004,"SUBLEDGER ARITHMETIC ERROR",IF(ABS(M560)&gt;0.004,"BILLING VARIANCE","MATCH")))</f>
        <v/>
      </c>
    </row>
    <row r="561">
      <c r="A561" s="37" t="inlineStr">
        <is>
          <t>EW-0502</t>
        </is>
      </c>
      <c r="B561" s="37" t="inlineStr">
        <is>
          <t>Eastwey</t>
        </is>
      </c>
      <c r="C561" s="37" t="inlineStr">
        <is>
          <t>OPEN</t>
        </is>
      </c>
      <c r="D561" s="37" t="inlineStr">
        <is>
          <t>OCCUPIED</t>
        </is>
      </c>
      <c r="E561" s="37" t="inlineStr">
        <is>
          <t>WL-02559</t>
        </is>
      </c>
      <c r="F561" s="37" t="inlineStr">
        <is>
          <t>Joshua Alvarado</t>
        </is>
      </c>
      <c r="G561" s="37" t="n">
        <v>32</v>
      </c>
      <c r="H561" s="39" t="n">
        <v>46.4</v>
      </c>
      <c r="I561" s="40">
        <f>ROUNDUP(MAX(G561,H561),0)</f>
        <v/>
      </c>
      <c r="J561" s="41">
        <f>IF(C561="COVERED",'Methodology'!$B$9,'Methodology'!$B$10)</f>
        <v/>
      </c>
      <c r="K561" s="41">
        <f>I561*J561</f>
        <v/>
      </c>
      <c r="L561" s="41">
        <f>SUMIFS('Billing Aug'!$J$2:$J$770,'Billing Aug'!$D$2:$D$770,A561)</f>
        <v/>
      </c>
      <c r="M561" s="41">
        <f>L561-K561</f>
        <v/>
      </c>
      <c r="N561" s="37">
        <f>COUNTIF('Billing Aug'!$D$2:$D$770,A561)</f>
        <v/>
      </c>
      <c r="O561" s="37">
        <f>SUMIFS('Billing Aug'!$F$2:$F$770,'Billing Aug'!$D$2:$D$770,A561)</f>
        <v/>
      </c>
      <c r="P561" s="41">
        <f>IF(N561=0,0,L561-SUMIFS('Billing Aug'!$H$2:$H$770,'Billing Aug'!$D$2:$D$770,A561)*SUMIFS('Billing Aug'!$I$2:$I$770,'Billing Aug'!$D$2:$D$770,A561))</f>
        <v/>
      </c>
      <c r="Q561" s="37">
        <f>IF(N561=0,"NO AUG TRANSACTION IN SUPPLIED EXTRACT",IF(ABS(P561)&gt;0.004,"SUBLEDGER ARITHMETIC ERROR",IF(ABS(M561)&gt;0.004,"BILLING VARIANCE","MATCH")))</f>
        <v/>
      </c>
    </row>
    <row r="562">
      <c r="A562" s="37" t="inlineStr">
        <is>
          <t>EW-0503</t>
        </is>
      </c>
      <c r="B562" s="37" t="inlineStr">
        <is>
          <t>Eastwey</t>
        </is>
      </c>
      <c r="C562" s="37" t="inlineStr">
        <is>
          <t>OPEN</t>
        </is>
      </c>
      <c r="D562" s="37" t="inlineStr">
        <is>
          <t>OCCUPIED</t>
        </is>
      </c>
      <c r="E562" s="37" t="inlineStr">
        <is>
          <t>WL-01756</t>
        </is>
      </c>
      <c r="F562" s="37" t="inlineStr">
        <is>
          <t>Alexander Mcdonald</t>
        </is>
      </c>
      <c r="G562" s="37" t="n">
        <v>36</v>
      </c>
      <c r="H562" s="39" t="n">
        <v>58.9</v>
      </c>
      <c r="I562" s="40">
        <f>ROUNDUP(MAX(G562,H562),0)</f>
        <v/>
      </c>
      <c r="J562" s="41">
        <f>IF(C562="COVERED",'Methodology'!$B$9,'Methodology'!$B$10)</f>
        <v/>
      </c>
      <c r="K562" s="41">
        <f>I562*J562</f>
        <v/>
      </c>
      <c r="L562" s="41">
        <f>SUMIFS('Billing Aug'!$J$2:$J$770,'Billing Aug'!$D$2:$D$770,A562)</f>
        <v/>
      </c>
      <c r="M562" s="41">
        <f>L562-K562</f>
        <v/>
      </c>
      <c r="N562" s="37">
        <f>COUNTIF('Billing Aug'!$D$2:$D$770,A562)</f>
        <v/>
      </c>
      <c r="O562" s="37">
        <f>SUMIFS('Billing Aug'!$F$2:$F$770,'Billing Aug'!$D$2:$D$770,A562)</f>
        <v/>
      </c>
      <c r="P562" s="41">
        <f>IF(N562=0,0,L562-SUMIFS('Billing Aug'!$H$2:$H$770,'Billing Aug'!$D$2:$D$770,A562)*SUMIFS('Billing Aug'!$I$2:$I$770,'Billing Aug'!$D$2:$D$770,A562))</f>
        <v/>
      </c>
      <c r="Q562" s="37">
        <f>IF(N562=0,"NO AUG TRANSACTION IN SUPPLIED EXTRACT",IF(ABS(P562)&gt;0.004,"SUBLEDGER ARITHMETIC ERROR",IF(ABS(M562)&gt;0.004,"BILLING VARIANCE","MATCH")))</f>
        <v/>
      </c>
    </row>
    <row r="563">
      <c r="A563" s="37" t="inlineStr">
        <is>
          <t>EW-0504</t>
        </is>
      </c>
      <c r="B563" s="37" t="inlineStr">
        <is>
          <t>Eastwey</t>
        </is>
      </c>
      <c r="C563" s="37" t="inlineStr">
        <is>
          <t>OPEN</t>
        </is>
      </c>
      <c r="D563" s="37" t="inlineStr">
        <is>
          <t>OCCUPIED</t>
        </is>
      </c>
      <c r="E563" s="37" t="inlineStr">
        <is>
          <t>WL-02218</t>
        </is>
      </c>
      <c r="F563" s="37" t="inlineStr">
        <is>
          <t>Dawn Mccarthy</t>
        </is>
      </c>
      <c r="G563" s="37" t="n">
        <v>28</v>
      </c>
      <c r="H563" s="39" t="n">
        <v>54.2</v>
      </c>
      <c r="I563" s="40">
        <f>ROUNDUP(MAX(G563,H563),0)</f>
        <v/>
      </c>
      <c r="J563" s="41">
        <f>IF(C563="COVERED",'Methodology'!$B$9,'Methodology'!$B$10)</f>
        <v/>
      </c>
      <c r="K563" s="41">
        <f>I563*J563</f>
        <v/>
      </c>
      <c r="L563" s="41">
        <f>SUMIFS('Billing Aug'!$J$2:$J$770,'Billing Aug'!$D$2:$D$770,A563)</f>
        <v/>
      </c>
      <c r="M563" s="41">
        <f>L563-K563</f>
        <v/>
      </c>
      <c r="N563" s="37">
        <f>COUNTIF('Billing Aug'!$D$2:$D$770,A563)</f>
        <v/>
      </c>
      <c r="O563" s="37">
        <f>SUMIFS('Billing Aug'!$F$2:$F$770,'Billing Aug'!$D$2:$D$770,A563)</f>
        <v/>
      </c>
      <c r="P563" s="41">
        <f>IF(N563=0,0,L563-SUMIFS('Billing Aug'!$H$2:$H$770,'Billing Aug'!$D$2:$D$770,A563)*SUMIFS('Billing Aug'!$I$2:$I$770,'Billing Aug'!$D$2:$D$770,A563))</f>
        <v/>
      </c>
      <c r="Q563" s="37">
        <f>IF(N563=0,"NO AUG TRANSACTION IN SUPPLIED EXTRACT",IF(ABS(P563)&gt;0.004,"SUBLEDGER ARITHMETIC ERROR",IF(ABS(M563)&gt;0.004,"BILLING VARIANCE","MATCH")))</f>
        <v/>
      </c>
    </row>
    <row r="564">
      <c r="A564" s="37" t="inlineStr">
        <is>
          <t>EW-0505</t>
        </is>
      </c>
      <c r="B564" s="37" t="inlineStr">
        <is>
          <t>Eastwey</t>
        </is>
      </c>
      <c r="C564" s="37" t="inlineStr">
        <is>
          <t>OPEN</t>
        </is>
      </c>
      <c r="D564" s="37" t="inlineStr">
        <is>
          <t>OCCUPIED</t>
        </is>
      </c>
      <c r="E564" s="37" t="inlineStr">
        <is>
          <t>WL-02464</t>
        </is>
      </c>
      <c r="F564" s="37" t="inlineStr">
        <is>
          <t>Lisa Perez</t>
        </is>
      </c>
      <c r="G564" s="37" t="n">
        <v>32</v>
      </c>
      <c r="H564" s="39" t="n">
        <v>26.2</v>
      </c>
      <c r="I564" s="40">
        <f>ROUNDUP(MAX(G564,H564),0)</f>
        <v/>
      </c>
      <c r="J564" s="41">
        <f>IF(C564="COVERED",'Methodology'!$B$9,'Methodology'!$B$10)</f>
        <v/>
      </c>
      <c r="K564" s="41">
        <f>I564*J564</f>
        <v/>
      </c>
      <c r="L564" s="41">
        <f>SUMIFS('Billing Aug'!$J$2:$J$770,'Billing Aug'!$D$2:$D$770,A564)</f>
        <v/>
      </c>
      <c r="M564" s="41">
        <f>L564-K564</f>
        <v/>
      </c>
      <c r="N564" s="37">
        <f>COUNTIF('Billing Aug'!$D$2:$D$770,A564)</f>
        <v/>
      </c>
      <c r="O564" s="37">
        <f>SUMIFS('Billing Aug'!$F$2:$F$770,'Billing Aug'!$D$2:$D$770,A564)</f>
        <v/>
      </c>
      <c r="P564" s="41">
        <f>IF(N564=0,0,L564-SUMIFS('Billing Aug'!$H$2:$H$770,'Billing Aug'!$D$2:$D$770,A564)*SUMIFS('Billing Aug'!$I$2:$I$770,'Billing Aug'!$D$2:$D$770,A564))</f>
        <v/>
      </c>
      <c r="Q564" s="37">
        <f>IF(N564=0,"NO AUG TRANSACTION IN SUPPLIED EXTRACT",IF(ABS(P564)&gt;0.004,"SUBLEDGER ARITHMETIC ERROR",IF(ABS(M564)&gt;0.004,"BILLING VARIANCE","MATCH")))</f>
        <v/>
      </c>
    </row>
    <row r="565">
      <c r="A565" s="37" t="inlineStr">
        <is>
          <t>EW-0506</t>
        </is>
      </c>
      <c r="B565" s="37" t="inlineStr">
        <is>
          <t>Eastwey</t>
        </is>
      </c>
      <c r="C565" s="37" t="inlineStr">
        <is>
          <t>OPEN</t>
        </is>
      </c>
      <c r="D565" s="37" t="inlineStr">
        <is>
          <t>OCCUPIED</t>
        </is>
      </c>
      <c r="E565" s="37" t="inlineStr">
        <is>
          <t>WL-01608</t>
        </is>
      </c>
      <c r="F565" s="37" t="inlineStr">
        <is>
          <t>Madeline Wright</t>
        </is>
      </c>
      <c r="G565" s="37" t="n">
        <v>60</v>
      </c>
      <c r="H565" s="39" t="n">
        <v>37.4</v>
      </c>
      <c r="I565" s="40">
        <f>ROUNDUP(MAX(G565,H565),0)</f>
        <v/>
      </c>
      <c r="J565" s="41">
        <f>IF(C565="COVERED",'Methodology'!$B$9,'Methodology'!$B$10)</f>
        <v/>
      </c>
      <c r="K565" s="41">
        <f>I565*J565</f>
        <v/>
      </c>
      <c r="L565" s="41">
        <f>SUMIFS('Billing Aug'!$J$2:$J$770,'Billing Aug'!$D$2:$D$770,A565)</f>
        <v/>
      </c>
      <c r="M565" s="41">
        <f>L565-K565</f>
        <v/>
      </c>
      <c r="N565" s="37">
        <f>COUNTIF('Billing Aug'!$D$2:$D$770,A565)</f>
        <v/>
      </c>
      <c r="O565" s="37">
        <f>SUMIFS('Billing Aug'!$F$2:$F$770,'Billing Aug'!$D$2:$D$770,A565)</f>
        <v/>
      </c>
      <c r="P565" s="41">
        <f>IF(N565=0,0,L565-SUMIFS('Billing Aug'!$H$2:$H$770,'Billing Aug'!$D$2:$D$770,A565)*SUMIFS('Billing Aug'!$I$2:$I$770,'Billing Aug'!$D$2:$D$770,A565))</f>
        <v/>
      </c>
      <c r="Q565" s="37">
        <f>IF(N565=0,"NO AUG TRANSACTION IN SUPPLIED EXTRACT",IF(ABS(P565)&gt;0.004,"SUBLEDGER ARITHMETIC ERROR",IF(ABS(M565)&gt;0.004,"BILLING VARIANCE","MATCH")))</f>
        <v/>
      </c>
    </row>
    <row r="566">
      <c r="A566" s="37" t="inlineStr">
        <is>
          <t>EW-0507</t>
        </is>
      </c>
      <c r="B566" s="37" t="inlineStr">
        <is>
          <t>Eastwey</t>
        </is>
      </c>
      <c r="C566" s="37" t="inlineStr">
        <is>
          <t>OPEN</t>
        </is>
      </c>
      <c r="D566" s="37" t="inlineStr">
        <is>
          <t>OCCUPIED</t>
        </is>
      </c>
      <c r="E566" s="37" t="inlineStr">
        <is>
          <t>WL-02869</t>
        </is>
      </c>
      <c r="F566" s="37" t="inlineStr">
        <is>
          <t>George Robbins</t>
        </is>
      </c>
      <c r="G566" s="37" t="n">
        <v>70</v>
      </c>
      <c r="H566" s="39" t="n">
        <v>55.2</v>
      </c>
      <c r="I566" s="40">
        <f>ROUNDUP(MAX(G566,H566),0)</f>
        <v/>
      </c>
      <c r="J566" s="41">
        <f>IF(C566="COVERED",'Methodology'!$B$9,'Methodology'!$B$10)</f>
        <v/>
      </c>
      <c r="K566" s="41">
        <f>I566*J566</f>
        <v/>
      </c>
      <c r="L566" s="41">
        <f>SUMIFS('Billing Aug'!$J$2:$J$770,'Billing Aug'!$D$2:$D$770,A566)</f>
        <v/>
      </c>
      <c r="M566" s="41">
        <f>L566-K566</f>
        <v/>
      </c>
      <c r="N566" s="37">
        <f>COUNTIF('Billing Aug'!$D$2:$D$770,A566)</f>
        <v/>
      </c>
      <c r="O566" s="37">
        <f>SUMIFS('Billing Aug'!$F$2:$F$770,'Billing Aug'!$D$2:$D$770,A566)</f>
        <v/>
      </c>
      <c r="P566" s="41">
        <f>IF(N566=0,0,L566-SUMIFS('Billing Aug'!$H$2:$H$770,'Billing Aug'!$D$2:$D$770,A566)*SUMIFS('Billing Aug'!$I$2:$I$770,'Billing Aug'!$D$2:$D$770,A566))</f>
        <v/>
      </c>
      <c r="Q566" s="37">
        <f>IF(N566=0,"NO AUG TRANSACTION IN SUPPLIED EXTRACT",IF(ABS(P566)&gt;0.004,"SUBLEDGER ARITHMETIC ERROR",IF(ABS(M566)&gt;0.004,"BILLING VARIANCE","MATCH")))</f>
        <v/>
      </c>
    </row>
    <row r="567">
      <c r="A567" s="37" t="inlineStr">
        <is>
          <t>EW-0508</t>
        </is>
      </c>
      <c r="B567" s="37" t="inlineStr">
        <is>
          <t>Eastwey</t>
        </is>
      </c>
      <c r="C567" s="37" t="inlineStr">
        <is>
          <t>OPEN</t>
        </is>
      </c>
      <c r="D567" s="37" t="inlineStr">
        <is>
          <t>OCCUPIED</t>
        </is>
      </c>
      <c r="E567" s="37" t="inlineStr">
        <is>
          <t>WL-03534</t>
        </is>
      </c>
      <c r="F567" s="37" t="inlineStr">
        <is>
          <t>Henry Morris</t>
        </is>
      </c>
      <c r="G567" s="37" t="n">
        <v>36</v>
      </c>
      <c r="H567" s="39" t="n">
        <v>59.7</v>
      </c>
      <c r="I567" s="40">
        <f>ROUNDUP(MAX(G567,H567),0)</f>
        <v/>
      </c>
      <c r="J567" s="41">
        <f>IF(C567="COVERED",'Methodology'!$B$9,'Methodology'!$B$10)</f>
        <v/>
      </c>
      <c r="K567" s="41">
        <f>I567*J567</f>
        <v/>
      </c>
      <c r="L567" s="41">
        <f>SUMIFS('Billing Aug'!$J$2:$J$770,'Billing Aug'!$D$2:$D$770,A567)</f>
        <v/>
      </c>
      <c r="M567" s="41">
        <f>L567-K567</f>
        <v/>
      </c>
      <c r="N567" s="37">
        <f>COUNTIF('Billing Aug'!$D$2:$D$770,A567)</f>
        <v/>
      </c>
      <c r="O567" s="37">
        <f>SUMIFS('Billing Aug'!$F$2:$F$770,'Billing Aug'!$D$2:$D$770,A567)</f>
        <v/>
      </c>
      <c r="P567" s="41">
        <f>IF(N567=0,0,L567-SUMIFS('Billing Aug'!$H$2:$H$770,'Billing Aug'!$D$2:$D$770,A567)*SUMIFS('Billing Aug'!$I$2:$I$770,'Billing Aug'!$D$2:$D$770,A567))</f>
        <v/>
      </c>
      <c r="Q567" s="37">
        <f>IF(N567=0,"NO AUG TRANSACTION IN SUPPLIED EXTRACT",IF(ABS(P567)&gt;0.004,"SUBLEDGER ARITHMETIC ERROR",IF(ABS(M567)&gt;0.004,"BILLING VARIANCE","MATCH")))</f>
        <v/>
      </c>
    </row>
    <row r="568">
      <c r="A568" s="37" t="inlineStr">
        <is>
          <t>EW-0510</t>
        </is>
      </c>
      <c r="B568" s="37" t="inlineStr">
        <is>
          <t>Eastwey</t>
        </is>
      </c>
      <c r="C568" s="37" t="inlineStr">
        <is>
          <t>OPEN</t>
        </is>
      </c>
      <c r="D568" s="37" t="inlineStr">
        <is>
          <t>OCCUPIED</t>
        </is>
      </c>
      <c r="E568" s="37" t="inlineStr">
        <is>
          <t>WL-03346</t>
        </is>
      </c>
      <c r="F568" s="37" t="inlineStr">
        <is>
          <t>Andrew Miller</t>
        </is>
      </c>
      <c r="G568" s="37" t="n">
        <v>28</v>
      </c>
      <c r="H568" s="39" t="n">
        <v>52.5</v>
      </c>
      <c r="I568" s="40">
        <f>ROUNDUP(MAX(G568,H568),0)</f>
        <v/>
      </c>
      <c r="J568" s="41">
        <f>IF(C568="COVERED",'Methodology'!$B$9,'Methodology'!$B$10)</f>
        <v/>
      </c>
      <c r="K568" s="41">
        <f>I568*J568</f>
        <v/>
      </c>
      <c r="L568" s="41">
        <f>SUMIFS('Billing Aug'!$J$2:$J$770,'Billing Aug'!$D$2:$D$770,A568)</f>
        <v/>
      </c>
      <c r="M568" s="41">
        <f>L568-K568</f>
        <v/>
      </c>
      <c r="N568" s="37">
        <f>COUNTIF('Billing Aug'!$D$2:$D$770,A568)</f>
        <v/>
      </c>
      <c r="O568" s="37">
        <f>SUMIFS('Billing Aug'!$F$2:$F$770,'Billing Aug'!$D$2:$D$770,A568)</f>
        <v/>
      </c>
      <c r="P568" s="41">
        <f>IF(N568=0,0,L568-SUMIFS('Billing Aug'!$H$2:$H$770,'Billing Aug'!$D$2:$D$770,A568)*SUMIFS('Billing Aug'!$I$2:$I$770,'Billing Aug'!$D$2:$D$770,A568))</f>
        <v/>
      </c>
      <c r="Q568" s="37">
        <f>IF(N568=0,"NO AUG TRANSACTION IN SUPPLIED EXTRACT",IF(ABS(P568)&gt;0.004,"SUBLEDGER ARITHMETIC ERROR",IF(ABS(M568)&gt;0.004,"BILLING VARIANCE","MATCH")))</f>
        <v/>
      </c>
    </row>
    <row r="569">
      <c r="A569" s="37" t="inlineStr">
        <is>
          <t>EW-0511</t>
        </is>
      </c>
      <c r="B569" s="37" t="inlineStr">
        <is>
          <t>Eastwey</t>
        </is>
      </c>
      <c r="C569" s="37" t="inlineStr">
        <is>
          <t>OPEN</t>
        </is>
      </c>
      <c r="D569" s="37" t="inlineStr">
        <is>
          <t>OCCUPIED</t>
        </is>
      </c>
      <c r="E569" s="37" t="inlineStr">
        <is>
          <t>WL-03287</t>
        </is>
      </c>
      <c r="F569" s="37" t="inlineStr">
        <is>
          <t>Deborah Holmes</t>
        </is>
      </c>
      <c r="G569" s="37" t="n">
        <v>28</v>
      </c>
      <c r="H569" s="39" t="n">
        <v>35.3</v>
      </c>
      <c r="I569" s="40">
        <f>ROUNDUP(MAX(G569,H569),0)</f>
        <v/>
      </c>
      <c r="J569" s="41">
        <f>IF(C569="COVERED",'Methodology'!$B$9,'Methodology'!$B$10)</f>
        <v/>
      </c>
      <c r="K569" s="41">
        <f>I569*J569</f>
        <v/>
      </c>
      <c r="L569" s="41">
        <f>SUMIFS('Billing Aug'!$J$2:$J$770,'Billing Aug'!$D$2:$D$770,A569)</f>
        <v/>
      </c>
      <c r="M569" s="41">
        <f>L569-K569</f>
        <v/>
      </c>
      <c r="N569" s="37">
        <f>COUNTIF('Billing Aug'!$D$2:$D$770,A569)</f>
        <v/>
      </c>
      <c r="O569" s="37">
        <f>SUMIFS('Billing Aug'!$F$2:$F$770,'Billing Aug'!$D$2:$D$770,A569)</f>
        <v/>
      </c>
      <c r="P569" s="41">
        <f>IF(N569=0,0,L569-SUMIFS('Billing Aug'!$H$2:$H$770,'Billing Aug'!$D$2:$D$770,A569)*SUMIFS('Billing Aug'!$I$2:$I$770,'Billing Aug'!$D$2:$D$770,A569))</f>
        <v/>
      </c>
      <c r="Q569" s="37">
        <f>IF(N569=0,"NO AUG TRANSACTION IN SUPPLIED EXTRACT",IF(ABS(P569)&gt;0.004,"SUBLEDGER ARITHMETIC ERROR",IF(ABS(M569)&gt;0.004,"BILLING VARIANCE","MATCH")))</f>
        <v/>
      </c>
    </row>
    <row r="570">
      <c r="A570" s="37" t="inlineStr">
        <is>
          <t>EW-0512</t>
        </is>
      </c>
      <c r="B570" s="37" t="inlineStr">
        <is>
          <t>Eastwey</t>
        </is>
      </c>
      <c r="C570" s="37" t="inlineStr">
        <is>
          <t>OPEN</t>
        </is>
      </c>
      <c r="D570" s="37" t="inlineStr">
        <is>
          <t>OCCUPIED</t>
        </is>
      </c>
      <c r="E570" s="37" t="inlineStr">
        <is>
          <t>WL-02879</t>
        </is>
      </c>
      <c r="F570" s="37" t="inlineStr">
        <is>
          <t>Vincent Long</t>
        </is>
      </c>
      <c r="G570" s="37" t="n">
        <v>60</v>
      </c>
      <c r="H570" s="39" t="n">
        <v>43.8</v>
      </c>
      <c r="I570" s="40">
        <f>ROUNDUP(MAX(G570,H570),0)</f>
        <v/>
      </c>
      <c r="J570" s="41">
        <f>IF(C570="COVERED",'Methodology'!$B$9,'Methodology'!$B$10)</f>
        <v/>
      </c>
      <c r="K570" s="41">
        <f>I570*J570</f>
        <v/>
      </c>
      <c r="L570" s="41">
        <f>SUMIFS('Billing Aug'!$J$2:$J$770,'Billing Aug'!$D$2:$D$770,A570)</f>
        <v/>
      </c>
      <c r="M570" s="41">
        <f>L570-K570</f>
        <v/>
      </c>
      <c r="N570" s="37">
        <f>COUNTIF('Billing Aug'!$D$2:$D$770,A570)</f>
        <v/>
      </c>
      <c r="O570" s="37">
        <f>SUMIFS('Billing Aug'!$F$2:$F$770,'Billing Aug'!$D$2:$D$770,A570)</f>
        <v/>
      </c>
      <c r="P570" s="41">
        <f>IF(N570=0,0,L570-SUMIFS('Billing Aug'!$H$2:$H$770,'Billing Aug'!$D$2:$D$770,A570)*SUMIFS('Billing Aug'!$I$2:$I$770,'Billing Aug'!$D$2:$D$770,A570))</f>
        <v/>
      </c>
      <c r="Q570" s="37">
        <f>IF(N570=0,"NO AUG TRANSACTION IN SUPPLIED EXTRACT",IF(ABS(P570)&gt;0.004,"SUBLEDGER ARITHMETIC ERROR",IF(ABS(M570)&gt;0.004,"BILLING VARIANCE","MATCH")))</f>
        <v/>
      </c>
    </row>
    <row r="571">
      <c r="A571" s="37" t="inlineStr">
        <is>
          <t>EW-0513</t>
        </is>
      </c>
      <c r="B571" s="37" t="inlineStr">
        <is>
          <t>Eastwey</t>
        </is>
      </c>
      <c r="C571" s="37" t="inlineStr">
        <is>
          <t>OPEN</t>
        </is>
      </c>
      <c r="D571" s="37" t="inlineStr">
        <is>
          <t>OCCUPIED</t>
        </is>
      </c>
      <c r="E571" s="37" t="inlineStr">
        <is>
          <t>WL-01694</t>
        </is>
      </c>
      <c r="F571" s="37" t="inlineStr">
        <is>
          <t>Cory Aguirre</t>
        </is>
      </c>
      <c r="G571" s="37" t="n">
        <v>24</v>
      </c>
      <c r="H571" s="39" t="n">
        <v>40.1</v>
      </c>
      <c r="I571" s="40">
        <f>ROUNDUP(MAX(G571,H571),0)</f>
        <v/>
      </c>
      <c r="J571" s="41">
        <f>IF(C571="COVERED",'Methodology'!$B$9,'Methodology'!$B$10)</f>
        <v/>
      </c>
      <c r="K571" s="41">
        <f>I571*J571</f>
        <v/>
      </c>
      <c r="L571" s="41">
        <f>SUMIFS('Billing Aug'!$J$2:$J$770,'Billing Aug'!$D$2:$D$770,A571)</f>
        <v/>
      </c>
      <c r="M571" s="41">
        <f>L571-K571</f>
        <v/>
      </c>
      <c r="N571" s="37">
        <f>COUNTIF('Billing Aug'!$D$2:$D$770,A571)</f>
        <v/>
      </c>
      <c r="O571" s="37">
        <f>SUMIFS('Billing Aug'!$F$2:$F$770,'Billing Aug'!$D$2:$D$770,A571)</f>
        <v/>
      </c>
      <c r="P571" s="41">
        <f>IF(N571=0,0,L571-SUMIFS('Billing Aug'!$H$2:$H$770,'Billing Aug'!$D$2:$D$770,A571)*SUMIFS('Billing Aug'!$I$2:$I$770,'Billing Aug'!$D$2:$D$770,A571))</f>
        <v/>
      </c>
      <c r="Q571" s="37">
        <f>IF(N571=0,"NO AUG TRANSACTION IN SUPPLIED EXTRACT",IF(ABS(P571)&gt;0.004,"SUBLEDGER ARITHMETIC ERROR",IF(ABS(M571)&gt;0.004,"BILLING VARIANCE","MATCH")))</f>
        <v/>
      </c>
    </row>
    <row r="572">
      <c r="A572" s="37" t="inlineStr">
        <is>
          <t>EW-0514</t>
        </is>
      </c>
      <c r="B572" s="37" t="inlineStr">
        <is>
          <t>Eastwey</t>
        </is>
      </c>
      <c r="C572" s="37" t="inlineStr">
        <is>
          <t>OPEN</t>
        </is>
      </c>
      <c r="D572" s="37" t="inlineStr">
        <is>
          <t>OCCUPIED</t>
        </is>
      </c>
      <c r="E572" s="37" t="inlineStr">
        <is>
          <t>WL-02692</t>
        </is>
      </c>
      <c r="F572" s="37" t="inlineStr">
        <is>
          <t>Benjamin Vasquez</t>
        </is>
      </c>
      <c r="G572" s="37" t="n">
        <v>24</v>
      </c>
      <c r="H572" s="39" t="n">
        <v>50.2</v>
      </c>
      <c r="I572" s="40">
        <f>ROUNDUP(MAX(G572,H572),0)</f>
        <v/>
      </c>
      <c r="J572" s="41">
        <f>IF(C572="COVERED",'Methodology'!$B$9,'Methodology'!$B$10)</f>
        <v/>
      </c>
      <c r="K572" s="41">
        <f>I572*J572</f>
        <v/>
      </c>
      <c r="L572" s="41">
        <f>SUMIFS('Billing Aug'!$J$2:$J$770,'Billing Aug'!$D$2:$D$770,A572)</f>
        <v/>
      </c>
      <c r="M572" s="41">
        <f>L572-K572</f>
        <v/>
      </c>
      <c r="N572" s="37">
        <f>COUNTIF('Billing Aug'!$D$2:$D$770,A572)</f>
        <v/>
      </c>
      <c r="O572" s="37">
        <f>SUMIFS('Billing Aug'!$F$2:$F$770,'Billing Aug'!$D$2:$D$770,A572)</f>
        <v/>
      </c>
      <c r="P572" s="41">
        <f>IF(N572=0,0,L572-SUMIFS('Billing Aug'!$H$2:$H$770,'Billing Aug'!$D$2:$D$770,A572)*SUMIFS('Billing Aug'!$I$2:$I$770,'Billing Aug'!$D$2:$D$770,A572))</f>
        <v/>
      </c>
      <c r="Q572" s="37">
        <f>IF(N572=0,"NO AUG TRANSACTION IN SUPPLIED EXTRACT",IF(ABS(P572)&gt;0.004,"SUBLEDGER ARITHMETIC ERROR",IF(ABS(M572)&gt;0.004,"BILLING VARIANCE","MATCH")))</f>
        <v/>
      </c>
    </row>
    <row r="573">
      <c r="A573" s="37" t="inlineStr">
        <is>
          <t>EW-0515</t>
        </is>
      </c>
      <c r="B573" s="37" t="inlineStr">
        <is>
          <t>Eastwey</t>
        </is>
      </c>
      <c r="C573" s="37" t="inlineStr">
        <is>
          <t>OPEN</t>
        </is>
      </c>
      <c r="D573" s="37" t="inlineStr">
        <is>
          <t>OCCUPIED</t>
        </is>
      </c>
      <c r="E573" s="37" t="inlineStr">
        <is>
          <t>WL-01936</t>
        </is>
      </c>
      <c r="F573" s="37" t="inlineStr">
        <is>
          <t>Deanna Livingston</t>
        </is>
      </c>
      <c r="G573" s="37" t="n">
        <v>24</v>
      </c>
      <c r="H573" s="39" t="n">
        <v>61</v>
      </c>
      <c r="I573" s="40">
        <f>ROUNDUP(MAX(G573,H573),0)</f>
        <v/>
      </c>
      <c r="J573" s="41">
        <f>IF(C573="COVERED",'Methodology'!$B$9,'Methodology'!$B$10)</f>
        <v/>
      </c>
      <c r="K573" s="41">
        <f>I573*J573</f>
        <v/>
      </c>
      <c r="L573" s="41">
        <f>SUMIFS('Billing Aug'!$J$2:$J$770,'Billing Aug'!$D$2:$D$770,A573)</f>
        <v/>
      </c>
      <c r="M573" s="41">
        <f>L573-K573</f>
        <v/>
      </c>
      <c r="N573" s="37">
        <f>COUNTIF('Billing Aug'!$D$2:$D$770,A573)</f>
        <v/>
      </c>
      <c r="O573" s="37">
        <f>SUMIFS('Billing Aug'!$F$2:$F$770,'Billing Aug'!$D$2:$D$770,A573)</f>
        <v/>
      </c>
      <c r="P573" s="41">
        <f>IF(N573=0,0,L573-SUMIFS('Billing Aug'!$H$2:$H$770,'Billing Aug'!$D$2:$D$770,A573)*SUMIFS('Billing Aug'!$I$2:$I$770,'Billing Aug'!$D$2:$D$770,A573))</f>
        <v/>
      </c>
      <c r="Q573" s="37">
        <f>IF(N573=0,"NO AUG TRANSACTION IN SUPPLIED EXTRACT",IF(ABS(P573)&gt;0.004,"SUBLEDGER ARITHMETIC ERROR",IF(ABS(M573)&gt;0.004,"BILLING VARIANCE","MATCH")))</f>
        <v/>
      </c>
    </row>
    <row r="574">
      <c r="A574" s="37" t="inlineStr">
        <is>
          <t>EW-0516</t>
        </is>
      </c>
      <c r="B574" s="37" t="inlineStr">
        <is>
          <t>Eastwey</t>
        </is>
      </c>
      <c r="C574" s="37" t="inlineStr">
        <is>
          <t>OPEN</t>
        </is>
      </c>
      <c r="D574" s="37" t="inlineStr">
        <is>
          <t>OCCUPIED</t>
        </is>
      </c>
      <c r="E574" s="37" t="inlineStr">
        <is>
          <t>WL-03909</t>
        </is>
      </c>
      <c r="F574" s="37" t="inlineStr">
        <is>
          <t>Elizabeth Edwards</t>
        </is>
      </c>
      <c r="G574" s="37" t="n">
        <v>40</v>
      </c>
      <c r="H574" s="39" t="n">
        <v>30.5</v>
      </c>
      <c r="I574" s="40">
        <f>ROUNDUP(MAX(G574,H574),0)</f>
        <v/>
      </c>
      <c r="J574" s="41">
        <f>IF(C574="COVERED",'Methodology'!$B$9,'Methodology'!$B$10)</f>
        <v/>
      </c>
      <c r="K574" s="41">
        <f>I574*J574</f>
        <v/>
      </c>
      <c r="L574" s="41">
        <f>SUMIFS('Billing Aug'!$J$2:$J$770,'Billing Aug'!$D$2:$D$770,A574)</f>
        <v/>
      </c>
      <c r="M574" s="41">
        <f>L574-K574</f>
        <v/>
      </c>
      <c r="N574" s="37">
        <f>COUNTIF('Billing Aug'!$D$2:$D$770,A574)</f>
        <v/>
      </c>
      <c r="O574" s="37">
        <f>SUMIFS('Billing Aug'!$F$2:$F$770,'Billing Aug'!$D$2:$D$770,A574)</f>
        <v/>
      </c>
      <c r="P574" s="41">
        <f>IF(N574=0,0,L574-SUMIFS('Billing Aug'!$H$2:$H$770,'Billing Aug'!$D$2:$D$770,A574)*SUMIFS('Billing Aug'!$I$2:$I$770,'Billing Aug'!$D$2:$D$770,A574))</f>
        <v/>
      </c>
      <c r="Q574" s="37">
        <f>IF(N574=0,"NO AUG TRANSACTION IN SUPPLIED EXTRACT",IF(ABS(P574)&gt;0.004,"SUBLEDGER ARITHMETIC ERROR",IF(ABS(M574)&gt;0.004,"BILLING VARIANCE","MATCH")))</f>
        <v/>
      </c>
    </row>
    <row r="575">
      <c r="A575" s="37" t="inlineStr">
        <is>
          <t>EW-0517</t>
        </is>
      </c>
      <c r="B575" s="37" t="inlineStr">
        <is>
          <t>Eastwey</t>
        </is>
      </c>
      <c r="C575" s="37" t="inlineStr">
        <is>
          <t>OPEN</t>
        </is>
      </c>
      <c r="D575" s="37" t="inlineStr">
        <is>
          <t>OCCUPIED</t>
        </is>
      </c>
      <c r="E575" s="37" t="inlineStr">
        <is>
          <t>WL-01673</t>
        </is>
      </c>
      <c r="F575" s="37" t="inlineStr">
        <is>
          <t>Kellie Lee</t>
        </is>
      </c>
      <c r="G575" s="37" t="n">
        <v>24</v>
      </c>
      <c r="H575" s="39" t="n">
        <v>38.6</v>
      </c>
      <c r="I575" s="40">
        <f>ROUNDUP(MAX(G575,H575),0)</f>
        <v/>
      </c>
      <c r="J575" s="41">
        <f>IF(C575="COVERED",'Methodology'!$B$9,'Methodology'!$B$10)</f>
        <v/>
      </c>
      <c r="K575" s="41">
        <f>I575*J575</f>
        <v/>
      </c>
      <c r="L575" s="41">
        <f>SUMIFS('Billing Aug'!$J$2:$J$770,'Billing Aug'!$D$2:$D$770,A575)</f>
        <v/>
      </c>
      <c r="M575" s="41">
        <f>L575-K575</f>
        <v/>
      </c>
      <c r="N575" s="37">
        <f>COUNTIF('Billing Aug'!$D$2:$D$770,A575)</f>
        <v/>
      </c>
      <c r="O575" s="37">
        <f>SUMIFS('Billing Aug'!$F$2:$F$770,'Billing Aug'!$D$2:$D$770,A575)</f>
        <v/>
      </c>
      <c r="P575" s="41">
        <f>IF(N575=0,0,L575-SUMIFS('Billing Aug'!$H$2:$H$770,'Billing Aug'!$D$2:$D$770,A575)*SUMIFS('Billing Aug'!$I$2:$I$770,'Billing Aug'!$D$2:$D$770,A575))</f>
        <v/>
      </c>
      <c r="Q575" s="37">
        <f>IF(N575=0,"NO AUG TRANSACTION IN SUPPLIED EXTRACT",IF(ABS(P575)&gt;0.004,"SUBLEDGER ARITHMETIC ERROR",IF(ABS(M575)&gt;0.004,"BILLING VARIANCE","MATCH")))</f>
        <v/>
      </c>
    </row>
    <row r="576">
      <c r="A576" s="37" t="inlineStr">
        <is>
          <t>EW-0518</t>
        </is>
      </c>
      <c r="B576" s="37" t="inlineStr">
        <is>
          <t>Eastwey</t>
        </is>
      </c>
      <c r="C576" s="37" t="inlineStr">
        <is>
          <t>OPEN</t>
        </is>
      </c>
      <c r="D576" s="37" t="inlineStr">
        <is>
          <t>OCCUPIED</t>
        </is>
      </c>
      <c r="E576" s="37" t="inlineStr">
        <is>
          <t>WL-01433</t>
        </is>
      </c>
      <c r="F576" s="37" t="inlineStr">
        <is>
          <t>Lisa Aguilar</t>
        </is>
      </c>
      <c r="G576" s="37" t="n">
        <v>50</v>
      </c>
      <c r="H576" s="39" t="n">
        <v>36.8</v>
      </c>
      <c r="I576" s="40">
        <f>ROUNDUP(MAX(G576,H576),0)</f>
        <v/>
      </c>
      <c r="J576" s="41">
        <f>IF(C576="COVERED",'Methodology'!$B$9,'Methodology'!$B$10)</f>
        <v/>
      </c>
      <c r="K576" s="41">
        <f>I576*J576</f>
        <v/>
      </c>
      <c r="L576" s="41">
        <f>SUMIFS('Billing Aug'!$J$2:$J$770,'Billing Aug'!$D$2:$D$770,A576)</f>
        <v/>
      </c>
      <c r="M576" s="41">
        <f>L576-K576</f>
        <v/>
      </c>
      <c r="N576" s="37">
        <f>COUNTIF('Billing Aug'!$D$2:$D$770,A576)</f>
        <v/>
      </c>
      <c r="O576" s="37">
        <f>SUMIFS('Billing Aug'!$F$2:$F$770,'Billing Aug'!$D$2:$D$770,A576)</f>
        <v/>
      </c>
      <c r="P576" s="41">
        <f>IF(N576=0,0,L576-SUMIFS('Billing Aug'!$H$2:$H$770,'Billing Aug'!$D$2:$D$770,A576)*SUMIFS('Billing Aug'!$I$2:$I$770,'Billing Aug'!$D$2:$D$770,A576))</f>
        <v/>
      </c>
      <c r="Q576" s="37">
        <f>IF(N576=0,"NO AUG TRANSACTION IN SUPPLIED EXTRACT",IF(ABS(P576)&gt;0.004,"SUBLEDGER ARITHMETIC ERROR",IF(ABS(M576)&gt;0.004,"BILLING VARIANCE","MATCH")))</f>
        <v/>
      </c>
    </row>
    <row r="577">
      <c r="A577" s="37" t="inlineStr">
        <is>
          <t>EW-0519</t>
        </is>
      </c>
      <c r="B577" s="37" t="inlineStr">
        <is>
          <t>Eastwey</t>
        </is>
      </c>
      <c r="C577" s="37" t="inlineStr">
        <is>
          <t>OPEN</t>
        </is>
      </c>
      <c r="D577" s="37" t="inlineStr">
        <is>
          <t>OCCUPIED</t>
        </is>
      </c>
      <c r="E577" s="37" t="inlineStr">
        <is>
          <t>WL-01765</t>
        </is>
      </c>
      <c r="F577" s="37" t="inlineStr">
        <is>
          <t>Donald Edwards</t>
        </is>
      </c>
      <c r="G577" s="37" t="n">
        <v>32</v>
      </c>
      <c r="H577" s="39" t="n">
        <v>53.2</v>
      </c>
      <c r="I577" s="40">
        <f>ROUNDUP(MAX(G577,H577),0)</f>
        <v/>
      </c>
      <c r="J577" s="41">
        <f>IF(C577="COVERED",'Methodology'!$B$9,'Methodology'!$B$10)</f>
        <v/>
      </c>
      <c r="K577" s="41">
        <f>I577*J577</f>
        <v/>
      </c>
      <c r="L577" s="41">
        <f>SUMIFS('Billing Aug'!$J$2:$J$770,'Billing Aug'!$D$2:$D$770,A577)</f>
        <v/>
      </c>
      <c r="M577" s="41">
        <f>L577-K577</f>
        <v/>
      </c>
      <c r="N577" s="37">
        <f>COUNTIF('Billing Aug'!$D$2:$D$770,A577)</f>
        <v/>
      </c>
      <c r="O577" s="37">
        <f>SUMIFS('Billing Aug'!$F$2:$F$770,'Billing Aug'!$D$2:$D$770,A577)</f>
        <v/>
      </c>
      <c r="P577" s="41">
        <f>IF(N577=0,0,L577-SUMIFS('Billing Aug'!$H$2:$H$770,'Billing Aug'!$D$2:$D$770,A577)*SUMIFS('Billing Aug'!$I$2:$I$770,'Billing Aug'!$D$2:$D$770,A577))</f>
        <v/>
      </c>
      <c r="Q577" s="37">
        <f>IF(N577=0,"NO AUG TRANSACTION IN SUPPLIED EXTRACT",IF(ABS(P577)&gt;0.004,"SUBLEDGER ARITHMETIC ERROR",IF(ABS(M577)&gt;0.004,"BILLING VARIANCE","MATCH")))</f>
        <v/>
      </c>
    </row>
    <row r="578">
      <c r="A578" s="37" t="inlineStr">
        <is>
          <t>EW-0520</t>
        </is>
      </c>
      <c r="B578" s="37" t="inlineStr">
        <is>
          <t>Eastwey</t>
        </is>
      </c>
      <c r="C578" s="37" t="inlineStr">
        <is>
          <t>OPEN</t>
        </is>
      </c>
      <c r="D578" s="37" t="inlineStr">
        <is>
          <t>OCCUPIED</t>
        </is>
      </c>
      <c r="E578" s="37" t="inlineStr">
        <is>
          <t>WL-02696</t>
        </is>
      </c>
      <c r="F578" s="37" t="inlineStr">
        <is>
          <t>Hunter Galloway</t>
        </is>
      </c>
      <c r="G578" s="37" t="n">
        <v>24</v>
      </c>
      <c r="H578" s="39" t="n">
        <v>26.9</v>
      </c>
      <c r="I578" s="40">
        <f>ROUNDUP(MAX(G578,H578),0)</f>
        <v/>
      </c>
      <c r="J578" s="41">
        <f>IF(C578="COVERED",'Methodology'!$B$9,'Methodology'!$B$10)</f>
        <v/>
      </c>
      <c r="K578" s="41">
        <f>I578*J578</f>
        <v/>
      </c>
      <c r="L578" s="41">
        <f>SUMIFS('Billing Aug'!$J$2:$J$770,'Billing Aug'!$D$2:$D$770,A578)</f>
        <v/>
      </c>
      <c r="M578" s="41">
        <f>L578-K578</f>
        <v/>
      </c>
      <c r="N578" s="37">
        <f>COUNTIF('Billing Aug'!$D$2:$D$770,A578)</f>
        <v/>
      </c>
      <c r="O578" s="37">
        <f>SUMIFS('Billing Aug'!$F$2:$F$770,'Billing Aug'!$D$2:$D$770,A578)</f>
        <v/>
      </c>
      <c r="P578" s="41">
        <f>IF(N578=0,0,L578-SUMIFS('Billing Aug'!$H$2:$H$770,'Billing Aug'!$D$2:$D$770,A578)*SUMIFS('Billing Aug'!$I$2:$I$770,'Billing Aug'!$D$2:$D$770,A578))</f>
        <v/>
      </c>
      <c r="Q578" s="37">
        <f>IF(N578=0,"NO AUG TRANSACTION IN SUPPLIED EXTRACT",IF(ABS(P578)&gt;0.004,"SUBLEDGER ARITHMETIC ERROR",IF(ABS(M578)&gt;0.004,"BILLING VARIANCE","MATCH")))</f>
        <v/>
      </c>
    </row>
    <row r="579">
      <c r="A579" s="37" t="inlineStr">
        <is>
          <t>EW-0521</t>
        </is>
      </c>
      <c r="B579" s="37" t="inlineStr">
        <is>
          <t>Eastwey</t>
        </is>
      </c>
      <c r="C579" s="37" t="inlineStr">
        <is>
          <t>OPEN</t>
        </is>
      </c>
      <c r="D579" s="37" t="inlineStr">
        <is>
          <t>OCCUPIED</t>
        </is>
      </c>
      <c r="E579" s="37" t="inlineStr">
        <is>
          <t>WL-02992</t>
        </is>
      </c>
      <c r="F579" s="37" t="inlineStr">
        <is>
          <t>Emily Cox</t>
        </is>
      </c>
      <c r="G579" s="37" t="n">
        <v>50</v>
      </c>
      <c r="H579" s="39" t="n">
        <v>38.3</v>
      </c>
      <c r="I579" s="40">
        <f>ROUNDUP(MAX(G579,H579),0)</f>
        <v/>
      </c>
      <c r="J579" s="41">
        <f>IF(C579="COVERED",'Methodology'!$B$9,'Methodology'!$B$10)</f>
        <v/>
      </c>
      <c r="K579" s="41">
        <f>I579*J579</f>
        <v/>
      </c>
      <c r="L579" s="41">
        <f>SUMIFS('Billing Aug'!$J$2:$J$770,'Billing Aug'!$D$2:$D$770,A579)</f>
        <v/>
      </c>
      <c r="M579" s="41">
        <f>L579-K579</f>
        <v/>
      </c>
      <c r="N579" s="37">
        <f>COUNTIF('Billing Aug'!$D$2:$D$770,A579)</f>
        <v/>
      </c>
      <c r="O579" s="37">
        <f>SUMIFS('Billing Aug'!$F$2:$F$770,'Billing Aug'!$D$2:$D$770,A579)</f>
        <v/>
      </c>
      <c r="P579" s="41">
        <f>IF(N579=0,0,L579-SUMIFS('Billing Aug'!$H$2:$H$770,'Billing Aug'!$D$2:$D$770,A579)*SUMIFS('Billing Aug'!$I$2:$I$770,'Billing Aug'!$D$2:$D$770,A579))</f>
        <v/>
      </c>
      <c r="Q579" s="37">
        <f>IF(N579=0,"NO AUG TRANSACTION IN SUPPLIED EXTRACT",IF(ABS(P579)&gt;0.004,"SUBLEDGER ARITHMETIC ERROR",IF(ABS(M579)&gt;0.004,"BILLING VARIANCE","MATCH")))</f>
        <v/>
      </c>
    </row>
    <row r="580">
      <c r="A580" s="37" t="inlineStr">
        <is>
          <t>EW-0522</t>
        </is>
      </c>
      <c r="B580" s="37" t="inlineStr">
        <is>
          <t>Eastwey</t>
        </is>
      </c>
      <c r="C580" s="37" t="inlineStr">
        <is>
          <t>OPEN</t>
        </is>
      </c>
      <c r="D580" s="37" t="inlineStr">
        <is>
          <t>OCCUPIED</t>
        </is>
      </c>
      <c r="E580" s="37" t="inlineStr">
        <is>
          <t>WL-03629</t>
        </is>
      </c>
      <c r="F580" s="37" t="inlineStr">
        <is>
          <t>Justin Parks</t>
        </is>
      </c>
      <c r="G580" s="37" t="n">
        <v>36</v>
      </c>
      <c r="H580" s="39" t="n">
        <v>26.5</v>
      </c>
      <c r="I580" s="40">
        <f>ROUNDUP(MAX(G580,H580),0)</f>
        <v/>
      </c>
      <c r="J580" s="41">
        <f>IF(C580="COVERED",'Methodology'!$B$9,'Methodology'!$B$10)</f>
        <v/>
      </c>
      <c r="K580" s="41">
        <f>I580*J580</f>
        <v/>
      </c>
      <c r="L580" s="41">
        <f>SUMIFS('Billing Aug'!$J$2:$J$770,'Billing Aug'!$D$2:$D$770,A580)</f>
        <v/>
      </c>
      <c r="M580" s="41">
        <f>L580-K580</f>
        <v/>
      </c>
      <c r="N580" s="37">
        <f>COUNTIF('Billing Aug'!$D$2:$D$770,A580)</f>
        <v/>
      </c>
      <c r="O580" s="37">
        <f>SUMIFS('Billing Aug'!$F$2:$F$770,'Billing Aug'!$D$2:$D$770,A580)</f>
        <v/>
      </c>
      <c r="P580" s="41">
        <f>IF(N580=0,0,L580-SUMIFS('Billing Aug'!$H$2:$H$770,'Billing Aug'!$D$2:$D$770,A580)*SUMIFS('Billing Aug'!$I$2:$I$770,'Billing Aug'!$D$2:$D$770,A580))</f>
        <v/>
      </c>
      <c r="Q580" s="37">
        <f>IF(N580=0,"NO AUG TRANSACTION IN SUPPLIED EXTRACT",IF(ABS(P580)&gt;0.004,"SUBLEDGER ARITHMETIC ERROR",IF(ABS(M580)&gt;0.004,"BILLING VARIANCE","MATCH")))</f>
        <v/>
      </c>
    </row>
    <row r="581">
      <c r="A581" s="37" t="inlineStr">
        <is>
          <t>EW-0523</t>
        </is>
      </c>
      <c r="B581" s="37" t="inlineStr">
        <is>
          <t>Eastwey</t>
        </is>
      </c>
      <c r="C581" s="37" t="inlineStr">
        <is>
          <t>OPEN</t>
        </is>
      </c>
      <c r="D581" s="37" t="inlineStr">
        <is>
          <t>OCCUPIED</t>
        </is>
      </c>
      <c r="E581" s="37" t="inlineStr">
        <is>
          <t>WL-01972</t>
        </is>
      </c>
      <c r="F581" s="37" t="inlineStr">
        <is>
          <t>Robyn Torres</t>
        </is>
      </c>
      <c r="G581" s="37" t="n">
        <v>24</v>
      </c>
      <c r="H581" s="39" t="n">
        <v>57.9</v>
      </c>
      <c r="I581" s="40">
        <f>ROUNDUP(MAX(G581,H581),0)</f>
        <v/>
      </c>
      <c r="J581" s="41">
        <f>IF(C581="COVERED",'Methodology'!$B$9,'Methodology'!$B$10)</f>
        <v/>
      </c>
      <c r="K581" s="41">
        <f>I581*J581</f>
        <v/>
      </c>
      <c r="L581" s="41">
        <f>SUMIFS('Billing Aug'!$J$2:$J$770,'Billing Aug'!$D$2:$D$770,A581)</f>
        <v/>
      </c>
      <c r="M581" s="41">
        <f>L581-K581</f>
        <v/>
      </c>
      <c r="N581" s="37">
        <f>COUNTIF('Billing Aug'!$D$2:$D$770,A581)</f>
        <v/>
      </c>
      <c r="O581" s="37">
        <f>SUMIFS('Billing Aug'!$F$2:$F$770,'Billing Aug'!$D$2:$D$770,A581)</f>
        <v/>
      </c>
      <c r="P581" s="41">
        <f>IF(N581=0,0,L581-SUMIFS('Billing Aug'!$H$2:$H$770,'Billing Aug'!$D$2:$D$770,A581)*SUMIFS('Billing Aug'!$I$2:$I$770,'Billing Aug'!$D$2:$D$770,A581))</f>
        <v/>
      </c>
      <c r="Q581" s="37">
        <f>IF(N581=0,"NO AUG TRANSACTION IN SUPPLIED EXTRACT",IF(ABS(P581)&gt;0.004,"SUBLEDGER ARITHMETIC ERROR",IF(ABS(M581)&gt;0.004,"BILLING VARIANCE","MATCH")))</f>
        <v/>
      </c>
    </row>
    <row r="582">
      <c r="A582" s="37" t="inlineStr">
        <is>
          <t>EW-0524</t>
        </is>
      </c>
      <c r="B582" s="37" t="inlineStr">
        <is>
          <t>Eastwey</t>
        </is>
      </c>
      <c r="C582" s="37" t="inlineStr">
        <is>
          <t>OPEN</t>
        </is>
      </c>
      <c r="D582" s="37" t="inlineStr">
        <is>
          <t>OCCUPIED</t>
        </is>
      </c>
      <c r="E582" s="37" t="inlineStr">
        <is>
          <t>WL-01298</t>
        </is>
      </c>
      <c r="F582" s="37" t="inlineStr">
        <is>
          <t>Jason Boyd</t>
        </is>
      </c>
      <c r="G582" s="37" t="n">
        <v>32</v>
      </c>
      <c r="H582" s="39" t="n">
        <v>19.2</v>
      </c>
      <c r="I582" s="40">
        <f>ROUNDUP(MAX(G582,H582),0)</f>
        <v/>
      </c>
      <c r="J582" s="41">
        <f>IF(C582="COVERED",'Methodology'!$B$9,'Methodology'!$B$10)</f>
        <v/>
      </c>
      <c r="K582" s="41">
        <f>I582*J582</f>
        <v/>
      </c>
      <c r="L582" s="41">
        <f>SUMIFS('Billing Aug'!$J$2:$J$770,'Billing Aug'!$D$2:$D$770,A582)</f>
        <v/>
      </c>
      <c r="M582" s="41">
        <f>L582-K582</f>
        <v/>
      </c>
      <c r="N582" s="37">
        <f>COUNTIF('Billing Aug'!$D$2:$D$770,A582)</f>
        <v/>
      </c>
      <c r="O582" s="37">
        <f>SUMIFS('Billing Aug'!$F$2:$F$770,'Billing Aug'!$D$2:$D$770,A582)</f>
        <v/>
      </c>
      <c r="P582" s="41">
        <f>IF(N582=0,0,L582-SUMIFS('Billing Aug'!$H$2:$H$770,'Billing Aug'!$D$2:$D$770,A582)*SUMIFS('Billing Aug'!$I$2:$I$770,'Billing Aug'!$D$2:$D$770,A582))</f>
        <v/>
      </c>
      <c r="Q582" s="37">
        <f>IF(N582=0,"NO AUG TRANSACTION IN SUPPLIED EXTRACT",IF(ABS(P582)&gt;0.004,"SUBLEDGER ARITHMETIC ERROR",IF(ABS(M582)&gt;0.004,"BILLING VARIANCE","MATCH")))</f>
        <v/>
      </c>
    </row>
    <row r="583">
      <c r="A583" s="37" t="inlineStr">
        <is>
          <t>EW-0601</t>
        </is>
      </c>
      <c r="B583" s="37" t="inlineStr">
        <is>
          <t>Eastwey</t>
        </is>
      </c>
      <c r="C583" s="37" t="inlineStr">
        <is>
          <t>OPEN</t>
        </is>
      </c>
      <c r="D583" s="37" t="inlineStr">
        <is>
          <t>OCCUPIED</t>
        </is>
      </c>
      <c r="E583" s="37" t="inlineStr">
        <is>
          <t>WL-02782</t>
        </is>
      </c>
      <c r="F583" s="37" t="inlineStr">
        <is>
          <t>Judy Adams</t>
        </is>
      </c>
      <c r="G583" s="37" t="n">
        <v>24</v>
      </c>
      <c r="H583" s="39" t="n">
        <v>22.8</v>
      </c>
      <c r="I583" s="40">
        <f>ROUNDUP(MAX(G583,H583),0)</f>
        <v/>
      </c>
      <c r="J583" s="41">
        <f>IF(C583="COVERED",'Methodology'!$B$9,'Methodology'!$B$10)</f>
        <v/>
      </c>
      <c r="K583" s="41">
        <f>I583*J583</f>
        <v/>
      </c>
      <c r="L583" s="41">
        <f>SUMIFS('Billing Aug'!$J$2:$J$770,'Billing Aug'!$D$2:$D$770,A583)</f>
        <v/>
      </c>
      <c r="M583" s="41">
        <f>L583-K583</f>
        <v/>
      </c>
      <c r="N583" s="37">
        <f>COUNTIF('Billing Aug'!$D$2:$D$770,A583)</f>
        <v/>
      </c>
      <c r="O583" s="37">
        <f>SUMIFS('Billing Aug'!$F$2:$F$770,'Billing Aug'!$D$2:$D$770,A583)</f>
        <v/>
      </c>
      <c r="P583" s="41">
        <f>IF(N583=0,0,L583-SUMIFS('Billing Aug'!$H$2:$H$770,'Billing Aug'!$D$2:$D$770,A583)*SUMIFS('Billing Aug'!$I$2:$I$770,'Billing Aug'!$D$2:$D$770,A583))</f>
        <v/>
      </c>
      <c r="Q583" s="37">
        <f>IF(N583=0,"NO AUG TRANSACTION IN SUPPLIED EXTRACT",IF(ABS(P583)&gt;0.004,"SUBLEDGER ARITHMETIC ERROR",IF(ABS(M583)&gt;0.004,"BILLING VARIANCE","MATCH")))</f>
        <v/>
      </c>
    </row>
    <row r="584">
      <c r="A584" s="37" t="inlineStr">
        <is>
          <t>EW-0602</t>
        </is>
      </c>
      <c r="B584" s="37" t="inlineStr">
        <is>
          <t>Eastwey</t>
        </is>
      </c>
      <c r="C584" s="37" t="inlineStr">
        <is>
          <t>OPEN</t>
        </is>
      </c>
      <c r="D584" s="37" t="inlineStr">
        <is>
          <t>OCCUPIED</t>
        </is>
      </c>
      <c r="E584" s="37" t="inlineStr">
        <is>
          <t>WL-02572</t>
        </is>
      </c>
      <c r="F584" s="37" t="inlineStr">
        <is>
          <t>Kelly Cox</t>
        </is>
      </c>
      <c r="G584" s="37" t="n">
        <v>50</v>
      </c>
      <c r="H584" s="39" t="n">
        <v>26.9</v>
      </c>
      <c r="I584" s="40">
        <f>ROUNDUP(MAX(G584,H584),0)</f>
        <v/>
      </c>
      <c r="J584" s="41">
        <f>IF(C584="COVERED",'Methodology'!$B$9,'Methodology'!$B$10)</f>
        <v/>
      </c>
      <c r="K584" s="41">
        <f>I584*J584</f>
        <v/>
      </c>
      <c r="L584" s="41">
        <f>SUMIFS('Billing Aug'!$J$2:$J$770,'Billing Aug'!$D$2:$D$770,A584)</f>
        <v/>
      </c>
      <c r="M584" s="41">
        <f>L584-K584</f>
        <v/>
      </c>
      <c r="N584" s="37">
        <f>COUNTIF('Billing Aug'!$D$2:$D$770,A584)</f>
        <v/>
      </c>
      <c r="O584" s="37">
        <f>SUMIFS('Billing Aug'!$F$2:$F$770,'Billing Aug'!$D$2:$D$770,A584)</f>
        <v/>
      </c>
      <c r="P584" s="41">
        <f>IF(N584=0,0,L584-SUMIFS('Billing Aug'!$H$2:$H$770,'Billing Aug'!$D$2:$D$770,A584)*SUMIFS('Billing Aug'!$I$2:$I$770,'Billing Aug'!$D$2:$D$770,A584))</f>
        <v/>
      </c>
      <c r="Q584" s="37">
        <f>IF(N584=0,"NO AUG TRANSACTION IN SUPPLIED EXTRACT",IF(ABS(P584)&gt;0.004,"SUBLEDGER ARITHMETIC ERROR",IF(ABS(M584)&gt;0.004,"BILLING VARIANCE","MATCH")))</f>
        <v/>
      </c>
    </row>
    <row r="585">
      <c r="A585" s="37" t="inlineStr">
        <is>
          <t>EW-0603</t>
        </is>
      </c>
      <c r="B585" s="37" t="inlineStr">
        <is>
          <t>Eastwey</t>
        </is>
      </c>
      <c r="C585" s="37" t="inlineStr">
        <is>
          <t>OPEN</t>
        </is>
      </c>
      <c r="D585" s="37" t="inlineStr">
        <is>
          <t>OCCUPIED</t>
        </is>
      </c>
      <c r="E585" s="37" t="inlineStr">
        <is>
          <t>WL-03665</t>
        </is>
      </c>
      <c r="F585" s="37" t="inlineStr">
        <is>
          <t>Maria Middleton</t>
        </is>
      </c>
      <c r="G585" s="37" t="n">
        <v>24</v>
      </c>
      <c r="H585" s="39" t="n">
        <v>22</v>
      </c>
      <c r="I585" s="40">
        <f>ROUNDUP(MAX(G585,H585),0)</f>
        <v/>
      </c>
      <c r="J585" s="41">
        <f>IF(C585="COVERED",'Methodology'!$B$9,'Methodology'!$B$10)</f>
        <v/>
      </c>
      <c r="K585" s="41">
        <f>I585*J585</f>
        <v/>
      </c>
      <c r="L585" s="41">
        <f>SUMIFS('Billing Aug'!$J$2:$J$770,'Billing Aug'!$D$2:$D$770,A585)</f>
        <v/>
      </c>
      <c r="M585" s="41">
        <f>L585-K585</f>
        <v/>
      </c>
      <c r="N585" s="37">
        <f>COUNTIF('Billing Aug'!$D$2:$D$770,A585)</f>
        <v/>
      </c>
      <c r="O585" s="37">
        <f>SUMIFS('Billing Aug'!$F$2:$F$770,'Billing Aug'!$D$2:$D$770,A585)</f>
        <v/>
      </c>
      <c r="P585" s="41">
        <f>IF(N585=0,0,L585-SUMIFS('Billing Aug'!$H$2:$H$770,'Billing Aug'!$D$2:$D$770,A585)*SUMIFS('Billing Aug'!$I$2:$I$770,'Billing Aug'!$D$2:$D$770,A585))</f>
        <v/>
      </c>
      <c r="Q585" s="37">
        <f>IF(N585=0,"NO AUG TRANSACTION IN SUPPLIED EXTRACT",IF(ABS(P585)&gt;0.004,"SUBLEDGER ARITHMETIC ERROR",IF(ABS(M585)&gt;0.004,"BILLING VARIANCE","MATCH")))</f>
        <v/>
      </c>
    </row>
    <row r="586">
      <c r="A586" s="37" t="inlineStr">
        <is>
          <t>EW-0604</t>
        </is>
      </c>
      <c r="B586" s="37" t="inlineStr">
        <is>
          <t>Eastwey</t>
        </is>
      </c>
      <c r="C586" s="37" t="inlineStr">
        <is>
          <t>OPEN</t>
        </is>
      </c>
      <c r="D586" s="37" t="inlineStr">
        <is>
          <t>OCCUPIED</t>
        </is>
      </c>
      <c r="E586" s="37" t="inlineStr">
        <is>
          <t>WL-02293</t>
        </is>
      </c>
      <c r="F586" s="37" t="inlineStr">
        <is>
          <t>Brian Alexander</t>
        </is>
      </c>
      <c r="G586" s="37" t="n">
        <v>60</v>
      </c>
      <c r="H586" s="39" t="n">
        <v>35</v>
      </c>
      <c r="I586" s="40">
        <f>ROUNDUP(MAX(G586,H586),0)</f>
        <v/>
      </c>
      <c r="J586" s="41">
        <f>IF(C586="COVERED",'Methodology'!$B$9,'Methodology'!$B$10)</f>
        <v/>
      </c>
      <c r="K586" s="41">
        <f>I586*J586</f>
        <v/>
      </c>
      <c r="L586" s="41">
        <f>SUMIFS('Billing Aug'!$J$2:$J$770,'Billing Aug'!$D$2:$D$770,A586)</f>
        <v/>
      </c>
      <c r="M586" s="41">
        <f>L586-K586</f>
        <v/>
      </c>
      <c r="N586" s="37">
        <f>COUNTIF('Billing Aug'!$D$2:$D$770,A586)</f>
        <v/>
      </c>
      <c r="O586" s="37">
        <f>SUMIFS('Billing Aug'!$F$2:$F$770,'Billing Aug'!$D$2:$D$770,A586)</f>
        <v/>
      </c>
      <c r="P586" s="41">
        <f>IF(N586=0,0,L586-SUMIFS('Billing Aug'!$H$2:$H$770,'Billing Aug'!$D$2:$D$770,A586)*SUMIFS('Billing Aug'!$I$2:$I$770,'Billing Aug'!$D$2:$D$770,A586))</f>
        <v/>
      </c>
      <c r="Q586" s="37">
        <f>IF(N586=0,"NO AUG TRANSACTION IN SUPPLIED EXTRACT",IF(ABS(P586)&gt;0.004,"SUBLEDGER ARITHMETIC ERROR",IF(ABS(M586)&gt;0.004,"BILLING VARIANCE","MATCH")))</f>
        <v/>
      </c>
    </row>
    <row r="587">
      <c r="A587" s="37" t="inlineStr">
        <is>
          <t>EW-0605</t>
        </is>
      </c>
      <c r="B587" s="37" t="inlineStr">
        <is>
          <t>Eastwey</t>
        </is>
      </c>
      <c r="C587" s="37" t="inlineStr">
        <is>
          <t>OPEN</t>
        </is>
      </c>
      <c r="D587" s="37" t="inlineStr">
        <is>
          <t>OCCUPIED</t>
        </is>
      </c>
      <c r="E587" s="37" t="inlineStr">
        <is>
          <t>WL-02016</t>
        </is>
      </c>
      <c r="F587" s="37" t="inlineStr">
        <is>
          <t>Andrea Garza</t>
        </is>
      </c>
      <c r="G587" s="37" t="n">
        <v>40</v>
      </c>
      <c r="H587" s="39" t="n">
        <v>54.9</v>
      </c>
      <c r="I587" s="40">
        <f>ROUNDUP(MAX(G587,H587),0)</f>
        <v/>
      </c>
      <c r="J587" s="41">
        <f>IF(C587="COVERED",'Methodology'!$B$9,'Methodology'!$B$10)</f>
        <v/>
      </c>
      <c r="K587" s="41">
        <f>I587*J587</f>
        <v/>
      </c>
      <c r="L587" s="41">
        <f>SUMIFS('Billing Aug'!$J$2:$J$770,'Billing Aug'!$D$2:$D$770,A587)</f>
        <v/>
      </c>
      <c r="M587" s="41">
        <f>L587-K587</f>
        <v/>
      </c>
      <c r="N587" s="37">
        <f>COUNTIF('Billing Aug'!$D$2:$D$770,A587)</f>
        <v/>
      </c>
      <c r="O587" s="37">
        <f>SUMIFS('Billing Aug'!$F$2:$F$770,'Billing Aug'!$D$2:$D$770,A587)</f>
        <v/>
      </c>
      <c r="P587" s="41">
        <f>IF(N587=0,0,L587-SUMIFS('Billing Aug'!$H$2:$H$770,'Billing Aug'!$D$2:$D$770,A587)*SUMIFS('Billing Aug'!$I$2:$I$770,'Billing Aug'!$D$2:$D$770,A587))</f>
        <v/>
      </c>
      <c r="Q587" s="37">
        <f>IF(N587=0,"NO AUG TRANSACTION IN SUPPLIED EXTRACT",IF(ABS(P587)&gt;0.004,"SUBLEDGER ARITHMETIC ERROR",IF(ABS(M587)&gt;0.004,"BILLING VARIANCE","MATCH")))</f>
        <v/>
      </c>
    </row>
    <row r="588">
      <c r="A588" s="37" t="inlineStr">
        <is>
          <t>EW-0606</t>
        </is>
      </c>
      <c r="B588" s="37" t="inlineStr">
        <is>
          <t>Eastwey</t>
        </is>
      </c>
      <c r="C588" s="37" t="inlineStr">
        <is>
          <t>OPEN</t>
        </is>
      </c>
      <c r="D588" s="37" t="inlineStr">
        <is>
          <t>OCCUPIED</t>
        </is>
      </c>
      <c r="E588" s="37" t="inlineStr">
        <is>
          <t>WL-03431</t>
        </is>
      </c>
      <c r="F588" s="37" t="inlineStr">
        <is>
          <t>Lisa Cochran</t>
        </is>
      </c>
      <c r="G588" s="37" t="n">
        <v>45</v>
      </c>
      <c r="H588" s="39" t="n">
        <v>53.8</v>
      </c>
      <c r="I588" s="40">
        <f>ROUNDUP(MAX(G588,H588),0)</f>
        <v/>
      </c>
      <c r="J588" s="41">
        <f>IF(C588="COVERED",'Methodology'!$B$9,'Methodology'!$B$10)</f>
        <v/>
      </c>
      <c r="K588" s="41">
        <f>I588*J588</f>
        <v/>
      </c>
      <c r="L588" s="41">
        <f>SUMIFS('Billing Aug'!$J$2:$J$770,'Billing Aug'!$D$2:$D$770,A588)</f>
        <v/>
      </c>
      <c r="M588" s="41">
        <f>L588-K588</f>
        <v/>
      </c>
      <c r="N588" s="37">
        <f>COUNTIF('Billing Aug'!$D$2:$D$770,A588)</f>
        <v/>
      </c>
      <c r="O588" s="37">
        <f>SUMIFS('Billing Aug'!$F$2:$F$770,'Billing Aug'!$D$2:$D$770,A588)</f>
        <v/>
      </c>
      <c r="P588" s="41">
        <f>IF(N588=0,0,L588-SUMIFS('Billing Aug'!$H$2:$H$770,'Billing Aug'!$D$2:$D$770,A588)*SUMIFS('Billing Aug'!$I$2:$I$770,'Billing Aug'!$D$2:$D$770,A588))</f>
        <v/>
      </c>
      <c r="Q588" s="37">
        <f>IF(N588=0,"NO AUG TRANSACTION IN SUPPLIED EXTRACT",IF(ABS(P588)&gt;0.004,"SUBLEDGER ARITHMETIC ERROR",IF(ABS(M588)&gt;0.004,"BILLING VARIANCE","MATCH")))</f>
        <v/>
      </c>
    </row>
    <row r="589">
      <c r="A589" s="37" t="inlineStr">
        <is>
          <t>EW-0607</t>
        </is>
      </c>
      <c r="B589" s="37" t="inlineStr">
        <is>
          <t>Eastwey</t>
        </is>
      </c>
      <c r="C589" s="37" t="inlineStr">
        <is>
          <t>OPEN</t>
        </is>
      </c>
      <c r="D589" s="37" t="inlineStr">
        <is>
          <t>OCCUPIED</t>
        </is>
      </c>
      <c r="E589" s="37" t="inlineStr">
        <is>
          <t>WL-02210</t>
        </is>
      </c>
      <c r="F589" s="37" t="inlineStr">
        <is>
          <t>Erika Huber</t>
        </is>
      </c>
      <c r="G589" s="37" t="n">
        <v>24</v>
      </c>
      <c r="H589" s="39" t="n">
        <v>40</v>
      </c>
      <c r="I589" s="40">
        <f>ROUNDUP(MAX(G589,H589),0)</f>
        <v/>
      </c>
      <c r="J589" s="41">
        <f>IF(C589="COVERED",'Methodology'!$B$9,'Methodology'!$B$10)</f>
        <v/>
      </c>
      <c r="K589" s="41">
        <f>I589*J589</f>
        <v/>
      </c>
      <c r="L589" s="41">
        <f>SUMIFS('Billing Aug'!$J$2:$J$770,'Billing Aug'!$D$2:$D$770,A589)</f>
        <v/>
      </c>
      <c r="M589" s="41">
        <f>L589-K589</f>
        <v/>
      </c>
      <c r="N589" s="37">
        <f>COUNTIF('Billing Aug'!$D$2:$D$770,A589)</f>
        <v/>
      </c>
      <c r="O589" s="37">
        <f>SUMIFS('Billing Aug'!$F$2:$F$770,'Billing Aug'!$D$2:$D$770,A589)</f>
        <v/>
      </c>
      <c r="P589" s="41">
        <f>IF(N589=0,0,L589-SUMIFS('Billing Aug'!$H$2:$H$770,'Billing Aug'!$D$2:$D$770,A589)*SUMIFS('Billing Aug'!$I$2:$I$770,'Billing Aug'!$D$2:$D$770,A589))</f>
        <v/>
      </c>
      <c r="Q589" s="37">
        <f>IF(N589=0,"NO AUG TRANSACTION IN SUPPLIED EXTRACT",IF(ABS(P589)&gt;0.004,"SUBLEDGER ARITHMETIC ERROR",IF(ABS(M589)&gt;0.004,"BILLING VARIANCE","MATCH")))</f>
        <v/>
      </c>
    </row>
    <row r="590">
      <c r="A590" s="37" t="inlineStr">
        <is>
          <t>EW-0608</t>
        </is>
      </c>
      <c r="B590" s="37" t="inlineStr">
        <is>
          <t>Eastwey</t>
        </is>
      </c>
      <c r="C590" s="37" t="inlineStr">
        <is>
          <t>OPEN</t>
        </is>
      </c>
      <c r="D590" s="37" t="inlineStr">
        <is>
          <t>OCCUPIED</t>
        </is>
      </c>
      <c r="E590" s="37" t="inlineStr">
        <is>
          <t>WL-02498</t>
        </is>
      </c>
      <c r="F590" s="37" t="inlineStr">
        <is>
          <t>Patrick Herrera</t>
        </is>
      </c>
      <c r="G590" s="37" t="n">
        <v>28</v>
      </c>
      <c r="H590" s="39" t="n">
        <v>42.7</v>
      </c>
      <c r="I590" s="40">
        <f>ROUNDUP(MAX(G590,H590),0)</f>
        <v/>
      </c>
      <c r="J590" s="41">
        <f>IF(C590="COVERED",'Methodology'!$B$9,'Methodology'!$B$10)</f>
        <v/>
      </c>
      <c r="K590" s="41">
        <f>I590*J590</f>
        <v/>
      </c>
      <c r="L590" s="41">
        <f>SUMIFS('Billing Aug'!$J$2:$J$770,'Billing Aug'!$D$2:$D$770,A590)</f>
        <v/>
      </c>
      <c r="M590" s="41">
        <f>L590-K590</f>
        <v/>
      </c>
      <c r="N590" s="37">
        <f>COUNTIF('Billing Aug'!$D$2:$D$770,A590)</f>
        <v/>
      </c>
      <c r="O590" s="37">
        <f>SUMIFS('Billing Aug'!$F$2:$F$770,'Billing Aug'!$D$2:$D$770,A590)</f>
        <v/>
      </c>
      <c r="P590" s="41">
        <f>IF(N590=0,0,L590-SUMIFS('Billing Aug'!$H$2:$H$770,'Billing Aug'!$D$2:$D$770,A590)*SUMIFS('Billing Aug'!$I$2:$I$770,'Billing Aug'!$D$2:$D$770,A590))</f>
        <v/>
      </c>
      <c r="Q590" s="37">
        <f>IF(N590=0,"NO AUG TRANSACTION IN SUPPLIED EXTRACT",IF(ABS(P590)&gt;0.004,"SUBLEDGER ARITHMETIC ERROR",IF(ABS(M590)&gt;0.004,"BILLING VARIANCE","MATCH")))</f>
        <v/>
      </c>
    </row>
    <row r="591">
      <c r="A591" s="37" t="inlineStr">
        <is>
          <t>EW-0609</t>
        </is>
      </c>
      <c r="B591" s="37" t="inlineStr">
        <is>
          <t>Eastwey</t>
        </is>
      </c>
      <c r="C591" s="37" t="inlineStr">
        <is>
          <t>OPEN</t>
        </is>
      </c>
      <c r="D591" s="37" t="inlineStr">
        <is>
          <t>OCCUPIED</t>
        </is>
      </c>
      <c r="E591" s="37" t="inlineStr">
        <is>
          <t>WL-01511</t>
        </is>
      </c>
      <c r="F591" s="37" t="inlineStr">
        <is>
          <t>Nancy Sullivan</t>
        </is>
      </c>
      <c r="G591" s="37" t="n">
        <v>28</v>
      </c>
      <c r="H591" s="39" t="n">
        <v>51.6</v>
      </c>
      <c r="I591" s="40">
        <f>ROUNDUP(MAX(G591,H591),0)</f>
        <v/>
      </c>
      <c r="J591" s="41">
        <f>IF(C591="COVERED",'Methodology'!$B$9,'Methodology'!$B$10)</f>
        <v/>
      </c>
      <c r="K591" s="41">
        <f>I591*J591</f>
        <v/>
      </c>
      <c r="L591" s="41">
        <f>SUMIFS('Billing Aug'!$J$2:$J$770,'Billing Aug'!$D$2:$D$770,A591)</f>
        <v/>
      </c>
      <c r="M591" s="41">
        <f>L591-K591</f>
        <v/>
      </c>
      <c r="N591" s="37">
        <f>COUNTIF('Billing Aug'!$D$2:$D$770,A591)</f>
        <v/>
      </c>
      <c r="O591" s="37">
        <f>SUMIFS('Billing Aug'!$F$2:$F$770,'Billing Aug'!$D$2:$D$770,A591)</f>
        <v/>
      </c>
      <c r="P591" s="41">
        <f>IF(N591=0,0,L591-SUMIFS('Billing Aug'!$H$2:$H$770,'Billing Aug'!$D$2:$D$770,A591)*SUMIFS('Billing Aug'!$I$2:$I$770,'Billing Aug'!$D$2:$D$770,A591))</f>
        <v/>
      </c>
      <c r="Q591" s="37">
        <f>IF(N591=0,"NO AUG TRANSACTION IN SUPPLIED EXTRACT",IF(ABS(P591)&gt;0.004,"SUBLEDGER ARITHMETIC ERROR",IF(ABS(M591)&gt;0.004,"BILLING VARIANCE","MATCH")))</f>
        <v/>
      </c>
    </row>
    <row r="592">
      <c r="A592" s="37" t="inlineStr">
        <is>
          <t>EW-0610</t>
        </is>
      </c>
      <c r="B592" s="37" t="inlineStr">
        <is>
          <t>Eastwey</t>
        </is>
      </c>
      <c r="C592" s="37" t="inlineStr">
        <is>
          <t>OPEN</t>
        </is>
      </c>
      <c r="D592" s="37" t="inlineStr">
        <is>
          <t>OCCUPIED</t>
        </is>
      </c>
      <c r="E592" s="37" t="inlineStr">
        <is>
          <t>WL-02561</t>
        </is>
      </c>
      <c r="F592" s="37" t="inlineStr">
        <is>
          <t>Kayla Carpenter</t>
        </is>
      </c>
      <c r="G592" s="37" t="n">
        <v>28</v>
      </c>
      <c r="H592" s="39" t="n">
        <v>50.3</v>
      </c>
      <c r="I592" s="40">
        <f>ROUNDUP(MAX(G592,H592),0)</f>
        <v/>
      </c>
      <c r="J592" s="41">
        <f>IF(C592="COVERED",'Methodology'!$B$9,'Methodology'!$B$10)</f>
        <v/>
      </c>
      <c r="K592" s="41">
        <f>I592*J592</f>
        <v/>
      </c>
      <c r="L592" s="41">
        <f>SUMIFS('Billing Aug'!$J$2:$J$770,'Billing Aug'!$D$2:$D$770,A592)</f>
        <v/>
      </c>
      <c r="M592" s="41">
        <f>L592-K592</f>
        <v/>
      </c>
      <c r="N592" s="37">
        <f>COUNTIF('Billing Aug'!$D$2:$D$770,A592)</f>
        <v/>
      </c>
      <c r="O592" s="37">
        <f>SUMIFS('Billing Aug'!$F$2:$F$770,'Billing Aug'!$D$2:$D$770,A592)</f>
        <v/>
      </c>
      <c r="P592" s="41">
        <f>IF(N592=0,0,L592-SUMIFS('Billing Aug'!$H$2:$H$770,'Billing Aug'!$D$2:$D$770,A592)*SUMIFS('Billing Aug'!$I$2:$I$770,'Billing Aug'!$D$2:$D$770,A592))</f>
        <v/>
      </c>
      <c r="Q592" s="37">
        <f>IF(N592=0,"NO AUG TRANSACTION IN SUPPLIED EXTRACT",IF(ABS(P592)&gt;0.004,"SUBLEDGER ARITHMETIC ERROR",IF(ABS(M592)&gt;0.004,"BILLING VARIANCE","MATCH")))</f>
        <v/>
      </c>
    </row>
    <row r="593">
      <c r="A593" s="37" t="inlineStr">
        <is>
          <t>EW-0611</t>
        </is>
      </c>
      <c r="B593" s="37" t="inlineStr">
        <is>
          <t>Eastwey</t>
        </is>
      </c>
      <c r="C593" s="37" t="inlineStr">
        <is>
          <t>OPEN</t>
        </is>
      </c>
      <c r="D593" s="37" t="inlineStr">
        <is>
          <t>OCCUPIED</t>
        </is>
      </c>
      <c r="E593" s="37" t="inlineStr">
        <is>
          <t>WL-01796</t>
        </is>
      </c>
      <c r="F593" s="37" t="inlineStr">
        <is>
          <t>Michael Phillips</t>
        </is>
      </c>
      <c r="G593" s="37" t="n">
        <v>24</v>
      </c>
      <c r="H593" s="39" t="n">
        <v>47</v>
      </c>
      <c r="I593" s="40">
        <f>ROUNDUP(MAX(G593,H593),0)</f>
        <v/>
      </c>
      <c r="J593" s="41">
        <f>IF(C593="COVERED",'Methodology'!$B$9,'Methodology'!$B$10)</f>
        <v/>
      </c>
      <c r="K593" s="41">
        <f>I593*J593</f>
        <v/>
      </c>
      <c r="L593" s="41">
        <f>SUMIFS('Billing Aug'!$J$2:$J$770,'Billing Aug'!$D$2:$D$770,A593)</f>
        <v/>
      </c>
      <c r="M593" s="41">
        <f>L593-K593</f>
        <v/>
      </c>
      <c r="N593" s="37">
        <f>COUNTIF('Billing Aug'!$D$2:$D$770,A593)</f>
        <v/>
      </c>
      <c r="O593" s="37">
        <f>SUMIFS('Billing Aug'!$F$2:$F$770,'Billing Aug'!$D$2:$D$770,A593)</f>
        <v/>
      </c>
      <c r="P593" s="41">
        <f>IF(N593=0,0,L593-SUMIFS('Billing Aug'!$H$2:$H$770,'Billing Aug'!$D$2:$D$770,A593)*SUMIFS('Billing Aug'!$I$2:$I$770,'Billing Aug'!$D$2:$D$770,A593))</f>
        <v/>
      </c>
      <c r="Q593" s="37">
        <f>IF(N593=0,"NO AUG TRANSACTION IN SUPPLIED EXTRACT",IF(ABS(P593)&gt;0.004,"SUBLEDGER ARITHMETIC ERROR",IF(ABS(M593)&gt;0.004,"BILLING VARIANCE","MATCH")))</f>
        <v/>
      </c>
    </row>
    <row r="594">
      <c r="A594" s="37" t="inlineStr">
        <is>
          <t>EW-0614</t>
        </is>
      </c>
      <c r="B594" s="37" t="inlineStr">
        <is>
          <t>Eastwey</t>
        </is>
      </c>
      <c r="C594" s="37" t="inlineStr">
        <is>
          <t>OPEN</t>
        </is>
      </c>
      <c r="D594" s="37" t="inlineStr">
        <is>
          <t>OCCUPIED</t>
        </is>
      </c>
      <c r="E594" s="37" t="inlineStr">
        <is>
          <t>WL-02310</t>
        </is>
      </c>
      <c r="F594" s="37" t="inlineStr">
        <is>
          <t>Kristy Bell</t>
        </is>
      </c>
      <c r="G594" s="37" t="n">
        <v>45</v>
      </c>
      <c r="H594" s="39" t="n">
        <v>53</v>
      </c>
      <c r="I594" s="40">
        <f>ROUNDUP(MAX(G594,H594),0)</f>
        <v/>
      </c>
      <c r="J594" s="41">
        <f>IF(C594="COVERED",'Methodology'!$B$9,'Methodology'!$B$10)</f>
        <v/>
      </c>
      <c r="K594" s="41">
        <f>I594*J594</f>
        <v/>
      </c>
      <c r="L594" s="41">
        <f>SUMIFS('Billing Aug'!$J$2:$J$770,'Billing Aug'!$D$2:$D$770,A594)</f>
        <v/>
      </c>
      <c r="M594" s="41">
        <f>L594-K594</f>
        <v/>
      </c>
      <c r="N594" s="37">
        <f>COUNTIF('Billing Aug'!$D$2:$D$770,A594)</f>
        <v/>
      </c>
      <c r="O594" s="37">
        <f>SUMIFS('Billing Aug'!$F$2:$F$770,'Billing Aug'!$D$2:$D$770,A594)</f>
        <v/>
      </c>
      <c r="P594" s="41">
        <f>IF(N594=0,0,L594-SUMIFS('Billing Aug'!$H$2:$H$770,'Billing Aug'!$D$2:$D$770,A594)*SUMIFS('Billing Aug'!$I$2:$I$770,'Billing Aug'!$D$2:$D$770,A594))</f>
        <v/>
      </c>
      <c r="Q594" s="37">
        <f>IF(N594=0,"NO AUG TRANSACTION IN SUPPLIED EXTRACT",IF(ABS(P594)&gt;0.004,"SUBLEDGER ARITHMETIC ERROR",IF(ABS(M594)&gt;0.004,"BILLING VARIANCE","MATCH")))</f>
        <v/>
      </c>
    </row>
    <row r="595">
      <c r="A595" s="37" t="inlineStr">
        <is>
          <t>EW-0615</t>
        </is>
      </c>
      <c r="B595" s="37" t="inlineStr">
        <is>
          <t>Eastwey</t>
        </is>
      </c>
      <c r="C595" s="37" t="inlineStr">
        <is>
          <t>OPEN</t>
        </is>
      </c>
      <c r="D595" s="37" t="inlineStr">
        <is>
          <t>OCCUPIED</t>
        </is>
      </c>
      <c r="E595" s="37" t="inlineStr">
        <is>
          <t>WL-03561</t>
        </is>
      </c>
      <c r="F595" s="37" t="inlineStr">
        <is>
          <t>Rebecca Crawford</t>
        </is>
      </c>
      <c r="G595" s="37" t="n">
        <v>45</v>
      </c>
      <c r="H595" s="39" t="n">
        <v>23.5</v>
      </c>
      <c r="I595" s="40">
        <f>ROUNDUP(MAX(G595,H595),0)</f>
        <v/>
      </c>
      <c r="J595" s="41">
        <f>IF(C595="COVERED",'Methodology'!$B$9,'Methodology'!$B$10)</f>
        <v/>
      </c>
      <c r="K595" s="41">
        <f>I595*J595</f>
        <v/>
      </c>
      <c r="L595" s="41">
        <f>SUMIFS('Billing Aug'!$J$2:$J$770,'Billing Aug'!$D$2:$D$770,A595)</f>
        <v/>
      </c>
      <c r="M595" s="41">
        <f>L595-K595</f>
        <v/>
      </c>
      <c r="N595" s="37">
        <f>COUNTIF('Billing Aug'!$D$2:$D$770,A595)</f>
        <v/>
      </c>
      <c r="O595" s="37">
        <f>SUMIFS('Billing Aug'!$F$2:$F$770,'Billing Aug'!$D$2:$D$770,A595)</f>
        <v/>
      </c>
      <c r="P595" s="41">
        <f>IF(N595=0,0,L595-SUMIFS('Billing Aug'!$H$2:$H$770,'Billing Aug'!$D$2:$D$770,A595)*SUMIFS('Billing Aug'!$I$2:$I$770,'Billing Aug'!$D$2:$D$770,A595))</f>
        <v/>
      </c>
      <c r="Q595" s="37">
        <f>IF(N595=0,"NO AUG TRANSACTION IN SUPPLIED EXTRACT",IF(ABS(P595)&gt;0.004,"SUBLEDGER ARITHMETIC ERROR",IF(ABS(M595)&gt;0.004,"BILLING VARIANCE","MATCH")))</f>
        <v/>
      </c>
    </row>
    <row r="596">
      <c r="A596" s="37" t="inlineStr">
        <is>
          <t>EW-0616</t>
        </is>
      </c>
      <c r="B596" s="37" t="inlineStr">
        <is>
          <t>Eastwey</t>
        </is>
      </c>
      <c r="C596" s="37" t="inlineStr">
        <is>
          <t>OPEN</t>
        </is>
      </c>
      <c r="D596" s="37" t="inlineStr">
        <is>
          <t>OCCUPIED</t>
        </is>
      </c>
      <c r="E596" s="37" t="inlineStr">
        <is>
          <t>WL-01289</t>
        </is>
      </c>
      <c r="F596" s="37" t="inlineStr">
        <is>
          <t>Harry Faulkner</t>
        </is>
      </c>
      <c r="G596" s="37" t="n">
        <v>36</v>
      </c>
      <c r="H596" s="39" t="n">
        <v>42.6</v>
      </c>
      <c r="I596" s="40">
        <f>ROUNDUP(MAX(G596,H596),0)</f>
        <v/>
      </c>
      <c r="J596" s="41">
        <f>IF(C596="COVERED",'Methodology'!$B$9,'Methodology'!$B$10)</f>
        <v/>
      </c>
      <c r="K596" s="41">
        <f>I596*J596</f>
        <v/>
      </c>
      <c r="L596" s="41">
        <f>SUMIFS('Billing Aug'!$J$2:$J$770,'Billing Aug'!$D$2:$D$770,A596)</f>
        <v/>
      </c>
      <c r="M596" s="41">
        <f>L596-K596</f>
        <v/>
      </c>
      <c r="N596" s="37">
        <f>COUNTIF('Billing Aug'!$D$2:$D$770,A596)</f>
        <v/>
      </c>
      <c r="O596" s="37">
        <f>SUMIFS('Billing Aug'!$F$2:$F$770,'Billing Aug'!$D$2:$D$770,A596)</f>
        <v/>
      </c>
      <c r="P596" s="41">
        <f>IF(N596=0,0,L596-SUMIFS('Billing Aug'!$H$2:$H$770,'Billing Aug'!$D$2:$D$770,A596)*SUMIFS('Billing Aug'!$I$2:$I$770,'Billing Aug'!$D$2:$D$770,A596))</f>
        <v/>
      </c>
      <c r="Q596" s="37">
        <f>IF(N596=0,"NO AUG TRANSACTION IN SUPPLIED EXTRACT",IF(ABS(P596)&gt;0.004,"SUBLEDGER ARITHMETIC ERROR",IF(ABS(M596)&gt;0.004,"BILLING VARIANCE","MATCH")))</f>
        <v/>
      </c>
    </row>
    <row r="597">
      <c r="A597" s="37" t="inlineStr">
        <is>
          <t>EW-0617</t>
        </is>
      </c>
      <c r="B597" s="37" t="inlineStr">
        <is>
          <t>Eastwey</t>
        </is>
      </c>
      <c r="C597" s="37" t="inlineStr">
        <is>
          <t>OPEN</t>
        </is>
      </c>
      <c r="D597" s="37" t="inlineStr">
        <is>
          <t>OCCUPIED</t>
        </is>
      </c>
      <c r="E597" s="37" t="inlineStr">
        <is>
          <t>WL-01818</t>
        </is>
      </c>
      <c r="F597" s="37" t="inlineStr">
        <is>
          <t>Natasha Higgins</t>
        </is>
      </c>
      <c r="G597" s="37" t="n">
        <v>70</v>
      </c>
      <c r="H597" s="39" t="n">
        <v>27</v>
      </c>
      <c r="I597" s="40">
        <f>ROUNDUP(MAX(G597,H597),0)</f>
        <v/>
      </c>
      <c r="J597" s="41">
        <f>IF(C597="COVERED",'Methodology'!$B$9,'Methodology'!$B$10)</f>
        <v/>
      </c>
      <c r="K597" s="41">
        <f>I597*J597</f>
        <v/>
      </c>
      <c r="L597" s="41">
        <f>SUMIFS('Billing Aug'!$J$2:$J$770,'Billing Aug'!$D$2:$D$770,A597)</f>
        <v/>
      </c>
      <c r="M597" s="41">
        <f>L597-K597</f>
        <v/>
      </c>
      <c r="N597" s="37">
        <f>COUNTIF('Billing Aug'!$D$2:$D$770,A597)</f>
        <v/>
      </c>
      <c r="O597" s="37">
        <f>SUMIFS('Billing Aug'!$F$2:$F$770,'Billing Aug'!$D$2:$D$770,A597)</f>
        <v/>
      </c>
      <c r="P597" s="41">
        <f>IF(N597=0,0,L597-SUMIFS('Billing Aug'!$H$2:$H$770,'Billing Aug'!$D$2:$D$770,A597)*SUMIFS('Billing Aug'!$I$2:$I$770,'Billing Aug'!$D$2:$D$770,A597))</f>
        <v/>
      </c>
      <c r="Q597" s="37">
        <f>IF(N597=0,"NO AUG TRANSACTION IN SUPPLIED EXTRACT",IF(ABS(P597)&gt;0.004,"SUBLEDGER ARITHMETIC ERROR",IF(ABS(M597)&gt;0.004,"BILLING VARIANCE","MATCH")))</f>
        <v/>
      </c>
    </row>
    <row r="598">
      <c r="A598" s="37" t="inlineStr">
        <is>
          <t>EW-0618</t>
        </is>
      </c>
      <c r="B598" s="37" t="inlineStr">
        <is>
          <t>Eastwey</t>
        </is>
      </c>
      <c r="C598" s="37" t="inlineStr">
        <is>
          <t>OPEN</t>
        </is>
      </c>
      <c r="D598" s="37" t="inlineStr">
        <is>
          <t>OCCUPIED</t>
        </is>
      </c>
      <c r="E598" s="37" t="inlineStr">
        <is>
          <t>WL-01884</t>
        </is>
      </c>
      <c r="F598" s="37" t="inlineStr">
        <is>
          <t>Rebecca Price</t>
        </is>
      </c>
      <c r="G598" s="37" t="n">
        <v>28</v>
      </c>
      <c r="H598" s="39" t="n">
        <v>27.3</v>
      </c>
      <c r="I598" s="40">
        <f>ROUNDUP(MAX(G598,H598),0)</f>
        <v/>
      </c>
      <c r="J598" s="41">
        <f>IF(C598="COVERED",'Methodology'!$B$9,'Methodology'!$B$10)</f>
        <v/>
      </c>
      <c r="K598" s="41">
        <f>I598*J598</f>
        <v/>
      </c>
      <c r="L598" s="41">
        <f>SUMIFS('Billing Aug'!$J$2:$J$770,'Billing Aug'!$D$2:$D$770,A598)</f>
        <v/>
      </c>
      <c r="M598" s="41">
        <f>L598-K598</f>
        <v/>
      </c>
      <c r="N598" s="37">
        <f>COUNTIF('Billing Aug'!$D$2:$D$770,A598)</f>
        <v/>
      </c>
      <c r="O598" s="37">
        <f>SUMIFS('Billing Aug'!$F$2:$F$770,'Billing Aug'!$D$2:$D$770,A598)</f>
        <v/>
      </c>
      <c r="P598" s="41">
        <f>IF(N598=0,0,L598-SUMIFS('Billing Aug'!$H$2:$H$770,'Billing Aug'!$D$2:$D$770,A598)*SUMIFS('Billing Aug'!$I$2:$I$770,'Billing Aug'!$D$2:$D$770,A598))</f>
        <v/>
      </c>
      <c r="Q598" s="37">
        <f>IF(N598=0,"NO AUG TRANSACTION IN SUPPLIED EXTRACT",IF(ABS(P598)&gt;0.004,"SUBLEDGER ARITHMETIC ERROR",IF(ABS(M598)&gt;0.004,"BILLING VARIANCE","MATCH")))</f>
        <v/>
      </c>
    </row>
    <row r="599">
      <c r="A599" s="37" t="inlineStr">
        <is>
          <t>EW-0621</t>
        </is>
      </c>
      <c r="B599" s="37" t="inlineStr">
        <is>
          <t>Eastwey</t>
        </is>
      </c>
      <c r="C599" s="37" t="inlineStr">
        <is>
          <t>OPEN</t>
        </is>
      </c>
      <c r="D599" s="37" t="inlineStr">
        <is>
          <t>OCCUPIED</t>
        </is>
      </c>
      <c r="E599" s="37" t="inlineStr">
        <is>
          <t>WL-01004</t>
        </is>
      </c>
      <c r="F599" s="37" t="inlineStr">
        <is>
          <t>Joseph Lopez</t>
        </is>
      </c>
      <c r="G599" s="37" t="n">
        <v>80</v>
      </c>
      <c r="H599" s="39" t="n">
        <v>61.6</v>
      </c>
      <c r="I599" s="40">
        <f>ROUNDUP(MAX(G599,H599),0)</f>
        <v/>
      </c>
      <c r="J599" s="41">
        <f>IF(C599="COVERED",'Methodology'!$B$9,'Methodology'!$B$10)</f>
        <v/>
      </c>
      <c r="K599" s="41">
        <f>I599*J599</f>
        <v/>
      </c>
      <c r="L599" s="41">
        <f>SUMIFS('Billing Aug'!$J$2:$J$770,'Billing Aug'!$D$2:$D$770,A599)</f>
        <v/>
      </c>
      <c r="M599" s="41">
        <f>L599-K599</f>
        <v/>
      </c>
      <c r="N599" s="37">
        <f>COUNTIF('Billing Aug'!$D$2:$D$770,A599)</f>
        <v/>
      </c>
      <c r="O599" s="37">
        <f>SUMIFS('Billing Aug'!$F$2:$F$770,'Billing Aug'!$D$2:$D$770,A599)</f>
        <v/>
      </c>
      <c r="P599" s="41">
        <f>IF(N599=0,0,L599-SUMIFS('Billing Aug'!$H$2:$H$770,'Billing Aug'!$D$2:$D$770,A599)*SUMIFS('Billing Aug'!$I$2:$I$770,'Billing Aug'!$D$2:$D$770,A599))</f>
        <v/>
      </c>
      <c r="Q599" s="37">
        <f>IF(N599=0,"NO AUG TRANSACTION IN SUPPLIED EXTRACT",IF(ABS(P599)&gt;0.004,"SUBLEDGER ARITHMETIC ERROR",IF(ABS(M599)&gt;0.004,"BILLING VARIANCE","MATCH")))</f>
        <v/>
      </c>
    </row>
    <row r="600">
      <c r="A600" s="37" t="inlineStr">
        <is>
          <t>EW-0623</t>
        </is>
      </c>
      <c r="B600" s="37" t="inlineStr">
        <is>
          <t>Eastwey</t>
        </is>
      </c>
      <c r="C600" s="37" t="inlineStr">
        <is>
          <t>OPEN</t>
        </is>
      </c>
      <c r="D600" s="37" t="inlineStr">
        <is>
          <t>OCCUPIED</t>
        </is>
      </c>
      <c r="E600" s="37" t="inlineStr">
        <is>
          <t>WL-02886</t>
        </is>
      </c>
      <c r="F600" s="37" t="inlineStr">
        <is>
          <t>Sarah Woods</t>
        </is>
      </c>
      <c r="G600" s="37" t="n">
        <v>32</v>
      </c>
      <c r="H600" s="39" t="n">
        <v>61.8</v>
      </c>
      <c r="I600" s="40">
        <f>ROUNDUP(MAX(G600,H600),0)</f>
        <v/>
      </c>
      <c r="J600" s="41">
        <f>IF(C600="COVERED",'Methodology'!$B$9,'Methodology'!$B$10)</f>
        <v/>
      </c>
      <c r="K600" s="41">
        <f>I600*J600</f>
        <v/>
      </c>
      <c r="L600" s="41">
        <f>SUMIFS('Billing Aug'!$J$2:$J$770,'Billing Aug'!$D$2:$D$770,A600)</f>
        <v/>
      </c>
      <c r="M600" s="41">
        <f>L600-K600</f>
        <v/>
      </c>
      <c r="N600" s="37">
        <f>COUNTIF('Billing Aug'!$D$2:$D$770,A600)</f>
        <v/>
      </c>
      <c r="O600" s="37">
        <f>SUMIFS('Billing Aug'!$F$2:$F$770,'Billing Aug'!$D$2:$D$770,A600)</f>
        <v/>
      </c>
      <c r="P600" s="41">
        <f>IF(N600=0,0,L600-SUMIFS('Billing Aug'!$H$2:$H$770,'Billing Aug'!$D$2:$D$770,A600)*SUMIFS('Billing Aug'!$I$2:$I$770,'Billing Aug'!$D$2:$D$770,A600))</f>
        <v/>
      </c>
      <c r="Q600" s="37">
        <f>IF(N600=0,"NO AUG TRANSACTION IN SUPPLIED EXTRACT",IF(ABS(P600)&gt;0.004,"SUBLEDGER ARITHMETIC ERROR",IF(ABS(M600)&gt;0.004,"BILLING VARIANCE","MATCH")))</f>
        <v/>
      </c>
    </row>
    <row r="601">
      <c r="A601" s="37" t="inlineStr">
        <is>
          <t>EW-0624</t>
        </is>
      </c>
      <c r="B601" s="37" t="inlineStr">
        <is>
          <t>Eastwey</t>
        </is>
      </c>
      <c r="C601" s="37" t="inlineStr">
        <is>
          <t>OPEN</t>
        </is>
      </c>
      <c r="D601" s="37" t="inlineStr">
        <is>
          <t>OCCUPIED</t>
        </is>
      </c>
      <c r="E601" s="37" t="inlineStr">
        <is>
          <t>WL-01257</t>
        </is>
      </c>
      <c r="F601" s="37" t="inlineStr">
        <is>
          <t>Steven Parrish</t>
        </is>
      </c>
      <c r="G601" s="37" t="n">
        <v>60</v>
      </c>
      <c r="H601" s="39" t="n">
        <v>47.3</v>
      </c>
      <c r="I601" s="40">
        <f>ROUNDUP(MAX(G601,H601),0)</f>
        <v/>
      </c>
      <c r="J601" s="41">
        <f>IF(C601="COVERED",'Methodology'!$B$9,'Methodology'!$B$10)</f>
        <v/>
      </c>
      <c r="K601" s="41">
        <f>I601*J601</f>
        <v/>
      </c>
      <c r="L601" s="41">
        <f>SUMIFS('Billing Aug'!$J$2:$J$770,'Billing Aug'!$D$2:$D$770,A601)</f>
        <v/>
      </c>
      <c r="M601" s="41">
        <f>L601-K601</f>
        <v/>
      </c>
      <c r="N601" s="37">
        <f>COUNTIF('Billing Aug'!$D$2:$D$770,A601)</f>
        <v/>
      </c>
      <c r="O601" s="37">
        <f>SUMIFS('Billing Aug'!$F$2:$F$770,'Billing Aug'!$D$2:$D$770,A601)</f>
        <v/>
      </c>
      <c r="P601" s="41">
        <f>IF(N601=0,0,L601-SUMIFS('Billing Aug'!$H$2:$H$770,'Billing Aug'!$D$2:$D$770,A601)*SUMIFS('Billing Aug'!$I$2:$I$770,'Billing Aug'!$D$2:$D$770,A601))</f>
        <v/>
      </c>
      <c r="Q601" s="37">
        <f>IF(N601=0,"NO AUG TRANSACTION IN SUPPLIED EXTRACT",IF(ABS(P601)&gt;0.004,"SUBLEDGER ARITHMETIC ERROR",IF(ABS(M601)&gt;0.004,"BILLING VARIANCE","MATCH")))</f>
        <v/>
      </c>
    </row>
    <row r="602">
      <c r="A602" s="37" t="inlineStr">
        <is>
          <t>EW-0702</t>
        </is>
      </c>
      <c r="B602" s="37" t="inlineStr">
        <is>
          <t>Eastwey</t>
        </is>
      </c>
      <c r="C602" s="37" t="inlineStr">
        <is>
          <t>OPEN</t>
        </is>
      </c>
      <c r="D602" s="37" t="inlineStr">
        <is>
          <t>OCCUPIED</t>
        </is>
      </c>
      <c r="E602" s="37" t="inlineStr">
        <is>
          <t>WL-02343</t>
        </is>
      </c>
      <c r="F602" s="37" t="inlineStr">
        <is>
          <t>Nicole Mata</t>
        </is>
      </c>
      <c r="G602" s="37" t="n">
        <v>45</v>
      </c>
      <c r="H602" s="39" t="n">
        <v>24</v>
      </c>
      <c r="I602" s="40">
        <f>ROUNDUP(MAX(G602,H602),0)</f>
        <v/>
      </c>
      <c r="J602" s="41">
        <f>IF(C602="COVERED",'Methodology'!$B$9,'Methodology'!$B$10)</f>
        <v/>
      </c>
      <c r="K602" s="41">
        <f>I602*J602</f>
        <v/>
      </c>
      <c r="L602" s="41">
        <f>SUMIFS('Billing Aug'!$J$2:$J$770,'Billing Aug'!$D$2:$D$770,A602)</f>
        <v/>
      </c>
      <c r="M602" s="41">
        <f>L602-K602</f>
        <v/>
      </c>
      <c r="N602" s="37">
        <f>COUNTIF('Billing Aug'!$D$2:$D$770,A602)</f>
        <v/>
      </c>
      <c r="O602" s="37">
        <f>SUMIFS('Billing Aug'!$F$2:$F$770,'Billing Aug'!$D$2:$D$770,A602)</f>
        <v/>
      </c>
      <c r="P602" s="41">
        <f>IF(N602=0,0,L602-SUMIFS('Billing Aug'!$H$2:$H$770,'Billing Aug'!$D$2:$D$770,A602)*SUMIFS('Billing Aug'!$I$2:$I$770,'Billing Aug'!$D$2:$D$770,A602))</f>
        <v/>
      </c>
      <c r="Q602" s="37">
        <f>IF(N602=0,"NO AUG TRANSACTION IN SUPPLIED EXTRACT",IF(ABS(P602)&gt;0.004,"SUBLEDGER ARITHMETIC ERROR",IF(ABS(M602)&gt;0.004,"BILLING VARIANCE","MATCH")))</f>
        <v/>
      </c>
    </row>
    <row r="603">
      <c r="A603" s="37" t="inlineStr">
        <is>
          <t>EW-0703</t>
        </is>
      </c>
      <c r="B603" s="37" t="inlineStr">
        <is>
          <t>Eastwey</t>
        </is>
      </c>
      <c r="C603" s="37" t="inlineStr">
        <is>
          <t>OPEN</t>
        </is>
      </c>
      <c r="D603" s="37" t="inlineStr">
        <is>
          <t>OCCUPIED</t>
        </is>
      </c>
      <c r="E603" s="37" t="inlineStr">
        <is>
          <t>WL-01158</t>
        </is>
      </c>
      <c r="F603" s="37" t="inlineStr">
        <is>
          <t>Scott Gutierrez</t>
        </is>
      </c>
      <c r="G603" s="37" t="n">
        <v>32</v>
      </c>
      <c r="H603" s="39" t="n">
        <v>51.2</v>
      </c>
      <c r="I603" s="40">
        <f>ROUNDUP(MAX(G603,H603),0)</f>
        <v/>
      </c>
      <c r="J603" s="41">
        <f>IF(C603="COVERED",'Methodology'!$B$9,'Methodology'!$B$10)</f>
        <v/>
      </c>
      <c r="K603" s="41">
        <f>I603*J603</f>
        <v/>
      </c>
      <c r="L603" s="41">
        <f>SUMIFS('Billing Aug'!$J$2:$J$770,'Billing Aug'!$D$2:$D$770,A603)</f>
        <v/>
      </c>
      <c r="M603" s="41">
        <f>L603-K603</f>
        <v/>
      </c>
      <c r="N603" s="37">
        <f>COUNTIF('Billing Aug'!$D$2:$D$770,A603)</f>
        <v/>
      </c>
      <c r="O603" s="37">
        <f>SUMIFS('Billing Aug'!$F$2:$F$770,'Billing Aug'!$D$2:$D$770,A603)</f>
        <v/>
      </c>
      <c r="P603" s="41">
        <f>IF(N603=0,0,L603-SUMIFS('Billing Aug'!$H$2:$H$770,'Billing Aug'!$D$2:$D$770,A603)*SUMIFS('Billing Aug'!$I$2:$I$770,'Billing Aug'!$D$2:$D$770,A603))</f>
        <v/>
      </c>
      <c r="Q603" s="37">
        <f>IF(N603=0,"NO AUG TRANSACTION IN SUPPLIED EXTRACT",IF(ABS(P603)&gt;0.004,"SUBLEDGER ARITHMETIC ERROR",IF(ABS(M603)&gt;0.004,"BILLING VARIANCE","MATCH")))</f>
        <v/>
      </c>
    </row>
    <row r="604">
      <c r="A604" s="37" t="inlineStr">
        <is>
          <t>EW-0704</t>
        </is>
      </c>
      <c r="B604" s="37" t="inlineStr">
        <is>
          <t>Eastwey</t>
        </is>
      </c>
      <c r="C604" s="37" t="inlineStr">
        <is>
          <t>OPEN</t>
        </is>
      </c>
      <c r="D604" s="37" t="inlineStr">
        <is>
          <t>OCCUPIED</t>
        </is>
      </c>
      <c r="E604" s="37" t="inlineStr">
        <is>
          <t>WL-03717</t>
        </is>
      </c>
      <c r="F604" s="37" t="inlineStr">
        <is>
          <t>Roy Schmitt</t>
        </is>
      </c>
      <c r="G604" s="37" t="n">
        <v>32</v>
      </c>
      <c r="H604" s="39" t="n">
        <v>44.2</v>
      </c>
      <c r="I604" s="40">
        <f>ROUNDUP(MAX(G604,H604),0)</f>
        <v/>
      </c>
      <c r="J604" s="41">
        <f>IF(C604="COVERED",'Methodology'!$B$9,'Methodology'!$B$10)</f>
        <v/>
      </c>
      <c r="K604" s="41">
        <f>I604*J604</f>
        <v/>
      </c>
      <c r="L604" s="41">
        <f>SUMIFS('Billing Aug'!$J$2:$J$770,'Billing Aug'!$D$2:$D$770,A604)</f>
        <v/>
      </c>
      <c r="M604" s="41">
        <f>L604-K604</f>
        <v/>
      </c>
      <c r="N604" s="37">
        <f>COUNTIF('Billing Aug'!$D$2:$D$770,A604)</f>
        <v/>
      </c>
      <c r="O604" s="37">
        <f>SUMIFS('Billing Aug'!$F$2:$F$770,'Billing Aug'!$D$2:$D$770,A604)</f>
        <v/>
      </c>
      <c r="P604" s="41">
        <f>IF(N604=0,0,L604-SUMIFS('Billing Aug'!$H$2:$H$770,'Billing Aug'!$D$2:$D$770,A604)*SUMIFS('Billing Aug'!$I$2:$I$770,'Billing Aug'!$D$2:$D$770,A604))</f>
        <v/>
      </c>
      <c r="Q604" s="37">
        <f>IF(N604=0,"NO AUG TRANSACTION IN SUPPLIED EXTRACT",IF(ABS(P604)&gt;0.004,"SUBLEDGER ARITHMETIC ERROR",IF(ABS(M604)&gt;0.004,"BILLING VARIANCE","MATCH")))</f>
        <v/>
      </c>
    </row>
    <row r="605">
      <c r="A605" s="37" t="inlineStr">
        <is>
          <t>EW-0705</t>
        </is>
      </c>
      <c r="B605" s="37" t="inlineStr">
        <is>
          <t>Eastwey</t>
        </is>
      </c>
      <c r="C605" s="37" t="inlineStr">
        <is>
          <t>OPEN</t>
        </is>
      </c>
      <c r="D605" s="37" t="inlineStr">
        <is>
          <t>OCCUPIED</t>
        </is>
      </c>
      <c r="E605" s="37" t="inlineStr">
        <is>
          <t>WL-01681</t>
        </is>
      </c>
      <c r="F605" s="37" t="inlineStr">
        <is>
          <t>Trevor Jones</t>
        </is>
      </c>
      <c r="G605" s="37" t="n">
        <v>40</v>
      </c>
      <c r="H605" s="39" t="n">
        <v>50.3</v>
      </c>
      <c r="I605" s="40">
        <f>ROUNDUP(MAX(G605,H605),0)</f>
        <v/>
      </c>
      <c r="J605" s="41">
        <f>IF(C605="COVERED",'Methodology'!$B$9,'Methodology'!$B$10)</f>
        <v/>
      </c>
      <c r="K605" s="41">
        <f>I605*J605</f>
        <v/>
      </c>
      <c r="L605" s="41">
        <f>SUMIFS('Billing Aug'!$J$2:$J$770,'Billing Aug'!$D$2:$D$770,A605)</f>
        <v/>
      </c>
      <c r="M605" s="41">
        <f>L605-K605</f>
        <v/>
      </c>
      <c r="N605" s="37">
        <f>COUNTIF('Billing Aug'!$D$2:$D$770,A605)</f>
        <v/>
      </c>
      <c r="O605" s="37">
        <f>SUMIFS('Billing Aug'!$F$2:$F$770,'Billing Aug'!$D$2:$D$770,A605)</f>
        <v/>
      </c>
      <c r="P605" s="41">
        <f>IF(N605=0,0,L605-SUMIFS('Billing Aug'!$H$2:$H$770,'Billing Aug'!$D$2:$D$770,A605)*SUMIFS('Billing Aug'!$I$2:$I$770,'Billing Aug'!$D$2:$D$770,A605))</f>
        <v/>
      </c>
      <c r="Q605" s="37">
        <f>IF(N605=0,"NO AUG TRANSACTION IN SUPPLIED EXTRACT",IF(ABS(P605)&gt;0.004,"SUBLEDGER ARITHMETIC ERROR",IF(ABS(M605)&gt;0.004,"BILLING VARIANCE","MATCH")))</f>
        <v/>
      </c>
    </row>
    <row r="606">
      <c r="A606" s="37" t="inlineStr">
        <is>
          <t>EW-0706</t>
        </is>
      </c>
      <c r="B606" s="37" t="inlineStr">
        <is>
          <t>Eastwey</t>
        </is>
      </c>
      <c r="C606" s="37" t="inlineStr">
        <is>
          <t>OPEN</t>
        </is>
      </c>
      <c r="D606" s="37" t="inlineStr">
        <is>
          <t>OCCUPIED</t>
        </is>
      </c>
      <c r="E606" s="37" t="inlineStr">
        <is>
          <t>WL-03502</t>
        </is>
      </c>
      <c r="F606" s="37" t="inlineStr">
        <is>
          <t>Jennifer Bryant</t>
        </is>
      </c>
      <c r="G606" s="37" t="n">
        <v>36</v>
      </c>
      <c r="H606" s="39" t="n">
        <v>42.5</v>
      </c>
      <c r="I606" s="40">
        <f>ROUNDUP(MAX(G606,H606),0)</f>
        <v/>
      </c>
      <c r="J606" s="41">
        <f>IF(C606="COVERED",'Methodology'!$B$9,'Methodology'!$B$10)</f>
        <v/>
      </c>
      <c r="K606" s="41">
        <f>I606*J606</f>
        <v/>
      </c>
      <c r="L606" s="41">
        <f>SUMIFS('Billing Aug'!$J$2:$J$770,'Billing Aug'!$D$2:$D$770,A606)</f>
        <v/>
      </c>
      <c r="M606" s="41">
        <f>L606-K606</f>
        <v/>
      </c>
      <c r="N606" s="37">
        <f>COUNTIF('Billing Aug'!$D$2:$D$770,A606)</f>
        <v/>
      </c>
      <c r="O606" s="37">
        <f>SUMIFS('Billing Aug'!$F$2:$F$770,'Billing Aug'!$D$2:$D$770,A606)</f>
        <v/>
      </c>
      <c r="P606" s="41">
        <f>IF(N606=0,0,L606-SUMIFS('Billing Aug'!$H$2:$H$770,'Billing Aug'!$D$2:$D$770,A606)*SUMIFS('Billing Aug'!$I$2:$I$770,'Billing Aug'!$D$2:$D$770,A606))</f>
        <v/>
      </c>
      <c r="Q606" s="37">
        <f>IF(N606=0,"NO AUG TRANSACTION IN SUPPLIED EXTRACT",IF(ABS(P606)&gt;0.004,"SUBLEDGER ARITHMETIC ERROR",IF(ABS(M606)&gt;0.004,"BILLING VARIANCE","MATCH")))</f>
        <v/>
      </c>
    </row>
    <row r="607">
      <c r="A607" s="37" t="inlineStr">
        <is>
          <t>EW-0708</t>
        </is>
      </c>
      <c r="B607" s="37" t="inlineStr">
        <is>
          <t>Eastwey</t>
        </is>
      </c>
      <c r="C607" s="37" t="inlineStr">
        <is>
          <t>OPEN</t>
        </is>
      </c>
      <c r="D607" s="37" t="inlineStr">
        <is>
          <t>OCCUPIED</t>
        </is>
      </c>
      <c r="E607" s="37" t="inlineStr">
        <is>
          <t>WL-02872</t>
        </is>
      </c>
      <c r="F607" s="37" t="inlineStr">
        <is>
          <t>Jessica Fitzgerald</t>
        </is>
      </c>
      <c r="G607" s="37" t="n">
        <v>50</v>
      </c>
      <c r="H607" s="39" t="n">
        <v>44.2</v>
      </c>
      <c r="I607" s="40">
        <f>ROUNDUP(MAX(G607,H607),0)</f>
        <v/>
      </c>
      <c r="J607" s="41">
        <f>IF(C607="COVERED",'Methodology'!$B$9,'Methodology'!$B$10)</f>
        <v/>
      </c>
      <c r="K607" s="41">
        <f>I607*J607</f>
        <v/>
      </c>
      <c r="L607" s="41">
        <f>SUMIFS('Billing Aug'!$J$2:$J$770,'Billing Aug'!$D$2:$D$770,A607)</f>
        <v/>
      </c>
      <c r="M607" s="41">
        <f>L607-K607</f>
        <v/>
      </c>
      <c r="N607" s="37">
        <f>COUNTIF('Billing Aug'!$D$2:$D$770,A607)</f>
        <v/>
      </c>
      <c r="O607" s="37">
        <f>SUMIFS('Billing Aug'!$F$2:$F$770,'Billing Aug'!$D$2:$D$770,A607)</f>
        <v/>
      </c>
      <c r="P607" s="41">
        <f>IF(N607=0,0,L607-SUMIFS('Billing Aug'!$H$2:$H$770,'Billing Aug'!$D$2:$D$770,A607)*SUMIFS('Billing Aug'!$I$2:$I$770,'Billing Aug'!$D$2:$D$770,A607))</f>
        <v/>
      </c>
      <c r="Q607" s="37">
        <f>IF(N607=0,"NO AUG TRANSACTION IN SUPPLIED EXTRACT",IF(ABS(P607)&gt;0.004,"SUBLEDGER ARITHMETIC ERROR",IF(ABS(M607)&gt;0.004,"BILLING VARIANCE","MATCH")))</f>
        <v/>
      </c>
    </row>
    <row r="608">
      <c r="A608" s="37" t="inlineStr">
        <is>
          <t>EW-0709</t>
        </is>
      </c>
      <c r="B608" s="37" t="inlineStr">
        <is>
          <t>Eastwey</t>
        </is>
      </c>
      <c r="C608" s="37" t="inlineStr">
        <is>
          <t>OPEN</t>
        </is>
      </c>
      <c r="D608" s="37" t="inlineStr">
        <is>
          <t>OCCUPIED</t>
        </is>
      </c>
      <c r="E608" s="37" t="inlineStr">
        <is>
          <t>WL-01255</t>
        </is>
      </c>
      <c r="F608" s="37" t="inlineStr">
        <is>
          <t>Dana Walker</t>
        </is>
      </c>
      <c r="G608" s="37" t="n">
        <v>28</v>
      </c>
      <c r="H608" s="39" t="n">
        <v>23.6</v>
      </c>
      <c r="I608" s="40">
        <f>ROUNDUP(MAX(G608,H608),0)</f>
        <v/>
      </c>
      <c r="J608" s="41">
        <f>IF(C608="COVERED",'Methodology'!$B$9,'Methodology'!$B$10)</f>
        <v/>
      </c>
      <c r="K608" s="41">
        <f>I608*J608</f>
        <v/>
      </c>
      <c r="L608" s="41">
        <f>SUMIFS('Billing Aug'!$J$2:$J$770,'Billing Aug'!$D$2:$D$770,A608)</f>
        <v/>
      </c>
      <c r="M608" s="41">
        <f>L608-K608</f>
        <v/>
      </c>
      <c r="N608" s="37">
        <f>COUNTIF('Billing Aug'!$D$2:$D$770,A608)</f>
        <v/>
      </c>
      <c r="O608" s="37">
        <f>SUMIFS('Billing Aug'!$F$2:$F$770,'Billing Aug'!$D$2:$D$770,A608)</f>
        <v/>
      </c>
      <c r="P608" s="41">
        <f>IF(N608=0,0,L608-SUMIFS('Billing Aug'!$H$2:$H$770,'Billing Aug'!$D$2:$D$770,A608)*SUMIFS('Billing Aug'!$I$2:$I$770,'Billing Aug'!$D$2:$D$770,A608))</f>
        <v/>
      </c>
      <c r="Q608" s="37">
        <f>IF(N608=0,"NO AUG TRANSACTION IN SUPPLIED EXTRACT",IF(ABS(P608)&gt;0.004,"SUBLEDGER ARITHMETIC ERROR",IF(ABS(M608)&gt;0.004,"BILLING VARIANCE","MATCH")))</f>
        <v/>
      </c>
    </row>
    <row r="609">
      <c r="A609" s="37" t="inlineStr">
        <is>
          <t>EW-0710</t>
        </is>
      </c>
      <c r="B609" s="37" t="inlineStr">
        <is>
          <t>Eastwey</t>
        </is>
      </c>
      <c r="C609" s="37" t="inlineStr">
        <is>
          <t>OPEN</t>
        </is>
      </c>
      <c r="D609" s="37" t="inlineStr">
        <is>
          <t>OCCUPIED</t>
        </is>
      </c>
      <c r="E609" s="37" t="inlineStr">
        <is>
          <t>WL-01290</t>
        </is>
      </c>
      <c r="F609" s="37" t="inlineStr">
        <is>
          <t>Laura Ball</t>
        </is>
      </c>
      <c r="G609" s="37" t="n">
        <v>24</v>
      </c>
      <c r="H609" s="39" t="n">
        <v>27.6</v>
      </c>
      <c r="I609" s="40">
        <f>ROUNDUP(MAX(G609,H609),0)</f>
        <v/>
      </c>
      <c r="J609" s="41">
        <f>IF(C609="COVERED",'Methodology'!$B$9,'Methodology'!$B$10)</f>
        <v/>
      </c>
      <c r="K609" s="41">
        <f>I609*J609</f>
        <v/>
      </c>
      <c r="L609" s="41">
        <f>SUMIFS('Billing Aug'!$J$2:$J$770,'Billing Aug'!$D$2:$D$770,A609)</f>
        <v/>
      </c>
      <c r="M609" s="41">
        <f>L609-K609</f>
        <v/>
      </c>
      <c r="N609" s="37">
        <f>COUNTIF('Billing Aug'!$D$2:$D$770,A609)</f>
        <v/>
      </c>
      <c r="O609" s="37">
        <f>SUMIFS('Billing Aug'!$F$2:$F$770,'Billing Aug'!$D$2:$D$770,A609)</f>
        <v/>
      </c>
      <c r="P609" s="41">
        <f>IF(N609=0,0,L609-SUMIFS('Billing Aug'!$H$2:$H$770,'Billing Aug'!$D$2:$D$770,A609)*SUMIFS('Billing Aug'!$I$2:$I$770,'Billing Aug'!$D$2:$D$770,A609))</f>
        <v/>
      </c>
      <c r="Q609" s="37">
        <f>IF(N609=0,"NO AUG TRANSACTION IN SUPPLIED EXTRACT",IF(ABS(P609)&gt;0.004,"SUBLEDGER ARITHMETIC ERROR",IF(ABS(M609)&gt;0.004,"BILLING VARIANCE","MATCH")))</f>
        <v/>
      </c>
    </row>
    <row r="610">
      <c r="A610" s="37" t="inlineStr">
        <is>
          <t>EW-0712</t>
        </is>
      </c>
      <c r="B610" s="37" t="inlineStr">
        <is>
          <t>Eastwey</t>
        </is>
      </c>
      <c r="C610" s="37" t="inlineStr">
        <is>
          <t>OPEN</t>
        </is>
      </c>
      <c r="D610" s="37" t="inlineStr">
        <is>
          <t>OCCUPIED</t>
        </is>
      </c>
      <c r="E610" s="37" t="inlineStr">
        <is>
          <t>WL-02411</t>
        </is>
      </c>
      <c r="F610" s="37" t="inlineStr">
        <is>
          <t>Brooke Kelly</t>
        </is>
      </c>
      <c r="G610" s="37" t="n">
        <v>32</v>
      </c>
      <c r="H610" s="39" t="n">
        <v>50.6</v>
      </c>
      <c r="I610" s="40">
        <f>ROUNDUP(MAX(G610,H610),0)</f>
        <v/>
      </c>
      <c r="J610" s="41">
        <f>IF(C610="COVERED",'Methodology'!$B$9,'Methodology'!$B$10)</f>
        <v/>
      </c>
      <c r="K610" s="41">
        <f>I610*J610</f>
        <v/>
      </c>
      <c r="L610" s="41">
        <f>SUMIFS('Billing Aug'!$J$2:$J$770,'Billing Aug'!$D$2:$D$770,A610)</f>
        <v/>
      </c>
      <c r="M610" s="41">
        <f>L610-K610</f>
        <v/>
      </c>
      <c r="N610" s="37">
        <f>COUNTIF('Billing Aug'!$D$2:$D$770,A610)</f>
        <v/>
      </c>
      <c r="O610" s="37">
        <f>SUMIFS('Billing Aug'!$F$2:$F$770,'Billing Aug'!$D$2:$D$770,A610)</f>
        <v/>
      </c>
      <c r="P610" s="41">
        <f>IF(N610=0,0,L610-SUMIFS('Billing Aug'!$H$2:$H$770,'Billing Aug'!$D$2:$D$770,A610)*SUMIFS('Billing Aug'!$I$2:$I$770,'Billing Aug'!$D$2:$D$770,A610))</f>
        <v/>
      </c>
      <c r="Q610" s="37">
        <f>IF(N610=0,"NO AUG TRANSACTION IN SUPPLIED EXTRACT",IF(ABS(P610)&gt;0.004,"SUBLEDGER ARITHMETIC ERROR",IF(ABS(M610)&gt;0.004,"BILLING VARIANCE","MATCH")))</f>
        <v/>
      </c>
    </row>
    <row r="611">
      <c r="A611" s="37" t="inlineStr">
        <is>
          <t>EW-0713</t>
        </is>
      </c>
      <c r="B611" s="37" t="inlineStr">
        <is>
          <t>Eastwey</t>
        </is>
      </c>
      <c r="C611" s="37" t="inlineStr">
        <is>
          <t>OPEN</t>
        </is>
      </c>
      <c r="D611" s="37" t="inlineStr">
        <is>
          <t>OCCUPIED</t>
        </is>
      </c>
      <c r="E611" s="37" t="inlineStr">
        <is>
          <t>WL-03726</t>
        </is>
      </c>
      <c r="F611" s="37" t="inlineStr">
        <is>
          <t>Christina Johnson</t>
        </is>
      </c>
      <c r="G611" s="37" t="n">
        <v>32</v>
      </c>
      <c r="H611" s="39" t="n">
        <v>32.3</v>
      </c>
      <c r="I611" s="40">
        <f>ROUNDUP(MAX(G611,H611),0)</f>
        <v/>
      </c>
      <c r="J611" s="41">
        <f>IF(C611="COVERED",'Methodology'!$B$9,'Methodology'!$B$10)</f>
        <v/>
      </c>
      <c r="K611" s="41">
        <f>I611*J611</f>
        <v/>
      </c>
      <c r="L611" s="41">
        <f>SUMIFS('Billing Aug'!$J$2:$J$770,'Billing Aug'!$D$2:$D$770,A611)</f>
        <v/>
      </c>
      <c r="M611" s="41">
        <f>L611-K611</f>
        <v/>
      </c>
      <c r="N611" s="37">
        <f>COUNTIF('Billing Aug'!$D$2:$D$770,A611)</f>
        <v/>
      </c>
      <c r="O611" s="37">
        <f>SUMIFS('Billing Aug'!$F$2:$F$770,'Billing Aug'!$D$2:$D$770,A611)</f>
        <v/>
      </c>
      <c r="P611" s="41">
        <f>IF(N611=0,0,L611-SUMIFS('Billing Aug'!$H$2:$H$770,'Billing Aug'!$D$2:$D$770,A611)*SUMIFS('Billing Aug'!$I$2:$I$770,'Billing Aug'!$D$2:$D$770,A611))</f>
        <v/>
      </c>
      <c r="Q611" s="37">
        <f>IF(N611=0,"NO AUG TRANSACTION IN SUPPLIED EXTRACT",IF(ABS(P611)&gt;0.004,"SUBLEDGER ARITHMETIC ERROR",IF(ABS(M611)&gt;0.004,"BILLING VARIANCE","MATCH")))</f>
        <v/>
      </c>
    </row>
    <row r="612">
      <c r="A612" s="37" t="inlineStr">
        <is>
          <t>EW-0714</t>
        </is>
      </c>
      <c r="B612" s="37" t="inlineStr">
        <is>
          <t>Eastwey</t>
        </is>
      </c>
      <c r="C612" s="37" t="inlineStr">
        <is>
          <t>OPEN</t>
        </is>
      </c>
      <c r="D612" s="37" t="inlineStr">
        <is>
          <t>OCCUPIED</t>
        </is>
      </c>
      <c r="E612" s="37" t="inlineStr">
        <is>
          <t>WL-03863</t>
        </is>
      </c>
      <c r="F612" s="37" t="inlineStr">
        <is>
          <t>Brianna Phillips</t>
        </is>
      </c>
      <c r="G612" s="37" t="n">
        <v>50</v>
      </c>
      <c r="H612" s="39" t="n">
        <v>59.1</v>
      </c>
      <c r="I612" s="40">
        <f>ROUNDUP(MAX(G612,H612),0)</f>
        <v/>
      </c>
      <c r="J612" s="41">
        <f>IF(C612="COVERED",'Methodology'!$B$9,'Methodology'!$B$10)</f>
        <v/>
      </c>
      <c r="K612" s="41">
        <f>I612*J612</f>
        <v/>
      </c>
      <c r="L612" s="41">
        <f>SUMIFS('Billing Aug'!$J$2:$J$770,'Billing Aug'!$D$2:$D$770,A612)</f>
        <v/>
      </c>
      <c r="M612" s="41">
        <f>L612-K612</f>
        <v/>
      </c>
      <c r="N612" s="37">
        <f>COUNTIF('Billing Aug'!$D$2:$D$770,A612)</f>
        <v/>
      </c>
      <c r="O612" s="37">
        <f>SUMIFS('Billing Aug'!$F$2:$F$770,'Billing Aug'!$D$2:$D$770,A612)</f>
        <v/>
      </c>
      <c r="P612" s="41">
        <f>IF(N612=0,0,L612-SUMIFS('Billing Aug'!$H$2:$H$770,'Billing Aug'!$D$2:$D$770,A612)*SUMIFS('Billing Aug'!$I$2:$I$770,'Billing Aug'!$D$2:$D$770,A612))</f>
        <v/>
      </c>
      <c r="Q612" s="37">
        <f>IF(N612=0,"NO AUG TRANSACTION IN SUPPLIED EXTRACT",IF(ABS(P612)&gt;0.004,"SUBLEDGER ARITHMETIC ERROR",IF(ABS(M612)&gt;0.004,"BILLING VARIANCE","MATCH")))</f>
        <v/>
      </c>
    </row>
    <row r="613">
      <c r="A613" s="37" t="inlineStr">
        <is>
          <t>EW-0715</t>
        </is>
      </c>
      <c r="B613" s="37" t="inlineStr">
        <is>
          <t>Eastwey</t>
        </is>
      </c>
      <c r="C613" s="37" t="inlineStr">
        <is>
          <t>OPEN</t>
        </is>
      </c>
      <c r="D613" s="37" t="inlineStr">
        <is>
          <t>OCCUPIED</t>
        </is>
      </c>
      <c r="E613" s="37" t="inlineStr">
        <is>
          <t>WL-02155</t>
        </is>
      </c>
      <c r="F613" s="37" t="inlineStr">
        <is>
          <t>Jeremy Turner</t>
        </is>
      </c>
      <c r="G613" s="37" t="n">
        <v>45</v>
      </c>
      <c r="H613" s="39" t="n">
        <v>49.1</v>
      </c>
      <c r="I613" s="40">
        <f>ROUNDUP(MAX(G613,H613),0)</f>
        <v/>
      </c>
      <c r="J613" s="41">
        <f>IF(C613="COVERED",'Methodology'!$B$9,'Methodology'!$B$10)</f>
        <v/>
      </c>
      <c r="K613" s="41">
        <f>I613*J613</f>
        <v/>
      </c>
      <c r="L613" s="41">
        <f>SUMIFS('Billing Aug'!$J$2:$J$770,'Billing Aug'!$D$2:$D$770,A613)</f>
        <v/>
      </c>
      <c r="M613" s="41">
        <f>L613-K613</f>
        <v/>
      </c>
      <c r="N613" s="37">
        <f>COUNTIF('Billing Aug'!$D$2:$D$770,A613)</f>
        <v/>
      </c>
      <c r="O613" s="37">
        <f>SUMIFS('Billing Aug'!$F$2:$F$770,'Billing Aug'!$D$2:$D$770,A613)</f>
        <v/>
      </c>
      <c r="P613" s="41">
        <f>IF(N613=0,0,L613-SUMIFS('Billing Aug'!$H$2:$H$770,'Billing Aug'!$D$2:$D$770,A613)*SUMIFS('Billing Aug'!$I$2:$I$770,'Billing Aug'!$D$2:$D$770,A613))</f>
        <v/>
      </c>
      <c r="Q613" s="37">
        <f>IF(N613=0,"NO AUG TRANSACTION IN SUPPLIED EXTRACT",IF(ABS(P613)&gt;0.004,"SUBLEDGER ARITHMETIC ERROR",IF(ABS(M613)&gt;0.004,"BILLING VARIANCE","MATCH")))</f>
        <v/>
      </c>
    </row>
    <row r="614">
      <c r="A614" s="37" t="inlineStr">
        <is>
          <t>EW-0716</t>
        </is>
      </c>
      <c r="B614" s="37" t="inlineStr">
        <is>
          <t>Eastwey</t>
        </is>
      </c>
      <c r="C614" s="37" t="inlineStr">
        <is>
          <t>OPEN</t>
        </is>
      </c>
      <c r="D614" s="37" t="inlineStr">
        <is>
          <t>OCCUPIED</t>
        </is>
      </c>
      <c r="E614" s="37" t="inlineStr">
        <is>
          <t>WL-02280</t>
        </is>
      </c>
      <c r="F614" s="37" t="inlineStr">
        <is>
          <t>Joseph Rogers</t>
        </is>
      </c>
      <c r="G614" s="37" t="n">
        <v>28</v>
      </c>
      <c r="H614" s="39" t="n">
        <v>21.9</v>
      </c>
      <c r="I614" s="40">
        <f>ROUNDUP(MAX(G614,H614),0)</f>
        <v/>
      </c>
      <c r="J614" s="41">
        <f>IF(C614="COVERED",'Methodology'!$B$9,'Methodology'!$B$10)</f>
        <v/>
      </c>
      <c r="K614" s="41">
        <f>I614*J614</f>
        <v/>
      </c>
      <c r="L614" s="41">
        <f>SUMIFS('Billing Aug'!$J$2:$J$770,'Billing Aug'!$D$2:$D$770,A614)</f>
        <v/>
      </c>
      <c r="M614" s="41">
        <f>L614-K614</f>
        <v/>
      </c>
      <c r="N614" s="37">
        <f>COUNTIF('Billing Aug'!$D$2:$D$770,A614)</f>
        <v/>
      </c>
      <c r="O614" s="37">
        <f>SUMIFS('Billing Aug'!$F$2:$F$770,'Billing Aug'!$D$2:$D$770,A614)</f>
        <v/>
      </c>
      <c r="P614" s="41">
        <f>IF(N614=0,0,L614-SUMIFS('Billing Aug'!$H$2:$H$770,'Billing Aug'!$D$2:$D$770,A614)*SUMIFS('Billing Aug'!$I$2:$I$770,'Billing Aug'!$D$2:$D$770,A614))</f>
        <v/>
      </c>
      <c r="Q614" s="37">
        <f>IF(N614=0,"NO AUG TRANSACTION IN SUPPLIED EXTRACT",IF(ABS(P614)&gt;0.004,"SUBLEDGER ARITHMETIC ERROR",IF(ABS(M614)&gt;0.004,"BILLING VARIANCE","MATCH")))</f>
        <v/>
      </c>
    </row>
    <row r="615">
      <c r="A615" s="37" t="inlineStr">
        <is>
          <t>EW-0717</t>
        </is>
      </c>
      <c r="B615" s="37" t="inlineStr">
        <is>
          <t>Eastwey</t>
        </is>
      </c>
      <c r="C615" s="37" t="inlineStr">
        <is>
          <t>OPEN</t>
        </is>
      </c>
      <c r="D615" s="37" t="inlineStr">
        <is>
          <t>OCCUPIED</t>
        </is>
      </c>
      <c r="E615" s="37" t="inlineStr">
        <is>
          <t>WL-02403</t>
        </is>
      </c>
      <c r="F615" s="37" t="inlineStr">
        <is>
          <t>Courtney Powell</t>
        </is>
      </c>
      <c r="G615" s="37" t="n">
        <v>36</v>
      </c>
      <c r="H615" s="39" t="n">
        <v>39.5</v>
      </c>
      <c r="I615" s="40">
        <f>ROUNDUP(MAX(G615,H615),0)</f>
        <v/>
      </c>
      <c r="J615" s="41">
        <f>IF(C615="COVERED",'Methodology'!$B$9,'Methodology'!$B$10)</f>
        <v/>
      </c>
      <c r="K615" s="41">
        <f>I615*J615</f>
        <v/>
      </c>
      <c r="L615" s="41">
        <f>SUMIFS('Billing Aug'!$J$2:$J$770,'Billing Aug'!$D$2:$D$770,A615)</f>
        <v/>
      </c>
      <c r="M615" s="41">
        <f>L615-K615</f>
        <v/>
      </c>
      <c r="N615" s="37">
        <f>COUNTIF('Billing Aug'!$D$2:$D$770,A615)</f>
        <v/>
      </c>
      <c r="O615" s="37">
        <f>SUMIFS('Billing Aug'!$F$2:$F$770,'Billing Aug'!$D$2:$D$770,A615)</f>
        <v/>
      </c>
      <c r="P615" s="41">
        <f>IF(N615=0,0,L615-SUMIFS('Billing Aug'!$H$2:$H$770,'Billing Aug'!$D$2:$D$770,A615)*SUMIFS('Billing Aug'!$I$2:$I$770,'Billing Aug'!$D$2:$D$770,A615))</f>
        <v/>
      </c>
      <c r="Q615" s="37">
        <f>IF(N615=0,"NO AUG TRANSACTION IN SUPPLIED EXTRACT",IF(ABS(P615)&gt;0.004,"SUBLEDGER ARITHMETIC ERROR",IF(ABS(M615)&gt;0.004,"BILLING VARIANCE","MATCH")))</f>
        <v/>
      </c>
    </row>
    <row r="616">
      <c r="A616" s="37" t="inlineStr">
        <is>
          <t>EW-0718</t>
        </is>
      </c>
      <c r="B616" s="37" t="inlineStr">
        <is>
          <t>Eastwey</t>
        </is>
      </c>
      <c r="C616" s="37" t="inlineStr">
        <is>
          <t>OPEN</t>
        </is>
      </c>
      <c r="D616" s="37" t="inlineStr">
        <is>
          <t>OCCUPIED</t>
        </is>
      </c>
      <c r="E616" s="37" t="inlineStr">
        <is>
          <t>WL-01159</t>
        </is>
      </c>
      <c r="F616" s="37" t="inlineStr">
        <is>
          <t>Jesus Rice</t>
        </is>
      </c>
      <c r="G616" s="37" t="n">
        <v>60</v>
      </c>
      <c r="H616" s="39" t="n">
        <v>35.8</v>
      </c>
      <c r="I616" s="40">
        <f>ROUNDUP(MAX(G616,H616),0)</f>
        <v/>
      </c>
      <c r="J616" s="41">
        <f>IF(C616="COVERED",'Methodology'!$B$9,'Methodology'!$B$10)</f>
        <v/>
      </c>
      <c r="K616" s="41">
        <f>I616*J616</f>
        <v/>
      </c>
      <c r="L616" s="41">
        <f>SUMIFS('Billing Aug'!$J$2:$J$770,'Billing Aug'!$D$2:$D$770,A616)</f>
        <v/>
      </c>
      <c r="M616" s="41">
        <f>L616-K616</f>
        <v/>
      </c>
      <c r="N616" s="37">
        <f>COUNTIF('Billing Aug'!$D$2:$D$770,A616)</f>
        <v/>
      </c>
      <c r="O616" s="37">
        <f>SUMIFS('Billing Aug'!$F$2:$F$770,'Billing Aug'!$D$2:$D$770,A616)</f>
        <v/>
      </c>
      <c r="P616" s="41">
        <f>IF(N616=0,0,L616-SUMIFS('Billing Aug'!$H$2:$H$770,'Billing Aug'!$D$2:$D$770,A616)*SUMIFS('Billing Aug'!$I$2:$I$770,'Billing Aug'!$D$2:$D$770,A616))</f>
        <v/>
      </c>
      <c r="Q616" s="37">
        <f>IF(N616=0,"NO AUG TRANSACTION IN SUPPLIED EXTRACT",IF(ABS(P616)&gt;0.004,"SUBLEDGER ARITHMETIC ERROR",IF(ABS(M616)&gt;0.004,"BILLING VARIANCE","MATCH")))</f>
        <v/>
      </c>
    </row>
    <row r="617">
      <c r="A617" s="37" t="inlineStr">
        <is>
          <t>EW-0719</t>
        </is>
      </c>
      <c r="B617" s="37" t="inlineStr">
        <is>
          <t>Eastwey</t>
        </is>
      </c>
      <c r="C617" s="37" t="inlineStr">
        <is>
          <t>OPEN</t>
        </is>
      </c>
      <c r="D617" s="37" t="inlineStr">
        <is>
          <t>OCCUPIED</t>
        </is>
      </c>
      <c r="E617" s="37" t="inlineStr">
        <is>
          <t>WL-02799</t>
        </is>
      </c>
      <c r="F617" s="37" t="inlineStr">
        <is>
          <t>Amber Turner</t>
        </is>
      </c>
      <c r="G617" s="37" t="n">
        <v>36</v>
      </c>
      <c r="H617" s="39" t="n">
        <v>51.1</v>
      </c>
      <c r="I617" s="40">
        <f>ROUNDUP(MAX(G617,H617),0)</f>
        <v/>
      </c>
      <c r="J617" s="41">
        <f>IF(C617="COVERED",'Methodology'!$B$9,'Methodology'!$B$10)</f>
        <v/>
      </c>
      <c r="K617" s="41">
        <f>I617*J617</f>
        <v/>
      </c>
      <c r="L617" s="41">
        <f>SUMIFS('Billing Aug'!$J$2:$J$770,'Billing Aug'!$D$2:$D$770,A617)</f>
        <v/>
      </c>
      <c r="M617" s="41">
        <f>L617-K617</f>
        <v/>
      </c>
      <c r="N617" s="37">
        <f>COUNTIF('Billing Aug'!$D$2:$D$770,A617)</f>
        <v/>
      </c>
      <c r="O617" s="37">
        <f>SUMIFS('Billing Aug'!$F$2:$F$770,'Billing Aug'!$D$2:$D$770,A617)</f>
        <v/>
      </c>
      <c r="P617" s="41">
        <f>IF(N617=0,0,L617-SUMIFS('Billing Aug'!$H$2:$H$770,'Billing Aug'!$D$2:$D$770,A617)*SUMIFS('Billing Aug'!$I$2:$I$770,'Billing Aug'!$D$2:$D$770,A617))</f>
        <v/>
      </c>
      <c r="Q617" s="37">
        <f>IF(N617=0,"NO AUG TRANSACTION IN SUPPLIED EXTRACT",IF(ABS(P617)&gt;0.004,"SUBLEDGER ARITHMETIC ERROR",IF(ABS(M617)&gt;0.004,"BILLING VARIANCE","MATCH")))</f>
        <v/>
      </c>
    </row>
    <row r="618">
      <c r="A618" s="37" t="inlineStr">
        <is>
          <t>EW-0720</t>
        </is>
      </c>
      <c r="B618" s="37" t="inlineStr">
        <is>
          <t>Eastwey</t>
        </is>
      </c>
      <c r="C618" s="37" t="inlineStr">
        <is>
          <t>OPEN</t>
        </is>
      </c>
      <c r="D618" s="37" t="inlineStr">
        <is>
          <t>OCCUPIED</t>
        </is>
      </c>
      <c r="E618" s="37" t="inlineStr">
        <is>
          <t>WL-03636</t>
        </is>
      </c>
      <c r="F618" s="37" t="inlineStr">
        <is>
          <t>Amy Flores</t>
        </is>
      </c>
      <c r="G618" s="37" t="n">
        <v>40</v>
      </c>
      <c r="H618" s="39" t="n">
        <v>29.3</v>
      </c>
      <c r="I618" s="40">
        <f>ROUNDUP(MAX(G618,H618),0)</f>
        <v/>
      </c>
      <c r="J618" s="41">
        <f>IF(C618="COVERED",'Methodology'!$B$9,'Methodology'!$B$10)</f>
        <v/>
      </c>
      <c r="K618" s="41">
        <f>I618*J618</f>
        <v/>
      </c>
      <c r="L618" s="41">
        <f>SUMIFS('Billing Aug'!$J$2:$J$770,'Billing Aug'!$D$2:$D$770,A618)</f>
        <v/>
      </c>
      <c r="M618" s="41">
        <f>L618-K618</f>
        <v/>
      </c>
      <c r="N618" s="37">
        <f>COUNTIF('Billing Aug'!$D$2:$D$770,A618)</f>
        <v/>
      </c>
      <c r="O618" s="37">
        <f>SUMIFS('Billing Aug'!$F$2:$F$770,'Billing Aug'!$D$2:$D$770,A618)</f>
        <v/>
      </c>
      <c r="P618" s="41">
        <f>IF(N618=0,0,L618-SUMIFS('Billing Aug'!$H$2:$H$770,'Billing Aug'!$D$2:$D$770,A618)*SUMIFS('Billing Aug'!$I$2:$I$770,'Billing Aug'!$D$2:$D$770,A618))</f>
        <v/>
      </c>
      <c r="Q618" s="37">
        <f>IF(N618=0,"NO AUG TRANSACTION IN SUPPLIED EXTRACT",IF(ABS(P618)&gt;0.004,"SUBLEDGER ARITHMETIC ERROR",IF(ABS(M618)&gt;0.004,"BILLING VARIANCE","MATCH")))</f>
        <v/>
      </c>
    </row>
    <row r="619">
      <c r="A619" s="37" t="inlineStr">
        <is>
          <t>EW-0721</t>
        </is>
      </c>
      <c r="B619" s="37" t="inlineStr">
        <is>
          <t>Eastwey</t>
        </is>
      </c>
      <c r="C619" s="37" t="inlineStr">
        <is>
          <t>OPEN</t>
        </is>
      </c>
      <c r="D619" s="37" t="inlineStr">
        <is>
          <t>OCCUPIED</t>
        </is>
      </c>
      <c r="E619" s="37" t="inlineStr">
        <is>
          <t>WL-01657</t>
        </is>
      </c>
      <c r="F619" s="37" t="inlineStr">
        <is>
          <t>Chad Wells</t>
        </is>
      </c>
      <c r="G619" s="37" t="n">
        <v>24</v>
      </c>
      <c r="H619" s="39" t="n">
        <v>46.9</v>
      </c>
      <c r="I619" s="40">
        <f>ROUNDUP(MAX(G619,H619),0)</f>
        <v/>
      </c>
      <c r="J619" s="41">
        <f>IF(C619="COVERED",'Methodology'!$B$9,'Methodology'!$B$10)</f>
        <v/>
      </c>
      <c r="K619" s="41">
        <f>I619*J619</f>
        <v/>
      </c>
      <c r="L619" s="41">
        <f>SUMIFS('Billing Aug'!$J$2:$J$770,'Billing Aug'!$D$2:$D$770,A619)</f>
        <v/>
      </c>
      <c r="M619" s="41">
        <f>L619-K619</f>
        <v/>
      </c>
      <c r="N619" s="37">
        <f>COUNTIF('Billing Aug'!$D$2:$D$770,A619)</f>
        <v/>
      </c>
      <c r="O619" s="37">
        <f>SUMIFS('Billing Aug'!$F$2:$F$770,'Billing Aug'!$D$2:$D$770,A619)</f>
        <v/>
      </c>
      <c r="P619" s="41">
        <f>IF(N619=0,0,L619-SUMIFS('Billing Aug'!$H$2:$H$770,'Billing Aug'!$D$2:$D$770,A619)*SUMIFS('Billing Aug'!$I$2:$I$770,'Billing Aug'!$D$2:$D$770,A619))</f>
        <v/>
      </c>
      <c r="Q619" s="37">
        <f>IF(N619=0,"NO AUG TRANSACTION IN SUPPLIED EXTRACT",IF(ABS(P619)&gt;0.004,"SUBLEDGER ARITHMETIC ERROR",IF(ABS(M619)&gt;0.004,"BILLING VARIANCE","MATCH")))</f>
        <v/>
      </c>
    </row>
    <row r="620">
      <c r="A620" s="37" t="inlineStr">
        <is>
          <t>EW-0722</t>
        </is>
      </c>
      <c r="B620" s="37" t="inlineStr">
        <is>
          <t>Eastwey</t>
        </is>
      </c>
      <c r="C620" s="37" t="inlineStr">
        <is>
          <t>OPEN</t>
        </is>
      </c>
      <c r="D620" s="37" t="inlineStr">
        <is>
          <t>OCCUPIED</t>
        </is>
      </c>
      <c r="E620" s="37" t="inlineStr">
        <is>
          <t>WL-02952</t>
        </is>
      </c>
      <c r="F620" s="37" t="inlineStr">
        <is>
          <t>Stacy Schroeder</t>
        </is>
      </c>
      <c r="G620" s="37" t="n">
        <v>32</v>
      </c>
      <c r="H620" s="39" t="n">
        <v>54.4</v>
      </c>
      <c r="I620" s="40">
        <f>ROUNDUP(MAX(G620,H620),0)</f>
        <v/>
      </c>
      <c r="J620" s="41">
        <f>IF(C620="COVERED",'Methodology'!$B$9,'Methodology'!$B$10)</f>
        <v/>
      </c>
      <c r="K620" s="41">
        <f>I620*J620</f>
        <v/>
      </c>
      <c r="L620" s="41">
        <f>SUMIFS('Billing Aug'!$J$2:$J$770,'Billing Aug'!$D$2:$D$770,A620)</f>
        <v/>
      </c>
      <c r="M620" s="41">
        <f>L620-K620</f>
        <v/>
      </c>
      <c r="N620" s="37">
        <f>COUNTIF('Billing Aug'!$D$2:$D$770,A620)</f>
        <v/>
      </c>
      <c r="O620" s="37">
        <f>SUMIFS('Billing Aug'!$F$2:$F$770,'Billing Aug'!$D$2:$D$770,A620)</f>
        <v/>
      </c>
      <c r="P620" s="41">
        <f>IF(N620=0,0,L620-SUMIFS('Billing Aug'!$H$2:$H$770,'Billing Aug'!$D$2:$D$770,A620)*SUMIFS('Billing Aug'!$I$2:$I$770,'Billing Aug'!$D$2:$D$770,A620))</f>
        <v/>
      </c>
      <c r="Q620" s="37">
        <f>IF(N620=0,"NO AUG TRANSACTION IN SUPPLIED EXTRACT",IF(ABS(P620)&gt;0.004,"SUBLEDGER ARITHMETIC ERROR",IF(ABS(M620)&gt;0.004,"BILLING VARIANCE","MATCH")))</f>
        <v/>
      </c>
    </row>
    <row r="621">
      <c r="A621" s="37" t="inlineStr">
        <is>
          <t>EW-0723</t>
        </is>
      </c>
      <c r="B621" s="37" t="inlineStr">
        <is>
          <t>Eastwey</t>
        </is>
      </c>
      <c r="C621" s="37" t="inlineStr">
        <is>
          <t>OPEN</t>
        </is>
      </c>
      <c r="D621" s="37" t="inlineStr">
        <is>
          <t>OCCUPIED</t>
        </is>
      </c>
      <c r="E621" s="37" t="inlineStr">
        <is>
          <t>WL-03327</t>
        </is>
      </c>
      <c r="F621" s="37" t="inlineStr">
        <is>
          <t>Laura Zamora</t>
        </is>
      </c>
      <c r="G621" s="37" t="n">
        <v>50</v>
      </c>
      <c r="H621" s="39" t="n">
        <v>53.3</v>
      </c>
      <c r="I621" s="40">
        <f>ROUNDUP(MAX(G621,H621),0)</f>
        <v/>
      </c>
      <c r="J621" s="41">
        <f>IF(C621="COVERED",'Methodology'!$B$9,'Methodology'!$B$10)</f>
        <v/>
      </c>
      <c r="K621" s="41">
        <f>I621*J621</f>
        <v/>
      </c>
      <c r="L621" s="41">
        <f>SUMIFS('Billing Aug'!$J$2:$J$770,'Billing Aug'!$D$2:$D$770,A621)</f>
        <v/>
      </c>
      <c r="M621" s="41">
        <f>L621-K621</f>
        <v/>
      </c>
      <c r="N621" s="37">
        <f>COUNTIF('Billing Aug'!$D$2:$D$770,A621)</f>
        <v/>
      </c>
      <c r="O621" s="37">
        <f>SUMIFS('Billing Aug'!$F$2:$F$770,'Billing Aug'!$D$2:$D$770,A621)</f>
        <v/>
      </c>
      <c r="P621" s="41">
        <f>IF(N621=0,0,L621-SUMIFS('Billing Aug'!$H$2:$H$770,'Billing Aug'!$D$2:$D$770,A621)*SUMIFS('Billing Aug'!$I$2:$I$770,'Billing Aug'!$D$2:$D$770,A621))</f>
        <v/>
      </c>
      <c r="Q621" s="37">
        <f>IF(N621=0,"NO AUG TRANSACTION IN SUPPLIED EXTRACT",IF(ABS(P621)&gt;0.004,"SUBLEDGER ARITHMETIC ERROR",IF(ABS(M621)&gt;0.004,"BILLING VARIANCE","MATCH")))</f>
        <v/>
      </c>
    </row>
    <row r="622">
      <c r="A622" s="37" t="inlineStr">
        <is>
          <t>EW-0724</t>
        </is>
      </c>
      <c r="B622" s="37" t="inlineStr">
        <is>
          <t>Eastwey</t>
        </is>
      </c>
      <c r="C622" s="37" t="inlineStr">
        <is>
          <t>OPEN</t>
        </is>
      </c>
      <c r="D622" s="37" t="inlineStr">
        <is>
          <t>OCCUPIED</t>
        </is>
      </c>
      <c r="E622" s="37" t="inlineStr">
        <is>
          <t>WL-02005</t>
        </is>
      </c>
      <c r="F622" s="37" t="inlineStr">
        <is>
          <t>Caitlin Howard</t>
        </is>
      </c>
      <c r="G622" s="37" t="n">
        <v>70</v>
      </c>
      <c r="H622" s="39" t="n">
        <v>35.8</v>
      </c>
      <c r="I622" s="40">
        <f>ROUNDUP(MAX(G622,H622),0)</f>
        <v/>
      </c>
      <c r="J622" s="41">
        <f>IF(C622="COVERED",'Methodology'!$B$9,'Methodology'!$B$10)</f>
        <v/>
      </c>
      <c r="K622" s="41">
        <f>I622*J622</f>
        <v/>
      </c>
      <c r="L622" s="41">
        <f>SUMIFS('Billing Aug'!$J$2:$J$770,'Billing Aug'!$D$2:$D$770,A622)</f>
        <v/>
      </c>
      <c r="M622" s="41">
        <f>L622-K622</f>
        <v/>
      </c>
      <c r="N622" s="37">
        <f>COUNTIF('Billing Aug'!$D$2:$D$770,A622)</f>
        <v/>
      </c>
      <c r="O622" s="37">
        <f>SUMIFS('Billing Aug'!$F$2:$F$770,'Billing Aug'!$D$2:$D$770,A622)</f>
        <v/>
      </c>
      <c r="P622" s="41">
        <f>IF(N622=0,0,L622-SUMIFS('Billing Aug'!$H$2:$H$770,'Billing Aug'!$D$2:$D$770,A622)*SUMIFS('Billing Aug'!$I$2:$I$770,'Billing Aug'!$D$2:$D$770,A622))</f>
        <v/>
      </c>
      <c r="Q622" s="37">
        <f>IF(N622=0,"NO AUG TRANSACTION IN SUPPLIED EXTRACT",IF(ABS(P622)&gt;0.004,"SUBLEDGER ARITHMETIC ERROR",IF(ABS(M622)&gt;0.004,"BILLING VARIANCE","MATCH")))</f>
        <v/>
      </c>
    </row>
    <row r="623">
      <c r="A623" s="37" t="inlineStr">
        <is>
          <t>EW-0801</t>
        </is>
      </c>
      <c r="B623" s="37" t="inlineStr">
        <is>
          <t>Eastwey</t>
        </is>
      </c>
      <c r="C623" s="37" t="inlineStr">
        <is>
          <t>OPEN</t>
        </is>
      </c>
      <c r="D623" s="37" t="inlineStr">
        <is>
          <t>OCCUPIED</t>
        </is>
      </c>
      <c r="E623" s="37" t="inlineStr">
        <is>
          <t>WL-02019</t>
        </is>
      </c>
      <c r="F623" s="37" t="inlineStr">
        <is>
          <t>James Cox</t>
        </is>
      </c>
      <c r="G623" s="37" t="n">
        <v>45</v>
      </c>
      <c r="H623" s="39" t="n">
        <v>22.3</v>
      </c>
      <c r="I623" s="40">
        <f>ROUNDUP(MAX(G623,H623),0)</f>
        <v/>
      </c>
      <c r="J623" s="41">
        <f>IF(C623="COVERED",'Methodology'!$B$9,'Methodology'!$B$10)</f>
        <v/>
      </c>
      <c r="K623" s="41">
        <f>I623*J623</f>
        <v/>
      </c>
      <c r="L623" s="41">
        <f>SUMIFS('Billing Aug'!$J$2:$J$770,'Billing Aug'!$D$2:$D$770,A623)</f>
        <v/>
      </c>
      <c r="M623" s="41">
        <f>L623-K623</f>
        <v/>
      </c>
      <c r="N623" s="37">
        <f>COUNTIF('Billing Aug'!$D$2:$D$770,A623)</f>
        <v/>
      </c>
      <c r="O623" s="37">
        <f>SUMIFS('Billing Aug'!$F$2:$F$770,'Billing Aug'!$D$2:$D$770,A623)</f>
        <v/>
      </c>
      <c r="P623" s="41">
        <f>IF(N623=0,0,L623-SUMIFS('Billing Aug'!$H$2:$H$770,'Billing Aug'!$D$2:$D$770,A623)*SUMIFS('Billing Aug'!$I$2:$I$770,'Billing Aug'!$D$2:$D$770,A623))</f>
        <v/>
      </c>
      <c r="Q623" s="37">
        <f>IF(N623=0,"NO AUG TRANSACTION IN SUPPLIED EXTRACT",IF(ABS(P623)&gt;0.004,"SUBLEDGER ARITHMETIC ERROR",IF(ABS(M623)&gt;0.004,"BILLING VARIANCE","MATCH")))</f>
        <v/>
      </c>
    </row>
    <row r="624">
      <c r="A624" s="37" t="inlineStr">
        <is>
          <t>EW-0802</t>
        </is>
      </c>
      <c r="B624" s="37" t="inlineStr">
        <is>
          <t>Eastwey</t>
        </is>
      </c>
      <c r="C624" s="37" t="inlineStr">
        <is>
          <t>OPEN</t>
        </is>
      </c>
      <c r="D624" s="37" t="inlineStr">
        <is>
          <t>OCCUPIED</t>
        </is>
      </c>
      <c r="E624" s="37" t="inlineStr">
        <is>
          <t>WL-03780</t>
        </is>
      </c>
      <c r="F624" s="37" t="inlineStr">
        <is>
          <t>Carmen Maldonado</t>
        </is>
      </c>
      <c r="G624" s="37" t="n">
        <v>70</v>
      </c>
      <c r="H624" s="39" t="n">
        <v>53.3</v>
      </c>
      <c r="I624" s="40">
        <f>ROUNDUP(MAX(G624,H624),0)</f>
        <v/>
      </c>
      <c r="J624" s="41">
        <f>IF(C624="COVERED",'Methodology'!$B$9,'Methodology'!$B$10)</f>
        <v/>
      </c>
      <c r="K624" s="41">
        <f>I624*J624</f>
        <v/>
      </c>
      <c r="L624" s="41">
        <f>SUMIFS('Billing Aug'!$J$2:$J$770,'Billing Aug'!$D$2:$D$770,A624)</f>
        <v/>
      </c>
      <c r="M624" s="41">
        <f>L624-K624</f>
        <v/>
      </c>
      <c r="N624" s="37">
        <f>COUNTIF('Billing Aug'!$D$2:$D$770,A624)</f>
        <v/>
      </c>
      <c r="O624" s="37">
        <f>SUMIFS('Billing Aug'!$F$2:$F$770,'Billing Aug'!$D$2:$D$770,A624)</f>
        <v/>
      </c>
      <c r="P624" s="41">
        <f>IF(N624=0,0,L624-SUMIFS('Billing Aug'!$H$2:$H$770,'Billing Aug'!$D$2:$D$770,A624)*SUMIFS('Billing Aug'!$I$2:$I$770,'Billing Aug'!$D$2:$D$770,A624))</f>
        <v/>
      </c>
      <c r="Q624" s="37">
        <f>IF(N624=0,"NO AUG TRANSACTION IN SUPPLIED EXTRACT",IF(ABS(P624)&gt;0.004,"SUBLEDGER ARITHMETIC ERROR",IF(ABS(M624)&gt;0.004,"BILLING VARIANCE","MATCH")))</f>
        <v/>
      </c>
    </row>
    <row r="625">
      <c r="A625" s="37" t="inlineStr">
        <is>
          <t>EW-0803</t>
        </is>
      </c>
      <c r="B625" s="37" t="inlineStr">
        <is>
          <t>Eastwey</t>
        </is>
      </c>
      <c r="C625" s="37" t="inlineStr">
        <is>
          <t>OPEN</t>
        </is>
      </c>
      <c r="D625" s="37" t="inlineStr">
        <is>
          <t>OCCUPIED</t>
        </is>
      </c>
      <c r="E625" s="37" t="inlineStr">
        <is>
          <t>WL-03360</t>
        </is>
      </c>
      <c r="F625" s="37" t="inlineStr">
        <is>
          <t>Morgan Ramos</t>
        </is>
      </c>
      <c r="G625" s="37" t="n">
        <v>28</v>
      </c>
      <c r="H625" s="39" t="n">
        <v>56.4</v>
      </c>
      <c r="I625" s="40">
        <f>ROUNDUP(MAX(G625,H625),0)</f>
        <v/>
      </c>
      <c r="J625" s="41">
        <f>IF(C625="COVERED",'Methodology'!$B$9,'Methodology'!$B$10)</f>
        <v/>
      </c>
      <c r="K625" s="41">
        <f>I625*J625</f>
        <v/>
      </c>
      <c r="L625" s="41">
        <f>SUMIFS('Billing Aug'!$J$2:$J$770,'Billing Aug'!$D$2:$D$770,A625)</f>
        <v/>
      </c>
      <c r="M625" s="41">
        <f>L625-K625</f>
        <v/>
      </c>
      <c r="N625" s="37">
        <f>COUNTIF('Billing Aug'!$D$2:$D$770,A625)</f>
        <v/>
      </c>
      <c r="O625" s="37">
        <f>SUMIFS('Billing Aug'!$F$2:$F$770,'Billing Aug'!$D$2:$D$770,A625)</f>
        <v/>
      </c>
      <c r="P625" s="41">
        <f>IF(N625=0,0,L625-SUMIFS('Billing Aug'!$H$2:$H$770,'Billing Aug'!$D$2:$D$770,A625)*SUMIFS('Billing Aug'!$I$2:$I$770,'Billing Aug'!$D$2:$D$770,A625))</f>
        <v/>
      </c>
      <c r="Q625" s="37">
        <f>IF(N625=0,"NO AUG TRANSACTION IN SUPPLIED EXTRACT",IF(ABS(P625)&gt;0.004,"SUBLEDGER ARITHMETIC ERROR",IF(ABS(M625)&gt;0.004,"BILLING VARIANCE","MATCH")))</f>
        <v/>
      </c>
    </row>
    <row r="626">
      <c r="A626" s="37" t="inlineStr">
        <is>
          <t>EW-0804</t>
        </is>
      </c>
      <c r="B626" s="37" t="inlineStr">
        <is>
          <t>Eastwey</t>
        </is>
      </c>
      <c r="C626" s="37" t="inlineStr">
        <is>
          <t>OPEN</t>
        </is>
      </c>
      <c r="D626" s="37" t="inlineStr">
        <is>
          <t>OCCUPIED</t>
        </is>
      </c>
      <c r="E626" s="37" t="inlineStr">
        <is>
          <t>WL-03722</t>
        </is>
      </c>
      <c r="F626" s="37" t="inlineStr">
        <is>
          <t>Seth Stone</t>
        </is>
      </c>
      <c r="G626" s="37" t="n">
        <v>32</v>
      </c>
      <c r="H626" s="39" t="n">
        <v>22.4</v>
      </c>
      <c r="I626" s="40">
        <f>ROUNDUP(MAX(G626,H626),0)</f>
        <v/>
      </c>
      <c r="J626" s="41">
        <f>IF(C626="COVERED",'Methodology'!$B$9,'Methodology'!$B$10)</f>
        <v/>
      </c>
      <c r="K626" s="41">
        <f>I626*J626</f>
        <v/>
      </c>
      <c r="L626" s="41">
        <f>SUMIFS('Billing Aug'!$J$2:$J$770,'Billing Aug'!$D$2:$D$770,A626)</f>
        <v/>
      </c>
      <c r="M626" s="41">
        <f>L626-K626</f>
        <v/>
      </c>
      <c r="N626" s="37">
        <f>COUNTIF('Billing Aug'!$D$2:$D$770,A626)</f>
        <v/>
      </c>
      <c r="O626" s="37">
        <f>SUMIFS('Billing Aug'!$F$2:$F$770,'Billing Aug'!$D$2:$D$770,A626)</f>
        <v/>
      </c>
      <c r="P626" s="41">
        <f>IF(N626=0,0,L626-SUMIFS('Billing Aug'!$H$2:$H$770,'Billing Aug'!$D$2:$D$770,A626)*SUMIFS('Billing Aug'!$I$2:$I$770,'Billing Aug'!$D$2:$D$770,A626))</f>
        <v/>
      </c>
      <c r="Q626" s="37">
        <f>IF(N626=0,"NO AUG TRANSACTION IN SUPPLIED EXTRACT",IF(ABS(P626)&gt;0.004,"SUBLEDGER ARITHMETIC ERROR",IF(ABS(M626)&gt;0.004,"BILLING VARIANCE","MATCH")))</f>
        <v/>
      </c>
    </row>
    <row r="627">
      <c r="A627" s="37" t="inlineStr">
        <is>
          <t>EW-0805</t>
        </is>
      </c>
      <c r="B627" s="37" t="inlineStr">
        <is>
          <t>Eastwey</t>
        </is>
      </c>
      <c r="C627" s="37" t="inlineStr">
        <is>
          <t>OPEN</t>
        </is>
      </c>
      <c r="D627" s="37" t="inlineStr">
        <is>
          <t>OCCUPIED</t>
        </is>
      </c>
      <c r="E627" s="37" t="inlineStr">
        <is>
          <t>WL-01569</t>
        </is>
      </c>
      <c r="F627" s="37" t="inlineStr">
        <is>
          <t>Sherri Smith</t>
        </is>
      </c>
      <c r="G627" s="37" t="n">
        <v>28</v>
      </c>
      <c r="H627" s="39" t="n">
        <v>59</v>
      </c>
      <c r="I627" s="40">
        <f>ROUNDUP(MAX(G627,H627),0)</f>
        <v/>
      </c>
      <c r="J627" s="41">
        <f>IF(C627="COVERED",'Methodology'!$B$9,'Methodology'!$B$10)</f>
        <v/>
      </c>
      <c r="K627" s="41">
        <f>I627*J627</f>
        <v/>
      </c>
      <c r="L627" s="41">
        <f>SUMIFS('Billing Aug'!$J$2:$J$770,'Billing Aug'!$D$2:$D$770,A627)</f>
        <v/>
      </c>
      <c r="M627" s="41">
        <f>L627-K627</f>
        <v/>
      </c>
      <c r="N627" s="37">
        <f>COUNTIF('Billing Aug'!$D$2:$D$770,A627)</f>
        <v/>
      </c>
      <c r="O627" s="37">
        <f>SUMIFS('Billing Aug'!$F$2:$F$770,'Billing Aug'!$D$2:$D$770,A627)</f>
        <v/>
      </c>
      <c r="P627" s="41">
        <f>IF(N627=0,0,L627-SUMIFS('Billing Aug'!$H$2:$H$770,'Billing Aug'!$D$2:$D$770,A627)*SUMIFS('Billing Aug'!$I$2:$I$770,'Billing Aug'!$D$2:$D$770,A627))</f>
        <v/>
      </c>
      <c r="Q627" s="37">
        <f>IF(N627=0,"NO AUG TRANSACTION IN SUPPLIED EXTRACT",IF(ABS(P627)&gt;0.004,"SUBLEDGER ARITHMETIC ERROR",IF(ABS(M627)&gt;0.004,"BILLING VARIANCE","MATCH")))</f>
        <v/>
      </c>
    </row>
    <row r="628">
      <c r="A628" s="37" t="inlineStr">
        <is>
          <t>EW-0806</t>
        </is>
      </c>
      <c r="B628" s="37" t="inlineStr">
        <is>
          <t>Eastwey</t>
        </is>
      </c>
      <c r="C628" s="37" t="inlineStr">
        <is>
          <t>OPEN</t>
        </is>
      </c>
      <c r="D628" s="37" t="inlineStr">
        <is>
          <t>OCCUPIED</t>
        </is>
      </c>
      <c r="E628" s="37" t="inlineStr">
        <is>
          <t>WL-01375</t>
        </is>
      </c>
      <c r="F628" s="37" t="inlineStr">
        <is>
          <t>Crystal Austin</t>
        </is>
      </c>
      <c r="G628" s="37" t="n">
        <v>36</v>
      </c>
      <c r="H628" s="39" t="n">
        <v>33.5</v>
      </c>
      <c r="I628" s="40">
        <f>ROUNDUP(MAX(G628,H628),0)</f>
        <v/>
      </c>
      <c r="J628" s="41">
        <f>IF(C628="COVERED",'Methodology'!$B$9,'Methodology'!$B$10)</f>
        <v/>
      </c>
      <c r="K628" s="41">
        <f>I628*J628</f>
        <v/>
      </c>
      <c r="L628" s="41">
        <f>SUMIFS('Billing Aug'!$J$2:$J$770,'Billing Aug'!$D$2:$D$770,A628)</f>
        <v/>
      </c>
      <c r="M628" s="41">
        <f>L628-K628</f>
        <v/>
      </c>
      <c r="N628" s="37">
        <f>COUNTIF('Billing Aug'!$D$2:$D$770,A628)</f>
        <v/>
      </c>
      <c r="O628" s="37">
        <f>SUMIFS('Billing Aug'!$F$2:$F$770,'Billing Aug'!$D$2:$D$770,A628)</f>
        <v/>
      </c>
      <c r="P628" s="41">
        <f>IF(N628=0,0,L628-SUMIFS('Billing Aug'!$H$2:$H$770,'Billing Aug'!$D$2:$D$770,A628)*SUMIFS('Billing Aug'!$I$2:$I$770,'Billing Aug'!$D$2:$D$770,A628))</f>
        <v/>
      </c>
      <c r="Q628" s="37">
        <f>IF(N628=0,"NO AUG TRANSACTION IN SUPPLIED EXTRACT",IF(ABS(P628)&gt;0.004,"SUBLEDGER ARITHMETIC ERROR",IF(ABS(M628)&gt;0.004,"BILLING VARIANCE","MATCH")))</f>
        <v/>
      </c>
    </row>
    <row r="629">
      <c r="A629" s="37" t="inlineStr">
        <is>
          <t>EW-0807</t>
        </is>
      </c>
      <c r="B629" s="37" t="inlineStr">
        <is>
          <t>Eastwey</t>
        </is>
      </c>
      <c r="C629" s="37" t="inlineStr">
        <is>
          <t>OPEN</t>
        </is>
      </c>
      <c r="D629" s="37" t="inlineStr">
        <is>
          <t>OCCUPIED</t>
        </is>
      </c>
      <c r="E629" s="37" t="inlineStr">
        <is>
          <t>WL-03182</t>
        </is>
      </c>
      <c r="F629" s="37" t="inlineStr">
        <is>
          <t>Matthew Gonzalez</t>
        </is>
      </c>
      <c r="G629" s="37" t="n">
        <v>28</v>
      </c>
      <c r="H629" s="39" t="n">
        <v>29.3</v>
      </c>
      <c r="I629" s="40">
        <f>ROUNDUP(MAX(G629,H629),0)</f>
        <v/>
      </c>
      <c r="J629" s="41">
        <f>IF(C629="COVERED",'Methodology'!$B$9,'Methodology'!$B$10)</f>
        <v/>
      </c>
      <c r="K629" s="41">
        <f>I629*J629</f>
        <v/>
      </c>
      <c r="L629" s="41">
        <f>SUMIFS('Billing Aug'!$J$2:$J$770,'Billing Aug'!$D$2:$D$770,A629)</f>
        <v/>
      </c>
      <c r="M629" s="41">
        <f>L629-K629</f>
        <v/>
      </c>
      <c r="N629" s="37">
        <f>COUNTIF('Billing Aug'!$D$2:$D$770,A629)</f>
        <v/>
      </c>
      <c r="O629" s="37">
        <f>SUMIFS('Billing Aug'!$F$2:$F$770,'Billing Aug'!$D$2:$D$770,A629)</f>
        <v/>
      </c>
      <c r="P629" s="41">
        <f>IF(N629=0,0,L629-SUMIFS('Billing Aug'!$H$2:$H$770,'Billing Aug'!$D$2:$D$770,A629)*SUMIFS('Billing Aug'!$I$2:$I$770,'Billing Aug'!$D$2:$D$770,A629))</f>
        <v/>
      </c>
      <c r="Q629" s="37">
        <f>IF(N629=0,"NO AUG TRANSACTION IN SUPPLIED EXTRACT",IF(ABS(P629)&gt;0.004,"SUBLEDGER ARITHMETIC ERROR",IF(ABS(M629)&gt;0.004,"BILLING VARIANCE","MATCH")))</f>
        <v/>
      </c>
    </row>
    <row r="630">
      <c r="A630" s="37" t="inlineStr">
        <is>
          <t>EW-0808</t>
        </is>
      </c>
      <c r="B630" s="37" t="inlineStr">
        <is>
          <t>Eastwey</t>
        </is>
      </c>
      <c r="C630" s="37" t="inlineStr">
        <is>
          <t>OPEN</t>
        </is>
      </c>
      <c r="D630" s="37" t="inlineStr">
        <is>
          <t>OCCUPIED</t>
        </is>
      </c>
      <c r="E630" s="37" t="inlineStr">
        <is>
          <t>WL-02311</t>
        </is>
      </c>
      <c r="F630" s="37" t="inlineStr">
        <is>
          <t>Catherine Martinez</t>
        </is>
      </c>
      <c r="G630" s="37" t="n">
        <v>80</v>
      </c>
      <c r="H630" s="39" t="n">
        <v>49.7</v>
      </c>
      <c r="I630" s="40">
        <f>ROUNDUP(MAX(G630,H630),0)</f>
        <v/>
      </c>
      <c r="J630" s="41">
        <f>IF(C630="COVERED",'Methodology'!$B$9,'Methodology'!$B$10)</f>
        <v/>
      </c>
      <c r="K630" s="41">
        <f>I630*J630</f>
        <v/>
      </c>
      <c r="L630" s="41">
        <f>SUMIFS('Billing Aug'!$J$2:$J$770,'Billing Aug'!$D$2:$D$770,A630)</f>
        <v/>
      </c>
      <c r="M630" s="41">
        <f>L630-K630</f>
        <v/>
      </c>
      <c r="N630" s="37">
        <f>COUNTIF('Billing Aug'!$D$2:$D$770,A630)</f>
        <v/>
      </c>
      <c r="O630" s="37">
        <f>SUMIFS('Billing Aug'!$F$2:$F$770,'Billing Aug'!$D$2:$D$770,A630)</f>
        <v/>
      </c>
      <c r="P630" s="41">
        <f>IF(N630=0,0,L630-SUMIFS('Billing Aug'!$H$2:$H$770,'Billing Aug'!$D$2:$D$770,A630)*SUMIFS('Billing Aug'!$I$2:$I$770,'Billing Aug'!$D$2:$D$770,A630))</f>
        <v/>
      </c>
      <c r="Q630" s="37">
        <f>IF(N630=0,"NO AUG TRANSACTION IN SUPPLIED EXTRACT",IF(ABS(P630)&gt;0.004,"SUBLEDGER ARITHMETIC ERROR",IF(ABS(M630)&gt;0.004,"BILLING VARIANCE","MATCH")))</f>
        <v/>
      </c>
    </row>
    <row r="631">
      <c r="A631" s="37" t="inlineStr">
        <is>
          <t>EW-0809</t>
        </is>
      </c>
      <c r="B631" s="37" t="inlineStr">
        <is>
          <t>Eastwey</t>
        </is>
      </c>
      <c r="C631" s="37" t="inlineStr">
        <is>
          <t>OPEN</t>
        </is>
      </c>
      <c r="D631" s="37" t="inlineStr">
        <is>
          <t>OCCUPIED</t>
        </is>
      </c>
      <c r="E631" s="37" t="inlineStr">
        <is>
          <t>WL-02595</t>
        </is>
      </c>
      <c r="F631" s="37" t="inlineStr">
        <is>
          <t>Cheryl Wood</t>
        </is>
      </c>
      <c r="G631" s="37" t="n">
        <v>70</v>
      </c>
      <c r="H631" s="39" t="n">
        <v>58.3</v>
      </c>
      <c r="I631" s="40">
        <f>ROUNDUP(MAX(G631,H631),0)</f>
        <v/>
      </c>
      <c r="J631" s="41">
        <f>IF(C631="COVERED",'Methodology'!$B$9,'Methodology'!$B$10)</f>
        <v/>
      </c>
      <c r="K631" s="41">
        <f>I631*J631</f>
        <v/>
      </c>
      <c r="L631" s="41">
        <f>SUMIFS('Billing Aug'!$J$2:$J$770,'Billing Aug'!$D$2:$D$770,A631)</f>
        <v/>
      </c>
      <c r="M631" s="41">
        <f>L631-K631</f>
        <v/>
      </c>
      <c r="N631" s="37">
        <f>COUNTIF('Billing Aug'!$D$2:$D$770,A631)</f>
        <v/>
      </c>
      <c r="O631" s="37">
        <f>SUMIFS('Billing Aug'!$F$2:$F$770,'Billing Aug'!$D$2:$D$770,A631)</f>
        <v/>
      </c>
      <c r="P631" s="41">
        <f>IF(N631=0,0,L631-SUMIFS('Billing Aug'!$H$2:$H$770,'Billing Aug'!$D$2:$D$770,A631)*SUMIFS('Billing Aug'!$I$2:$I$770,'Billing Aug'!$D$2:$D$770,A631))</f>
        <v/>
      </c>
      <c r="Q631" s="37">
        <f>IF(N631=0,"NO AUG TRANSACTION IN SUPPLIED EXTRACT",IF(ABS(P631)&gt;0.004,"SUBLEDGER ARITHMETIC ERROR",IF(ABS(M631)&gt;0.004,"BILLING VARIANCE","MATCH")))</f>
        <v/>
      </c>
    </row>
    <row r="632">
      <c r="A632" s="37" t="inlineStr">
        <is>
          <t>EW-0810</t>
        </is>
      </c>
      <c r="B632" s="37" t="inlineStr">
        <is>
          <t>Eastwey</t>
        </is>
      </c>
      <c r="C632" s="37" t="inlineStr">
        <is>
          <t>OPEN</t>
        </is>
      </c>
      <c r="D632" s="37" t="inlineStr">
        <is>
          <t>OCCUPIED</t>
        </is>
      </c>
      <c r="E632" s="37" t="inlineStr">
        <is>
          <t>WL-03518</t>
        </is>
      </c>
      <c r="F632" s="37" t="inlineStr">
        <is>
          <t>Jorge Donovan</t>
        </is>
      </c>
      <c r="G632" s="37" t="n">
        <v>28</v>
      </c>
      <c r="H632" s="39" t="n">
        <v>26.3</v>
      </c>
      <c r="I632" s="40">
        <f>ROUNDUP(MAX(G632,H632),0)</f>
        <v/>
      </c>
      <c r="J632" s="41">
        <f>IF(C632="COVERED",'Methodology'!$B$9,'Methodology'!$B$10)</f>
        <v/>
      </c>
      <c r="K632" s="41">
        <f>I632*J632</f>
        <v/>
      </c>
      <c r="L632" s="41">
        <f>SUMIFS('Billing Aug'!$J$2:$J$770,'Billing Aug'!$D$2:$D$770,A632)</f>
        <v/>
      </c>
      <c r="M632" s="41">
        <f>L632-K632</f>
        <v/>
      </c>
      <c r="N632" s="37">
        <f>COUNTIF('Billing Aug'!$D$2:$D$770,A632)</f>
        <v/>
      </c>
      <c r="O632" s="37">
        <f>SUMIFS('Billing Aug'!$F$2:$F$770,'Billing Aug'!$D$2:$D$770,A632)</f>
        <v/>
      </c>
      <c r="P632" s="41">
        <f>IF(N632=0,0,L632-SUMIFS('Billing Aug'!$H$2:$H$770,'Billing Aug'!$D$2:$D$770,A632)*SUMIFS('Billing Aug'!$I$2:$I$770,'Billing Aug'!$D$2:$D$770,A632))</f>
        <v/>
      </c>
      <c r="Q632" s="37">
        <f>IF(N632=0,"NO AUG TRANSACTION IN SUPPLIED EXTRACT",IF(ABS(P632)&gt;0.004,"SUBLEDGER ARITHMETIC ERROR",IF(ABS(M632)&gt;0.004,"BILLING VARIANCE","MATCH")))</f>
        <v/>
      </c>
    </row>
    <row r="633">
      <c r="A633" s="37" t="inlineStr">
        <is>
          <t>EW-0811</t>
        </is>
      </c>
      <c r="B633" s="37" t="inlineStr">
        <is>
          <t>Eastwey</t>
        </is>
      </c>
      <c r="C633" s="37" t="inlineStr">
        <is>
          <t>OPEN</t>
        </is>
      </c>
      <c r="D633" s="37" t="inlineStr">
        <is>
          <t>OCCUPIED</t>
        </is>
      </c>
      <c r="E633" s="37" t="inlineStr">
        <is>
          <t>WL-03708</t>
        </is>
      </c>
      <c r="F633" s="37" t="inlineStr">
        <is>
          <t>Catherine Anderson</t>
        </is>
      </c>
      <c r="G633" s="37" t="n">
        <v>70</v>
      </c>
      <c r="H633" s="39" t="n">
        <v>61</v>
      </c>
      <c r="I633" s="40">
        <f>ROUNDUP(MAX(G633,H633),0)</f>
        <v/>
      </c>
      <c r="J633" s="41">
        <f>IF(C633="COVERED",'Methodology'!$B$9,'Methodology'!$B$10)</f>
        <v/>
      </c>
      <c r="K633" s="41">
        <f>I633*J633</f>
        <v/>
      </c>
      <c r="L633" s="41">
        <f>SUMIFS('Billing Aug'!$J$2:$J$770,'Billing Aug'!$D$2:$D$770,A633)</f>
        <v/>
      </c>
      <c r="M633" s="41">
        <f>L633-K633</f>
        <v/>
      </c>
      <c r="N633" s="37">
        <f>COUNTIF('Billing Aug'!$D$2:$D$770,A633)</f>
        <v/>
      </c>
      <c r="O633" s="37">
        <f>SUMIFS('Billing Aug'!$F$2:$F$770,'Billing Aug'!$D$2:$D$770,A633)</f>
        <v/>
      </c>
      <c r="P633" s="41">
        <f>IF(N633=0,0,L633-SUMIFS('Billing Aug'!$H$2:$H$770,'Billing Aug'!$D$2:$D$770,A633)*SUMIFS('Billing Aug'!$I$2:$I$770,'Billing Aug'!$D$2:$D$770,A633))</f>
        <v/>
      </c>
      <c r="Q633" s="37">
        <f>IF(N633=0,"NO AUG TRANSACTION IN SUPPLIED EXTRACT",IF(ABS(P633)&gt;0.004,"SUBLEDGER ARITHMETIC ERROR",IF(ABS(M633)&gt;0.004,"BILLING VARIANCE","MATCH")))</f>
        <v/>
      </c>
    </row>
    <row r="634">
      <c r="A634" s="37" t="inlineStr">
        <is>
          <t>EW-0812</t>
        </is>
      </c>
      <c r="B634" s="37" t="inlineStr">
        <is>
          <t>Eastwey</t>
        </is>
      </c>
      <c r="C634" s="37" t="inlineStr">
        <is>
          <t>OPEN</t>
        </is>
      </c>
      <c r="D634" s="37" t="inlineStr">
        <is>
          <t>OCCUPIED</t>
        </is>
      </c>
      <c r="E634" s="37" t="inlineStr">
        <is>
          <t>WL-03679</t>
        </is>
      </c>
      <c r="F634" s="37" t="inlineStr">
        <is>
          <t>Tracy Page</t>
        </is>
      </c>
      <c r="G634" s="37" t="n">
        <v>28</v>
      </c>
      <c r="H634" s="39" t="n">
        <v>26.4</v>
      </c>
      <c r="I634" s="40">
        <f>ROUNDUP(MAX(G634,H634),0)</f>
        <v/>
      </c>
      <c r="J634" s="41">
        <f>IF(C634="COVERED",'Methodology'!$B$9,'Methodology'!$B$10)</f>
        <v/>
      </c>
      <c r="K634" s="41">
        <f>I634*J634</f>
        <v/>
      </c>
      <c r="L634" s="41">
        <f>SUMIFS('Billing Aug'!$J$2:$J$770,'Billing Aug'!$D$2:$D$770,A634)</f>
        <v/>
      </c>
      <c r="M634" s="41">
        <f>L634-K634</f>
        <v/>
      </c>
      <c r="N634" s="37">
        <f>COUNTIF('Billing Aug'!$D$2:$D$770,A634)</f>
        <v/>
      </c>
      <c r="O634" s="37">
        <f>SUMIFS('Billing Aug'!$F$2:$F$770,'Billing Aug'!$D$2:$D$770,A634)</f>
        <v/>
      </c>
      <c r="P634" s="41">
        <f>IF(N634=0,0,L634-SUMIFS('Billing Aug'!$H$2:$H$770,'Billing Aug'!$D$2:$D$770,A634)*SUMIFS('Billing Aug'!$I$2:$I$770,'Billing Aug'!$D$2:$D$770,A634))</f>
        <v/>
      </c>
      <c r="Q634" s="37">
        <f>IF(N634=0,"NO AUG TRANSACTION IN SUPPLIED EXTRACT",IF(ABS(P634)&gt;0.004,"SUBLEDGER ARITHMETIC ERROR",IF(ABS(M634)&gt;0.004,"BILLING VARIANCE","MATCH")))</f>
        <v/>
      </c>
    </row>
    <row r="635">
      <c r="A635" s="37" t="inlineStr">
        <is>
          <t>EW-0813</t>
        </is>
      </c>
      <c r="B635" s="37" t="inlineStr">
        <is>
          <t>Eastwey</t>
        </is>
      </c>
      <c r="C635" s="37" t="inlineStr">
        <is>
          <t>OPEN</t>
        </is>
      </c>
      <c r="D635" s="37" t="inlineStr">
        <is>
          <t>OCCUPIED</t>
        </is>
      </c>
      <c r="E635" s="37" t="inlineStr">
        <is>
          <t>WL-02198</t>
        </is>
      </c>
      <c r="F635" s="37" t="inlineStr">
        <is>
          <t>James Torres</t>
        </is>
      </c>
      <c r="G635" s="37" t="n">
        <v>45</v>
      </c>
      <c r="H635" s="39" t="n">
        <v>54.3</v>
      </c>
      <c r="I635" s="40">
        <f>ROUNDUP(MAX(G635,H635),0)</f>
        <v/>
      </c>
      <c r="J635" s="41">
        <f>IF(C635="COVERED",'Methodology'!$B$9,'Methodology'!$B$10)</f>
        <v/>
      </c>
      <c r="K635" s="41">
        <f>I635*J635</f>
        <v/>
      </c>
      <c r="L635" s="41">
        <f>SUMIFS('Billing Aug'!$J$2:$J$770,'Billing Aug'!$D$2:$D$770,A635)</f>
        <v/>
      </c>
      <c r="M635" s="41">
        <f>L635-K635</f>
        <v/>
      </c>
      <c r="N635" s="37">
        <f>COUNTIF('Billing Aug'!$D$2:$D$770,A635)</f>
        <v/>
      </c>
      <c r="O635" s="37">
        <f>SUMIFS('Billing Aug'!$F$2:$F$770,'Billing Aug'!$D$2:$D$770,A635)</f>
        <v/>
      </c>
      <c r="P635" s="41">
        <f>IF(N635=0,0,L635-SUMIFS('Billing Aug'!$H$2:$H$770,'Billing Aug'!$D$2:$D$770,A635)*SUMIFS('Billing Aug'!$I$2:$I$770,'Billing Aug'!$D$2:$D$770,A635))</f>
        <v/>
      </c>
      <c r="Q635" s="37">
        <f>IF(N635=0,"NO AUG TRANSACTION IN SUPPLIED EXTRACT",IF(ABS(P635)&gt;0.004,"SUBLEDGER ARITHMETIC ERROR",IF(ABS(M635)&gt;0.004,"BILLING VARIANCE","MATCH")))</f>
        <v/>
      </c>
    </row>
    <row r="636">
      <c r="A636" s="37" t="inlineStr">
        <is>
          <t>EW-0814</t>
        </is>
      </c>
      <c r="B636" s="37" t="inlineStr">
        <is>
          <t>Eastwey</t>
        </is>
      </c>
      <c r="C636" s="37" t="inlineStr">
        <is>
          <t>OPEN</t>
        </is>
      </c>
      <c r="D636" s="37" t="inlineStr">
        <is>
          <t>OCCUPIED</t>
        </is>
      </c>
      <c r="E636" s="37" t="inlineStr">
        <is>
          <t>WL-01852</t>
        </is>
      </c>
      <c r="F636" s="37" t="inlineStr">
        <is>
          <t>Ross Erickson</t>
        </is>
      </c>
      <c r="G636" s="37" t="n">
        <v>40</v>
      </c>
      <c r="H636" s="39" t="n">
        <v>30.1</v>
      </c>
      <c r="I636" s="40">
        <f>ROUNDUP(MAX(G636,H636),0)</f>
        <v/>
      </c>
      <c r="J636" s="41">
        <f>IF(C636="COVERED",'Methodology'!$B$9,'Methodology'!$B$10)</f>
        <v/>
      </c>
      <c r="K636" s="41">
        <f>I636*J636</f>
        <v/>
      </c>
      <c r="L636" s="41">
        <f>SUMIFS('Billing Aug'!$J$2:$J$770,'Billing Aug'!$D$2:$D$770,A636)</f>
        <v/>
      </c>
      <c r="M636" s="41">
        <f>L636-K636</f>
        <v/>
      </c>
      <c r="N636" s="37">
        <f>COUNTIF('Billing Aug'!$D$2:$D$770,A636)</f>
        <v/>
      </c>
      <c r="O636" s="37">
        <f>SUMIFS('Billing Aug'!$F$2:$F$770,'Billing Aug'!$D$2:$D$770,A636)</f>
        <v/>
      </c>
      <c r="P636" s="41">
        <f>IF(N636=0,0,L636-SUMIFS('Billing Aug'!$H$2:$H$770,'Billing Aug'!$D$2:$D$770,A636)*SUMIFS('Billing Aug'!$I$2:$I$770,'Billing Aug'!$D$2:$D$770,A636))</f>
        <v/>
      </c>
      <c r="Q636" s="37">
        <f>IF(N636=0,"NO AUG TRANSACTION IN SUPPLIED EXTRACT",IF(ABS(P636)&gt;0.004,"SUBLEDGER ARITHMETIC ERROR",IF(ABS(M636)&gt;0.004,"BILLING VARIANCE","MATCH")))</f>
        <v/>
      </c>
    </row>
    <row r="637">
      <c r="A637" s="37" t="inlineStr">
        <is>
          <t>EW-0815</t>
        </is>
      </c>
      <c r="B637" s="37" t="inlineStr">
        <is>
          <t>Eastwey</t>
        </is>
      </c>
      <c r="C637" s="37" t="inlineStr">
        <is>
          <t>OPEN</t>
        </is>
      </c>
      <c r="D637" s="37" t="inlineStr">
        <is>
          <t>OCCUPIED</t>
        </is>
      </c>
      <c r="E637" s="37" t="inlineStr">
        <is>
          <t>WL-03368</t>
        </is>
      </c>
      <c r="F637" s="37" t="inlineStr">
        <is>
          <t>Daniel Bowen</t>
        </is>
      </c>
      <c r="G637" s="37" t="n">
        <v>50</v>
      </c>
      <c r="H637" s="39" t="n">
        <v>41.7</v>
      </c>
      <c r="I637" s="40">
        <f>ROUNDUP(MAX(G637,H637),0)</f>
        <v/>
      </c>
      <c r="J637" s="41">
        <f>IF(C637="COVERED",'Methodology'!$B$9,'Methodology'!$B$10)</f>
        <v/>
      </c>
      <c r="K637" s="41">
        <f>I637*J637</f>
        <v/>
      </c>
      <c r="L637" s="41">
        <f>SUMIFS('Billing Aug'!$J$2:$J$770,'Billing Aug'!$D$2:$D$770,A637)</f>
        <v/>
      </c>
      <c r="M637" s="41">
        <f>L637-K637</f>
        <v/>
      </c>
      <c r="N637" s="37">
        <f>COUNTIF('Billing Aug'!$D$2:$D$770,A637)</f>
        <v/>
      </c>
      <c r="O637" s="37">
        <f>SUMIFS('Billing Aug'!$F$2:$F$770,'Billing Aug'!$D$2:$D$770,A637)</f>
        <v/>
      </c>
      <c r="P637" s="41">
        <f>IF(N637=0,0,L637-SUMIFS('Billing Aug'!$H$2:$H$770,'Billing Aug'!$D$2:$D$770,A637)*SUMIFS('Billing Aug'!$I$2:$I$770,'Billing Aug'!$D$2:$D$770,A637))</f>
        <v/>
      </c>
      <c r="Q637" s="37">
        <f>IF(N637=0,"NO AUG TRANSACTION IN SUPPLIED EXTRACT",IF(ABS(P637)&gt;0.004,"SUBLEDGER ARITHMETIC ERROR",IF(ABS(M637)&gt;0.004,"BILLING VARIANCE","MATCH")))</f>
        <v/>
      </c>
    </row>
    <row r="638">
      <c r="A638" s="37" t="inlineStr">
        <is>
          <t>EW-0816</t>
        </is>
      </c>
      <c r="B638" s="37" t="inlineStr">
        <is>
          <t>Eastwey</t>
        </is>
      </c>
      <c r="C638" s="37" t="inlineStr">
        <is>
          <t>OPEN</t>
        </is>
      </c>
      <c r="D638" s="37" t="inlineStr">
        <is>
          <t>OCCUPIED</t>
        </is>
      </c>
      <c r="E638" s="37" t="inlineStr">
        <is>
          <t>WL-02445</t>
        </is>
      </c>
      <c r="F638" s="37" t="inlineStr">
        <is>
          <t>Marcus Yee</t>
        </is>
      </c>
      <c r="G638" s="37" t="n">
        <v>80</v>
      </c>
      <c r="H638" s="39" t="n">
        <v>39.4</v>
      </c>
      <c r="I638" s="40">
        <f>ROUNDUP(MAX(G638,H638),0)</f>
        <v/>
      </c>
      <c r="J638" s="41">
        <f>IF(C638="COVERED",'Methodology'!$B$9,'Methodology'!$B$10)</f>
        <v/>
      </c>
      <c r="K638" s="41">
        <f>I638*J638</f>
        <v/>
      </c>
      <c r="L638" s="41">
        <f>SUMIFS('Billing Aug'!$J$2:$J$770,'Billing Aug'!$D$2:$D$770,A638)</f>
        <v/>
      </c>
      <c r="M638" s="41">
        <f>L638-K638</f>
        <v/>
      </c>
      <c r="N638" s="37">
        <f>COUNTIF('Billing Aug'!$D$2:$D$770,A638)</f>
        <v/>
      </c>
      <c r="O638" s="37">
        <f>SUMIFS('Billing Aug'!$F$2:$F$770,'Billing Aug'!$D$2:$D$770,A638)</f>
        <v/>
      </c>
      <c r="P638" s="41">
        <f>IF(N638=0,0,L638-SUMIFS('Billing Aug'!$H$2:$H$770,'Billing Aug'!$D$2:$D$770,A638)*SUMIFS('Billing Aug'!$I$2:$I$770,'Billing Aug'!$D$2:$D$770,A638))</f>
        <v/>
      </c>
      <c r="Q638" s="37">
        <f>IF(N638=0,"NO AUG TRANSACTION IN SUPPLIED EXTRACT",IF(ABS(P638)&gt;0.004,"SUBLEDGER ARITHMETIC ERROR",IF(ABS(M638)&gt;0.004,"BILLING VARIANCE","MATCH")))</f>
        <v/>
      </c>
    </row>
    <row r="639">
      <c r="A639" s="37" t="inlineStr">
        <is>
          <t>EW-0817</t>
        </is>
      </c>
      <c r="B639" s="37" t="inlineStr">
        <is>
          <t>Eastwey</t>
        </is>
      </c>
      <c r="C639" s="37" t="inlineStr">
        <is>
          <t>OPEN</t>
        </is>
      </c>
      <c r="D639" s="37" t="inlineStr">
        <is>
          <t>OCCUPIED</t>
        </is>
      </c>
      <c r="E639" s="37" t="inlineStr">
        <is>
          <t>WL-03434</t>
        </is>
      </c>
      <c r="F639" s="37" t="inlineStr">
        <is>
          <t>Michelle Caldwell</t>
        </is>
      </c>
      <c r="G639" s="37" t="n">
        <v>24</v>
      </c>
      <c r="H639" s="39" t="n">
        <v>35.5</v>
      </c>
      <c r="I639" s="40">
        <f>ROUNDUP(MAX(G639,H639),0)</f>
        <v/>
      </c>
      <c r="J639" s="41">
        <f>IF(C639="COVERED",'Methodology'!$B$9,'Methodology'!$B$10)</f>
        <v/>
      </c>
      <c r="K639" s="41">
        <f>I639*J639</f>
        <v/>
      </c>
      <c r="L639" s="41">
        <f>SUMIFS('Billing Aug'!$J$2:$J$770,'Billing Aug'!$D$2:$D$770,A639)</f>
        <v/>
      </c>
      <c r="M639" s="41">
        <f>L639-K639</f>
        <v/>
      </c>
      <c r="N639" s="37">
        <f>COUNTIF('Billing Aug'!$D$2:$D$770,A639)</f>
        <v/>
      </c>
      <c r="O639" s="37">
        <f>SUMIFS('Billing Aug'!$F$2:$F$770,'Billing Aug'!$D$2:$D$770,A639)</f>
        <v/>
      </c>
      <c r="P639" s="41">
        <f>IF(N639=0,0,L639-SUMIFS('Billing Aug'!$H$2:$H$770,'Billing Aug'!$D$2:$D$770,A639)*SUMIFS('Billing Aug'!$I$2:$I$770,'Billing Aug'!$D$2:$D$770,A639))</f>
        <v/>
      </c>
      <c r="Q639" s="37">
        <f>IF(N639=0,"NO AUG TRANSACTION IN SUPPLIED EXTRACT",IF(ABS(P639)&gt;0.004,"SUBLEDGER ARITHMETIC ERROR",IF(ABS(M639)&gt;0.004,"BILLING VARIANCE","MATCH")))</f>
        <v/>
      </c>
    </row>
    <row r="640">
      <c r="A640" s="37" t="inlineStr">
        <is>
          <t>EW-0818</t>
        </is>
      </c>
      <c r="B640" s="37" t="inlineStr">
        <is>
          <t>Eastwey</t>
        </is>
      </c>
      <c r="C640" s="37" t="inlineStr">
        <is>
          <t>OPEN</t>
        </is>
      </c>
      <c r="D640" s="37" t="inlineStr">
        <is>
          <t>OCCUPIED</t>
        </is>
      </c>
      <c r="E640" s="37" t="inlineStr">
        <is>
          <t>WL-03709</t>
        </is>
      </c>
      <c r="F640" s="37" t="inlineStr">
        <is>
          <t>Brandy Mays</t>
        </is>
      </c>
      <c r="G640" s="37" t="n">
        <v>32</v>
      </c>
      <c r="H640" s="39" t="n">
        <v>54.1</v>
      </c>
      <c r="I640" s="40">
        <f>ROUNDUP(MAX(G640,H640),0)</f>
        <v/>
      </c>
      <c r="J640" s="41">
        <f>IF(C640="COVERED",'Methodology'!$B$9,'Methodology'!$B$10)</f>
        <v/>
      </c>
      <c r="K640" s="41">
        <f>I640*J640</f>
        <v/>
      </c>
      <c r="L640" s="41">
        <f>SUMIFS('Billing Aug'!$J$2:$J$770,'Billing Aug'!$D$2:$D$770,A640)</f>
        <v/>
      </c>
      <c r="M640" s="41">
        <f>L640-K640</f>
        <v/>
      </c>
      <c r="N640" s="37">
        <f>COUNTIF('Billing Aug'!$D$2:$D$770,A640)</f>
        <v/>
      </c>
      <c r="O640" s="37">
        <f>SUMIFS('Billing Aug'!$F$2:$F$770,'Billing Aug'!$D$2:$D$770,A640)</f>
        <v/>
      </c>
      <c r="P640" s="41">
        <f>IF(N640=0,0,L640-SUMIFS('Billing Aug'!$H$2:$H$770,'Billing Aug'!$D$2:$D$770,A640)*SUMIFS('Billing Aug'!$I$2:$I$770,'Billing Aug'!$D$2:$D$770,A640))</f>
        <v/>
      </c>
      <c r="Q640" s="37">
        <f>IF(N640=0,"NO AUG TRANSACTION IN SUPPLIED EXTRACT",IF(ABS(P640)&gt;0.004,"SUBLEDGER ARITHMETIC ERROR",IF(ABS(M640)&gt;0.004,"BILLING VARIANCE","MATCH")))</f>
        <v/>
      </c>
    </row>
    <row r="641">
      <c r="A641" s="37" t="inlineStr">
        <is>
          <t>EW-0819</t>
        </is>
      </c>
      <c r="B641" s="37" t="inlineStr">
        <is>
          <t>Eastwey</t>
        </is>
      </c>
      <c r="C641" s="37" t="inlineStr">
        <is>
          <t>OPEN</t>
        </is>
      </c>
      <c r="D641" s="37" t="inlineStr">
        <is>
          <t>OCCUPIED</t>
        </is>
      </c>
      <c r="E641" s="37" t="inlineStr">
        <is>
          <t>WL-02587</t>
        </is>
      </c>
      <c r="F641" s="37" t="inlineStr">
        <is>
          <t>Mary Figueroa</t>
        </is>
      </c>
      <c r="G641" s="37" t="n">
        <v>24</v>
      </c>
      <c r="H641" s="39" t="n">
        <v>35</v>
      </c>
      <c r="I641" s="40">
        <f>ROUNDUP(MAX(G641,H641),0)</f>
        <v/>
      </c>
      <c r="J641" s="41">
        <f>IF(C641="COVERED",'Methodology'!$B$9,'Methodology'!$B$10)</f>
        <v/>
      </c>
      <c r="K641" s="41">
        <f>I641*J641</f>
        <v/>
      </c>
      <c r="L641" s="41">
        <f>SUMIFS('Billing Aug'!$J$2:$J$770,'Billing Aug'!$D$2:$D$770,A641)</f>
        <v/>
      </c>
      <c r="M641" s="41">
        <f>L641-K641</f>
        <v/>
      </c>
      <c r="N641" s="37">
        <f>COUNTIF('Billing Aug'!$D$2:$D$770,A641)</f>
        <v/>
      </c>
      <c r="O641" s="37">
        <f>SUMIFS('Billing Aug'!$F$2:$F$770,'Billing Aug'!$D$2:$D$770,A641)</f>
        <v/>
      </c>
      <c r="P641" s="41">
        <f>IF(N641=0,0,L641-SUMIFS('Billing Aug'!$H$2:$H$770,'Billing Aug'!$D$2:$D$770,A641)*SUMIFS('Billing Aug'!$I$2:$I$770,'Billing Aug'!$D$2:$D$770,A641))</f>
        <v/>
      </c>
      <c r="Q641" s="37">
        <f>IF(N641=0,"NO AUG TRANSACTION IN SUPPLIED EXTRACT",IF(ABS(P641)&gt;0.004,"SUBLEDGER ARITHMETIC ERROR",IF(ABS(M641)&gt;0.004,"BILLING VARIANCE","MATCH")))</f>
        <v/>
      </c>
    </row>
    <row r="642">
      <c r="A642" s="37" t="inlineStr">
        <is>
          <t>EW-0821</t>
        </is>
      </c>
      <c r="B642" s="37" t="inlineStr">
        <is>
          <t>Eastwey</t>
        </is>
      </c>
      <c r="C642" s="37" t="inlineStr">
        <is>
          <t>OPEN</t>
        </is>
      </c>
      <c r="D642" s="37" t="inlineStr">
        <is>
          <t>OCCUPIED</t>
        </is>
      </c>
      <c r="E642" s="37" t="inlineStr">
        <is>
          <t>WL-02217</t>
        </is>
      </c>
      <c r="F642" s="37" t="inlineStr">
        <is>
          <t>Rose Morales</t>
        </is>
      </c>
      <c r="G642" s="37" t="n">
        <v>40</v>
      </c>
      <c r="H642" s="39" t="n">
        <v>28.5</v>
      </c>
      <c r="I642" s="40">
        <f>ROUNDUP(MAX(G642,H642),0)</f>
        <v/>
      </c>
      <c r="J642" s="41">
        <f>IF(C642="COVERED",'Methodology'!$B$9,'Methodology'!$B$10)</f>
        <v/>
      </c>
      <c r="K642" s="41">
        <f>I642*J642</f>
        <v/>
      </c>
      <c r="L642" s="41">
        <f>SUMIFS('Billing Aug'!$J$2:$J$770,'Billing Aug'!$D$2:$D$770,A642)</f>
        <v/>
      </c>
      <c r="M642" s="41">
        <f>L642-K642</f>
        <v/>
      </c>
      <c r="N642" s="37">
        <f>COUNTIF('Billing Aug'!$D$2:$D$770,A642)</f>
        <v/>
      </c>
      <c r="O642" s="37">
        <f>SUMIFS('Billing Aug'!$F$2:$F$770,'Billing Aug'!$D$2:$D$770,A642)</f>
        <v/>
      </c>
      <c r="P642" s="41">
        <f>IF(N642=0,0,L642-SUMIFS('Billing Aug'!$H$2:$H$770,'Billing Aug'!$D$2:$D$770,A642)*SUMIFS('Billing Aug'!$I$2:$I$770,'Billing Aug'!$D$2:$D$770,A642))</f>
        <v/>
      </c>
      <c r="Q642" s="37">
        <f>IF(N642=0,"NO AUG TRANSACTION IN SUPPLIED EXTRACT",IF(ABS(P642)&gt;0.004,"SUBLEDGER ARITHMETIC ERROR",IF(ABS(M642)&gt;0.004,"BILLING VARIANCE","MATCH")))</f>
        <v/>
      </c>
    </row>
    <row r="643">
      <c r="A643" s="37" t="inlineStr">
        <is>
          <t>EW-0822</t>
        </is>
      </c>
      <c r="B643" s="37" t="inlineStr">
        <is>
          <t>Eastwey</t>
        </is>
      </c>
      <c r="C643" s="37" t="inlineStr">
        <is>
          <t>OPEN</t>
        </is>
      </c>
      <c r="D643" s="37" t="inlineStr">
        <is>
          <t>OCCUPIED</t>
        </is>
      </c>
      <c r="E643" s="37" t="inlineStr">
        <is>
          <t>WL-01076</t>
        </is>
      </c>
      <c r="F643" s="37" t="inlineStr">
        <is>
          <t>Timothy Robinson</t>
        </is>
      </c>
      <c r="G643" s="37" t="n">
        <v>60</v>
      </c>
      <c r="H643" s="39" t="n">
        <v>49.9</v>
      </c>
      <c r="I643" s="40">
        <f>ROUNDUP(MAX(G643,H643),0)</f>
        <v/>
      </c>
      <c r="J643" s="41">
        <f>IF(C643="COVERED",'Methodology'!$B$9,'Methodology'!$B$10)</f>
        <v/>
      </c>
      <c r="K643" s="41">
        <f>I643*J643</f>
        <v/>
      </c>
      <c r="L643" s="41">
        <f>SUMIFS('Billing Aug'!$J$2:$J$770,'Billing Aug'!$D$2:$D$770,A643)</f>
        <v/>
      </c>
      <c r="M643" s="41">
        <f>L643-K643</f>
        <v/>
      </c>
      <c r="N643" s="37">
        <f>COUNTIF('Billing Aug'!$D$2:$D$770,A643)</f>
        <v/>
      </c>
      <c r="O643" s="37">
        <f>SUMIFS('Billing Aug'!$F$2:$F$770,'Billing Aug'!$D$2:$D$770,A643)</f>
        <v/>
      </c>
      <c r="P643" s="41">
        <f>IF(N643=0,0,L643-SUMIFS('Billing Aug'!$H$2:$H$770,'Billing Aug'!$D$2:$D$770,A643)*SUMIFS('Billing Aug'!$I$2:$I$770,'Billing Aug'!$D$2:$D$770,A643))</f>
        <v/>
      </c>
      <c r="Q643" s="37">
        <f>IF(N643=0,"NO AUG TRANSACTION IN SUPPLIED EXTRACT",IF(ABS(P643)&gt;0.004,"SUBLEDGER ARITHMETIC ERROR",IF(ABS(M643)&gt;0.004,"BILLING VARIANCE","MATCH")))</f>
        <v/>
      </c>
    </row>
    <row r="644">
      <c r="A644" s="37" t="inlineStr">
        <is>
          <t>EW-0823</t>
        </is>
      </c>
      <c r="B644" s="37" t="inlineStr">
        <is>
          <t>Eastwey</t>
        </is>
      </c>
      <c r="C644" s="37" t="inlineStr">
        <is>
          <t>OPEN</t>
        </is>
      </c>
      <c r="D644" s="37" t="inlineStr">
        <is>
          <t>OCCUPIED</t>
        </is>
      </c>
      <c r="E644" s="37" t="inlineStr">
        <is>
          <t>WL-03201</t>
        </is>
      </c>
      <c r="F644" s="37" t="inlineStr">
        <is>
          <t>Nancy Montgomery</t>
        </is>
      </c>
      <c r="G644" s="37" t="n">
        <v>32</v>
      </c>
      <c r="H644" s="39" t="n">
        <v>54.2</v>
      </c>
      <c r="I644" s="40">
        <f>ROUNDUP(MAX(G644,H644),0)</f>
        <v/>
      </c>
      <c r="J644" s="41">
        <f>IF(C644="COVERED",'Methodology'!$B$9,'Methodology'!$B$10)</f>
        <v/>
      </c>
      <c r="K644" s="41">
        <f>I644*J644</f>
        <v/>
      </c>
      <c r="L644" s="41">
        <f>SUMIFS('Billing Aug'!$J$2:$J$770,'Billing Aug'!$D$2:$D$770,A644)</f>
        <v/>
      </c>
      <c r="M644" s="41">
        <f>L644-K644</f>
        <v/>
      </c>
      <c r="N644" s="37">
        <f>COUNTIF('Billing Aug'!$D$2:$D$770,A644)</f>
        <v/>
      </c>
      <c r="O644" s="37">
        <f>SUMIFS('Billing Aug'!$F$2:$F$770,'Billing Aug'!$D$2:$D$770,A644)</f>
        <v/>
      </c>
      <c r="P644" s="41">
        <f>IF(N644=0,0,L644-SUMIFS('Billing Aug'!$H$2:$H$770,'Billing Aug'!$D$2:$D$770,A644)*SUMIFS('Billing Aug'!$I$2:$I$770,'Billing Aug'!$D$2:$D$770,A644))</f>
        <v/>
      </c>
      <c r="Q644" s="37">
        <f>IF(N644=0,"NO AUG TRANSACTION IN SUPPLIED EXTRACT",IF(ABS(P644)&gt;0.004,"SUBLEDGER ARITHMETIC ERROR",IF(ABS(M644)&gt;0.004,"BILLING VARIANCE","MATCH")))</f>
        <v/>
      </c>
    </row>
    <row r="645">
      <c r="A645" s="37" t="inlineStr">
        <is>
          <t>EW-0901</t>
        </is>
      </c>
      <c r="B645" s="37" t="inlineStr">
        <is>
          <t>Eastwey</t>
        </is>
      </c>
      <c r="C645" s="37" t="inlineStr">
        <is>
          <t>OPEN</t>
        </is>
      </c>
      <c r="D645" s="37" t="inlineStr">
        <is>
          <t>OCCUPIED</t>
        </is>
      </c>
      <c r="E645" s="37" t="inlineStr">
        <is>
          <t>WL-02581</t>
        </is>
      </c>
      <c r="F645" s="37" t="inlineStr">
        <is>
          <t>Carolyn Sanchez</t>
        </is>
      </c>
      <c r="G645" s="37" t="n">
        <v>28</v>
      </c>
      <c r="H645" s="39" t="n">
        <v>37.9</v>
      </c>
      <c r="I645" s="40">
        <f>ROUNDUP(MAX(G645,H645),0)</f>
        <v/>
      </c>
      <c r="J645" s="41">
        <f>IF(C645="COVERED",'Methodology'!$B$9,'Methodology'!$B$10)</f>
        <v/>
      </c>
      <c r="K645" s="41">
        <f>I645*J645</f>
        <v/>
      </c>
      <c r="L645" s="41">
        <f>SUMIFS('Billing Aug'!$J$2:$J$770,'Billing Aug'!$D$2:$D$770,A645)</f>
        <v/>
      </c>
      <c r="M645" s="41">
        <f>L645-K645</f>
        <v/>
      </c>
      <c r="N645" s="37">
        <f>COUNTIF('Billing Aug'!$D$2:$D$770,A645)</f>
        <v/>
      </c>
      <c r="O645" s="37">
        <f>SUMIFS('Billing Aug'!$F$2:$F$770,'Billing Aug'!$D$2:$D$770,A645)</f>
        <v/>
      </c>
      <c r="P645" s="41">
        <f>IF(N645=0,0,L645-SUMIFS('Billing Aug'!$H$2:$H$770,'Billing Aug'!$D$2:$D$770,A645)*SUMIFS('Billing Aug'!$I$2:$I$770,'Billing Aug'!$D$2:$D$770,A645))</f>
        <v/>
      </c>
      <c r="Q645" s="37">
        <f>IF(N645=0,"NO AUG TRANSACTION IN SUPPLIED EXTRACT",IF(ABS(P645)&gt;0.004,"SUBLEDGER ARITHMETIC ERROR",IF(ABS(M645)&gt;0.004,"BILLING VARIANCE","MATCH")))</f>
        <v/>
      </c>
    </row>
    <row r="646">
      <c r="A646" s="37" t="inlineStr">
        <is>
          <t>EW-0902</t>
        </is>
      </c>
      <c r="B646" s="37" t="inlineStr">
        <is>
          <t>Eastwey</t>
        </is>
      </c>
      <c r="C646" s="37" t="inlineStr">
        <is>
          <t>OPEN</t>
        </is>
      </c>
      <c r="D646" s="37" t="inlineStr">
        <is>
          <t>OCCUPIED</t>
        </is>
      </c>
      <c r="E646" s="37" t="inlineStr">
        <is>
          <t>WL-03690</t>
        </is>
      </c>
      <c r="F646" s="37" t="inlineStr">
        <is>
          <t>John Patel</t>
        </is>
      </c>
      <c r="G646" s="37" t="n">
        <v>80</v>
      </c>
      <c r="H646" s="39" t="n">
        <v>46.8</v>
      </c>
      <c r="I646" s="40">
        <f>ROUNDUP(MAX(G646,H646),0)</f>
        <v/>
      </c>
      <c r="J646" s="41">
        <f>IF(C646="COVERED",'Methodology'!$B$9,'Methodology'!$B$10)</f>
        <v/>
      </c>
      <c r="K646" s="41">
        <f>I646*J646</f>
        <v/>
      </c>
      <c r="L646" s="41">
        <f>SUMIFS('Billing Aug'!$J$2:$J$770,'Billing Aug'!$D$2:$D$770,A646)</f>
        <v/>
      </c>
      <c r="M646" s="41">
        <f>L646-K646</f>
        <v/>
      </c>
      <c r="N646" s="37">
        <f>COUNTIF('Billing Aug'!$D$2:$D$770,A646)</f>
        <v/>
      </c>
      <c r="O646" s="37">
        <f>SUMIFS('Billing Aug'!$F$2:$F$770,'Billing Aug'!$D$2:$D$770,A646)</f>
        <v/>
      </c>
      <c r="P646" s="41">
        <f>IF(N646=0,0,L646-SUMIFS('Billing Aug'!$H$2:$H$770,'Billing Aug'!$D$2:$D$770,A646)*SUMIFS('Billing Aug'!$I$2:$I$770,'Billing Aug'!$D$2:$D$770,A646))</f>
        <v/>
      </c>
      <c r="Q646" s="37">
        <f>IF(N646=0,"NO AUG TRANSACTION IN SUPPLIED EXTRACT",IF(ABS(P646)&gt;0.004,"SUBLEDGER ARITHMETIC ERROR",IF(ABS(M646)&gt;0.004,"BILLING VARIANCE","MATCH")))</f>
        <v/>
      </c>
    </row>
    <row r="647">
      <c r="A647" s="37" t="inlineStr">
        <is>
          <t>EW-0903</t>
        </is>
      </c>
      <c r="B647" s="37" t="inlineStr">
        <is>
          <t>Eastwey</t>
        </is>
      </c>
      <c r="C647" s="37" t="inlineStr">
        <is>
          <t>OPEN</t>
        </is>
      </c>
      <c r="D647" s="37" t="inlineStr">
        <is>
          <t>OCCUPIED</t>
        </is>
      </c>
      <c r="E647" s="37" t="inlineStr">
        <is>
          <t>WL-01891</t>
        </is>
      </c>
      <c r="F647" s="37" t="inlineStr">
        <is>
          <t>Lee Ritter</t>
        </is>
      </c>
      <c r="G647" s="37" t="n">
        <v>24</v>
      </c>
      <c r="H647" s="39" t="n">
        <v>26.2</v>
      </c>
      <c r="I647" s="40">
        <f>ROUNDUP(MAX(G647,H647),0)</f>
        <v/>
      </c>
      <c r="J647" s="41">
        <f>IF(C647="COVERED",'Methodology'!$B$9,'Methodology'!$B$10)</f>
        <v/>
      </c>
      <c r="K647" s="41">
        <f>I647*J647</f>
        <v/>
      </c>
      <c r="L647" s="41">
        <f>SUMIFS('Billing Aug'!$J$2:$J$770,'Billing Aug'!$D$2:$D$770,A647)</f>
        <v/>
      </c>
      <c r="M647" s="41">
        <f>L647-K647</f>
        <v/>
      </c>
      <c r="N647" s="37">
        <f>COUNTIF('Billing Aug'!$D$2:$D$770,A647)</f>
        <v/>
      </c>
      <c r="O647" s="37">
        <f>SUMIFS('Billing Aug'!$F$2:$F$770,'Billing Aug'!$D$2:$D$770,A647)</f>
        <v/>
      </c>
      <c r="P647" s="41">
        <f>IF(N647=0,0,L647-SUMIFS('Billing Aug'!$H$2:$H$770,'Billing Aug'!$D$2:$D$770,A647)*SUMIFS('Billing Aug'!$I$2:$I$770,'Billing Aug'!$D$2:$D$770,A647))</f>
        <v/>
      </c>
      <c r="Q647" s="37">
        <f>IF(N647=0,"NO AUG TRANSACTION IN SUPPLIED EXTRACT",IF(ABS(P647)&gt;0.004,"SUBLEDGER ARITHMETIC ERROR",IF(ABS(M647)&gt;0.004,"BILLING VARIANCE","MATCH")))</f>
        <v/>
      </c>
    </row>
    <row r="648">
      <c r="A648" s="37" t="inlineStr">
        <is>
          <t>EW-0904</t>
        </is>
      </c>
      <c r="B648" s="37" t="inlineStr">
        <is>
          <t>Eastwey</t>
        </is>
      </c>
      <c r="C648" s="37" t="inlineStr">
        <is>
          <t>OPEN</t>
        </is>
      </c>
      <c r="D648" s="37" t="inlineStr">
        <is>
          <t>OCCUPIED</t>
        </is>
      </c>
      <c r="E648" s="37" t="inlineStr">
        <is>
          <t>WL-03412</t>
        </is>
      </c>
      <c r="F648" s="37" t="inlineStr">
        <is>
          <t>Seth Smith</t>
        </is>
      </c>
      <c r="G648" s="37" t="n">
        <v>45</v>
      </c>
      <c r="H648" s="39" t="n">
        <v>38.3</v>
      </c>
      <c r="I648" s="40">
        <f>ROUNDUP(MAX(G648,H648),0)</f>
        <v/>
      </c>
      <c r="J648" s="41">
        <f>IF(C648="COVERED",'Methodology'!$B$9,'Methodology'!$B$10)</f>
        <v/>
      </c>
      <c r="K648" s="41">
        <f>I648*J648</f>
        <v/>
      </c>
      <c r="L648" s="41">
        <f>SUMIFS('Billing Aug'!$J$2:$J$770,'Billing Aug'!$D$2:$D$770,A648)</f>
        <v/>
      </c>
      <c r="M648" s="41">
        <f>L648-K648</f>
        <v/>
      </c>
      <c r="N648" s="37">
        <f>COUNTIF('Billing Aug'!$D$2:$D$770,A648)</f>
        <v/>
      </c>
      <c r="O648" s="37">
        <f>SUMIFS('Billing Aug'!$F$2:$F$770,'Billing Aug'!$D$2:$D$770,A648)</f>
        <v/>
      </c>
      <c r="P648" s="41">
        <f>IF(N648=0,0,L648-SUMIFS('Billing Aug'!$H$2:$H$770,'Billing Aug'!$D$2:$D$770,A648)*SUMIFS('Billing Aug'!$I$2:$I$770,'Billing Aug'!$D$2:$D$770,A648))</f>
        <v/>
      </c>
      <c r="Q648" s="37">
        <f>IF(N648=0,"NO AUG TRANSACTION IN SUPPLIED EXTRACT",IF(ABS(P648)&gt;0.004,"SUBLEDGER ARITHMETIC ERROR",IF(ABS(M648)&gt;0.004,"BILLING VARIANCE","MATCH")))</f>
        <v/>
      </c>
    </row>
    <row r="649">
      <c r="A649" s="37" t="inlineStr">
        <is>
          <t>EW-0905</t>
        </is>
      </c>
      <c r="B649" s="37" t="inlineStr">
        <is>
          <t>Eastwey</t>
        </is>
      </c>
      <c r="C649" s="37" t="inlineStr">
        <is>
          <t>OPEN</t>
        </is>
      </c>
      <c r="D649" s="37" t="inlineStr">
        <is>
          <t>OCCUPIED</t>
        </is>
      </c>
      <c r="E649" s="37" t="inlineStr">
        <is>
          <t>WL-01393</t>
        </is>
      </c>
      <c r="F649" s="37" t="inlineStr">
        <is>
          <t>Lauren Thompson</t>
        </is>
      </c>
      <c r="G649" s="37" t="n">
        <v>45</v>
      </c>
      <c r="H649" s="39" t="n">
        <v>47</v>
      </c>
      <c r="I649" s="40">
        <f>ROUNDUP(MAX(G649,H649),0)</f>
        <v/>
      </c>
      <c r="J649" s="41">
        <f>IF(C649="COVERED",'Methodology'!$B$9,'Methodology'!$B$10)</f>
        <v/>
      </c>
      <c r="K649" s="41">
        <f>I649*J649</f>
        <v/>
      </c>
      <c r="L649" s="41">
        <f>SUMIFS('Billing Aug'!$J$2:$J$770,'Billing Aug'!$D$2:$D$770,A649)</f>
        <v/>
      </c>
      <c r="M649" s="41">
        <f>L649-K649</f>
        <v/>
      </c>
      <c r="N649" s="37">
        <f>COUNTIF('Billing Aug'!$D$2:$D$770,A649)</f>
        <v/>
      </c>
      <c r="O649" s="37">
        <f>SUMIFS('Billing Aug'!$F$2:$F$770,'Billing Aug'!$D$2:$D$770,A649)</f>
        <v/>
      </c>
      <c r="P649" s="41">
        <f>IF(N649=0,0,L649-SUMIFS('Billing Aug'!$H$2:$H$770,'Billing Aug'!$D$2:$D$770,A649)*SUMIFS('Billing Aug'!$I$2:$I$770,'Billing Aug'!$D$2:$D$770,A649))</f>
        <v/>
      </c>
      <c r="Q649" s="37">
        <f>IF(N649=0,"NO AUG TRANSACTION IN SUPPLIED EXTRACT",IF(ABS(P649)&gt;0.004,"SUBLEDGER ARITHMETIC ERROR",IF(ABS(M649)&gt;0.004,"BILLING VARIANCE","MATCH")))</f>
        <v/>
      </c>
    </row>
    <row r="650">
      <c r="A650" s="37" t="inlineStr">
        <is>
          <t>EW-0906</t>
        </is>
      </c>
      <c r="B650" s="37" t="inlineStr">
        <is>
          <t>Eastwey</t>
        </is>
      </c>
      <c r="C650" s="37" t="inlineStr">
        <is>
          <t>OPEN</t>
        </is>
      </c>
      <c r="D650" s="37" t="inlineStr">
        <is>
          <t>OCCUPIED</t>
        </is>
      </c>
      <c r="E650" s="37" t="inlineStr">
        <is>
          <t>WL-01035</t>
        </is>
      </c>
      <c r="F650" s="37" t="inlineStr">
        <is>
          <t>Ivan Webster</t>
        </is>
      </c>
      <c r="G650" s="37" t="n">
        <v>80</v>
      </c>
      <c r="H650" s="39" t="n">
        <v>58.9</v>
      </c>
      <c r="I650" s="40">
        <f>ROUNDUP(MAX(G650,H650),0)</f>
        <v/>
      </c>
      <c r="J650" s="41">
        <f>IF(C650="COVERED",'Methodology'!$B$9,'Methodology'!$B$10)</f>
        <v/>
      </c>
      <c r="K650" s="41">
        <f>I650*J650</f>
        <v/>
      </c>
      <c r="L650" s="41">
        <f>SUMIFS('Billing Aug'!$J$2:$J$770,'Billing Aug'!$D$2:$D$770,A650)</f>
        <v/>
      </c>
      <c r="M650" s="41">
        <f>L650-K650</f>
        <v/>
      </c>
      <c r="N650" s="37">
        <f>COUNTIF('Billing Aug'!$D$2:$D$770,A650)</f>
        <v/>
      </c>
      <c r="O650" s="37">
        <f>SUMIFS('Billing Aug'!$F$2:$F$770,'Billing Aug'!$D$2:$D$770,A650)</f>
        <v/>
      </c>
      <c r="P650" s="41">
        <f>IF(N650=0,0,L650-SUMIFS('Billing Aug'!$H$2:$H$770,'Billing Aug'!$D$2:$D$770,A650)*SUMIFS('Billing Aug'!$I$2:$I$770,'Billing Aug'!$D$2:$D$770,A650))</f>
        <v/>
      </c>
      <c r="Q650" s="37">
        <f>IF(N650=0,"NO AUG TRANSACTION IN SUPPLIED EXTRACT",IF(ABS(P650)&gt;0.004,"SUBLEDGER ARITHMETIC ERROR",IF(ABS(M650)&gt;0.004,"BILLING VARIANCE","MATCH")))</f>
        <v/>
      </c>
    </row>
    <row r="651">
      <c r="A651" s="37" t="inlineStr">
        <is>
          <t>EW-0907</t>
        </is>
      </c>
      <c r="B651" s="37" t="inlineStr">
        <is>
          <t>Eastwey</t>
        </is>
      </c>
      <c r="C651" s="37" t="inlineStr">
        <is>
          <t>OPEN</t>
        </is>
      </c>
      <c r="D651" s="37" t="inlineStr">
        <is>
          <t>OCCUPIED</t>
        </is>
      </c>
      <c r="E651" s="37" t="inlineStr">
        <is>
          <t>WL-02881</t>
        </is>
      </c>
      <c r="F651" s="37" t="inlineStr">
        <is>
          <t>Christopher Woodward</t>
        </is>
      </c>
      <c r="G651" s="37" t="n">
        <v>40</v>
      </c>
      <c r="H651" s="39" t="n">
        <v>52</v>
      </c>
      <c r="I651" s="40">
        <f>ROUNDUP(MAX(G651,H651),0)</f>
        <v/>
      </c>
      <c r="J651" s="41">
        <f>IF(C651="COVERED",'Methodology'!$B$9,'Methodology'!$B$10)</f>
        <v/>
      </c>
      <c r="K651" s="41">
        <f>I651*J651</f>
        <v/>
      </c>
      <c r="L651" s="41">
        <f>SUMIFS('Billing Aug'!$J$2:$J$770,'Billing Aug'!$D$2:$D$770,A651)</f>
        <v/>
      </c>
      <c r="M651" s="41">
        <f>L651-K651</f>
        <v/>
      </c>
      <c r="N651" s="37">
        <f>COUNTIF('Billing Aug'!$D$2:$D$770,A651)</f>
        <v/>
      </c>
      <c r="O651" s="37">
        <f>SUMIFS('Billing Aug'!$F$2:$F$770,'Billing Aug'!$D$2:$D$770,A651)</f>
        <v/>
      </c>
      <c r="P651" s="41">
        <f>IF(N651=0,0,L651-SUMIFS('Billing Aug'!$H$2:$H$770,'Billing Aug'!$D$2:$D$770,A651)*SUMIFS('Billing Aug'!$I$2:$I$770,'Billing Aug'!$D$2:$D$770,A651))</f>
        <v/>
      </c>
      <c r="Q651" s="37">
        <f>IF(N651=0,"NO AUG TRANSACTION IN SUPPLIED EXTRACT",IF(ABS(P651)&gt;0.004,"SUBLEDGER ARITHMETIC ERROR",IF(ABS(M651)&gt;0.004,"BILLING VARIANCE","MATCH")))</f>
        <v/>
      </c>
    </row>
    <row r="652">
      <c r="A652" s="37" t="inlineStr">
        <is>
          <t>EW-0908</t>
        </is>
      </c>
      <c r="B652" s="37" t="inlineStr">
        <is>
          <t>Eastwey</t>
        </is>
      </c>
      <c r="C652" s="37" t="inlineStr">
        <is>
          <t>OPEN</t>
        </is>
      </c>
      <c r="D652" s="37" t="inlineStr">
        <is>
          <t>OCCUPIED</t>
        </is>
      </c>
      <c r="E652" s="37" t="inlineStr">
        <is>
          <t>WL-02478</t>
        </is>
      </c>
      <c r="F652" s="37" t="inlineStr">
        <is>
          <t>Travis Long</t>
        </is>
      </c>
      <c r="G652" s="37" t="n">
        <v>40</v>
      </c>
      <c r="H652" s="39" t="n">
        <v>34.8</v>
      </c>
      <c r="I652" s="40">
        <f>ROUNDUP(MAX(G652,H652),0)</f>
        <v/>
      </c>
      <c r="J652" s="41">
        <f>IF(C652="COVERED",'Methodology'!$B$9,'Methodology'!$B$10)</f>
        <v/>
      </c>
      <c r="K652" s="41">
        <f>I652*J652</f>
        <v/>
      </c>
      <c r="L652" s="41">
        <f>SUMIFS('Billing Aug'!$J$2:$J$770,'Billing Aug'!$D$2:$D$770,A652)</f>
        <v/>
      </c>
      <c r="M652" s="41">
        <f>L652-K652</f>
        <v/>
      </c>
      <c r="N652" s="37">
        <f>COUNTIF('Billing Aug'!$D$2:$D$770,A652)</f>
        <v/>
      </c>
      <c r="O652" s="37">
        <f>SUMIFS('Billing Aug'!$F$2:$F$770,'Billing Aug'!$D$2:$D$770,A652)</f>
        <v/>
      </c>
      <c r="P652" s="41">
        <f>IF(N652=0,0,L652-SUMIFS('Billing Aug'!$H$2:$H$770,'Billing Aug'!$D$2:$D$770,A652)*SUMIFS('Billing Aug'!$I$2:$I$770,'Billing Aug'!$D$2:$D$770,A652))</f>
        <v/>
      </c>
      <c r="Q652" s="37">
        <f>IF(N652=0,"NO AUG TRANSACTION IN SUPPLIED EXTRACT",IF(ABS(P652)&gt;0.004,"SUBLEDGER ARITHMETIC ERROR",IF(ABS(M652)&gt;0.004,"BILLING VARIANCE","MATCH")))</f>
        <v/>
      </c>
    </row>
    <row r="653">
      <c r="A653" s="37" t="inlineStr">
        <is>
          <t>EW-0909</t>
        </is>
      </c>
      <c r="B653" s="37" t="inlineStr">
        <is>
          <t>Eastwey</t>
        </is>
      </c>
      <c r="C653" s="37" t="inlineStr">
        <is>
          <t>OPEN</t>
        </is>
      </c>
      <c r="D653" s="37" t="inlineStr">
        <is>
          <t>OCCUPIED</t>
        </is>
      </c>
      <c r="E653" s="37" t="inlineStr">
        <is>
          <t>WL-03396</t>
        </is>
      </c>
      <c r="F653" s="37" t="inlineStr">
        <is>
          <t>Tanya Woods</t>
        </is>
      </c>
      <c r="G653" s="37" t="n">
        <v>45</v>
      </c>
      <c r="H653" s="39" t="n">
        <v>24.6</v>
      </c>
      <c r="I653" s="40">
        <f>ROUNDUP(MAX(G653,H653),0)</f>
        <v/>
      </c>
      <c r="J653" s="41">
        <f>IF(C653="COVERED",'Methodology'!$B$9,'Methodology'!$B$10)</f>
        <v/>
      </c>
      <c r="K653" s="41">
        <f>I653*J653</f>
        <v/>
      </c>
      <c r="L653" s="41">
        <f>SUMIFS('Billing Aug'!$J$2:$J$770,'Billing Aug'!$D$2:$D$770,A653)</f>
        <v/>
      </c>
      <c r="M653" s="41">
        <f>L653-K653</f>
        <v/>
      </c>
      <c r="N653" s="37">
        <f>COUNTIF('Billing Aug'!$D$2:$D$770,A653)</f>
        <v/>
      </c>
      <c r="O653" s="37">
        <f>SUMIFS('Billing Aug'!$F$2:$F$770,'Billing Aug'!$D$2:$D$770,A653)</f>
        <v/>
      </c>
      <c r="P653" s="41">
        <f>IF(N653=0,0,L653-SUMIFS('Billing Aug'!$H$2:$H$770,'Billing Aug'!$D$2:$D$770,A653)*SUMIFS('Billing Aug'!$I$2:$I$770,'Billing Aug'!$D$2:$D$770,A653))</f>
        <v/>
      </c>
      <c r="Q653" s="37">
        <f>IF(N653=0,"NO AUG TRANSACTION IN SUPPLIED EXTRACT",IF(ABS(P653)&gt;0.004,"SUBLEDGER ARITHMETIC ERROR",IF(ABS(M653)&gt;0.004,"BILLING VARIANCE","MATCH")))</f>
        <v/>
      </c>
    </row>
    <row r="654">
      <c r="A654" s="37" t="inlineStr">
        <is>
          <t>EW-0910</t>
        </is>
      </c>
      <c r="B654" s="37" t="inlineStr">
        <is>
          <t>Eastwey</t>
        </is>
      </c>
      <c r="C654" s="37" t="inlineStr">
        <is>
          <t>OPEN</t>
        </is>
      </c>
      <c r="D654" s="37" t="inlineStr">
        <is>
          <t>OCCUPIED</t>
        </is>
      </c>
      <c r="E654" s="37" t="inlineStr">
        <is>
          <t>WL-03319</t>
        </is>
      </c>
      <c r="F654" s="37" t="inlineStr">
        <is>
          <t>Darrell Hall</t>
        </is>
      </c>
      <c r="G654" s="37" t="n">
        <v>70</v>
      </c>
      <c r="H654" s="39" t="n">
        <v>53.7</v>
      </c>
      <c r="I654" s="40">
        <f>ROUNDUP(MAX(G654,H654),0)</f>
        <v/>
      </c>
      <c r="J654" s="41">
        <f>IF(C654="COVERED",'Methodology'!$B$9,'Methodology'!$B$10)</f>
        <v/>
      </c>
      <c r="K654" s="41">
        <f>I654*J654</f>
        <v/>
      </c>
      <c r="L654" s="41">
        <f>SUMIFS('Billing Aug'!$J$2:$J$770,'Billing Aug'!$D$2:$D$770,A654)</f>
        <v/>
      </c>
      <c r="M654" s="41">
        <f>L654-K654</f>
        <v/>
      </c>
      <c r="N654" s="37">
        <f>COUNTIF('Billing Aug'!$D$2:$D$770,A654)</f>
        <v/>
      </c>
      <c r="O654" s="37">
        <f>SUMIFS('Billing Aug'!$F$2:$F$770,'Billing Aug'!$D$2:$D$770,A654)</f>
        <v/>
      </c>
      <c r="P654" s="41">
        <f>IF(N654=0,0,L654-SUMIFS('Billing Aug'!$H$2:$H$770,'Billing Aug'!$D$2:$D$770,A654)*SUMIFS('Billing Aug'!$I$2:$I$770,'Billing Aug'!$D$2:$D$770,A654))</f>
        <v/>
      </c>
      <c r="Q654" s="37">
        <f>IF(N654=0,"NO AUG TRANSACTION IN SUPPLIED EXTRACT",IF(ABS(P654)&gt;0.004,"SUBLEDGER ARITHMETIC ERROR",IF(ABS(M654)&gt;0.004,"BILLING VARIANCE","MATCH")))</f>
        <v/>
      </c>
    </row>
    <row r="655">
      <c r="A655" s="37" t="inlineStr">
        <is>
          <t>EW-0911</t>
        </is>
      </c>
      <c r="B655" s="37" t="inlineStr">
        <is>
          <t>Eastwey</t>
        </is>
      </c>
      <c r="C655" s="37" t="inlineStr">
        <is>
          <t>OPEN</t>
        </is>
      </c>
      <c r="D655" s="37" t="inlineStr">
        <is>
          <t>OCCUPIED</t>
        </is>
      </c>
      <c r="E655" s="37" t="inlineStr">
        <is>
          <t>WL-02871</t>
        </is>
      </c>
      <c r="F655" s="37" t="inlineStr">
        <is>
          <t>Bailey Barnes</t>
        </is>
      </c>
      <c r="G655" s="37" t="n">
        <v>60</v>
      </c>
      <c r="H655" s="39" t="n">
        <v>24</v>
      </c>
      <c r="I655" s="40">
        <f>ROUNDUP(MAX(G655,H655),0)</f>
        <v/>
      </c>
      <c r="J655" s="41">
        <f>IF(C655="COVERED",'Methodology'!$B$9,'Methodology'!$B$10)</f>
        <v/>
      </c>
      <c r="K655" s="41">
        <f>I655*J655</f>
        <v/>
      </c>
      <c r="L655" s="41">
        <f>SUMIFS('Billing Aug'!$J$2:$J$770,'Billing Aug'!$D$2:$D$770,A655)</f>
        <v/>
      </c>
      <c r="M655" s="41">
        <f>L655-K655</f>
        <v/>
      </c>
      <c r="N655" s="37">
        <f>COUNTIF('Billing Aug'!$D$2:$D$770,A655)</f>
        <v/>
      </c>
      <c r="O655" s="37">
        <f>SUMIFS('Billing Aug'!$F$2:$F$770,'Billing Aug'!$D$2:$D$770,A655)</f>
        <v/>
      </c>
      <c r="P655" s="41">
        <f>IF(N655=0,0,L655-SUMIFS('Billing Aug'!$H$2:$H$770,'Billing Aug'!$D$2:$D$770,A655)*SUMIFS('Billing Aug'!$I$2:$I$770,'Billing Aug'!$D$2:$D$770,A655))</f>
        <v/>
      </c>
      <c r="Q655" s="37">
        <f>IF(N655=0,"NO AUG TRANSACTION IN SUPPLIED EXTRACT",IF(ABS(P655)&gt;0.004,"SUBLEDGER ARITHMETIC ERROR",IF(ABS(M655)&gt;0.004,"BILLING VARIANCE","MATCH")))</f>
        <v/>
      </c>
    </row>
    <row r="656">
      <c r="A656" s="37" t="inlineStr">
        <is>
          <t>EW-0912</t>
        </is>
      </c>
      <c r="B656" s="37" t="inlineStr">
        <is>
          <t>Eastwey</t>
        </is>
      </c>
      <c r="C656" s="37" t="inlineStr">
        <is>
          <t>OPEN</t>
        </is>
      </c>
      <c r="D656" s="37" t="inlineStr">
        <is>
          <t>OCCUPIED</t>
        </is>
      </c>
      <c r="E656" s="37" t="inlineStr">
        <is>
          <t>WL-03562</t>
        </is>
      </c>
      <c r="F656" s="37" t="inlineStr">
        <is>
          <t>Tara Davis</t>
        </is>
      </c>
      <c r="G656" s="37" t="n">
        <v>70</v>
      </c>
      <c r="H656" s="39" t="n">
        <v>47.4</v>
      </c>
      <c r="I656" s="40">
        <f>ROUNDUP(MAX(G656,H656),0)</f>
        <v/>
      </c>
      <c r="J656" s="41">
        <f>IF(C656="COVERED",'Methodology'!$B$9,'Methodology'!$B$10)</f>
        <v/>
      </c>
      <c r="K656" s="41">
        <f>I656*J656</f>
        <v/>
      </c>
      <c r="L656" s="41">
        <f>SUMIFS('Billing Aug'!$J$2:$J$770,'Billing Aug'!$D$2:$D$770,A656)</f>
        <v/>
      </c>
      <c r="M656" s="41">
        <f>L656-K656</f>
        <v/>
      </c>
      <c r="N656" s="37">
        <f>COUNTIF('Billing Aug'!$D$2:$D$770,A656)</f>
        <v/>
      </c>
      <c r="O656" s="37">
        <f>SUMIFS('Billing Aug'!$F$2:$F$770,'Billing Aug'!$D$2:$D$770,A656)</f>
        <v/>
      </c>
      <c r="P656" s="41">
        <f>IF(N656=0,0,L656-SUMIFS('Billing Aug'!$H$2:$H$770,'Billing Aug'!$D$2:$D$770,A656)*SUMIFS('Billing Aug'!$I$2:$I$770,'Billing Aug'!$D$2:$D$770,A656))</f>
        <v/>
      </c>
      <c r="Q656" s="37">
        <f>IF(N656=0,"NO AUG TRANSACTION IN SUPPLIED EXTRACT",IF(ABS(P656)&gt;0.004,"SUBLEDGER ARITHMETIC ERROR",IF(ABS(M656)&gt;0.004,"BILLING VARIANCE","MATCH")))</f>
        <v/>
      </c>
    </row>
    <row r="657">
      <c r="A657" s="37" t="inlineStr">
        <is>
          <t>EW-0913</t>
        </is>
      </c>
      <c r="B657" s="37" t="inlineStr">
        <is>
          <t>Eastwey</t>
        </is>
      </c>
      <c r="C657" s="37" t="inlineStr">
        <is>
          <t>OPEN</t>
        </is>
      </c>
      <c r="D657" s="37" t="inlineStr">
        <is>
          <t>OCCUPIED</t>
        </is>
      </c>
      <c r="E657" s="37" t="inlineStr">
        <is>
          <t>WL-02382</t>
        </is>
      </c>
      <c r="F657" s="37" t="inlineStr">
        <is>
          <t>Rachael Wallace</t>
        </is>
      </c>
      <c r="G657" s="37" t="n">
        <v>32</v>
      </c>
      <c r="H657" s="39" t="n">
        <v>47.2</v>
      </c>
      <c r="I657" s="40">
        <f>ROUNDUP(MAX(G657,H657),0)</f>
        <v/>
      </c>
      <c r="J657" s="41">
        <f>IF(C657="COVERED",'Methodology'!$B$9,'Methodology'!$B$10)</f>
        <v/>
      </c>
      <c r="K657" s="41">
        <f>I657*J657</f>
        <v/>
      </c>
      <c r="L657" s="41">
        <f>SUMIFS('Billing Aug'!$J$2:$J$770,'Billing Aug'!$D$2:$D$770,A657)</f>
        <v/>
      </c>
      <c r="M657" s="41">
        <f>L657-K657</f>
        <v/>
      </c>
      <c r="N657" s="37">
        <f>COUNTIF('Billing Aug'!$D$2:$D$770,A657)</f>
        <v/>
      </c>
      <c r="O657" s="37">
        <f>SUMIFS('Billing Aug'!$F$2:$F$770,'Billing Aug'!$D$2:$D$770,A657)</f>
        <v/>
      </c>
      <c r="P657" s="41">
        <f>IF(N657=0,0,L657-SUMIFS('Billing Aug'!$H$2:$H$770,'Billing Aug'!$D$2:$D$770,A657)*SUMIFS('Billing Aug'!$I$2:$I$770,'Billing Aug'!$D$2:$D$770,A657))</f>
        <v/>
      </c>
      <c r="Q657" s="37">
        <f>IF(N657=0,"NO AUG TRANSACTION IN SUPPLIED EXTRACT",IF(ABS(P657)&gt;0.004,"SUBLEDGER ARITHMETIC ERROR",IF(ABS(M657)&gt;0.004,"BILLING VARIANCE","MATCH")))</f>
        <v/>
      </c>
    </row>
    <row r="658">
      <c r="A658" s="37" t="inlineStr">
        <is>
          <t>EW-0914</t>
        </is>
      </c>
      <c r="B658" s="37" t="inlineStr">
        <is>
          <t>Eastwey</t>
        </is>
      </c>
      <c r="C658" s="37" t="inlineStr">
        <is>
          <t>OPEN</t>
        </is>
      </c>
      <c r="D658" s="37" t="inlineStr">
        <is>
          <t>OCCUPIED</t>
        </is>
      </c>
      <c r="E658" s="37" t="inlineStr">
        <is>
          <t>WL-02046</t>
        </is>
      </c>
      <c r="F658" s="37" t="inlineStr">
        <is>
          <t>Jennifer Scott</t>
        </is>
      </c>
      <c r="G658" s="37" t="n">
        <v>28</v>
      </c>
      <c r="H658" s="39" t="n">
        <v>25.3</v>
      </c>
      <c r="I658" s="40">
        <f>ROUNDUP(MAX(G658,H658),0)</f>
        <v/>
      </c>
      <c r="J658" s="41">
        <f>IF(C658="COVERED",'Methodology'!$B$9,'Methodology'!$B$10)</f>
        <v/>
      </c>
      <c r="K658" s="41">
        <f>I658*J658</f>
        <v/>
      </c>
      <c r="L658" s="41">
        <f>SUMIFS('Billing Aug'!$J$2:$J$770,'Billing Aug'!$D$2:$D$770,A658)</f>
        <v/>
      </c>
      <c r="M658" s="41">
        <f>L658-K658</f>
        <v/>
      </c>
      <c r="N658" s="37">
        <f>COUNTIF('Billing Aug'!$D$2:$D$770,A658)</f>
        <v/>
      </c>
      <c r="O658" s="37">
        <f>SUMIFS('Billing Aug'!$F$2:$F$770,'Billing Aug'!$D$2:$D$770,A658)</f>
        <v/>
      </c>
      <c r="P658" s="41">
        <f>IF(N658=0,0,L658-SUMIFS('Billing Aug'!$H$2:$H$770,'Billing Aug'!$D$2:$D$770,A658)*SUMIFS('Billing Aug'!$I$2:$I$770,'Billing Aug'!$D$2:$D$770,A658))</f>
        <v/>
      </c>
      <c r="Q658" s="37">
        <f>IF(N658=0,"NO AUG TRANSACTION IN SUPPLIED EXTRACT",IF(ABS(P658)&gt;0.004,"SUBLEDGER ARITHMETIC ERROR",IF(ABS(M658)&gt;0.004,"BILLING VARIANCE","MATCH")))</f>
        <v/>
      </c>
    </row>
    <row r="659">
      <c r="A659" s="37" t="inlineStr">
        <is>
          <t>EW-0915</t>
        </is>
      </c>
      <c r="B659" s="37" t="inlineStr">
        <is>
          <t>Eastwey</t>
        </is>
      </c>
      <c r="C659" s="37" t="inlineStr">
        <is>
          <t>OPEN</t>
        </is>
      </c>
      <c r="D659" s="37" t="inlineStr">
        <is>
          <t>OCCUPIED</t>
        </is>
      </c>
      <c r="E659" s="37" t="inlineStr">
        <is>
          <t>WL-03170</t>
        </is>
      </c>
      <c r="F659" s="37" t="inlineStr">
        <is>
          <t>Kyle Chen</t>
        </is>
      </c>
      <c r="G659" s="37" t="n">
        <v>50</v>
      </c>
      <c r="H659" s="39" t="n">
        <v>49.5</v>
      </c>
      <c r="I659" s="40">
        <f>ROUNDUP(MAX(G659,H659),0)</f>
        <v/>
      </c>
      <c r="J659" s="41">
        <f>IF(C659="COVERED",'Methodology'!$B$9,'Methodology'!$B$10)</f>
        <v/>
      </c>
      <c r="K659" s="41">
        <f>I659*J659</f>
        <v/>
      </c>
      <c r="L659" s="41">
        <f>SUMIFS('Billing Aug'!$J$2:$J$770,'Billing Aug'!$D$2:$D$770,A659)</f>
        <v/>
      </c>
      <c r="M659" s="41">
        <f>L659-K659</f>
        <v/>
      </c>
      <c r="N659" s="37">
        <f>COUNTIF('Billing Aug'!$D$2:$D$770,A659)</f>
        <v/>
      </c>
      <c r="O659" s="37">
        <f>SUMIFS('Billing Aug'!$F$2:$F$770,'Billing Aug'!$D$2:$D$770,A659)</f>
        <v/>
      </c>
      <c r="P659" s="41">
        <f>IF(N659=0,0,L659-SUMIFS('Billing Aug'!$H$2:$H$770,'Billing Aug'!$D$2:$D$770,A659)*SUMIFS('Billing Aug'!$I$2:$I$770,'Billing Aug'!$D$2:$D$770,A659))</f>
        <v/>
      </c>
      <c r="Q659" s="37">
        <f>IF(N659=0,"NO AUG TRANSACTION IN SUPPLIED EXTRACT",IF(ABS(P659)&gt;0.004,"SUBLEDGER ARITHMETIC ERROR",IF(ABS(M659)&gt;0.004,"BILLING VARIANCE","MATCH")))</f>
        <v/>
      </c>
    </row>
    <row r="660">
      <c r="A660" s="37" t="inlineStr">
        <is>
          <t>EW-0916</t>
        </is>
      </c>
      <c r="B660" s="37" t="inlineStr">
        <is>
          <t>Eastwey</t>
        </is>
      </c>
      <c r="C660" s="37" t="inlineStr">
        <is>
          <t>OPEN</t>
        </is>
      </c>
      <c r="D660" s="37" t="inlineStr">
        <is>
          <t>OCCUPIED</t>
        </is>
      </c>
      <c r="E660" s="37" t="inlineStr">
        <is>
          <t>WL-03268</t>
        </is>
      </c>
      <c r="F660" s="37" t="inlineStr">
        <is>
          <t>Charles Parker</t>
        </is>
      </c>
      <c r="G660" s="37" t="n">
        <v>24</v>
      </c>
      <c r="H660" s="39" t="n">
        <v>53.1</v>
      </c>
      <c r="I660" s="40">
        <f>ROUNDUP(MAX(G660,H660),0)</f>
        <v/>
      </c>
      <c r="J660" s="41">
        <f>IF(C660="COVERED",'Methodology'!$B$9,'Methodology'!$B$10)</f>
        <v/>
      </c>
      <c r="K660" s="41">
        <f>I660*J660</f>
        <v/>
      </c>
      <c r="L660" s="41">
        <f>SUMIFS('Billing Aug'!$J$2:$J$770,'Billing Aug'!$D$2:$D$770,A660)</f>
        <v/>
      </c>
      <c r="M660" s="41">
        <f>L660-K660</f>
        <v/>
      </c>
      <c r="N660" s="37">
        <f>COUNTIF('Billing Aug'!$D$2:$D$770,A660)</f>
        <v/>
      </c>
      <c r="O660" s="37">
        <f>SUMIFS('Billing Aug'!$F$2:$F$770,'Billing Aug'!$D$2:$D$770,A660)</f>
        <v/>
      </c>
      <c r="P660" s="41">
        <f>IF(N660=0,0,L660-SUMIFS('Billing Aug'!$H$2:$H$770,'Billing Aug'!$D$2:$D$770,A660)*SUMIFS('Billing Aug'!$I$2:$I$770,'Billing Aug'!$D$2:$D$770,A660))</f>
        <v/>
      </c>
      <c r="Q660" s="37">
        <f>IF(N660=0,"NO AUG TRANSACTION IN SUPPLIED EXTRACT",IF(ABS(P660)&gt;0.004,"SUBLEDGER ARITHMETIC ERROR",IF(ABS(M660)&gt;0.004,"BILLING VARIANCE","MATCH")))</f>
        <v/>
      </c>
    </row>
    <row r="661">
      <c r="A661" s="37" t="inlineStr">
        <is>
          <t>EW-0917</t>
        </is>
      </c>
      <c r="B661" s="37" t="inlineStr">
        <is>
          <t>Eastwey</t>
        </is>
      </c>
      <c r="C661" s="37" t="inlineStr">
        <is>
          <t>OPEN</t>
        </is>
      </c>
      <c r="D661" s="37" t="inlineStr">
        <is>
          <t>OCCUPIED</t>
        </is>
      </c>
      <c r="E661" s="37" t="inlineStr">
        <is>
          <t>WL-03374</t>
        </is>
      </c>
      <c r="F661" s="37" t="inlineStr">
        <is>
          <t>Tina Ward</t>
        </is>
      </c>
      <c r="G661" s="37" t="n">
        <v>24</v>
      </c>
      <c r="H661" s="39" t="n">
        <v>48.6</v>
      </c>
      <c r="I661" s="40">
        <f>ROUNDUP(MAX(G661,H661),0)</f>
        <v/>
      </c>
      <c r="J661" s="41">
        <f>IF(C661="COVERED",'Methodology'!$B$9,'Methodology'!$B$10)</f>
        <v/>
      </c>
      <c r="K661" s="41">
        <f>I661*J661</f>
        <v/>
      </c>
      <c r="L661" s="41">
        <f>SUMIFS('Billing Aug'!$J$2:$J$770,'Billing Aug'!$D$2:$D$770,A661)</f>
        <v/>
      </c>
      <c r="M661" s="41">
        <f>L661-K661</f>
        <v/>
      </c>
      <c r="N661" s="37">
        <f>COUNTIF('Billing Aug'!$D$2:$D$770,A661)</f>
        <v/>
      </c>
      <c r="O661" s="37">
        <f>SUMIFS('Billing Aug'!$F$2:$F$770,'Billing Aug'!$D$2:$D$770,A661)</f>
        <v/>
      </c>
      <c r="P661" s="41">
        <f>IF(N661=0,0,L661-SUMIFS('Billing Aug'!$H$2:$H$770,'Billing Aug'!$D$2:$D$770,A661)*SUMIFS('Billing Aug'!$I$2:$I$770,'Billing Aug'!$D$2:$D$770,A661))</f>
        <v/>
      </c>
      <c r="Q661" s="37">
        <f>IF(N661=0,"NO AUG TRANSACTION IN SUPPLIED EXTRACT",IF(ABS(P661)&gt;0.004,"SUBLEDGER ARITHMETIC ERROR",IF(ABS(M661)&gt;0.004,"BILLING VARIANCE","MATCH")))</f>
        <v/>
      </c>
    </row>
    <row r="662">
      <c r="A662" s="37" t="inlineStr">
        <is>
          <t>EW-0918</t>
        </is>
      </c>
      <c r="B662" s="37" t="inlineStr">
        <is>
          <t>Eastwey</t>
        </is>
      </c>
      <c r="C662" s="37" t="inlineStr">
        <is>
          <t>OPEN</t>
        </is>
      </c>
      <c r="D662" s="37" t="inlineStr">
        <is>
          <t>OCCUPIED</t>
        </is>
      </c>
      <c r="E662" s="37" t="inlineStr">
        <is>
          <t>WL-02502</t>
        </is>
      </c>
      <c r="F662" s="37" t="inlineStr">
        <is>
          <t>Michelle Cline</t>
        </is>
      </c>
      <c r="G662" s="37" t="n">
        <v>24</v>
      </c>
      <c r="H662" s="39" t="n">
        <v>29.8</v>
      </c>
      <c r="I662" s="40">
        <f>ROUNDUP(MAX(G662,H662),0)</f>
        <v/>
      </c>
      <c r="J662" s="41">
        <f>IF(C662="COVERED",'Methodology'!$B$9,'Methodology'!$B$10)</f>
        <v/>
      </c>
      <c r="K662" s="41">
        <f>I662*J662</f>
        <v/>
      </c>
      <c r="L662" s="41">
        <f>SUMIFS('Billing Aug'!$J$2:$J$770,'Billing Aug'!$D$2:$D$770,A662)</f>
        <v/>
      </c>
      <c r="M662" s="41">
        <f>L662-K662</f>
        <v/>
      </c>
      <c r="N662" s="37">
        <f>COUNTIF('Billing Aug'!$D$2:$D$770,A662)</f>
        <v/>
      </c>
      <c r="O662" s="37">
        <f>SUMIFS('Billing Aug'!$F$2:$F$770,'Billing Aug'!$D$2:$D$770,A662)</f>
        <v/>
      </c>
      <c r="P662" s="41">
        <f>IF(N662=0,0,L662-SUMIFS('Billing Aug'!$H$2:$H$770,'Billing Aug'!$D$2:$D$770,A662)*SUMIFS('Billing Aug'!$I$2:$I$770,'Billing Aug'!$D$2:$D$770,A662))</f>
        <v/>
      </c>
      <c r="Q662" s="37">
        <f>IF(N662=0,"NO AUG TRANSACTION IN SUPPLIED EXTRACT",IF(ABS(P662)&gt;0.004,"SUBLEDGER ARITHMETIC ERROR",IF(ABS(M662)&gt;0.004,"BILLING VARIANCE","MATCH")))</f>
        <v/>
      </c>
    </row>
    <row r="663">
      <c r="A663" s="37" t="inlineStr">
        <is>
          <t>EW-0919</t>
        </is>
      </c>
      <c r="B663" s="37" t="inlineStr">
        <is>
          <t>Eastwey</t>
        </is>
      </c>
      <c r="C663" s="37" t="inlineStr">
        <is>
          <t>OPEN</t>
        </is>
      </c>
      <c r="D663" s="37" t="inlineStr">
        <is>
          <t>OCCUPIED</t>
        </is>
      </c>
      <c r="E663" s="37" t="inlineStr">
        <is>
          <t>WL-03012</t>
        </is>
      </c>
      <c r="F663" s="37" t="inlineStr">
        <is>
          <t>Olivia Joseph</t>
        </is>
      </c>
      <c r="G663" s="37" t="n">
        <v>28</v>
      </c>
      <c r="H663" s="39" t="n">
        <v>61.3</v>
      </c>
      <c r="I663" s="40">
        <f>ROUNDUP(MAX(G663,H663),0)</f>
        <v/>
      </c>
      <c r="J663" s="41">
        <f>IF(C663="COVERED",'Methodology'!$B$9,'Methodology'!$B$10)</f>
        <v/>
      </c>
      <c r="K663" s="41">
        <f>I663*J663</f>
        <v/>
      </c>
      <c r="L663" s="41">
        <f>SUMIFS('Billing Aug'!$J$2:$J$770,'Billing Aug'!$D$2:$D$770,A663)</f>
        <v/>
      </c>
      <c r="M663" s="41">
        <f>L663-K663</f>
        <v/>
      </c>
      <c r="N663" s="37">
        <f>COUNTIF('Billing Aug'!$D$2:$D$770,A663)</f>
        <v/>
      </c>
      <c r="O663" s="37">
        <f>SUMIFS('Billing Aug'!$F$2:$F$770,'Billing Aug'!$D$2:$D$770,A663)</f>
        <v/>
      </c>
      <c r="P663" s="41">
        <f>IF(N663=0,0,L663-SUMIFS('Billing Aug'!$H$2:$H$770,'Billing Aug'!$D$2:$D$770,A663)*SUMIFS('Billing Aug'!$I$2:$I$770,'Billing Aug'!$D$2:$D$770,A663))</f>
        <v/>
      </c>
      <c r="Q663" s="37">
        <f>IF(N663=0,"NO AUG TRANSACTION IN SUPPLIED EXTRACT",IF(ABS(P663)&gt;0.004,"SUBLEDGER ARITHMETIC ERROR",IF(ABS(M663)&gt;0.004,"BILLING VARIANCE","MATCH")))</f>
        <v/>
      </c>
    </row>
    <row r="664">
      <c r="A664" s="37" t="inlineStr">
        <is>
          <t>EW-0920</t>
        </is>
      </c>
      <c r="B664" s="37" t="inlineStr">
        <is>
          <t>Eastwey</t>
        </is>
      </c>
      <c r="C664" s="37" t="inlineStr">
        <is>
          <t>OPEN</t>
        </is>
      </c>
      <c r="D664" s="37" t="inlineStr">
        <is>
          <t>OCCUPIED</t>
        </is>
      </c>
      <c r="E664" s="37" t="inlineStr">
        <is>
          <t>WL-02451</t>
        </is>
      </c>
      <c r="F664" s="37" t="inlineStr">
        <is>
          <t>Brooke Bell</t>
        </is>
      </c>
      <c r="G664" s="37" t="n">
        <v>40</v>
      </c>
      <c r="H664" s="39" t="n">
        <v>51.4</v>
      </c>
      <c r="I664" s="40">
        <f>ROUNDUP(MAX(G664,H664),0)</f>
        <v/>
      </c>
      <c r="J664" s="41">
        <f>IF(C664="COVERED",'Methodology'!$B$9,'Methodology'!$B$10)</f>
        <v/>
      </c>
      <c r="K664" s="41">
        <f>I664*J664</f>
        <v/>
      </c>
      <c r="L664" s="41">
        <f>SUMIFS('Billing Aug'!$J$2:$J$770,'Billing Aug'!$D$2:$D$770,A664)</f>
        <v/>
      </c>
      <c r="M664" s="41">
        <f>L664-K664</f>
        <v/>
      </c>
      <c r="N664" s="37">
        <f>COUNTIF('Billing Aug'!$D$2:$D$770,A664)</f>
        <v/>
      </c>
      <c r="O664" s="37">
        <f>SUMIFS('Billing Aug'!$F$2:$F$770,'Billing Aug'!$D$2:$D$770,A664)</f>
        <v/>
      </c>
      <c r="P664" s="41">
        <f>IF(N664=0,0,L664-SUMIFS('Billing Aug'!$H$2:$H$770,'Billing Aug'!$D$2:$D$770,A664)*SUMIFS('Billing Aug'!$I$2:$I$770,'Billing Aug'!$D$2:$D$770,A664))</f>
        <v/>
      </c>
      <c r="Q664" s="37">
        <f>IF(N664=0,"NO AUG TRANSACTION IN SUPPLIED EXTRACT",IF(ABS(P664)&gt;0.004,"SUBLEDGER ARITHMETIC ERROR",IF(ABS(M664)&gt;0.004,"BILLING VARIANCE","MATCH")))</f>
        <v/>
      </c>
    </row>
    <row r="665">
      <c r="A665" s="37" t="inlineStr">
        <is>
          <t>EW-0921</t>
        </is>
      </c>
      <c r="B665" s="37" t="inlineStr">
        <is>
          <t>Eastwey</t>
        </is>
      </c>
      <c r="C665" s="37" t="inlineStr">
        <is>
          <t>OPEN</t>
        </is>
      </c>
      <c r="D665" s="37" t="inlineStr">
        <is>
          <t>OCCUPIED</t>
        </is>
      </c>
      <c r="E665" s="37" t="inlineStr">
        <is>
          <t>WL-01499</t>
        </is>
      </c>
      <c r="F665" s="37" t="inlineStr">
        <is>
          <t>Jessica Miller</t>
        </is>
      </c>
      <c r="G665" s="37" t="n">
        <v>32</v>
      </c>
      <c r="H665" s="39" t="n">
        <v>61.9</v>
      </c>
      <c r="I665" s="40">
        <f>ROUNDUP(MAX(G665,H665),0)</f>
        <v/>
      </c>
      <c r="J665" s="41">
        <f>IF(C665="COVERED",'Methodology'!$B$9,'Methodology'!$B$10)</f>
        <v/>
      </c>
      <c r="K665" s="41">
        <f>I665*J665</f>
        <v/>
      </c>
      <c r="L665" s="41">
        <f>SUMIFS('Billing Aug'!$J$2:$J$770,'Billing Aug'!$D$2:$D$770,A665)</f>
        <v/>
      </c>
      <c r="M665" s="41">
        <f>L665-K665</f>
        <v/>
      </c>
      <c r="N665" s="37">
        <f>COUNTIF('Billing Aug'!$D$2:$D$770,A665)</f>
        <v/>
      </c>
      <c r="O665" s="37">
        <f>SUMIFS('Billing Aug'!$F$2:$F$770,'Billing Aug'!$D$2:$D$770,A665)</f>
        <v/>
      </c>
      <c r="P665" s="41">
        <f>IF(N665=0,0,L665-SUMIFS('Billing Aug'!$H$2:$H$770,'Billing Aug'!$D$2:$D$770,A665)*SUMIFS('Billing Aug'!$I$2:$I$770,'Billing Aug'!$D$2:$D$770,A665))</f>
        <v/>
      </c>
      <c r="Q665" s="37">
        <f>IF(N665=0,"NO AUG TRANSACTION IN SUPPLIED EXTRACT",IF(ABS(P665)&gt;0.004,"SUBLEDGER ARITHMETIC ERROR",IF(ABS(M665)&gt;0.004,"BILLING VARIANCE","MATCH")))</f>
        <v/>
      </c>
    </row>
    <row r="666">
      <c r="A666" s="37" t="inlineStr">
        <is>
          <t>EW-0922</t>
        </is>
      </c>
      <c r="B666" s="37" t="inlineStr">
        <is>
          <t>Eastwey</t>
        </is>
      </c>
      <c r="C666" s="37" t="inlineStr">
        <is>
          <t>OPEN</t>
        </is>
      </c>
      <c r="D666" s="37" t="inlineStr">
        <is>
          <t>OCCUPIED</t>
        </is>
      </c>
      <c r="E666" s="37" t="inlineStr">
        <is>
          <t>WL-03568</t>
        </is>
      </c>
      <c r="F666" s="37" t="inlineStr">
        <is>
          <t>Ricardo Jensen</t>
        </is>
      </c>
      <c r="G666" s="37" t="n">
        <v>28</v>
      </c>
      <c r="H666" s="39" t="n">
        <v>26.2</v>
      </c>
      <c r="I666" s="40">
        <f>ROUNDUP(MAX(G666,H666),0)</f>
        <v/>
      </c>
      <c r="J666" s="41">
        <f>IF(C666="COVERED",'Methodology'!$B$9,'Methodology'!$B$10)</f>
        <v/>
      </c>
      <c r="K666" s="41">
        <f>I666*J666</f>
        <v/>
      </c>
      <c r="L666" s="41">
        <f>SUMIFS('Billing Aug'!$J$2:$J$770,'Billing Aug'!$D$2:$D$770,A666)</f>
        <v/>
      </c>
      <c r="M666" s="41">
        <f>L666-K666</f>
        <v/>
      </c>
      <c r="N666" s="37">
        <f>COUNTIF('Billing Aug'!$D$2:$D$770,A666)</f>
        <v/>
      </c>
      <c r="O666" s="37">
        <f>SUMIFS('Billing Aug'!$F$2:$F$770,'Billing Aug'!$D$2:$D$770,A666)</f>
        <v/>
      </c>
      <c r="P666" s="41">
        <f>IF(N666=0,0,L666-SUMIFS('Billing Aug'!$H$2:$H$770,'Billing Aug'!$D$2:$D$770,A666)*SUMIFS('Billing Aug'!$I$2:$I$770,'Billing Aug'!$D$2:$D$770,A666))</f>
        <v/>
      </c>
      <c r="Q666" s="37">
        <f>IF(N666=0,"NO AUG TRANSACTION IN SUPPLIED EXTRACT",IF(ABS(P666)&gt;0.004,"SUBLEDGER ARITHMETIC ERROR",IF(ABS(M666)&gt;0.004,"BILLING VARIANCE","MATCH")))</f>
        <v/>
      </c>
    </row>
    <row r="667">
      <c r="A667" s="37" t="inlineStr">
        <is>
          <t>EW-0923</t>
        </is>
      </c>
      <c r="B667" s="37" t="inlineStr">
        <is>
          <t>Eastwey</t>
        </is>
      </c>
      <c r="C667" s="37" t="inlineStr">
        <is>
          <t>OPEN</t>
        </is>
      </c>
      <c r="D667" s="37" t="inlineStr">
        <is>
          <t>OCCUPIED</t>
        </is>
      </c>
      <c r="E667" s="37" t="inlineStr">
        <is>
          <t>WL-03351</t>
        </is>
      </c>
      <c r="F667" s="37" t="inlineStr">
        <is>
          <t>Justin Mejia</t>
        </is>
      </c>
      <c r="G667" s="37" t="n">
        <v>32</v>
      </c>
      <c r="H667" s="39" t="n">
        <v>40.6</v>
      </c>
      <c r="I667" s="40">
        <f>ROUNDUP(MAX(G667,H667),0)</f>
        <v/>
      </c>
      <c r="J667" s="41">
        <f>IF(C667="COVERED",'Methodology'!$B$9,'Methodology'!$B$10)</f>
        <v/>
      </c>
      <c r="K667" s="41">
        <f>I667*J667</f>
        <v/>
      </c>
      <c r="L667" s="41">
        <f>SUMIFS('Billing Aug'!$J$2:$J$770,'Billing Aug'!$D$2:$D$770,A667)</f>
        <v/>
      </c>
      <c r="M667" s="41">
        <f>L667-K667</f>
        <v/>
      </c>
      <c r="N667" s="37">
        <f>COUNTIF('Billing Aug'!$D$2:$D$770,A667)</f>
        <v/>
      </c>
      <c r="O667" s="37">
        <f>SUMIFS('Billing Aug'!$F$2:$F$770,'Billing Aug'!$D$2:$D$770,A667)</f>
        <v/>
      </c>
      <c r="P667" s="41">
        <f>IF(N667=0,0,L667-SUMIFS('Billing Aug'!$H$2:$H$770,'Billing Aug'!$D$2:$D$770,A667)*SUMIFS('Billing Aug'!$I$2:$I$770,'Billing Aug'!$D$2:$D$770,A667))</f>
        <v/>
      </c>
      <c r="Q667" s="37">
        <f>IF(N667=0,"NO AUG TRANSACTION IN SUPPLIED EXTRACT",IF(ABS(P667)&gt;0.004,"SUBLEDGER ARITHMETIC ERROR",IF(ABS(M667)&gt;0.004,"BILLING VARIANCE","MATCH")))</f>
        <v/>
      </c>
    </row>
    <row r="668">
      <c r="A668" s="37" t="inlineStr">
        <is>
          <t>EW-1001</t>
        </is>
      </c>
      <c r="B668" s="37" t="inlineStr">
        <is>
          <t>Eastwey</t>
        </is>
      </c>
      <c r="C668" s="37" t="inlineStr">
        <is>
          <t>OPEN</t>
        </is>
      </c>
      <c r="D668" s="37" t="inlineStr">
        <is>
          <t>OCCUPIED</t>
        </is>
      </c>
      <c r="E668" s="37" t="inlineStr">
        <is>
          <t>WL-03821</t>
        </is>
      </c>
      <c r="F668" s="37" t="inlineStr">
        <is>
          <t>Tammy Dalton</t>
        </is>
      </c>
      <c r="G668" s="37" t="n">
        <v>45</v>
      </c>
      <c r="H668" s="39" t="n">
        <v>59.5</v>
      </c>
      <c r="I668" s="40">
        <f>ROUNDUP(MAX(G668,H668),0)</f>
        <v/>
      </c>
      <c r="J668" s="41">
        <f>IF(C668="COVERED",'Methodology'!$B$9,'Methodology'!$B$10)</f>
        <v/>
      </c>
      <c r="K668" s="41">
        <f>I668*J668</f>
        <v/>
      </c>
      <c r="L668" s="41">
        <f>SUMIFS('Billing Aug'!$J$2:$J$770,'Billing Aug'!$D$2:$D$770,A668)</f>
        <v/>
      </c>
      <c r="M668" s="41">
        <f>L668-K668</f>
        <v/>
      </c>
      <c r="N668" s="37">
        <f>COUNTIF('Billing Aug'!$D$2:$D$770,A668)</f>
        <v/>
      </c>
      <c r="O668" s="37">
        <f>SUMIFS('Billing Aug'!$F$2:$F$770,'Billing Aug'!$D$2:$D$770,A668)</f>
        <v/>
      </c>
      <c r="P668" s="41">
        <f>IF(N668=0,0,L668-SUMIFS('Billing Aug'!$H$2:$H$770,'Billing Aug'!$D$2:$D$770,A668)*SUMIFS('Billing Aug'!$I$2:$I$770,'Billing Aug'!$D$2:$D$770,A668))</f>
        <v/>
      </c>
      <c r="Q668" s="37">
        <f>IF(N668=0,"NO AUG TRANSACTION IN SUPPLIED EXTRACT",IF(ABS(P668)&gt;0.004,"SUBLEDGER ARITHMETIC ERROR",IF(ABS(M668)&gt;0.004,"BILLING VARIANCE","MATCH")))</f>
        <v/>
      </c>
    </row>
    <row r="669">
      <c r="A669" s="37" t="inlineStr">
        <is>
          <t>EW-1002</t>
        </is>
      </c>
      <c r="B669" s="37" t="inlineStr">
        <is>
          <t>Eastwey</t>
        </is>
      </c>
      <c r="C669" s="37" t="inlineStr">
        <is>
          <t>OPEN</t>
        </is>
      </c>
      <c r="D669" s="37" t="inlineStr">
        <is>
          <t>OCCUPIED</t>
        </is>
      </c>
      <c r="E669" s="37" t="inlineStr">
        <is>
          <t>WL-02120</t>
        </is>
      </c>
      <c r="F669" s="37" t="inlineStr">
        <is>
          <t>Jerry Reyes</t>
        </is>
      </c>
      <c r="G669" s="37" t="n">
        <v>28</v>
      </c>
      <c r="H669" s="39" t="n">
        <v>26.7</v>
      </c>
      <c r="I669" s="40">
        <f>ROUNDUP(MAX(G669,H669),0)</f>
        <v/>
      </c>
      <c r="J669" s="41">
        <f>IF(C669="COVERED",'Methodology'!$B$9,'Methodology'!$B$10)</f>
        <v/>
      </c>
      <c r="K669" s="41">
        <f>I669*J669</f>
        <v/>
      </c>
      <c r="L669" s="41">
        <f>SUMIFS('Billing Aug'!$J$2:$J$770,'Billing Aug'!$D$2:$D$770,A669)</f>
        <v/>
      </c>
      <c r="M669" s="41">
        <f>L669-K669</f>
        <v/>
      </c>
      <c r="N669" s="37">
        <f>COUNTIF('Billing Aug'!$D$2:$D$770,A669)</f>
        <v/>
      </c>
      <c r="O669" s="37">
        <f>SUMIFS('Billing Aug'!$F$2:$F$770,'Billing Aug'!$D$2:$D$770,A669)</f>
        <v/>
      </c>
      <c r="P669" s="41">
        <f>IF(N669=0,0,L669-SUMIFS('Billing Aug'!$H$2:$H$770,'Billing Aug'!$D$2:$D$770,A669)*SUMIFS('Billing Aug'!$I$2:$I$770,'Billing Aug'!$D$2:$D$770,A669))</f>
        <v/>
      </c>
      <c r="Q669" s="37">
        <f>IF(N669=0,"NO AUG TRANSACTION IN SUPPLIED EXTRACT",IF(ABS(P669)&gt;0.004,"SUBLEDGER ARITHMETIC ERROR",IF(ABS(M669)&gt;0.004,"BILLING VARIANCE","MATCH")))</f>
        <v/>
      </c>
    </row>
    <row r="670">
      <c r="A670" s="37" t="inlineStr">
        <is>
          <t>EW-1003</t>
        </is>
      </c>
      <c r="B670" s="37" t="inlineStr">
        <is>
          <t>Eastwey</t>
        </is>
      </c>
      <c r="C670" s="37" t="inlineStr">
        <is>
          <t>OPEN</t>
        </is>
      </c>
      <c r="D670" s="37" t="inlineStr">
        <is>
          <t>OCCUPIED</t>
        </is>
      </c>
      <c r="E670" s="37" t="inlineStr">
        <is>
          <t>WL-01595</t>
        </is>
      </c>
      <c r="F670" s="37" t="inlineStr">
        <is>
          <t>Anthony Kemp</t>
        </is>
      </c>
      <c r="G670" s="37" t="n">
        <v>40</v>
      </c>
      <c r="H670" s="39" t="n">
        <v>34.4</v>
      </c>
      <c r="I670" s="40">
        <f>ROUNDUP(MAX(G670,H670),0)</f>
        <v/>
      </c>
      <c r="J670" s="41">
        <f>IF(C670="COVERED",'Methodology'!$B$9,'Methodology'!$B$10)</f>
        <v/>
      </c>
      <c r="K670" s="41">
        <f>I670*J670</f>
        <v/>
      </c>
      <c r="L670" s="41">
        <f>SUMIFS('Billing Aug'!$J$2:$J$770,'Billing Aug'!$D$2:$D$770,A670)</f>
        <v/>
      </c>
      <c r="M670" s="41">
        <f>L670-K670</f>
        <v/>
      </c>
      <c r="N670" s="37">
        <f>COUNTIF('Billing Aug'!$D$2:$D$770,A670)</f>
        <v/>
      </c>
      <c r="O670" s="37">
        <f>SUMIFS('Billing Aug'!$F$2:$F$770,'Billing Aug'!$D$2:$D$770,A670)</f>
        <v/>
      </c>
      <c r="P670" s="41">
        <f>IF(N670=0,0,L670-SUMIFS('Billing Aug'!$H$2:$H$770,'Billing Aug'!$D$2:$D$770,A670)*SUMIFS('Billing Aug'!$I$2:$I$770,'Billing Aug'!$D$2:$D$770,A670))</f>
        <v/>
      </c>
      <c r="Q670" s="37">
        <f>IF(N670=0,"NO AUG TRANSACTION IN SUPPLIED EXTRACT",IF(ABS(P670)&gt;0.004,"SUBLEDGER ARITHMETIC ERROR",IF(ABS(M670)&gt;0.004,"BILLING VARIANCE","MATCH")))</f>
        <v/>
      </c>
    </row>
    <row r="671">
      <c r="A671" s="37" t="inlineStr">
        <is>
          <t>EW-1005</t>
        </is>
      </c>
      <c r="B671" s="37" t="inlineStr">
        <is>
          <t>Eastwey</t>
        </is>
      </c>
      <c r="C671" s="37" t="inlineStr">
        <is>
          <t>OPEN</t>
        </is>
      </c>
      <c r="D671" s="37" t="inlineStr">
        <is>
          <t>OCCUPIED</t>
        </is>
      </c>
      <c r="E671" s="37" t="inlineStr">
        <is>
          <t>WL-01010</t>
        </is>
      </c>
      <c r="F671" s="37" t="inlineStr">
        <is>
          <t>Steven Hanson</t>
        </is>
      </c>
      <c r="G671" s="37" t="n">
        <v>32</v>
      </c>
      <c r="H671" s="39" t="n">
        <v>26.5</v>
      </c>
      <c r="I671" s="40">
        <f>ROUNDUP(MAX(G671,H671),0)</f>
        <v/>
      </c>
      <c r="J671" s="41">
        <f>IF(C671="COVERED",'Methodology'!$B$9,'Methodology'!$B$10)</f>
        <v/>
      </c>
      <c r="K671" s="41">
        <f>I671*J671</f>
        <v/>
      </c>
      <c r="L671" s="41">
        <f>SUMIFS('Billing Aug'!$J$2:$J$770,'Billing Aug'!$D$2:$D$770,A671)</f>
        <v/>
      </c>
      <c r="M671" s="41">
        <f>L671-K671</f>
        <v/>
      </c>
      <c r="N671" s="37">
        <f>COUNTIF('Billing Aug'!$D$2:$D$770,A671)</f>
        <v/>
      </c>
      <c r="O671" s="37">
        <f>SUMIFS('Billing Aug'!$F$2:$F$770,'Billing Aug'!$D$2:$D$770,A671)</f>
        <v/>
      </c>
      <c r="P671" s="41">
        <f>IF(N671=0,0,L671-SUMIFS('Billing Aug'!$H$2:$H$770,'Billing Aug'!$D$2:$D$770,A671)*SUMIFS('Billing Aug'!$I$2:$I$770,'Billing Aug'!$D$2:$D$770,A671))</f>
        <v/>
      </c>
      <c r="Q671" s="37">
        <f>IF(N671=0,"NO AUG TRANSACTION IN SUPPLIED EXTRACT",IF(ABS(P671)&gt;0.004,"SUBLEDGER ARITHMETIC ERROR",IF(ABS(M671)&gt;0.004,"BILLING VARIANCE","MATCH")))</f>
        <v/>
      </c>
    </row>
    <row r="672">
      <c r="A672" s="37" t="inlineStr">
        <is>
          <t>EW-1007</t>
        </is>
      </c>
      <c r="B672" s="37" t="inlineStr">
        <is>
          <t>Eastwey</t>
        </is>
      </c>
      <c r="C672" s="37" t="inlineStr">
        <is>
          <t>OPEN</t>
        </is>
      </c>
      <c r="D672" s="37" t="inlineStr">
        <is>
          <t>OCCUPIED</t>
        </is>
      </c>
      <c r="E672" s="37" t="inlineStr">
        <is>
          <t>WL-02438</t>
        </is>
      </c>
      <c r="F672" s="37" t="inlineStr">
        <is>
          <t>Sharon Phillips</t>
        </is>
      </c>
      <c r="G672" s="37" t="n">
        <v>32</v>
      </c>
      <c r="H672" s="39" t="n">
        <v>53.6</v>
      </c>
      <c r="I672" s="40">
        <f>ROUNDUP(MAX(G672,H672),0)</f>
        <v/>
      </c>
      <c r="J672" s="41">
        <f>IF(C672="COVERED",'Methodology'!$B$9,'Methodology'!$B$10)</f>
        <v/>
      </c>
      <c r="K672" s="41">
        <f>I672*J672</f>
        <v/>
      </c>
      <c r="L672" s="41">
        <f>SUMIFS('Billing Aug'!$J$2:$J$770,'Billing Aug'!$D$2:$D$770,A672)</f>
        <v/>
      </c>
      <c r="M672" s="41">
        <f>L672-K672</f>
        <v/>
      </c>
      <c r="N672" s="37">
        <f>COUNTIF('Billing Aug'!$D$2:$D$770,A672)</f>
        <v/>
      </c>
      <c r="O672" s="37">
        <f>SUMIFS('Billing Aug'!$F$2:$F$770,'Billing Aug'!$D$2:$D$770,A672)</f>
        <v/>
      </c>
      <c r="P672" s="41">
        <f>IF(N672=0,0,L672-SUMIFS('Billing Aug'!$H$2:$H$770,'Billing Aug'!$D$2:$D$770,A672)*SUMIFS('Billing Aug'!$I$2:$I$770,'Billing Aug'!$D$2:$D$770,A672))</f>
        <v/>
      </c>
      <c r="Q672" s="37">
        <f>IF(N672=0,"NO AUG TRANSACTION IN SUPPLIED EXTRACT",IF(ABS(P672)&gt;0.004,"SUBLEDGER ARITHMETIC ERROR",IF(ABS(M672)&gt;0.004,"BILLING VARIANCE","MATCH")))</f>
        <v/>
      </c>
    </row>
    <row r="673">
      <c r="A673" s="37" t="inlineStr">
        <is>
          <t>EW-1008</t>
        </is>
      </c>
      <c r="B673" s="37" t="inlineStr">
        <is>
          <t>Eastwey</t>
        </is>
      </c>
      <c r="C673" s="37" t="inlineStr">
        <is>
          <t>OPEN</t>
        </is>
      </c>
      <c r="D673" s="37" t="inlineStr">
        <is>
          <t>OCCUPIED</t>
        </is>
      </c>
      <c r="E673" s="37" t="inlineStr">
        <is>
          <t>WL-02219</t>
        </is>
      </c>
      <c r="F673" s="37" t="inlineStr">
        <is>
          <t>Grant Cameron</t>
        </is>
      </c>
      <c r="G673" s="37" t="n">
        <v>50</v>
      </c>
      <c r="H673" s="39" t="n">
        <v>19.8</v>
      </c>
      <c r="I673" s="40">
        <f>ROUNDUP(MAX(G673,H673),0)</f>
        <v/>
      </c>
      <c r="J673" s="41">
        <f>IF(C673="COVERED",'Methodology'!$B$9,'Methodology'!$B$10)</f>
        <v/>
      </c>
      <c r="K673" s="41">
        <f>I673*J673</f>
        <v/>
      </c>
      <c r="L673" s="41">
        <f>SUMIFS('Billing Aug'!$J$2:$J$770,'Billing Aug'!$D$2:$D$770,A673)</f>
        <v/>
      </c>
      <c r="M673" s="41">
        <f>L673-K673</f>
        <v/>
      </c>
      <c r="N673" s="37">
        <f>COUNTIF('Billing Aug'!$D$2:$D$770,A673)</f>
        <v/>
      </c>
      <c r="O673" s="37">
        <f>SUMIFS('Billing Aug'!$F$2:$F$770,'Billing Aug'!$D$2:$D$770,A673)</f>
        <v/>
      </c>
      <c r="P673" s="41">
        <f>IF(N673=0,0,L673-SUMIFS('Billing Aug'!$H$2:$H$770,'Billing Aug'!$D$2:$D$770,A673)*SUMIFS('Billing Aug'!$I$2:$I$770,'Billing Aug'!$D$2:$D$770,A673))</f>
        <v/>
      </c>
      <c r="Q673" s="37">
        <f>IF(N673=0,"NO AUG TRANSACTION IN SUPPLIED EXTRACT",IF(ABS(P673)&gt;0.004,"SUBLEDGER ARITHMETIC ERROR",IF(ABS(M673)&gt;0.004,"BILLING VARIANCE","MATCH")))</f>
        <v/>
      </c>
    </row>
    <row r="674">
      <c r="A674" s="37" t="inlineStr">
        <is>
          <t>EW-1010</t>
        </is>
      </c>
      <c r="B674" s="37" t="inlineStr">
        <is>
          <t>Eastwey</t>
        </is>
      </c>
      <c r="C674" s="37" t="inlineStr">
        <is>
          <t>OPEN</t>
        </is>
      </c>
      <c r="D674" s="37" t="inlineStr">
        <is>
          <t>OCCUPIED</t>
        </is>
      </c>
      <c r="E674" s="37" t="inlineStr">
        <is>
          <t>WL-02063</t>
        </is>
      </c>
      <c r="F674" s="37" t="inlineStr">
        <is>
          <t>Spencer Thompson</t>
        </is>
      </c>
      <c r="G674" s="37" t="n">
        <v>32</v>
      </c>
      <c r="H674" s="39" t="n">
        <v>44.2</v>
      </c>
      <c r="I674" s="40">
        <f>ROUNDUP(MAX(G674,H674),0)</f>
        <v/>
      </c>
      <c r="J674" s="41">
        <f>IF(C674="COVERED",'Methodology'!$B$9,'Methodology'!$B$10)</f>
        <v/>
      </c>
      <c r="K674" s="41">
        <f>I674*J674</f>
        <v/>
      </c>
      <c r="L674" s="41">
        <f>SUMIFS('Billing Aug'!$J$2:$J$770,'Billing Aug'!$D$2:$D$770,A674)</f>
        <v/>
      </c>
      <c r="M674" s="41">
        <f>L674-K674</f>
        <v/>
      </c>
      <c r="N674" s="37">
        <f>COUNTIF('Billing Aug'!$D$2:$D$770,A674)</f>
        <v/>
      </c>
      <c r="O674" s="37">
        <f>SUMIFS('Billing Aug'!$F$2:$F$770,'Billing Aug'!$D$2:$D$770,A674)</f>
        <v/>
      </c>
      <c r="P674" s="41">
        <f>IF(N674=0,0,L674-SUMIFS('Billing Aug'!$H$2:$H$770,'Billing Aug'!$D$2:$D$770,A674)*SUMIFS('Billing Aug'!$I$2:$I$770,'Billing Aug'!$D$2:$D$770,A674))</f>
        <v/>
      </c>
      <c r="Q674" s="37">
        <f>IF(N674=0,"NO AUG TRANSACTION IN SUPPLIED EXTRACT",IF(ABS(P674)&gt;0.004,"SUBLEDGER ARITHMETIC ERROR",IF(ABS(M674)&gt;0.004,"BILLING VARIANCE","MATCH")))</f>
        <v/>
      </c>
    </row>
    <row r="675">
      <c r="A675" s="37" t="inlineStr">
        <is>
          <t>EW-1011</t>
        </is>
      </c>
      <c r="B675" s="37" t="inlineStr">
        <is>
          <t>Eastwey</t>
        </is>
      </c>
      <c r="C675" s="37" t="inlineStr">
        <is>
          <t>OPEN</t>
        </is>
      </c>
      <c r="D675" s="37" t="inlineStr">
        <is>
          <t>OCCUPIED</t>
        </is>
      </c>
      <c r="E675" s="37" t="inlineStr">
        <is>
          <t>WL-03465</t>
        </is>
      </c>
      <c r="F675" s="37" t="inlineStr">
        <is>
          <t>Eric Mays</t>
        </is>
      </c>
      <c r="G675" s="37" t="n">
        <v>32</v>
      </c>
      <c r="H675" s="39" t="n">
        <v>40.1</v>
      </c>
      <c r="I675" s="40">
        <f>ROUNDUP(MAX(G675,H675),0)</f>
        <v/>
      </c>
      <c r="J675" s="41">
        <f>IF(C675="COVERED",'Methodology'!$B$9,'Methodology'!$B$10)</f>
        <v/>
      </c>
      <c r="K675" s="41">
        <f>I675*J675</f>
        <v/>
      </c>
      <c r="L675" s="41">
        <f>SUMIFS('Billing Aug'!$J$2:$J$770,'Billing Aug'!$D$2:$D$770,A675)</f>
        <v/>
      </c>
      <c r="M675" s="41">
        <f>L675-K675</f>
        <v/>
      </c>
      <c r="N675" s="37">
        <f>COUNTIF('Billing Aug'!$D$2:$D$770,A675)</f>
        <v/>
      </c>
      <c r="O675" s="37">
        <f>SUMIFS('Billing Aug'!$F$2:$F$770,'Billing Aug'!$D$2:$D$770,A675)</f>
        <v/>
      </c>
      <c r="P675" s="41">
        <f>IF(N675=0,0,L675-SUMIFS('Billing Aug'!$H$2:$H$770,'Billing Aug'!$D$2:$D$770,A675)*SUMIFS('Billing Aug'!$I$2:$I$770,'Billing Aug'!$D$2:$D$770,A675))</f>
        <v/>
      </c>
      <c r="Q675" s="37">
        <f>IF(N675=0,"NO AUG TRANSACTION IN SUPPLIED EXTRACT",IF(ABS(P675)&gt;0.004,"SUBLEDGER ARITHMETIC ERROR",IF(ABS(M675)&gt;0.004,"BILLING VARIANCE","MATCH")))</f>
        <v/>
      </c>
    </row>
    <row r="676">
      <c r="A676" s="37" t="inlineStr">
        <is>
          <t>EW-1012</t>
        </is>
      </c>
      <c r="B676" s="37" t="inlineStr">
        <is>
          <t>Eastwey</t>
        </is>
      </c>
      <c r="C676" s="37" t="inlineStr">
        <is>
          <t>OPEN</t>
        </is>
      </c>
      <c r="D676" s="37" t="inlineStr">
        <is>
          <t>OCCUPIED</t>
        </is>
      </c>
      <c r="E676" s="37" t="inlineStr">
        <is>
          <t>WL-02406</t>
        </is>
      </c>
      <c r="F676" s="37" t="inlineStr">
        <is>
          <t>Christopher Jackson</t>
        </is>
      </c>
      <c r="G676" s="37" t="n">
        <v>45</v>
      </c>
      <c r="H676" s="39" t="n">
        <v>53</v>
      </c>
      <c r="I676" s="40">
        <f>ROUNDUP(MAX(G676,H676),0)</f>
        <v/>
      </c>
      <c r="J676" s="41">
        <f>IF(C676="COVERED",'Methodology'!$B$9,'Methodology'!$B$10)</f>
        <v/>
      </c>
      <c r="K676" s="41">
        <f>I676*J676</f>
        <v/>
      </c>
      <c r="L676" s="41">
        <f>SUMIFS('Billing Aug'!$J$2:$J$770,'Billing Aug'!$D$2:$D$770,A676)</f>
        <v/>
      </c>
      <c r="M676" s="41">
        <f>L676-K676</f>
        <v/>
      </c>
      <c r="N676" s="37">
        <f>COUNTIF('Billing Aug'!$D$2:$D$770,A676)</f>
        <v/>
      </c>
      <c r="O676" s="37">
        <f>SUMIFS('Billing Aug'!$F$2:$F$770,'Billing Aug'!$D$2:$D$770,A676)</f>
        <v/>
      </c>
      <c r="P676" s="41">
        <f>IF(N676=0,0,L676-SUMIFS('Billing Aug'!$H$2:$H$770,'Billing Aug'!$D$2:$D$770,A676)*SUMIFS('Billing Aug'!$I$2:$I$770,'Billing Aug'!$D$2:$D$770,A676))</f>
        <v/>
      </c>
      <c r="Q676" s="37">
        <f>IF(N676=0,"NO AUG TRANSACTION IN SUPPLIED EXTRACT",IF(ABS(P676)&gt;0.004,"SUBLEDGER ARITHMETIC ERROR",IF(ABS(M676)&gt;0.004,"BILLING VARIANCE","MATCH")))</f>
        <v/>
      </c>
    </row>
    <row r="677">
      <c r="A677" s="37" t="inlineStr">
        <is>
          <t>EW-1013</t>
        </is>
      </c>
      <c r="B677" s="37" t="inlineStr">
        <is>
          <t>Eastwey</t>
        </is>
      </c>
      <c r="C677" s="37" t="inlineStr">
        <is>
          <t>OPEN</t>
        </is>
      </c>
      <c r="D677" s="37" t="inlineStr">
        <is>
          <t>OCCUPIED</t>
        </is>
      </c>
      <c r="E677" s="37" t="inlineStr">
        <is>
          <t>WL-02008</t>
        </is>
      </c>
      <c r="F677" s="37" t="inlineStr">
        <is>
          <t>Karen Matthews</t>
        </is>
      </c>
      <c r="G677" s="37" t="n">
        <v>40</v>
      </c>
      <c r="H677" s="39" t="n">
        <v>21.2</v>
      </c>
      <c r="I677" s="40">
        <f>ROUNDUP(MAX(G677,H677),0)</f>
        <v/>
      </c>
      <c r="J677" s="41">
        <f>IF(C677="COVERED",'Methodology'!$B$9,'Methodology'!$B$10)</f>
        <v/>
      </c>
      <c r="K677" s="41">
        <f>I677*J677</f>
        <v/>
      </c>
      <c r="L677" s="41">
        <f>SUMIFS('Billing Aug'!$J$2:$J$770,'Billing Aug'!$D$2:$D$770,A677)</f>
        <v/>
      </c>
      <c r="M677" s="41">
        <f>L677-K677</f>
        <v/>
      </c>
      <c r="N677" s="37">
        <f>COUNTIF('Billing Aug'!$D$2:$D$770,A677)</f>
        <v/>
      </c>
      <c r="O677" s="37">
        <f>SUMIFS('Billing Aug'!$F$2:$F$770,'Billing Aug'!$D$2:$D$770,A677)</f>
        <v/>
      </c>
      <c r="P677" s="41">
        <f>IF(N677=0,0,L677-SUMIFS('Billing Aug'!$H$2:$H$770,'Billing Aug'!$D$2:$D$770,A677)*SUMIFS('Billing Aug'!$I$2:$I$770,'Billing Aug'!$D$2:$D$770,A677))</f>
        <v/>
      </c>
      <c r="Q677" s="37">
        <f>IF(N677=0,"NO AUG TRANSACTION IN SUPPLIED EXTRACT",IF(ABS(P677)&gt;0.004,"SUBLEDGER ARITHMETIC ERROR",IF(ABS(M677)&gt;0.004,"BILLING VARIANCE","MATCH")))</f>
        <v/>
      </c>
    </row>
    <row r="678">
      <c r="A678" s="37" t="inlineStr">
        <is>
          <t>EW-1014</t>
        </is>
      </c>
      <c r="B678" s="37" t="inlineStr">
        <is>
          <t>Eastwey</t>
        </is>
      </c>
      <c r="C678" s="37" t="inlineStr">
        <is>
          <t>OPEN</t>
        </is>
      </c>
      <c r="D678" s="37" t="inlineStr">
        <is>
          <t>OCCUPIED</t>
        </is>
      </c>
      <c r="E678" s="37" t="inlineStr">
        <is>
          <t>WL-02680</t>
        </is>
      </c>
      <c r="F678" s="37" t="inlineStr">
        <is>
          <t>Melanie Rivera</t>
        </is>
      </c>
      <c r="G678" s="37" t="n">
        <v>40</v>
      </c>
      <c r="H678" s="39" t="n">
        <v>34.4</v>
      </c>
      <c r="I678" s="40">
        <f>ROUNDUP(MAX(G678,H678),0)</f>
        <v/>
      </c>
      <c r="J678" s="41">
        <f>IF(C678="COVERED",'Methodology'!$B$9,'Methodology'!$B$10)</f>
        <v/>
      </c>
      <c r="K678" s="41">
        <f>I678*J678</f>
        <v/>
      </c>
      <c r="L678" s="41">
        <f>SUMIFS('Billing Aug'!$J$2:$J$770,'Billing Aug'!$D$2:$D$770,A678)</f>
        <v/>
      </c>
      <c r="M678" s="41">
        <f>L678-K678</f>
        <v/>
      </c>
      <c r="N678" s="37">
        <f>COUNTIF('Billing Aug'!$D$2:$D$770,A678)</f>
        <v/>
      </c>
      <c r="O678" s="37">
        <f>SUMIFS('Billing Aug'!$F$2:$F$770,'Billing Aug'!$D$2:$D$770,A678)</f>
        <v/>
      </c>
      <c r="P678" s="41">
        <f>IF(N678=0,0,L678-SUMIFS('Billing Aug'!$H$2:$H$770,'Billing Aug'!$D$2:$D$770,A678)*SUMIFS('Billing Aug'!$I$2:$I$770,'Billing Aug'!$D$2:$D$770,A678))</f>
        <v/>
      </c>
      <c r="Q678" s="37">
        <f>IF(N678=0,"NO AUG TRANSACTION IN SUPPLIED EXTRACT",IF(ABS(P678)&gt;0.004,"SUBLEDGER ARITHMETIC ERROR",IF(ABS(M678)&gt;0.004,"BILLING VARIANCE","MATCH")))</f>
        <v/>
      </c>
    </row>
    <row r="679">
      <c r="A679" s="37" t="inlineStr">
        <is>
          <t>EW-1015</t>
        </is>
      </c>
      <c r="B679" s="37" t="inlineStr">
        <is>
          <t>Eastwey</t>
        </is>
      </c>
      <c r="C679" s="37" t="inlineStr">
        <is>
          <t>OPEN</t>
        </is>
      </c>
      <c r="D679" s="37" t="inlineStr">
        <is>
          <t>OCCUPIED</t>
        </is>
      </c>
      <c r="E679" s="37" t="inlineStr">
        <is>
          <t>WL-03353</t>
        </is>
      </c>
      <c r="F679" s="37" t="inlineStr">
        <is>
          <t>Patricia Adkins</t>
        </is>
      </c>
      <c r="G679" s="37" t="n">
        <v>24</v>
      </c>
      <c r="H679" s="39" t="n">
        <v>20.7</v>
      </c>
      <c r="I679" s="40">
        <f>ROUNDUP(MAX(G679,H679),0)</f>
        <v/>
      </c>
      <c r="J679" s="41">
        <f>IF(C679="COVERED",'Methodology'!$B$9,'Methodology'!$B$10)</f>
        <v/>
      </c>
      <c r="K679" s="41">
        <f>I679*J679</f>
        <v/>
      </c>
      <c r="L679" s="41">
        <f>SUMIFS('Billing Aug'!$J$2:$J$770,'Billing Aug'!$D$2:$D$770,A679)</f>
        <v/>
      </c>
      <c r="M679" s="41">
        <f>L679-K679</f>
        <v/>
      </c>
      <c r="N679" s="37">
        <f>COUNTIF('Billing Aug'!$D$2:$D$770,A679)</f>
        <v/>
      </c>
      <c r="O679" s="37">
        <f>SUMIFS('Billing Aug'!$F$2:$F$770,'Billing Aug'!$D$2:$D$770,A679)</f>
        <v/>
      </c>
      <c r="P679" s="41">
        <f>IF(N679=0,0,L679-SUMIFS('Billing Aug'!$H$2:$H$770,'Billing Aug'!$D$2:$D$770,A679)*SUMIFS('Billing Aug'!$I$2:$I$770,'Billing Aug'!$D$2:$D$770,A679))</f>
        <v/>
      </c>
      <c r="Q679" s="37">
        <f>IF(N679=0,"NO AUG TRANSACTION IN SUPPLIED EXTRACT",IF(ABS(P679)&gt;0.004,"SUBLEDGER ARITHMETIC ERROR",IF(ABS(M679)&gt;0.004,"BILLING VARIANCE","MATCH")))</f>
        <v/>
      </c>
    </row>
    <row r="680">
      <c r="A680" s="37" t="inlineStr">
        <is>
          <t>EW-1016</t>
        </is>
      </c>
      <c r="B680" s="37" t="inlineStr">
        <is>
          <t>Eastwey</t>
        </is>
      </c>
      <c r="C680" s="37" t="inlineStr">
        <is>
          <t>OPEN</t>
        </is>
      </c>
      <c r="D680" s="37" t="inlineStr">
        <is>
          <t>OCCUPIED</t>
        </is>
      </c>
      <c r="E680" s="37" t="inlineStr">
        <is>
          <t>WL-01746</t>
        </is>
      </c>
      <c r="F680" s="37" t="inlineStr">
        <is>
          <t>Elizabeth Ward</t>
        </is>
      </c>
      <c r="G680" s="37" t="n">
        <v>28</v>
      </c>
      <c r="H680" s="39" t="n">
        <v>55.1</v>
      </c>
      <c r="I680" s="40">
        <f>ROUNDUP(MAX(G680,H680),0)</f>
        <v/>
      </c>
      <c r="J680" s="41">
        <f>IF(C680="COVERED",'Methodology'!$B$9,'Methodology'!$B$10)</f>
        <v/>
      </c>
      <c r="K680" s="41">
        <f>I680*J680</f>
        <v/>
      </c>
      <c r="L680" s="41">
        <f>SUMIFS('Billing Aug'!$J$2:$J$770,'Billing Aug'!$D$2:$D$770,A680)</f>
        <v/>
      </c>
      <c r="M680" s="41">
        <f>L680-K680</f>
        <v/>
      </c>
      <c r="N680" s="37">
        <f>COUNTIF('Billing Aug'!$D$2:$D$770,A680)</f>
        <v/>
      </c>
      <c r="O680" s="37">
        <f>SUMIFS('Billing Aug'!$F$2:$F$770,'Billing Aug'!$D$2:$D$770,A680)</f>
        <v/>
      </c>
      <c r="P680" s="41">
        <f>IF(N680=0,0,L680-SUMIFS('Billing Aug'!$H$2:$H$770,'Billing Aug'!$D$2:$D$770,A680)*SUMIFS('Billing Aug'!$I$2:$I$770,'Billing Aug'!$D$2:$D$770,A680))</f>
        <v/>
      </c>
      <c r="Q680" s="37">
        <f>IF(N680=0,"NO AUG TRANSACTION IN SUPPLIED EXTRACT",IF(ABS(P680)&gt;0.004,"SUBLEDGER ARITHMETIC ERROR",IF(ABS(M680)&gt;0.004,"BILLING VARIANCE","MATCH")))</f>
        <v/>
      </c>
    </row>
    <row r="681">
      <c r="A681" s="37" t="inlineStr">
        <is>
          <t>EW-1017</t>
        </is>
      </c>
      <c r="B681" s="37" t="inlineStr">
        <is>
          <t>Eastwey</t>
        </is>
      </c>
      <c r="C681" s="37" t="inlineStr">
        <is>
          <t>OPEN</t>
        </is>
      </c>
      <c r="D681" s="37" t="inlineStr">
        <is>
          <t>OCCUPIED</t>
        </is>
      </c>
      <c r="E681" s="37" t="inlineStr">
        <is>
          <t>WL-02717</t>
        </is>
      </c>
      <c r="F681" s="37" t="inlineStr">
        <is>
          <t>Ryan Phillips</t>
        </is>
      </c>
      <c r="G681" s="37" t="n">
        <v>32</v>
      </c>
      <c r="H681" s="39" t="n">
        <v>61.8</v>
      </c>
      <c r="I681" s="40">
        <f>ROUNDUP(MAX(G681,H681),0)</f>
        <v/>
      </c>
      <c r="J681" s="41">
        <f>IF(C681="COVERED",'Methodology'!$B$9,'Methodology'!$B$10)</f>
        <v/>
      </c>
      <c r="K681" s="41">
        <f>I681*J681</f>
        <v/>
      </c>
      <c r="L681" s="41">
        <f>SUMIFS('Billing Aug'!$J$2:$J$770,'Billing Aug'!$D$2:$D$770,A681)</f>
        <v/>
      </c>
      <c r="M681" s="41">
        <f>L681-K681</f>
        <v/>
      </c>
      <c r="N681" s="37">
        <f>COUNTIF('Billing Aug'!$D$2:$D$770,A681)</f>
        <v/>
      </c>
      <c r="O681" s="37">
        <f>SUMIFS('Billing Aug'!$F$2:$F$770,'Billing Aug'!$D$2:$D$770,A681)</f>
        <v/>
      </c>
      <c r="P681" s="41">
        <f>IF(N681=0,0,L681-SUMIFS('Billing Aug'!$H$2:$H$770,'Billing Aug'!$D$2:$D$770,A681)*SUMIFS('Billing Aug'!$I$2:$I$770,'Billing Aug'!$D$2:$D$770,A681))</f>
        <v/>
      </c>
      <c r="Q681" s="37">
        <f>IF(N681=0,"NO AUG TRANSACTION IN SUPPLIED EXTRACT",IF(ABS(P681)&gt;0.004,"SUBLEDGER ARITHMETIC ERROR",IF(ABS(M681)&gt;0.004,"BILLING VARIANCE","MATCH")))</f>
        <v/>
      </c>
    </row>
    <row r="682">
      <c r="A682" s="37" t="inlineStr">
        <is>
          <t>EW-1018</t>
        </is>
      </c>
      <c r="B682" s="37" t="inlineStr">
        <is>
          <t>Eastwey</t>
        </is>
      </c>
      <c r="C682" s="37" t="inlineStr">
        <is>
          <t>OPEN</t>
        </is>
      </c>
      <c r="D682" s="37" t="inlineStr">
        <is>
          <t>OCCUPIED</t>
        </is>
      </c>
      <c r="E682" s="37" t="inlineStr">
        <is>
          <t>WL-01540</t>
        </is>
      </c>
      <c r="F682" s="37" t="inlineStr">
        <is>
          <t>Jonathan Baker</t>
        </is>
      </c>
      <c r="G682" s="37" t="n">
        <v>28</v>
      </c>
      <c r="H682" s="39" t="n">
        <v>60.8</v>
      </c>
      <c r="I682" s="40">
        <f>ROUNDUP(MAX(G682,H682),0)</f>
        <v/>
      </c>
      <c r="J682" s="41">
        <f>IF(C682="COVERED",'Methodology'!$B$9,'Methodology'!$B$10)</f>
        <v/>
      </c>
      <c r="K682" s="41">
        <f>I682*J682</f>
        <v/>
      </c>
      <c r="L682" s="41">
        <f>SUMIFS('Billing Aug'!$J$2:$J$770,'Billing Aug'!$D$2:$D$770,A682)</f>
        <v/>
      </c>
      <c r="M682" s="41">
        <f>L682-K682</f>
        <v/>
      </c>
      <c r="N682" s="37">
        <f>COUNTIF('Billing Aug'!$D$2:$D$770,A682)</f>
        <v/>
      </c>
      <c r="O682" s="37">
        <f>SUMIFS('Billing Aug'!$F$2:$F$770,'Billing Aug'!$D$2:$D$770,A682)</f>
        <v/>
      </c>
      <c r="P682" s="41">
        <f>IF(N682=0,0,L682-SUMIFS('Billing Aug'!$H$2:$H$770,'Billing Aug'!$D$2:$D$770,A682)*SUMIFS('Billing Aug'!$I$2:$I$770,'Billing Aug'!$D$2:$D$770,A682))</f>
        <v/>
      </c>
      <c r="Q682" s="37">
        <f>IF(N682=0,"NO AUG TRANSACTION IN SUPPLIED EXTRACT",IF(ABS(P682)&gt;0.004,"SUBLEDGER ARITHMETIC ERROR",IF(ABS(M682)&gt;0.004,"BILLING VARIANCE","MATCH")))</f>
        <v/>
      </c>
    </row>
    <row r="683">
      <c r="A683" s="37" t="inlineStr">
        <is>
          <t>EW-1019</t>
        </is>
      </c>
      <c r="B683" s="37" t="inlineStr">
        <is>
          <t>Eastwey</t>
        </is>
      </c>
      <c r="C683" s="37" t="inlineStr">
        <is>
          <t>OPEN</t>
        </is>
      </c>
      <c r="D683" s="37" t="inlineStr">
        <is>
          <t>OCCUPIED</t>
        </is>
      </c>
      <c r="E683" s="37" t="inlineStr">
        <is>
          <t>WL-03583</t>
        </is>
      </c>
      <c r="F683" s="37" t="inlineStr">
        <is>
          <t>Walter Martin</t>
        </is>
      </c>
      <c r="G683" s="37" t="n">
        <v>45</v>
      </c>
      <c r="H683" s="39" t="n">
        <v>50.6</v>
      </c>
      <c r="I683" s="40">
        <f>ROUNDUP(MAX(G683,H683),0)</f>
        <v/>
      </c>
      <c r="J683" s="41">
        <f>IF(C683="COVERED",'Methodology'!$B$9,'Methodology'!$B$10)</f>
        <v/>
      </c>
      <c r="K683" s="41">
        <f>I683*J683</f>
        <v/>
      </c>
      <c r="L683" s="41">
        <f>SUMIFS('Billing Aug'!$J$2:$J$770,'Billing Aug'!$D$2:$D$770,A683)</f>
        <v/>
      </c>
      <c r="M683" s="41">
        <f>L683-K683</f>
        <v/>
      </c>
      <c r="N683" s="37">
        <f>COUNTIF('Billing Aug'!$D$2:$D$770,A683)</f>
        <v/>
      </c>
      <c r="O683" s="37">
        <f>SUMIFS('Billing Aug'!$F$2:$F$770,'Billing Aug'!$D$2:$D$770,A683)</f>
        <v/>
      </c>
      <c r="P683" s="41">
        <f>IF(N683=0,0,L683-SUMIFS('Billing Aug'!$H$2:$H$770,'Billing Aug'!$D$2:$D$770,A683)*SUMIFS('Billing Aug'!$I$2:$I$770,'Billing Aug'!$D$2:$D$770,A683))</f>
        <v/>
      </c>
      <c r="Q683" s="37">
        <f>IF(N683=0,"NO AUG TRANSACTION IN SUPPLIED EXTRACT",IF(ABS(P683)&gt;0.004,"SUBLEDGER ARITHMETIC ERROR",IF(ABS(M683)&gt;0.004,"BILLING VARIANCE","MATCH")))</f>
        <v/>
      </c>
    </row>
    <row r="684">
      <c r="A684" s="37" t="inlineStr">
        <is>
          <t>EW-1021</t>
        </is>
      </c>
      <c r="B684" s="37" t="inlineStr">
        <is>
          <t>Eastwey</t>
        </is>
      </c>
      <c r="C684" s="37" t="inlineStr">
        <is>
          <t>OPEN</t>
        </is>
      </c>
      <c r="D684" s="37" t="inlineStr">
        <is>
          <t>OCCUPIED</t>
        </is>
      </c>
      <c r="E684" s="37" t="inlineStr">
        <is>
          <t>WL-03888</t>
        </is>
      </c>
      <c r="F684" s="37" t="inlineStr">
        <is>
          <t>Christian Garcia</t>
        </is>
      </c>
      <c r="G684" s="37" t="n">
        <v>70</v>
      </c>
      <c r="H684" s="39" t="n">
        <v>57.5</v>
      </c>
      <c r="I684" s="40">
        <f>ROUNDUP(MAX(G684,H684),0)</f>
        <v/>
      </c>
      <c r="J684" s="41">
        <f>IF(C684="COVERED",'Methodology'!$B$9,'Methodology'!$B$10)</f>
        <v/>
      </c>
      <c r="K684" s="41">
        <f>I684*J684</f>
        <v/>
      </c>
      <c r="L684" s="41">
        <f>SUMIFS('Billing Aug'!$J$2:$J$770,'Billing Aug'!$D$2:$D$770,A684)</f>
        <v/>
      </c>
      <c r="M684" s="41">
        <f>L684-K684</f>
        <v/>
      </c>
      <c r="N684" s="37">
        <f>COUNTIF('Billing Aug'!$D$2:$D$770,A684)</f>
        <v/>
      </c>
      <c r="O684" s="37">
        <f>SUMIFS('Billing Aug'!$F$2:$F$770,'Billing Aug'!$D$2:$D$770,A684)</f>
        <v/>
      </c>
      <c r="P684" s="41">
        <f>IF(N684=0,0,L684-SUMIFS('Billing Aug'!$H$2:$H$770,'Billing Aug'!$D$2:$D$770,A684)*SUMIFS('Billing Aug'!$I$2:$I$770,'Billing Aug'!$D$2:$D$770,A684))</f>
        <v/>
      </c>
      <c r="Q684" s="37">
        <f>IF(N684=0,"NO AUG TRANSACTION IN SUPPLIED EXTRACT",IF(ABS(P684)&gt;0.004,"SUBLEDGER ARITHMETIC ERROR",IF(ABS(M684)&gt;0.004,"BILLING VARIANCE","MATCH")))</f>
        <v/>
      </c>
    </row>
    <row r="685">
      <c r="A685" s="37" t="inlineStr">
        <is>
          <t>EW-1022</t>
        </is>
      </c>
      <c r="B685" s="37" t="inlineStr">
        <is>
          <t>Eastwey</t>
        </is>
      </c>
      <c r="C685" s="37" t="inlineStr">
        <is>
          <t>OPEN</t>
        </is>
      </c>
      <c r="D685" s="37" t="inlineStr">
        <is>
          <t>OCCUPIED</t>
        </is>
      </c>
      <c r="E685" s="37" t="inlineStr">
        <is>
          <t>WL-01788</t>
        </is>
      </c>
      <c r="F685" s="37" t="inlineStr">
        <is>
          <t>James Austin</t>
        </is>
      </c>
      <c r="G685" s="37" t="n">
        <v>32</v>
      </c>
      <c r="H685" s="39" t="n">
        <v>39</v>
      </c>
      <c r="I685" s="40">
        <f>ROUNDUP(MAX(G685,H685),0)</f>
        <v/>
      </c>
      <c r="J685" s="41">
        <f>IF(C685="COVERED",'Methodology'!$B$9,'Methodology'!$B$10)</f>
        <v/>
      </c>
      <c r="K685" s="41">
        <f>I685*J685</f>
        <v/>
      </c>
      <c r="L685" s="41">
        <f>SUMIFS('Billing Aug'!$J$2:$J$770,'Billing Aug'!$D$2:$D$770,A685)</f>
        <v/>
      </c>
      <c r="M685" s="41">
        <f>L685-K685</f>
        <v/>
      </c>
      <c r="N685" s="37">
        <f>COUNTIF('Billing Aug'!$D$2:$D$770,A685)</f>
        <v/>
      </c>
      <c r="O685" s="37">
        <f>SUMIFS('Billing Aug'!$F$2:$F$770,'Billing Aug'!$D$2:$D$770,A685)</f>
        <v/>
      </c>
      <c r="P685" s="41">
        <f>IF(N685=0,0,L685-SUMIFS('Billing Aug'!$H$2:$H$770,'Billing Aug'!$D$2:$D$770,A685)*SUMIFS('Billing Aug'!$I$2:$I$770,'Billing Aug'!$D$2:$D$770,A685))</f>
        <v/>
      </c>
      <c r="Q685" s="37">
        <f>IF(N685=0,"NO AUG TRANSACTION IN SUPPLIED EXTRACT",IF(ABS(P685)&gt;0.004,"SUBLEDGER ARITHMETIC ERROR",IF(ABS(M685)&gt;0.004,"BILLING VARIANCE","MATCH")))</f>
        <v/>
      </c>
    </row>
    <row r="686">
      <c r="A686" s="37" t="inlineStr">
        <is>
          <t>EW-1023</t>
        </is>
      </c>
      <c r="B686" s="37" t="inlineStr">
        <is>
          <t>Eastwey</t>
        </is>
      </c>
      <c r="C686" s="37" t="inlineStr">
        <is>
          <t>OPEN</t>
        </is>
      </c>
      <c r="D686" s="37" t="inlineStr">
        <is>
          <t>OCCUPIED</t>
        </is>
      </c>
      <c r="E686" s="37" t="inlineStr">
        <is>
          <t>WL-01824</t>
        </is>
      </c>
      <c r="F686" s="37" t="inlineStr">
        <is>
          <t>Robin Tucker</t>
        </is>
      </c>
      <c r="G686" s="37" t="n">
        <v>60</v>
      </c>
      <c r="H686" s="39" t="n">
        <v>26.5</v>
      </c>
      <c r="I686" s="40">
        <f>ROUNDUP(MAX(G686,H686),0)</f>
        <v/>
      </c>
      <c r="J686" s="41">
        <f>IF(C686="COVERED",'Methodology'!$B$9,'Methodology'!$B$10)</f>
        <v/>
      </c>
      <c r="K686" s="41">
        <f>I686*J686</f>
        <v/>
      </c>
      <c r="L686" s="41">
        <f>SUMIFS('Billing Aug'!$J$2:$J$770,'Billing Aug'!$D$2:$D$770,A686)</f>
        <v/>
      </c>
      <c r="M686" s="41">
        <f>L686-K686</f>
        <v/>
      </c>
      <c r="N686" s="37">
        <f>COUNTIF('Billing Aug'!$D$2:$D$770,A686)</f>
        <v/>
      </c>
      <c r="O686" s="37">
        <f>SUMIFS('Billing Aug'!$F$2:$F$770,'Billing Aug'!$D$2:$D$770,A686)</f>
        <v/>
      </c>
      <c r="P686" s="41">
        <f>IF(N686=0,0,L686-SUMIFS('Billing Aug'!$H$2:$H$770,'Billing Aug'!$D$2:$D$770,A686)*SUMIFS('Billing Aug'!$I$2:$I$770,'Billing Aug'!$D$2:$D$770,A686))</f>
        <v/>
      </c>
      <c r="Q686" s="37">
        <f>IF(N686=0,"NO AUG TRANSACTION IN SUPPLIED EXTRACT",IF(ABS(P686)&gt;0.004,"SUBLEDGER ARITHMETIC ERROR",IF(ABS(M686)&gt;0.004,"BILLING VARIANCE","MATCH")))</f>
        <v/>
      </c>
    </row>
    <row r="687">
      <c r="A687" s="37" t="inlineStr">
        <is>
          <t>EW-1024</t>
        </is>
      </c>
      <c r="B687" s="37" t="inlineStr">
        <is>
          <t>Eastwey</t>
        </is>
      </c>
      <c r="C687" s="37" t="inlineStr">
        <is>
          <t>OPEN</t>
        </is>
      </c>
      <c r="D687" s="37" t="inlineStr">
        <is>
          <t>OCCUPIED</t>
        </is>
      </c>
      <c r="E687" s="37" t="inlineStr">
        <is>
          <t>WL-03180</t>
        </is>
      </c>
      <c r="F687" s="37" t="inlineStr">
        <is>
          <t>Teresa Jimenez</t>
        </is>
      </c>
      <c r="G687" s="37" t="n">
        <v>24</v>
      </c>
      <c r="H687" s="39" t="n">
        <v>33.7</v>
      </c>
      <c r="I687" s="40">
        <f>ROUNDUP(MAX(G687,H687),0)</f>
        <v/>
      </c>
      <c r="J687" s="41">
        <f>IF(C687="COVERED",'Methodology'!$B$9,'Methodology'!$B$10)</f>
        <v/>
      </c>
      <c r="K687" s="41">
        <f>I687*J687</f>
        <v/>
      </c>
      <c r="L687" s="41">
        <f>SUMIFS('Billing Aug'!$J$2:$J$770,'Billing Aug'!$D$2:$D$770,A687)</f>
        <v/>
      </c>
      <c r="M687" s="41">
        <f>L687-K687</f>
        <v/>
      </c>
      <c r="N687" s="37">
        <f>COUNTIF('Billing Aug'!$D$2:$D$770,A687)</f>
        <v/>
      </c>
      <c r="O687" s="37">
        <f>SUMIFS('Billing Aug'!$F$2:$F$770,'Billing Aug'!$D$2:$D$770,A687)</f>
        <v/>
      </c>
      <c r="P687" s="41">
        <f>IF(N687=0,0,L687-SUMIFS('Billing Aug'!$H$2:$H$770,'Billing Aug'!$D$2:$D$770,A687)*SUMIFS('Billing Aug'!$I$2:$I$770,'Billing Aug'!$D$2:$D$770,A687))</f>
        <v/>
      </c>
      <c r="Q687" s="37">
        <f>IF(N687=0,"NO AUG TRANSACTION IN SUPPLIED EXTRACT",IF(ABS(P687)&gt;0.004,"SUBLEDGER ARITHMETIC ERROR",IF(ABS(M687)&gt;0.004,"BILLING VARIANCE","MATCH")))</f>
        <v/>
      </c>
    </row>
    <row r="688">
      <c r="A688" s="37" t="inlineStr">
        <is>
          <t>GW-0102</t>
        </is>
      </c>
      <c r="B688" s="37" t="inlineStr">
        <is>
          <t>Gullwing</t>
        </is>
      </c>
      <c r="C688" s="37" t="inlineStr">
        <is>
          <t>OPEN</t>
        </is>
      </c>
      <c r="D688" s="37" t="inlineStr">
        <is>
          <t>OCCUPIED</t>
        </is>
      </c>
      <c r="E688" s="37" t="inlineStr">
        <is>
          <t>WL-01136</t>
        </is>
      </c>
      <c r="F688" s="37" t="inlineStr">
        <is>
          <t>Christina Green</t>
        </is>
      </c>
      <c r="G688" s="37" t="n">
        <v>40</v>
      </c>
      <c r="H688" s="39" t="n">
        <v>43.8</v>
      </c>
      <c r="I688" s="40">
        <f>ROUNDUP(MAX(G688,H688),0)</f>
        <v/>
      </c>
      <c r="J688" s="41">
        <f>IF(C688="COVERED",'Methodology'!$B$9,'Methodology'!$B$10)</f>
        <v/>
      </c>
      <c r="K688" s="41">
        <f>I688*J688</f>
        <v/>
      </c>
      <c r="L688" s="41">
        <f>SUMIFS('Billing Aug'!$J$2:$J$770,'Billing Aug'!$D$2:$D$770,A688)</f>
        <v/>
      </c>
      <c r="M688" s="41">
        <f>L688-K688</f>
        <v/>
      </c>
      <c r="N688" s="37">
        <f>COUNTIF('Billing Aug'!$D$2:$D$770,A688)</f>
        <v/>
      </c>
      <c r="O688" s="37">
        <f>SUMIFS('Billing Aug'!$F$2:$F$770,'Billing Aug'!$D$2:$D$770,A688)</f>
        <v/>
      </c>
      <c r="P688" s="41">
        <f>IF(N688=0,0,L688-SUMIFS('Billing Aug'!$H$2:$H$770,'Billing Aug'!$D$2:$D$770,A688)*SUMIFS('Billing Aug'!$I$2:$I$770,'Billing Aug'!$D$2:$D$770,A688))</f>
        <v/>
      </c>
      <c r="Q688" s="37">
        <f>IF(N688=0,"NO AUG TRANSACTION IN SUPPLIED EXTRACT",IF(ABS(P688)&gt;0.004,"SUBLEDGER ARITHMETIC ERROR",IF(ABS(M688)&gt;0.004,"BILLING VARIANCE","MATCH")))</f>
        <v/>
      </c>
    </row>
    <row r="689">
      <c r="A689" s="37" t="inlineStr">
        <is>
          <t>GW-0103</t>
        </is>
      </c>
      <c r="B689" s="37" t="inlineStr">
        <is>
          <t>Gullwing</t>
        </is>
      </c>
      <c r="C689" s="37" t="inlineStr">
        <is>
          <t>OPEN</t>
        </is>
      </c>
      <c r="D689" s="37" t="inlineStr">
        <is>
          <t>OCCUPIED</t>
        </is>
      </c>
      <c r="E689" s="37" t="inlineStr">
        <is>
          <t>WL-02233</t>
        </is>
      </c>
      <c r="F689" s="37" t="inlineStr">
        <is>
          <t>Sarah Forbes</t>
        </is>
      </c>
      <c r="G689" s="37" t="n">
        <v>45</v>
      </c>
      <c r="H689" s="39" t="n">
        <v>21.9</v>
      </c>
      <c r="I689" s="40">
        <f>ROUNDUP(MAX(G689,H689),0)</f>
        <v/>
      </c>
      <c r="J689" s="41">
        <f>IF(C689="COVERED",'Methodology'!$B$9,'Methodology'!$B$10)</f>
        <v/>
      </c>
      <c r="K689" s="41">
        <f>I689*J689</f>
        <v/>
      </c>
      <c r="L689" s="41">
        <f>SUMIFS('Billing Aug'!$J$2:$J$770,'Billing Aug'!$D$2:$D$770,A689)</f>
        <v/>
      </c>
      <c r="M689" s="41">
        <f>L689-K689</f>
        <v/>
      </c>
      <c r="N689" s="37">
        <f>COUNTIF('Billing Aug'!$D$2:$D$770,A689)</f>
        <v/>
      </c>
      <c r="O689" s="37">
        <f>SUMIFS('Billing Aug'!$F$2:$F$770,'Billing Aug'!$D$2:$D$770,A689)</f>
        <v/>
      </c>
      <c r="P689" s="41">
        <f>IF(N689=0,0,L689-SUMIFS('Billing Aug'!$H$2:$H$770,'Billing Aug'!$D$2:$D$770,A689)*SUMIFS('Billing Aug'!$I$2:$I$770,'Billing Aug'!$D$2:$D$770,A689))</f>
        <v/>
      </c>
      <c r="Q689" s="37">
        <f>IF(N689=0,"NO AUG TRANSACTION IN SUPPLIED EXTRACT",IF(ABS(P689)&gt;0.004,"SUBLEDGER ARITHMETIC ERROR",IF(ABS(M689)&gt;0.004,"BILLING VARIANCE","MATCH")))</f>
        <v/>
      </c>
    </row>
    <row r="690">
      <c r="A690" s="37" t="inlineStr">
        <is>
          <t>GW-0104</t>
        </is>
      </c>
      <c r="B690" s="37" t="inlineStr">
        <is>
          <t>Gullwing</t>
        </is>
      </c>
      <c r="C690" s="37" t="inlineStr">
        <is>
          <t>OPEN</t>
        </is>
      </c>
      <c r="D690" s="37" t="inlineStr">
        <is>
          <t>OCCUPIED</t>
        </is>
      </c>
      <c r="E690" s="37" t="inlineStr">
        <is>
          <t>WL-01980</t>
        </is>
      </c>
      <c r="F690" s="37" t="inlineStr">
        <is>
          <t>Jacob Powell</t>
        </is>
      </c>
      <c r="G690" s="37" t="n">
        <v>40</v>
      </c>
      <c r="H690" s="39" t="n">
        <v>49.6</v>
      </c>
      <c r="I690" s="40">
        <f>ROUNDUP(MAX(G690,H690),0)</f>
        <v/>
      </c>
      <c r="J690" s="41">
        <f>IF(C690="COVERED",'Methodology'!$B$9,'Methodology'!$B$10)</f>
        <v/>
      </c>
      <c r="K690" s="41">
        <f>I690*J690</f>
        <v/>
      </c>
      <c r="L690" s="41">
        <f>SUMIFS('Billing Aug'!$J$2:$J$770,'Billing Aug'!$D$2:$D$770,A690)</f>
        <v/>
      </c>
      <c r="M690" s="41">
        <f>L690-K690</f>
        <v/>
      </c>
      <c r="N690" s="37">
        <f>COUNTIF('Billing Aug'!$D$2:$D$770,A690)</f>
        <v/>
      </c>
      <c r="O690" s="37">
        <f>SUMIFS('Billing Aug'!$F$2:$F$770,'Billing Aug'!$D$2:$D$770,A690)</f>
        <v/>
      </c>
      <c r="P690" s="41">
        <f>IF(N690=0,0,L690-SUMIFS('Billing Aug'!$H$2:$H$770,'Billing Aug'!$D$2:$D$770,A690)*SUMIFS('Billing Aug'!$I$2:$I$770,'Billing Aug'!$D$2:$D$770,A690))</f>
        <v/>
      </c>
      <c r="Q690" s="37">
        <f>IF(N690=0,"NO AUG TRANSACTION IN SUPPLIED EXTRACT",IF(ABS(P690)&gt;0.004,"SUBLEDGER ARITHMETIC ERROR",IF(ABS(M690)&gt;0.004,"BILLING VARIANCE","MATCH")))</f>
        <v/>
      </c>
    </row>
    <row r="691">
      <c r="A691" s="37" t="inlineStr">
        <is>
          <t>GW-0105</t>
        </is>
      </c>
      <c r="B691" s="37" t="inlineStr">
        <is>
          <t>Gullwing</t>
        </is>
      </c>
      <c r="C691" s="37" t="inlineStr">
        <is>
          <t>OPEN</t>
        </is>
      </c>
      <c r="D691" s="37" t="inlineStr">
        <is>
          <t>OCCUPIED</t>
        </is>
      </c>
      <c r="E691" s="37" t="inlineStr">
        <is>
          <t>WL-03409</t>
        </is>
      </c>
      <c r="F691" s="37" t="inlineStr">
        <is>
          <t>Linda Franklin</t>
        </is>
      </c>
      <c r="G691" s="37" t="n">
        <v>60</v>
      </c>
      <c r="H691" s="39" t="n">
        <v>35.5</v>
      </c>
      <c r="I691" s="40">
        <f>ROUNDUP(MAX(G691,H691),0)</f>
        <v/>
      </c>
      <c r="J691" s="41">
        <f>IF(C691="COVERED",'Methodology'!$B$9,'Methodology'!$B$10)</f>
        <v/>
      </c>
      <c r="K691" s="41">
        <f>I691*J691</f>
        <v/>
      </c>
      <c r="L691" s="41">
        <f>SUMIFS('Billing Aug'!$J$2:$J$770,'Billing Aug'!$D$2:$D$770,A691)</f>
        <v/>
      </c>
      <c r="M691" s="41">
        <f>L691-K691</f>
        <v/>
      </c>
      <c r="N691" s="37">
        <f>COUNTIF('Billing Aug'!$D$2:$D$770,A691)</f>
        <v/>
      </c>
      <c r="O691" s="37">
        <f>SUMIFS('Billing Aug'!$F$2:$F$770,'Billing Aug'!$D$2:$D$770,A691)</f>
        <v/>
      </c>
      <c r="P691" s="41">
        <f>IF(N691=0,0,L691-SUMIFS('Billing Aug'!$H$2:$H$770,'Billing Aug'!$D$2:$D$770,A691)*SUMIFS('Billing Aug'!$I$2:$I$770,'Billing Aug'!$D$2:$D$770,A691))</f>
        <v/>
      </c>
      <c r="Q691" s="37">
        <f>IF(N691=0,"NO AUG TRANSACTION IN SUPPLIED EXTRACT",IF(ABS(P691)&gt;0.004,"SUBLEDGER ARITHMETIC ERROR",IF(ABS(M691)&gt;0.004,"BILLING VARIANCE","MATCH")))</f>
        <v/>
      </c>
    </row>
    <row r="692">
      <c r="A692" s="37" t="inlineStr">
        <is>
          <t>GW-0106</t>
        </is>
      </c>
      <c r="B692" s="37" t="inlineStr">
        <is>
          <t>Gullwing</t>
        </is>
      </c>
      <c r="C692" s="37" t="inlineStr">
        <is>
          <t>OPEN</t>
        </is>
      </c>
      <c r="D692" s="37" t="inlineStr">
        <is>
          <t>OCCUPIED</t>
        </is>
      </c>
      <c r="E692" s="37" t="inlineStr">
        <is>
          <t>WL-01773</t>
        </is>
      </c>
      <c r="F692" s="37" t="inlineStr">
        <is>
          <t>Kara Bartlett</t>
        </is>
      </c>
      <c r="G692" s="37" t="n">
        <v>80</v>
      </c>
      <c r="H692" s="39" t="n">
        <v>40.5</v>
      </c>
      <c r="I692" s="40">
        <f>ROUNDUP(MAX(G692,H692),0)</f>
        <v/>
      </c>
      <c r="J692" s="41">
        <f>IF(C692="COVERED",'Methodology'!$B$9,'Methodology'!$B$10)</f>
        <v/>
      </c>
      <c r="K692" s="41">
        <f>I692*J692</f>
        <v/>
      </c>
      <c r="L692" s="41">
        <f>SUMIFS('Billing Aug'!$J$2:$J$770,'Billing Aug'!$D$2:$D$770,A692)</f>
        <v/>
      </c>
      <c r="M692" s="41">
        <f>L692-K692</f>
        <v/>
      </c>
      <c r="N692" s="37">
        <f>COUNTIF('Billing Aug'!$D$2:$D$770,A692)</f>
        <v/>
      </c>
      <c r="O692" s="37">
        <f>SUMIFS('Billing Aug'!$F$2:$F$770,'Billing Aug'!$D$2:$D$770,A692)</f>
        <v/>
      </c>
      <c r="P692" s="41">
        <f>IF(N692=0,0,L692-SUMIFS('Billing Aug'!$H$2:$H$770,'Billing Aug'!$D$2:$D$770,A692)*SUMIFS('Billing Aug'!$I$2:$I$770,'Billing Aug'!$D$2:$D$770,A692))</f>
        <v/>
      </c>
      <c r="Q692" s="37">
        <f>IF(N692=0,"NO AUG TRANSACTION IN SUPPLIED EXTRACT",IF(ABS(P692)&gt;0.004,"SUBLEDGER ARITHMETIC ERROR",IF(ABS(M692)&gt;0.004,"BILLING VARIANCE","MATCH")))</f>
        <v/>
      </c>
    </row>
    <row r="693">
      <c r="A693" s="37" t="inlineStr">
        <is>
          <t>GW-0108</t>
        </is>
      </c>
      <c r="B693" s="37" t="inlineStr">
        <is>
          <t>Gullwing</t>
        </is>
      </c>
      <c r="C693" s="37" t="inlineStr">
        <is>
          <t>OPEN</t>
        </is>
      </c>
      <c r="D693" s="37" t="inlineStr">
        <is>
          <t>OCCUPIED</t>
        </is>
      </c>
      <c r="E693" s="37" t="inlineStr">
        <is>
          <t>WL-02927</t>
        </is>
      </c>
      <c r="F693" s="37" t="inlineStr">
        <is>
          <t>Jonathon Jones</t>
        </is>
      </c>
      <c r="G693" s="37" t="n">
        <v>32</v>
      </c>
      <c r="H693" s="39" t="n">
        <v>46.9</v>
      </c>
      <c r="I693" s="40">
        <f>ROUNDUP(MAX(G693,H693),0)</f>
        <v/>
      </c>
      <c r="J693" s="41">
        <f>IF(C693="COVERED",'Methodology'!$B$9,'Methodology'!$B$10)</f>
        <v/>
      </c>
      <c r="K693" s="41">
        <f>I693*J693</f>
        <v/>
      </c>
      <c r="L693" s="41">
        <f>SUMIFS('Billing Aug'!$J$2:$J$770,'Billing Aug'!$D$2:$D$770,A693)</f>
        <v/>
      </c>
      <c r="M693" s="41">
        <f>L693-K693</f>
        <v/>
      </c>
      <c r="N693" s="37">
        <f>COUNTIF('Billing Aug'!$D$2:$D$770,A693)</f>
        <v/>
      </c>
      <c r="O693" s="37">
        <f>SUMIFS('Billing Aug'!$F$2:$F$770,'Billing Aug'!$D$2:$D$770,A693)</f>
        <v/>
      </c>
      <c r="P693" s="41">
        <f>IF(N693=0,0,L693-SUMIFS('Billing Aug'!$H$2:$H$770,'Billing Aug'!$D$2:$D$770,A693)*SUMIFS('Billing Aug'!$I$2:$I$770,'Billing Aug'!$D$2:$D$770,A693))</f>
        <v/>
      </c>
      <c r="Q693" s="37">
        <f>IF(N693=0,"NO AUG TRANSACTION IN SUPPLIED EXTRACT",IF(ABS(P693)&gt;0.004,"SUBLEDGER ARITHMETIC ERROR",IF(ABS(M693)&gt;0.004,"BILLING VARIANCE","MATCH")))</f>
        <v/>
      </c>
    </row>
    <row r="694">
      <c r="A694" s="37" t="inlineStr">
        <is>
          <t>GW-0109</t>
        </is>
      </c>
      <c r="B694" s="37" t="inlineStr">
        <is>
          <t>Gullwing</t>
        </is>
      </c>
      <c r="C694" s="37" t="inlineStr">
        <is>
          <t>OPEN</t>
        </is>
      </c>
      <c r="D694" s="37" t="inlineStr">
        <is>
          <t>OCCUPIED</t>
        </is>
      </c>
      <c r="E694" s="37" t="inlineStr">
        <is>
          <t>WL-02979</t>
        </is>
      </c>
      <c r="F694" s="37" t="inlineStr">
        <is>
          <t>Catherine Reed</t>
        </is>
      </c>
      <c r="G694" s="37" t="n">
        <v>28</v>
      </c>
      <c r="H694" s="39" t="n">
        <v>55</v>
      </c>
      <c r="I694" s="40">
        <f>ROUNDUP(MAX(G694,H694),0)</f>
        <v/>
      </c>
      <c r="J694" s="41">
        <f>IF(C694="COVERED",'Methodology'!$B$9,'Methodology'!$B$10)</f>
        <v/>
      </c>
      <c r="K694" s="41">
        <f>I694*J694</f>
        <v/>
      </c>
      <c r="L694" s="41">
        <f>SUMIFS('Billing Aug'!$J$2:$J$770,'Billing Aug'!$D$2:$D$770,A694)</f>
        <v/>
      </c>
      <c r="M694" s="41">
        <f>L694-K694</f>
        <v/>
      </c>
      <c r="N694" s="37">
        <f>COUNTIF('Billing Aug'!$D$2:$D$770,A694)</f>
        <v/>
      </c>
      <c r="O694" s="37">
        <f>SUMIFS('Billing Aug'!$F$2:$F$770,'Billing Aug'!$D$2:$D$770,A694)</f>
        <v/>
      </c>
      <c r="P694" s="41">
        <f>IF(N694=0,0,L694-SUMIFS('Billing Aug'!$H$2:$H$770,'Billing Aug'!$D$2:$D$770,A694)*SUMIFS('Billing Aug'!$I$2:$I$770,'Billing Aug'!$D$2:$D$770,A694))</f>
        <v/>
      </c>
      <c r="Q694" s="37">
        <f>IF(N694=0,"NO AUG TRANSACTION IN SUPPLIED EXTRACT",IF(ABS(P694)&gt;0.004,"SUBLEDGER ARITHMETIC ERROR",IF(ABS(M694)&gt;0.004,"BILLING VARIANCE","MATCH")))</f>
        <v/>
      </c>
    </row>
    <row r="695">
      <c r="A695" s="37" t="inlineStr">
        <is>
          <t>GW-0110</t>
        </is>
      </c>
      <c r="B695" s="37" t="inlineStr">
        <is>
          <t>Gullwing</t>
        </is>
      </c>
      <c r="C695" s="37" t="inlineStr">
        <is>
          <t>OPEN</t>
        </is>
      </c>
      <c r="D695" s="37" t="inlineStr">
        <is>
          <t>OCCUPIED</t>
        </is>
      </c>
      <c r="E695" s="37" t="inlineStr">
        <is>
          <t>WL-02479</t>
        </is>
      </c>
      <c r="F695" s="37" t="inlineStr">
        <is>
          <t>Jeremy Aguirre</t>
        </is>
      </c>
      <c r="G695" s="37" t="n">
        <v>80</v>
      </c>
      <c r="H695" s="39" t="n">
        <v>42.1</v>
      </c>
      <c r="I695" s="40">
        <f>ROUNDUP(MAX(G695,H695),0)</f>
        <v/>
      </c>
      <c r="J695" s="41">
        <f>IF(C695="COVERED",'Methodology'!$B$9,'Methodology'!$B$10)</f>
        <v/>
      </c>
      <c r="K695" s="41">
        <f>I695*J695</f>
        <v/>
      </c>
      <c r="L695" s="41">
        <f>SUMIFS('Billing Aug'!$J$2:$J$770,'Billing Aug'!$D$2:$D$770,A695)</f>
        <v/>
      </c>
      <c r="M695" s="41">
        <f>L695-K695</f>
        <v/>
      </c>
      <c r="N695" s="37">
        <f>COUNTIF('Billing Aug'!$D$2:$D$770,A695)</f>
        <v/>
      </c>
      <c r="O695" s="37">
        <f>SUMIFS('Billing Aug'!$F$2:$F$770,'Billing Aug'!$D$2:$D$770,A695)</f>
        <v/>
      </c>
      <c r="P695" s="41">
        <f>IF(N695=0,0,L695-SUMIFS('Billing Aug'!$H$2:$H$770,'Billing Aug'!$D$2:$D$770,A695)*SUMIFS('Billing Aug'!$I$2:$I$770,'Billing Aug'!$D$2:$D$770,A695))</f>
        <v/>
      </c>
      <c r="Q695" s="37">
        <f>IF(N695=0,"NO AUG TRANSACTION IN SUPPLIED EXTRACT",IF(ABS(P695)&gt;0.004,"SUBLEDGER ARITHMETIC ERROR",IF(ABS(M695)&gt;0.004,"BILLING VARIANCE","MATCH")))</f>
        <v/>
      </c>
    </row>
    <row r="696">
      <c r="A696" s="37" t="inlineStr">
        <is>
          <t>GW-0111</t>
        </is>
      </c>
      <c r="B696" s="37" t="inlineStr">
        <is>
          <t>Gullwing</t>
        </is>
      </c>
      <c r="C696" s="37" t="inlineStr">
        <is>
          <t>OPEN</t>
        </is>
      </c>
      <c r="D696" s="37" t="inlineStr">
        <is>
          <t>OCCUPIED</t>
        </is>
      </c>
      <c r="E696" s="37" t="inlineStr">
        <is>
          <t>WL-03229</t>
        </is>
      </c>
      <c r="F696" s="37" t="inlineStr">
        <is>
          <t>Monica Alvarez</t>
        </is>
      </c>
      <c r="G696" s="37" t="n">
        <v>28</v>
      </c>
      <c r="H696" s="39" t="n">
        <v>59.8</v>
      </c>
      <c r="I696" s="40">
        <f>ROUNDUP(MAX(G696,H696),0)</f>
        <v/>
      </c>
      <c r="J696" s="41">
        <f>IF(C696="COVERED",'Methodology'!$B$9,'Methodology'!$B$10)</f>
        <v/>
      </c>
      <c r="K696" s="41">
        <f>I696*J696</f>
        <v/>
      </c>
      <c r="L696" s="41">
        <f>SUMIFS('Billing Aug'!$J$2:$J$770,'Billing Aug'!$D$2:$D$770,A696)</f>
        <v/>
      </c>
      <c r="M696" s="41">
        <f>L696-K696</f>
        <v/>
      </c>
      <c r="N696" s="37">
        <f>COUNTIF('Billing Aug'!$D$2:$D$770,A696)</f>
        <v/>
      </c>
      <c r="O696" s="37">
        <f>SUMIFS('Billing Aug'!$F$2:$F$770,'Billing Aug'!$D$2:$D$770,A696)</f>
        <v/>
      </c>
      <c r="P696" s="41">
        <f>IF(N696=0,0,L696-SUMIFS('Billing Aug'!$H$2:$H$770,'Billing Aug'!$D$2:$D$770,A696)*SUMIFS('Billing Aug'!$I$2:$I$770,'Billing Aug'!$D$2:$D$770,A696))</f>
        <v/>
      </c>
      <c r="Q696" s="37">
        <f>IF(N696=0,"NO AUG TRANSACTION IN SUPPLIED EXTRACT",IF(ABS(P696)&gt;0.004,"SUBLEDGER ARITHMETIC ERROR",IF(ABS(M696)&gt;0.004,"BILLING VARIANCE","MATCH")))</f>
        <v/>
      </c>
    </row>
    <row r="697">
      <c r="A697" s="37" t="inlineStr">
        <is>
          <t>GW-0112</t>
        </is>
      </c>
      <c r="B697" s="37" t="inlineStr">
        <is>
          <t>Gullwing</t>
        </is>
      </c>
      <c r="C697" s="37" t="inlineStr">
        <is>
          <t>OPEN</t>
        </is>
      </c>
      <c r="D697" s="37" t="inlineStr">
        <is>
          <t>OCCUPIED</t>
        </is>
      </c>
      <c r="E697" s="37" t="inlineStr">
        <is>
          <t>WL-01208</t>
        </is>
      </c>
      <c r="F697" s="37" t="inlineStr">
        <is>
          <t>Nicholas Lewis</t>
        </is>
      </c>
      <c r="G697" s="37" t="n">
        <v>32</v>
      </c>
      <c r="H697" s="39" t="n">
        <v>19.8</v>
      </c>
      <c r="I697" s="40">
        <f>ROUNDUP(MAX(G697,H697),0)</f>
        <v/>
      </c>
      <c r="J697" s="41">
        <f>IF(C697="COVERED",'Methodology'!$B$9,'Methodology'!$B$10)</f>
        <v/>
      </c>
      <c r="K697" s="41">
        <f>I697*J697</f>
        <v/>
      </c>
      <c r="L697" s="41">
        <f>SUMIFS('Billing Aug'!$J$2:$J$770,'Billing Aug'!$D$2:$D$770,A697)</f>
        <v/>
      </c>
      <c r="M697" s="41">
        <f>L697-K697</f>
        <v/>
      </c>
      <c r="N697" s="37">
        <f>COUNTIF('Billing Aug'!$D$2:$D$770,A697)</f>
        <v/>
      </c>
      <c r="O697" s="37">
        <f>SUMIFS('Billing Aug'!$F$2:$F$770,'Billing Aug'!$D$2:$D$770,A697)</f>
        <v/>
      </c>
      <c r="P697" s="41">
        <f>IF(N697=0,0,L697-SUMIFS('Billing Aug'!$H$2:$H$770,'Billing Aug'!$D$2:$D$770,A697)*SUMIFS('Billing Aug'!$I$2:$I$770,'Billing Aug'!$D$2:$D$770,A697))</f>
        <v/>
      </c>
      <c r="Q697" s="37">
        <f>IF(N697=0,"NO AUG TRANSACTION IN SUPPLIED EXTRACT",IF(ABS(P697)&gt;0.004,"SUBLEDGER ARITHMETIC ERROR",IF(ABS(M697)&gt;0.004,"BILLING VARIANCE","MATCH")))</f>
        <v/>
      </c>
    </row>
    <row r="698">
      <c r="A698" s="37" t="inlineStr">
        <is>
          <t>GW-0113</t>
        </is>
      </c>
      <c r="B698" s="37" t="inlineStr">
        <is>
          <t>Gullwing</t>
        </is>
      </c>
      <c r="C698" s="37" t="inlineStr">
        <is>
          <t>OPEN</t>
        </is>
      </c>
      <c r="D698" s="37" t="inlineStr">
        <is>
          <t>OCCUPIED</t>
        </is>
      </c>
      <c r="E698" s="37" t="inlineStr">
        <is>
          <t>WL-01259</t>
        </is>
      </c>
      <c r="F698" s="37" t="inlineStr">
        <is>
          <t>Sara Avery</t>
        </is>
      </c>
      <c r="G698" s="37" t="n">
        <v>45</v>
      </c>
      <c r="H698" s="39" t="n">
        <v>45.1</v>
      </c>
      <c r="I698" s="40">
        <f>ROUNDUP(MAX(G698,H698),0)</f>
        <v/>
      </c>
      <c r="J698" s="41">
        <f>IF(C698="COVERED",'Methodology'!$B$9,'Methodology'!$B$10)</f>
        <v/>
      </c>
      <c r="K698" s="41">
        <f>I698*J698</f>
        <v/>
      </c>
      <c r="L698" s="41">
        <f>SUMIFS('Billing Aug'!$J$2:$J$770,'Billing Aug'!$D$2:$D$770,A698)</f>
        <v/>
      </c>
      <c r="M698" s="41">
        <f>L698-K698</f>
        <v/>
      </c>
      <c r="N698" s="37">
        <f>COUNTIF('Billing Aug'!$D$2:$D$770,A698)</f>
        <v/>
      </c>
      <c r="O698" s="37">
        <f>SUMIFS('Billing Aug'!$F$2:$F$770,'Billing Aug'!$D$2:$D$770,A698)</f>
        <v/>
      </c>
      <c r="P698" s="41">
        <f>IF(N698=0,0,L698-SUMIFS('Billing Aug'!$H$2:$H$770,'Billing Aug'!$D$2:$D$770,A698)*SUMIFS('Billing Aug'!$I$2:$I$770,'Billing Aug'!$D$2:$D$770,A698))</f>
        <v/>
      </c>
      <c r="Q698" s="37">
        <f>IF(N698=0,"NO AUG TRANSACTION IN SUPPLIED EXTRACT",IF(ABS(P698)&gt;0.004,"SUBLEDGER ARITHMETIC ERROR",IF(ABS(M698)&gt;0.004,"BILLING VARIANCE","MATCH")))</f>
        <v/>
      </c>
    </row>
    <row r="699">
      <c r="A699" s="37" t="inlineStr">
        <is>
          <t>GW-0114</t>
        </is>
      </c>
      <c r="B699" s="37" t="inlineStr">
        <is>
          <t>Gullwing</t>
        </is>
      </c>
      <c r="C699" s="37" t="inlineStr">
        <is>
          <t>OPEN</t>
        </is>
      </c>
      <c r="D699" s="37" t="inlineStr">
        <is>
          <t>OCCUPIED</t>
        </is>
      </c>
      <c r="E699" s="37" t="inlineStr">
        <is>
          <t>WL-02985</t>
        </is>
      </c>
      <c r="F699" s="37" t="inlineStr">
        <is>
          <t>Francisco Benjamin</t>
        </is>
      </c>
      <c r="G699" s="37" t="n">
        <v>24</v>
      </c>
      <c r="H699" s="39" t="n">
        <v>36.6</v>
      </c>
      <c r="I699" s="40">
        <f>ROUNDUP(MAX(G699,H699),0)</f>
        <v/>
      </c>
      <c r="J699" s="41">
        <f>IF(C699="COVERED",'Methodology'!$B$9,'Methodology'!$B$10)</f>
        <v/>
      </c>
      <c r="K699" s="41">
        <f>I699*J699</f>
        <v/>
      </c>
      <c r="L699" s="41">
        <f>SUMIFS('Billing Aug'!$J$2:$J$770,'Billing Aug'!$D$2:$D$770,A699)</f>
        <v/>
      </c>
      <c r="M699" s="41">
        <f>L699-K699</f>
        <v/>
      </c>
      <c r="N699" s="37">
        <f>COUNTIF('Billing Aug'!$D$2:$D$770,A699)</f>
        <v/>
      </c>
      <c r="O699" s="37">
        <f>SUMIFS('Billing Aug'!$F$2:$F$770,'Billing Aug'!$D$2:$D$770,A699)</f>
        <v/>
      </c>
      <c r="P699" s="41">
        <f>IF(N699=0,0,L699-SUMIFS('Billing Aug'!$H$2:$H$770,'Billing Aug'!$D$2:$D$770,A699)*SUMIFS('Billing Aug'!$I$2:$I$770,'Billing Aug'!$D$2:$D$770,A699))</f>
        <v/>
      </c>
      <c r="Q699" s="37">
        <f>IF(N699=0,"NO AUG TRANSACTION IN SUPPLIED EXTRACT",IF(ABS(P699)&gt;0.004,"SUBLEDGER ARITHMETIC ERROR",IF(ABS(M699)&gt;0.004,"BILLING VARIANCE","MATCH")))</f>
        <v/>
      </c>
    </row>
    <row r="700">
      <c r="A700" s="37" t="inlineStr">
        <is>
          <t>GW-0115</t>
        </is>
      </c>
      <c r="B700" s="37" t="inlineStr">
        <is>
          <t>Gullwing</t>
        </is>
      </c>
      <c r="C700" s="37" t="inlineStr">
        <is>
          <t>OPEN</t>
        </is>
      </c>
      <c r="D700" s="37" t="inlineStr">
        <is>
          <t>OCCUPIED</t>
        </is>
      </c>
      <c r="E700" s="37" t="inlineStr">
        <is>
          <t>WL-01610</t>
        </is>
      </c>
      <c r="F700" s="37" t="inlineStr">
        <is>
          <t>Anthony Johnson</t>
        </is>
      </c>
      <c r="G700" s="37" t="n">
        <v>50</v>
      </c>
      <c r="H700" s="39" t="n">
        <v>26.4</v>
      </c>
      <c r="I700" s="40">
        <f>ROUNDUP(MAX(G700,H700),0)</f>
        <v/>
      </c>
      <c r="J700" s="41">
        <f>IF(C700="COVERED",'Methodology'!$B$9,'Methodology'!$B$10)</f>
        <v/>
      </c>
      <c r="K700" s="41">
        <f>I700*J700</f>
        <v/>
      </c>
      <c r="L700" s="41">
        <f>SUMIFS('Billing Aug'!$J$2:$J$770,'Billing Aug'!$D$2:$D$770,A700)</f>
        <v/>
      </c>
      <c r="M700" s="41">
        <f>L700-K700</f>
        <v/>
      </c>
      <c r="N700" s="37">
        <f>COUNTIF('Billing Aug'!$D$2:$D$770,A700)</f>
        <v/>
      </c>
      <c r="O700" s="37">
        <f>SUMIFS('Billing Aug'!$F$2:$F$770,'Billing Aug'!$D$2:$D$770,A700)</f>
        <v/>
      </c>
      <c r="P700" s="41">
        <f>IF(N700=0,0,L700-SUMIFS('Billing Aug'!$H$2:$H$770,'Billing Aug'!$D$2:$D$770,A700)*SUMIFS('Billing Aug'!$I$2:$I$770,'Billing Aug'!$D$2:$D$770,A700))</f>
        <v/>
      </c>
      <c r="Q700" s="37">
        <f>IF(N700=0,"NO AUG TRANSACTION IN SUPPLIED EXTRACT",IF(ABS(P700)&gt;0.004,"SUBLEDGER ARITHMETIC ERROR",IF(ABS(M700)&gt;0.004,"BILLING VARIANCE","MATCH")))</f>
        <v/>
      </c>
    </row>
    <row r="701">
      <c r="A701" s="37" t="inlineStr">
        <is>
          <t>GW-0116</t>
        </is>
      </c>
      <c r="B701" s="37" t="inlineStr">
        <is>
          <t>Gullwing</t>
        </is>
      </c>
      <c r="C701" s="37" t="inlineStr">
        <is>
          <t>OPEN</t>
        </is>
      </c>
      <c r="D701" s="37" t="inlineStr">
        <is>
          <t>OCCUPIED</t>
        </is>
      </c>
      <c r="E701" s="37" t="inlineStr">
        <is>
          <t>WL-02724</t>
        </is>
      </c>
      <c r="F701" s="37" t="inlineStr">
        <is>
          <t>Benjamin Hawkins</t>
        </is>
      </c>
      <c r="G701" s="37" t="n">
        <v>32</v>
      </c>
      <c r="H701" s="39" t="n">
        <v>49.4</v>
      </c>
      <c r="I701" s="40">
        <f>ROUNDUP(MAX(G701,H701),0)</f>
        <v/>
      </c>
      <c r="J701" s="41">
        <f>IF(C701="COVERED",'Methodology'!$B$9,'Methodology'!$B$10)</f>
        <v/>
      </c>
      <c r="K701" s="41">
        <f>I701*J701</f>
        <v/>
      </c>
      <c r="L701" s="41">
        <f>SUMIFS('Billing Aug'!$J$2:$J$770,'Billing Aug'!$D$2:$D$770,A701)</f>
        <v/>
      </c>
      <c r="M701" s="41">
        <f>L701-K701</f>
        <v/>
      </c>
      <c r="N701" s="37">
        <f>COUNTIF('Billing Aug'!$D$2:$D$770,A701)</f>
        <v/>
      </c>
      <c r="O701" s="37">
        <f>SUMIFS('Billing Aug'!$F$2:$F$770,'Billing Aug'!$D$2:$D$770,A701)</f>
        <v/>
      </c>
      <c r="P701" s="41">
        <f>IF(N701=0,0,L701-SUMIFS('Billing Aug'!$H$2:$H$770,'Billing Aug'!$D$2:$D$770,A701)*SUMIFS('Billing Aug'!$I$2:$I$770,'Billing Aug'!$D$2:$D$770,A701))</f>
        <v/>
      </c>
      <c r="Q701" s="37">
        <f>IF(N701=0,"NO AUG TRANSACTION IN SUPPLIED EXTRACT",IF(ABS(P701)&gt;0.004,"SUBLEDGER ARITHMETIC ERROR",IF(ABS(M701)&gt;0.004,"BILLING VARIANCE","MATCH")))</f>
        <v/>
      </c>
    </row>
    <row r="702">
      <c r="A702" s="37" t="inlineStr">
        <is>
          <t>GW-0117</t>
        </is>
      </c>
      <c r="B702" s="37" t="inlineStr">
        <is>
          <t>Gullwing</t>
        </is>
      </c>
      <c r="C702" s="37" t="inlineStr">
        <is>
          <t>OPEN</t>
        </is>
      </c>
      <c r="D702" s="37" t="inlineStr">
        <is>
          <t>OCCUPIED</t>
        </is>
      </c>
      <c r="E702" s="37" t="inlineStr">
        <is>
          <t>WL-02588</t>
        </is>
      </c>
      <c r="F702" s="37" t="inlineStr">
        <is>
          <t>Laura Wiley</t>
        </is>
      </c>
      <c r="G702" s="37" t="n">
        <v>50</v>
      </c>
      <c r="H702" s="39" t="n">
        <v>50</v>
      </c>
      <c r="I702" s="40">
        <f>ROUNDUP(MAX(G702,H702),0)</f>
        <v/>
      </c>
      <c r="J702" s="41">
        <f>IF(C702="COVERED",'Methodology'!$B$9,'Methodology'!$B$10)</f>
        <v/>
      </c>
      <c r="K702" s="41">
        <f>I702*J702</f>
        <v/>
      </c>
      <c r="L702" s="41">
        <f>SUMIFS('Billing Aug'!$J$2:$J$770,'Billing Aug'!$D$2:$D$770,A702)</f>
        <v/>
      </c>
      <c r="M702" s="41">
        <f>L702-K702</f>
        <v/>
      </c>
      <c r="N702" s="37">
        <f>COUNTIF('Billing Aug'!$D$2:$D$770,A702)</f>
        <v/>
      </c>
      <c r="O702" s="37">
        <f>SUMIFS('Billing Aug'!$F$2:$F$770,'Billing Aug'!$D$2:$D$770,A702)</f>
        <v/>
      </c>
      <c r="P702" s="41">
        <f>IF(N702=0,0,L702-SUMIFS('Billing Aug'!$H$2:$H$770,'Billing Aug'!$D$2:$D$770,A702)*SUMIFS('Billing Aug'!$I$2:$I$770,'Billing Aug'!$D$2:$D$770,A702))</f>
        <v/>
      </c>
      <c r="Q702" s="37">
        <f>IF(N702=0,"NO AUG TRANSACTION IN SUPPLIED EXTRACT",IF(ABS(P702)&gt;0.004,"SUBLEDGER ARITHMETIC ERROR",IF(ABS(M702)&gt;0.004,"BILLING VARIANCE","MATCH")))</f>
        <v/>
      </c>
    </row>
    <row r="703">
      <c r="A703" s="37" t="inlineStr">
        <is>
          <t>GW-0118</t>
        </is>
      </c>
      <c r="B703" s="37" t="inlineStr">
        <is>
          <t>Gullwing</t>
        </is>
      </c>
      <c r="C703" s="37" t="inlineStr">
        <is>
          <t>OPEN</t>
        </is>
      </c>
      <c r="D703" s="37" t="inlineStr">
        <is>
          <t>OCCUPIED</t>
        </is>
      </c>
      <c r="E703" s="37" t="inlineStr">
        <is>
          <t>WL-02840</t>
        </is>
      </c>
      <c r="F703" s="37" t="inlineStr">
        <is>
          <t>Zachary Mcdonald</t>
        </is>
      </c>
      <c r="G703" s="37" t="n">
        <v>60</v>
      </c>
      <c r="H703" s="39" t="n">
        <v>53.9</v>
      </c>
      <c r="I703" s="40">
        <f>ROUNDUP(MAX(G703,H703),0)</f>
        <v/>
      </c>
      <c r="J703" s="41">
        <f>IF(C703="COVERED",'Methodology'!$B$9,'Methodology'!$B$10)</f>
        <v/>
      </c>
      <c r="K703" s="41">
        <f>I703*J703</f>
        <v/>
      </c>
      <c r="L703" s="41">
        <f>SUMIFS('Billing Aug'!$J$2:$J$770,'Billing Aug'!$D$2:$D$770,A703)</f>
        <v/>
      </c>
      <c r="M703" s="41">
        <f>L703-K703</f>
        <v/>
      </c>
      <c r="N703" s="37">
        <f>COUNTIF('Billing Aug'!$D$2:$D$770,A703)</f>
        <v/>
      </c>
      <c r="O703" s="37">
        <f>SUMIFS('Billing Aug'!$F$2:$F$770,'Billing Aug'!$D$2:$D$770,A703)</f>
        <v/>
      </c>
      <c r="P703" s="41">
        <f>IF(N703=0,0,L703-SUMIFS('Billing Aug'!$H$2:$H$770,'Billing Aug'!$D$2:$D$770,A703)*SUMIFS('Billing Aug'!$I$2:$I$770,'Billing Aug'!$D$2:$D$770,A703))</f>
        <v/>
      </c>
      <c r="Q703" s="37">
        <f>IF(N703=0,"NO AUG TRANSACTION IN SUPPLIED EXTRACT",IF(ABS(P703)&gt;0.004,"SUBLEDGER ARITHMETIC ERROR",IF(ABS(M703)&gt;0.004,"BILLING VARIANCE","MATCH")))</f>
        <v/>
      </c>
    </row>
    <row r="704">
      <c r="A704" s="37" t="inlineStr">
        <is>
          <t>GW-0119</t>
        </is>
      </c>
      <c r="B704" s="37" t="inlineStr">
        <is>
          <t>Gullwing</t>
        </is>
      </c>
      <c r="C704" s="37" t="inlineStr">
        <is>
          <t>OPEN</t>
        </is>
      </c>
      <c r="D704" s="37" t="inlineStr">
        <is>
          <t>OCCUPIED</t>
        </is>
      </c>
      <c r="E704" s="37" t="inlineStr">
        <is>
          <t>WL-01624</t>
        </is>
      </c>
      <c r="F704" s="37" t="inlineStr">
        <is>
          <t>Megan Estrada</t>
        </is>
      </c>
      <c r="G704" s="37" t="n">
        <v>28</v>
      </c>
      <c r="H704" s="39" t="n">
        <v>37.9</v>
      </c>
      <c r="I704" s="40">
        <f>ROUNDUP(MAX(G704,H704),0)</f>
        <v/>
      </c>
      <c r="J704" s="41">
        <f>IF(C704="COVERED",'Methodology'!$B$9,'Methodology'!$B$10)</f>
        <v/>
      </c>
      <c r="K704" s="41">
        <f>I704*J704</f>
        <v/>
      </c>
      <c r="L704" s="41">
        <f>SUMIFS('Billing Aug'!$J$2:$J$770,'Billing Aug'!$D$2:$D$770,A704)</f>
        <v/>
      </c>
      <c r="M704" s="41">
        <f>L704-K704</f>
        <v/>
      </c>
      <c r="N704" s="37">
        <f>COUNTIF('Billing Aug'!$D$2:$D$770,A704)</f>
        <v/>
      </c>
      <c r="O704" s="37">
        <f>SUMIFS('Billing Aug'!$F$2:$F$770,'Billing Aug'!$D$2:$D$770,A704)</f>
        <v/>
      </c>
      <c r="P704" s="41">
        <f>IF(N704=0,0,L704-SUMIFS('Billing Aug'!$H$2:$H$770,'Billing Aug'!$D$2:$D$770,A704)*SUMIFS('Billing Aug'!$I$2:$I$770,'Billing Aug'!$D$2:$D$770,A704))</f>
        <v/>
      </c>
      <c r="Q704" s="37">
        <f>IF(N704=0,"NO AUG TRANSACTION IN SUPPLIED EXTRACT",IF(ABS(P704)&gt;0.004,"SUBLEDGER ARITHMETIC ERROR",IF(ABS(M704)&gt;0.004,"BILLING VARIANCE","MATCH")))</f>
        <v/>
      </c>
    </row>
    <row r="705">
      <c r="A705" s="37" t="inlineStr">
        <is>
          <t>GW-0120</t>
        </is>
      </c>
      <c r="B705" s="37" t="inlineStr">
        <is>
          <t>Gullwing</t>
        </is>
      </c>
      <c r="C705" s="37" t="inlineStr">
        <is>
          <t>OPEN</t>
        </is>
      </c>
      <c r="D705" s="37" t="inlineStr">
        <is>
          <t>OCCUPIED</t>
        </is>
      </c>
      <c r="E705" s="37" t="inlineStr">
        <is>
          <t>WL-01224</t>
        </is>
      </c>
      <c r="F705" s="37" t="inlineStr">
        <is>
          <t>Yolanda Crane</t>
        </is>
      </c>
      <c r="G705" s="37" t="n">
        <v>32</v>
      </c>
      <c r="H705" s="39" t="n">
        <v>49.8</v>
      </c>
      <c r="I705" s="40">
        <f>ROUNDUP(MAX(G705,H705),0)</f>
        <v/>
      </c>
      <c r="J705" s="41">
        <f>IF(C705="COVERED",'Methodology'!$B$9,'Methodology'!$B$10)</f>
        <v/>
      </c>
      <c r="K705" s="41">
        <f>I705*J705</f>
        <v/>
      </c>
      <c r="L705" s="41">
        <f>SUMIFS('Billing Aug'!$J$2:$J$770,'Billing Aug'!$D$2:$D$770,A705)</f>
        <v/>
      </c>
      <c r="M705" s="41">
        <f>L705-K705</f>
        <v/>
      </c>
      <c r="N705" s="37">
        <f>COUNTIF('Billing Aug'!$D$2:$D$770,A705)</f>
        <v/>
      </c>
      <c r="O705" s="37">
        <f>SUMIFS('Billing Aug'!$F$2:$F$770,'Billing Aug'!$D$2:$D$770,A705)</f>
        <v/>
      </c>
      <c r="P705" s="41">
        <f>IF(N705=0,0,L705-SUMIFS('Billing Aug'!$H$2:$H$770,'Billing Aug'!$D$2:$D$770,A705)*SUMIFS('Billing Aug'!$I$2:$I$770,'Billing Aug'!$D$2:$D$770,A705))</f>
        <v/>
      </c>
      <c r="Q705" s="37">
        <f>IF(N705=0,"NO AUG TRANSACTION IN SUPPLIED EXTRACT",IF(ABS(P705)&gt;0.004,"SUBLEDGER ARITHMETIC ERROR",IF(ABS(M705)&gt;0.004,"BILLING VARIANCE","MATCH")))</f>
        <v/>
      </c>
    </row>
    <row r="706">
      <c r="A706" s="37" t="inlineStr">
        <is>
          <t>GW-0121</t>
        </is>
      </c>
      <c r="B706" s="37" t="inlineStr">
        <is>
          <t>Gullwing</t>
        </is>
      </c>
      <c r="C706" s="37" t="inlineStr">
        <is>
          <t>OPEN</t>
        </is>
      </c>
      <c r="D706" s="37" t="inlineStr">
        <is>
          <t>OCCUPIED</t>
        </is>
      </c>
      <c r="E706" s="37" t="inlineStr">
        <is>
          <t>WL-01763</t>
        </is>
      </c>
      <c r="F706" s="37" t="inlineStr">
        <is>
          <t>Christopher Miller</t>
        </is>
      </c>
      <c r="G706" s="37" t="n">
        <v>32</v>
      </c>
      <c r="H706" s="39" t="n">
        <v>40.7</v>
      </c>
      <c r="I706" s="40">
        <f>ROUNDUP(MAX(G706,H706),0)</f>
        <v/>
      </c>
      <c r="J706" s="41">
        <f>IF(C706="COVERED",'Methodology'!$B$9,'Methodology'!$B$10)</f>
        <v/>
      </c>
      <c r="K706" s="41">
        <f>I706*J706</f>
        <v/>
      </c>
      <c r="L706" s="41">
        <f>SUMIFS('Billing Aug'!$J$2:$J$770,'Billing Aug'!$D$2:$D$770,A706)</f>
        <v/>
      </c>
      <c r="M706" s="41">
        <f>L706-K706</f>
        <v/>
      </c>
      <c r="N706" s="37">
        <f>COUNTIF('Billing Aug'!$D$2:$D$770,A706)</f>
        <v/>
      </c>
      <c r="O706" s="37">
        <f>SUMIFS('Billing Aug'!$F$2:$F$770,'Billing Aug'!$D$2:$D$770,A706)</f>
        <v/>
      </c>
      <c r="P706" s="41">
        <f>IF(N706=0,0,L706-SUMIFS('Billing Aug'!$H$2:$H$770,'Billing Aug'!$D$2:$D$770,A706)*SUMIFS('Billing Aug'!$I$2:$I$770,'Billing Aug'!$D$2:$D$770,A706))</f>
        <v/>
      </c>
      <c r="Q706" s="37">
        <f>IF(N706=0,"NO AUG TRANSACTION IN SUPPLIED EXTRACT",IF(ABS(P706)&gt;0.004,"SUBLEDGER ARITHMETIC ERROR",IF(ABS(M706)&gt;0.004,"BILLING VARIANCE","MATCH")))</f>
        <v/>
      </c>
    </row>
    <row r="707">
      <c r="A707" s="37" t="inlineStr">
        <is>
          <t>GW-0122</t>
        </is>
      </c>
      <c r="B707" s="37" t="inlineStr">
        <is>
          <t>Gullwing</t>
        </is>
      </c>
      <c r="C707" s="37" t="inlineStr">
        <is>
          <t>OPEN</t>
        </is>
      </c>
      <c r="D707" s="37" t="inlineStr">
        <is>
          <t>OCCUPIED</t>
        </is>
      </c>
      <c r="E707" s="37" t="inlineStr">
        <is>
          <t>WL-01683</t>
        </is>
      </c>
      <c r="F707" s="37" t="inlineStr">
        <is>
          <t>Steven Davis</t>
        </is>
      </c>
      <c r="G707" s="37" t="n">
        <v>32</v>
      </c>
      <c r="H707" s="39" t="n">
        <v>26.5</v>
      </c>
      <c r="I707" s="40">
        <f>ROUNDUP(MAX(G707,H707),0)</f>
        <v/>
      </c>
      <c r="J707" s="41">
        <f>IF(C707="COVERED",'Methodology'!$B$9,'Methodology'!$B$10)</f>
        <v/>
      </c>
      <c r="K707" s="41">
        <f>I707*J707</f>
        <v/>
      </c>
      <c r="L707" s="41">
        <f>SUMIFS('Billing Aug'!$J$2:$J$770,'Billing Aug'!$D$2:$D$770,A707)</f>
        <v/>
      </c>
      <c r="M707" s="41">
        <f>L707-K707</f>
        <v/>
      </c>
      <c r="N707" s="37">
        <f>COUNTIF('Billing Aug'!$D$2:$D$770,A707)</f>
        <v/>
      </c>
      <c r="O707" s="37">
        <f>SUMIFS('Billing Aug'!$F$2:$F$770,'Billing Aug'!$D$2:$D$770,A707)</f>
        <v/>
      </c>
      <c r="P707" s="41">
        <f>IF(N707=0,0,L707-SUMIFS('Billing Aug'!$H$2:$H$770,'Billing Aug'!$D$2:$D$770,A707)*SUMIFS('Billing Aug'!$I$2:$I$770,'Billing Aug'!$D$2:$D$770,A707))</f>
        <v/>
      </c>
      <c r="Q707" s="37">
        <f>IF(N707=0,"NO AUG TRANSACTION IN SUPPLIED EXTRACT",IF(ABS(P707)&gt;0.004,"SUBLEDGER ARITHMETIC ERROR",IF(ABS(M707)&gt;0.004,"BILLING VARIANCE","MATCH")))</f>
        <v/>
      </c>
    </row>
    <row r="708">
      <c r="A708" s="37" t="inlineStr">
        <is>
          <t>GW-0123</t>
        </is>
      </c>
      <c r="B708" s="37" t="inlineStr">
        <is>
          <t>Gullwing</t>
        </is>
      </c>
      <c r="C708" s="37" t="inlineStr">
        <is>
          <t>OPEN</t>
        </is>
      </c>
      <c r="D708" s="37" t="inlineStr">
        <is>
          <t>OCCUPIED</t>
        </is>
      </c>
      <c r="E708" s="37" t="inlineStr">
        <is>
          <t>WL-03611</t>
        </is>
      </c>
      <c r="F708" s="37" t="inlineStr">
        <is>
          <t>Madeline Morris</t>
        </is>
      </c>
      <c r="G708" s="37" t="n">
        <v>80</v>
      </c>
      <c r="H708" s="39" t="n">
        <v>40.2</v>
      </c>
      <c r="I708" s="40">
        <f>ROUNDUP(MAX(G708,H708),0)</f>
        <v/>
      </c>
      <c r="J708" s="41">
        <f>IF(C708="COVERED",'Methodology'!$B$9,'Methodology'!$B$10)</f>
        <v/>
      </c>
      <c r="K708" s="41">
        <f>I708*J708</f>
        <v/>
      </c>
      <c r="L708" s="41">
        <f>SUMIFS('Billing Aug'!$J$2:$J$770,'Billing Aug'!$D$2:$D$770,A708)</f>
        <v/>
      </c>
      <c r="M708" s="41">
        <f>L708-K708</f>
        <v/>
      </c>
      <c r="N708" s="37">
        <f>COUNTIF('Billing Aug'!$D$2:$D$770,A708)</f>
        <v/>
      </c>
      <c r="O708" s="37">
        <f>SUMIFS('Billing Aug'!$F$2:$F$770,'Billing Aug'!$D$2:$D$770,A708)</f>
        <v/>
      </c>
      <c r="P708" s="41">
        <f>IF(N708=0,0,L708-SUMIFS('Billing Aug'!$H$2:$H$770,'Billing Aug'!$D$2:$D$770,A708)*SUMIFS('Billing Aug'!$I$2:$I$770,'Billing Aug'!$D$2:$D$770,A708))</f>
        <v/>
      </c>
      <c r="Q708" s="37">
        <f>IF(N708=0,"NO AUG TRANSACTION IN SUPPLIED EXTRACT",IF(ABS(P708)&gt;0.004,"SUBLEDGER ARITHMETIC ERROR",IF(ABS(M708)&gt;0.004,"BILLING VARIANCE","MATCH")))</f>
        <v/>
      </c>
    </row>
    <row r="709">
      <c r="A709" s="37" t="inlineStr">
        <is>
          <t>GW-0201</t>
        </is>
      </c>
      <c r="B709" s="37" t="inlineStr">
        <is>
          <t>Gullwing</t>
        </is>
      </c>
      <c r="C709" s="37" t="inlineStr">
        <is>
          <t>OPEN</t>
        </is>
      </c>
      <c r="D709" s="37" t="inlineStr">
        <is>
          <t>OCCUPIED</t>
        </is>
      </c>
      <c r="E709" s="37" t="inlineStr">
        <is>
          <t>WL-01782</t>
        </is>
      </c>
      <c r="F709" s="37" t="inlineStr">
        <is>
          <t>Ronald White</t>
        </is>
      </c>
      <c r="G709" s="37" t="n">
        <v>32</v>
      </c>
      <c r="H709" s="39" t="n">
        <v>36.5</v>
      </c>
      <c r="I709" s="40">
        <f>ROUNDUP(MAX(G709,H709),0)</f>
        <v/>
      </c>
      <c r="J709" s="41">
        <f>IF(C709="COVERED",'Methodology'!$B$9,'Methodology'!$B$10)</f>
        <v/>
      </c>
      <c r="K709" s="41">
        <f>I709*J709</f>
        <v/>
      </c>
      <c r="L709" s="41">
        <f>SUMIFS('Billing Aug'!$J$2:$J$770,'Billing Aug'!$D$2:$D$770,A709)</f>
        <v/>
      </c>
      <c r="M709" s="41">
        <f>L709-K709</f>
        <v/>
      </c>
      <c r="N709" s="37">
        <f>COUNTIF('Billing Aug'!$D$2:$D$770,A709)</f>
        <v/>
      </c>
      <c r="O709" s="37">
        <f>SUMIFS('Billing Aug'!$F$2:$F$770,'Billing Aug'!$D$2:$D$770,A709)</f>
        <v/>
      </c>
      <c r="P709" s="41">
        <f>IF(N709=0,0,L709-SUMIFS('Billing Aug'!$H$2:$H$770,'Billing Aug'!$D$2:$D$770,A709)*SUMIFS('Billing Aug'!$I$2:$I$770,'Billing Aug'!$D$2:$D$770,A709))</f>
        <v/>
      </c>
      <c r="Q709" s="37">
        <f>IF(N709=0,"NO AUG TRANSACTION IN SUPPLIED EXTRACT",IF(ABS(P709)&gt;0.004,"SUBLEDGER ARITHMETIC ERROR",IF(ABS(M709)&gt;0.004,"BILLING VARIANCE","MATCH")))</f>
        <v/>
      </c>
    </row>
    <row r="710">
      <c r="A710" s="37" t="inlineStr">
        <is>
          <t>GW-0202</t>
        </is>
      </c>
      <c r="B710" s="37" t="inlineStr">
        <is>
          <t>Gullwing</t>
        </is>
      </c>
      <c r="C710" s="37" t="inlineStr">
        <is>
          <t>OPEN</t>
        </is>
      </c>
      <c r="D710" s="37" t="inlineStr">
        <is>
          <t>OCCUPIED</t>
        </is>
      </c>
      <c r="E710" s="37" t="inlineStr">
        <is>
          <t>WL-03086</t>
        </is>
      </c>
      <c r="F710" s="37" t="inlineStr">
        <is>
          <t>William Daugherty</t>
        </is>
      </c>
      <c r="G710" s="37" t="n">
        <v>80</v>
      </c>
      <c r="H710" s="39" t="n">
        <v>58.2</v>
      </c>
      <c r="I710" s="40">
        <f>ROUNDUP(MAX(G710,H710),0)</f>
        <v/>
      </c>
      <c r="J710" s="41">
        <f>IF(C710="COVERED",'Methodology'!$B$9,'Methodology'!$B$10)</f>
        <v/>
      </c>
      <c r="K710" s="41">
        <f>I710*J710</f>
        <v/>
      </c>
      <c r="L710" s="41">
        <f>SUMIFS('Billing Aug'!$J$2:$J$770,'Billing Aug'!$D$2:$D$770,A710)</f>
        <v/>
      </c>
      <c r="M710" s="41">
        <f>L710-K710</f>
        <v/>
      </c>
      <c r="N710" s="37">
        <f>COUNTIF('Billing Aug'!$D$2:$D$770,A710)</f>
        <v/>
      </c>
      <c r="O710" s="37">
        <f>SUMIFS('Billing Aug'!$F$2:$F$770,'Billing Aug'!$D$2:$D$770,A710)</f>
        <v/>
      </c>
      <c r="P710" s="41">
        <f>IF(N710=0,0,L710-SUMIFS('Billing Aug'!$H$2:$H$770,'Billing Aug'!$D$2:$D$770,A710)*SUMIFS('Billing Aug'!$I$2:$I$770,'Billing Aug'!$D$2:$D$770,A710))</f>
        <v/>
      </c>
      <c r="Q710" s="37">
        <f>IF(N710=0,"NO AUG TRANSACTION IN SUPPLIED EXTRACT",IF(ABS(P710)&gt;0.004,"SUBLEDGER ARITHMETIC ERROR",IF(ABS(M710)&gt;0.004,"BILLING VARIANCE","MATCH")))</f>
        <v/>
      </c>
    </row>
    <row r="711">
      <c r="A711" s="37" t="inlineStr">
        <is>
          <t>GW-0204</t>
        </is>
      </c>
      <c r="B711" s="37" t="inlineStr">
        <is>
          <t>Gullwing</t>
        </is>
      </c>
      <c r="C711" s="37" t="inlineStr">
        <is>
          <t>OPEN</t>
        </is>
      </c>
      <c r="D711" s="37" t="inlineStr">
        <is>
          <t>OCCUPIED</t>
        </is>
      </c>
      <c r="E711" s="37" t="inlineStr">
        <is>
          <t>WL-02069</t>
        </is>
      </c>
      <c r="F711" s="37" t="inlineStr">
        <is>
          <t>David Lopez</t>
        </is>
      </c>
      <c r="G711" s="37" t="n">
        <v>32</v>
      </c>
      <c r="H711" s="39" t="n">
        <v>25.1</v>
      </c>
      <c r="I711" s="40">
        <f>ROUNDUP(MAX(G711,H711),0)</f>
        <v/>
      </c>
      <c r="J711" s="41">
        <f>IF(C711="COVERED",'Methodology'!$B$9,'Methodology'!$B$10)</f>
        <v/>
      </c>
      <c r="K711" s="41">
        <f>I711*J711</f>
        <v/>
      </c>
      <c r="L711" s="41">
        <f>SUMIFS('Billing Aug'!$J$2:$J$770,'Billing Aug'!$D$2:$D$770,A711)</f>
        <v/>
      </c>
      <c r="M711" s="41">
        <f>L711-K711</f>
        <v/>
      </c>
      <c r="N711" s="37">
        <f>COUNTIF('Billing Aug'!$D$2:$D$770,A711)</f>
        <v/>
      </c>
      <c r="O711" s="37">
        <f>SUMIFS('Billing Aug'!$F$2:$F$770,'Billing Aug'!$D$2:$D$770,A711)</f>
        <v/>
      </c>
      <c r="P711" s="41">
        <f>IF(N711=0,0,L711-SUMIFS('Billing Aug'!$H$2:$H$770,'Billing Aug'!$D$2:$D$770,A711)*SUMIFS('Billing Aug'!$I$2:$I$770,'Billing Aug'!$D$2:$D$770,A711))</f>
        <v/>
      </c>
      <c r="Q711" s="37">
        <f>IF(N711=0,"NO AUG TRANSACTION IN SUPPLIED EXTRACT",IF(ABS(P711)&gt;0.004,"SUBLEDGER ARITHMETIC ERROR",IF(ABS(M711)&gt;0.004,"BILLING VARIANCE","MATCH")))</f>
        <v/>
      </c>
    </row>
    <row r="712">
      <c r="A712" s="37" t="inlineStr">
        <is>
          <t>GW-0205</t>
        </is>
      </c>
      <c r="B712" s="37" t="inlineStr">
        <is>
          <t>Gullwing</t>
        </is>
      </c>
      <c r="C712" s="37" t="inlineStr">
        <is>
          <t>OPEN</t>
        </is>
      </c>
      <c r="D712" s="37" t="inlineStr">
        <is>
          <t>OCCUPIED</t>
        </is>
      </c>
      <c r="E712" s="37" t="inlineStr">
        <is>
          <t>WL-01865</t>
        </is>
      </c>
      <c r="F712" s="37" t="inlineStr">
        <is>
          <t>Aaron Barton</t>
        </is>
      </c>
      <c r="G712" s="37" t="n">
        <v>50</v>
      </c>
      <c r="H712" s="39" t="n">
        <v>43.1</v>
      </c>
      <c r="I712" s="40">
        <f>ROUNDUP(MAX(G712,H712),0)</f>
        <v/>
      </c>
      <c r="J712" s="41">
        <f>IF(C712="COVERED",'Methodology'!$B$9,'Methodology'!$B$10)</f>
        <v/>
      </c>
      <c r="K712" s="41">
        <f>I712*J712</f>
        <v/>
      </c>
      <c r="L712" s="41">
        <f>SUMIFS('Billing Aug'!$J$2:$J$770,'Billing Aug'!$D$2:$D$770,A712)</f>
        <v/>
      </c>
      <c r="M712" s="41">
        <f>L712-K712</f>
        <v/>
      </c>
      <c r="N712" s="37">
        <f>COUNTIF('Billing Aug'!$D$2:$D$770,A712)</f>
        <v/>
      </c>
      <c r="O712" s="37">
        <f>SUMIFS('Billing Aug'!$F$2:$F$770,'Billing Aug'!$D$2:$D$770,A712)</f>
        <v/>
      </c>
      <c r="P712" s="41">
        <f>IF(N712=0,0,L712-SUMIFS('Billing Aug'!$H$2:$H$770,'Billing Aug'!$D$2:$D$770,A712)*SUMIFS('Billing Aug'!$I$2:$I$770,'Billing Aug'!$D$2:$D$770,A712))</f>
        <v/>
      </c>
      <c r="Q712" s="37">
        <f>IF(N712=0,"NO AUG TRANSACTION IN SUPPLIED EXTRACT",IF(ABS(P712)&gt;0.004,"SUBLEDGER ARITHMETIC ERROR",IF(ABS(M712)&gt;0.004,"BILLING VARIANCE","MATCH")))</f>
        <v/>
      </c>
    </row>
    <row r="713">
      <c r="A713" s="37" t="inlineStr">
        <is>
          <t>GW-0206</t>
        </is>
      </c>
      <c r="B713" s="37" t="inlineStr">
        <is>
          <t>Gullwing</t>
        </is>
      </c>
      <c r="C713" s="37" t="inlineStr">
        <is>
          <t>OPEN</t>
        </is>
      </c>
      <c r="D713" s="37" t="inlineStr">
        <is>
          <t>OCCUPIED</t>
        </is>
      </c>
      <c r="E713" s="37" t="inlineStr">
        <is>
          <t>WL-03352</t>
        </is>
      </c>
      <c r="F713" s="37" t="inlineStr">
        <is>
          <t>Isabella Sutton</t>
        </is>
      </c>
      <c r="G713" s="37" t="n">
        <v>24</v>
      </c>
      <c r="H713" s="39" t="n">
        <v>55.9</v>
      </c>
      <c r="I713" s="40">
        <f>ROUNDUP(MAX(G713,H713),0)</f>
        <v/>
      </c>
      <c r="J713" s="41">
        <f>IF(C713="COVERED",'Methodology'!$B$9,'Methodology'!$B$10)</f>
        <v/>
      </c>
      <c r="K713" s="41">
        <f>I713*J713</f>
        <v/>
      </c>
      <c r="L713" s="41">
        <f>SUMIFS('Billing Aug'!$J$2:$J$770,'Billing Aug'!$D$2:$D$770,A713)</f>
        <v/>
      </c>
      <c r="M713" s="41">
        <f>L713-K713</f>
        <v/>
      </c>
      <c r="N713" s="37">
        <f>COUNTIF('Billing Aug'!$D$2:$D$770,A713)</f>
        <v/>
      </c>
      <c r="O713" s="37">
        <f>SUMIFS('Billing Aug'!$F$2:$F$770,'Billing Aug'!$D$2:$D$770,A713)</f>
        <v/>
      </c>
      <c r="P713" s="41">
        <f>IF(N713=0,0,L713-SUMIFS('Billing Aug'!$H$2:$H$770,'Billing Aug'!$D$2:$D$770,A713)*SUMIFS('Billing Aug'!$I$2:$I$770,'Billing Aug'!$D$2:$D$770,A713))</f>
        <v/>
      </c>
      <c r="Q713" s="37">
        <f>IF(N713=0,"NO AUG TRANSACTION IN SUPPLIED EXTRACT",IF(ABS(P713)&gt;0.004,"SUBLEDGER ARITHMETIC ERROR",IF(ABS(M713)&gt;0.004,"BILLING VARIANCE","MATCH")))</f>
        <v/>
      </c>
    </row>
    <row r="714">
      <c r="A714" s="37" t="inlineStr">
        <is>
          <t>GW-0207</t>
        </is>
      </c>
      <c r="B714" s="37" t="inlineStr">
        <is>
          <t>Gullwing</t>
        </is>
      </c>
      <c r="C714" s="37" t="inlineStr">
        <is>
          <t>OPEN</t>
        </is>
      </c>
      <c r="D714" s="37" t="inlineStr">
        <is>
          <t>OCCUPIED</t>
        </is>
      </c>
      <c r="E714" s="37" t="inlineStr">
        <is>
          <t>WL-01291</t>
        </is>
      </c>
      <c r="F714" s="37" t="inlineStr">
        <is>
          <t>Brian Wallace</t>
        </is>
      </c>
      <c r="G714" s="37" t="n">
        <v>24</v>
      </c>
      <c r="H714" s="39" t="n">
        <v>52.2</v>
      </c>
      <c r="I714" s="40">
        <f>ROUNDUP(MAX(G714,H714),0)</f>
        <v/>
      </c>
      <c r="J714" s="41">
        <f>IF(C714="COVERED",'Methodology'!$B$9,'Methodology'!$B$10)</f>
        <v/>
      </c>
      <c r="K714" s="41">
        <f>I714*J714</f>
        <v/>
      </c>
      <c r="L714" s="41">
        <f>SUMIFS('Billing Aug'!$J$2:$J$770,'Billing Aug'!$D$2:$D$770,A714)</f>
        <v/>
      </c>
      <c r="M714" s="41">
        <f>L714-K714</f>
        <v/>
      </c>
      <c r="N714" s="37">
        <f>COUNTIF('Billing Aug'!$D$2:$D$770,A714)</f>
        <v/>
      </c>
      <c r="O714" s="37">
        <f>SUMIFS('Billing Aug'!$F$2:$F$770,'Billing Aug'!$D$2:$D$770,A714)</f>
        <v/>
      </c>
      <c r="P714" s="41">
        <f>IF(N714=0,0,L714-SUMIFS('Billing Aug'!$H$2:$H$770,'Billing Aug'!$D$2:$D$770,A714)*SUMIFS('Billing Aug'!$I$2:$I$770,'Billing Aug'!$D$2:$D$770,A714))</f>
        <v/>
      </c>
      <c r="Q714" s="37">
        <f>IF(N714=0,"NO AUG TRANSACTION IN SUPPLIED EXTRACT",IF(ABS(P714)&gt;0.004,"SUBLEDGER ARITHMETIC ERROR",IF(ABS(M714)&gt;0.004,"BILLING VARIANCE","MATCH")))</f>
        <v/>
      </c>
    </row>
    <row r="715">
      <c r="A715" s="37" t="inlineStr">
        <is>
          <t>GW-0208</t>
        </is>
      </c>
      <c r="B715" s="37" t="inlineStr">
        <is>
          <t>Gullwing</t>
        </is>
      </c>
      <c r="C715" s="37" t="inlineStr">
        <is>
          <t>OPEN</t>
        </is>
      </c>
      <c r="D715" s="37" t="inlineStr">
        <is>
          <t>OCCUPIED</t>
        </is>
      </c>
      <c r="E715" s="37" t="inlineStr">
        <is>
          <t>WL-02505</t>
        </is>
      </c>
      <c r="F715" s="37" t="inlineStr">
        <is>
          <t>Joe Smith</t>
        </is>
      </c>
      <c r="G715" s="37" t="n">
        <v>24</v>
      </c>
      <c r="H715" s="39" t="n">
        <v>57.6</v>
      </c>
      <c r="I715" s="40">
        <f>ROUNDUP(MAX(G715,H715),0)</f>
        <v/>
      </c>
      <c r="J715" s="41">
        <f>IF(C715="COVERED",'Methodology'!$B$9,'Methodology'!$B$10)</f>
        <v/>
      </c>
      <c r="K715" s="41">
        <f>I715*J715</f>
        <v/>
      </c>
      <c r="L715" s="41">
        <f>SUMIFS('Billing Aug'!$J$2:$J$770,'Billing Aug'!$D$2:$D$770,A715)</f>
        <v/>
      </c>
      <c r="M715" s="41">
        <f>L715-K715</f>
        <v/>
      </c>
      <c r="N715" s="37">
        <f>COUNTIF('Billing Aug'!$D$2:$D$770,A715)</f>
        <v/>
      </c>
      <c r="O715" s="37">
        <f>SUMIFS('Billing Aug'!$F$2:$F$770,'Billing Aug'!$D$2:$D$770,A715)</f>
        <v/>
      </c>
      <c r="P715" s="41">
        <f>IF(N715=0,0,L715-SUMIFS('Billing Aug'!$H$2:$H$770,'Billing Aug'!$D$2:$D$770,A715)*SUMIFS('Billing Aug'!$I$2:$I$770,'Billing Aug'!$D$2:$D$770,A715))</f>
        <v/>
      </c>
      <c r="Q715" s="37">
        <f>IF(N715=0,"NO AUG TRANSACTION IN SUPPLIED EXTRACT",IF(ABS(P715)&gt;0.004,"SUBLEDGER ARITHMETIC ERROR",IF(ABS(M715)&gt;0.004,"BILLING VARIANCE","MATCH")))</f>
        <v/>
      </c>
    </row>
    <row r="716">
      <c r="A716" s="37" t="inlineStr">
        <is>
          <t>GW-0209</t>
        </is>
      </c>
      <c r="B716" s="37" t="inlineStr">
        <is>
          <t>Gullwing</t>
        </is>
      </c>
      <c r="C716" s="37" t="inlineStr">
        <is>
          <t>OPEN</t>
        </is>
      </c>
      <c r="D716" s="37" t="inlineStr">
        <is>
          <t>OCCUPIED</t>
        </is>
      </c>
      <c r="E716" s="37" t="inlineStr">
        <is>
          <t>WL-01421</t>
        </is>
      </c>
      <c r="F716" s="37" t="inlineStr">
        <is>
          <t>Jessica Brown</t>
        </is>
      </c>
      <c r="G716" s="37" t="n">
        <v>40</v>
      </c>
      <c r="H716" s="39" t="n">
        <v>36</v>
      </c>
      <c r="I716" s="40">
        <f>ROUNDUP(MAX(G716,H716),0)</f>
        <v/>
      </c>
      <c r="J716" s="41">
        <f>IF(C716="COVERED",'Methodology'!$B$9,'Methodology'!$B$10)</f>
        <v/>
      </c>
      <c r="K716" s="41">
        <f>I716*J716</f>
        <v/>
      </c>
      <c r="L716" s="41">
        <f>SUMIFS('Billing Aug'!$J$2:$J$770,'Billing Aug'!$D$2:$D$770,A716)</f>
        <v/>
      </c>
      <c r="M716" s="41">
        <f>L716-K716</f>
        <v/>
      </c>
      <c r="N716" s="37">
        <f>COUNTIF('Billing Aug'!$D$2:$D$770,A716)</f>
        <v/>
      </c>
      <c r="O716" s="37">
        <f>SUMIFS('Billing Aug'!$F$2:$F$770,'Billing Aug'!$D$2:$D$770,A716)</f>
        <v/>
      </c>
      <c r="P716" s="41">
        <f>IF(N716=0,0,L716-SUMIFS('Billing Aug'!$H$2:$H$770,'Billing Aug'!$D$2:$D$770,A716)*SUMIFS('Billing Aug'!$I$2:$I$770,'Billing Aug'!$D$2:$D$770,A716))</f>
        <v/>
      </c>
      <c r="Q716" s="37">
        <f>IF(N716=0,"NO AUG TRANSACTION IN SUPPLIED EXTRACT",IF(ABS(P716)&gt;0.004,"SUBLEDGER ARITHMETIC ERROR",IF(ABS(M716)&gt;0.004,"BILLING VARIANCE","MATCH")))</f>
        <v/>
      </c>
    </row>
    <row r="717">
      <c r="A717" s="37" t="inlineStr">
        <is>
          <t>GW-0210</t>
        </is>
      </c>
      <c r="B717" s="37" t="inlineStr">
        <is>
          <t>Gullwing</t>
        </is>
      </c>
      <c r="C717" s="37" t="inlineStr">
        <is>
          <t>OPEN</t>
        </is>
      </c>
      <c r="D717" s="37" t="inlineStr">
        <is>
          <t>OCCUPIED</t>
        </is>
      </c>
      <c r="E717" s="37" t="inlineStr">
        <is>
          <t>WL-03832</t>
        </is>
      </c>
      <c r="F717" s="37" t="inlineStr">
        <is>
          <t>Amanda Smith</t>
        </is>
      </c>
      <c r="G717" s="37" t="n">
        <v>40</v>
      </c>
      <c r="H717" s="39" t="n">
        <v>30.9</v>
      </c>
      <c r="I717" s="40">
        <f>ROUNDUP(MAX(G717,H717),0)</f>
        <v/>
      </c>
      <c r="J717" s="41">
        <f>IF(C717="COVERED",'Methodology'!$B$9,'Methodology'!$B$10)</f>
        <v/>
      </c>
      <c r="K717" s="41">
        <f>I717*J717</f>
        <v/>
      </c>
      <c r="L717" s="41">
        <f>SUMIFS('Billing Aug'!$J$2:$J$770,'Billing Aug'!$D$2:$D$770,A717)</f>
        <v/>
      </c>
      <c r="M717" s="41">
        <f>L717-K717</f>
        <v/>
      </c>
      <c r="N717" s="37">
        <f>COUNTIF('Billing Aug'!$D$2:$D$770,A717)</f>
        <v/>
      </c>
      <c r="O717" s="37">
        <f>SUMIFS('Billing Aug'!$F$2:$F$770,'Billing Aug'!$D$2:$D$770,A717)</f>
        <v/>
      </c>
      <c r="P717" s="41">
        <f>IF(N717=0,0,L717-SUMIFS('Billing Aug'!$H$2:$H$770,'Billing Aug'!$D$2:$D$770,A717)*SUMIFS('Billing Aug'!$I$2:$I$770,'Billing Aug'!$D$2:$D$770,A717))</f>
        <v/>
      </c>
      <c r="Q717" s="37">
        <f>IF(N717=0,"NO AUG TRANSACTION IN SUPPLIED EXTRACT",IF(ABS(P717)&gt;0.004,"SUBLEDGER ARITHMETIC ERROR",IF(ABS(M717)&gt;0.004,"BILLING VARIANCE","MATCH")))</f>
        <v/>
      </c>
    </row>
    <row r="718">
      <c r="A718" s="37" t="inlineStr">
        <is>
          <t>GW-0211</t>
        </is>
      </c>
      <c r="B718" s="37" t="inlineStr">
        <is>
          <t>Gullwing</t>
        </is>
      </c>
      <c r="C718" s="37" t="inlineStr">
        <is>
          <t>OPEN</t>
        </is>
      </c>
      <c r="D718" s="37" t="inlineStr">
        <is>
          <t>OCCUPIED</t>
        </is>
      </c>
      <c r="E718" s="37" t="inlineStr">
        <is>
          <t>WL-03139</t>
        </is>
      </c>
      <c r="F718" s="37" t="inlineStr">
        <is>
          <t>Stanley Peterson</t>
        </is>
      </c>
      <c r="G718" s="37" t="n">
        <v>28</v>
      </c>
      <c r="H718" s="39" t="n">
        <v>22.7</v>
      </c>
      <c r="I718" s="40">
        <f>ROUNDUP(MAX(G718,H718),0)</f>
        <v/>
      </c>
      <c r="J718" s="41">
        <f>IF(C718="COVERED",'Methodology'!$B$9,'Methodology'!$B$10)</f>
        <v/>
      </c>
      <c r="K718" s="41">
        <f>I718*J718</f>
        <v/>
      </c>
      <c r="L718" s="41">
        <f>SUMIFS('Billing Aug'!$J$2:$J$770,'Billing Aug'!$D$2:$D$770,A718)</f>
        <v/>
      </c>
      <c r="M718" s="41">
        <f>L718-K718</f>
        <v/>
      </c>
      <c r="N718" s="37">
        <f>COUNTIF('Billing Aug'!$D$2:$D$770,A718)</f>
        <v/>
      </c>
      <c r="O718" s="37">
        <f>SUMIFS('Billing Aug'!$F$2:$F$770,'Billing Aug'!$D$2:$D$770,A718)</f>
        <v/>
      </c>
      <c r="P718" s="41">
        <f>IF(N718=0,0,L718-SUMIFS('Billing Aug'!$H$2:$H$770,'Billing Aug'!$D$2:$D$770,A718)*SUMIFS('Billing Aug'!$I$2:$I$770,'Billing Aug'!$D$2:$D$770,A718))</f>
        <v/>
      </c>
      <c r="Q718" s="37">
        <f>IF(N718=0,"NO AUG TRANSACTION IN SUPPLIED EXTRACT",IF(ABS(P718)&gt;0.004,"SUBLEDGER ARITHMETIC ERROR",IF(ABS(M718)&gt;0.004,"BILLING VARIANCE","MATCH")))</f>
        <v/>
      </c>
    </row>
    <row r="719">
      <c r="A719" s="37" t="inlineStr">
        <is>
          <t>GW-0212</t>
        </is>
      </c>
      <c r="B719" s="37" t="inlineStr">
        <is>
          <t>Gullwing</t>
        </is>
      </c>
      <c r="C719" s="37" t="inlineStr">
        <is>
          <t>OPEN</t>
        </is>
      </c>
      <c r="D719" s="37" t="inlineStr">
        <is>
          <t>OCCUPIED</t>
        </is>
      </c>
      <c r="E719" s="37" t="inlineStr">
        <is>
          <t>WL-02184</t>
        </is>
      </c>
      <c r="F719" s="37" t="inlineStr">
        <is>
          <t>Leonard Wiley</t>
        </is>
      </c>
      <c r="G719" s="37" t="n">
        <v>60</v>
      </c>
      <c r="H719" s="39" t="n">
        <v>31.8</v>
      </c>
      <c r="I719" s="40">
        <f>ROUNDUP(MAX(G719,H719),0)</f>
        <v/>
      </c>
      <c r="J719" s="41">
        <f>IF(C719="COVERED",'Methodology'!$B$9,'Methodology'!$B$10)</f>
        <v/>
      </c>
      <c r="K719" s="41">
        <f>I719*J719</f>
        <v/>
      </c>
      <c r="L719" s="41">
        <f>SUMIFS('Billing Aug'!$J$2:$J$770,'Billing Aug'!$D$2:$D$770,A719)</f>
        <v/>
      </c>
      <c r="M719" s="41">
        <f>L719-K719</f>
        <v/>
      </c>
      <c r="N719" s="37">
        <f>COUNTIF('Billing Aug'!$D$2:$D$770,A719)</f>
        <v/>
      </c>
      <c r="O719" s="37">
        <f>SUMIFS('Billing Aug'!$F$2:$F$770,'Billing Aug'!$D$2:$D$770,A719)</f>
        <v/>
      </c>
      <c r="P719" s="41">
        <f>IF(N719=0,0,L719-SUMIFS('Billing Aug'!$H$2:$H$770,'Billing Aug'!$D$2:$D$770,A719)*SUMIFS('Billing Aug'!$I$2:$I$770,'Billing Aug'!$D$2:$D$770,A719))</f>
        <v/>
      </c>
      <c r="Q719" s="37">
        <f>IF(N719=0,"NO AUG TRANSACTION IN SUPPLIED EXTRACT",IF(ABS(P719)&gt;0.004,"SUBLEDGER ARITHMETIC ERROR",IF(ABS(M719)&gt;0.004,"BILLING VARIANCE","MATCH")))</f>
        <v/>
      </c>
    </row>
    <row r="720">
      <c r="A720" s="37" t="inlineStr">
        <is>
          <t>GW-0213</t>
        </is>
      </c>
      <c r="B720" s="37" t="inlineStr">
        <is>
          <t>Gullwing</t>
        </is>
      </c>
      <c r="C720" s="37" t="inlineStr">
        <is>
          <t>OPEN</t>
        </is>
      </c>
      <c r="D720" s="37" t="inlineStr">
        <is>
          <t>OCCUPIED</t>
        </is>
      </c>
      <c r="E720" s="37" t="inlineStr">
        <is>
          <t>WL-02363</t>
        </is>
      </c>
      <c r="F720" s="37" t="inlineStr">
        <is>
          <t>Timothy Johnson</t>
        </is>
      </c>
      <c r="G720" s="37" t="n">
        <v>28</v>
      </c>
      <c r="H720" s="39" t="n">
        <v>28.3</v>
      </c>
      <c r="I720" s="40">
        <f>ROUNDUP(MAX(G720,H720),0)</f>
        <v/>
      </c>
      <c r="J720" s="41">
        <f>IF(C720="COVERED",'Methodology'!$B$9,'Methodology'!$B$10)</f>
        <v/>
      </c>
      <c r="K720" s="41">
        <f>I720*J720</f>
        <v/>
      </c>
      <c r="L720" s="41">
        <f>SUMIFS('Billing Aug'!$J$2:$J$770,'Billing Aug'!$D$2:$D$770,A720)</f>
        <v/>
      </c>
      <c r="M720" s="41">
        <f>L720-K720</f>
        <v/>
      </c>
      <c r="N720" s="37">
        <f>COUNTIF('Billing Aug'!$D$2:$D$770,A720)</f>
        <v/>
      </c>
      <c r="O720" s="37">
        <f>SUMIFS('Billing Aug'!$F$2:$F$770,'Billing Aug'!$D$2:$D$770,A720)</f>
        <v/>
      </c>
      <c r="P720" s="41">
        <f>IF(N720=0,0,L720-SUMIFS('Billing Aug'!$H$2:$H$770,'Billing Aug'!$D$2:$D$770,A720)*SUMIFS('Billing Aug'!$I$2:$I$770,'Billing Aug'!$D$2:$D$770,A720))</f>
        <v/>
      </c>
      <c r="Q720" s="37">
        <f>IF(N720=0,"NO AUG TRANSACTION IN SUPPLIED EXTRACT",IF(ABS(P720)&gt;0.004,"SUBLEDGER ARITHMETIC ERROR",IF(ABS(M720)&gt;0.004,"BILLING VARIANCE","MATCH")))</f>
        <v/>
      </c>
    </row>
    <row r="721">
      <c r="A721" s="37" t="inlineStr">
        <is>
          <t>GW-0214</t>
        </is>
      </c>
      <c r="B721" s="37" t="inlineStr">
        <is>
          <t>Gullwing</t>
        </is>
      </c>
      <c r="C721" s="37" t="inlineStr">
        <is>
          <t>OPEN</t>
        </is>
      </c>
      <c r="D721" s="37" t="inlineStr">
        <is>
          <t>OCCUPIED</t>
        </is>
      </c>
      <c r="E721" s="37" t="inlineStr">
        <is>
          <t>WL-03720</t>
        </is>
      </c>
      <c r="F721" s="37" t="inlineStr">
        <is>
          <t>Kristen Blair</t>
        </is>
      </c>
      <c r="G721" s="37" t="n">
        <v>24</v>
      </c>
      <c r="H721" s="39" t="n">
        <v>25.2</v>
      </c>
      <c r="I721" s="40">
        <f>ROUNDUP(MAX(G721,H721),0)</f>
        <v/>
      </c>
      <c r="J721" s="41">
        <f>IF(C721="COVERED",'Methodology'!$B$9,'Methodology'!$B$10)</f>
        <v/>
      </c>
      <c r="K721" s="41">
        <f>I721*J721</f>
        <v/>
      </c>
      <c r="L721" s="41">
        <f>SUMIFS('Billing Aug'!$J$2:$J$770,'Billing Aug'!$D$2:$D$770,A721)</f>
        <v/>
      </c>
      <c r="M721" s="41">
        <f>L721-K721</f>
        <v/>
      </c>
      <c r="N721" s="37">
        <f>COUNTIF('Billing Aug'!$D$2:$D$770,A721)</f>
        <v/>
      </c>
      <c r="O721" s="37">
        <f>SUMIFS('Billing Aug'!$F$2:$F$770,'Billing Aug'!$D$2:$D$770,A721)</f>
        <v/>
      </c>
      <c r="P721" s="41">
        <f>IF(N721=0,0,L721-SUMIFS('Billing Aug'!$H$2:$H$770,'Billing Aug'!$D$2:$D$770,A721)*SUMIFS('Billing Aug'!$I$2:$I$770,'Billing Aug'!$D$2:$D$770,A721))</f>
        <v/>
      </c>
      <c r="Q721" s="37">
        <f>IF(N721=0,"NO AUG TRANSACTION IN SUPPLIED EXTRACT",IF(ABS(P721)&gt;0.004,"SUBLEDGER ARITHMETIC ERROR",IF(ABS(M721)&gt;0.004,"BILLING VARIANCE","MATCH")))</f>
        <v/>
      </c>
    </row>
    <row r="722">
      <c r="A722" s="37" t="inlineStr">
        <is>
          <t>GW-0215</t>
        </is>
      </c>
      <c r="B722" s="37" t="inlineStr">
        <is>
          <t>Gullwing</t>
        </is>
      </c>
      <c r="C722" s="37" t="inlineStr">
        <is>
          <t>OPEN</t>
        </is>
      </c>
      <c r="D722" s="37" t="inlineStr">
        <is>
          <t>OCCUPIED</t>
        </is>
      </c>
      <c r="E722" s="37" t="inlineStr">
        <is>
          <t>WL-01436</t>
        </is>
      </c>
      <c r="F722" s="37" t="inlineStr">
        <is>
          <t>William Cook</t>
        </is>
      </c>
      <c r="G722" s="37" t="n">
        <v>28</v>
      </c>
      <c r="H722" s="39" t="n">
        <v>33.7</v>
      </c>
      <c r="I722" s="40">
        <f>ROUNDUP(MAX(G722,H722),0)</f>
        <v/>
      </c>
      <c r="J722" s="41">
        <f>IF(C722="COVERED",'Methodology'!$B$9,'Methodology'!$B$10)</f>
        <v/>
      </c>
      <c r="K722" s="41">
        <f>I722*J722</f>
        <v/>
      </c>
      <c r="L722" s="41">
        <f>SUMIFS('Billing Aug'!$J$2:$J$770,'Billing Aug'!$D$2:$D$770,A722)</f>
        <v/>
      </c>
      <c r="M722" s="41">
        <f>L722-K722</f>
        <v/>
      </c>
      <c r="N722" s="37">
        <f>COUNTIF('Billing Aug'!$D$2:$D$770,A722)</f>
        <v/>
      </c>
      <c r="O722" s="37">
        <f>SUMIFS('Billing Aug'!$F$2:$F$770,'Billing Aug'!$D$2:$D$770,A722)</f>
        <v/>
      </c>
      <c r="P722" s="41">
        <f>IF(N722=0,0,L722-SUMIFS('Billing Aug'!$H$2:$H$770,'Billing Aug'!$D$2:$D$770,A722)*SUMIFS('Billing Aug'!$I$2:$I$770,'Billing Aug'!$D$2:$D$770,A722))</f>
        <v/>
      </c>
      <c r="Q722" s="37">
        <f>IF(N722=0,"NO AUG TRANSACTION IN SUPPLIED EXTRACT",IF(ABS(P722)&gt;0.004,"SUBLEDGER ARITHMETIC ERROR",IF(ABS(M722)&gt;0.004,"BILLING VARIANCE","MATCH")))</f>
        <v/>
      </c>
    </row>
    <row r="723">
      <c r="A723" s="37" t="inlineStr">
        <is>
          <t>GW-0216</t>
        </is>
      </c>
      <c r="B723" s="37" t="inlineStr">
        <is>
          <t>Gullwing</t>
        </is>
      </c>
      <c r="C723" s="37" t="inlineStr">
        <is>
          <t>OPEN</t>
        </is>
      </c>
      <c r="D723" s="37" t="inlineStr">
        <is>
          <t>OCCUPIED</t>
        </is>
      </c>
      <c r="E723" s="37" t="inlineStr">
        <is>
          <t>WL-03614</t>
        </is>
      </c>
      <c r="F723" s="37" t="inlineStr">
        <is>
          <t>Richard Waters</t>
        </is>
      </c>
      <c r="G723" s="37" t="n">
        <v>80</v>
      </c>
      <c r="H723" s="39" t="n">
        <v>42.5</v>
      </c>
      <c r="I723" s="40">
        <f>ROUNDUP(MAX(G723,H723),0)</f>
        <v/>
      </c>
      <c r="J723" s="41">
        <f>IF(C723="COVERED",'Methodology'!$B$9,'Methodology'!$B$10)</f>
        <v/>
      </c>
      <c r="K723" s="41">
        <f>I723*J723</f>
        <v/>
      </c>
      <c r="L723" s="41">
        <f>SUMIFS('Billing Aug'!$J$2:$J$770,'Billing Aug'!$D$2:$D$770,A723)</f>
        <v/>
      </c>
      <c r="M723" s="41">
        <f>L723-K723</f>
        <v/>
      </c>
      <c r="N723" s="37">
        <f>COUNTIF('Billing Aug'!$D$2:$D$770,A723)</f>
        <v/>
      </c>
      <c r="O723" s="37">
        <f>SUMIFS('Billing Aug'!$F$2:$F$770,'Billing Aug'!$D$2:$D$770,A723)</f>
        <v/>
      </c>
      <c r="P723" s="41">
        <f>IF(N723=0,0,L723-SUMIFS('Billing Aug'!$H$2:$H$770,'Billing Aug'!$D$2:$D$770,A723)*SUMIFS('Billing Aug'!$I$2:$I$770,'Billing Aug'!$D$2:$D$770,A723))</f>
        <v/>
      </c>
      <c r="Q723" s="37">
        <f>IF(N723=0,"NO AUG TRANSACTION IN SUPPLIED EXTRACT",IF(ABS(P723)&gt;0.004,"SUBLEDGER ARITHMETIC ERROR",IF(ABS(M723)&gt;0.004,"BILLING VARIANCE","MATCH")))</f>
        <v/>
      </c>
    </row>
    <row r="724">
      <c r="A724" s="37" t="inlineStr">
        <is>
          <t>GW-0217</t>
        </is>
      </c>
      <c r="B724" s="37" t="inlineStr">
        <is>
          <t>Gullwing</t>
        </is>
      </c>
      <c r="C724" s="37" t="inlineStr">
        <is>
          <t>OPEN</t>
        </is>
      </c>
      <c r="D724" s="37" t="inlineStr">
        <is>
          <t>OCCUPIED</t>
        </is>
      </c>
      <c r="E724" s="37" t="inlineStr">
        <is>
          <t>WL-02984</t>
        </is>
      </c>
      <c r="F724" s="37" t="inlineStr">
        <is>
          <t>Bridget Jones</t>
        </is>
      </c>
      <c r="G724" s="37" t="n">
        <v>80</v>
      </c>
      <c r="H724" s="39" t="n">
        <v>58.7</v>
      </c>
      <c r="I724" s="40">
        <f>ROUNDUP(MAX(G724,H724),0)</f>
        <v/>
      </c>
      <c r="J724" s="41">
        <f>IF(C724="COVERED",'Methodology'!$B$9,'Methodology'!$B$10)</f>
        <v/>
      </c>
      <c r="K724" s="41">
        <f>I724*J724</f>
        <v/>
      </c>
      <c r="L724" s="41">
        <f>SUMIFS('Billing Aug'!$J$2:$J$770,'Billing Aug'!$D$2:$D$770,A724)</f>
        <v/>
      </c>
      <c r="M724" s="41">
        <f>L724-K724</f>
        <v/>
      </c>
      <c r="N724" s="37">
        <f>COUNTIF('Billing Aug'!$D$2:$D$770,A724)</f>
        <v/>
      </c>
      <c r="O724" s="37">
        <f>SUMIFS('Billing Aug'!$F$2:$F$770,'Billing Aug'!$D$2:$D$770,A724)</f>
        <v/>
      </c>
      <c r="P724" s="41">
        <f>IF(N724=0,0,L724-SUMIFS('Billing Aug'!$H$2:$H$770,'Billing Aug'!$D$2:$D$770,A724)*SUMIFS('Billing Aug'!$I$2:$I$770,'Billing Aug'!$D$2:$D$770,A724))</f>
        <v/>
      </c>
      <c r="Q724" s="37">
        <f>IF(N724=0,"NO AUG TRANSACTION IN SUPPLIED EXTRACT",IF(ABS(P724)&gt;0.004,"SUBLEDGER ARITHMETIC ERROR",IF(ABS(M724)&gt;0.004,"BILLING VARIANCE","MATCH")))</f>
        <v/>
      </c>
    </row>
    <row r="725">
      <c r="A725" s="37" t="inlineStr">
        <is>
          <t>GW-0218</t>
        </is>
      </c>
      <c r="B725" s="37" t="inlineStr">
        <is>
          <t>Gullwing</t>
        </is>
      </c>
      <c r="C725" s="37" t="inlineStr">
        <is>
          <t>OPEN</t>
        </is>
      </c>
      <c r="D725" s="37" t="inlineStr">
        <is>
          <t>OCCUPIED</t>
        </is>
      </c>
      <c r="E725" s="37" t="inlineStr">
        <is>
          <t>WL-01556</t>
        </is>
      </c>
      <c r="F725" s="37" t="inlineStr">
        <is>
          <t>Christopher Russell</t>
        </is>
      </c>
      <c r="G725" s="37" t="n">
        <v>60</v>
      </c>
      <c r="H725" s="39" t="n">
        <v>56.1</v>
      </c>
      <c r="I725" s="40">
        <f>ROUNDUP(MAX(G725,H725),0)</f>
        <v/>
      </c>
      <c r="J725" s="41">
        <f>IF(C725="COVERED",'Methodology'!$B$9,'Methodology'!$B$10)</f>
        <v/>
      </c>
      <c r="K725" s="41">
        <f>I725*J725</f>
        <v/>
      </c>
      <c r="L725" s="41">
        <f>SUMIFS('Billing Aug'!$J$2:$J$770,'Billing Aug'!$D$2:$D$770,A725)</f>
        <v/>
      </c>
      <c r="M725" s="41">
        <f>L725-K725</f>
        <v/>
      </c>
      <c r="N725" s="37">
        <f>COUNTIF('Billing Aug'!$D$2:$D$770,A725)</f>
        <v/>
      </c>
      <c r="O725" s="37">
        <f>SUMIFS('Billing Aug'!$F$2:$F$770,'Billing Aug'!$D$2:$D$770,A725)</f>
        <v/>
      </c>
      <c r="P725" s="41">
        <f>IF(N725=0,0,L725-SUMIFS('Billing Aug'!$H$2:$H$770,'Billing Aug'!$D$2:$D$770,A725)*SUMIFS('Billing Aug'!$I$2:$I$770,'Billing Aug'!$D$2:$D$770,A725))</f>
        <v/>
      </c>
      <c r="Q725" s="37">
        <f>IF(N725=0,"NO AUG TRANSACTION IN SUPPLIED EXTRACT",IF(ABS(P725)&gt;0.004,"SUBLEDGER ARITHMETIC ERROR",IF(ABS(M725)&gt;0.004,"BILLING VARIANCE","MATCH")))</f>
        <v/>
      </c>
    </row>
    <row r="726">
      <c r="A726" s="37" t="inlineStr">
        <is>
          <t>GW-0220</t>
        </is>
      </c>
      <c r="B726" s="37" t="inlineStr">
        <is>
          <t>Gullwing</t>
        </is>
      </c>
      <c r="C726" s="37" t="inlineStr">
        <is>
          <t>OPEN</t>
        </is>
      </c>
      <c r="D726" s="37" t="inlineStr">
        <is>
          <t>OCCUPIED</t>
        </is>
      </c>
      <c r="E726" s="37" t="inlineStr">
        <is>
          <t>WL-02436</t>
        </is>
      </c>
      <c r="F726" s="37" t="inlineStr">
        <is>
          <t>Jeffrey Allen</t>
        </is>
      </c>
      <c r="G726" s="37" t="n">
        <v>60</v>
      </c>
      <c r="H726" s="39" t="n">
        <v>54.9</v>
      </c>
      <c r="I726" s="40">
        <f>ROUNDUP(MAX(G726,H726),0)</f>
        <v/>
      </c>
      <c r="J726" s="41">
        <f>IF(C726="COVERED",'Methodology'!$B$9,'Methodology'!$B$10)</f>
        <v/>
      </c>
      <c r="K726" s="41">
        <f>I726*J726</f>
        <v/>
      </c>
      <c r="L726" s="41">
        <f>SUMIFS('Billing Aug'!$J$2:$J$770,'Billing Aug'!$D$2:$D$770,A726)</f>
        <v/>
      </c>
      <c r="M726" s="41">
        <f>L726-K726</f>
        <v/>
      </c>
      <c r="N726" s="37">
        <f>COUNTIF('Billing Aug'!$D$2:$D$770,A726)</f>
        <v/>
      </c>
      <c r="O726" s="37">
        <f>SUMIFS('Billing Aug'!$F$2:$F$770,'Billing Aug'!$D$2:$D$770,A726)</f>
        <v/>
      </c>
      <c r="P726" s="41">
        <f>IF(N726=0,0,L726-SUMIFS('Billing Aug'!$H$2:$H$770,'Billing Aug'!$D$2:$D$770,A726)*SUMIFS('Billing Aug'!$I$2:$I$770,'Billing Aug'!$D$2:$D$770,A726))</f>
        <v/>
      </c>
      <c r="Q726" s="37">
        <f>IF(N726=0,"NO AUG TRANSACTION IN SUPPLIED EXTRACT",IF(ABS(P726)&gt;0.004,"SUBLEDGER ARITHMETIC ERROR",IF(ABS(M726)&gt;0.004,"BILLING VARIANCE","MATCH")))</f>
        <v/>
      </c>
    </row>
    <row r="727">
      <c r="A727" s="37" t="inlineStr">
        <is>
          <t>GW-0221</t>
        </is>
      </c>
      <c r="B727" s="37" t="inlineStr">
        <is>
          <t>Gullwing</t>
        </is>
      </c>
      <c r="C727" s="37" t="inlineStr">
        <is>
          <t>OPEN</t>
        </is>
      </c>
      <c r="D727" s="37" t="inlineStr">
        <is>
          <t>OCCUPIED</t>
        </is>
      </c>
      <c r="E727" s="37" t="inlineStr">
        <is>
          <t>WL-02319</t>
        </is>
      </c>
      <c r="F727" s="37" t="inlineStr">
        <is>
          <t>Elizabeth Pacheco</t>
        </is>
      </c>
      <c r="G727" s="37" t="n">
        <v>80</v>
      </c>
      <c r="H727" s="39" t="n">
        <v>31.6</v>
      </c>
      <c r="I727" s="40">
        <f>ROUNDUP(MAX(G727,H727),0)</f>
        <v/>
      </c>
      <c r="J727" s="41">
        <f>IF(C727="COVERED",'Methodology'!$B$9,'Methodology'!$B$10)</f>
        <v/>
      </c>
      <c r="K727" s="41">
        <f>I727*J727</f>
        <v/>
      </c>
      <c r="L727" s="41">
        <f>SUMIFS('Billing Aug'!$J$2:$J$770,'Billing Aug'!$D$2:$D$770,A727)</f>
        <v/>
      </c>
      <c r="M727" s="41">
        <f>L727-K727</f>
        <v/>
      </c>
      <c r="N727" s="37">
        <f>COUNTIF('Billing Aug'!$D$2:$D$770,A727)</f>
        <v/>
      </c>
      <c r="O727" s="37">
        <f>SUMIFS('Billing Aug'!$F$2:$F$770,'Billing Aug'!$D$2:$D$770,A727)</f>
        <v/>
      </c>
      <c r="P727" s="41">
        <f>IF(N727=0,0,L727-SUMIFS('Billing Aug'!$H$2:$H$770,'Billing Aug'!$D$2:$D$770,A727)*SUMIFS('Billing Aug'!$I$2:$I$770,'Billing Aug'!$D$2:$D$770,A727))</f>
        <v/>
      </c>
      <c r="Q727" s="37">
        <f>IF(N727=0,"NO AUG TRANSACTION IN SUPPLIED EXTRACT",IF(ABS(P727)&gt;0.004,"SUBLEDGER ARITHMETIC ERROR",IF(ABS(M727)&gt;0.004,"BILLING VARIANCE","MATCH")))</f>
        <v/>
      </c>
    </row>
    <row r="728">
      <c r="A728" s="37" t="inlineStr">
        <is>
          <t>GW-0222</t>
        </is>
      </c>
      <c r="B728" s="37" t="inlineStr">
        <is>
          <t>Gullwing</t>
        </is>
      </c>
      <c r="C728" s="37" t="inlineStr">
        <is>
          <t>OPEN</t>
        </is>
      </c>
      <c r="D728" s="37" t="inlineStr">
        <is>
          <t>OCCUPIED</t>
        </is>
      </c>
      <c r="E728" s="37" t="inlineStr">
        <is>
          <t>WL-01365</t>
        </is>
      </c>
      <c r="F728" s="37" t="inlineStr">
        <is>
          <t>Andrew Griffith</t>
        </is>
      </c>
      <c r="G728" s="37" t="n">
        <v>60</v>
      </c>
      <c r="H728" s="39" t="n">
        <v>29.9</v>
      </c>
      <c r="I728" s="40">
        <f>ROUNDUP(MAX(G728,H728),0)</f>
        <v/>
      </c>
      <c r="J728" s="41">
        <f>IF(C728="COVERED",'Methodology'!$B$9,'Methodology'!$B$10)</f>
        <v/>
      </c>
      <c r="K728" s="41">
        <f>I728*J728</f>
        <v/>
      </c>
      <c r="L728" s="41">
        <f>SUMIFS('Billing Aug'!$J$2:$J$770,'Billing Aug'!$D$2:$D$770,A728)</f>
        <v/>
      </c>
      <c r="M728" s="41">
        <f>L728-K728</f>
        <v/>
      </c>
      <c r="N728" s="37">
        <f>COUNTIF('Billing Aug'!$D$2:$D$770,A728)</f>
        <v/>
      </c>
      <c r="O728" s="37">
        <f>SUMIFS('Billing Aug'!$F$2:$F$770,'Billing Aug'!$D$2:$D$770,A728)</f>
        <v/>
      </c>
      <c r="P728" s="41">
        <f>IF(N728=0,0,L728-SUMIFS('Billing Aug'!$H$2:$H$770,'Billing Aug'!$D$2:$D$770,A728)*SUMIFS('Billing Aug'!$I$2:$I$770,'Billing Aug'!$D$2:$D$770,A728))</f>
        <v/>
      </c>
      <c r="Q728" s="37">
        <f>IF(N728=0,"NO AUG TRANSACTION IN SUPPLIED EXTRACT",IF(ABS(P728)&gt;0.004,"SUBLEDGER ARITHMETIC ERROR",IF(ABS(M728)&gt;0.004,"BILLING VARIANCE","MATCH")))</f>
        <v/>
      </c>
    </row>
    <row r="729">
      <c r="A729" s="37" t="inlineStr">
        <is>
          <t>GW-0223</t>
        </is>
      </c>
      <c r="B729" s="37" t="inlineStr">
        <is>
          <t>Gullwing</t>
        </is>
      </c>
      <c r="C729" s="37" t="inlineStr">
        <is>
          <t>OPEN</t>
        </is>
      </c>
      <c r="D729" s="37" t="inlineStr">
        <is>
          <t>OCCUPIED</t>
        </is>
      </c>
      <c r="E729" s="37" t="inlineStr">
        <is>
          <t>WL-01975</t>
        </is>
      </c>
      <c r="F729" s="37" t="inlineStr">
        <is>
          <t>Susan Wilson</t>
        </is>
      </c>
      <c r="G729" s="37" t="n">
        <v>28</v>
      </c>
      <c r="H729" s="39" t="n">
        <v>45.5</v>
      </c>
      <c r="I729" s="40">
        <f>ROUNDUP(MAX(G729,H729),0)</f>
        <v/>
      </c>
      <c r="J729" s="41">
        <f>IF(C729="COVERED",'Methodology'!$B$9,'Methodology'!$B$10)</f>
        <v/>
      </c>
      <c r="K729" s="41">
        <f>I729*J729</f>
        <v/>
      </c>
      <c r="L729" s="41">
        <f>SUMIFS('Billing Aug'!$J$2:$J$770,'Billing Aug'!$D$2:$D$770,A729)</f>
        <v/>
      </c>
      <c r="M729" s="41">
        <f>L729-K729</f>
        <v/>
      </c>
      <c r="N729" s="37">
        <f>COUNTIF('Billing Aug'!$D$2:$D$770,A729)</f>
        <v/>
      </c>
      <c r="O729" s="37">
        <f>SUMIFS('Billing Aug'!$F$2:$F$770,'Billing Aug'!$D$2:$D$770,A729)</f>
        <v/>
      </c>
      <c r="P729" s="41">
        <f>IF(N729=0,0,L729-SUMIFS('Billing Aug'!$H$2:$H$770,'Billing Aug'!$D$2:$D$770,A729)*SUMIFS('Billing Aug'!$I$2:$I$770,'Billing Aug'!$D$2:$D$770,A729))</f>
        <v/>
      </c>
      <c r="Q729" s="37">
        <f>IF(N729=0,"NO AUG TRANSACTION IN SUPPLIED EXTRACT",IF(ABS(P729)&gt;0.004,"SUBLEDGER ARITHMETIC ERROR",IF(ABS(M729)&gt;0.004,"BILLING VARIANCE","MATCH")))</f>
        <v/>
      </c>
    </row>
    <row r="730">
      <c r="A730" s="37" t="inlineStr">
        <is>
          <t>GW-0301</t>
        </is>
      </c>
      <c r="B730" s="37" t="inlineStr">
        <is>
          <t>Gullwing</t>
        </is>
      </c>
      <c r="C730" s="37" t="inlineStr">
        <is>
          <t>OPEN</t>
        </is>
      </c>
      <c r="D730" s="37" t="inlineStr">
        <is>
          <t>OCCUPIED</t>
        </is>
      </c>
      <c r="E730" s="37" t="inlineStr">
        <is>
          <t>WL-01964</t>
        </is>
      </c>
      <c r="F730" s="37" t="inlineStr">
        <is>
          <t>Ryan Richardson</t>
        </is>
      </c>
      <c r="G730" s="37" t="n">
        <v>24</v>
      </c>
      <c r="H730" s="39" t="n">
        <v>32.4</v>
      </c>
      <c r="I730" s="40">
        <f>ROUNDUP(MAX(G730,H730),0)</f>
        <v/>
      </c>
      <c r="J730" s="41">
        <f>IF(C730="COVERED",'Methodology'!$B$9,'Methodology'!$B$10)</f>
        <v/>
      </c>
      <c r="K730" s="41">
        <f>I730*J730</f>
        <v/>
      </c>
      <c r="L730" s="41">
        <f>SUMIFS('Billing Aug'!$J$2:$J$770,'Billing Aug'!$D$2:$D$770,A730)</f>
        <v/>
      </c>
      <c r="M730" s="41">
        <f>L730-K730</f>
        <v/>
      </c>
      <c r="N730" s="37">
        <f>COUNTIF('Billing Aug'!$D$2:$D$770,A730)</f>
        <v/>
      </c>
      <c r="O730" s="37">
        <f>SUMIFS('Billing Aug'!$F$2:$F$770,'Billing Aug'!$D$2:$D$770,A730)</f>
        <v/>
      </c>
      <c r="P730" s="41">
        <f>IF(N730=0,0,L730-SUMIFS('Billing Aug'!$H$2:$H$770,'Billing Aug'!$D$2:$D$770,A730)*SUMIFS('Billing Aug'!$I$2:$I$770,'Billing Aug'!$D$2:$D$770,A730))</f>
        <v/>
      </c>
      <c r="Q730" s="37">
        <f>IF(N730=0,"NO AUG TRANSACTION IN SUPPLIED EXTRACT",IF(ABS(P730)&gt;0.004,"SUBLEDGER ARITHMETIC ERROR",IF(ABS(M730)&gt;0.004,"BILLING VARIANCE","MATCH")))</f>
        <v/>
      </c>
    </row>
    <row r="731">
      <c r="A731" s="37" t="inlineStr">
        <is>
          <t>GW-0302</t>
        </is>
      </c>
      <c r="B731" s="37" t="inlineStr">
        <is>
          <t>Gullwing</t>
        </is>
      </c>
      <c r="C731" s="37" t="inlineStr">
        <is>
          <t>OPEN</t>
        </is>
      </c>
      <c r="D731" s="37" t="inlineStr">
        <is>
          <t>OCCUPIED</t>
        </is>
      </c>
      <c r="E731" s="37" t="inlineStr">
        <is>
          <t>WL-01735</t>
        </is>
      </c>
      <c r="F731" s="37" t="inlineStr">
        <is>
          <t>Jeffrey Brown</t>
        </is>
      </c>
      <c r="G731" s="37" t="n">
        <v>28</v>
      </c>
      <c r="H731" s="39" t="n">
        <v>55.3</v>
      </c>
      <c r="I731" s="40">
        <f>ROUNDUP(MAX(G731,H731),0)</f>
        <v/>
      </c>
      <c r="J731" s="41">
        <f>IF(C731="COVERED",'Methodology'!$B$9,'Methodology'!$B$10)</f>
        <v/>
      </c>
      <c r="K731" s="41">
        <f>I731*J731</f>
        <v/>
      </c>
      <c r="L731" s="41">
        <f>SUMIFS('Billing Aug'!$J$2:$J$770,'Billing Aug'!$D$2:$D$770,A731)</f>
        <v/>
      </c>
      <c r="M731" s="41">
        <f>L731-K731</f>
        <v/>
      </c>
      <c r="N731" s="37">
        <f>COUNTIF('Billing Aug'!$D$2:$D$770,A731)</f>
        <v/>
      </c>
      <c r="O731" s="37">
        <f>SUMIFS('Billing Aug'!$F$2:$F$770,'Billing Aug'!$D$2:$D$770,A731)</f>
        <v/>
      </c>
      <c r="P731" s="41">
        <f>IF(N731=0,0,L731-SUMIFS('Billing Aug'!$H$2:$H$770,'Billing Aug'!$D$2:$D$770,A731)*SUMIFS('Billing Aug'!$I$2:$I$770,'Billing Aug'!$D$2:$D$770,A731))</f>
        <v/>
      </c>
      <c r="Q731" s="37">
        <f>IF(N731=0,"NO AUG TRANSACTION IN SUPPLIED EXTRACT",IF(ABS(P731)&gt;0.004,"SUBLEDGER ARITHMETIC ERROR",IF(ABS(M731)&gt;0.004,"BILLING VARIANCE","MATCH")))</f>
        <v/>
      </c>
    </row>
    <row r="732">
      <c r="A732" s="37" t="inlineStr">
        <is>
          <t>GW-0303</t>
        </is>
      </c>
      <c r="B732" s="37" t="inlineStr">
        <is>
          <t>Gullwing</t>
        </is>
      </c>
      <c r="C732" s="37" t="inlineStr">
        <is>
          <t>OPEN</t>
        </is>
      </c>
      <c r="D732" s="37" t="inlineStr">
        <is>
          <t>OCCUPIED</t>
        </is>
      </c>
      <c r="E732" s="37" t="inlineStr">
        <is>
          <t>WL-02091</t>
        </is>
      </c>
      <c r="F732" s="37" t="inlineStr">
        <is>
          <t>Timothy Herrera</t>
        </is>
      </c>
      <c r="G732" s="37" t="n">
        <v>28</v>
      </c>
      <c r="H732" s="39" t="n">
        <v>29.9</v>
      </c>
      <c r="I732" s="40">
        <f>ROUNDUP(MAX(G732,H732),0)</f>
        <v/>
      </c>
      <c r="J732" s="41">
        <f>IF(C732="COVERED",'Methodology'!$B$9,'Methodology'!$B$10)</f>
        <v/>
      </c>
      <c r="K732" s="41">
        <f>I732*J732</f>
        <v/>
      </c>
      <c r="L732" s="41">
        <f>SUMIFS('Billing Aug'!$J$2:$J$770,'Billing Aug'!$D$2:$D$770,A732)</f>
        <v/>
      </c>
      <c r="M732" s="41">
        <f>L732-K732</f>
        <v/>
      </c>
      <c r="N732" s="37">
        <f>COUNTIF('Billing Aug'!$D$2:$D$770,A732)</f>
        <v/>
      </c>
      <c r="O732" s="37">
        <f>SUMIFS('Billing Aug'!$F$2:$F$770,'Billing Aug'!$D$2:$D$770,A732)</f>
        <v/>
      </c>
      <c r="P732" s="41">
        <f>IF(N732=0,0,L732-SUMIFS('Billing Aug'!$H$2:$H$770,'Billing Aug'!$D$2:$D$770,A732)*SUMIFS('Billing Aug'!$I$2:$I$770,'Billing Aug'!$D$2:$D$770,A732))</f>
        <v/>
      </c>
      <c r="Q732" s="37">
        <f>IF(N732=0,"NO AUG TRANSACTION IN SUPPLIED EXTRACT",IF(ABS(P732)&gt;0.004,"SUBLEDGER ARITHMETIC ERROR",IF(ABS(M732)&gt;0.004,"BILLING VARIANCE","MATCH")))</f>
        <v/>
      </c>
    </row>
    <row r="733">
      <c r="A733" s="37" t="inlineStr">
        <is>
          <t>GW-0304</t>
        </is>
      </c>
      <c r="B733" s="37" t="inlineStr">
        <is>
          <t>Gullwing</t>
        </is>
      </c>
      <c r="C733" s="37" t="inlineStr">
        <is>
          <t>OPEN</t>
        </is>
      </c>
      <c r="D733" s="37" t="inlineStr">
        <is>
          <t>OCCUPIED</t>
        </is>
      </c>
      <c r="E733" s="37" t="inlineStr">
        <is>
          <t>WL-01040</t>
        </is>
      </c>
      <c r="F733" s="37" t="inlineStr">
        <is>
          <t>Bradley Collins</t>
        </is>
      </c>
      <c r="G733" s="37" t="n">
        <v>32</v>
      </c>
      <c r="H733" s="39" t="n">
        <v>35.3</v>
      </c>
      <c r="I733" s="40">
        <f>ROUNDUP(MAX(G733,H733),0)</f>
        <v/>
      </c>
      <c r="J733" s="41">
        <f>IF(C733="COVERED",'Methodology'!$B$9,'Methodology'!$B$10)</f>
        <v/>
      </c>
      <c r="K733" s="41">
        <f>I733*J733</f>
        <v/>
      </c>
      <c r="L733" s="41">
        <f>SUMIFS('Billing Aug'!$J$2:$J$770,'Billing Aug'!$D$2:$D$770,A733)</f>
        <v/>
      </c>
      <c r="M733" s="41">
        <f>L733-K733</f>
        <v/>
      </c>
      <c r="N733" s="37">
        <f>COUNTIF('Billing Aug'!$D$2:$D$770,A733)</f>
        <v/>
      </c>
      <c r="O733" s="37">
        <f>SUMIFS('Billing Aug'!$F$2:$F$770,'Billing Aug'!$D$2:$D$770,A733)</f>
        <v/>
      </c>
      <c r="P733" s="41">
        <f>IF(N733=0,0,L733-SUMIFS('Billing Aug'!$H$2:$H$770,'Billing Aug'!$D$2:$D$770,A733)*SUMIFS('Billing Aug'!$I$2:$I$770,'Billing Aug'!$D$2:$D$770,A733))</f>
        <v/>
      </c>
      <c r="Q733" s="37">
        <f>IF(N733=0,"NO AUG TRANSACTION IN SUPPLIED EXTRACT",IF(ABS(P733)&gt;0.004,"SUBLEDGER ARITHMETIC ERROR",IF(ABS(M733)&gt;0.004,"BILLING VARIANCE","MATCH")))</f>
        <v/>
      </c>
    </row>
    <row r="734">
      <c r="A734" s="37" t="inlineStr">
        <is>
          <t>GW-0305</t>
        </is>
      </c>
      <c r="B734" s="37" t="inlineStr">
        <is>
          <t>Gullwing</t>
        </is>
      </c>
      <c r="C734" s="37" t="inlineStr">
        <is>
          <t>OPEN</t>
        </is>
      </c>
      <c r="D734" s="37" t="inlineStr">
        <is>
          <t>OCCUPIED</t>
        </is>
      </c>
      <c r="E734" s="37" t="inlineStr">
        <is>
          <t>WL-02528</t>
        </is>
      </c>
      <c r="F734" s="37" t="inlineStr">
        <is>
          <t>Lisa Richards</t>
        </is>
      </c>
      <c r="G734" s="37" t="n">
        <v>80</v>
      </c>
      <c r="H734" s="39" t="n">
        <v>60</v>
      </c>
      <c r="I734" s="40">
        <f>ROUNDUP(MAX(G734,H734),0)</f>
        <v/>
      </c>
      <c r="J734" s="41">
        <f>IF(C734="COVERED",'Methodology'!$B$9,'Methodology'!$B$10)</f>
        <v/>
      </c>
      <c r="K734" s="41">
        <f>I734*J734</f>
        <v/>
      </c>
      <c r="L734" s="41">
        <f>SUMIFS('Billing Aug'!$J$2:$J$770,'Billing Aug'!$D$2:$D$770,A734)</f>
        <v/>
      </c>
      <c r="M734" s="41">
        <f>L734-K734</f>
        <v/>
      </c>
      <c r="N734" s="37">
        <f>COUNTIF('Billing Aug'!$D$2:$D$770,A734)</f>
        <v/>
      </c>
      <c r="O734" s="37">
        <f>SUMIFS('Billing Aug'!$F$2:$F$770,'Billing Aug'!$D$2:$D$770,A734)</f>
        <v/>
      </c>
      <c r="P734" s="41">
        <f>IF(N734=0,0,L734-SUMIFS('Billing Aug'!$H$2:$H$770,'Billing Aug'!$D$2:$D$770,A734)*SUMIFS('Billing Aug'!$I$2:$I$770,'Billing Aug'!$D$2:$D$770,A734))</f>
        <v/>
      </c>
      <c r="Q734" s="37">
        <f>IF(N734=0,"NO AUG TRANSACTION IN SUPPLIED EXTRACT",IF(ABS(P734)&gt;0.004,"SUBLEDGER ARITHMETIC ERROR",IF(ABS(M734)&gt;0.004,"BILLING VARIANCE","MATCH")))</f>
        <v/>
      </c>
    </row>
    <row r="735">
      <c r="A735" s="37" t="inlineStr">
        <is>
          <t>GW-0306</t>
        </is>
      </c>
      <c r="B735" s="37" t="inlineStr">
        <is>
          <t>Gullwing</t>
        </is>
      </c>
      <c r="C735" s="37" t="inlineStr">
        <is>
          <t>OPEN</t>
        </is>
      </c>
      <c r="D735" s="37" t="inlineStr">
        <is>
          <t>OCCUPIED</t>
        </is>
      </c>
      <c r="E735" s="37" t="inlineStr">
        <is>
          <t>WL-02723</t>
        </is>
      </c>
      <c r="F735" s="37" t="inlineStr">
        <is>
          <t>Gregory Curtis</t>
        </is>
      </c>
      <c r="G735" s="37" t="n">
        <v>32</v>
      </c>
      <c r="H735" s="39" t="n">
        <v>46.9</v>
      </c>
      <c r="I735" s="40">
        <f>ROUNDUP(MAX(G735,H735),0)</f>
        <v/>
      </c>
      <c r="J735" s="41">
        <f>IF(C735="COVERED",'Methodology'!$B$9,'Methodology'!$B$10)</f>
        <v/>
      </c>
      <c r="K735" s="41">
        <f>I735*J735</f>
        <v/>
      </c>
      <c r="L735" s="41">
        <f>SUMIFS('Billing Aug'!$J$2:$J$770,'Billing Aug'!$D$2:$D$770,A735)</f>
        <v/>
      </c>
      <c r="M735" s="41">
        <f>L735-K735</f>
        <v/>
      </c>
      <c r="N735" s="37">
        <f>COUNTIF('Billing Aug'!$D$2:$D$770,A735)</f>
        <v/>
      </c>
      <c r="O735" s="37">
        <f>SUMIFS('Billing Aug'!$F$2:$F$770,'Billing Aug'!$D$2:$D$770,A735)</f>
        <v/>
      </c>
      <c r="P735" s="41">
        <f>IF(N735=0,0,L735-SUMIFS('Billing Aug'!$H$2:$H$770,'Billing Aug'!$D$2:$D$770,A735)*SUMIFS('Billing Aug'!$I$2:$I$770,'Billing Aug'!$D$2:$D$770,A735))</f>
        <v/>
      </c>
      <c r="Q735" s="37">
        <f>IF(N735=0,"NO AUG TRANSACTION IN SUPPLIED EXTRACT",IF(ABS(P735)&gt;0.004,"SUBLEDGER ARITHMETIC ERROR",IF(ABS(M735)&gt;0.004,"BILLING VARIANCE","MATCH")))</f>
        <v/>
      </c>
    </row>
    <row r="736">
      <c r="A736" s="37" t="inlineStr">
        <is>
          <t>GW-0307</t>
        </is>
      </c>
      <c r="B736" s="37" t="inlineStr">
        <is>
          <t>Gullwing</t>
        </is>
      </c>
      <c r="C736" s="37" t="inlineStr">
        <is>
          <t>OPEN</t>
        </is>
      </c>
      <c r="D736" s="37" t="inlineStr">
        <is>
          <t>OCCUPIED</t>
        </is>
      </c>
      <c r="E736" s="37" t="inlineStr">
        <is>
          <t>WL-02437</t>
        </is>
      </c>
      <c r="F736" s="37" t="inlineStr">
        <is>
          <t>Jeremy Holmes</t>
        </is>
      </c>
      <c r="G736" s="37" t="n">
        <v>32</v>
      </c>
      <c r="H736" s="39" t="n">
        <v>41.2</v>
      </c>
      <c r="I736" s="40">
        <f>ROUNDUP(MAX(G736,H736),0)</f>
        <v/>
      </c>
      <c r="J736" s="41">
        <f>IF(C736="COVERED",'Methodology'!$B$9,'Methodology'!$B$10)</f>
        <v/>
      </c>
      <c r="K736" s="41">
        <f>I736*J736</f>
        <v/>
      </c>
      <c r="L736" s="41">
        <f>SUMIFS('Billing Aug'!$J$2:$J$770,'Billing Aug'!$D$2:$D$770,A736)</f>
        <v/>
      </c>
      <c r="M736" s="41">
        <f>L736-K736</f>
        <v/>
      </c>
      <c r="N736" s="37">
        <f>COUNTIF('Billing Aug'!$D$2:$D$770,A736)</f>
        <v/>
      </c>
      <c r="O736" s="37">
        <f>SUMIFS('Billing Aug'!$F$2:$F$770,'Billing Aug'!$D$2:$D$770,A736)</f>
        <v/>
      </c>
      <c r="P736" s="41">
        <f>IF(N736=0,0,L736-SUMIFS('Billing Aug'!$H$2:$H$770,'Billing Aug'!$D$2:$D$770,A736)*SUMIFS('Billing Aug'!$I$2:$I$770,'Billing Aug'!$D$2:$D$770,A736))</f>
        <v/>
      </c>
      <c r="Q736" s="37">
        <f>IF(N736=0,"NO AUG TRANSACTION IN SUPPLIED EXTRACT",IF(ABS(P736)&gt;0.004,"SUBLEDGER ARITHMETIC ERROR",IF(ABS(M736)&gt;0.004,"BILLING VARIANCE","MATCH")))</f>
        <v/>
      </c>
    </row>
    <row r="737">
      <c r="A737" s="37" t="inlineStr">
        <is>
          <t>GW-0308</t>
        </is>
      </c>
      <c r="B737" s="37" t="inlineStr">
        <is>
          <t>Gullwing</t>
        </is>
      </c>
      <c r="C737" s="37" t="inlineStr">
        <is>
          <t>OPEN</t>
        </is>
      </c>
      <c r="D737" s="37" t="inlineStr">
        <is>
          <t>OCCUPIED</t>
        </is>
      </c>
      <c r="E737" s="37" t="inlineStr">
        <is>
          <t>WL-01165</t>
        </is>
      </c>
      <c r="F737" s="37" t="inlineStr">
        <is>
          <t>Rebecca Smith</t>
        </is>
      </c>
      <c r="G737" s="37" t="n">
        <v>60</v>
      </c>
      <c r="H737" s="39" t="n">
        <v>51.5</v>
      </c>
      <c r="I737" s="40">
        <f>ROUNDUP(MAX(G737,H737),0)</f>
        <v/>
      </c>
      <c r="J737" s="41">
        <f>IF(C737="COVERED",'Methodology'!$B$9,'Methodology'!$B$10)</f>
        <v/>
      </c>
      <c r="K737" s="41">
        <f>I737*J737</f>
        <v/>
      </c>
      <c r="L737" s="41">
        <f>SUMIFS('Billing Aug'!$J$2:$J$770,'Billing Aug'!$D$2:$D$770,A737)</f>
        <v/>
      </c>
      <c r="M737" s="41">
        <f>L737-K737</f>
        <v/>
      </c>
      <c r="N737" s="37">
        <f>COUNTIF('Billing Aug'!$D$2:$D$770,A737)</f>
        <v/>
      </c>
      <c r="O737" s="37">
        <f>SUMIFS('Billing Aug'!$F$2:$F$770,'Billing Aug'!$D$2:$D$770,A737)</f>
        <v/>
      </c>
      <c r="P737" s="41">
        <f>IF(N737=0,0,L737-SUMIFS('Billing Aug'!$H$2:$H$770,'Billing Aug'!$D$2:$D$770,A737)*SUMIFS('Billing Aug'!$I$2:$I$770,'Billing Aug'!$D$2:$D$770,A737))</f>
        <v/>
      </c>
      <c r="Q737" s="37">
        <f>IF(N737=0,"NO AUG TRANSACTION IN SUPPLIED EXTRACT",IF(ABS(P737)&gt;0.004,"SUBLEDGER ARITHMETIC ERROR",IF(ABS(M737)&gt;0.004,"BILLING VARIANCE","MATCH")))</f>
        <v/>
      </c>
    </row>
    <row r="738">
      <c r="A738" s="37" t="inlineStr">
        <is>
          <t>GW-0309</t>
        </is>
      </c>
      <c r="B738" s="37" t="inlineStr">
        <is>
          <t>Gullwing</t>
        </is>
      </c>
      <c r="C738" s="37" t="inlineStr">
        <is>
          <t>OPEN</t>
        </is>
      </c>
      <c r="D738" s="37" t="inlineStr">
        <is>
          <t>OCCUPIED</t>
        </is>
      </c>
      <c r="E738" s="37" t="inlineStr">
        <is>
          <t>WL-03290</t>
        </is>
      </c>
      <c r="F738" s="37" t="inlineStr">
        <is>
          <t>Caitlin Chavez</t>
        </is>
      </c>
      <c r="G738" s="37" t="n">
        <v>40</v>
      </c>
      <c r="H738" s="39" t="n">
        <v>48.5</v>
      </c>
      <c r="I738" s="40">
        <f>ROUNDUP(MAX(G738,H738),0)</f>
        <v/>
      </c>
      <c r="J738" s="41">
        <f>IF(C738="COVERED",'Methodology'!$B$9,'Methodology'!$B$10)</f>
        <v/>
      </c>
      <c r="K738" s="41">
        <f>I738*J738</f>
        <v/>
      </c>
      <c r="L738" s="41">
        <f>SUMIFS('Billing Aug'!$J$2:$J$770,'Billing Aug'!$D$2:$D$770,A738)</f>
        <v/>
      </c>
      <c r="M738" s="41">
        <f>L738-K738</f>
        <v/>
      </c>
      <c r="N738" s="37">
        <f>COUNTIF('Billing Aug'!$D$2:$D$770,A738)</f>
        <v/>
      </c>
      <c r="O738" s="37">
        <f>SUMIFS('Billing Aug'!$F$2:$F$770,'Billing Aug'!$D$2:$D$770,A738)</f>
        <v/>
      </c>
      <c r="P738" s="41">
        <f>IF(N738=0,0,L738-SUMIFS('Billing Aug'!$H$2:$H$770,'Billing Aug'!$D$2:$D$770,A738)*SUMIFS('Billing Aug'!$I$2:$I$770,'Billing Aug'!$D$2:$D$770,A738))</f>
        <v/>
      </c>
      <c r="Q738" s="37">
        <f>IF(N738=0,"NO AUG TRANSACTION IN SUPPLIED EXTRACT",IF(ABS(P738)&gt;0.004,"SUBLEDGER ARITHMETIC ERROR",IF(ABS(M738)&gt;0.004,"BILLING VARIANCE","MATCH")))</f>
        <v/>
      </c>
    </row>
    <row r="739">
      <c r="A739" s="37" t="inlineStr">
        <is>
          <t>GW-0310</t>
        </is>
      </c>
      <c r="B739" s="37" t="inlineStr">
        <is>
          <t>Gullwing</t>
        </is>
      </c>
      <c r="C739" s="37" t="inlineStr">
        <is>
          <t>OPEN</t>
        </is>
      </c>
      <c r="D739" s="37" t="inlineStr">
        <is>
          <t>OCCUPIED</t>
        </is>
      </c>
      <c r="E739" s="37" t="inlineStr">
        <is>
          <t>WL-03315</t>
        </is>
      </c>
      <c r="F739" s="37" t="inlineStr">
        <is>
          <t>Marvin Miranda</t>
        </is>
      </c>
      <c r="G739" s="37" t="n">
        <v>36</v>
      </c>
      <c r="H739" s="39" t="n">
        <v>20.4</v>
      </c>
      <c r="I739" s="40">
        <f>ROUNDUP(MAX(G739,H739),0)</f>
        <v/>
      </c>
      <c r="J739" s="41">
        <f>IF(C739="COVERED",'Methodology'!$B$9,'Methodology'!$B$10)</f>
        <v/>
      </c>
      <c r="K739" s="41">
        <f>I739*J739</f>
        <v/>
      </c>
      <c r="L739" s="41">
        <f>SUMIFS('Billing Aug'!$J$2:$J$770,'Billing Aug'!$D$2:$D$770,A739)</f>
        <v/>
      </c>
      <c r="M739" s="41">
        <f>L739-K739</f>
        <v/>
      </c>
      <c r="N739" s="37">
        <f>COUNTIF('Billing Aug'!$D$2:$D$770,A739)</f>
        <v/>
      </c>
      <c r="O739" s="37">
        <f>SUMIFS('Billing Aug'!$F$2:$F$770,'Billing Aug'!$D$2:$D$770,A739)</f>
        <v/>
      </c>
      <c r="P739" s="41">
        <f>IF(N739=0,0,L739-SUMIFS('Billing Aug'!$H$2:$H$770,'Billing Aug'!$D$2:$D$770,A739)*SUMIFS('Billing Aug'!$I$2:$I$770,'Billing Aug'!$D$2:$D$770,A739))</f>
        <v/>
      </c>
      <c r="Q739" s="37">
        <f>IF(N739=0,"NO AUG TRANSACTION IN SUPPLIED EXTRACT",IF(ABS(P739)&gt;0.004,"SUBLEDGER ARITHMETIC ERROR",IF(ABS(M739)&gt;0.004,"BILLING VARIANCE","MATCH")))</f>
        <v/>
      </c>
    </row>
    <row r="740">
      <c r="A740" s="37" t="inlineStr">
        <is>
          <t>GW-0312</t>
        </is>
      </c>
      <c r="B740" s="37" t="inlineStr">
        <is>
          <t>Gullwing</t>
        </is>
      </c>
      <c r="C740" s="37" t="inlineStr">
        <is>
          <t>OPEN</t>
        </is>
      </c>
      <c r="D740" s="37" t="inlineStr">
        <is>
          <t>OCCUPIED</t>
        </is>
      </c>
      <c r="E740" s="37" t="inlineStr">
        <is>
          <t>WL-01955</t>
        </is>
      </c>
      <c r="F740" s="37" t="inlineStr">
        <is>
          <t>Nicole Davis</t>
        </is>
      </c>
      <c r="G740" s="37" t="n">
        <v>70</v>
      </c>
      <c r="H740" s="39" t="n">
        <v>51.7</v>
      </c>
      <c r="I740" s="40">
        <f>ROUNDUP(MAX(G740,H740),0)</f>
        <v/>
      </c>
      <c r="J740" s="41">
        <f>IF(C740="COVERED",'Methodology'!$B$9,'Methodology'!$B$10)</f>
        <v/>
      </c>
      <c r="K740" s="41">
        <f>I740*J740</f>
        <v/>
      </c>
      <c r="L740" s="41">
        <f>SUMIFS('Billing Aug'!$J$2:$J$770,'Billing Aug'!$D$2:$D$770,A740)</f>
        <v/>
      </c>
      <c r="M740" s="41">
        <f>L740-K740</f>
        <v/>
      </c>
      <c r="N740" s="37">
        <f>COUNTIF('Billing Aug'!$D$2:$D$770,A740)</f>
        <v/>
      </c>
      <c r="O740" s="37">
        <f>SUMIFS('Billing Aug'!$F$2:$F$770,'Billing Aug'!$D$2:$D$770,A740)</f>
        <v/>
      </c>
      <c r="P740" s="41">
        <f>IF(N740=0,0,L740-SUMIFS('Billing Aug'!$H$2:$H$770,'Billing Aug'!$D$2:$D$770,A740)*SUMIFS('Billing Aug'!$I$2:$I$770,'Billing Aug'!$D$2:$D$770,A740))</f>
        <v/>
      </c>
      <c r="Q740" s="37">
        <f>IF(N740=0,"NO AUG TRANSACTION IN SUPPLIED EXTRACT",IF(ABS(P740)&gt;0.004,"SUBLEDGER ARITHMETIC ERROR",IF(ABS(M740)&gt;0.004,"BILLING VARIANCE","MATCH")))</f>
        <v/>
      </c>
    </row>
    <row r="741">
      <c r="A741" s="37" t="inlineStr">
        <is>
          <t>GW-0313</t>
        </is>
      </c>
      <c r="B741" s="37" t="inlineStr">
        <is>
          <t>Gullwing</t>
        </is>
      </c>
      <c r="C741" s="37" t="inlineStr">
        <is>
          <t>OPEN</t>
        </is>
      </c>
      <c r="D741" s="37" t="inlineStr">
        <is>
          <t>OCCUPIED</t>
        </is>
      </c>
      <c r="E741" s="37" t="inlineStr">
        <is>
          <t>WL-03455</t>
        </is>
      </c>
      <c r="F741" s="37" t="inlineStr">
        <is>
          <t>Taylor George</t>
        </is>
      </c>
      <c r="G741" s="37" t="n">
        <v>32</v>
      </c>
      <c r="H741" s="39" t="n">
        <v>60.7</v>
      </c>
      <c r="I741" s="40">
        <f>ROUNDUP(MAX(G741,H741),0)</f>
        <v/>
      </c>
      <c r="J741" s="41">
        <f>IF(C741="COVERED",'Methodology'!$B$9,'Methodology'!$B$10)</f>
        <v/>
      </c>
      <c r="K741" s="41">
        <f>I741*J741</f>
        <v/>
      </c>
      <c r="L741" s="41">
        <f>SUMIFS('Billing Aug'!$J$2:$J$770,'Billing Aug'!$D$2:$D$770,A741)</f>
        <v/>
      </c>
      <c r="M741" s="41">
        <f>L741-K741</f>
        <v/>
      </c>
      <c r="N741" s="37">
        <f>COUNTIF('Billing Aug'!$D$2:$D$770,A741)</f>
        <v/>
      </c>
      <c r="O741" s="37">
        <f>SUMIFS('Billing Aug'!$F$2:$F$770,'Billing Aug'!$D$2:$D$770,A741)</f>
        <v/>
      </c>
      <c r="P741" s="41">
        <f>IF(N741=0,0,L741-SUMIFS('Billing Aug'!$H$2:$H$770,'Billing Aug'!$D$2:$D$770,A741)*SUMIFS('Billing Aug'!$I$2:$I$770,'Billing Aug'!$D$2:$D$770,A741))</f>
        <v/>
      </c>
      <c r="Q741" s="37">
        <f>IF(N741=0,"NO AUG TRANSACTION IN SUPPLIED EXTRACT",IF(ABS(P741)&gt;0.004,"SUBLEDGER ARITHMETIC ERROR",IF(ABS(M741)&gt;0.004,"BILLING VARIANCE","MATCH")))</f>
        <v/>
      </c>
    </row>
    <row r="742">
      <c r="A742" s="37" t="inlineStr">
        <is>
          <t>GW-0315</t>
        </is>
      </c>
      <c r="B742" s="37" t="inlineStr">
        <is>
          <t>Gullwing</t>
        </is>
      </c>
      <c r="C742" s="37" t="inlineStr">
        <is>
          <t>OPEN</t>
        </is>
      </c>
      <c r="D742" s="37" t="inlineStr">
        <is>
          <t>OCCUPIED</t>
        </is>
      </c>
      <c r="E742" s="37" t="inlineStr">
        <is>
          <t>WL-03306</t>
        </is>
      </c>
      <c r="F742" s="37" t="inlineStr">
        <is>
          <t>Rebecca Martin</t>
        </is>
      </c>
      <c r="G742" s="37" t="n">
        <v>32</v>
      </c>
      <c r="H742" s="39" t="n">
        <v>58.4</v>
      </c>
      <c r="I742" s="40">
        <f>ROUNDUP(MAX(G742,H742),0)</f>
        <v/>
      </c>
      <c r="J742" s="41">
        <f>IF(C742="COVERED",'Methodology'!$B$9,'Methodology'!$B$10)</f>
        <v/>
      </c>
      <c r="K742" s="41">
        <f>I742*J742</f>
        <v/>
      </c>
      <c r="L742" s="41">
        <f>SUMIFS('Billing Aug'!$J$2:$J$770,'Billing Aug'!$D$2:$D$770,A742)</f>
        <v/>
      </c>
      <c r="M742" s="41">
        <f>L742-K742</f>
        <v/>
      </c>
      <c r="N742" s="37">
        <f>COUNTIF('Billing Aug'!$D$2:$D$770,A742)</f>
        <v/>
      </c>
      <c r="O742" s="37">
        <f>SUMIFS('Billing Aug'!$F$2:$F$770,'Billing Aug'!$D$2:$D$770,A742)</f>
        <v/>
      </c>
      <c r="P742" s="41">
        <f>IF(N742=0,0,L742-SUMIFS('Billing Aug'!$H$2:$H$770,'Billing Aug'!$D$2:$D$770,A742)*SUMIFS('Billing Aug'!$I$2:$I$770,'Billing Aug'!$D$2:$D$770,A742))</f>
        <v/>
      </c>
      <c r="Q742" s="37">
        <f>IF(N742=0,"NO AUG TRANSACTION IN SUPPLIED EXTRACT",IF(ABS(P742)&gt;0.004,"SUBLEDGER ARITHMETIC ERROR",IF(ABS(M742)&gt;0.004,"BILLING VARIANCE","MATCH")))</f>
        <v/>
      </c>
    </row>
    <row r="743">
      <c r="A743" s="37" t="inlineStr">
        <is>
          <t>GW-0316</t>
        </is>
      </c>
      <c r="B743" s="37" t="inlineStr">
        <is>
          <t>Gullwing</t>
        </is>
      </c>
      <c r="C743" s="37" t="inlineStr">
        <is>
          <t>OPEN</t>
        </is>
      </c>
      <c r="D743" s="37" t="inlineStr">
        <is>
          <t>OCCUPIED</t>
        </is>
      </c>
      <c r="E743" s="37" t="inlineStr">
        <is>
          <t>WL-01648</t>
        </is>
      </c>
      <c r="F743" s="37" t="inlineStr">
        <is>
          <t>Chelsea Matthews</t>
        </is>
      </c>
      <c r="G743" s="37" t="n">
        <v>32</v>
      </c>
      <c r="H743" s="39" t="n">
        <v>25.6</v>
      </c>
      <c r="I743" s="40">
        <f>ROUNDUP(MAX(G743,H743),0)</f>
        <v/>
      </c>
      <c r="J743" s="41">
        <f>IF(C743="COVERED",'Methodology'!$B$9,'Methodology'!$B$10)</f>
        <v/>
      </c>
      <c r="K743" s="41">
        <f>I743*J743</f>
        <v/>
      </c>
      <c r="L743" s="41">
        <f>SUMIFS('Billing Aug'!$J$2:$J$770,'Billing Aug'!$D$2:$D$770,A743)</f>
        <v/>
      </c>
      <c r="M743" s="41">
        <f>L743-K743</f>
        <v/>
      </c>
      <c r="N743" s="37">
        <f>COUNTIF('Billing Aug'!$D$2:$D$770,A743)</f>
        <v/>
      </c>
      <c r="O743" s="37">
        <f>SUMIFS('Billing Aug'!$F$2:$F$770,'Billing Aug'!$D$2:$D$770,A743)</f>
        <v/>
      </c>
      <c r="P743" s="41">
        <f>IF(N743=0,0,L743-SUMIFS('Billing Aug'!$H$2:$H$770,'Billing Aug'!$D$2:$D$770,A743)*SUMIFS('Billing Aug'!$I$2:$I$770,'Billing Aug'!$D$2:$D$770,A743))</f>
        <v/>
      </c>
      <c r="Q743" s="37">
        <f>IF(N743=0,"NO AUG TRANSACTION IN SUPPLIED EXTRACT",IF(ABS(P743)&gt;0.004,"SUBLEDGER ARITHMETIC ERROR",IF(ABS(M743)&gt;0.004,"BILLING VARIANCE","MATCH")))</f>
        <v/>
      </c>
    </row>
    <row r="744">
      <c r="A744" s="37" t="inlineStr">
        <is>
          <t>GW-0317</t>
        </is>
      </c>
      <c r="B744" s="37" t="inlineStr">
        <is>
          <t>Gullwing</t>
        </is>
      </c>
      <c r="C744" s="37" t="inlineStr">
        <is>
          <t>OPEN</t>
        </is>
      </c>
      <c r="D744" s="37" t="inlineStr">
        <is>
          <t>OCCUPIED</t>
        </is>
      </c>
      <c r="E744" s="37" t="inlineStr">
        <is>
          <t>WL-02270</t>
        </is>
      </c>
      <c r="F744" s="37" t="inlineStr">
        <is>
          <t>Nathan Lewis</t>
        </is>
      </c>
      <c r="G744" s="37" t="n">
        <v>32</v>
      </c>
      <c r="H744" s="39" t="n">
        <v>58.8</v>
      </c>
      <c r="I744" s="40">
        <f>ROUNDUP(MAX(G744,H744),0)</f>
        <v/>
      </c>
      <c r="J744" s="41">
        <f>IF(C744="COVERED",'Methodology'!$B$9,'Methodology'!$B$10)</f>
        <v/>
      </c>
      <c r="K744" s="41">
        <f>I744*J744</f>
        <v/>
      </c>
      <c r="L744" s="41">
        <f>SUMIFS('Billing Aug'!$J$2:$J$770,'Billing Aug'!$D$2:$D$770,A744)</f>
        <v/>
      </c>
      <c r="M744" s="41">
        <f>L744-K744</f>
        <v/>
      </c>
      <c r="N744" s="37">
        <f>COUNTIF('Billing Aug'!$D$2:$D$770,A744)</f>
        <v/>
      </c>
      <c r="O744" s="37">
        <f>SUMIFS('Billing Aug'!$F$2:$F$770,'Billing Aug'!$D$2:$D$770,A744)</f>
        <v/>
      </c>
      <c r="P744" s="41">
        <f>IF(N744=0,0,L744-SUMIFS('Billing Aug'!$H$2:$H$770,'Billing Aug'!$D$2:$D$770,A744)*SUMIFS('Billing Aug'!$I$2:$I$770,'Billing Aug'!$D$2:$D$770,A744))</f>
        <v/>
      </c>
      <c r="Q744" s="37">
        <f>IF(N744=0,"NO AUG TRANSACTION IN SUPPLIED EXTRACT",IF(ABS(P744)&gt;0.004,"SUBLEDGER ARITHMETIC ERROR",IF(ABS(M744)&gt;0.004,"BILLING VARIANCE","MATCH")))</f>
        <v/>
      </c>
    </row>
    <row r="745">
      <c r="A745" s="37" t="inlineStr">
        <is>
          <t>GW-0318</t>
        </is>
      </c>
      <c r="B745" s="37" t="inlineStr">
        <is>
          <t>Gullwing</t>
        </is>
      </c>
      <c r="C745" s="37" t="inlineStr">
        <is>
          <t>OPEN</t>
        </is>
      </c>
      <c r="D745" s="37" t="inlineStr">
        <is>
          <t>OCCUPIED</t>
        </is>
      </c>
      <c r="E745" s="37" t="inlineStr">
        <is>
          <t>WL-01122</t>
        </is>
      </c>
      <c r="F745" s="37" t="inlineStr">
        <is>
          <t>Rachel Carpenter</t>
        </is>
      </c>
      <c r="G745" s="37" t="n">
        <v>28</v>
      </c>
      <c r="H745" s="39" t="n">
        <v>32.1</v>
      </c>
      <c r="I745" s="40">
        <f>ROUNDUP(MAX(G745,H745),0)</f>
        <v/>
      </c>
      <c r="J745" s="41">
        <f>IF(C745="COVERED",'Methodology'!$B$9,'Methodology'!$B$10)</f>
        <v/>
      </c>
      <c r="K745" s="41">
        <f>I745*J745</f>
        <v/>
      </c>
      <c r="L745" s="41">
        <f>SUMIFS('Billing Aug'!$J$2:$J$770,'Billing Aug'!$D$2:$D$770,A745)</f>
        <v/>
      </c>
      <c r="M745" s="41">
        <f>L745-K745</f>
        <v/>
      </c>
      <c r="N745" s="37">
        <f>COUNTIF('Billing Aug'!$D$2:$D$770,A745)</f>
        <v/>
      </c>
      <c r="O745" s="37">
        <f>SUMIFS('Billing Aug'!$F$2:$F$770,'Billing Aug'!$D$2:$D$770,A745)</f>
        <v/>
      </c>
      <c r="P745" s="41">
        <f>IF(N745=0,0,L745-SUMIFS('Billing Aug'!$H$2:$H$770,'Billing Aug'!$D$2:$D$770,A745)*SUMIFS('Billing Aug'!$I$2:$I$770,'Billing Aug'!$D$2:$D$770,A745))</f>
        <v/>
      </c>
      <c r="Q745" s="37">
        <f>IF(N745=0,"NO AUG TRANSACTION IN SUPPLIED EXTRACT",IF(ABS(P745)&gt;0.004,"SUBLEDGER ARITHMETIC ERROR",IF(ABS(M745)&gt;0.004,"BILLING VARIANCE","MATCH")))</f>
        <v/>
      </c>
    </row>
    <row r="746">
      <c r="A746" s="37" t="inlineStr">
        <is>
          <t>GW-0320</t>
        </is>
      </c>
      <c r="B746" s="37" t="inlineStr">
        <is>
          <t>Gullwing</t>
        </is>
      </c>
      <c r="C746" s="37" t="inlineStr">
        <is>
          <t>OPEN</t>
        </is>
      </c>
      <c r="D746" s="37" t="inlineStr">
        <is>
          <t>OCCUPIED</t>
        </is>
      </c>
      <c r="E746" s="37" t="inlineStr">
        <is>
          <t>WL-01487</t>
        </is>
      </c>
      <c r="F746" s="37" t="inlineStr">
        <is>
          <t>Thomas Palmer</t>
        </is>
      </c>
      <c r="G746" s="37" t="n">
        <v>36</v>
      </c>
      <c r="H746" s="39" t="n">
        <v>42.3</v>
      </c>
      <c r="I746" s="40">
        <f>ROUNDUP(MAX(G746,H746),0)</f>
        <v/>
      </c>
      <c r="J746" s="41">
        <f>IF(C746="COVERED",'Methodology'!$B$9,'Methodology'!$B$10)</f>
        <v/>
      </c>
      <c r="K746" s="41">
        <f>I746*J746</f>
        <v/>
      </c>
      <c r="L746" s="41">
        <f>SUMIFS('Billing Aug'!$J$2:$J$770,'Billing Aug'!$D$2:$D$770,A746)</f>
        <v/>
      </c>
      <c r="M746" s="41">
        <f>L746-K746</f>
        <v/>
      </c>
      <c r="N746" s="37">
        <f>COUNTIF('Billing Aug'!$D$2:$D$770,A746)</f>
        <v/>
      </c>
      <c r="O746" s="37">
        <f>SUMIFS('Billing Aug'!$F$2:$F$770,'Billing Aug'!$D$2:$D$770,A746)</f>
        <v/>
      </c>
      <c r="P746" s="41">
        <f>IF(N746=0,0,L746-SUMIFS('Billing Aug'!$H$2:$H$770,'Billing Aug'!$D$2:$D$770,A746)*SUMIFS('Billing Aug'!$I$2:$I$770,'Billing Aug'!$D$2:$D$770,A746))</f>
        <v/>
      </c>
      <c r="Q746" s="37">
        <f>IF(N746=0,"NO AUG TRANSACTION IN SUPPLIED EXTRACT",IF(ABS(P746)&gt;0.004,"SUBLEDGER ARITHMETIC ERROR",IF(ABS(M746)&gt;0.004,"BILLING VARIANCE","MATCH")))</f>
        <v/>
      </c>
    </row>
    <row r="747">
      <c r="A747" s="37" t="inlineStr">
        <is>
          <t>GW-0321</t>
        </is>
      </c>
      <c r="B747" s="37" t="inlineStr">
        <is>
          <t>Gullwing</t>
        </is>
      </c>
      <c r="C747" s="37" t="inlineStr">
        <is>
          <t>OPEN</t>
        </is>
      </c>
      <c r="D747" s="37" t="inlineStr">
        <is>
          <t>OCCUPIED</t>
        </is>
      </c>
      <c r="E747" s="37" t="inlineStr">
        <is>
          <t>WL-02922</t>
        </is>
      </c>
      <c r="F747" s="37" t="inlineStr">
        <is>
          <t>Sandra Allen</t>
        </is>
      </c>
      <c r="G747" s="37" t="n">
        <v>45</v>
      </c>
      <c r="H747" s="39" t="n">
        <v>58</v>
      </c>
      <c r="I747" s="40">
        <f>ROUNDUP(MAX(G747,H747),0)</f>
        <v/>
      </c>
      <c r="J747" s="41">
        <f>IF(C747="COVERED",'Methodology'!$B$9,'Methodology'!$B$10)</f>
        <v/>
      </c>
      <c r="K747" s="41">
        <f>I747*J747</f>
        <v/>
      </c>
      <c r="L747" s="41">
        <f>SUMIFS('Billing Aug'!$J$2:$J$770,'Billing Aug'!$D$2:$D$770,A747)</f>
        <v/>
      </c>
      <c r="M747" s="41">
        <f>L747-K747</f>
        <v/>
      </c>
      <c r="N747" s="37">
        <f>COUNTIF('Billing Aug'!$D$2:$D$770,A747)</f>
        <v/>
      </c>
      <c r="O747" s="37">
        <f>SUMIFS('Billing Aug'!$F$2:$F$770,'Billing Aug'!$D$2:$D$770,A747)</f>
        <v/>
      </c>
      <c r="P747" s="41">
        <f>IF(N747=0,0,L747-SUMIFS('Billing Aug'!$H$2:$H$770,'Billing Aug'!$D$2:$D$770,A747)*SUMIFS('Billing Aug'!$I$2:$I$770,'Billing Aug'!$D$2:$D$770,A747))</f>
        <v/>
      </c>
      <c r="Q747" s="37">
        <f>IF(N747=0,"NO AUG TRANSACTION IN SUPPLIED EXTRACT",IF(ABS(P747)&gt;0.004,"SUBLEDGER ARITHMETIC ERROR",IF(ABS(M747)&gt;0.004,"BILLING VARIANCE","MATCH")))</f>
        <v/>
      </c>
    </row>
    <row r="748">
      <c r="A748" s="37" t="inlineStr">
        <is>
          <t>GW-0322</t>
        </is>
      </c>
      <c r="B748" s="37" t="inlineStr">
        <is>
          <t>Gullwing</t>
        </is>
      </c>
      <c r="C748" s="37" t="inlineStr">
        <is>
          <t>OPEN</t>
        </is>
      </c>
      <c r="D748" s="37" t="inlineStr">
        <is>
          <t>OCCUPIED</t>
        </is>
      </c>
      <c r="E748" s="37" t="inlineStr">
        <is>
          <t>WL-01815</t>
        </is>
      </c>
      <c r="F748" s="37" t="inlineStr">
        <is>
          <t>Theresa Martinez</t>
        </is>
      </c>
      <c r="G748" s="37" t="n">
        <v>45</v>
      </c>
      <c r="H748" s="39" t="n">
        <v>30.1</v>
      </c>
      <c r="I748" s="40">
        <f>ROUNDUP(MAX(G748,H748),0)</f>
        <v/>
      </c>
      <c r="J748" s="41">
        <f>IF(C748="COVERED",'Methodology'!$B$9,'Methodology'!$B$10)</f>
        <v/>
      </c>
      <c r="K748" s="41">
        <f>I748*J748</f>
        <v/>
      </c>
      <c r="L748" s="41">
        <f>SUMIFS('Billing Aug'!$J$2:$J$770,'Billing Aug'!$D$2:$D$770,A748)</f>
        <v/>
      </c>
      <c r="M748" s="41">
        <f>L748-K748</f>
        <v/>
      </c>
      <c r="N748" s="37">
        <f>COUNTIF('Billing Aug'!$D$2:$D$770,A748)</f>
        <v/>
      </c>
      <c r="O748" s="37">
        <f>SUMIFS('Billing Aug'!$F$2:$F$770,'Billing Aug'!$D$2:$D$770,A748)</f>
        <v/>
      </c>
      <c r="P748" s="41">
        <f>IF(N748=0,0,L748-SUMIFS('Billing Aug'!$H$2:$H$770,'Billing Aug'!$D$2:$D$770,A748)*SUMIFS('Billing Aug'!$I$2:$I$770,'Billing Aug'!$D$2:$D$770,A748))</f>
        <v/>
      </c>
      <c r="Q748" s="37">
        <f>IF(N748=0,"NO AUG TRANSACTION IN SUPPLIED EXTRACT",IF(ABS(P748)&gt;0.004,"SUBLEDGER ARITHMETIC ERROR",IF(ABS(M748)&gt;0.004,"BILLING VARIANCE","MATCH")))</f>
        <v/>
      </c>
    </row>
    <row r="749">
      <c r="A749" s="37" t="inlineStr">
        <is>
          <t>GW-0323</t>
        </is>
      </c>
      <c r="B749" s="37" t="inlineStr">
        <is>
          <t>Gullwing</t>
        </is>
      </c>
      <c r="C749" s="37" t="inlineStr">
        <is>
          <t>OPEN</t>
        </is>
      </c>
      <c r="D749" s="37" t="inlineStr">
        <is>
          <t>OCCUPIED</t>
        </is>
      </c>
      <c r="E749" s="37" t="inlineStr">
        <is>
          <t>WL-02735</t>
        </is>
      </c>
      <c r="F749" s="37" t="inlineStr">
        <is>
          <t>Kristen Orr</t>
        </is>
      </c>
      <c r="G749" s="37" t="n">
        <v>80</v>
      </c>
      <c r="H749" s="39" t="n">
        <v>54.2</v>
      </c>
      <c r="I749" s="40">
        <f>ROUNDUP(MAX(G749,H749),0)</f>
        <v/>
      </c>
      <c r="J749" s="41">
        <f>IF(C749="COVERED",'Methodology'!$B$9,'Methodology'!$B$10)</f>
        <v/>
      </c>
      <c r="K749" s="41">
        <f>I749*J749</f>
        <v/>
      </c>
      <c r="L749" s="41">
        <f>SUMIFS('Billing Aug'!$J$2:$J$770,'Billing Aug'!$D$2:$D$770,A749)</f>
        <v/>
      </c>
      <c r="M749" s="41">
        <f>L749-K749</f>
        <v/>
      </c>
      <c r="N749" s="37">
        <f>COUNTIF('Billing Aug'!$D$2:$D$770,A749)</f>
        <v/>
      </c>
      <c r="O749" s="37">
        <f>SUMIFS('Billing Aug'!$F$2:$F$770,'Billing Aug'!$D$2:$D$770,A749)</f>
        <v/>
      </c>
      <c r="P749" s="41">
        <f>IF(N749=0,0,L749-SUMIFS('Billing Aug'!$H$2:$H$770,'Billing Aug'!$D$2:$D$770,A749)*SUMIFS('Billing Aug'!$I$2:$I$770,'Billing Aug'!$D$2:$D$770,A749))</f>
        <v/>
      </c>
      <c r="Q749" s="37">
        <f>IF(N749=0,"NO AUG TRANSACTION IN SUPPLIED EXTRACT",IF(ABS(P749)&gt;0.004,"SUBLEDGER ARITHMETIC ERROR",IF(ABS(M749)&gt;0.004,"BILLING VARIANCE","MATCH")))</f>
        <v/>
      </c>
    </row>
    <row r="750">
      <c r="A750" s="37" t="inlineStr">
        <is>
          <t>GW-0401</t>
        </is>
      </c>
      <c r="B750" s="37" t="inlineStr">
        <is>
          <t>Gullwing</t>
        </is>
      </c>
      <c r="C750" s="37" t="inlineStr">
        <is>
          <t>OPEN</t>
        </is>
      </c>
      <c r="D750" s="37" t="inlineStr">
        <is>
          <t>OCCUPIED</t>
        </is>
      </c>
      <c r="E750" s="37" t="inlineStr">
        <is>
          <t>WL-03064</t>
        </is>
      </c>
      <c r="F750" s="37" t="inlineStr">
        <is>
          <t>Megan Hendricks</t>
        </is>
      </c>
      <c r="G750" s="37" t="n">
        <v>45</v>
      </c>
      <c r="H750" s="39" t="n">
        <v>40.3</v>
      </c>
      <c r="I750" s="40">
        <f>ROUNDUP(MAX(G750,H750),0)</f>
        <v/>
      </c>
      <c r="J750" s="41">
        <f>IF(C750="COVERED",'Methodology'!$B$9,'Methodology'!$B$10)</f>
        <v/>
      </c>
      <c r="K750" s="41">
        <f>I750*J750</f>
        <v/>
      </c>
      <c r="L750" s="41">
        <f>SUMIFS('Billing Aug'!$J$2:$J$770,'Billing Aug'!$D$2:$D$770,A750)</f>
        <v/>
      </c>
      <c r="M750" s="41">
        <f>L750-K750</f>
        <v/>
      </c>
      <c r="N750" s="37">
        <f>COUNTIF('Billing Aug'!$D$2:$D$770,A750)</f>
        <v/>
      </c>
      <c r="O750" s="37">
        <f>SUMIFS('Billing Aug'!$F$2:$F$770,'Billing Aug'!$D$2:$D$770,A750)</f>
        <v/>
      </c>
      <c r="P750" s="41">
        <f>IF(N750=0,0,L750-SUMIFS('Billing Aug'!$H$2:$H$770,'Billing Aug'!$D$2:$D$770,A750)*SUMIFS('Billing Aug'!$I$2:$I$770,'Billing Aug'!$D$2:$D$770,A750))</f>
        <v/>
      </c>
      <c r="Q750" s="37">
        <f>IF(N750=0,"NO AUG TRANSACTION IN SUPPLIED EXTRACT",IF(ABS(P750)&gt;0.004,"SUBLEDGER ARITHMETIC ERROR",IF(ABS(M750)&gt;0.004,"BILLING VARIANCE","MATCH")))</f>
        <v/>
      </c>
    </row>
    <row r="751">
      <c r="A751" s="37" t="inlineStr">
        <is>
          <t>GW-0402</t>
        </is>
      </c>
      <c r="B751" s="37" t="inlineStr">
        <is>
          <t>Gullwing</t>
        </is>
      </c>
      <c r="C751" s="37" t="inlineStr">
        <is>
          <t>OPEN</t>
        </is>
      </c>
      <c r="D751" s="37" t="inlineStr">
        <is>
          <t>OCCUPIED</t>
        </is>
      </c>
      <c r="E751" s="37" t="inlineStr">
        <is>
          <t>WL-02635</t>
        </is>
      </c>
      <c r="F751" s="37" t="inlineStr">
        <is>
          <t>Roger Bowers</t>
        </is>
      </c>
      <c r="G751" s="37" t="n">
        <v>24</v>
      </c>
      <c r="H751" s="39" t="n">
        <v>33.6</v>
      </c>
      <c r="I751" s="40">
        <f>ROUNDUP(MAX(G751,H751),0)</f>
        <v/>
      </c>
      <c r="J751" s="41">
        <f>IF(C751="COVERED",'Methodology'!$B$9,'Methodology'!$B$10)</f>
        <v/>
      </c>
      <c r="K751" s="41">
        <f>I751*J751</f>
        <v/>
      </c>
      <c r="L751" s="41">
        <f>SUMIFS('Billing Aug'!$J$2:$J$770,'Billing Aug'!$D$2:$D$770,A751)</f>
        <v/>
      </c>
      <c r="M751" s="41">
        <f>L751-K751</f>
        <v/>
      </c>
      <c r="N751" s="37">
        <f>COUNTIF('Billing Aug'!$D$2:$D$770,A751)</f>
        <v/>
      </c>
      <c r="O751" s="37">
        <f>SUMIFS('Billing Aug'!$F$2:$F$770,'Billing Aug'!$D$2:$D$770,A751)</f>
        <v/>
      </c>
      <c r="P751" s="41">
        <f>IF(N751=0,0,L751-SUMIFS('Billing Aug'!$H$2:$H$770,'Billing Aug'!$D$2:$D$770,A751)*SUMIFS('Billing Aug'!$I$2:$I$770,'Billing Aug'!$D$2:$D$770,A751))</f>
        <v/>
      </c>
      <c r="Q751" s="37">
        <f>IF(N751=0,"NO AUG TRANSACTION IN SUPPLIED EXTRACT",IF(ABS(P751)&gt;0.004,"SUBLEDGER ARITHMETIC ERROR",IF(ABS(M751)&gt;0.004,"BILLING VARIANCE","MATCH")))</f>
        <v/>
      </c>
    </row>
    <row r="752">
      <c r="A752" s="37" t="inlineStr">
        <is>
          <t>GW-0403</t>
        </is>
      </c>
      <c r="B752" s="37" t="inlineStr">
        <is>
          <t>Gullwing</t>
        </is>
      </c>
      <c r="C752" s="37" t="inlineStr">
        <is>
          <t>OPEN</t>
        </is>
      </c>
      <c r="D752" s="37" t="inlineStr">
        <is>
          <t>OCCUPIED</t>
        </is>
      </c>
      <c r="E752" s="37" t="inlineStr">
        <is>
          <t>WL-02399</t>
        </is>
      </c>
      <c r="F752" s="37" t="inlineStr">
        <is>
          <t>Jennifer Mccullough</t>
        </is>
      </c>
      <c r="G752" s="37" t="n">
        <v>32</v>
      </c>
      <c r="H752" s="39" t="n">
        <v>26.3</v>
      </c>
      <c r="I752" s="40">
        <f>ROUNDUP(MAX(G752,H752),0)</f>
        <v/>
      </c>
      <c r="J752" s="41">
        <f>IF(C752="COVERED",'Methodology'!$B$9,'Methodology'!$B$10)</f>
        <v/>
      </c>
      <c r="K752" s="41">
        <f>I752*J752</f>
        <v/>
      </c>
      <c r="L752" s="41">
        <f>SUMIFS('Billing Aug'!$J$2:$J$770,'Billing Aug'!$D$2:$D$770,A752)</f>
        <v/>
      </c>
      <c r="M752" s="41">
        <f>L752-K752</f>
        <v/>
      </c>
      <c r="N752" s="37">
        <f>COUNTIF('Billing Aug'!$D$2:$D$770,A752)</f>
        <v/>
      </c>
      <c r="O752" s="37">
        <f>SUMIFS('Billing Aug'!$F$2:$F$770,'Billing Aug'!$D$2:$D$770,A752)</f>
        <v/>
      </c>
      <c r="P752" s="41">
        <f>IF(N752=0,0,L752-SUMIFS('Billing Aug'!$H$2:$H$770,'Billing Aug'!$D$2:$D$770,A752)*SUMIFS('Billing Aug'!$I$2:$I$770,'Billing Aug'!$D$2:$D$770,A752))</f>
        <v/>
      </c>
      <c r="Q752" s="37">
        <f>IF(N752=0,"NO AUG TRANSACTION IN SUPPLIED EXTRACT",IF(ABS(P752)&gt;0.004,"SUBLEDGER ARITHMETIC ERROR",IF(ABS(M752)&gt;0.004,"BILLING VARIANCE","MATCH")))</f>
        <v/>
      </c>
    </row>
    <row r="753">
      <c r="A753" s="37" t="inlineStr">
        <is>
          <t>GW-0404</t>
        </is>
      </c>
      <c r="B753" s="37" t="inlineStr">
        <is>
          <t>Gullwing</t>
        </is>
      </c>
      <c r="C753" s="37" t="inlineStr">
        <is>
          <t>OPEN</t>
        </is>
      </c>
      <c r="D753" s="37" t="inlineStr">
        <is>
          <t>OCCUPIED</t>
        </is>
      </c>
      <c r="E753" s="37" t="inlineStr">
        <is>
          <t>WL-03671</t>
        </is>
      </c>
      <c r="F753" s="37" t="inlineStr">
        <is>
          <t>Thomas Martinez</t>
        </is>
      </c>
      <c r="G753" s="37" t="n">
        <v>60</v>
      </c>
      <c r="H753" s="39" t="n">
        <v>38.1</v>
      </c>
      <c r="I753" s="40">
        <f>ROUNDUP(MAX(G753,H753),0)</f>
        <v/>
      </c>
      <c r="J753" s="41">
        <f>IF(C753="COVERED",'Methodology'!$B$9,'Methodology'!$B$10)</f>
        <v/>
      </c>
      <c r="K753" s="41">
        <f>I753*J753</f>
        <v/>
      </c>
      <c r="L753" s="41">
        <f>SUMIFS('Billing Aug'!$J$2:$J$770,'Billing Aug'!$D$2:$D$770,A753)</f>
        <v/>
      </c>
      <c r="M753" s="41">
        <f>L753-K753</f>
        <v/>
      </c>
      <c r="N753" s="37">
        <f>COUNTIF('Billing Aug'!$D$2:$D$770,A753)</f>
        <v/>
      </c>
      <c r="O753" s="37">
        <f>SUMIFS('Billing Aug'!$F$2:$F$770,'Billing Aug'!$D$2:$D$770,A753)</f>
        <v/>
      </c>
      <c r="P753" s="41">
        <f>IF(N753=0,0,L753-SUMIFS('Billing Aug'!$H$2:$H$770,'Billing Aug'!$D$2:$D$770,A753)*SUMIFS('Billing Aug'!$I$2:$I$770,'Billing Aug'!$D$2:$D$770,A753))</f>
        <v/>
      </c>
      <c r="Q753" s="37">
        <f>IF(N753=0,"NO AUG TRANSACTION IN SUPPLIED EXTRACT",IF(ABS(P753)&gt;0.004,"SUBLEDGER ARITHMETIC ERROR",IF(ABS(M753)&gt;0.004,"BILLING VARIANCE","MATCH")))</f>
        <v/>
      </c>
    </row>
    <row r="754">
      <c r="A754" s="37" t="inlineStr">
        <is>
          <t>GW-0405</t>
        </is>
      </c>
      <c r="B754" s="37" t="inlineStr">
        <is>
          <t>Gullwing</t>
        </is>
      </c>
      <c r="C754" s="37" t="inlineStr">
        <is>
          <t>OPEN</t>
        </is>
      </c>
      <c r="D754" s="37" t="inlineStr">
        <is>
          <t>OCCUPIED</t>
        </is>
      </c>
      <c r="E754" s="37" t="inlineStr">
        <is>
          <t>WL-01293</t>
        </is>
      </c>
      <c r="F754" s="37" t="inlineStr">
        <is>
          <t>Pamela Powell</t>
        </is>
      </c>
      <c r="G754" s="37" t="n">
        <v>45</v>
      </c>
      <c r="H754" s="39" t="n">
        <v>31.8</v>
      </c>
      <c r="I754" s="40">
        <f>ROUNDUP(MAX(G754,H754),0)</f>
        <v/>
      </c>
      <c r="J754" s="41">
        <f>IF(C754="COVERED",'Methodology'!$B$9,'Methodology'!$B$10)</f>
        <v/>
      </c>
      <c r="K754" s="41">
        <f>I754*J754</f>
        <v/>
      </c>
      <c r="L754" s="41">
        <f>SUMIFS('Billing Aug'!$J$2:$J$770,'Billing Aug'!$D$2:$D$770,A754)</f>
        <v/>
      </c>
      <c r="M754" s="41">
        <f>L754-K754</f>
        <v/>
      </c>
      <c r="N754" s="37">
        <f>COUNTIF('Billing Aug'!$D$2:$D$770,A754)</f>
        <v/>
      </c>
      <c r="O754" s="37">
        <f>SUMIFS('Billing Aug'!$F$2:$F$770,'Billing Aug'!$D$2:$D$770,A754)</f>
        <v/>
      </c>
      <c r="P754" s="41">
        <f>IF(N754=0,0,L754-SUMIFS('Billing Aug'!$H$2:$H$770,'Billing Aug'!$D$2:$D$770,A754)*SUMIFS('Billing Aug'!$I$2:$I$770,'Billing Aug'!$D$2:$D$770,A754))</f>
        <v/>
      </c>
      <c r="Q754" s="37">
        <f>IF(N754=0,"NO AUG TRANSACTION IN SUPPLIED EXTRACT",IF(ABS(P754)&gt;0.004,"SUBLEDGER ARITHMETIC ERROR",IF(ABS(M754)&gt;0.004,"BILLING VARIANCE","MATCH")))</f>
        <v/>
      </c>
    </row>
    <row r="755">
      <c r="A755" s="37" t="inlineStr">
        <is>
          <t>GW-0406</t>
        </is>
      </c>
      <c r="B755" s="37" t="inlineStr">
        <is>
          <t>Gullwing</t>
        </is>
      </c>
      <c r="C755" s="37" t="inlineStr">
        <is>
          <t>OPEN</t>
        </is>
      </c>
      <c r="D755" s="37" t="inlineStr">
        <is>
          <t>OCCUPIED</t>
        </is>
      </c>
      <c r="E755" s="37" t="inlineStr">
        <is>
          <t>WL-02077</t>
        </is>
      </c>
      <c r="F755" s="37" t="inlineStr">
        <is>
          <t>William Price</t>
        </is>
      </c>
      <c r="G755" s="37" t="n">
        <v>28</v>
      </c>
      <c r="H755" s="39" t="n">
        <v>61.4</v>
      </c>
      <c r="I755" s="40">
        <f>ROUNDUP(MAX(G755,H755),0)</f>
        <v/>
      </c>
      <c r="J755" s="41">
        <f>IF(C755="COVERED",'Methodology'!$B$9,'Methodology'!$B$10)</f>
        <v/>
      </c>
      <c r="K755" s="41">
        <f>I755*J755</f>
        <v/>
      </c>
      <c r="L755" s="41">
        <f>SUMIFS('Billing Aug'!$J$2:$J$770,'Billing Aug'!$D$2:$D$770,A755)</f>
        <v/>
      </c>
      <c r="M755" s="41">
        <f>L755-K755</f>
        <v/>
      </c>
      <c r="N755" s="37">
        <f>COUNTIF('Billing Aug'!$D$2:$D$770,A755)</f>
        <v/>
      </c>
      <c r="O755" s="37">
        <f>SUMIFS('Billing Aug'!$F$2:$F$770,'Billing Aug'!$D$2:$D$770,A755)</f>
        <v/>
      </c>
      <c r="P755" s="41">
        <f>IF(N755=0,0,L755-SUMIFS('Billing Aug'!$H$2:$H$770,'Billing Aug'!$D$2:$D$770,A755)*SUMIFS('Billing Aug'!$I$2:$I$770,'Billing Aug'!$D$2:$D$770,A755))</f>
        <v/>
      </c>
      <c r="Q755" s="37">
        <f>IF(N755=0,"NO AUG TRANSACTION IN SUPPLIED EXTRACT",IF(ABS(P755)&gt;0.004,"SUBLEDGER ARITHMETIC ERROR",IF(ABS(M755)&gt;0.004,"BILLING VARIANCE","MATCH")))</f>
        <v/>
      </c>
    </row>
    <row r="756">
      <c r="A756" s="37" t="inlineStr">
        <is>
          <t>GW-0407</t>
        </is>
      </c>
      <c r="B756" s="37" t="inlineStr">
        <is>
          <t>Gullwing</t>
        </is>
      </c>
      <c r="C756" s="37" t="inlineStr">
        <is>
          <t>OPEN</t>
        </is>
      </c>
      <c r="D756" s="37" t="inlineStr">
        <is>
          <t>OCCUPIED</t>
        </is>
      </c>
      <c r="E756" s="37" t="inlineStr">
        <is>
          <t>WL-03682</t>
        </is>
      </c>
      <c r="F756" s="37" t="inlineStr">
        <is>
          <t>Paul Anderson</t>
        </is>
      </c>
      <c r="G756" s="37" t="n">
        <v>45</v>
      </c>
      <c r="H756" s="39" t="n">
        <v>23.5</v>
      </c>
      <c r="I756" s="40">
        <f>ROUNDUP(MAX(G756,H756),0)</f>
        <v/>
      </c>
      <c r="J756" s="41">
        <f>IF(C756="COVERED",'Methodology'!$B$9,'Methodology'!$B$10)</f>
        <v/>
      </c>
      <c r="K756" s="41">
        <f>I756*J756</f>
        <v/>
      </c>
      <c r="L756" s="41">
        <f>SUMIFS('Billing Aug'!$J$2:$J$770,'Billing Aug'!$D$2:$D$770,A756)</f>
        <v/>
      </c>
      <c r="M756" s="41">
        <f>L756-K756</f>
        <v/>
      </c>
      <c r="N756" s="37">
        <f>COUNTIF('Billing Aug'!$D$2:$D$770,A756)</f>
        <v/>
      </c>
      <c r="O756" s="37">
        <f>SUMIFS('Billing Aug'!$F$2:$F$770,'Billing Aug'!$D$2:$D$770,A756)</f>
        <v/>
      </c>
      <c r="P756" s="41">
        <f>IF(N756=0,0,L756-SUMIFS('Billing Aug'!$H$2:$H$770,'Billing Aug'!$D$2:$D$770,A756)*SUMIFS('Billing Aug'!$I$2:$I$770,'Billing Aug'!$D$2:$D$770,A756))</f>
        <v/>
      </c>
      <c r="Q756" s="37">
        <f>IF(N756=0,"NO AUG TRANSACTION IN SUPPLIED EXTRACT",IF(ABS(P756)&gt;0.004,"SUBLEDGER ARITHMETIC ERROR",IF(ABS(M756)&gt;0.004,"BILLING VARIANCE","MATCH")))</f>
        <v/>
      </c>
    </row>
    <row r="757">
      <c r="A757" s="37" t="inlineStr">
        <is>
          <t>GW-0408</t>
        </is>
      </c>
      <c r="B757" s="37" t="inlineStr">
        <is>
          <t>Gullwing</t>
        </is>
      </c>
      <c r="C757" s="37" t="inlineStr">
        <is>
          <t>OPEN</t>
        </is>
      </c>
      <c r="D757" s="37" t="inlineStr">
        <is>
          <t>OCCUPIED</t>
        </is>
      </c>
      <c r="E757" s="37" t="inlineStr">
        <is>
          <t>WL-01551</t>
        </is>
      </c>
      <c r="F757" s="37" t="inlineStr">
        <is>
          <t>Megan Santiago</t>
        </is>
      </c>
      <c r="G757" s="37" t="n">
        <v>28</v>
      </c>
      <c r="H757" s="39" t="n">
        <v>21</v>
      </c>
      <c r="I757" s="40">
        <f>ROUNDUP(MAX(G757,H757),0)</f>
        <v/>
      </c>
      <c r="J757" s="41">
        <f>IF(C757="COVERED",'Methodology'!$B$9,'Methodology'!$B$10)</f>
        <v/>
      </c>
      <c r="K757" s="41">
        <f>I757*J757</f>
        <v/>
      </c>
      <c r="L757" s="41">
        <f>SUMIFS('Billing Aug'!$J$2:$J$770,'Billing Aug'!$D$2:$D$770,A757)</f>
        <v/>
      </c>
      <c r="M757" s="41">
        <f>L757-K757</f>
        <v/>
      </c>
      <c r="N757" s="37">
        <f>COUNTIF('Billing Aug'!$D$2:$D$770,A757)</f>
        <v/>
      </c>
      <c r="O757" s="37">
        <f>SUMIFS('Billing Aug'!$F$2:$F$770,'Billing Aug'!$D$2:$D$770,A757)</f>
        <v/>
      </c>
      <c r="P757" s="41">
        <f>IF(N757=0,0,L757-SUMIFS('Billing Aug'!$H$2:$H$770,'Billing Aug'!$D$2:$D$770,A757)*SUMIFS('Billing Aug'!$I$2:$I$770,'Billing Aug'!$D$2:$D$770,A757))</f>
        <v/>
      </c>
      <c r="Q757" s="37">
        <f>IF(N757=0,"NO AUG TRANSACTION IN SUPPLIED EXTRACT",IF(ABS(P757)&gt;0.004,"SUBLEDGER ARITHMETIC ERROR",IF(ABS(M757)&gt;0.004,"BILLING VARIANCE","MATCH")))</f>
        <v/>
      </c>
    </row>
    <row r="758">
      <c r="A758" s="37" t="inlineStr">
        <is>
          <t>GW-0409</t>
        </is>
      </c>
      <c r="B758" s="37" t="inlineStr">
        <is>
          <t>Gullwing</t>
        </is>
      </c>
      <c r="C758" s="37" t="inlineStr">
        <is>
          <t>OPEN</t>
        </is>
      </c>
      <c r="D758" s="37" t="inlineStr">
        <is>
          <t>OCCUPIED</t>
        </is>
      </c>
      <c r="E758" s="37" t="inlineStr">
        <is>
          <t>WL-02328</t>
        </is>
      </c>
      <c r="F758" s="37" t="inlineStr">
        <is>
          <t>Tony Mack</t>
        </is>
      </c>
      <c r="G758" s="37" t="n">
        <v>45</v>
      </c>
      <c r="H758" s="39" t="n">
        <v>55.5</v>
      </c>
      <c r="I758" s="40">
        <f>ROUNDUP(MAX(G758,H758),0)</f>
        <v/>
      </c>
      <c r="J758" s="41">
        <f>IF(C758="COVERED",'Methodology'!$B$9,'Methodology'!$B$10)</f>
        <v/>
      </c>
      <c r="K758" s="41">
        <f>I758*J758</f>
        <v/>
      </c>
      <c r="L758" s="41">
        <f>SUMIFS('Billing Aug'!$J$2:$J$770,'Billing Aug'!$D$2:$D$770,A758)</f>
        <v/>
      </c>
      <c r="M758" s="41">
        <f>L758-K758</f>
        <v/>
      </c>
      <c r="N758" s="37">
        <f>COUNTIF('Billing Aug'!$D$2:$D$770,A758)</f>
        <v/>
      </c>
      <c r="O758" s="37">
        <f>SUMIFS('Billing Aug'!$F$2:$F$770,'Billing Aug'!$D$2:$D$770,A758)</f>
        <v/>
      </c>
      <c r="P758" s="41">
        <f>IF(N758=0,0,L758-SUMIFS('Billing Aug'!$H$2:$H$770,'Billing Aug'!$D$2:$D$770,A758)*SUMIFS('Billing Aug'!$I$2:$I$770,'Billing Aug'!$D$2:$D$770,A758))</f>
        <v/>
      </c>
      <c r="Q758" s="37">
        <f>IF(N758=0,"NO AUG TRANSACTION IN SUPPLIED EXTRACT",IF(ABS(P758)&gt;0.004,"SUBLEDGER ARITHMETIC ERROR",IF(ABS(M758)&gt;0.004,"BILLING VARIANCE","MATCH")))</f>
        <v/>
      </c>
    </row>
    <row r="759">
      <c r="A759" s="37" t="inlineStr">
        <is>
          <t>GW-0410</t>
        </is>
      </c>
      <c r="B759" s="37" t="inlineStr">
        <is>
          <t>Gullwing</t>
        </is>
      </c>
      <c r="C759" s="37" t="inlineStr">
        <is>
          <t>OPEN</t>
        </is>
      </c>
      <c r="D759" s="37" t="inlineStr">
        <is>
          <t>OCCUPIED</t>
        </is>
      </c>
      <c r="E759" s="37" t="inlineStr">
        <is>
          <t>WL-02074</t>
        </is>
      </c>
      <c r="F759" s="37" t="inlineStr">
        <is>
          <t>Erika Martin</t>
        </is>
      </c>
      <c r="G759" s="37" t="n">
        <v>70</v>
      </c>
      <c r="H759" s="39" t="n">
        <v>40.2</v>
      </c>
      <c r="I759" s="40">
        <f>ROUNDUP(MAX(G759,H759),0)</f>
        <v/>
      </c>
      <c r="J759" s="41">
        <f>IF(C759="COVERED",'Methodology'!$B$9,'Methodology'!$B$10)</f>
        <v/>
      </c>
      <c r="K759" s="41">
        <f>I759*J759</f>
        <v/>
      </c>
      <c r="L759" s="41">
        <f>SUMIFS('Billing Aug'!$J$2:$J$770,'Billing Aug'!$D$2:$D$770,A759)</f>
        <v/>
      </c>
      <c r="M759" s="41">
        <f>L759-K759</f>
        <v/>
      </c>
      <c r="N759" s="37">
        <f>COUNTIF('Billing Aug'!$D$2:$D$770,A759)</f>
        <v/>
      </c>
      <c r="O759" s="37">
        <f>SUMIFS('Billing Aug'!$F$2:$F$770,'Billing Aug'!$D$2:$D$770,A759)</f>
        <v/>
      </c>
      <c r="P759" s="41">
        <f>IF(N759=0,0,L759-SUMIFS('Billing Aug'!$H$2:$H$770,'Billing Aug'!$D$2:$D$770,A759)*SUMIFS('Billing Aug'!$I$2:$I$770,'Billing Aug'!$D$2:$D$770,A759))</f>
        <v/>
      </c>
      <c r="Q759" s="37">
        <f>IF(N759=0,"NO AUG TRANSACTION IN SUPPLIED EXTRACT",IF(ABS(P759)&gt;0.004,"SUBLEDGER ARITHMETIC ERROR",IF(ABS(M759)&gt;0.004,"BILLING VARIANCE","MATCH")))</f>
        <v/>
      </c>
    </row>
    <row r="760">
      <c r="A760" s="37" t="inlineStr">
        <is>
          <t>GW-0411</t>
        </is>
      </c>
      <c r="B760" s="37" t="inlineStr">
        <is>
          <t>Gullwing</t>
        </is>
      </c>
      <c r="C760" s="37" t="inlineStr">
        <is>
          <t>OPEN</t>
        </is>
      </c>
      <c r="D760" s="37" t="inlineStr">
        <is>
          <t>OCCUPIED</t>
        </is>
      </c>
      <c r="E760" s="37" t="inlineStr">
        <is>
          <t>WL-01859</t>
        </is>
      </c>
      <c r="F760" s="37" t="inlineStr">
        <is>
          <t>Patricia Delgado</t>
        </is>
      </c>
      <c r="G760" s="37" t="n">
        <v>32</v>
      </c>
      <c r="H760" s="39" t="n">
        <v>48.1</v>
      </c>
      <c r="I760" s="40">
        <f>ROUNDUP(MAX(G760,H760),0)</f>
        <v/>
      </c>
      <c r="J760" s="41">
        <f>IF(C760="COVERED",'Methodology'!$B$9,'Methodology'!$B$10)</f>
        <v/>
      </c>
      <c r="K760" s="41">
        <f>I760*J760</f>
        <v/>
      </c>
      <c r="L760" s="41">
        <f>SUMIFS('Billing Aug'!$J$2:$J$770,'Billing Aug'!$D$2:$D$770,A760)</f>
        <v/>
      </c>
      <c r="M760" s="41">
        <f>L760-K760</f>
        <v/>
      </c>
      <c r="N760" s="37">
        <f>COUNTIF('Billing Aug'!$D$2:$D$770,A760)</f>
        <v/>
      </c>
      <c r="O760" s="37">
        <f>SUMIFS('Billing Aug'!$F$2:$F$770,'Billing Aug'!$D$2:$D$770,A760)</f>
        <v/>
      </c>
      <c r="P760" s="41">
        <f>IF(N760=0,0,L760-SUMIFS('Billing Aug'!$H$2:$H$770,'Billing Aug'!$D$2:$D$770,A760)*SUMIFS('Billing Aug'!$I$2:$I$770,'Billing Aug'!$D$2:$D$770,A760))</f>
        <v/>
      </c>
      <c r="Q760" s="37">
        <f>IF(N760=0,"NO AUG TRANSACTION IN SUPPLIED EXTRACT",IF(ABS(P760)&gt;0.004,"SUBLEDGER ARITHMETIC ERROR",IF(ABS(M760)&gt;0.004,"BILLING VARIANCE","MATCH")))</f>
        <v/>
      </c>
    </row>
    <row r="761">
      <c r="A761" s="37" t="inlineStr">
        <is>
          <t>GW-0412</t>
        </is>
      </c>
      <c r="B761" s="37" t="inlineStr">
        <is>
          <t>Gullwing</t>
        </is>
      </c>
      <c r="C761" s="37" t="inlineStr">
        <is>
          <t>OPEN</t>
        </is>
      </c>
      <c r="D761" s="37" t="inlineStr">
        <is>
          <t>OCCUPIED</t>
        </is>
      </c>
      <c r="E761" s="37" t="inlineStr">
        <is>
          <t>WL-01282</t>
        </is>
      </c>
      <c r="F761" s="37" t="inlineStr">
        <is>
          <t>Nancy Miller</t>
        </is>
      </c>
      <c r="G761" s="37" t="n">
        <v>24</v>
      </c>
      <c r="H761" s="39" t="n">
        <v>35.1</v>
      </c>
      <c r="I761" s="40">
        <f>ROUNDUP(MAX(G761,H761),0)</f>
        <v/>
      </c>
      <c r="J761" s="41">
        <f>IF(C761="COVERED",'Methodology'!$B$9,'Methodology'!$B$10)</f>
        <v/>
      </c>
      <c r="K761" s="41">
        <f>I761*J761</f>
        <v/>
      </c>
      <c r="L761" s="41">
        <f>SUMIFS('Billing Aug'!$J$2:$J$770,'Billing Aug'!$D$2:$D$770,A761)</f>
        <v/>
      </c>
      <c r="M761" s="41">
        <f>L761-K761</f>
        <v/>
      </c>
      <c r="N761" s="37">
        <f>COUNTIF('Billing Aug'!$D$2:$D$770,A761)</f>
        <v/>
      </c>
      <c r="O761" s="37">
        <f>SUMIFS('Billing Aug'!$F$2:$F$770,'Billing Aug'!$D$2:$D$770,A761)</f>
        <v/>
      </c>
      <c r="P761" s="41">
        <f>IF(N761=0,0,L761-SUMIFS('Billing Aug'!$H$2:$H$770,'Billing Aug'!$D$2:$D$770,A761)*SUMIFS('Billing Aug'!$I$2:$I$770,'Billing Aug'!$D$2:$D$770,A761))</f>
        <v/>
      </c>
      <c r="Q761" s="37">
        <f>IF(N761=0,"NO AUG TRANSACTION IN SUPPLIED EXTRACT",IF(ABS(P761)&gt;0.004,"SUBLEDGER ARITHMETIC ERROR",IF(ABS(M761)&gt;0.004,"BILLING VARIANCE","MATCH")))</f>
        <v/>
      </c>
    </row>
    <row r="762">
      <c r="A762" s="37" t="inlineStr">
        <is>
          <t>GW-0413</t>
        </is>
      </c>
      <c r="B762" s="37" t="inlineStr">
        <is>
          <t>Gullwing</t>
        </is>
      </c>
      <c r="C762" s="37" t="inlineStr">
        <is>
          <t>OPEN</t>
        </is>
      </c>
      <c r="D762" s="37" t="inlineStr">
        <is>
          <t>OCCUPIED</t>
        </is>
      </c>
      <c r="E762" s="37" t="inlineStr">
        <is>
          <t>WL-03767</t>
        </is>
      </c>
      <c r="F762" s="37" t="inlineStr">
        <is>
          <t>Chad David</t>
        </is>
      </c>
      <c r="G762" s="37" t="n">
        <v>60</v>
      </c>
      <c r="H762" s="39" t="n">
        <v>24.7</v>
      </c>
      <c r="I762" s="40">
        <f>ROUNDUP(MAX(G762,H762),0)</f>
        <v/>
      </c>
      <c r="J762" s="41">
        <f>IF(C762="COVERED",'Methodology'!$B$9,'Methodology'!$B$10)</f>
        <v/>
      </c>
      <c r="K762" s="41">
        <f>I762*J762</f>
        <v/>
      </c>
      <c r="L762" s="41">
        <f>SUMIFS('Billing Aug'!$J$2:$J$770,'Billing Aug'!$D$2:$D$770,A762)</f>
        <v/>
      </c>
      <c r="M762" s="41">
        <f>L762-K762</f>
        <v/>
      </c>
      <c r="N762" s="37">
        <f>COUNTIF('Billing Aug'!$D$2:$D$770,A762)</f>
        <v/>
      </c>
      <c r="O762" s="37">
        <f>SUMIFS('Billing Aug'!$F$2:$F$770,'Billing Aug'!$D$2:$D$770,A762)</f>
        <v/>
      </c>
      <c r="P762" s="41">
        <f>IF(N762=0,0,L762-SUMIFS('Billing Aug'!$H$2:$H$770,'Billing Aug'!$D$2:$D$770,A762)*SUMIFS('Billing Aug'!$I$2:$I$770,'Billing Aug'!$D$2:$D$770,A762))</f>
        <v/>
      </c>
      <c r="Q762" s="37">
        <f>IF(N762=0,"NO AUG TRANSACTION IN SUPPLIED EXTRACT",IF(ABS(P762)&gt;0.004,"SUBLEDGER ARITHMETIC ERROR",IF(ABS(M762)&gt;0.004,"BILLING VARIANCE","MATCH")))</f>
        <v/>
      </c>
    </row>
    <row r="763">
      <c r="A763" s="37" t="inlineStr">
        <is>
          <t>GW-0414</t>
        </is>
      </c>
      <c r="B763" s="37" t="inlineStr">
        <is>
          <t>Gullwing</t>
        </is>
      </c>
      <c r="C763" s="37" t="inlineStr">
        <is>
          <t>OPEN</t>
        </is>
      </c>
      <c r="D763" s="37" t="inlineStr">
        <is>
          <t>OCCUPIED</t>
        </is>
      </c>
      <c r="E763" s="37" t="inlineStr">
        <is>
          <t>WL-01875</t>
        </is>
      </c>
      <c r="F763" s="37" t="inlineStr">
        <is>
          <t>Steven Harris</t>
        </is>
      </c>
      <c r="G763" s="37" t="n">
        <v>45</v>
      </c>
      <c r="H763" s="39" t="n">
        <v>31.7</v>
      </c>
      <c r="I763" s="40">
        <f>ROUNDUP(MAX(G763,H763),0)</f>
        <v/>
      </c>
      <c r="J763" s="41">
        <f>IF(C763="COVERED",'Methodology'!$B$9,'Methodology'!$B$10)</f>
        <v/>
      </c>
      <c r="K763" s="41">
        <f>I763*J763</f>
        <v/>
      </c>
      <c r="L763" s="41">
        <f>SUMIFS('Billing Aug'!$J$2:$J$770,'Billing Aug'!$D$2:$D$770,A763)</f>
        <v/>
      </c>
      <c r="M763" s="41">
        <f>L763-K763</f>
        <v/>
      </c>
      <c r="N763" s="37">
        <f>COUNTIF('Billing Aug'!$D$2:$D$770,A763)</f>
        <v/>
      </c>
      <c r="O763" s="37">
        <f>SUMIFS('Billing Aug'!$F$2:$F$770,'Billing Aug'!$D$2:$D$770,A763)</f>
        <v/>
      </c>
      <c r="P763" s="41">
        <f>IF(N763=0,0,L763-SUMIFS('Billing Aug'!$H$2:$H$770,'Billing Aug'!$D$2:$D$770,A763)*SUMIFS('Billing Aug'!$I$2:$I$770,'Billing Aug'!$D$2:$D$770,A763))</f>
        <v/>
      </c>
      <c r="Q763" s="37">
        <f>IF(N763=0,"NO AUG TRANSACTION IN SUPPLIED EXTRACT",IF(ABS(P763)&gt;0.004,"SUBLEDGER ARITHMETIC ERROR",IF(ABS(M763)&gt;0.004,"BILLING VARIANCE","MATCH")))</f>
        <v/>
      </c>
    </row>
    <row r="764">
      <c r="A764" s="37" t="inlineStr">
        <is>
          <t>GW-0415</t>
        </is>
      </c>
      <c r="B764" s="37" t="inlineStr">
        <is>
          <t>Gullwing</t>
        </is>
      </c>
      <c r="C764" s="37" t="inlineStr">
        <is>
          <t>OPEN</t>
        </is>
      </c>
      <c r="D764" s="37" t="inlineStr">
        <is>
          <t>OCCUPIED</t>
        </is>
      </c>
      <c r="E764" s="37" t="inlineStr">
        <is>
          <t>WL-02969</t>
        </is>
      </c>
      <c r="F764" s="37" t="inlineStr">
        <is>
          <t>Anthony Davis</t>
        </is>
      </c>
      <c r="G764" s="37" t="n">
        <v>24</v>
      </c>
      <c r="H764" s="39" t="n">
        <v>47.9</v>
      </c>
      <c r="I764" s="40">
        <f>ROUNDUP(MAX(G764,H764),0)</f>
        <v/>
      </c>
      <c r="J764" s="41">
        <f>IF(C764="COVERED",'Methodology'!$B$9,'Methodology'!$B$10)</f>
        <v/>
      </c>
      <c r="K764" s="41">
        <f>I764*J764</f>
        <v/>
      </c>
      <c r="L764" s="41">
        <f>SUMIFS('Billing Aug'!$J$2:$J$770,'Billing Aug'!$D$2:$D$770,A764)</f>
        <v/>
      </c>
      <c r="M764" s="41">
        <f>L764-K764</f>
        <v/>
      </c>
      <c r="N764" s="37">
        <f>COUNTIF('Billing Aug'!$D$2:$D$770,A764)</f>
        <v/>
      </c>
      <c r="O764" s="37">
        <f>SUMIFS('Billing Aug'!$F$2:$F$770,'Billing Aug'!$D$2:$D$770,A764)</f>
        <v/>
      </c>
      <c r="P764" s="41">
        <f>IF(N764=0,0,L764-SUMIFS('Billing Aug'!$H$2:$H$770,'Billing Aug'!$D$2:$D$770,A764)*SUMIFS('Billing Aug'!$I$2:$I$770,'Billing Aug'!$D$2:$D$770,A764))</f>
        <v/>
      </c>
      <c r="Q764" s="37">
        <f>IF(N764=0,"NO AUG TRANSACTION IN SUPPLIED EXTRACT",IF(ABS(P764)&gt;0.004,"SUBLEDGER ARITHMETIC ERROR",IF(ABS(M764)&gt;0.004,"BILLING VARIANCE","MATCH")))</f>
        <v/>
      </c>
    </row>
    <row r="765">
      <c r="A765" s="37" t="inlineStr">
        <is>
          <t>GW-0416</t>
        </is>
      </c>
      <c r="B765" s="37" t="inlineStr">
        <is>
          <t>Gullwing</t>
        </is>
      </c>
      <c r="C765" s="37" t="inlineStr">
        <is>
          <t>OPEN</t>
        </is>
      </c>
      <c r="D765" s="37" t="inlineStr">
        <is>
          <t>OCCUPIED</t>
        </is>
      </c>
      <c r="E765" s="37" t="inlineStr">
        <is>
          <t>WL-01714</t>
        </is>
      </c>
      <c r="F765" s="37" t="inlineStr">
        <is>
          <t>Ashley Smith</t>
        </is>
      </c>
      <c r="G765" s="37" t="n">
        <v>32</v>
      </c>
      <c r="H765" s="39" t="n">
        <v>23.7</v>
      </c>
      <c r="I765" s="40">
        <f>ROUNDUP(MAX(G765,H765),0)</f>
        <v/>
      </c>
      <c r="J765" s="41">
        <f>IF(C765="COVERED",'Methodology'!$B$9,'Methodology'!$B$10)</f>
        <v/>
      </c>
      <c r="K765" s="41">
        <f>I765*J765</f>
        <v/>
      </c>
      <c r="L765" s="41">
        <f>SUMIFS('Billing Aug'!$J$2:$J$770,'Billing Aug'!$D$2:$D$770,A765)</f>
        <v/>
      </c>
      <c r="M765" s="41">
        <f>L765-K765</f>
        <v/>
      </c>
      <c r="N765" s="37">
        <f>COUNTIF('Billing Aug'!$D$2:$D$770,A765)</f>
        <v/>
      </c>
      <c r="O765" s="37">
        <f>SUMIFS('Billing Aug'!$F$2:$F$770,'Billing Aug'!$D$2:$D$770,A765)</f>
        <v/>
      </c>
      <c r="P765" s="41">
        <f>IF(N765=0,0,L765-SUMIFS('Billing Aug'!$H$2:$H$770,'Billing Aug'!$D$2:$D$770,A765)*SUMIFS('Billing Aug'!$I$2:$I$770,'Billing Aug'!$D$2:$D$770,A765))</f>
        <v/>
      </c>
      <c r="Q765" s="37">
        <f>IF(N765=0,"NO AUG TRANSACTION IN SUPPLIED EXTRACT",IF(ABS(P765)&gt;0.004,"SUBLEDGER ARITHMETIC ERROR",IF(ABS(M765)&gt;0.004,"BILLING VARIANCE","MATCH")))</f>
        <v/>
      </c>
    </row>
    <row r="766">
      <c r="A766" s="37" t="inlineStr">
        <is>
          <t>GW-0417</t>
        </is>
      </c>
      <c r="B766" s="37" t="inlineStr">
        <is>
          <t>Gullwing</t>
        </is>
      </c>
      <c r="C766" s="37" t="inlineStr">
        <is>
          <t>OPEN</t>
        </is>
      </c>
      <c r="D766" s="37" t="inlineStr">
        <is>
          <t>OCCUPIED</t>
        </is>
      </c>
      <c r="E766" s="37" t="inlineStr">
        <is>
          <t>WL-02423</t>
        </is>
      </c>
      <c r="F766" s="37" t="inlineStr">
        <is>
          <t>Melissa Johnson</t>
        </is>
      </c>
      <c r="G766" s="37" t="n">
        <v>32</v>
      </c>
      <c r="H766" s="39" t="n">
        <v>52.8</v>
      </c>
      <c r="I766" s="40">
        <f>ROUNDUP(MAX(G766,H766),0)</f>
        <v/>
      </c>
      <c r="J766" s="41">
        <f>IF(C766="COVERED",'Methodology'!$B$9,'Methodology'!$B$10)</f>
        <v/>
      </c>
      <c r="K766" s="41">
        <f>I766*J766</f>
        <v/>
      </c>
      <c r="L766" s="41">
        <f>SUMIFS('Billing Aug'!$J$2:$J$770,'Billing Aug'!$D$2:$D$770,A766)</f>
        <v/>
      </c>
      <c r="M766" s="41">
        <f>L766-K766</f>
        <v/>
      </c>
      <c r="N766" s="37">
        <f>COUNTIF('Billing Aug'!$D$2:$D$770,A766)</f>
        <v/>
      </c>
      <c r="O766" s="37">
        <f>SUMIFS('Billing Aug'!$F$2:$F$770,'Billing Aug'!$D$2:$D$770,A766)</f>
        <v/>
      </c>
      <c r="P766" s="41">
        <f>IF(N766=0,0,L766-SUMIFS('Billing Aug'!$H$2:$H$770,'Billing Aug'!$D$2:$D$770,A766)*SUMIFS('Billing Aug'!$I$2:$I$770,'Billing Aug'!$D$2:$D$770,A766))</f>
        <v/>
      </c>
      <c r="Q766" s="37">
        <f>IF(N766=0,"NO AUG TRANSACTION IN SUPPLIED EXTRACT",IF(ABS(P766)&gt;0.004,"SUBLEDGER ARITHMETIC ERROR",IF(ABS(M766)&gt;0.004,"BILLING VARIANCE","MATCH")))</f>
        <v/>
      </c>
    </row>
    <row r="767">
      <c r="A767" s="37" t="inlineStr">
        <is>
          <t>GW-0418</t>
        </is>
      </c>
      <c r="B767" s="37" t="inlineStr">
        <is>
          <t>Gullwing</t>
        </is>
      </c>
      <c r="C767" s="37" t="inlineStr">
        <is>
          <t>OPEN</t>
        </is>
      </c>
      <c r="D767" s="37" t="inlineStr">
        <is>
          <t>OCCUPIED</t>
        </is>
      </c>
      <c r="E767" s="37" t="inlineStr">
        <is>
          <t>WL-03144</t>
        </is>
      </c>
      <c r="F767" s="37" t="inlineStr">
        <is>
          <t>Brandi Jackson</t>
        </is>
      </c>
      <c r="G767" s="37" t="n">
        <v>24</v>
      </c>
      <c r="H767" s="39" t="n">
        <v>28.3</v>
      </c>
      <c r="I767" s="40">
        <f>ROUNDUP(MAX(G767,H767),0)</f>
        <v/>
      </c>
      <c r="J767" s="41">
        <f>IF(C767="COVERED",'Methodology'!$B$9,'Methodology'!$B$10)</f>
        <v/>
      </c>
      <c r="K767" s="41">
        <f>I767*J767</f>
        <v/>
      </c>
      <c r="L767" s="41">
        <f>SUMIFS('Billing Aug'!$J$2:$J$770,'Billing Aug'!$D$2:$D$770,A767)</f>
        <v/>
      </c>
      <c r="M767" s="41">
        <f>L767-K767</f>
        <v/>
      </c>
      <c r="N767" s="37">
        <f>COUNTIF('Billing Aug'!$D$2:$D$770,A767)</f>
        <v/>
      </c>
      <c r="O767" s="37">
        <f>SUMIFS('Billing Aug'!$F$2:$F$770,'Billing Aug'!$D$2:$D$770,A767)</f>
        <v/>
      </c>
      <c r="P767" s="41">
        <f>IF(N767=0,0,L767-SUMIFS('Billing Aug'!$H$2:$H$770,'Billing Aug'!$D$2:$D$770,A767)*SUMIFS('Billing Aug'!$I$2:$I$770,'Billing Aug'!$D$2:$D$770,A767))</f>
        <v/>
      </c>
      <c r="Q767" s="37">
        <f>IF(N767=0,"NO AUG TRANSACTION IN SUPPLIED EXTRACT",IF(ABS(P767)&gt;0.004,"SUBLEDGER ARITHMETIC ERROR",IF(ABS(M767)&gt;0.004,"BILLING VARIANCE","MATCH")))</f>
        <v/>
      </c>
    </row>
    <row r="768">
      <c r="A768" s="37" t="inlineStr">
        <is>
          <t>GW-0419</t>
        </is>
      </c>
      <c r="B768" s="37" t="inlineStr">
        <is>
          <t>Gullwing</t>
        </is>
      </c>
      <c r="C768" s="37" t="inlineStr">
        <is>
          <t>OPEN</t>
        </is>
      </c>
      <c r="D768" s="37" t="inlineStr">
        <is>
          <t>OCCUPIED</t>
        </is>
      </c>
      <c r="E768" s="37" t="inlineStr">
        <is>
          <t>WL-03795</t>
        </is>
      </c>
      <c r="F768" s="37" t="inlineStr">
        <is>
          <t>Brenda Norman</t>
        </is>
      </c>
      <c r="G768" s="37" t="n">
        <v>32</v>
      </c>
      <c r="H768" s="39" t="n">
        <v>27</v>
      </c>
      <c r="I768" s="40">
        <f>ROUNDUP(MAX(G768,H768),0)</f>
        <v/>
      </c>
      <c r="J768" s="41">
        <f>IF(C768="COVERED",'Methodology'!$B$9,'Methodology'!$B$10)</f>
        <v/>
      </c>
      <c r="K768" s="41">
        <f>I768*J768</f>
        <v/>
      </c>
      <c r="L768" s="41">
        <f>SUMIFS('Billing Aug'!$J$2:$J$770,'Billing Aug'!$D$2:$D$770,A768)</f>
        <v/>
      </c>
      <c r="M768" s="41">
        <f>L768-K768</f>
        <v/>
      </c>
      <c r="N768" s="37">
        <f>COUNTIF('Billing Aug'!$D$2:$D$770,A768)</f>
        <v/>
      </c>
      <c r="O768" s="37">
        <f>SUMIFS('Billing Aug'!$F$2:$F$770,'Billing Aug'!$D$2:$D$770,A768)</f>
        <v/>
      </c>
      <c r="P768" s="41">
        <f>IF(N768=0,0,L768-SUMIFS('Billing Aug'!$H$2:$H$770,'Billing Aug'!$D$2:$D$770,A768)*SUMIFS('Billing Aug'!$I$2:$I$770,'Billing Aug'!$D$2:$D$770,A768))</f>
        <v/>
      </c>
      <c r="Q768" s="37">
        <f>IF(N768=0,"NO AUG TRANSACTION IN SUPPLIED EXTRACT",IF(ABS(P768)&gt;0.004,"SUBLEDGER ARITHMETIC ERROR",IF(ABS(M768)&gt;0.004,"BILLING VARIANCE","MATCH")))</f>
        <v/>
      </c>
    </row>
    <row r="769">
      <c r="A769" s="37" t="inlineStr">
        <is>
          <t>GW-0420</t>
        </is>
      </c>
      <c r="B769" s="37" t="inlineStr">
        <is>
          <t>Gullwing</t>
        </is>
      </c>
      <c r="C769" s="37" t="inlineStr">
        <is>
          <t>OPEN</t>
        </is>
      </c>
      <c r="D769" s="37" t="inlineStr">
        <is>
          <t>OCCUPIED</t>
        </is>
      </c>
      <c r="E769" s="37" t="inlineStr">
        <is>
          <t>WL-01133</t>
        </is>
      </c>
      <c r="F769" s="37" t="inlineStr">
        <is>
          <t>Shelia Lewis</t>
        </is>
      </c>
      <c r="G769" s="37" t="n">
        <v>28</v>
      </c>
      <c r="H769" s="39" t="n">
        <v>18.5</v>
      </c>
      <c r="I769" s="40">
        <f>ROUNDUP(MAX(G769,H769),0)</f>
        <v/>
      </c>
      <c r="J769" s="41">
        <f>IF(C769="COVERED",'Methodology'!$B$9,'Methodology'!$B$10)</f>
        <v/>
      </c>
      <c r="K769" s="41">
        <f>I769*J769</f>
        <v/>
      </c>
      <c r="L769" s="41">
        <f>SUMIFS('Billing Aug'!$J$2:$J$770,'Billing Aug'!$D$2:$D$770,A769)</f>
        <v/>
      </c>
      <c r="M769" s="41">
        <f>L769-K769</f>
        <v/>
      </c>
      <c r="N769" s="37">
        <f>COUNTIF('Billing Aug'!$D$2:$D$770,A769)</f>
        <v/>
      </c>
      <c r="O769" s="37">
        <f>SUMIFS('Billing Aug'!$F$2:$F$770,'Billing Aug'!$D$2:$D$770,A769)</f>
        <v/>
      </c>
      <c r="P769" s="41">
        <f>IF(N769=0,0,L769-SUMIFS('Billing Aug'!$H$2:$H$770,'Billing Aug'!$D$2:$D$770,A769)*SUMIFS('Billing Aug'!$I$2:$I$770,'Billing Aug'!$D$2:$D$770,A769))</f>
        <v/>
      </c>
      <c r="Q769" s="37">
        <f>IF(N769=0,"NO AUG TRANSACTION IN SUPPLIED EXTRACT",IF(ABS(P769)&gt;0.004,"SUBLEDGER ARITHMETIC ERROR",IF(ABS(M769)&gt;0.004,"BILLING VARIANCE","MATCH")))</f>
        <v/>
      </c>
    </row>
    <row r="770">
      <c r="A770" s="37" t="inlineStr">
        <is>
          <t>GW-0421</t>
        </is>
      </c>
      <c r="B770" s="37" t="inlineStr">
        <is>
          <t>Gullwing</t>
        </is>
      </c>
      <c r="C770" s="37" t="inlineStr">
        <is>
          <t>OPEN</t>
        </is>
      </c>
      <c r="D770" s="37" t="inlineStr">
        <is>
          <t>OCCUPIED</t>
        </is>
      </c>
      <c r="E770" s="37" t="inlineStr">
        <is>
          <t>WL-01204</t>
        </is>
      </c>
      <c r="F770" s="37" t="inlineStr">
        <is>
          <t>David Williams</t>
        </is>
      </c>
      <c r="G770" s="37" t="n">
        <v>80</v>
      </c>
      <c r="H770" s="39" t="n">
        <v>46.6</v>
      </c>
      <c r="I770" s="40">
        <f>ROUNDUP(MAX(G770,H770),0)</f>
        <v/>
      </c>
      <c r="J770" s="41">
        <f>IF(C770="COVERED",'Methodology'!$B$9,'Methodology'!$B$10)</f>
        <v/>
      </c>
      <c r="K770" s="41">
        <f>I770*J770</f>
        <v/>
      </c>
      <c r="L770" s="41">
        <f>SUMIFS('Billing Aug'!$J$2:$J$770,'Billing Aug'!$D$2:$D$770,A770)</f>
        <v/>
      </c>
      <c r="M770" s="41">
        <f>L770-K770</f>
        <v/>
      </c>
      <c r="N770" s="37">
        <f>COUNTIF('Billing Aug'!$D$2:$D$770,A770)</f>
        <v/>
      </c>
      <c r="O770" s="37">
        <f>SUMIFS('Billing Aug'!$F$2:$F$770,'Billing Aug'!$D$2:$D$770,A770)</f>
        <v/>
      </c>
      <c r="P770" s="41">
        <f>IF(N770=0,0,L770-SUMIFS('Billing Aug'!$H$2:$H$770,'Billing Aug'!$D$2:$D$770,A770)*SUMIFS('Billing Aug'!$I$2:$I$770,'Billing Aug'!$D$2:$D$770,A770))</f>
        <v/>
      </c>
      <c r="Q770" s="37">
        <f>IF(N770=0,"NO AUG TRANSACTION IN SUPPLIED EXTRACT",IF(ABS(P770)&gt;0.004,"SUBLEDGER ARITHMETIC ERROR",IF(ABS(M770)&gt;0.004,"BILLING VARIANCE","MATCH")))</f>
        <v/>
      </c>
    </row>
    <row r="771">
      <c r="A771" s="37" t="inlineStr">
        <is>
          <t>GW-0422</t>
        </is>
      </c>
      <c r="B771" s="37" t="inlineStr">
        <is>
          <t>Gullwing</t>
        </is>
      </c>
      <c r="C771" s="37" t="inlineStr">
        <is>
          <t>OPEN</t>
        </is>
      </c>
      <c r="D771" s="37" t="inlineStr">
        <is>
          <t>OCCUPIED</t>
        </is>
      </c>
      <c r="E771" s="37" t="inlineStr">
        <is>
          <t>WL-03799</t>
        </is>
      </c>
      <c r="F771" s="37" t="inlineStr">
        <is>
          <t>Ashley Duncan</t>
        </is>
      </c>
      <c r="G771" s="37" t="n">
        <v>80</v>
      </c>
      <c r="H771" s="39" t="n">
        <v>40.9</v>
      </c>
      <c r="I771" s="40">
        <f>ROUNDUP(MAX(G771,H771),0)</f>
        <v/>
      </c>
      <c r="J771" s="41">
        <f>IF(C771="COVERED",'Methodology'!$B$9,'Methodology'!$B$10)</f>
        <v/>
      </c>
      <c r="K771" s="41">
        <f>I771*J771</f>
        <v/>
      </c>
      <c r="L771" s="41">
        <f>SUMIFS('Billing Aug'!$J$2:$J$770,'Billing Aug'!$D$2:$D$770,A771)</f>
        <v/>
      </c>
      <c r="M771" s="41">
        <f>L771-K771</f>
        <v/>
      </c>
      <c r="N771" s="37">
        <f>COUNTIF('Billing Aug'!$D$2:$D$770,A771)</f>
        <v/>
      </c>
      <c r="O771" s="37">
        <f>SUMIFS('Billing Aug'!$F$2:$F$770,'Billing Aug'!$D$2:$D$770,A771)</f>
        <v/>
      </c>
      <c r="P771" s="41">
        <f>IF(N771=0,0,L771-SUMIFS('Billing Aug'!$H$2:$H$770,'Billing Aug'!$D$2:$D$770,A771)*SUMIFS('Billing Aug'!$I$2:$I$770,'Billing Aug'!$D$2:$D$770,A771))</f>
        <v/>
      </c>
      <c r="Q771" s="37">
        <f>IF(N771=0,"NO AUG TRANSACTION IN SUPPLIED EXTRACT",IF(ABS(P771)&gt;0.004,"SUBLEDGER ARITHMETIC ERROR",IF(ABS(M771)&gt;0.004,"BILLING VARIANCE","MATCH")))</f>
        <v/>
      </c>
    </row>
    <row r="772">
      <c r="A772" s="37" t="inlineStr">
        <is>
          <t>GW-0423</t>
        </is>
      </c>
      <c r="B772" s="37" t="inlineStr">
        <is>
          <t>Gullwing</t>
        </is>
      </c>
      <c r="C772" s="37" t="inlineStr">
        <is>
          <t>OPEN</t>
        </is>
      </c>
      <c r="D772" s="37" t="inlineStr">
        <is>
          <t>OCCUPIED</t>
        </is>
      </c>
      <c r="E772" s="37" t="inlineStr">
        <is>
          <t>WL-02053</t>
        </is>
      </c>
      <c r="F772" s="37" t="inlineStr">
        <is>
          <t>Erika Smith</t>
        </is>
      </c>
      <c r="G772" s="37" t="n">
        <v>32</v>
      </c>
      <c r="H772" s="39" t="n">
        <v>42</v>
      </c>
      <c r="I772" s="40">
        <f>ROUNDUP(MAX(G772,H772),0)</f>
        <v/>
      </c>
      <c r="J772" s="41">
        <f>IF(C772="COVERED",'Methodology'!$B$9,'Methodology'!$B$10)</f>
        <v/>
      </c>
      <c r="K772" s="41">
        <f>I772*J772</f>
        <v/>
      </c>
      <c r="L772" s="41">
        <f>SUMIFS('Billing Aug'!$J$2:$J$770,'Billing Aug'!$D$2:$D$770,A772)</f>
        <v/>
      </c>
      <c r="M772" s="41">
        <f>L772-K772</f>
        <v/>
      </c>
      <c r="N772" s="37">
        <f>COUNTIF('Billing Aug'!$D$2:$D$770,A772)</f>
        <v/>
      </c>
      <c r="O772" s="37">
        <f>SUMIFS('Billing Aug'!$F$2:$F$770,'Billing Aug'!$D$2:$D$770,A772)</f>
        <v/>
      </c>
      <c r="P772" s="41">
        <f>IF(N772=0,0,L772-SUMIFS('Billing Aug'!$H$2:$H$770,'Billing Aug'!$D$2:$D$770,A772)*SUMIFS('Billing Aug'!$I$2:$I$770,'Billing Aug'!$D$2:$D$770,A772))</f>
        <v/>
      </c>
      <c r="Q772" s="37">
        <f>IF(N772=0,"NO AUG TRANSACTION IN SUPPLIED EXTRACT",IF(ABS(P772)&gt;0.004,"SUBLEDGER ARITHMETIC ERROR",IF(ABS(M772)&gt;0.004,"BILLING VARIANCE","MATCH")))</f>
        <v/>
      </c>
    </row>
    <row r="773">
      <c r="A773" s="37" t="inlineStr">
        <is>
          <t>GW-0501</t>
        </is>
      </c>
      <c r="B773" s="37" t="inlineStr">
        <is>
          <t>Gullwing</t>
        </is>
      </c>
      <c r="C773" s="37" t="inlineStr">
        <is>
          <t>OPEN</t>
        </is>
      </c>
      <c r="D773" s="37" t="inlineStr">
        <is>
          <t>OCCUPIED</t>
        </is>
      </c>
      <c r="E773" s="37" t="inlineStr">
        <is>
          <t>WL-01450</t>
        </is>
      </c>
      <c r="F773" s="37" t="inlineStr">
        <is>
          <t>Joel Barnes</t>
        </is>
      </c>
      <c r="G773" s="37" t="n">
        <v>40</v>
      </c>
      <c r="H773" s="39" t="n">
        <v>22.6</v>
      </c>
      <c r="I773" s="40">
        <f>ROUNDUP(MAX(G773,H773),0)</f>
        <v/>
      </c>
      <c r="J773" s="41">
        <f>IF(C773="COVERED",'Methodology'!$B$9,'Methodology'!$B$10)</f>
        <v/>
      </c>
      <c r="K773" s="41">
        <f>I773*J773</f>
        <v/>
      </c>
      <c r="L773" s="41">
        <f>SUMIFS('Billing Aug'!$J$2:$J$770,'Billing Aug'!$D$2:$D$770,A773)</f>
        <v/>
      </c>
      <c r="M773" s="41">
        <f>L773-K773</f>
        <v/>
      </c>
      <c r="N773" s="37">
        <f>COUNTIF('Billing Aug'!$D$2:$D$770,A773)</f>
        <v/>
      </c>
      <c r="O773" s="37">
        <f>SUMIFS('Billing Aug'!$F$2:$F$770,'Billing Aug'!$D$2:$D$770,A773)</f>
        <v/>
      </c>
      <c r="P773" s="41">
        <f>IF(N773=0,0,L773-SUMIFS('Billing Aug'!$H$2:$H$770,'Billing Aug'!$D$2:$D$770,A773)*SUMIFS('Billing Aug'!$I$2:$I$770,'Billing Aug'!$D$2:$D$770,A773))</f>
        <v/>
      </c>
      <c r="Q773" s="37">
        <f>IF(N773=0,"NO AUG TRANSACTION IN SUPPLIED EXTRACT",IF(ABS(P773)&gt;0.004,"SUBLEDGER ARITHMETIC ERROR",IF(ABS(M773)&gt;0.004,"BILLING VARIANCE","MATCH")))</f>
        <v/>
      </c>
    </row>
    <row r="774">
      <c r="A774" s="37" t="inlineStr">
        <is>
          <t>GW-0502</t>
        </is>
      </c>
      <c r="B774" s="37" t="inlineStr">
        <is>
          <t>Gullwing</t>
        </is>
      </c>
      <c r="C774" s="37" t="inlineStr">
        <is>
          <t>OPEN</t>
        </is>
      </c>
      <c r="D774" s="37" t="inlineStr">
        <is>
          <t>OCCUPIED</t>
        </is>
      </c>
      <c r="E774" s="37" t="inlineStr">
        <is>
          <t>WL-03559</t>
        </is>
      </c>
      <c r="F774" s="37" t="inlineStr">
        <is>
          <t>David Sanders</t>
        </is>
      </c>
      <c r="G774" s="37" t="n">
        <v>60</v>
      </c>
      <c r="H774" s="39" t="n">
        <v>36.5</v>
      </c>
      <c r="I774" s="40">
        <f>ROUNDUP(MAX(G774,H774),0)</f>
        <v/>
      </c>
      <c r="J774" s="41">
        <f>IF(C774="COVERED",'Methodology'!$B$9,'Methodology'!$B$10)</f>
        <v/>
      </c>
      <c r="K774" s="41">
        <f>I774*J774</f>
        <v/>
      </c>
      <c r="L774" s="41">
        <f>SUMIFS('Billing Aug'!$J$2:$J$770,'Billing Aug'!$D$2:$D$770,A774)</f>
        <v/>
      </c>
      <c r="M774" s="41">
        <f>L774-K774</f>
        <v/>
      </c>
      <c r="N774" s="37">
        <f>COUNTIF('Billing Aug'!$D$2:$D$770,A774)</f>
        <v/>
      </c>
      <c r="O774" s="37">
        <f>SUMIFS('Billing Aug'!$F$2:$F$770,'Billing Aug'!$D$2:$D$770,A774)</f>
        <v/>
      </c>
      <c r="P774" s="41">
        <f>IF(N774=0,0,L774-SUMIFS('Billing Aug'!$H$2:$H$770,'Billing Aug'!$D$2:$D$770,A774)*SUMIFS('Billing Aug'!$I$2:$I$770,'Billing Aug'!$D$2:$D$770,A774))</f>
        <v/>
      </c>
      <c r="Q774" s="37">
        <f>IF(N774=0,"NO AUG TRANSACTION IN SUPPLIED EXTRACT",IF(ABS(P774)&gt;0.004,"SUBLEDGER ARITHMETIC ERROR",IF(ABS(M774)&gt;0.004,"BILLING VARIANCE","MATCH")))</f>
        <v/>
      </c>
    </row>
    <row r="775">
      <c r="A775" s="37" t="inlineStr">
        <is>
          <t>GW-0503</t>
        </is>
      </c>
      <c r="B775" s="37" t="inlineStr">
        <is>
          <t>Gullwing</t>
        </is>
      </c>
      <c r="C775" s="37" t="inlineStr">
        <is>
          <t>OPEN</t>
        </is>
      </c>
      <c r="D775" s="37" t="inlineStr">
        <is>
          <t>OCCUPIED</t>
        </is>
      </c>
      <c r="E775" s="37" t="inlineStr">
        <is>
          <t>WL-01494</t>
        </is>
      </c>
      <c r="F775" s="37" t="inlineStr">
        <is>
          <t>Ashley Park</t>
        </is>
      </c>
      <c r="G775" s="37" t="n">
        <v>32</v>
      </c>
      <c r="H775" s="39" t="n">
        <v>43.9</v>
      </c>
      <c r="I775" s="40">
        <f>ROUNDUP(MAX(G775,H775),0)</f>
        <v/>
      </c>
      <c r="J775" s="41">
        <f>IF(C775="COVERED",'Methodology'!$B$9,'Methodology'!$B$10)</f>
        <v/>
      </c>
      <c r="K775" s="41">
        <f>I775*J775</f>
        <v/>
      </c>
      <c r="L775" s="41">
        <f>SUMIFS('Billing Aug'!$J$2:$J$770,'Billing Aug'!$D$2:$D$770,A775)</f>
        <v/>
      </c>
      <c r="M775" s="41">
        <f>L775-K775</f>
        <v/>
      </c>
      <c r="N775" s="37">
        <f>COUNTIF('Billing Aug'!$D$2:$D$770,A775)</f>
        <v/>
      </c>
      <c r="O775" s="37">
        <f>SUMIFS('Billing Aug'!$F$2:$F$770,'Billing Aug'!$D$2:$D$770,A775)</f>
        <v/>
      </c>
      <c r="P775" s="41">
        <f>IF(N775=0,0,L775-SUMIFS('Billing Aug'!$H$2:$H$770,'Billing Aug'!$D$2:$D$770,A775)*SUMIFS('Billing Aug'!$I$2:$I$770,'Billing Aug'!$D$2:$D$770,A775))</f>
        <v/>
      </c>
      <c r="Q775" s="37">
        <f>IF(N775=0,"NO AUG TRANSACTION IN SUPPLIED EXTRACT",IF(ABS(P775)&gt;0.004,"SUBLEDGER ARITHMETIC ERROR",IF(ABS(M775)&gt;0.004,"BILLING VARIANCE","MATCH")))</f>
        <v/>
      </c>
    </row>
    <row r="776">
      <c r="A776" s="37" t="inlineStr">
        <is>
          <t>GW-0504</t>
        </is>
      </c>
      <c r="B776" s="37" t="inlineStr">
        <is>
          <t>Gullwing</t>
        </is>
      </c>
      <c r="C776" s="37" t="inlineStr">
        <is>
          <t>OPEN</t>
        </is>
      </c>
      <c r="D776" s="37" t="inlineStr">
        <is>
          <t>OCCUPIED</t>
        </is>
      </c>
      <c r="E776" s="37" t="inlineStr">
        <is>
          <t>WL-01500</t>
        </is>
      </c>
      <c r="F776" s="37" t="inlineStr">
        <is>
          <t>Patricia Marquez</t>
        </is>
      </c>
      <c r="G776" s="37" t="n">
        <v>50</v>
      </c>
      <c r="H776" s="39" t="n">
        <v>25.2</v>
      </c>
      <c r="I776" s="40">
        <f>ROUNDUP(MAX(G776,H776),0)</f>
        <v/>
      </c>
      <c r="J776" s="41">
        <f>IF(C776="COVERED",'Methodology'!$B$9,'Methodology'!$B$10)</f>
        <v/>
      </c>
      <c r="K776" s="41">
        <f>I776*J776</f>
        <v/>
      </c>
      <c r="L776" s="41">
        <f>SUMIFS('Billing Aug'!$J$2:$J$770,'Billing Aug'!$D$2:$D$770,A776)</f>
        <v/>
      </c>
      <c r="M776" s="41">
        <f>L776-K776</f>
        <v/>
      </c>
      <c r="N776" s="37">
        <f>COUNTIF('Billing Aug'!$D$2:$D$770,A776)</f>
        <v/>
      </c>
      <c r="O776" s="37">
        <f>SUMIFS('Billing Aug'!$F$2:$F$770,'Billing Aug'!$D$2:$D$770,A776)</f>
        <v/>
      </c>
      <c r="P776" s="41">
        <f>IF(N776=0,0,L776-SUMIFS('Billing Aug'!$H$2:$H$770,'Billing Aug'!$D$2:$D$770,A776)*SUMIFS('Billing Aug'!$I$2:$I$770,'Billing Aug'!$D$2:$D$770,A776))</f>
        <v/>
      </c>
      <c r="Q776" s="37">
        <f>IF(N776=0,"NO AUG TRANSACTION IN SUPPLIED EXTRACT",IF(ABS(P776)&gt;0.004,"SUBLEDGER ARITHMETIC ERROR",IF(ABS(M776)&gt;0.004,"BILLING VARIANCE","MATCH")))</f>
        <v/>
      </c>
    </row>
    <row r="777">
      <c r="A777" s="37" t="inlineStr">
        <is>
          <t>GW-0505</t>
        </is>
      </c>
      <c r="B777" s="37" t="inlineStr">
        <is>
          <t>Gullwing</t>
        </is>
      </c>
      <c r="C777" s="37" t="inlineStr">
        <is>
          <t>OPEN</t>
        </is>
      </c>
      <c r="D777" s="37" t="inlineStr">
        <is>
          <t>OCCUPIED</t>
        </is>
      </c>
      <c r="E777" s="37" t="inlineStr">
        <is>
          <t>WL-01089</t>
        </is>
      </c>
      <c r="F777" s="37" t="inlineStr">
        <is>
          <t>Erin Holmes</t>
        </is>
      </c>
      <c r="G777" s="37" t="n">
        <v>60</v>
      </c>
      <c r="H777" s="39" t="n">
        <v>54.3</v>
      </c>
      <c r="I777" s="40">
        <f>ROUNDUP(MAX(G777,H777),0)</f>
        <v/>
      </c>
      <c r="J777" s="41">
        <f>IF(C777="COVERED",'Methodology'!$B$9,'Methodology'!$B$10)</f>
        <v/>
      </c>
      <c r="K777" s="41">
        <f>I777*J777</f>
        <v/>
      </c>
      <c r="L777" s="41">
        <f>SUMIFS('Billing Aug'!$J$2:$J$770,'Billing Aug'!$D$2:$D$770,A777)</f>
        <v/>
      </c>
      <c r="M777" s="41">
        <f>L777-K777</f>
        <v/>
      </c>
      <c r="N777" s="37">
        <f>COUNTIF('Billing Aug'!$D$2:$D$770,A777)</f>
        <v/>
      </c>
      <c r="O777" s="37">
        <f>SUMIFS('Billing Aug'!$F$2:$F$770,'Billing Aug'!$D$2:$D$770,A777)</f>
        <v/>
      </c>
      <c r="P777" s="41">
        <f>IF(N777=0,0,L777-SUMIFS('Billing Aug'!$H$2:$H$770,'Billing Aug'!$D$2:$D$770,A777)*SUMIFS('Billing Aug'!$I$2:$I$770,'Billing Aug'!$D$2:$D$770,A777))</f>
        <v/>
      </c>
      <c r="Q777" s="37">
        <f>IF(N777=0,"NO AUG TRANSACTION IN SUPPLIED EXTRACT",IF(ABS(P777)&gt;0.004,"SUBLEDGER ARITHMETIC ERROR",IF(ABS(M777)&gt;0.004,"BILLING VARIANCE","MATCH")))</f>
        <v/>
      </c>
    </row>
    <row r="778">
      <c r="A778" s="37" t="inlineStr">
        <is>
          <t>GW-0506</t>
        </is>
      </c>
      <c r="B778" s="37" t="inlineStr">
        <is>
          <t>Gullwing</t>
        </is>
      </c>
      <c r="C778" s="37" t="inlineStr">
        <is>
          <t>OPEN</t>
        </is>
      </c>
      <c r="D778" s="37" t="inlineStr">
        <is>
          <t>OCCUPIED</t>
        </is>
      </c>
      <c r="E778" s="37" t="inlineStr">
        <is>
          <t>WL-03615</t>
        </is>
      </c>
      <c r="F778" s="37" t="inlineStr">
        <is>
          <t>Kathryn Cook</t>
        </is>
      </c>
      <c r="G778" s="37" t="n">
        <v>45</v>
      </c>
      <c r="H778" s="39" t="n">
        <v>25.2</v>
      </c>
      <c r="I778" s="40">
        <f>ROUNDUP(MAX(G778,H778),0)</f>
        <v/>
      </c>
      <c r="J778" s="41">
        <f>IF(C778="COVERED",'Methodology'!$B$9,'Methodology'!$B$10)</f>
        <v/>
      </c>
      <c r="K778" s="41">
        <f>I778*J778</f>
        <v/>
      </c>
      <c r="L778" s="41">
        <f>SUMIFS('Billing Aug'!$J$2:$J$770,'Billing Aug'!$D$2:$D$770,A778)</f>
        <v/>
      </c>
      <c r="M778" s="41">
        <f>L778-K778</f>
        <v/>
      </c>
      <c r="N778" s="37">
        <f>COUNTIF('Billing Aug'!$D$2:$D$770,A778)</f>
        <v/>
      </c>
      <c r="O778" s="37">
        <f>SUMIFS('Billing Aug'!$F$2:$F$770,'Billing Aug'!$D$2:$D$770,A778)</f>
        <v/>
      </c>
      <c r="P778" s="41">
        <f>IF(N778=0,0,L778-SUMIFS('Billing Aug'!$H$2:$H$770,'Billing Aug'!$D$2:$D$770,A778)*SUMIFS('Billing Aug'!$I$2:$I$770,'Billing Aug'!$D$2:$D$770,A778))</f>
        <v/>
      </c>
      <c r="Q778" s="37">
        <f>IF(N778=0,"NO AUG TRANSACTION IN SUPPLIED EXTRACT",IF(ABS(P778)&gt;0.004,"SUBLEDGER ARITHMETIC ERROR",IF(ABS(M778)&gt;0.004,"BILLING VARIANCE","MATCH")))</f>
        <v/>
      </c>
    </row>
    <row r="779">
      <c r="A779" s="37" t="inlineStr">
        <is>
          <t>GW-0507</t>
        </is>
      </c>
      <c r="B779" s="37" t="inlineStr">
        <is>
          <t>Gullwing</t>
        </is>
      </c>
      <c r="C779" s="37" t="inlineStr">
        <is>
          <t>OPEN</t>
        </is>
      </c>
      <c r="D779" s="37" t="inlineStr">
        <is>
          <t>OCCUPIED</t>
        </is>
      </c>
      <c r="E779" s="37" t="inlineStr">
        <is>
          <t>WL-03057</t>
        </is>
      </c>
      <c r="F779" s="37" t="inlineStr">
        <is>
          <t>Jennifer Stout</t>
        </is>
      </c>
      <c r="G779" s="37" t="n">
        <v>24</v>
      </c>
      <c r="H779" s="39" t="n">
        <v>38.3</v>
      </c>
      <c r="I779" s="40">
        <f>ROUNDUP(MAX(G779,H779),0)</f>
        <v/>
      </c>
      <c r="J779" s="41">
        <f>IF(C779="COVERED",'Methodology'!$B$9,'Methodology'!$B$10)</f>
        <v/>
      </c>
      <c r="K779" s="41">
        <f>I779*J779</f>
        <v/>
      </c>
      <c r="L779" s="41">
        <f>SUMIFS('Billing Aug'!$J$2:$J$770,'Billing Aug'!$D$2:$D$770,A779)</f>
        <v/>
      </c>
      <c r="M779" s="41">
        <f>L779-K779</f>
        <v/>
      </c>
      <c r="N779" s="37">
        <f>COUNTIF('Billing Aug'!$D$2:$D$770,A779)</f>
        <v/>
      </c>
      <c r="O779" s="37">
        <f>SUMIFS('Billing Aug'!$F$2:$F$770,'Billing Aug'!$D$2:$D$770,A779)</f>
        <v/>
      </c>
      <c r="P779" s="41">
        <f>IF(N779=0,0,L779-SUMIFS('Billing Aug'!$H$2:$H$770,'Billing Aug'!$D$2:$D$770,A779)*SUMIFS('Billing Aug'!$I$2:$I$770,'Billing Aug'!$D$2:$D$770,A779))</f>
        <v/>
      </c>
      <c r="Q779" s="37">
        <f>IF(N779=0,"NO AUG TRANSACTION IN SUPPLIED EXTRACT",IF(ABS(P779)&gt;0.004,"SUBLEDGER ARITHMETIC ERROR",IF(ABS(M779)&gt;0.004,"BILLING VARIANCE","MATCH")))</f>
        <v/>
      </c>
    </row>
    <row r="780">
      <c r="A780" s="37" t="inlineStr">
        <is>
          <t>GW-0508</t>
        </is>
      </c>
      <c r="B780" s="37" t="inlineStr">
        <is>
          <t>Gullwing</t>
        </is>
      </c>
      <c r="C780" s="37" t="inlineStr">
        <is>
          <t>OPEN</t>
        </is>
      </c>
      <c r="D780" s="37" t="inlineStr">
        <is>
          <t>OCCUPIED</t>
        </is>
      </c>
      <c r="E780" s="37" t="inlineStr">
        <is>
          <t>WL-03692</t>
        </is>
      </c>
      <c r="F780" s="37" t="inlineStr">
        <is>
          <t>Warren Wilkins</t>
        </is>
      </c>
      <c r="G780" s="37" t="n">
        <v>70</v>
      </c>
      <c r="H780" s="39" t="n">
        <v>25.9</v>
      </c>
      <c r="I780" s="40">
        <f>ROUNDUP(MAX(G780,H780),0)</f>
        <v/>
      </c>
      <c r="J780" s="41">
        <f>IF(C780="COVERED",'Methodology'!$B$9,'Methodology'!$B$10)</f>
        <v/>
      </c>
      <c r="K780" s="41">
        <f>I780*J780</f>
        <v/>
      </c>
      <c r="L780" s="41">
        <f>SUMIFS('Billing Aug'!$J$2:$J$770,'Billing Aug'!$D$2:$D$770,A780)</f>
        <v/>
      </c>
      <c r="M780" s="41">
        <f>L780-K780</f>
        <v/>
      </c>
      <c r="N780" s="37">
        <f>COUNTIF('Billing Aug'!$D$2:$D$770,A780)</f>
        <v/>
      </c>
      <c r="O780" s="37">
        <f>SUMIFS('Billing Aug'!$F$2:$F$770,'Billing Aug'!$D$2:$D$770,A780)</f>
        <v/>
      </c>
      <c r="P780" s="41">
        <f>IF(N780=0,0,L780-SUMIFS('Billing Aug'!$H$2:$H$770,'Billing Aug'!$D$2:$D$770,A780)*SUMIFS('Billing Aug'!$I$2:$I$770,'Billing Aug'!$D$2:$D$770,A780))</f>
        <v/>
      </c>
      <c r="Q780" s="37">
        <f>IF(N780=0,"NO AUG TRANSACTION IN SUPPLIED EXTRACT",IF(ABS(P780)&gt;0.004,"SUBLEDGER ARITHMETIC ERROR",IF(ABS(M780)&gt;0.004,"BILLING VARIANCE","MATCH")))</f>
        <v/>
      </c>
    </row>
    <row r="781">
      <c r="A781" s="37" t="inlineStr">
        <is>
          <t>GW-0509</t>
        </is>
      </c>
      <c r="B781" s="37" t="inlineStr">
        <is>
          <t>Gullwing</t>
        </is>
      </c>
      <c r="C781" s="37" t="inlineStr">
        <is>
          <t>OPEN</t>
        </is>
      </c>
      <c r="D781" s="37" t="inlineStr">
        <is>
          <t>OCCUPIED</t>
        </is>
      </c>
      <c r="E781" s="37" t="inlineStr">
        <is>
          <t>WL-03850</t>
        </is>
      </c>
      <c r="F781" s="37" t="inlineStr">
        <is>
          <t>Teresa Greer</t>
        </is>
      </c>
      <c r="G781" s="37" t="n">
        <v>45</v>
      </c>
      <c r="H781" s="39" t="n">
        <v>35.6</v>
      </c>
      <c r="I781" s="40">
        <f>ROUNDUP(MAX(G781,H781),0)</f>
        <v/>
      </c>
      <c r="J781" s="41">
        <f>IF(C781="COVERED",'Methodology'!$B$9,'Methodology'!$B$10)</f>
        <v/>
      </c>
      <c r="K781" s="41">
        <f>I781*J781</f>
        <v/>
      </c>
      <c r="L781" s="41">
        <f>SUMIFS('Billing Aug'!$J$2:$J$770,'Billing Aug'!$D$2:$D$770,A781)</f>
        <v/>
      </c>
      <c r="M781" s="41">
        <f>L781-K781</f>
        <v/>
      </c>
      <c r="N781" s="37">
        <f>COUNTIF('Billing Aug'!$D$2:$D$770,A781)</f>
        <v/>
      </c>
      <c r="O781" s="37">
        <f>SUMIFS('Billing Aug'!$F$2:$F$770,'Billing Aug'!$D$2:$D$770,A781)</f>
        <v/>
      </c>
      <c r="P781" s="41">
        <f>IF(N781=0,0,L781-SUMIFS('Billing Aug'!$H$2:$H$770,'Billing Aug'!$D$2:$D$770,A781)*SUMIFS('Billing Aug'!$I$2:$I$770,'Billing Aug'!$D$2:$D$770,A781))</f>
        <v/>
      </c>
      <c r="Q781" s="37">
        <f>IF(N781=0,"NO AUG TRANSACTION IN SUPPLIED EXTRACT",IF(ABS(P781)&gt;0.004,"SUBLEDGER ARITHMETIC ERROR",IF(ABS(M781)&gt;0.004,"BILLING VARIANCE","MATCH")))</f>
        <v/>
      </c>
    </row>
    <row r="782">
      <c r="A782" s="37" t="inlineStr">
        <is>
          <t>GW-0511</t>
        </is>
      </c>
      <c r="B782" s="37" t="inlineStr">
        <is>
          <t>Gullwing</t>
        </is>
      </c>
      <c r="C782" s="37" t="inlineStr">
        <is>
          <t>OPEN</t>
        </is>
      </c>
      <c r="D782" s="37" t="inlineStr">
        <is>
          <t>OCCUPIED</t>
        </is>
      </c>
      <c r="E782" s="37" t="inlineStr">
        <is>
          <t>WL-02804</t>
        </is>
      </c>
      <c r="F782" s="37" t="inlineStr">
        <is>
          <t>Danny Jones</t>
        </is>
      </c>
      <c r="G782" s="37" t="n">
        <v>70</v>
      </c>
      <c r="H782" s="39" t="n">
        <v>28.7</v>
      </c>
      <c r="I782" s="40">
        <f>ROUNDUP(MAX(G782,H782),0)</f>
        <v/>
      </c>
      <c r="J782" s="41">
        <f>IF(C782="COVERED",'Methodology'!$B$9,'Methodology'!$B$10)</f>
        <v/>
      </c>
      <c r="K782" s="41">
        <f>I782*J782</f>
        <v/>
      </c>
      <c r="L782" s="41">
        <f>SUMIFS('Billing Aug'!$J$2:$J$770,'Billing Aug'!$D$2:$D$770,A782)</f>
        <v/>
      </c>
      <c r="M782" s="41">
        <f>L782-K782</f>
        <v/>
      </c>
      <c r="N782" s="37">
        <f>COUNTIF('Billing Aug'!$D$2:$D$770,A782)</f>
        <v/>
      </c>
      <c r="O782" s="37">
        <f>SUMIFS('Billing Aug'!$F$2:$F$770,'Billing Aug'!$D$2:$D$770,A782)</f>
        <v/>
      </c>
      <c r="P782" s="41">
        <f>IF(N782=0,0,L782-SUMIFS('Billing Aug'!$H$2:$H$770,'Billing Aug'!$D$2:$D$770,A782)*SUMIFS('Billing Aug'!$I$2:$I$770,'Billing Aug'!$D$2:$D$770,A782))</f>
        <v/>
      </c>
      <c r="Q782" s="37">
        <f>IF(N782=0,"NO AUG TRANSACTION IN SUPPLIED EXTRACT",IF(ABS(P782)&gt;0.004,"SUBLEDGER ARITHMETIC ERROR",IF(ABS(M782)&gt;0.004,"BILLING VARIANCE","MATCH")))</f>
        <v/>
      </c>
    </row>
    <row r="783">
      <c r="A783" s="37" t="inlineStr">
        <is>
          <t>GW-0512</t>
        </is>
      </c>
      <c r="B783" s="37" t="inlineStr">
        <is>
          <t>Gullwing</t>
        </is>
      </c>
      <c r="C783" s="37" t="inlineStr">
        <is>
          <t>OPEN</t>
        </is>
      </c>
      <c r="D783" s="37" t="inlineStr">
        <is>
          <t>OCCUPIED</t>
        </is>
      </c>
      <c r="E783" s="37" t="inlineStr">
        <is>
          <t>WL-03869</t>
        </is>
      </c>
      <c r="F783" s="37" t="inlineStr">
        <is>
          <t>Seth Raymond</t>
        </is>
      </c>
      <c r="G783" s="37" t="n">
        <v>32</v>
      </c>
      <c r="H783" s="39" t="n">
        <v>37</v>
      </c>
      <c r="I783" s="40">
        <f>ROUNDUP(MAX(G783,H783),0)</f>
        <v/>
      </c>
      <c r="J783" s="41">
        <f>IF(C783="COVERED",'Methodology'!$B$9,'Methodology'!$B$10)</f>
        <v/>
      </c>
      <c r="K783" s="41">
        <f>I783*J783</f>
        <v/>
      </c>
      <c r="L783" s="41">
        <f>SUMIFS('Billing Aug'!$J$2:$J$770,'Billing Aug'!$D$2:$D$770,A783)</f>
        <v/>
      </c>
      <c r="M783" s="41">
        <f>L783-K783</f>
        <v/>
      </c>
      <c r="N783" s="37">
        <f>COUNTIF('Billing Aug'!$D$2:$D$770,A783)</f>
        <v/>
      </c>
      <c r="O783" s="37">
        <f>SUMIFS('Billing Aug'!$F$2:$F$770,'Billing Aug'!$D$2:$D$770,A783)</f>
        <v/>
      </c>
      <c r="P783" s="41">
        <f>IF(N783=0,0,L783-SUMIFS('Billing Aug'!$H$2:$H$770,'Billing Aug'!$D$2:$D$770,A783)*SUMIFS('Billing Aug'!$I$2:$I$770,'Billing Aug'!$D$2:$D$770,A783))</f>
        <v/>
      </c>
      <c r="Q783" s="37">
        <f>IF(N783=0,"NO AUG TRANSACTION IN SUPPLIED EXTRACT",IF(ABS(P783)&gt;0.004,"SUBLEDGER ARITHMETIC ERROR",IF(ABS(M783)&gt;0.004,"BILLING VARIANCE","MATCH")))</f>
        <v/>
      </c>
    </row>
    <row r="784">
      <c r="A784" s="37" t="inlineStr">
        <is>
          <t>GW-0513</t>
        </is>
      </c>
      <c r="B784" s="37" t="inlineStr">
        <is>
          <t>Gullwing</t>
        </is>
      </c>
      <c r="C784" s="37" t="inlineStr">
        <is>
          <t>OPEN</t>
        </is>
      </c>
      <c r="D784" s="37" t="inlineStr">
        <is>
          <t>OCCUPIED</t>
        </is>
      </c>
      <c r="E784" s="37" t="inlineStr">
        <is>
          <t>WL-03045</t>
        </is>
      </c>
      <c r="F784" s="37" t="inlineStr">
        <is>
          <t>Karen Davis</t>
        </is>
      </c>
      <c r="G784" s="37" t="n">
        <v>32</v>
      </c>
      <c r="H784" s="39" t="n">
        <v>51.6</v>
      </c>
      <c r="I784" s="40">
        <f>ROUNDUP(MAX(G784,H784),0)</f>
        <v/>
      </c>
      <c r="J784" s="41">
        <f>IF(C784="COVERED",'Methodology'!$B$9,'Methodology'!$B$10)</f>
        <v/>
      </c>
      <c r="K784" s="41">
        <f>I784*J784</f>
        <v/>
      </c>
      <c r="L784" s="41">
        <f>SUMIFS('Billing Aug'!$J$2:$J$770,'Billing Aug'!$D$2:$D$770,A784)</f>
        <v/>
      </c>
      <c r="M784" s="41">
        <f>L784-K784</f>
        <v/>
      </c>
      <c r="N784" s="37">
        <f>COUNTIF('Billing Aug'!$D$2:$D$770,A784)</f>
        <v/>
      </c>
      <c r="O784" s="37">
        <f>SUMIFS('Billing Aug'!$F$2:$F$770,'Billing Aug'!$D$2:$D$770,A784)</f>
        <v/>
      </c>
      <c r="P784" s="41">
        <f>IF(N784=0,0,L784-SUMIFS('Billing Aug'!$H$2:$H$770,'Billing Aug'!$D$2:$D$770,A784)*SUMIFS('Billing Aug'!$I$2:$I$770,'Billing Aug'!$D$2:$D$770,A784))</f>
        <v/>
      </c>
      <c r="Q784" s="37">
        <f>IF(N784=0,"NO AUG TRANSACTION IN SUPPLIED EXTRACT",IF(ABS(P784)&gt;0.004,"SUBLEDGER ARITHMETIC ERROR",IF(ABS(M784)&gt;0.004,"BILLING VARIANCE","MATCH")))</f>
        <v/>
      </c>
    </row>
    <row r="785">
      <c r="A785" s="37" t="inlineStr">
        <is>
          <t>GW-0514</t>
        </is>
      </c>
      <c r="B785" s="37" t="inlineStr">
        <is>
          <t>Gullwing</t>
        </is>
      </c>
      <c r="C785" s="37" t="inlineStr">
        <is>
          <t>OPEN</t>
        </is>
      </c>
      <c r="D785" s="37" t="inlineStr">
        <is>
          <t>OCCUPIED</t>
        </is>
      </c>
      <c r="E785" s="37" t="inlineStr">
        <is>
          <t>WL-03143</t>
        </is>
      </c>
      <c r="F785" s="37" t="inlineStr">
        <is>
          <t>Timothy Jennings</t>
        </is>
      </c>
      <c r="G785" s="37" t="n">
        <v>40</v>
      </c>
      <c r="H785" s="39" t="n">
        <v>32.5</v>
      </c>
      <c r="I785" s="40">
        <f>ROUNDUP(MAX(G785,H785),0)</f>
        <v/>
      </c>
      <c r="J785" s="41">
        <f>IF(C785="COVERED",'Methodology'!$B$9,'Methodology'!$B$10)</f>
        <v/>
      </c>
      <c r="K785" s="41">
        <f>I785*J785</f>
        <v/>
      </c>
      <c r="L785" s="41">
        <f>SUMIFS('Billing Aug'!$J$2:$J$770,'Billing Aug'!$D$2:$D$770,A785)</f>
        <v/>
      </c>
      <c r="M785" s="41">
        <f>L785-K785</f>
        <v/>
      </c>
      <c r="N785" s="37">
        <f>COUNTIF('Billing Aug'!$D$2:$D$770,A785)</f>
        <v/>
      </c>
      <c r="O785" s="37">
        <f>SUMIFS('Billing Aug'!$F$2:$F$770,'Billing Aug'!$D$2:$D$770,A785)</f>
        <v/>
      </c>
      <c r="P785" s="41">
        <f>IF(N785=0,0,L785-SUMIFS('Billing Aug'!$H$2:$H$770,'Billing Aug'!$D$2:$D$770,A785)*SUMIFS('Billing Aug'!$I$2:$I$770,'Billing Aug'!$D$2:$D$770,A785))</f>
        <v/>
      </c>
      <c r="Q785" s="37">
        <f>IF(N785=0,"NO AUG TRANSACTION IN SUPPLIED EXTRACT",IF(ABS(P785)&gt;0.004,"SUBLEDGER ARITHMETIC ERROR",IF(ABS(M785)&gt;0.004,"BILLING VARIANCE","MATCH")))</f>
        <v/>
      </c>
    </row>
    <row r="786">
      <c r="A786" s="37" t="inlineStr">
        <is>
          <t>GW-0515</t>
        </is>
      </c>
      <c r="B786" s="37" t="inlineStr">
        <is>
          <t>Gullwing</t>
        </is>
      </c>
      <c r="C786" s="37" t="inlineStr">
        <is>
          <t>OPEN</t>
        </is>
      </c>
      <c r="D786" s="37" t="inlineStr">
        <is>
          <t>OCCUPIED</t>
        </is>
      </c>
      <c r="E786" s="37" t="inlineStr">
        <is>
          <t>WL-02025</t>
        </is>
      </c>
      <c r="F786" s="37" t="inlineStr">
        <is>
          <t>Haley Johnson</t>
        </is>
      </c>
      <c r="G786" s="37" t="n">
        <v>32</v>
      </c>
      <c r="H786" s="39" t="n">
        <v>18.1</v>
      </c>
      <c r="I786" s="40">
        <f>ROUNDUP(MAX(G786,H786),0)</f>
        <v/>
      </c>
      <c r="J786" s="41">
        <f>IF(C786="COVERED",'Methodology'!$B$9,'Methodology'!$B$10)</f>
        <v/>
      </c>
      <c r="K786" s="41">
        <f>I786*J786</f>
        <v/>
      </c>
      <c r="L786" s="41">
        <f>SUMIFS('Billing Aug'!$J$2:$J$770,'Billing Aug'!$D$2:$D$770,A786)</f>
        <v/>
      </c>
      <c r="M786" s="41">
        <f>L786-K786</f>
        <v/>
      </c>
      <c r="N786" s="37">
        <f>COUNTIF('Billing Aug'!$D$2:$D$770,A786)</f>
        <v/>
      </c>
      <c r="O786" s="37">
        <f>SUMIFS('Billing Aug'!$F$2:$F$770,'Billing Aug'!$D$2:$D$770,A786)</f>
        <v/>
      </c>
      <c r="P786" s="41">
        <f>IF(N786=0,0,L786-SUMIFS('Billing Aug'!$H$2:$H$770,'Billing Aug'!$D$2:$D$770,A786)*SUMIFS('Billing Aug'!$I$2:$I$770,'Billing Aug'!$D$2:$D$770,A786))</f>
        <v/>
      </c>
      <c r="Q786" s="37">
        <f>IF(N786=0,"NO AUG TRANSACTION IN SUPPLIED EXTRACT",IF(ABS(P786)&gt;0.004,"SUBLEDGER ARITHMETIC ERROR",IF(ABS(M786)&gt;0.004,"BILLING VARIANCE","MATCH")))</f>
        <v/>
      </c>
    </row>
    <row r="787">
      <c r="A787" s="37" t="inlineStr">
        <is>
          <t>GW-0516</t>
        </is>
      </c>
      <c r="B787" s="37" t="inlineStr">
        <is>
          <t>Gullwing</t>
        </is>
      </c>
      <c r="C787" s="37" t="inlineStr">
        <is>
          <t>OPEN</t>
        </is>
      </c>
      <c r="D787" s="37" t="inlineStr">
        <is>
          <t>OCCUPIED</t>
        </is>
      </c>
      <c r="E787" s="37" t="inlineStr">
        <is>
          <t>WL-01072</t>
        </is>
      </c>
      <c r="F787" s="37" t="inlineStr">
        <is>
          <t>Sabrina Johnson</t>
        </is>
      </c>
      <c r="G787" s="37" t="n">
        <v>70</v>
      </c>
      <c r="H787" s="39" t="n">
        <v>52.3</v>
      </c>
      <c r="I787" s="40">
        <f>ROUNDUP(MAX(G787,H787),0)</f>
        <v/>
      </c>
      <c r="J787" s="41">
        <f>IF(C787="COVERED",'Methodology'!$B$9,'Methodology'!$B$10)</f>
        <v/>
      </c>
      <c r="K787" s="41">
        <f>I787*J787</f>
        <v/>
      </c>
      <c r="L787" s="41">
        <f>SUMIFS('Billing Aug'!$J$2:$J$770,'Billing Aug'!$D$2:$D$770,A787)</f>
        <v/>
      </c>
      <c r="M787" s="41">
        <f>L787-K787</f>
        <v/>
      </c>
      <c r="N787" s="37">
        <f>COUNTIF('Billing Aug'!$D$2:$D$770,A787)</f>
        <v/>
      </c>
      <c r="O787" s="37">
        <f>SUMIFS('Billing Aug'!$F$2:$F$770,'Billing Aug'!$D$2:$D$770,A787)</f>
        <v/>
      </c>
      <c r="P787" s="41">
        <f>IF(N787=0,0,L787-SUMIFS('Billing Aug'!$H$2:$H$770,'Billing Aug'!$D$2:$D$770,A787)*SUMIFS('Billing Aug'!$I$2:$I$770,'Billing Aug'!$D$2:$D$770,A787))</f>
        <v/>
      </c>
      <c r="Q787" s="37">
        <f>IF(N787=0,"NO AUG TRANSACTION IN SUPPLIED EXTRACT",IF(ABS(P787)&gt;0.004,"SUBLEDGER ARITHMETIC ERROR",IF(ABS(M787)&gt;0.004,"BILLING VARIANCE","MATCH")))</f>
        <v/>
      </c>
    </row>
    <row r="788">
      <c r="A788" s="37" t="inlineStr">
        <is>
          <t>GW-0517</t>
        </is>
      </c>
      <c r="B788" s="37" t="inlineStr">
        <is>
          <t>Gullwing</t>
        </is>
      </c>
      <c r="C788" s="37" t="inlineStr">
        <is>
          <t>OPEN</t>
        </is>
      </c>
      <c r="D788" s="37" t="inlineStr">
        <is>
          <t>OCCUPIED</t>
        </is>
      </c>
      <c r="E788" s="37" t="inlineStr">
        <is>
          <t>WL-01986</t>
        </is>
      </c>
      <c r="F788" s="37" t="inlineStr">
        <is>
          <t>Leah Blake</t>
        </is>
      </c>
      <c r="G788" s="37" t="n">
        <v>24</v>
      </c>
      <c r="H788" s="39" t="n">
        <v>46.9</v>
      </c>
      <c r="I788" s="40">
        <f>ROUNDUP(MAX(G788,H788),0)</f>
        <v/>
      </c>
      <c r="J788" s="41">
        <f>IF(C788="COVERED",'Methodology'!$B$9,'Methodology'!$B$10)</f>
        <v/>
      </c>
      <c r="K788" s="41">
        <f>I788*J788</f>
        <v/>
      </c>
      <c r="L788" s="41">
        <f>SUMIFS('Billing Aug'!$J$2:$J$770,'Billing Aug'!$D$2:$D$770,A788)</f>
        <v/>
      </c>
      <c r="M788" s="41">
        <f>L788-K788</f>
        <v/>
      </c>
      <c r="N788" s="37">
        <f>COUNTIF('Billing Aug'!$D$2:$D$770,A788)</f>
        <v/>
      </c>
      <c r="O788" s="37">
        <f>SUMIFS('Billing Aug'!$F$2:$F$770,'Billing Aug'!$D$2:$D$770,A788)</f>
        <v/>
      </c>
      <c r="P788" s="41">
        <f>IF(N788=0,0,L788-SUMIFS('Billing Aug'!$H$2:$H$770,'Billing Aug'!$D$2:$D$770,A788)*SUMIFS('Billing Aug'!$I$2:$I$770,'Billing Aug'!$D$2:$D$770,A788))</f>
        <v/>
      </c>
      <c r="Q788" s="37">
        <f>IF(N788=0,"NO AUG TRANSACTION IN SUPPLIED EXTRACT",IF(ABS(P788)&gt;0.004,"SUBLEDGER ARITHMETIC ERROR",IF(ABS(M788)&gt;0.004,"BILLING VARIANCE","MATCH")))</f>
        <v/>
      </c>
    </row>
    <row r="789">
      <c r="A789" s="37" t="inlineStr">
        <is>
          <t>GW-0518</t>
        </is>
      </c>
      <c r="B789" s="37" t="inlineStr">
        <is>
          <t>Gullwing</t>
        </is>
      </c>
      <c r="C789" s="37" t="inlineStr">
        <is>
          <t>OPEN</t>
        </is>
      </c>
      <c r="D789" s="37" t="inlineStr">
        <is>
          <t>OCCUPIED</t>
        </is>
      </c>
      <c r="E789" s="37" t="inlineStr">
        <is>
          <t>WL-02212</t>
        </is>
      </c>
      <c r="F789" s="37" t="inlineStr">
        <is>
          <t>Jeffery Delacruz</t>
        </is>
      </c>
      <c r="G789" s="37" t="n">
        <v>80</v>
      </c>
      <c r="H789" s="39" t="n">
        <v>54.3</v>
      </c>
      <c r="I789" s="40">
        <f>ROUNDUP(MAX(G789,H789),0)</f>
        <v/>
      </c>
      <c r="J789" s="41">
        <f>IF(C789="COVERED",'Methodology'!$B$9,'Methodology'!$B$10)</f>
        <v/>
      </c>
      <c r="K789" s="41">
        <f>I789*J789</f>
        <v/>
      </c>
      <c r="L789" s="41">
        <f>SUMIFS('Billing Aug'!$J$2:$J$770,'Billing Aug'!$D$2:$D$770,A789)</f>
        <v/>
      </c>
      <c r="M789" s="41">
        <f>L789-K789</f>
        <v/>
      </c>
      <c r="N789" s="37">
        <f>COUNTIF('Billing Aug'!$D$2:$D$770,A789)</f>
        <v/>
      </c>
      <c r="O789" s="37">
        <f>SUMIFS('Billing Aug'!$F$2:$F$770,'Billing Aug'!$D$2:$D$770,A789)</f>
        <v/>
      </c>
      <c r="P789" s="41">
        <f>IF(N789=0,0,L789-SUMIFS('Billing Aug'!$H$2:$H$770,'Billing Aug'!$D$2:$D$770,A789)*SUMIFS('Billing Aug'!$I$2:$I$770,'Billing Aug'!$D$2:$D$770,A789))</f>
        <v/>
      </c>
      <c r="Q789" s="37">
        <f>IF(N789=0,"NO AUG TRANSACTION IN SUPPLIED EXTRACT",IF(ABS(P789)&gt;0.004,"SUBLEDGER ARITHMETIC ERROR",IF(ABS(M789)&gt;0.004,"BILLING VARIANCE","MATCH")))</f>
        <v/>
      </c>
    </row>
    <row r="790">
      <c r="A790" s="37" t="inlineStr">
        <is>
          <t>GW-0519</t>
        </is>
      </c>
      <c r="B790" s="37" t="inlineStr">
        <is>
          <t>Gullwing</t>
        </is>
      </c>
      <c r="C790" s="37" t="inlineStr">
        <is>
          <t>OPEN</t>
        </is>
      </c>
      <c r="D790" s="37" t="inlineStr">
        <is>
          <t>OCCUPIED</t>
        </is>
      </c>
      <c r="E790" s="37" t="inlineStr">
        <is>
          <t>WL-03269</t>
        </is>
      </c>
      <c r="F790" s="37" t="inlineStr">
        <is>
          <t>Maria Schultz</t>
        </is>
      </c>
      <c r="G790" s="37" t="n">
        <v>40</v>
      </c>
      <c r="H790" s="39" t="n">
        <v>33.7</v>
      </c>
      <c r="I790" s="40">
        <f>ROUNDUP(MAX(G790,H790),0)</f>
        <v/>
      </c>
      <c r="J790" s="41">
        <f>IF(C790="COVERED",'Methodology'!$B$9,'Methodology'!$B$10)</f>
        <v/>
      </c>
      <c r="K790" s="41">
        <f>I790*J790</f>
        <v/>
      </c>
      <c r="L790" s="41">
        <f>SUMIFS('Billing Aug'!$J$2:$J$770,'Billing Aug'!$D$2:$D$770,A790)</f>
        <v/>
      </c>
      <c r="M790" s="41">
        <f>L790-K790</f>
        <v/>
      </c>
      <c r="N790" s="37">
        <f>COUNTIF('Billing Aug'!$D$2:$D$770,A790)</f>
        <v/>
      </c>
      <c r="O790" s="37">
        <f>SUMIFS('Billing Aug'!$F$2:$F$770,'Billing Aug'!$D$2:$D$770,A790)</f>
        <v/>
      </c>
      <c r="P790" s="41">
        <f>IF(N790=0,0,L790-SUMIFS('Billing Aug'!$H$2:$H$770,'Billing Aug'!$D$2:$D$770,A790)*SUMIFS('Billing Aug'!$I$2:$I$770,'Billing Aug'!$D$2:$D$770,A790))</f>
        <v/>
      </c>
      <c r="Q790" s="37">
        <f>IF(N790=0,"NO AUG TRANSACTION IN SUPPLIED EXTRACT",IF(ABS(P790)&gt;0.004,"SUBLEDGER ARITHMETIC ERROR",IF(ABS(M790)&gt;0.004,"BILLING VARIANCE","MATCH")))</f>
        <v/>
      </c>
    </row>
    <row r="791">
      <c r="A791" s="37" t="inlineStr">
        <is>
          <t>GW-0520</t>
        </is>
      </c>
      <c r="B791" s="37" t="inlineStr">
        <is>
          <t>Gullwing</t>
        </is>
      </c>
      <c r="C791" s="37" t="inlineStr">
        <is>
          <t>OPEN</t>
        </is>
      </c>
      <c r="D791" s="37" t="inlineStr">
        <is>
          <t>OCCUPIED</t>
        </is>
      </c>
      <c r="E791" s="37" t="inlineStr">
        <is>
          <t>WL-01266</t>
        </is>
      </c>
      <c r="F791" s="37" t="inlineStr">
        <is>
          <t>Derek Kirby</t>
        </is>
      </c>
      <c r="G791" s="37" t="n">
        <v>70</v>
      </c>
      <c r="H791" s="39" t="n">
        <v>61.4</v>
      </c>
      <c r="I791" s="40">
        <f>ROUNDUP(MAX(G791,H791),0)</f>
        <v/>
      </c>
      <c r="J791" s="41">
        <f>IF(C791="COVERED",'Methodology'!$B$9,'Methodology'!$B$10)</f>
        <v/>
      </c>
      <c r="K791" s="41">
        <f>I791*J791</f>
        <v/>
      </c>
      <c r="L791" s="41">
        <f>SUMIFS('Billing Aug'!$J$2:$J$770,'Billing Aug'!$D$2:$D$770,A791)</f>
        <v/>
      </c>
      <c r="M791" s="41">
        <f>L791-K791</f>
        <v/>
      </c>
      <c r="N791" s="37">
        <f>COUNTIF('Billing Aug'!$D$2:$D$770,A791)</f>
        <v/>
      </c>
      <c r="O791" s="37">
        <f>SUMIFS('Billing Aug'!$F$2:$F$770,'Billing Aug'!$D$2:$D$770,A791)</f>
        <v/>
      </c>
      <c r="P791" s="41">
        <f>IF(N791=0,0,L791-SUMIFS('Billing Aug'!$H$2:$H$770,'Billing Aug'!$D$2:$D$770,A791)*SUMIFS('Billing Aug'!$I$2:$I$770,'Billing Aug'!$D$2:$D$770,A791))</f>
        <v/>
      </c>
      <c r="Q791" s="37">
        <f>IF(N791=0,"NO AUG TRANSACTION IN SUPPLIED EXTRACT",IF(ABS(P791)&gt;0.004,"SUBLEDGER ARITHMETIC ERROR",IF(ABS(M791)&gt;0.004,"BILLING VARIANCE","MATCH")))</f>
        <v/>
      </c>
    </row>
    <row r="792">
      <c r="A792" s="37" t="inlineStr">
        <is>
          <t>GW-0521</t>
        </is>
      </c>
      <c r="B792" s="37" t="inlineStr">
        <is>
          <t>Gullwing</t>
        </is>
      </c>
      <c r="C792" s="37" t="inlineStr">
        <is>
          <t>OPEN</t>
        </is>
      </c>
      <c r="D792" s="37" t="inlineStr">
        <is>
          <t>OCCUPIED</t>
        </is>
      </c>
      <c r="E792" s="37" t="inlineStr">
        <is>
          <t>WL-01548</t>
        </is>
      </c>
      <c r="F792" s="37" t="inlineStr">
        <is>
          <t>William Brown</t>
        </is>
      </c>
      <c r="G792" s="37" t="n">
        <v>80</v>
      </c>
      <c r="H792" s="39" t="n">
        <v>19.9</v>
      </c>
      <c r="I792" s="40">
        <f>ROUNDUP(MAX(G792,H792),0)</f>
        <v/>
      </c>
      <c r="J792" s="41">
        <f>IF(C792="COVERED",'Methodology'!$B$9,'Methodology'!$B$10)</f>
        <v/>
      </c>
      <c r="K792" s="41">
        <f>I792*J792</f>
        <v/>
      </c>
      <c r="L792" s="41">
        <f>SUMIFS('Billing Aug'!$J$2:$J$770,'Billing Aug'!$D$2:$D$770,A792)</f>
        <v/>
      </c>
      <c r="M792" s="41">
        <f>L792-K792</f>
        <v/>
      </c>
      <c r="N792" s="37">
        <f>COUNTIF('Billing Aug'!$D$2:$D$770,A792)</f>
        <v/>
      </c>
      <c r="O792" s="37">
        <f>SUMIFS('Billing Aug'!$F$2:$F$770,'Billing Aug'!$D$2:$D$770,A792)</f>
        <v/>
      </c>
      <c r="P792" s="41">
        <f>IF(N792=0,0,L792-SUMIFS('Billing Aug'!$H$2:$H$770,'Billing Aug'!$D$2:$D$770,A792)*SUMIFS('Billing Aug'!$I$2:$I$770,'Billing Aug'!$D$2:$D$770,A792))</f>
        <v/>
      </c>
      <c r="Q792" s="37">
        <f>IF(N792=0,"NO AUG TRANSACTION IN SUPPLIED EXTRACT",IF(ABS(P792)&gt;0.004,"SUBLEDGER ARITHMETIC ERROR",IF(ABS(M792)&gt;0.004,"BILLING VARIANCE","MATCH")))</f>
        <v/>
      </c>
    </row>
    <row r="793">
      <c r="A793" s="37" t="inlineStr">
        <is>
          <t>GW-0522</t>
        </is>
      </c>
      <c r="B793" s="37" t="inlineStr">
        <is>
          <t>Gullwing</t>
        </is>
      </c>
      <c r="C793" s="37" t="inlineStr">
        <is>
          <t>OPEN</t>
        </is>
      </c>
      <c r="D793" s="37" t="inlineStr">
        <is>
          <t>OCCUPIED</t>
        </is>
      </c>
      <c r="E793" s="37" t="inlineStr">
        <is>
          <t>WL-03183</t>
        </is>
      </c>
      <c r="F793" s="37" t="inlineStr">
        <is>
          <t>Daniel Stevens</t>
        </is>
      </c>
      <c r="G793" s="37" t="n">
        <v>28</v>
      </c>
      <c r="H793" s="39" t="n">
        <v>46.7</v>
      </c>
      <c r="I793" s="40">
        <f>ROUNDUP(MAX(G793,H793),0)</f>
        <v/>
      </c>
      <c r="J793" s="41">
        <f>IF(C793="COVERED",'Methodology'!$B$9,'Methodology'!$B$10)</f>
        <v/>
      </c>
      <c r="K793" s="41">
        <f>I793*J793</f>
        <v/>
      </c>
      <c r="L793" s="41">
        <f>SUMIFS('Billing Aug'!$J$2:$J$770,'Billing Aug'!$D$2:$D$770,A793)</f>
        <v/>
      </c>
      <c r="M793" s="41">
        <f>L793-K793</f>
        <v/>
      </c>
      <c r="N793" s="37">
        <f>COUNTIF('Billing Aug'!$D$2:$D$770,A793)</f>
        <v/>
      </c>
      <c r="O793" s="37">
        <f>SUMIFS('Billing Aug'!$F$2:$F$770,'Billing Aug'!$D$2:$D$770,A793)</f>
        <v/>
      </c>
      <c r="P793" s="41">
        <f>IF(N793=0,0,L793-SUMIFS('Billing Aug'!$H$2:$H$770,'Billing Aug'!$D$2:$D$770,A793)*SUMIFS('Billing Aug'!$I$2:$I$770,'Billing Aug'!$D$2:$D$770,A793))</f>
        <v/>
      </c>
      <c r="Q793" s="37">
        <f>IF(N793=0,"NO AUG TRANSACTION IN SUPPLIED EXTRACT",IF(ABS(P793)&gt;0.004,"SUBLEDGER ARITHMETIC ERROR",IF(ABS(M793)&gt;0.004,"BILLING VARIANCE","MATCH")))</f>
        <v/>
      </c>
    </row>
    <row r="794">
      <c r="A794" s="37" t="inlineStr">
        <is>
          <t>GW-0523</t>
        </is>
      </c>
      <c r="B794" s="37" t="inlineStr">
        <is>
          <t>Gullwing</t>
        </is>
      </c>
      <c r="C794" s="37" t="inlineStr">
        <is>
          <t>OPEN</t>
        </is>
      </c>
      <c r="D794" s="37" t="inlineStr">
        <is>
          <t>OCCUPIED</t>
        </is>
      </c>
      <c r="E794" s="37" t="inlineStr">
        <is>
          <t>WL-02124</t>
        </is>
      </c>
      <c r="F794" s="37" t="inlineStr">
        <is>
          <t>Laura French</t>
        </is>
      </c>
      <c r="G794" s="37" t="n">
        <v>28</v>
      </c>
      <c r="H794" s="39" t="n">
        <v>41.9</v>
      </c>
      <c r="I794" s="40">
        <f>ROUNDUP(MAX(G794,H794),0)</f>
        <v/>
      </c>
      <c r="J794" s="41">
        <f>IF(C794="COVERED",'Methodology'!$B$9,'Methodology'!$B$10)</f>
        <v/>
      </c>
      <c r="K794" s="41">
        <f>I794*J794</f>
        <v/>
      </c>
      <c r="L794" s="41">
        <f>SUMIFS('Billing Aug'!$J$2:$J$770,'Billing Aug'!$D$2:$D$770,A794)</f>
        <v/>
      </c>
      <c r="M794" s="41">
        <f>L794-K794</f>
        <v/>
      </c>
      <c r="N794" s="37">
        <f>COUNTIF('Billing Aug'!$D$2:$D$770,A794)</f>
        <v/>
      </c>
      <c r="O794" s="37">
        <f>SUMIFS('Billing Aug'!$F$2:$F$770,'Billing Aug'!$D$2:$D$770,A794)</f>
        <v/>
      </c>
      <c r="P794" s="41">
        <f>IF(N794=0,0,L794-SUMIFS('Billing Aug'!$H$2:$H$770,'Billing Aug'!$D$2:$D$770,A794)*SUMIFS('Billing Aug'!$I$2:$I$770,'Billing Aug'!$D$2:$D$770,A794))</f>
        <v/>
      </c>
      <c r="Q794" s="37">
        <f>IF(N794=0,"NO AUG TRANSACTION IN SUPPLIED EXTRACT",IF(ABS(P794)&gt;0.004,"SUBLEDGER ARITHMETIC ERROR",IF(ABS(M794)&gt;0.004,"BILLING VARIANCE","MATCH")))</f>
        <v/>
      </c>
    </row>
    <row r="795">
      <c r="A795" s="37" t="inlineStr">
        <is>
          <t>GW-0601</t>
        </is>
      </c>
      <c r="B795" s="37" t="inlineStr">
        <is>
          <t>Gullwing</t>
        </is>
      </c>
      <c r="C795" s="37" t="inlineStr">
        <is>
          <t>OPEN</t>
        </is>
      </c>
      <c r="D795" s="37" t="inlineStr">
        <is>
          <t>OCCUPIED</t>
        </is>
      </c>
      <c r="E795" s="37" t="inlineStr">
        <is>
          <t>WL-01097</t>
        </is>
      </c>
      <c r="F795" s="37" t="inlineStr">
        <is>
          <t>Alexis Walters</t>
        </is>
      </c>
      <c r="G795" s="37" t="n">
        <v>32</v>
      </c>
      <c r="H795" s="39" t="n">
        <v>19.1</v>
      </c>
      <c r="I795" s="40">
        <f>ROUNDUP(MAX(G795,H795),0)</f>
        <v/>
      </c>
      <c r="J795" s="41">
        <f>IF(C795="COVERED",'Methodology'!$B$9,'Methodology'!$B$10)</f>
        <v/>
      </c>
      <c r="K795" s="41">
        <f>I795*J795</f>
        <v/>
      </c>
      <c r="L795" s="41">
        <f>SUMIFS('Billing Aug'!$J$2:$J$770,'Billing Aug'!$D$2:$D$770,A795)</f>
        <v/>
      </c>
      <c r="M795" s="41">
        <f>L795-K795</f>
        <v/>
      </c>
      <c r="N795" s="37">
        <f>COUNTIF('Billing Aug'!$D$2:$D$770,A795)</f>
        <v/>
      </c>
      <c r="O795" s="37">
        <f>SUMIFS('Billing Aug'!$F$2:$F$770,'Billing Aug'!$D$2:$D$770,A795)</f>
        <v/>
      </c>
      <c r="P795" s="41">
        <f>IF(N795=0,0,L795-SUMIFS('Billing Aug'!$H$2:$H$770,'Billing Aug'!$D$2:$D$770,A795)*SUMIFS('Billing Aug'!$I$2:$I$770,'Billing Aug'!$D$2:$D$770,A795))</f>
        <v/>
      </c>
      <c r="Q795" s="37">
        <f>IF(N795=0,"NO AUG TRANSACTION IN SUPPLIED EXTRACT",IF(ABS(P795)&gt;0.004,"SUBLEDGER ARITHMETIC ERROR",IF(ABS(M795)&gt;0.004,"BILLING VARIANCE","MATCH")))</f>
        <v/>
      </c>
    </row>
    <row r="796">
      <c r="A796" s="37" t="inlineStr">
        <is>
          <t>GW-0603</t>
        </is>
      </c>
      <c r="B796" s="37" t="inlineStr">
        <is>
          <t>Gullwing</t>
        </is>
      </c>
      <c r="C796" s="37" t="inlineStr">
        <is>
          <t>OPEN</t>
        </is>
      </c>
      <c r="D796" s="37" t="inlineStr">
        <is>
          <t>OCCUPIED</t>
        </is>
      </c>
      <c r="E796" s="37" t="inlineStr">
        <is>
          <t>WL-02089</t>
        </is>
      </c>
      <c r="F796" s="37" t="inlineStr">
        <is>
          <t>Todd Butler</t>
        </is>
      </c>
      <c r="G796" s="37" t="n">
        <v>70</v>
      </c>
      <c r="H796" s="39" t="n">
        <v>30.9</v>
      </c>
      <c r="I796" s="40">
        <f>ROUNDUP(MAX(G796,H796),0)</f>
        <v/>
      </c>
      <c r="J796" s="41">
        <f>IF(C796="COVERED",'Methodology'!$B$9,'Methodology'!$B$10)</f>
        <v/>
      </c>
      <c r="K796" s="41">
        <f>I796*J796</f>
        <v/>
      </c>
      <c r="L796" s="41">
        <f>SUMIFS('Billing Aug'!$J$2:$J$770,'Billing Aug'!$D$2:$D$770,A796)</f>
        <v/>
      </c>
      <c r="M796" s="41">
        <f>L796-K796</f>
        <v/>
      </c>
      <c r="N796" s="37">
        <f>COUNTIF('Billing Aug'!$D$2:$D$770,A796)</f>
        <v/>
      </c>
      <c r="O796" s="37">
        <f>SUMIFS('Billing Aug'!$F$2:$F$770,'Billing Aug'!$D$2:$D$770,A796)</f>
        <v/>
      </c>
      <c r="P796" s="41">
        <f>IF(N796=0,0,L796-SUMIFS('Billing Aug'!$H$2:$H$770,'Billing Aug'!$D$2:$D$770,A796)*SUMIFS('Billing Aug'!$I$2:$I$770,'Billing Aug'!$D$2:$D$770,A796))</f>
        <v/>
      </c>
      <c r="Q796" s="37">
        <f>IF(N796=0,"NO AUG TRANSACTION IN SUPPLIED EXTRACT",IF(ABS(P796)&gt;0.004,"SUBLEDGER ARITHMETIC ERROR",IF(ABS(M796)&gt;0.004,"BILLING VARIANCE","MATCH")))</f>
        <v/>
      </c>
    </row>
    <row r="797">
      <c r="A797" s="37" t="inlineStr">
        <is>
          <t>GW-0604</t>
        </is>
      </c>
      <c r="B797" s="37" t="inlineStr">
        <is>
          <t>Gullwing</t>
        </is>
      </c>
      <c r="C797" s="37" t="inlineStr">
        <is>
          <t>OPEN</t>
        </is>
      </c>
      <c r="D797" s="37" t="inlineStr">
        <is>
          <t>OCCUPIED</t>
        </is>
      </c>
      <c r="E797" s="37" t="inlineStr">
        <is>
          <t>WL-02770</t>
        </is>
      </c>
      <c r="F797" s="37" t="inlineStr">
        <is>
          <t>Henry Okafor</t>
        </is>
      </c>
      <c r="G797" s="37" t="n">
        <v>70</v>
      </c>
      <c r="H797" s="39" t="n">
        <v>41.2</v>
      </c>
      <c r="I797" s="40">
        <f>ROUNDUP(MAX(G797,H797),0)</f>
        <v/>
      </c>
      <c r="J797" s="41">
        <f>IF(C797="COVERED",'Methodology'!$B$9,'Methodology'!$B$10)</f>
        <v/>
      </c>
      <c r="K797" s="41">
        <f>I797*J797</f>
        <v/>
      </c>
      <c r="L797" s="41">
        <f>SUMIFS('Billing Aug'!$J$2:$J$770,'Billing Aug'!$D$2:$D$770,A797)</f>
        <v/>
      </c>
      <c r="M797" s="41">
        <f>L797-K797</f>
        <v/>
      </c>
      <c r="N797" s="37">
        <f>COUNTIF('Billing Aug'!$D$2:$D$770,A797)</f>
        <v/>
      </c>
      <c r="O797" s="37">
        <f>SUMIFS('Billing Aug'!$F$2:$F$770,'Billing Aug'!$D$2:$D$770,A797)</f>
        <v/>
      </c>
      <c r="P797" s="41">
        <f>IF(N797=0,0,L797-SUMIFS('Billing Aug'!$H$2:$H$770,'Billing Aug'!$D$2:$D$770,A797)*SUMIFS('Billing Aug'!$I$2:$I$770,'Billing Aug'!$D$2:$D$770,A797))</f>
        <v/>
      </c>
      <c r="Q797" s="37">
        <f>IF(N797=0,"NO AUG TRANSACTION IN SUPPLIED EXTRACT",IF(ABS(P797)&gt;0.004,"SUBLEDGER ARITHMETIC ERROR",IF(ABS(M797)&gt;0.004,"BILLING VARIANCE","MATCH")))</f>
        <v/>
      </c>
    </row>
    <row r="798">
      <c r="A798" s="37" t="inlineStr">
        <is>
          <t>GW-0605</t>
        </is>
      </c>
      <c r="B798" s="37" t="inlineStr">
        <is>
          <t>Gullwing</t>
        </is>
      </c>
      <c r="C798" s="37" t="inlineStr">
        <is>
          <t>OPEN</t>
        </is>
      </c>
      <c r="D798" s="37" t="inlineStr">
        <is>
          <t>OCCUPIED</t>
        </is>
      </c>
      <c r="E798" s="37" t="inlineStr">
        <is>
          <t>WL-03366</t>
        </is>
      </c>
      <c r="F798" s="37" t="inlineStr">
        <is>
          <t>Jose Mckinney</t>
        </is>
      </c>
      <c r="G798" s="37" t="n">
        <v>24</v>
      </c>
      <c r="H798" s="39" t="n">
        <v>60.9</v>
      </c>
      <c r="I798" s="40">
        <f>ROUNDUP(MAX(G798,H798),0)</f>
        <v/>
      </c>
      <c r="J798" s="41">
        <f>IF(C798="COVERED",'Methodology'!$B$9,'Methodology'!$B$10)</f>
        <v/>
      </c>
      <c r="K798" s="41">
        <f>I798*J798</f>
        <v/>
      </c>
      <c r="L798" s="41">
        <f>SUMIFS('Billing Aug'!$J$2:$J$770,'Billing Aug'!$D$2:$D$770,A798)</f>
        <v/>
      </c>
      <c r="M798" s="41">
        <f>L798-K798</f>
        <v/>
      </c>
      <c r="N798" s="37">
        <f>COUNTIF('Billing Aug'!$D$2:$D$770,A798)</f>
        <v/>
      </c>
      <c r="O798" s="37">
        <f>SUMIFS('Billing Aug'!$F$2:$F$770,'Billing Aug'!$D$2:$D$770,A798)</f>
        <v/>
      </c>
      <c r="P798" s="41">
        <f>IF(N798=0,0,L798-SUMIFS('Billing Aug'!$H$2:$H$770,'Billing Aug'!$D$2:$D$770,A798)*SUMIFS('Billing Aug'!$I$2:$I$770,'Billing Aug'!$D$2:$D$770,A798))</f>
        <v/>
      </c>
      <c r="Q798" s="37">
        <f>IF(N798=0,"NO AUG TRANSACTION IN SUPPLIED EXTRACT",IF(ABS(P798)&gt;0.004,"SUBLEDGER ARITHMETIC ERROR",IF(ABS(M798)&gt;0.004,"BILLING VARIANCE","MATCH")))</f>
        <v/>
      </c>
    </row>
    <row r="799">
      <c r="A799" s="37" t="inlineStr">
        <is>
          <t>GW-0606</t>
        </is>
      </c>
      <c r="B799" s="37" t="inlineStr">
        <is>
          <t>Gullwing</t>
        </is>
      </c>
      <c r="C799" s="37" t="inlineStr">
        <is>
          <t>OPEN</t>
        </is>
      </c>
      <c r="D799" s="37" t="inlineStr">
        <is>
          <t>OCCUPIED</t>
        </is>
      </c>
      <c r="E799" s="37" t="inlineStr">
        <is>
          <t>WL-01260</t>
        </is>
      </c>
      <c r="F799" s="37" t="inlineStr">
        <is>
          <t>Dale Thomas</t>
        </is>
      </c>
      <c r="G799" s="37" t="n">
        <v>60</v>
      </c>
      <c r="H799" s="39" t="n">
        <v>31.3</v>
      </c>
      <c r="I799" s="40">
        <f>ROUNDUP(MAX(G799,H799),0)</f>
        <v/>
      </c>
      <c r="J799" s="41">
        <f>IF(C799="COVERED",'Methodology'!$B$9,'Methodology'!$B$10)</f>
        <v/>
      </c>
      <c r="K799" s="41">
        <f>I799*J799</f>
        <v/>
      </c>
      <c r="L799" s="41">
        <f>SUMIFS('Billing Aug'!$J$2:$J$770,'Billing Aug'!$D$2:$D$770,A799)</f>
        <v/>
      </c>
      <c r="M799" s="41">
        <f>L799-K799</f>
        <v/>
      </c>
      <c r="N799" s="37">
        <f>COUNTIF('Billing Aug'!$D$2:$D$770,A799)</f>
        <v/>
      </c>
      <c r="O799" s="37">
        <f>SUMIFS('Billing Aug'!$F$2:$F$770,'Billing Aug'!$D$2:$D$770,A799)</f>
        <v/>
      </c>
      <c r="P799" s="41">
        <f>IF(N799=0,0,L799-SUMIFS('Billing Aug'!$H$2:$H$770,'Billing Aug'!$D$2:$D$770,A799)*SUMIFS('Billing Aug'!$I$2:$I$770,'Billing Aug'!$D$2:$D$770,A799))</f>
        <v/>
      </c>
      <c r="Q799" s="37">
        <f>IF(N799=0,"NO AUG TRANSACTION IN SUPPLIED EXTRACT",IF(ABS(P799)&gt;0.004,"SUBLEDGER ARITHMETIC ERROR",IF(ABS(M799)&gt;0.004,"BILLING VARIANCE","MATCH")))</f>
        <v/>
      </c>
    </row>
    <row r="800">
      <c r="A800" s="37" t="inlineStr">
        <is>
          <t>GW-0607</t>
        </is>
      </c>
      <c r="B800" s="37" t="inlineStr">
        <is>
          <t>Gullwing</t>
        </is>
      </c>
      <c r="C800" s="37" t="inlineStr">
        <is>
          <t>OPEN</t>
        </is>
      </c>
      <c r="D800" s="37" t="inlineStr">
        <is>
          <t>OCCUPIED</t>
        </is>
      </c>
      <c r="E800" s="37" t="inlineStr">
        <is>
          <t>WL-01881</t>
        </is>
      </c>
      <c r="F800" s="37" t="inlineStr">
        <is>
          <t>William Bennett</t>
        </is>
      </c>
      <c r="G800" s="37" t="n">
        <v>60</v>
      </c>
      <c r="H800" s="39" t="n">
        <v>29.8</v>
      </c>
      <c r="I800" s="40">
        <f>ROUNDUP(MAX(G800,H800),0)</f>
        <v/>
      </c>
      <c r="J800" s="41">
        <f>IF(C800="COVERED",'Methodology'!$B$9,'Methodology'!$B$10)</f>
        <v/>
      </c>
      <c r="K800" s="41">
        <f>I800*J800</f>
        <v/>
      </c>
      <c r="L800" s="41">
        <f>SUMIFS('Billing Aug'!$J$2:$J$770,'Billing Aug'!$D$2:$D$770,A800)</f>
        <v/>
      </c>
      <c r="M800" s="41">
        <f>L800-K800</f>
        <v/>
      </c>
      <c r="N800" s="37">
        <f>COUNTIF('Billing Aug'!$D$2:$D$770,A800)</f>
        <v/>
      </c>
      <c r="O800" s="37">
        <f>SUMIFS('Billing Aug'!$F$2:$F$770,'Billing Aug'!$D$2:$D$770,A800)</f>
        <v/>
      </c>
      <c r="P800" s="41">
        <f>IF(N800=0,0,L800-SUMIFS('Billing Aug'!$H$2:$H$770,'Billing Aug'!$D$2:$D$770,A800)*SUMIFS('Billing Aug'!$I$2:$I$770,'Billing Aug'!$D$2:$D$770,A800))</f>
        <v/>
      </c>
      <c r="Q800" s="37">
        <f>IF(N800=0,"NO AUG TRANSACTION IN SUPPLIED EXTRACT",IF(ABS(P800)&gt;0.004,"SUBLEDGER ARITHMETIC ERROR",IF(ABS(M800)&gt;0.004,"BILLING VARIANCE","MATCH")))</f>
        <v/>
      </c>
    </row>
    <row r="801">
      <c r="A801" s="37" t="inlineStr">
        <is>
          <t>GW-0608</t>
        </is>
      </c>
      <c r="B801" s="37" t="inlineStr">
        <is>
          <t>Gullwing</t>
        </is>
      </c>
      <c r="C801" s="37" t="inlineStr">
        <is>
          <t>OPEN</t>
        </is>
      </c>
      <c r="D801" s="37" t="inlineStr">
        <is>
          <t>OCCUPIED</t>
        </is>
      </c>
      <c r="E801" s="37" t="inlineStr">
        <is>
          <t>WL-02296</t>
        </is>
      </c>
      <c r="F801" s="37" t="inlineStr">
        <is>
          <t>Jason Miller</t>
        </is>
      </c>
      <c r="G801" s="37" t="n">
        <v>70</v>
      </c>
      <c r="H801" s="39" t="n">
        <v>53.7</v>
      </c>
      <c r="I801" s="40">
        <f>ROUNDUP(MAX(G801,H801),0)</f>
        <v/>
      </c>
      <c r="J801" s="41">
        <f>IF(C801="COVERED",'Methodology'!$B$9,'Methodology'!$B$10)</f>
        <v/>
      </c>
      <c r="K801" s="41">
        <f>I801*J801</f>
        <v/>
      </c>
      <c r="L801" s="41">
        <f>SUMIFS('Billing Aug'!$J$2:$J$770,'Billing Aug'!$D$2:$D$770,A801)</f>
        <v/>
      </c>
      <c r="M801" s="41">
        <f>L801-K801</f>
        <v/>
      </c>
      <c r="N801" s="37">
        <f>COUNTIF('Billing Aug'!$D$2:$D$770,A801)</f>
        <v/>
      </c>
      <c r="O801" s="37">
        <f>SUMIFS('Billing Aug'!$F$2:$F$770,'Billing Aug'!$D$2:$D$770,A801)</f>
        <v/>
      </c>
      <c r="P801" s="41">
        <f>IF(N801=0,0,L801-SUMIFS('Billing Aug'!$H$2:$H$770,'Billing Aug'!$D$2:$D$770,A801)*SUMIFS('Billing Aug'!$I$2:$I$770,'Billing Aug'!$D$2:$D$770,A801))</f>
        <v/>
      </c>
      <c r="Q801" s="37">
        <f>IF(N801=0,"NO AUG TRANSACTION IN SUPPLIED EXTRACT",IF(ABS(P801)&gt;0.004,"SUBLEDGER ARITHMETIC ERROR",IF(ABS(M801)&gt;0.004,"BILLING VARIANCE","MATCH")))</f>
        <v/>
      </c>
    </row>
    <row r="802">
      <c r="A802" s="37" t="inlineStr">
        <is>
          <t>GW-0609</t>
        </is>
      </c>
      <c r="B802" s="37" t="inlineStr">
        <is>
          <t>Gullwing</t>
        </is>
      </c>
      <c r="C802" s="37" t="inlineStr">
        <is>
          <t>OPEN</t>
        </is>
      </c>
      <c r="D802" s="37" t="inlineStr">
        <is>
          <t>OCCUPIED</t>
        </is>
      </c>
      <c r="E802" s="37" t="inlineStr">
        <is>
          <t>WL-02915</t>
        </is>
      </c>
      <c r="F802" s="37" t="inlineStr">
        <is>
          <t>Lori Cook</t>
        </is>
      </c>
      <c r="G802" s="37" t="n">
        <v>24</v>
      </c>
      <c r="H802" s="39" t="n">
        <v>28.3</v>
      </c>
      <c r="I802" s="40">
        <f>ROUNDUP(MAX(G802,H802),0)</f>
        <v/>
      </c>
      <c r="J802" s="41">
        <f>IF(C802="COVERED",'Methodology'!$B$9,'Methodology'!$B$10)</f>
        <v/>
      </c>
      <c r="K802" s="41">
        <f>I802*J802</f>
        <v/>
      </c>
      <c r="L802" s="41">
        <f>SUMIFS('Billing Aug'!$J$2:$J$770,'Billing Aug'!$D$2:$D$770,A802)</f>
        <v/>
      </c>
      <c r="M802" s="41">
        <f>L802-K802</f>
        <v/>
      </c>
      <c r="N802" s="37">
        <f>COUNTIF('Billing Aug'!$D$2:$D$770,A802)</f>
        <v/>
      </c>
      <c r="O802" s="37">
        <f>SUMIFS('Billing Aug'!$F$2:$F$770,'Billing Aug'!$D$2:$D$770,A802)</f>
        <v/>
      </c>
      <c r="P802" s="41">
        <f>IF(N802=0,0,L802-SUMIFS('Billing Aug'!$H$2:$H$770,'Billing Aug'!$D$2:$D$770,A802)*SUMIFS('Billing Aug'!$I$2:$I$770,'Billing Aug'!$D$2:$D$770,A802))</f>
        <v/>
      </c>
      <c r="Q802" s="37">
        <f>IF(N802=0,"NO AUG TRANSACTION IN SUPPLIED EXTRACT",IF(ABS(P802)&gt;0.004,"SUBLEDGER ARITHMETIC ERROR",IF(ABS(M802)&gt;0.004,"BILLING VARIANCE","MATCH")))</f>
        <v/>
      </c>
    </row>
    <row r="803">
      <c r="A803" s="37" t="inlineStr">
        <is>
          <t>GW-0610</t>
        </is>
      </c>
      <c r="B803" s="37" t="inlineStr">
        <is>
          <t>Gullwing</t>
        </is>
      </c>
      <c r="C803" s="37" t="inlineStr">
        <is>
          <t>OPEN</t>
        </is>
      </c>
      <c r="D803" s="37" t="inlineStr">
        <is>
          <t>OCCUPIED</t>
        </is>
      </c>
      <c r="E803" s="37" t="inlineStr">
        <is>
          <t>WL-01206</t>
        </is>
      </c>
      <c r="F803" s="37" t="inlineStr">
        <is>
          <t>Cynthia Taylor</t>
        </is>
      </c>
      <c r="G803" s="37" t="n">
        <v>32</v>
      </c>
      <c r="H803" s="39" t="n">
        <v>41.9</v>
      </c>
      <c r="I803" s="40">
        <f>ROUNDUP(MAX(G803,H803),0)</f>
        <v/>
      </c>
      <c r="J803" s="41">
        <f>IF(C803="COVERED",'Methodology'!$B$9,'Methodology'!$B$10)</f>
        <v/>
      </c>
      <c r="K803" s="41">
        <f>I803*J803</f>
        <v/>
      </c>
      <c r="L803" s="41">
        <f>SUMIFS('Billing Aug'!$J$2:$J$770,'Billing Aug'!$D$2:$D$770,A803)</f>
        <v/>
      </c>
      <c r="M803" s="41">
        <f>L803-K803</f>
        <v/>
      </c>
      <c r="N803" s="37">
        <f>COUNTIF('Billing Aug'!$D$2:$D$770,A803)</f>
        <v/>
      </c>
      <c r="O803" s="37">
        <f>SUMIFS('Billing Aug'!$F$2:$F$770,'Billing Aug'!$D$2:$D$770,A803)</f>
        <v/>
      </c>
      <c r="P803" s="41">
        <f>IF(N803=0,0,L803-SUMIFS('Billing Aug'!$H$2:$H$770,'Billing Aug'!$D$2:$D$770,A803)*SUMIFS('Billing Aug'!$I$2:$I$770,'Billing Aug'!$D$2:$D$770,A803))</f>
        <v/>
      </c>
      <c r="Q803" s="37">
        <f>IF(N803=0,"NO AUG TRANSACTION IN SUPPLIED EXTRACT",IF(ABS(P803)&gt;0.004,"SUBLEDGER ARITHMETIC ERROR",IF(ABS(M803)&gt;0.004,"BILLING VARIANCE","MATCH")))</f>
        <v/>
      </c>
    </row>
    <row r="804">
      <c r="A804" s="37" t="inlineStr">
        <is>
          <t>GW-0612</t>
        </is>
      </c>
      <c r="B804" s="37" t="inlineStr">
        <is>
          <t>Gullwing</t>
        </is>
      </c>
      <c r="C804" s="37" t="inlineStr">
        <is>
          <t>OPEN</t>
        </is>
      </c>
      <c r="D804" s="37" t="inlineStr">
        <is>
          <t>OCCUPIED</t>
        </is>
      </c>
      <c r="E804" s="37" t="inlineStr">
        <is>
          <t>WL-02970</t>
        </is>
      </c>
      <c r="F804" s="37" t="inlineStr">
        <is>
          <t>William Robles</t>
        </is>
      </c>
      <c r="G804" s="37" t="n">
        <v>32</v>
      </c>
      <c r="H804" s="39" t="n">
        <v>21</v>
      </c>
      <c r="I804" s="40">
        <f>ROUNDUP(MAX(G804,H804),0)</f>
        <v/>
      </c>
      <c r="J804" s="41">
        <f>IF(C804="COVERED",'Methodology'!$B$9,'Methodology'!$B$10)</f>
        <v/>
      </c>
      <c r="K804" s="41">
        <f>I804*J804</f>
        <v/>
      </c>
      <c r="L804" s="41">
        <f>SUMIFS('Billing Aug'!$J$2:$J$770,'Billing Aug'!$D$2:$D$770,A804)</f>
        <v/>
      </c>
      <c r="M804" s="41">
        <f>L804-K804</f>
        <v/>
      </c>
      <c r="N804" s="37">
        <f>COUNTIF('Billing Aug'!$D$2:$D$770,A804)</f>
        <v/>
      </c>
      <c r="O804" s="37">
        <f>SUMIFS('Billing Aug'!$F$2:$F$770,'Billing Aug'!$D$2:$D$770,A804)</f>
        <v/>
      </c>
      <c r="P804" s="41">
        <f>IF(N804=0,0,L804-SUMIFS('Billing Aug'!$H$2:$H$770,'Billing Aug'!$D$2:$D$770,A804)*SUMIFS('Billing Aug'!$I$2:$I$770,'Billing Aug'!$D$2:$D$770,A804))</f>
        <v/>
      </c>
      <c r="Q804" s="37">
        <f>IF(N804=0,"NO AUG TRANSACTION IN SUPPLIED EXTRACT",IF(ABS(P804)&gt;0.004,"SUBLEDGER ARITHMETIC ERROR",IF(ABS(M804)&gt;0.004,"BILLING VARIANCE","MATCH")))</f>
        <v/>
      </c>
    </row>
    <row r="805">
      <c r="A805" s="37" t="inlineStr">
        <is>
          <t>GW-0613</t>
        </is>
      </c>
      <c r="B805" s="37" t="inlineStr">
        <is>
          <t>Gullwing</t>
        </is>
      </c>
      <c r="C805" s="37" t="inlineStr">
        <is>
          <t>OPEN</t>
        </is>
      </c>
      <c r="D805" s="37" t="inlineStr">
        <is>
          <t>OCCUPIED</t>
        </is>
      </c>
      <c r="E805" s="37" t="inlineStr">
        <is>
          <t>WL-02426</t>
        </is>
      </c>
      <c r="F805" s="37" t="inlineStr">
        <is>
          <t>Joshua Cherry</t>
        </is>
      </c>
      <c r="G805" s="37" t="n">
        <v>28</v>
      </c>
      <c r="H805" s="39" t="n">
        <v>30.7</v>
      </c>
      <c r="I805" s="40">
        <f>ROUNDUP(MAX(G805,H805),0)</f>
        <v/>
      </c>
      <c r="J805" s="41">
        <f>IF(C805="COVERED",'Methodology'!$B$9,'Methodology'!$B$10)</f>
        <v/>
      </c>
      <c r="K805" s="41">
        <f>I805*J805</f>
        <v/>
      </c>
      <c r="L805" s="41">
        <f>SUMIFS('Billing Aug'!$J$2:$J$770,'Billing Aug'!$D$2:$D$770,A805)</f>
        <v/>
      </c>
      <c r="M805" s="41">
        <f>L805-K805</f>
        <v/>
      </c>
      <c r="N805" s="37">
        <f>COUNTIF('Billing Aug'!$D$2:$D$770,A805)</f>
        <v/>
      </c>
      <c r="O805" s="37">
        <f>SUMIFS('Billing Aug'!$F$2:$F$770,'Billing Aug'!$D$2:$D$770,A805)</f>
        <v/>
      </c>
      <c r="P805" s="41">
        <f>IF(N805=0,0,L805-SUMIFS('Billing Aug'!$H$2:$H$770,'Billing Aug'!$D$2:$D$770,A805)*SUMIFS('Billing Aug'!$I$2:$I$770,'Billing Aug'!$D$2:$D$770,A805))</f>
        <v/>
      </c>
      <c r="Q805" s="37">
        <f>IF(N805=0,"NO AUG TRANSACTION IN SUPPLIED EXTRACT",IF(ABS(P805)&gt;0.004,"SUBLEDGER ARITHMETIC ERROR",IF(ABS(M805)&gt;0.004,"BILLING VARIANCE","MATCH")))</f>
        <v/>
      </c>
    </row>
    <row r="806">
      <c r="A806" s="37" t="inlineStr">
        <is>
          <t>GW-0614</t>
        </is>
      </c>
      <c r="B806" s="37" t="inlineStr">
        <is>
          <t>Gullwing</t>
        </is>
      </c>
      <c r="C806" s="37" t="inlineStr">
        <is>
          <t>OPEN</t>
        </is>
      </c>
      <c r="D806" s="37" t="inlineStr">
        <is>
          <t>OCCUPIED</t>
        </is>
      </c>
      <c r="E806" s="37" t="inlineStr">
        <is>
          <t>WL-01995</t>
        </is>
      </c>
      <c r="F806" s="37" t="inlineStr">
        <is>
          <t>Tiffany Russell</t>
        </is>
      </c>
      <c r="G806" s="37" t="n">
        <v>32</v>
      </c>
      <c r="H806" s="39" t="n">
        <v>55.7</v>
      </c>
      <c r="I806" s="40">
        <f>ROUNDUP(MAX(G806,H806),0)</f>
        <v/>
      </c>
      <c r="J806" s="41">
        <f>IF(C806="COVERED",'Methodology'!$B$9,'Methodology'!$B$10)</f>
        <v/>
      </c>
      <c r="K806" s="41">
        <f>I806*J806</f>
        <v/>
      </c>
      <c r="L806" s="41">
        <f>SUMIFS('Billing Aug'!$J$2:$J$770,'Billing Aug'!$D$2:$D$770,A806)</f>
        <v/>
      </c>
      <c r="M806" s="41">
        <f>L806-K806</f>
        <v/>
      </c>
      <c r="N806" s="37">
        <f>COUNTIF('Billing Aug'!$D$2:$D$770,A806)</f>
        <v/>
      </c>
      <c r="O806" s="37">
        <f>SUMIFS('Billing Aug'!$F$2:$F$770,'Billing Aug'!$D$2:$D$770,A806)</f>
        <v/>
      </c>
      <c r="P806" s="41">
        <f>IF(N806=0,0,L806-SUMIFS('Billing Aug'!$H$2:$H$770,'Billing Aug'!$D$2:$D$770,A806)*SUMIFS('Billing Aug'!$I$2:$I$770,'Billing Aug'!$D$2:$D$770,A806))</f>
        <v/>
      </c>
      <c r="Q806" s="37">
        <f>IF(N806=0,"NO AUG TRANSACTION IN SUPPLIED EXTRACT",IF(ABS(P806)&gt;0.004,"SUBLEDGER ARITHMETIC ERROR",IF(ABS(M806)&gt;0.004,"BILLING VARIANCE","MATCH")))</f>
        <v/>
      </c>
    </row>
    <row r="807">
      <c r="A807" s="37" t="inlineStr">
        <is>
          <t>GW-0615</t>
        </is>
      </c>
      <c r="B807" s="37" t="inlineStr">
        <is>
          <t>Gullwing</t>
        </is>
      </c>
      <c r="C807" s="37" t="inlineStr">
        <is>
          <t>OPEN</t>
        </is>
      </c>
      <c r="D807" s="37" t="inlineStr">
        <is>
          <t>OCCUPIED</t>
        </is>
      </c>
      <c r="E807" s="37" t="inlineStr">
        <is>
          <t>WL-01702</t>
        </is>
      </c>
      <c r="F807" s="37" t="inlineStr">
        <is>
          <t>Larry Carr</t>
        </is>
      </c>
      <c r="G807" s="37" t="n">
        <v>24</v>
      </c>
      <c r="H807" s="39" t="n">
        <v>58.3</v>
      </c>
      <c r="I807" s="40">
        <f>ROUNDUP(MAX(G807,H807),0)</f>
        <v/>
      </c>
      <c r="J807" s="41">
        <f>IF(C807="COVERED",'Methodology'!$B$9,'Methodology'!$B$10)</f>
        <v/>
      </c>
      <c r="K807" s="41">
        <f>I807*J807</f>
        <v/>
      </c>
      <c r="L807" s="41">
        <f>SUMIFS('Billing Aug'!$J$2:$J$770,'Billing Aug'!$D$2:$D$770,A807)</f>
        <v/>
      </c>
      <c r="M807" s="41">
        <f>L807-K807</f>
        <v/>
      </c>
      <c r="N807" s="37">
        <f>COUNTIF('Billing Aug'!$D$2:$D$770,A807)</f>
        <v/>
      </c>
      <c r="O807" s="37">
        <f>SUMIFS('Billing Aug'!$F$2:$F$770,'Billing Aug'!$D$2:$D$770,A807)</f>
        <v/>
      </c>
      <c r="P807" s="41">
        <f>IF(N807=0,0,L807-SUMIFS('Billing Aug'!$H$2:$H$770,'Billing Aug'!$D$2:$D$770,A807)*SUMIFS('Billing Aug'!$I$2:$I$770,'Billing Aug'!$D$2:$D$770,A807))</f>
        <v/>
      </c>
      <c r="Q807" s="37">
        <f>IF(N807=0,"NO AUG TRANSACTION IN SUPPLIED EXTRACT",IF(ABS(P807)&gt;0.004,"SUBLEDGER ARITHMETIC ERROR",IF(ABS(M807)&gt;0.004,"BILLING VARIANCE","MATCH")))</f>
        <v/>
      </c>
    </row>
    <row r="808">
      <c r="A808" s="37" t="inlineStr">
        <is>
          <t>GW-0617</t>
        </is>
      </c>
      <c r="B808" s="37" t="inlineStr">
        <is>
          <t>Gullwing</t>
        </is>
      </c>
      <c r="C808" s="37" t="inlineStr">
        <is>
          <t>OPEN</t>
        </is>
      </c>
      <c r="D808" s="37" t="inlineStr">
        <is>
          <t>OCCUPIED</t>
        </is>
      </c>
      <c r="E808" s="37" t="inlineStr">
        <is>
          <t>WL-02400</t>
        </is>
      </c>
      <c r="F808" s="37" t="inlineStr">
        <is>
          <t>Sierra Washington</t>
        </is>
      </c>
      <c r="G808" s="37" t="n">
        <v>32</v>
      </c>
      <c r="H808" s="39" t="n">
        <v>50.2</v>
      </c>
      <c r="I808" s="40">
        <f>ROUNDUP(MAX(G808,H808),0)</f>
        <v/>
      </c>
      <c r="J808" s="41">
        <f>IF(C808="COVERED",'Methodology'!$B$9,'Methodology'!$B$10)</f>
        <v/>
      </c>
      <c r="K808" s="41">
        <f>I808*J808</f>
        <v/>
      </c>
      <c r="L808" s="41">
        <f>SUMIFS('Billing Aug'!$J$2:$J$770,'Billing Aug'!$D$2:$D$770,A808)</f>
        <v/>
      </c>
      <c r="M808" s="41">
        <f>L808-K808</f>
        <v/>
      </c>
      <c r="N808" s="37">
        <f>COUNTIF('Billing Aug'!$D$2:$D$770,A808)</f>
        <v/>
      </c>
      <c r="O808" s="37">
        <f>SUMIFS('Billing Aug'!$F$2:$F$770,'Billing Aug'!$D$2:$D$770,A808)</f>
        <v/>
      </c>
      <c r="P808" s="41">
        <f>IF(N808=0,0,L808-SUMIFS('Billing Aug'!$H$2:$H$770,'Billing Aug'!$D$2:$D$770,A808)*SUMIFS('Billing Aug'!$I$2:$I$770,'Billing Aug'!$D$2:$D$770,A808))</f>
        <v/>
      </c>
      <c r="Q808" s="37">
        <f>IF(N808=0,"NO AUG TRANSACTION IN SUPPLIED EXTRACT",IF(ABS(P808)&gt;0.004,"SUBLEDGER ARITHMETIC ERROR",IF(ABS(M808)&gt;0.004,"BILLING VARIANCE","MATCH")))</f>
        <v/>
      </c>
    </row>
    <row r="809">
      <c r="A809" s="37" t="inlineStr">
        <is>
          <t>GW-0618</t>
        </is>
      </c>
      <c r="B809" s="37" t="inlineStr">
        <is>
          <t>Gullwing</t>
        </is>
      </c>
      <c r="C809" s="37" t="inlineStr">
        <is>
          <t>OPEN</t>
        </is>
      </c>
      <c r="D809" s="37" t="inlineStr">
        <is>
          <t>OCCUPIED</t>
        </is>
      </c>
      <c r="E809" s="37" t="inlineStr">
        <is>
          <t>WL-03467</t>
        </is>
      </c>
      <c r="F809" s="37" t="inlineStr">
        <is>
          <t>Juan Ray</t>
        </is>
      </c>
      <c r="G809" s="37" t="n">
        <v>24</v>
      </c>
      <c r="H809" s="39" t="n">
        <v>30.5</v>
      </c>
      <c r="I809" s="40">
        <f>ROUNDUP(MAX(G809,H809),0)</f>
        <v/>
      </c>
      <c r="J809" s="41">
        <f>IF(C809="COVERED",'Methodology'!$B$9,'Methodology'!$B$10)</f>
        <v/>
      </c>
      <c r="K809" s="41">
        <f>I809*J809</f>
        <v/>
      </c>
      <c r="L809" s="41">
        <f>SUMIFS('Billing Aug'!$J$2:$J$770,'Billing Aug'!$D$2:$D$770,A809)</f>
        <v/>
      </c>
      <c r="M809" s="41">
        <f>L809-K809</f>
        <v/>
      </c>
      <c r="N809" s="37">
        <f>COUNTIF('Billing Aug'!$D$2:$D$770,A809)</f>
        <v/>
      </c>
      <c r="O809" s="37">
        <f>SUMIFS('Billing Aug'!$F$2:$F$770,'Billing Aug'!$D$2:$D$770,A809)</f>
        <v/>
      </c>
      <c r="P809" s="41">
        <f>IF(N809=0,0,L809-SUMIFS('Billing Aug'!$H$2:$H$770,'Billing Aug'!$D$2:$D$770,A809)*SUMIFS('Billing Aug'!$I$2:$I$770,'Billing Aug'!$D$2:$D$770,A809))</f>
        <v/>
      </c>
      <c r="Q809" s="37">
        <f>IF(N809=0,"NO AUG TRANSACTION IN SUPPLIED EXTRACT",IF(ABS(P809)&gt;0.004,"SUBLEDGER ARITHMETIC ERROR",IF(ABS(M809)&gt;0.004,"BILLING VARIANCE","MATCH")))</f>
        <v/>
      </c>
    </row>
    <row r="810">
      <c r="A810" s="37" t="inlineStr">
        <is>
          <t>GW-0619</t>
        </is>
      </c>
      <c r="B810" s="37" t="inlineStr">
        <is>
          <t>Gullwing</t>
        </is>
      </c>
      <c r="C810" s="37" t="inlineStr">
        <is>
          <t>OPEN</t>
        </is>
      </c>
      <c r="D810" s="37" t="inlineStr">
        <is>
          <t>OCCUPIED</t>
        </is>
      </c>
      <c r="E810" s="37" t="inlineStr">
        <is>
          <t>WL-03110</t>
        </is>
      </c>
      <c r="F810" s="37" t="inlineStr">
        <is>
          <t>Randy Ramos</t>
        </is>
      </c>
      <c r="G810" s="37" t="n">
        <v>45</v>
      </c>
      <c r="H810" s="39" t="n">
        <v>28.6</v>
      </c>
      <c r="I810" s="40">
        <f>ROUNDUP(MAX(G810,H810),0)</f>
        <v/>
      </c>
      <c r="J810" s="41">
        <f>IF(C810="COVERED",'Methodology'!$B$9,'Methodology'!$B$10)</f>
        <v/>
      </c>
      <c r="K810" s="41">
        <f>I810*J810</f>
        <v/>
      </c>
      <c r="L810" s="41">
        <f>SUMIFS('Billing Aug'!$J$2:$J$770,'Billing Aug'!$D$2:$D$770,A810)</f>
        <v/>
      </c>
      <c r="M810" s="41">
        <f>L810-K810</f>
        <v/>
      </c>
      <c r="N810" s="37">
        <f>COUNTIF('Billing Aug'!$D$2:$D$770,A810)</f>
        <v/>
      </c>
      <c r="O810" s="37">
        <f>SUMIFS('Billing Aug'!$F$2:$F$770,'Billing Aug'!$D$2:$D$770,A810)</f>
        <v/>
      </c>
      <c r="P810" s="41">
        <f>IF(N810=0,0,L810-SUMIFS('Billing Aug'!$H$2:$H$770,'Billing Aug'!$D$2:$D$770,A810)*SUMIFS('Billing Aug'!$I$2:$I$770,'Billing Aug'!$D$2:$D$770,A810))</f>
        <v/>
      </c>
      <c r="Q810" s="37">
        <f>IF(N810=0,"NO AUG TRANSACTION IN SUPPLIED EXTRACT",IF(ABS(P810)&gt;0.004,"SUBLEDGER ARITHMETIC ERROR",IF(ABS(M810)&gt;0.004,"BILLING VARIANCE","MATCH")))</f>
        <v/>
      </c>
    </row>
    <row r="811">
      <c r="A811" s="37" t="inlineStr">
        <is>
          <t>GW-0620</t>
        </is>
      </c>
      <c r="B811" s="37" t="inlineStr">
        <is>
          <t>Gullwing</t>
        </is>
      </c>
      <c r="C811" s="37" t="inlineStr">
        <is>
          <t>OPEN</t>
        </is>
      </c>
      <c r="D811" s="37" t="inlineStr">
        <is>
          <t>OCCUPIED</t>
        </is>
      </c>
      <c r="E811" s="37" t="inlineStr">
        <is>
          <t>WL-01357</t>
        </is>
      </c>
      <c r="F811" s="37" t="inlineStr">
        <is>
          <t>Cody Rose</t>
        </is>
      </c>
      <c r="G811" s="37" t="n">
        <v>70</v>
      </c>
      <c r="H811" s="39" t="n">
        <v>39.9</v>
      </c>
      <c r="I811" s="40">
        <f>ROUNDUP(MAX(G811,H811),0)</f>
        <v/>
      </c>
      <c r="J811" s="41">
        <f>IF(C811="COVERED",'Methodology'!$B$9,'Methodology'!$B$10)</f>
        <v/>
      </c>
      <c r="K811" s="41">
        <f>I811*J811</f>
        <v/>
      </c>
      <c r="L811" s="41">
        <f>SUMIFS('Billing Aug'!$J$2:$J$770,'Billing Aug'!$D$2:$D$770,A811)</f>
        <v/>
      </c>
      <c r="M811" s="41">
        <f>L811-K811</f>
        <v/>
      </c>
      <c r="N811" s="37">
        <f>COUNTIF('Billing Aug'!$D$2:$D$770,A811)</f>
        <v/>
      </c>
      <c r="O811" s="37">
        <f>SUMIFS('Billing Aug'!$F$2:$F$770,'Billing Aug'!$D$2:$D$770,A811)</f>
        <v/>
      </c>
      <c r="P811" s="41">
        <f>IF(N811=0,0,L811-SUMIFS('Billing Aug'!$H$2:$H$770,'Billing Aug'!$D$2:$D$770,A811)*SUMIFS('Billing Aug'!$I$2:$I$770,'Billing Aug'!$D$2:$D$770,A811))</f>
        <v/>
      </c>
      <c r="Q811" s="37">
        <f>IF(N811=0,"NO AUG TRANSACTION IN SUPPLIED EXTRACT",IF(ABS(P811)&gt;0.004,"SUBLEDGER ARITHMETIC ERROR",IF(ABS(M811)&gt;0.004,"BILLING VARIANCE","MATCH")))</f>
        <v/>
      </c>
    </row>
    <row r="812">
      <c r="A812" s="37" t="inlineStr">
        <is>
          <t>GW-0621</t>
        </is>
      </c>
      <c r="B812" s="37" t="inlineStr">
        <is>
          <t>Gullwing</t>
        </is>
      </c>
      <c r="C812" s="37" t="inlineStr">
        <is>
          <t>OPEN</t>
        </is>
      </c>
      <c r="D812" s="37" t="inlineStr">
        <is>
          <t>OCCUPIED</t>
        </is>
      </c>
      <c r="E812" s="37" t="inlineStr">
        <is>
          <t>WL-03595</t>
        </is>
      </c>
      <c r="F812" s="37" t="inlineStr">
        <is>
          <t>Roger Johnson</t>
        </is>
      </c>
      <c r="G812" s="37" t="n">
        <v>28</v>
      </c>
      <c r="H812" s="39" t="n">
        <v>36.1</v>
      </c>
      <c r="I812" s="40">
        <f>ROUNDUP(MAX(G812,H812),0)</f>
        <v/>
      </c>
      <c r="J812" s="41">
        <f>IF(C812="COVERED",'Methodology'!$B$9,'Methodology'!$B$10)</f>
        <v/>
      </c>
      <c r="K812" s="41">
        <f>I812*J812</f>
        <v/>
      </c>
      <c r="L812" s="41">
        <f>SUMIFS('Billing Aug'!$J$2:$J$770,'Billing Aug'!$D$2:$D$770,A812)</f>
        <v/>
      </c>
      <c r="M812" s="41">
        <f>L812-K812</f>
        <v/>
      </c>
      <c r="N812" s="37">
        <f>COUNTIF('Billing Aug'!$D$2:$D$770,A812)</f>
        <v/>
      </c>
      <c r="O812" s="37">
        <f>SUMIFS('Billing Aug'!$F$2:$F$770,'Billing Aug'!$D$2:$D$770,A812)</f>
        <v/>
      </c>
      <c r="P812" s="41">
        <f>IF(N812=0,0,L812-SUMIFS('Billing Aug'!$H$2:$H$770,'Billing Aug'!$D$2:$D$770,A812)*SUMIFS('Billing Aug'!$I$2:$I$770,'Billing Aug'!$D$2:$D$770,A812))</f>
        <v/>
      </c>
      <c r="Q812" s="37">
        <f>IF(N812=0,"NO AUG TRANSACTION IN SUPPLIED EXTRACT",IF(ABS(P812)&gt;0.004,"SUBLEDGER ARITHMETIC ERROR",IF(ABS(M812)&gt;0.004,"BILLING VARIANCE","MATCH")))</f>
        <v/>
      </c>
    </row>
    <row r="813">
      <c r="A813" s="37" t="inlineStr">
        <is>
          <t>GW-0622</t>
        </is>
      </c>
      <c r="B813" s="37" t="inlineStr">
        <is>
          <t>Gullwing</t>
        </is>
      </c>
      <c r="C813" s="37" t="inlineStr">
        <is>
          <t>OPEN</t>
        </is>
      </c>
      <c r="D813" s="37" t="inlineStr">
        <is>
          <t>OCCUPIED</t>
        </is>
      </c>
      <c r="E813" s="37" t="inlineStr">
        <is>
          <t>WL-01075</t>
        </is>
      </c>
      <c r="F813" s="37" t="inlineStr">
        <is>
          <t>Ryan Gilmore</t>
        </is>
      </c>
      <c r="G813" s="37" t="n">
        <v>60</v>
      </c>
      <c r="H813" s="39" t="n">
        <v>53.2</v>
      </c>
      <c r="I813" s="40">
        <f>ROUNDUP(MAX(G813,H813),0)</f>
        <v/>
      </c>
      <c r="J813" s="41">
        <f>IF(C813="COVERED",'Methodology'!$B$9,'Methodology'!$B$10)</f>
        <v/>
      </c>
      <c r="K813" s="41">
        <f>I813*J813</f>
        <v/>
      </c>
      <c r="L813" s="41">
        <f>SUMIFS('Billing Aug'!$J$2:$J$770,'Billing Aug'!$D$2:$D$770,A813)</f>
        <v/>
      </c>
      <c r="M813" s="41">
        <f>L813-K813</f>
        <v/>
      </c>
      <c r="N813" s="37">
        <f>COUNTIF('Billing Aug'!$D$2:$D$770,A813)</f>
        <v/>
      </c>
      <c r="O813" s="37">
        <f>SUMIFS('Billing Aug'!$F$2:$F$770,'Billing Aug'!$D$2:$D$770,A813)</f>
        <v/>
      </c>
      <c r="P813" s="41">
        <f>IF(N813=0,0,L813-SUMIFS('Billing Aug'!$H$2:$H$770,'Billing Aug'!$D$2:$D$770,A813)*SUMIFS('Billing Aug'!$I$2:$I$770,'Billing Aug'!$D$2:$D$770,A813))</f>
        <v/>
      </c>
      <c r="Q813" s="37">
        <f>IF(N813=0,"NO AUG TRANSACTION IN SUPPLIED EXTRACT",IF(ABS(P813)&gt;0.004,"SUBLEDGER ARITHMETIC ERROR",IF(ABS(M813)&gt;0.004,"BILLING VARIANCE","MATCH")))</f>
        <v/>
      </c>
    </row>
    <row r="814">
      <c r="A814" s="37" t="inlineStr">
        <is>
          <t>GW-0623</t>
        </is>
      </c>
      <c r="B814" s="37" t="inlineStr">
        <is>
          <t>Gullwing</t>
        </is>
      </c>
      <c r="C814" s="37" t="inlineStr">
        <is>
          <t>OPEN</t>
        </is>
      </c>
      <c r="D814" s="37" t="inlineStr">
        <is>
          <t>OCCUPIED</t>
        </is>
      </c>
      <c r="E814" s="37" t="inlineStr">
        <is>
          <t>WL-03819</t>
        </is>
      </c>
      <c r="F814" s="37" t="inlineStr">
        <is>
          <t>Anna Wu</t>
        </is>
      </c>
      <c r="G814" s="37" t="n">
        <v>70</v>
      </c>
      <c r="H814" s="39" t="n">
        <v>34.2</v>
      </c>
      <c r="I814" s="40">
        <f>ROUNDUP(MAX(G814,H814),0)</f>
        <v/>
      </c>
      <c r="J814" s="41">
        <f>IF(C814="COVERED",'Methodology'!$B$9,'Methodology'!$B$10)</f>
        <v/>
      </c>
      <c r="K814" s="41">
        <f>I814*J814</f>
        <v/>
      </c>
      <c r="L814" s="41">
        <f>SUMIFS('Billing Aug'!$J$2:$J$770,'Billing Aug'!$D$2:$D$770,A814)</f>
        <v/>
      </c>
      <c r="M814" s="41">
        <f>L814-K814</f>
        <v/>
      </c>
      <c r="N814" s="37">
        <f>COUNTIF('Billing Aug'!$D$2:$D$770,A814)</f>
        <v/>
      </c>
      <c r="O814" s="37">
        <f>SUMIFS('Billing Aug'!$F$2:$F$770,'Billing Aug'!$D$2:$D$770,A814)</f>
        <v/>
      </c>
      <c r="P814" s="41">
        <f>IF(N814=0,0,L814-SUMIFS('Billing Aug'!$H$2:$H$770,'Billing Aug'!$D$2:$D$770,A814)*SUMIFS('Billing Aug'!$I$2:$I$770,'Billing Aug'!$D$2:$D$770,A814))</f>
        <v/>
      </c>
      <c r="Q814" s="37">
        <f>IF(N814=0,"NO AUG TRANSACTION IN SUPPLIED EXTRACT",IF(ABS(P814)&gt;0.004,"SUBLEDGER ARITHMETIC ERROR",IF(ABS(M814)&gt;0.004,"BILLING VARIANCE","MATCH")))</f>
        <v/>
      </c>
    </row>
    <row r="815">
      <c r="A815" s="37" t="inlineStr">
        <is>
          <t>GW-0702</t>
        </is>
      </c>
      <c r="B815" s="37" t="inlineStr">
        <is>
          <t>Gullwing</t>
        </is>
      </c>
      <c r="C815" s="37" t="inlineStr">
        <is>
          <t>OPEN</t>
        </is>
      </c>
      <c r="D815" s="37" t="inlineStr">
        <is>
          <t>OCCUPIED</t>
        </is>
      </c>
      <c r="E815" s="37" t="inlineStr">
        <is>
          <t>WL-02050</t>
        </is>
      </c>
      <c r="F815" s="37" t="inlineStr">
        <is>
          <t>John Howard</t>
        </is>
      </c>
      <c r="G815" s="37" t="n">
        <v>32</v>
      </c>
      <c r="H815" s="39" t="n">
        <v>36.4</v>
      </c>
      <c r="I815" s="40">
        <f>ROUNDUP(MAX(G815,H815),0)</f>
        <v/>
      </c>
      <c r="J815" s="41">
        <f>IF(C815="COVERED",'Methodology'!$B$9,'Methodology'!$B$10)</f>
        <v/>
      </c>
      <c r="K815" s="41">
        <f>I815*J815</f>
        <v/>
      </c>
      <c r="L815" s="41">
        <f>SUMIFS('Billing Aug'!$J$2:$J$770,'Billing Aug'!$D$2:$D$770,A815)</f>
        <v/>
      </c>
      <c r="M815" s="41">
        <f>L815-K815</f>
        <v/>
      </c>
      <c r="N815" s="37">
        <f>COUNTIF('Billing Aug'!$D$2:$D$770,A815)</f>
        <v/>
      </c>
      <c r="O815" s="37">
        <f>SUMIFS('Billing Aug'!$F$2:$F$770,'Billing Aug'!$D$2:$D$770,A815)</f>
        <v/>
      </c>
      <c r="P815" s="41">
        <f>IF(N815=0,0,L815-SUMIFS('Billing Aug'!$H$2:$H$770,'Billing Aug'!$D$2:$D$770,A815)*SUMIFS('Billing Aug'!$I$2:$I$770,'Billing Aug'!$D$2:$D$770,A815))</f>
        <v/>
      </c>
      <c r="Q815" s="37">
        <f>IF(N815=0,"NO AUG TRANSACTION IN SUPPLIED EXTRACT",IF(ABS(P815)&gt;0.004,"SUBLEDGER ARITHMETIC ERROR",IF(ABS(M815)&gt;0.004,"BILLING VARIANCE","MATCH")))</f>
        <v/>
      </c>
    </row>
    <row r="816">
      <c r="A816" s="37" t="inlineStr">
        <is>
          <t>GW-0703</t>
        </is>
      </c>
      <c r="B816" s="37" t="inlineStr">
        <is>
          <t>Gullwing</t>
        </is>
      </c>
      <c r="C816" s="37" t="inlineStr">
        <is>
          <t>OPEN</t>
        </is>
      </c>
      <c r="D816" s="37" t="inlineStr">
        <is>
          <t>OCCUPIED</t>
        </is>
      </c>
      <c r="E816" s="37" t="inlineStr">
        <is>
          <t>WL-02415</t>
        </is>
      </c>
      <c r="F816" s="37" t="inlineStr">
        <is>
          <t>Valerie Nelson</t>
        </is>
      </c>
      <c r="G816" s="37" t="n">
        <v>32</v>
      </c>
      <c r="H816" s="39" t="n">
        <v>53.6</v>
      </c>
      <c r="I816" s="40">
        <f>ROUNDUP(MAX(G816,H816),0)</f>
        <v/>
      </c>
      <c r="J816" s="41">
        <f>IF(C816="COVERED",'Methodology'!$B$9,'Methodology'!$B$10)</f>
        <v/>
      </c>
      <c r="K816" s="41">
        <f>I816*J816</f>
        <v/>
      </c>
      <c r="L816" s="41">
        <f>SUMIFS('Billing Aug'!$J$2:$J$770,'Billing Aug'!$D$2:$D$770,A816)</f>
        <v/>
      </c>
      <c r="M816" s="41">
        <f>L816-K816</f>
        <v/>
      </c>
      <c r="N816" s="37">
        <f>COUNTIF('Billing Aug'!$D$2:$D$770,A816)</f>
        <v/>
      </c>
      <c r="O816" s="37">
        <f>SUMIFS('Billing Aug'!$F$2:$F$770,'Billing Aug'!$D$2:$D$770,A816)</f>
        <v/>
      </c>
      <c r="P816" s="41">
        <f>IF(N816=0,0,L816-SUMIFS('Billing Aug'!$H$2:$H$770,'Billing Aug'!$D$2:$D$770,A816)*SUMIFS('Billing Aug'!$I$2:$I$770,'Billing Aug'!$D$2:$D$770,A816))</f>
        <v/>
      </c>
      <c r="Q816" s="37">
        <f>IF(N816=0,"NO AUG TRANSACTION IN SUPPLIED EXTRACT",IF(ABS(P816)&gt;0.004,"SUBLEDGER ARITHMETIC ERROR",IF(ABS(M816)&gt;0.004,"BILLING VARIANCE","MATCH")))</f>
        <v/>
      </c>
    </row>
    <row r="817">
      <c r="A817" s="37" t="inlineStr">
        <is>
          <t>GW-0704</t>
        </is>
      </c>
      <c r="B817" s="37" t="inlineStr">
        <is>
          <t>Gullwing</t>
        </is>
      </c>
      <c r="C817" s="37" t="inlineStr">
        <is>
          <t>OPEN</t>
        </is>
      </c>
      <c r="D817" s="37" t="inlineStr">
        <is>
          <t>OCCUPIED</t>
        </is>
      </c>
      <c r="E817" s="37" t="inlineStr">
        <is>
          <t>WL-01016</t>
        </is>
      </c>
      <c r="F817" s="37" t="inlineStr">
        <is>
          <t>Jared Mosley</t>
        </is>
      </c>
      <c r="G817" s="37" t="n">
        <v>50</v>
      </c>
      <c r="H817" s="39" t="n">
        <v>43.6</v>
      </c>
      <c r="I817" s="40">
        <f>ROUNDUP(MAX(G817,H817),0)</f>
        <v/>
      </c>
      <c r="J817" s="41">
        <f>IF(C817="COVERED",'Methodology'!$B$9,'Methodology'!$B$10)</f>
        <v/>
      </c>
      <c r="K817" s="41">
        <f>I817*J817</f>
        <v/>
      </c>
      <c r="L817" s="41">
        <f>SUMIFS('Billing Aug'!$J$2:$J$770,'Billing Aug'!$D$2:$D$770,A817)</f>
        <v/>
      </c>
      <c r="M817" s="41">
        <f>L817-K817</f>
        <v/>
      </c>
      <c r="N817" s="37">
        <f>COUNTIF('Billing Aug'!$D$2:$D$770,A817)</f>
        <v/>
      </c>
      <c r="O817" s="37">
        <f>SUMIFS('Billing Aug'!$F$2:$F$770,'Billing Aug'!$D$2:$D$770,A817)</f>
        <v/>
      </c>
      <c r="P817" s="41">
        <f>IF(N817=0,0,L817-SUMIFS('Billing Aug'!$H$2:$H$770,'Billing Aug'!$D$2:$D$770,A817)*SUMIFS('Billing Aug'!$I$2:$I$770,'Billing Aug'!$D$2:$D$770,A817))</f>
        <v/>
      </c>
      <c r="Q817" s="37">
        <f>IF(N817=0,"NO AUG TRANSACTION IN SUPPLIED EXTRACT",IF(ABS(P817)&gt;0.004,"SUBLEDGER ARITHMETIC ERROR",IF(ABS(M817)&gt;0.004,"BILLING VARIANCE","MATCH")))</f>
        <v/>
      </c>
    </row>
    <row r="818">
      <c r="A818" s="37" t="inlineStr">
        <is>
          <t>GW-0705</t>
        </is>
      </c>
      <c r="B818" s="37" t="inlineStr">
        <is>
          <t>Gullwing</t>
        </is>
      </c>
      <c r="C818" s="37" t="inlineStr">
        <is>
          <t>OPEN</t>
        </is>
      </c>
      <c r="D818" s="37" t="inlineStr">
        <is>
          <t>OCCUPIED</t>
        </is>
      </c>
      <c r="E818" s="37" t="inlineStr">
        <is>
          <t>WL-03168</t>
        </is>
      </c>
      <c r="F818" s="37" t="inlineStr">
        <is>
          <t>Danielle Mckinney</t>
        </is>
      </c>
      <c r="G818" s="37" t="n">
        <v>24</v>
      </c>
      <c r="H818" s="39" t="n">
        <v>58.6</v>
      </c>
      <c r="I818" s="40">
        <f>ROUNDUP(MAX(G818,H818),0)</f>
        <v/>
      </c>
      <c r="J818" s="41">
        <f>IF(C818="COVERED",'Methodology'!$B$9,'Methodology'!$B$10)</f>
        <v/>
      </c>
      <c r="K818" s="41">
        <f>I818*J818</f>
        <v/>
      </c>
      <c r="L818" s="41">
        <f>SUMIFS('Billing Aug'!$J$2:$J$770,'Billing Aug'!$D$2:$D$770,A818)</f>
        <v/>
      </c>
      <c r="M818" s="41">
        <f>L818-K818</f>
        <v/>
      </c>
      <c r="N818" s="37">
        <f>COUNTIF('Billing Aug'!$D$2:$D$770,A818)</f>
        <v/>
      </c>
      <c r="O818" s="37">
        <f>SUMIFS('Billing Aug'!$F$2:$F$770,'Billing Aug'!$D$2:$D$770,A818)</f>
        <v/>
      </c>
      <c r="P818" s="41">
        <f>IF(N818=0,0,L818-SUMIFS('Billing Aug'!$H$2:$H$770,'Billing Aug'!$D$2:$D$770,A818)*SUMIFS('Billing Aug'!$I$2:$I$770,'Billing Aug'!$D$2:$D$770,A818))</f>
        <v/>
      </c>
      <c r="Q818" s="37">
        <f>IF(N818=0,"NO AUG TRANSACTION IN SUPPLIED EXTRACT",IF(ABS(P818)&gt;0.004,"SUBLEDGER ARITHMETIC ERROR",IF(ABS(M818)&gt;0.004,"BILLING VARIANCE","MATCH")))</f>
        <v/>
      </c>
    </row>
    <row r="819">
      <c r="A819" s="37" t="inlineStr">
        <is>
          <t>GW-0706</t>
        </is>
      </c>
      <c r="B819" s="37" t="inlineStr">
        <is>
          <t>Gullwing</t>
        </is>
      </c>
      <c r="C819" s="37" t="inlineStr">
        <is>
          <t>OPEN</t>
        </is>
      </c>
      <c r="D819" s="37" t="inlineStr">
        <is>
          <t>OCCUPIED</t>
        </is>
      </c>
      <c r="E819" s="37" t="inlineStr">
        <is>
          <t>WL-02503</t>
        </is>
      </c>
      <c r="F819" s="37" t="inlineStr">
        <is>
          <t>Molly Holland</t>
        </is>
      </c>
      <c r="G819" s="37" t="n">
        <v>80</v>
      </c>
      <c r="H819" s="39" t="n">
        <v>33.4</v>
      </c>
      <c r="I819" s="40">
        <f>ROUNDUP(MAX(G819,H819),0)</f>
        <v/>
      </c>
      <c r="J819" s="41">
        <f>IF(C819="COVERED",'Methodology'!$B$9,'Methodology'!$B$10)</f>
        <v/>
      </c>
      <c r="K819" s="41">
        <f>I819*J819</f>
        <v/>
      </c>
      <c r="L819" s="41">
        <f>SUMIFS('Billing Aug'!$J$2:$J$770,'Billing Aug'!$D$2:$D$770,A819)</f>
        <v/>
      </c>
      <c r="M819" s="41">
        <f>L819-K819</f>
        <v/>
      </c>
      <c r="N819" s="37">
        <f>COUNTIF('Billing Aug'!$D$2:$D$770,A819)</f>
        <v/>
      </c>
      <c r="O819" s="37">
        <f>SUMIFS('Billing Aug'!$F$2:$F$770,'Billing Aug'!$D$2:$D$770,A819)</f>
        <v/>
      </c>
      <c r="P819" s="41">
        <f>IF(N819=0,0,L819-SUMIFS('Billing Aug'!$H$2:$H$770,'Billing Aug'!$D$2:$D$770,A819)*SUMIFS('Billing Aug'!$I$2:$I$770,'Billing Aug'!$D$2:$D$770,A819))</f>
        <v/>
      </c>
      <c r="Q819" s="37">
        <f>IF(N819=0,"NO AUG TRANSACTION IN SUPPLIED EXTRACT",IF(ABS(P819)&gt;0.004,"SUBLEDGER ARITHMETIC ERROR",IF(ABS(M819)&gt;0.004,"BILLING VARIANCE","MATCH")))</f>
        <v/>
      </c>
    </row>
    <row r="820">
      <c r="A820" s="37" t="inlineStr">
        <is>
          <t>GW-0707</t>
        </is>
      </c>
      <c r="B820" s="37" t="inlineStr">
        <is>
          <t>Gullwing</t>
        </is>
      </c>
      <c r="C820" s="37" t="inlineStr">
        <is>
          <t>OPEN</t>
        </is>
      </c>
      <c r="D820" s="37" t="inlineStr">
        <is>
          <t>OCCUPIED</t>
        </is>
      </c>
      <c r="E820" s="37" t="inlineStr">
        <is>
          <t>WL-01688</t>
        </is>
      </c>
      <c r="F820" s="37" t="inlineStr">
        <is>
          <t>Michael Gardner</t>
        </is>
      </c>
      <c r="G820" s="37" t="n">
        <v>24</v>
      </c>
      <c r="H820" s="39" t="n">
        <v>39.3</v>
      </c>
      <c r="I820" s="40">
        <f>ROUNDUP(MAX(G820,H820),0)</f>
        <v/>
      </c>
      <c r="J820" s="41">
        <f>IF(C820="COVERED",'Methodology'!$B$9,'Methodology'!$B$10)</f>
        <v/>
      </c>
      <c r="K820" s="41">
        <f>I820*J820</f>
        <v/>
      </c>
      <c r="L820" s="41">
        <f>SUMIFS('Billing Aug'!$J$2:$J$770,'Billing Aug'!$D$2:$D$770,A820)</f>
        <v/>
      </c>
      <c r="M820" s="41">
        <f>L820-K820</f>
        <v/>
      </c>
      <c r="N820" s="37">
        <f>COUNTIF('Billing Aug'!$D$2:$D$770,A820)</f>
        <v/>
      </c>
      <c r="O820" s="37">
        <f>SUMIFS('Billing Aug'!$F$2:$F$770,'Billing Aug'!$D$2:$D$770,A820)</f>
        <v/>
      </c>
      <c r="P820" s="41">
        <f>IF(N820=0,0,L820-SUMIFS('Billing Aug'!$H$2:$H$770,'Billing Aug'!$D$2:$D$770,A820)*SUMIFS('Billing Aug'!$I$2:$I$770,'Billing Aug'!$D$2:$D$770,A820))</f>
        <v/>
      </c>
      <c r="Q820" s="37">
        <f>IF(N820=0,"NO AUG TRANSACTION IN SUPPLIED EXTRACT",IF(ABS(P820)&gt;0.004,"SUBLEDGER ARITHMETIC ERROR",IF(ABS(M820)&gt;0.004,"BILLING VARIANCE","MATCH")))</f>
        <v/>
      </c>
    </row>
    <row r="821">
      <c r="A821" s="37" t="inlineStr">
        <is>
          <t>GW-0708</t>
        </is>
      </c>
      <c r="B821" s="37" t="inlineStr">
        <is>
          <t>Gullwing</t>
        </is>
      </c>
      <c r="C821" s="37" t="inlineStr">
        <is>
          <t>OPEN</t>
        </is>
      </c>
      <c r="D821" s="37" t="inlineStr">
        <is>
          <t>OCCUPIED</t>
        </is>
      </c>
      <c r="E821" s="37" t="inlineStr">
        <is>
          <t>WL-01438</t>
        </is>
      </c>
      <c r="F821" s="37" t="inlineStr">
        <is>
          <t>Angela Whitehead</t>
        </is>
      </c>
      <c r="G821" s="37" t="n">
        <v>70</v>
      </c>
      <c r="H821" s="39" t="n">
        <v>28.7</v>
      </c>
      <c r="I821" s="40">
        <f>ROUNDUP(MAX(G821,H821),0)</f>
        <v/>
      </c>
      <c r="J821" s="41">
        <f>IF(C821="COVERED",'Methodology'!$B$9,'Methodology'!$B$10)</f>
        <v/>
      </c>
      <c r="K821" s="41">
        <f>I821*J821</f>
        <v/>
      </c>
      <c r="L821" s="41">
        <f>SUMIFS('Billing Aug'!$J$2:$J$770,'Billing Aug'!$D$2:$D$770,A821)</f>
        <v/>
      </c>
      <c r="M821" s="41">
        <f>L821-K821</f>
        <v/>
      </c>
      <c r="N821" s="37">
        <f>COUNTIF('Billing Aug'!$D$2:$D$770,A821)</f>
        <v/>
      </c>
      <c r="O821" s="37">
        <f>SUMIFS('Billing Aug'!$F$2:$F$770,'Billing Aug'!$D$2:$D$770,A821)</f>
        <v/>
      </c>
      <c r="P821" s="41">
        <f>IF(N821=0,0,L821-SUMIFS('Billing Aug'!$H$2:$H$770,'Billing Aug'!$D$2:$D$770,A821)*SUMIFS('Billing Aug'!$I$2:$I$770,'Billing Aug'!$D$2:$D$770,A821))</f>
        <v/>
      </c>
      <c r="Q821" s="37">
        <f>IF(N821=0,"NO AUG TRANSACTION IN SUPPLIED EXTRACT",IF(ABS(P821)&gt;0.004,"SUBLEDGER ARITHMETIC ERROR",IF(ABS(M821)&gt;0.004,"BILLING VARIANCE","MATCH")))</f>
        <v/>
      </c>
    </row>
    <row r="822">
      <c r="A822" s="37" t="inlineStr">
        <is>
          <t>GW-0710</t>
        </is>
      </c>
      <c r="B822" s="37" t="inlineStr">
        <is>
          <t>Gullwing</t>
        </is>
      </c>
      <c r="C822" s="37" t="inlineStr">
        <is>
          <t>OPEN</t>
        </is>
      </c>
      <c r="D822" s="37" t="inlineStr">
        <is>
          <t>OCCUPIED</t>
        </is>
      </c>
      <c r="E822" s="37" t="inlineStr">
        <is>
          <t>WL-01445</t>
        </is>
      </c>
      <c r="F822" s="37" t="inlineStr">
        <is>
          <t>Kyle Estes</t>
        </is>
      </c>
      <c r="G822" s="37" t="n">
        <v>36</v>
      </c>
      <c r="H822" s="39" t="n">
        <v>43.8</v>
      </c>
      <c r="I822" s="40">
        <f>ROUNDUP(MAX(G822,H822),0)</f>
        <v/>
      </c>
      <c r="J822" s="41">
        <f>IF(C822="COVERED",'Methodology'!$B$9,'Methodology'!$B$10)</f>
        <v/>
      </c>
      <c r="K822" s="41">
        <f>I822*J822</f>
        <v/>
      </c>
      <c r="L822" s="41">
        <f>SUMIFS('Billing Aug'!$J$2:$J$770,'Billing Aug'!$D$2:$D$770,A822)</f>
        <v/>
      </c>
      <c r="M822" s="41">
        <f>L822-K822</f>
        <v/>
      </c>
      <c r="N822" s="37">
        <f>COUNTIF('Billing Aug'!$D$2:$D$770,A822)</f>
        <v/>
      </c>
      <c r="O822" s="37">
        <f>SUMIFS('Billing Aug'!$F$2:$F$770,'Billing Aug'!$D$2:$D$770,A822)</f>
        <v/>
      </c>
      <c r="P822" s="41">
        <f>IF(N822=0,0,L822-SUMIFS('Billing Aug'!$H$2:$H$770,'Billing Aug'!$D$2:$D$770,A822)*SUMIFS('Billing Aug'!$I$2:$I$770,'Billing Aug'!$D$2:$D$770,A822))</f>
        <v/>
      </c>
      <c r="Q822" s="37">
        <f>IF(N822=0,"NO AUG TRANSACTION IN SUPPLIED EXTRACT",IF(ABS(P822)&gt;0.004,"SUBLEDGER ARITHMETIC ERROR",IF(ABS(M822)&gt;0.004,"BILLING VARIANCE","MATCH")))</f>
        <v/>
      </c>
    </row>
    <row r="823">
      <c r="A823" s="37" t="inlineStr">
        <is>
          <t>GW-0711</t>
        </is>
      </c>
      <c r="B823" s="37" t="inlineStr">
        <is>
          <t>Gullwing</t>
        </is>
      </c>
      <c r="C823" s="37" t="inlineStr">
        <is>
          <t>OPEN</t>
        </is>
      </c>
      <c r="D823" s="37" t="inlineStr">
        <is>
          <t>OCCUPIED</t>
        </is>
      </c>
      <c r="E823" s="37" t="inlineStr">
        <is>
          <t>WL-01119</t>
        </is>
      </c>
      <c r="F823" s="37" t="inlineStr">
        <is>
          <t>Holly Kennedy</t>
        </is>
      </c>
      <c r="G823" s="37" t="n">
        <v>45</v>
      </c>
      <c r="H823" s="39" t="n">
        <v>40.5</v>
      </c>
      <c r="I823" s="40">
        <f>ROUNDUP(MAX(G823,H823),0)</f>
        <v/>
      </c>
      <c r="J823" s="41">
        <f>IF(C823="COVERED",'Methodology'!$B$9,'Methodology'!$B$10)</f>
        <v/>
      </c>
      <c r="K823" s="41">
        <f>I823*J823</f>
        <v/>
      </c>
      <c r="L823" s="41">
        <f>SUMIFS('Billing Aug'!$J$2:$J$770,'Billing Aug'!$D$2:$D$770,A823)</f>
        <v/>
      </c>
      <c r="M823" s="41">
        <f>L823-K823</f>
        <v/>
      </c>
      <c r="N823" s="37">
        <f>COUNTIF('Billing Aug'!$D$2:$D$770,A823)</f>
        <v/>
      </c>
      <c r="O823" s="37">
        <f>SUMIFS('Billing Aug'!$F$2:$F$770,'Billing Aug'!$D$2:$D$770,A823)</f>
        <v/>
      </c>
      <c r="P823" s="41">
        <f>IF(N823=0,0,L823-SUMIFS('Billing Aug'!$H$2:$H$770,'Billing Aug'!$D$2:$D$770,A823)*SUMIFS('Billing Aug'!$I$2:$I$770,'Billing Aug'!$D$2:$D$770,A823))</f>
        <v/>
      </c>
      <c r="Q823" s="37">
        <f>IF(N823=0,"NO AUG TRANSACTION IN SUPPLIED EXTRACT",IF(ABS(P823)&gt;0.004,"SUBLEDGER ARITHMETIC ERROR",IF(ABS(M823)&gt;0.004,"BILLING VARIANCE","MATCH")))</f>
        <v/>
      </c>
    </row>
    <row r="824">
      <c r="A824" s="37" t="inlineStr">
        <is>
          <t>GW-0712</t>
        </is>
      </c>
      <c r="B824" s="37" t="inlineStr">
        <is>
          <t>Gullwing</t>
        </is>
      </c>
      <c r="C824" s="37" t="inlineStr">
        <is>
          <t>OPEN</t>
        </is>
      </c>
      <c r="D824" s="37" t="inlineStr">
        <is>
          <t>OCCUPIED</t>
        </is>
      </c>
      <c r="E824" s="37" t="inlineStr">
        <is>
          <t>WL-01578</t>
        </is>
      </c>
      <c r="F824" s="37" t="inlineStr">
        <is>
          <t>Ashley Green</t>
        </is>
      </c>
      <c r="G824" s="37" t="n">
        <v>45</v>
      </c>
      <c r="H824" s="39" t="n">
        <v>48.3</v>
      </c>
      <c r="I824" s="40">
        <f>ROUNDUP(MAX(G824,H824),0)</f>
        <v/>
      </c>
      <c r="J824" s="41">
        <f>IF(C824="COVERED",'Methodology'!$B$9,'Methodology'!$B$10)</f>
        <v/>
      </c>
      <c r="K824" s="41">
        <f>I824*J824</f>
        <v/>
      </c>
      <c r="L824" s="41">
        <f>SUMIFS('Billing Aug'!$J$2:$J$770,'Billing Aug'!$D$2:$D$770,A824)</f>
        <v/>
      </c>
      <c r="M824" s="41">
        <f>L824-K824</f>
        <v/>
      </c>
      <c r="N824" s="37">
        <f>COUNTIF('Billing Aug'!$D$2:$D$770,A824)</f>
        <v/>
      </c>
      <c r="O824" s="37">
        <f>SUMIFS('Billing Aug'!$F$2:$F$770,'Billing Aug'!$D$2:$D$770,A824)</f>
        <v/>
      </c>
      <c r="P824" s="41">
        <f>IF(N824=0,0,L824-SUMIFS('Billing Aug'!$H$2:$H$770,'Billing Aug'!$D$2:$D$770,A824)*SUMIFS('Billing Aug'!$I$2:$I$770,'Billing Aug'!$D$2:$D$770,A824))</f>
        <v/>
      </c>
      <c r="Q824" s="37">
        <f>IF(N824=0,"NO AUG TRANSACTION IN SUPPLIED EXTRACT",IF(ABS(P824)&gt;0.004,"SUBLEDGER ARITHMETIC ERROR",IF(ABS(M824)&gt;0.004,"BILLING VARIANCE","MATCH")))</f>
        <v/>
      </c>
    </row>
    <row r="825">
      <c r="A825" s="37" t="inlineStr">
        <is>
          <t>GW-0713</t>
        </is>
      </c>
      <c r="B825" s="37" t="inlineStr">
        <is>
          <t>Gullwing</t>
        </is>
      </c>
      <c r="C825" s="37" t="inlineStr">
        <is>
          <t>OPEN</t>
        </is>
      </c>
      <c r="D825" s="37" t="inlineStr">
        <is>
          <t>OCCUPIED</t>
        </is>
      </c>
      <c r="E825" s="37" t="inlineStr">
        <is>
          <t>WL-02476</t>
        </is>
      </c>
      <c r="F825" s="37" t="inlineStr">
        <is>
          <t>Dana Becker</t>
        </is>
      </c>
      <c r="G825" s="37" t="n">
        <v>80</v>
      </c>
      <c r="H825" s="39" t="n">
        <v>45</v>
      </c>
      <c r="I825" s="40">
        <f>ROUNDUP(MAX(G825,H825),0)</f>
        <v/>
      </c>
      <c r="J825" s="41">
        <f>IF(C825="COVERED",'Methodology'!$B$9,'Methodology'!$B$10)</f>
        <v/>
      </c>
      <c r="K825" s="41">
        <f>I825*J825</f>
        <v/>
      </c>
      <c r="L825" s="41">
        <f>SUMIFS('Billing Aug'!$J$2:$J$770,'Billing Aug'!$D$2:$D$770,A825)</f>
        <v/>
      </c>
      <c r="M825" s="41">
        <f>L825-K825</f>
        <v/>
      </c>
      <c r="N825" s="37">
        <f>COUNTIF('Billing Aug'!$D$2:$D$770,A825)</f>
        <v/>
      </c>
      <c r="O825" s="37">
        <f>SUMIFS('Billing Aug'!$F$2:$F$770,'Billing Aug'!$D$2:$D$770,A825)</f>
        <v/>
      </c>
      <c r="P825" s="41">
        <f>IF(N825=0,0,L825-SUMIFS('Billing Aug'!$H$2:$H$770,'Billing Aug'!$D$2:$D$770,A825)*SUMIFS('Billing Aug'!$I$2:$I$770,'Billing Aug'!$D$2:$D$770,A825))</f>
        <v/>
      </c>
      <c r="Q825" s="37">
        <f>IF(N825=0,"NO AUG TRANSACTION IN SUPPLIED EXTRACT",IF(ABS(P825)&gt;0.004,"SUBLEDGER ARITHMETIC ERROR",IF(ABS(M825)&gt;0.004,"BILLING VARIANCE","MATCH")))</f>
        <v/>
      </c>
    </row>
    <row r="826">
      <c r="A826" s="37" t="inlineStr">
        <is>
          <t>GW-0714</t>
        </is>
      </c>
      <c r="B826" s="37" t="inlineStr">
        <is>
          <t>Gullwing</t>
        </is>
      </c>
      <c r="C826" s="37" t="inlineStr">
        <is>
          <t>OPEN</t>
        </is>
      </c>
      <c r="D826" s="37" t="inlineStr">
        <is>
          <t>OCCUPIED</t>
        </is>
      </c>
      <c r="E826" s="37" t="inlineStr">
        <is>
          <t>WL-01459</t>
        </is>
      </c>
      <c r="F826" s="37" t="inlineStr">
        <is>
          <t>Brian Green</t>
        </is>
      </c>
      <c r="G826" s="37" t="n">
        <v>28</v>
      </c>
      <c r="H826" s="39" t="n">
        <v>40.5</v>
      </c>
      <c r="I826" s="40">
        <f>ROUNDUP(MAX(G826,H826),0)</f>
        <v/>
      </c>
      <c r="J826" s="41">
        <f>IF(C826="COVERED",'Methodology'!$B$9,'Methodology'!$B$10)</f>
        <v/>
      </c>
      <c r="K826" s="41">
        <f>I826*J826</f>
        <v/>
      </c>
      <c r="L826" s="41">
        <f>SUMIFS('Billing Aug'!$J$2:$J$770,'Billing Aug'!$D$2:$D$770,A826)</f>
        <v/>
      </c>
      <c r="M826" s="41">
        <f>L826-K826</f>
        <v/>
      </c>
      <c r="N826" s="37">
        <f>COUNTIF('Billing Aug'!$D$2:$D$770,A826)</f>
        <v/>
      </c>
      <c r="O826" s="37">
        <f>SUMIFS('Billing Aug'!$F$2:$F$770,'Billing Aug'!$D$2:$D$770,A826)</f>
        <v/>
      </c>
      <c r="P826" s="41">
        <f>IF(N826=0,0,L826-SUMIFS('Billing Aug'!$H$2:$H$770,'Billing Aug'!$D$2:$D$770,A826)*SUMIFS('Billing Aug'!$I$2:$I$770,'Billing Aug'!$D$2:$D$770,A826))</f>
        <v/>
      </c>
      <c r="Q826" s="37">
        <f>IF(N826=0,"NO AUG TRANSACTION IN SUPPLIED EXTRACT",IF(ABS(P826)&gt;0.004,"SUBLEDGER ARITHMETIC ERROR",IF(ABS(M826)&gt;0.004,"BILLING VARIANCE","MATCH")))</f>
        <v/>
      </c>
    </row>
    <row r="827">
      <c r="A827" s="37" t="inlineStr">
        <is>
          <t>GW-0715</t>
        </is>
      </c>
      <c r="B827" s="37" t="inlineStr">
        <is>
          <t>Gullwing</t>
        </is>
      </c>
      <c r="C827" s="37" t="inlineStr">
        <is>
          <t>OPEN</t>
        </is>
      </c>
      <c r="D827" s="37" t="inlineStr">
        <is>
          <t>OCCUPIED</t>
        </is>
      </c>
      <c r="E827" s="37" t="inlineStr">
        <is>
          <t>WL-03752</t>
        </is>
      </c>
      <c r="F827" s="37" t="inlineStr">
        <is>
          <t>Timothy Soto</t>
        </is>
      </c>
      <c r="G827" s="37" t="n">
        <v>24</v>
      </c>
      <c r="H827" s="39" t="n">
        <v>34.6</v>
      </c>
      <c r="I827" s="40">
        <f>ROUNDUP(MAX(G827,H827),0)</f>
        <v/>
      </c>
      <c r="J827" s="41">
        <f>IF(C827="COVERED",'Methodology'!$B$9,'Methodology'!$B$10)</f>
        <v/>
      </c>
      <c r="K827" s="41">
        <f>I827*J827</f>
        <v/>
      </c>
      <c r="L827" s="41">
        <f>SUMIFS('Billing Aug'!$J$2:$J$770,'Billing Aug'!$D$2:$D$770,A827)</f>
        <v/>
      </c>
      <c r="M827" s="41">
        <f>L827-K827</f>
        <v/>
      </c>
      <c r="N827" s="37">
        <f>COUNTIF('Billing Aug'!$D$2:$D$770,A827)</f>
        <v/>
      </c>
      <c r="O827" s="37">
        <f>SUMIFS('Billing Aug'!$F$2:$F$770,'Billing Aug'!$D$2:$D$770,A827)</f>
        <v/>
      </c>
      <c r="P827" s="41">
        <f>IF(N827=0,0,L827-SUMIFS('Billing Aug'!$H$2:$H$770,'Billing Aug'!$D$2:$D$770,A827)*SUMIFS('Billing Aug'!$I$2:$I$770,'Billing Aug'!$D$2:$D$770,A827))</f>
        <v/>
      </c>
      <c r="Q827" s="37">
        <f>IF(N827=0,"NO AUG TRANSACTION IN SUPPLIED EXTRACT",IF(ABS(P827)&gt;0.004,"SUBLEDGER ARITHMETIC ERROR",IF(ABS(M827)&gt;0.004,"BILLING VARIANCE","MATCH")))</f>
        <v/>
      </c>
    </row>
    <row r="828">
      <c r="A828" s="37" t="inlineStr">
        <is>
          <t>GW-0716</t>
        </is>
      </c>
      <c r="B828" s="37" t="inlineStr">
        <is>
          <t>Gullwing</t>
        </is>
      </c>
      <c r="C828" s="37" t="inlineStr">
        <is>
          <t>OPEN</t>
        </is>
      </c>
      <c r="D828" s="37" t="inlineStr">
        <is>
          <t>OCCUPIED</t>
        </is>
      </c>
      <c r="E828" s="37" t="inlineStr">
        <is>
          <t>WL-02814</t>
        </is>
      </c>
      <c r="F828" s="37" t="inlineStr">
        <is>
          <t>John Hammond</t>
        </is>
      </c>
      <c r="G828" s="37" t="n">
        <v>24</v>
      </c>
      <c r="H828" s="39" t="n">
        <v>27.9</v>
      </c>
      <c r="I828" s="40">
        <f>ROUNDUP(MAX(G828,H828),0)</f>
        <v/>
      </c>
      <c r="J828" s="41">
        <f>IF(C828="COVERED",'Methodology'!$B$9,'Methodology'!$B$10)</f>
        <v/>
      </c>
      <c r="K828" s="41">
        <f>I828*J828</f>
        <v/>
      </c>
      <c r="L828" s="41">
        <f>SUMIFS('Billing Aug'!$J$2:$J$770,'Billing Aug'!$D$2:$D$770,A828)</f>
        <v/>
      </c>
      <c r="M828" s="41">
        <f>L828-K828</f>
        <v/>
      </c>
      <c r="N828" s="37">
        <f>COUNTIF('Billing Aug'!$D$2:$D$770,A828)</f>
        <v/>
      </c>
      <c r="O828" s="37">
        <f>SUMIFS('Billing Aug'!$F$2:$F$770,'Billing Aug'!$D$2:$D$770,A828)</f>
        <v/>
      </c>
      <c r="P828" s="41">
        <f>IF(N828=0,0,L828-SUMIFS('Billing Aug'!$H$2:$H$770,'Billing Aug'!$D$2:$D$770,A828)*SUMIFS('Billing Aug'!$I$2:$I$770,'Billing Aug'!$D$2:$D$770,A828))</f>
        <v/>
      </c>
      <c r="Q828" s="37">
        <f>IF(N828=0,"NO AUG TRANSACTION IN SUPPLIED EXTRACT",IF(ABS(P828)&gt;0.004,"SUBLEDGER ARITHMETIC ERROR",IF(ABS(M828)&gt;0.004,"BILLING VARIANCE","MATCH")))</f>
        <v/>
      </c>
    </row>
    <row r="829">
      <c r="A829" s="37" t="inlineStr">
        <is>
          <t>GW-0717</t>
        </is>
      </c>
      <c r="B829" s="37" t="inlineStr">
        <is>
          <t>Gullwing</t>
        </is>
      </c>
      <c r="C829" s="37" t="inlineStr">
        <is>
          <t>OPEN</t>
        </is>
      </c>
      <c r="D829" s="37" t="inlineStr">
        <is>
          <t>OCCUPIED</t>
        </is>
      </c>
      <c r="E829" s="37" t="inlineStr">
        <is>
          <t>WL-01882</t>
        </is>
      </c>
      <c r="F829" s="37" t="inlineStr">
        <is>
          <t>Dennis Shepard</t>
        </is>
      </c>
      <c r="G829" s="37" t="n">
        <v>60</v>
      </c>
      <c r="H829" s="39" t="n">
        <v>49.7</v>
      </c>
      <c r="I829" s="40">
        <f>ROUNDUP(MAX(G829,H829),0)</f>
        <v/>
      </c>
      <c r="J829" s="41">
        <f>IF(C829="COVERED",'Methodology'!$B$9,'Methodology'!$B$10)</f>
        <v/>
      </c>
      <c r="K829" s="41">
        <f>I829*J829</f>
        <v/>
      </c>
      <c r="L829" s="41">
        <f>SUMIFS('Billing Aug'!$J$2:$J$770,'Billing Aug'!$D$2:$D$770,A829)</f>
        <v/>
      </c>
      <c r="M829" s="41">
        <f>L829-K829</f>
        <v/>
      </c>
      <c r="N829" s="37">
        <f>COUNTIF('Billing Aug'!$D$2:$D$770,A829)</f>
        <v/>
      </c>
      <c r="O829" s="37">
        <f>SUMIFS('Billing Aug'!$F$2:$F$770,'Billing Aug'!$D$2:$D$770,A829)</f>
        <v/>
      </c>
      <c r="P829" s="41">
        <f>IF(N829=0,0,L829-SUMIFS('Billing Aug'!$H$2:$H$770,'Billing Aug'!$D$2:$D$770,A829)*SUMIFS('Billing Aug'!$I$2:$I$770,'Billing Aug'!$D$2:$D$770,A829))</f>
        <v/>
      </c>
      <c r="Q829" s="37">
        <f>IF(N829=0,"NO AUG TRANSACTION IN SUPPLIED EXTRACT",IF(ABS(P829)&gt;0.004,"SUBLEDGER ARITHMETIC ERROR",IF(ABS(M829)&gt;0.004,"BILLING VARIANCE","MATCH")))</f>
        <v/>
      </c>
    </row>
    <row r="830">
      <c r="A830" s="37" t="inlineStr">
        <is>
          <t>GW-0719</t>
        </is>
      </c>
      <c r="B830" s="37" t="inlineStr">
        <is>
          <t>Gullwing</t>
        </is>
      </c>
      <c r="C830" s="37" t="inlineStr">
        <is>
          <t>OPEN</t>
        </is>
      </c>
      <c r="D830" s="37" t="inlineStr">
        <is>
          <t>OCCUPIED</t>
        </is>
      </c>
      <c r="E830" s="37" t="inlineStr">
        <is>
          <t>WL-03504</t>
        </is>
      </c>
      <c r="F830" s="37" t="inlineStr">
        <is>
          <t>Paul Brady</t>
        </is>
      </c>
      <c r="G830" s="37" t="n">
        <v>50</v>
      </c>
      <c r="H830" s="39" t="n">
        <v>42</v>
      </c>
      <c r="I830" s="40">
        <f>ROUNDUP(MAX(G830,H830),0)</f>
        <v/>
      </c>
      <c r="J830" s="41">
        <f>IF(C830="COVERED",'Methodology'!$B$9,'Methodology'!$B$10)</f>
        <v/>
      </c>
      <c r="K830" s="41">
        <f>I830*J830</f>
        <v/>
      </c>
      <c r="L830" s="41">
        <f>SUMIFS('Billing Aug'!$J$2:$J$770,'Billing Aug'!$D$2:$D$770,A830)</f>
        <v/>
      </c>
      <c r="M830" s="41">
        <f>L830-K830</f>
        <v/>
      </c>
      <c r="N830" s="37">
        <f>COUNTIF('Billing Aug'!$D$2:$D$770,A830)</f>
        <v/>
      </c>
      <c r="O830" s="37">
        <f>SUMIFS('Billing Aug'!$F$2:$F$770,'Billing Aug'!$D$2:$D$770,A830)</f>
        <v/>
      </c>
      <c r="P830" s="41">
        <f>IF(N830=0,0,L830-SUMIFS('Billing Aug'!$H$2:$H$770,'Billing Aug'!$D$2:$D$770,A830)*SUMIFS('Billing Aug'!$I$2:$I$770,'Billing Aug'!$D$2:$D$770,A830))</f>
        <v/>
      </c>
      <c r="Q830" s="37">
        <f>IF(N830=0,"NO AUG TRANSACTION IN SUPPLIED EXTRACT",IF(ABS(P830)&gt;0.004,"SUBLEDGER ARITHMETIC ERROR",IF(ABS(M830)&gt;0.004,"BILLING VARIANCE","MATCH")))</f>
        <v/>
      </c>
    </row>
    <row r="831">
      <c r="A831" s="37" t="inlineStr">
        <is>
          <t>GW-0720</t>
        </is>
      </c>
      <c r="B831" s="37" t="inlineStr">
        <is>
          <t>Gullwing</t>
        </is>
      </c>
      <c r="C831" s="37" t="inlineStr">
        <is>
          <t>OPEN</t>
        </is>
      </c>
      <c r="D831" s="37" t="inlineStr">
        <is>
          <t>OCCUPIED</t>
        </is>
      </c>
      <c r="E831" s="37" t="inlineStr">
        <is>
          <t>WL-03312</t>
        </is>
      </c>
      <c r="F831" s="37" t="inlineStr">
        <is>
          <t>Karla Thomas</t>
        </is>
      </c>
      <c r="G831" s="37" t="n">
        <v>50</v>
      </c>
      <c r="H831" s="39" t="n">
        <v>37.4</v>
      </c>
      <c r="I831" s="40">
        <f>ROUNDUP(MAX(G831,H831),0)</f>
        <v/>
      </c>
      <c r="J831" s="41">
        <f>IF(C831="COVERED",'Methodology'!$B$9,'Methodology'!$B$10)</f>
        <v/>
      </c>
      <c r="K831" s="41">
        <f>I831*J831</f>
        <v/>
      </c>
      <c r="L831" s="41">
        <f>SUMIFS('Billing Aug'!$J$2:$J$770,'Billing Aug'!$D$2:$D$770,A831)</f>
        <v/>
      </c>
      <c r="M831" s="41">
        <f>L831-K831</f>
        <v/>
      </c>
      <c r="N831" s="37">
        <f>COUNTIF('Billing Aug'!$D$2:$D$770,A831)</f>
        <v/>
      </c>
      <c r="O831" s="37">
        <f>SUMIFS('Billing Aug'!$F$2:$F$770,'Billing Aug'!$D$2:$D$770,A831)</f>
        <v/>
      </c>
      <c r="P831" s="41">
        <f>IF(N831=0,0,L831-SUMIFS('Billing Aug'!$H$2:$H$770,'Billing Aug'!$D$2:$D$770,A831)*SUMIFS('Billing Aug'!$I$2:$I$770,'Billing Aug'!$D$2:$D$770,A831))</f>
        <v/>
      </c>
      <c r="Q831" s="37">
        <f>IF(N831=0,"NO AUG TRANSACTION IN SUPPLIED EXTRACT",IF(ABS(P831)&gt;0.004,"SUBLEDGER ARITHMETIC ERROR",IF(ABS(M831)&gt;0.004,"BILLING VARIANCE","MATCH")))</f>
        <v/>
      </c>
    </row>
    <row r="832">
      <c r="A832" s="37" t="inlineStr">
        <is>
          <t>GW-0721</t>
        </is>
      </c>
      <c r="B832" s="37" t="inlineStr">
        <is>
          <t>Gullwing</t>
        </is>
      </c>
      <c r="C832" s="37" t="inlineStr">
        <is>
          <t>OPEN</t>
        </is>
      </c>
      <c r="D832" s="37" t="inlineStr">
        <is>
          <t>OCCUPIED</t>
        </is>
      </c>
      <c r="E832" s="37" t="inlineStr">
        <is>
          <t>WL-03215</t>
        </is>
      </c>
      <c r="F832" s="37" t="inlineStr">
        <is>
          <t>Eric Simmons</t>
        </is>
      </c>
      <c r="G832" s="37" t="n">
        <v>50</v>
      </c>
      <c r="H832" s="39" t="n">
        <v>59.7</v>
      </c>
      <c r="I832" s="40">
        <f>ROUNDUP(MAX(G832,H832),0)</f>
        <v/>
      </c>
      <c r="J832" s="41">
        <f>IF(C832="COVERED",'Methodology'!$B$9,'Methodology'!$B$10)</f>
        <v/>
      </c>
      <c r="K832" s="41">
        <f>I832*J832</f>
        <v/>
      </c>
      <c r="L832" s="41">
        <f>SUMIFS('Billing Aug'!$J$2:$J$770,'Billing Aug'!$D$2:$D$770,A832)</f>
        <v/>
      </c>
      <c r="M832" s="41">
        <f>L832-K832</f>
        <v/>
      </c>
      <c r="N832" s="37">
        <f>COUNTIF('Billing Aug'!$D$2:$D$770,A832)</f>
        <v/>
      </c>
      <c r="O832" s="37">
        <f>SUMIFS('Billing Aug'!$F$2:$F$770,'Billing Aug'!$D$2:$D$770,A832)</f>
        <v/>
      </c>
      <c r="P832" s="41">
        <f>IF(N832=0,0,L832-SUMIFS('Billing Aug'!$H$2:$H$770,'Billing Aug'!$D$2:$D$770,A832)*SUMIFS('Billing Aug'!$I$2:$I$770,'Billing Aug'!$D$2:$D$770,A832))</f>
        <v/>
      </c>
      <c r="Q832" s="37">
        <f>IF(N832=0,"NO AUG TRANSACTION IN SUPPLIED EXTRACT",IF(ABS(P832)&gt;0.004,"SUBLEDGER ARITHMETIC ERROR",IF(ABS(M832)&gt;0.004,"BILLING VARIANCE","MATCH")))</f>
        <v/>
      </c>
    </row>
    <row r="833">
      <c r="A833" s="37" t="inlineStr">
        <is>
          <t>GW-0722</t>
        </is>
      </c>
      <c r="B833" s="37" t="inlineStr">
        <is>
          <t>Gullwing</t>
        </is>
      </c>
      <c r="C833" s="37" t="inlineStr">
        <is>
          <t>OPEN</t>
        </is>
      </c>
      <c r="D833" s="37" t="inlineStr">
        <is>
          <t>OCCUPIED</t>
        </is>
      </c>
      <c r="E833" s="37" t="inlineStr">
        <is>
          <t>WL-01180</t>
        </is>
      </c>
      <c r="F833" s="37" t="inlineStr">
        <is>
          <t>Rachel Smith</t>
        </is>
      </c>
      <c r="G833" s="37" t="n">
        <v>32</v>
      </c>
      <c r="H833" s="39" t="n">
        <v>39.4</v>
      </c>
      <c r="I833" s="40">
        <f>ROUNDUP(MAX(G833,H833),0)</f>
        <v/>
      </c>
      <c r="J833" s="41">
        <f>IF(C833="COVERED",'Methodology'!$B$9,'Methodology'!$B$10)</f>
        <v/>
      </c>
      <c r="K833" s="41">
        <f>I833*J833</f>
        <v/>
      </c>
      <c r="L833" s="41">
        <f>SUMIFS('Billing Aug'!$J$2:$J$770,'Billing Aug'!$D$2:$D$770,A833)</f>
        <v/>
      </c>
      <c r="M833" s="41">
        <f>L833-K833</f>
        <v/>
      </c>
      <c r="N833" s="37">
        <f>COUNTIF('Billing Aug'!$D$2:$D$770,A833)</f>
        <v/>
      </c>
      <c r="O833" s="37">
        <f>SUMIFS('Billing Aug'!$F$2:$F$770,'Billing Aug'!$D$2:$D$770,A833)</f>
        <v/>
      </c>
      <c r="P833" s="41">
        <f>IF(N833=0,0,L833-SUMIFS('Billing Aug'!$H$2:$H$770,'Billing Aug'!$D$2:$D$770,A833)*SUMIFS('Billing Aug'!$I$2:$I$770,'Billing Aug'!$D$2:$D$770,A833))</f>
        <v/>
      </c>
      <c r="Q833" s="37">
        <f>IF(N833=0,"NO AUG TRANSACTION IN SUPPLIED EXTRACT",IF(ABS(P833)&gt;0.004,"SUBLEDGER ARITHMETIC ERROR",IF(ABS(M833)&gt;0.004,"BILLING VARIANCE","MATCH")))</f>
        <v/>
      </c>
    </row>
    <row r="834">
      <c r="A834" s="37" t="inlineStr">
        <is>
          <t>GW-0723</t>
        </is>
      </c>
      <c r="B834" s="37" t="inlineStr">
        <is>
          <t>Gullwing</t>
        </is>
      </c>
      <c r="C834" s="37" t="inlineStr">
        <is>
          <t>OPEN</t>
        </is>
      </c>
      <c r="D834" s="37" t="inlineStr">
        <is>
          <t>OCCUPIED</t>
        </is>
      </c>
      <c r="E834" s="37" t="inlineStr">
        <is>
          <t>WL-01389</t>
        </is>
      </c>
      <c r="F834" s="37" t="inlineStr">
        <is>
          <t>Brian White</t>
        </is>
      </c>
      <c r="G834" s="37" t="n">
        <v>45</v>
      </c>
      <c r="H834" s="39" t="n">
        <v>37</v>
      </c>
      <c r="I834" s="40">
        <f>ROUNDUP(MAX(G834,H834),0)</f>
        <v/>
      </c>
      <c r="J834" s="41">
        <f>IF(C834="COVERED",'Methodology'!$B$9,'Methodology'!$B$10)</f>
        <v/>
      </c>
      <c r="K834" s="41">
        <f>I834*J834</f>
        <v/>
      </c>
      <c r="L834" s="41">
        <f>SUMIFS('Billing Aug'!$J$2:$J$770,'Billing Aug'!$D$2:$D$770,A834)</f>
        <v/>
      </c>
      <c r="M834" s="41">
        <f>L834-K834</f>
        <v/>
      </c>
      <c r="N834" s="37">
        <f>COUNTIF('Billing Aug'!$D$2:$D$770,A834)</f>
        <v/>
      </c>
      <c r="O834" s="37">
        <f>SUMIFS('Billing Aug'!$F$2:$F$770,'Billing Aug'!$D$2:$D$770,A834)</f>
        <v/>
      </c>
      <c r="P834" s="41">
        <f>IF(N834=0,0,L834-SUMIFS('Billing Aug'!$H$2:$H$770,'Billing Aug'!$D$2:$D$770,A834)*SUMIFS('Billing Aug'!$I$2:$I$770,'Billing Aug'!$D$2:$D$770,A834))</f>
        <v/>
      </c>
      <c r="Q834" s="37">
        <f>IF(N834=0,"NO AUG TRANSACTION IN SUPPLIED EXTRACT",IF(ABS(P834)&gt;0.004,"SUBLEDGER ARITHMETIC ERROR",IF(ABS(M834)&gt;0.004,"BILLING VARIANCE","MATCH")))</f>
        <v/>
      </c>
    </row>
    <row r="835">
      <c r="A835" s="37" t="inlineStr">
        <is>
          <t>GW-0802</t>
        </is>
      </c>
      <c r="B835" s="37" t="inlineStr">
        <is>
          <t>Gullwing</t>
        </is>
      </c>
      <c r="C835" s="37" t="inlineStr">
        <is>
          <t>OPEN</t>
        </is>
      </c>
      <c r="D835" s="37" t="inlineStr">
        <is>
          <t>OCCUPIED</t>
        </is>
      </c>
      <c r="E835" s="37" t="inlineStr">
        <is>
          <t>WL-01314</t>
        </is>
      </c>
      <c r="F835" s="37" t="inlineStr">
        <is>
          <t>Bobby Peterson</t>
        </is>
      </c>
      <c r="G835" s="37" t="n">
        <v>45</v>
      </c>
      <c r="H835" s="39" t="n">
        <v>46.2</v>
      </c>
      <c r="I835" s="40">
        <f>ROUNDUP(MAX(G835,H835),0)</f>
        <v/>
      </c>
      <c r="J835" s="41">
        <f>IF(C835="COVERED",'Methodology'!$B$9,'Methodology'!$B$10)</f>
        <v/>
      </c>
      <c r="K835" s="41">
        <f>I835*J835</f>
        <v/>
      </c>
      <c r="L835" s="41">
        <f>SUMIFS('Billing Aug'!$J$2:$J$770,'Billing Aug'!$D$2:$D$770,A835)</f>
        <v/>
      </c>
      <c r="M835" s="41">
        <f>L835-K835</f>
        <v/>
      </c>
      <c r="N835" s="37">
        <f>COUNTIF('Billing Aug'!$D$2:$D$770,A835)</f>
        <v/>
      </c>
      <c r="O835" s="37">
        <f>SUMIFS('Billing Aug'!$F$2:$F$770,'Billing Aug'!$D$2:$D$770,A835)</f>
        <v/>
      </c>
      <c r="P835" s="41">
        <f>IF(N835=0,0,L835-SUMIFS('Billing Aug'!$H$2:$H$770,'Billing Aug'!$D$2:$D$770,A835)*SUMIFS('Billing Aug'!$I$2:$I$770,'Billing Aug'!$D$2:$D$770,A835))</f>
        <v/>
      </c>
      <c r="Q835" s="37">
        <f>IF(N835=0,"NO AUG TRANSACTION IN SUPPLIED EXTRACT",IF(ABS(P835)&gt;0.004,"SUBLEDGER ARITHMETIC ERROR",IF(ABS(M835)&gt;0.004,"BILLING VARIANCE","MATCH")))</f>
        <v/>
      </c>
    </row>
    <row r="836">
      <c r="A836" s="37" t="inlineStr">
        <is>
          <t>GW-0803</t>
        </is>
      </c>
      <c r="B836" s="37" t="inlineStr">
        <is>
          <t>Gullwing</t>
        </is>
      </c>
      <c r="C836" s="37" t="inlineStr">
        <is>
          <t>OPEN</t>
        </is>
      </c>
      <c r="D836" s="37" t="inlineStr">
        <is>
          <t>OCCUPIED</t>
        </is>
      </c>
      <c r="E836" s="37" t="inlineStr">
        <is>
          <t>WL-01235</t>
        </is>
      </c>
      <c r="F836" s="37" t="inlineStr">
        <is>
          <t>Stacy Wilkins</t>
        </is>
      </c>
      <c r="G836" s="37" t="n">
        <v>45</v>
      </c>
      <c r="H836" s="39" t="n">
        <v>59.8</v>
      </c>
      <c r="I836" s="40">
        <f>ROUNDUP(MAX(G836,H836),0)</f>
        <v/>
      </c>
      <c r="J836" s="41">
        <f>IF(C836="COVERED",'Methodology'!$B$9,'Methodology'!$B$10)</f>
        <v/>
      </c>
      <c r="K836" s="41">
        <f>I836*J836</f>
        <v/>
      </c>
      <c r="L836" s="41">
        <f>SUMIFS('Billing Aug'!$J$2:$J$770,'Billing Aug'!$D$2:$D$770,A836)</f>
        <v/>
      </c>
      <c r="M836" s="41">
        <f>L836-K836</f>
        <v/>
      </c>
      <c r="N836" s="37">
        <f>COUNTIF('Billing Aug'!$D$2:$D$770,A836)</f>
        <v/>
      </c>
      <c r="O836" s="37">
        <f>SUMIFS('Billing Aug'!$F$2:$F$770,'Billing Aug'!$D$2:$D$770,A836)</f>
        <v/>
      </c>
      <c r="P836" s="41">
        <f>IF(N836=0,0,L836-SUMIFS('Billing Aug'!$H$2:$H$770,'Billing Aug'!$D$2:$D$770,A836)*SUMIFS('Billing Aug'!$I$2:$I$770,'Billing Aug'!$D$2:$D$770,A836))</f>
        <v/>
      </c>
      <c r="Q836" s="37">
        <f>IF(N836=0,"NO AUG TRANSACTION IN SUPPLIED EXTRACT",IF(ABS(P836)&gt;0.004,"SUBLEDGER ARITHMETIC ERROR",IF(ABS(M836)&gt;0.004,"BILLING VARIANCE","MATCH")))</f>
        <v/>
      </c>
    </row>
    <row r="837">
      <c r="A837" s="37" t="inlineStr">
        <is>
          <t>GW-0804</t>
        </is>
      </c>
      <c r="B837" s="37" t="inlineStr">
        <is>
          <t>Gullwing</t>
        </is>
      </c>
      <c r="C837" s="37" t="inlineStr">
        <is>
          <t>OPEN</t>
        </is>
      </c>
      <c r="D837" s="37" t="inlineStr">
        <is>
          <t>OCCUPIED</t>
        </is>
      </c>
      <c r="E837" s="37" t="inlineStr">
        <is>
          <t>WL-01915</t>
        </is>
      </c>
      <c r="F837" s="37" t="inlineStr">
        <is>
          <t>Sara Fox</t>
        </is>
      </c>
      <c r="G837" s="37" t="n">
        <v>40</v>
      </c>
      <c r="H837" s="39" t="n">
        <v>31.6</v>
      </c>
      <c r="I837" s="40">
        <f>ROUNDUP(MAX(G837,H837),0)</f>
        <v/>
      </c>
      <c r="J837" s="41">
        <f>IF(C837="COVERED",'Methodology'!$B$9,'Methodology'!$B$10)</f>
        <v/>
      </c>
      <c r="K837" s="41">
        <f>I837*J837</f>
        <v/>
      </c>
      <c r="L837" s="41">
        <f>SUMIFS('Billing Aug'!$J$2:$J$770,'Billing Aug'!$D$2:$D$770,A837)</f>
        <v/>
      </c>
      <c r="M837" s="41">
        <f>L837-K837</f>
        <v/>
      </c>
      <c r="N837" s="37">
        <f>COUNTIF('Billing Aug'!$D$2:$D$770,A837)</f>
        <v/>
      </c>
      <c r="O837" s="37">
        <f>SUMIFS('Billing Aug'!$F$2:$F$770,'Billing Aug'!$D$2:$D$770,A837)</f>
        <v/>
      </c>
      <c r="P837" s="41">
        <f>IF(N837=0,0,L837-SUMIFS('Billing Aug'!$H$2:$H$770,'Billing Aug'!$D$2:$D$770,A837)*SUMIFS('Billing Aug'!$I$2:$I$770,'Billing Aug'!$D$2:$D$770,A837))</f>
        <v/>
      </c>
      <c r="Q837" s="37">
        <f>IF(N837=0,"NO AUG TRANSACTION IN SUPPLIED EXTRACT",IF(ABS(P837)&gt;0.004,"SUBLEDGER ARITHMETIC ERROR",IF(ABS(M837)&gt;0.004,"BILLING VARIANCE","MATCH")))</f>
        <v/>
      </c>
    </row>
    <row r="838">
      <c r="A838" s="37" t="inlineStr">
        <is>
          <t>GW-0805</t>
        </is>
      </c>
      <c r="B838" s="37" t="inlineStr">
        <is>
          <t>Gullwing</t>
        </is>
      </c>
      <c r="C838" s="37" t="inlineStr">
        <is>
          <t>OPEN</t>
        </is>
      </c>
      <c r="D838" s="37" t="inlineStr">
        <is>
          <t>OCCUPIED</t>
        </is>
      </c>
      <c r="E838" s="37" t="inlineStr">
        <is>
          <t>WL-03828</t>
        </is>
      </c>
      <c r="F838" s="37" t="inlineStr">
        <is>
          <t>Kristen Pittman</t>
        </is>
      </c>
      <c r="G838" s="37" t="n">
        <v>28</v>
      </c>
      <c r="H838" s="39" t="n">
        <v>38.3</v>
      </c>
      <c r="I838" s="40">
        <f>ROUNDUP(MAX(G838,H838),0)</f>
        <v/>
      </c>
      <c r="J838" s="41">
        <f>IF(C838="COVERED",'Methodology'!$B$9,'Methodology'!$B$10)</f>
        <v/>
      </c>
      <c r="K838" s="41">
        <f>I838*J838</f>
        <v/>
      </c>
      <c r="L838" s="41">
        <f>SUMIFS('Billing Aug'!$J$2:$J$770,'Billing Aug'!$D$2:$D$770,A838)</f>
        <v/>
      </c>
      <c r="M838" s="41">
        <f>L838-K838</f>
        <v/>
      </c>
      <c r="N838" s="37">
        <f>COUNTIF('Billing Aug'!$D$2:$D$770,A838)</f>
        <v/>
      </c>
      <c r="O838" s="37">
        <f>SUMIFS('Billing Aug'!$F$2:$F$770,'Billing Aug'!$D$2:$D$770,A838)</f>
        <v/>
      </c>
      <c r="P838" s="41">
        <f>IF(N838=0,0,L838-SUMIFS('Billing Aug'!$H$2:$H$770,'Billing Aug'!$D$2:$D$770,A838)*SUMIFS('Billing Aug'!$I$2:$I$770,'Billing Aug'!$D$2:$D$770,A838))</f>
        <v/>
      </c>
      <c r="Q838" s="37">
        <f>IF(N838=0,"NO AUG TRANSACTION IN SUPPLIED EXTRACT",IF(ABS(P838)&gt;0.004,"SUBLEDGER ARITHMETIC ERROR",IF(ABS(M838)&gt;0.004,"BILLING VARIANCE","MATCH")))</f>
        <v/>
      </c>
    </row>
    <row r="839">
      <c r="A839" s="37" t="inlineStr">
        <is>
          <t>GW-0806</t>
        </is>
      </c>
      <c r="B839" s="37" t="inlineStr">
        <is>
          <t>Gullwing</t>
        </is>
      </c>
      <c r="C839" s="37" t="inlineStr">
        <is>
          <t>OPEN</t>
        </is>
      </c>
      <c r="D839" s="37" t="inlineStr">
        <is>
          <t>OCCUPIED</t>
        </is>
      </c>
      <c r="E839" s="37" t="inlineStr">
        <is>
          <t>WL-03113</t>
        </is>
      </c>
      <c r="F839" s="37" t="inlineStr">
        <is>
          <t>Dale Martin</t>
        </is>
      </c>
      <c r="G839" s="37" t="n">
        <v>36</v>
      </c>
      <c r="H839" s="39" t="n">
        <v>55.4</v>
      </c>
      <c r="I839" s="40">
        <f>ROUNDUP(MAX(G839,H839),0)</f>
        <v/>
      </c>
      <c r="J839" s="41">
        <f>IF(C839="COVERED",'Methodology'!$B$9,'Methodology'!$B$10)</f>
        <v/>
      </c>
      <c r="K839" s="41">
        <f>I839*J839</f>
        <v/>
      </c>
      <c r="L839" s="41">
        <f>SUMIFS('Billing Aug'!$J$2:$J$770,'Billing Aug'!$D$2:$D$770,A839)</f>
        <v/>
      </c>
      <c r="M839" s="41">
        <f>L839-K839</f>
        <v/>
      </c>
      <c r="N839" s="37">
        <f>COUNTIF('Billing Aug'!$D$2:$D$770,A839)</f>
        <v/>
      </c>
      <c r="O839" s="37">
        <f>SUMIFS('Billing Aug'!$F$2:$F$770,'Billing Aug'!$D$2:$D$770,A839)</f>
        <v/>
      </c>
      <c r="P839" s="41">
        <f>IF(N839=0,0,L839-SUMIFS('Billing Aug'!$H$2:$H$770,'Billing Aug'!$D$2:$D$770,A839)*SUMIFS('Billing Aug'!$I$2:$I$770,'Billing Aug'!$D$2:$D$770,A839))</f>
        <v/>
      </c>
      <c r="Q839" s="37">
        <f>IF(N839=0,"NO AUG TRANSACTION IN SUPPLIED EXTRACT",IF(ABS(P839)&gt;0.004,"SUBLEDGER ARITHMETIC ERROR",IF(ABS(M839)&gt;0.004,"BILLING VARIANCE","MATCH")))</f>
        <v/>
      </c>
    </row>
    <row r="840">
      <c r="A840" s="37" t="inlineStr">
        <is>
          <t>GW-0807</t>
        </is>
      </c>
      <c r="B840" s="37" t="inlineStr">
        <is>
          <t>Gullwing</t>
        </is>
      </c>
      <c r="C840" s="37" t="inlineStr">
        <is>
          <t>OPEN</t>
        </is>
      </c>
      <c r="D840" s="37" t="inlineStr">
        <is>
          <t>OCCUPIED</t>
        </is>
      </c>
      <c r="E840" s="37" t="inlineStr">
        <is>
          <t>WL-01110</t>
        </is>
      </c>
      <c r="F840" s="37" t="inlineStr">
        <is>
          <t>Ryan Jones</t>
        </is>
      </c>
      <c r="G840" s="37" t="n">
        <v>45</v>
      </c>
      <c r="H840" s="39" t="n">
        <v>57.4</v>
      </c>
      <c r="I840" s="40">
        <f>ROUNDUP(MAX(G840,H840),0)</f>
        <v/>
      </c>
      <c r="J840" s="41">
        <f>IF(C840="COVERED",'Methodology'!$B$9,'Methodology'!$B$10)</f>
        <v/>
      </c>
      <c r="K840" s="41">
        <f>I840*J840</f>
        <v/>
      </c>
      <c r="L840" s="41">
        <f>SUMIFS('Billing Aug'!$J$2:$J$770,'Billing Aug'!$D$2:$D$770,A840)</f>
        <v/>
      </c>
      <c r="M840" s="41">
        <f>L840-K840</f>
        <v/>
      </c>
      <c r="N840" s="37">
        <f>COUNTIF('Billing Aug'!$D$2:$D$770,A840)</f>
        <v/>
      </c>
      <c r="O840" s="37">
        <f>SUMIFS('Billing Aug'!$F$2:$F$770,'Billing Aug'!$D$2:$D$770,A840)</f>
        <v/>
      </c>
      <c r="P840" s="41">
        <f>IF(N840=0,0,L840-SUMIFS('Billing Aug'!$H$2:$H$770,'Billing Aug'!$D$2:$D$770,A840)*SUMIFS('Billing Aug'!$I$2:$I$770,'Billing Aug'!$D$2:$D$770,A840))</f>
        <v/>
      </c>
      <c r="Q840" s="37">
        <f>IF(N840=0,"NO AUG TRANSACTION IN SUPPLIED EXTRACT",IF(ABS(P840)&gt;0.004,"SUBLEDGER ARITHMETIC ERROR",IF(ABS(M840)&gt;0.004,"BILLING VARIANCE","MATCH")))</f>
        <v/>
      </c>
    </row>
    <row r="841">
      <c r="A841" s="37" t="inlineStr">
        <is>
          <t>GW-0808</t>
        </is>
      </c>
      <c r="B841" s="37" t="inlineStr">
        <is>
          <t>Gullwing</t>
        </is>
      </c>
      <c r="C841" s="37" t="inlineStr">
        <is>
          <t>OPEN</t>
        </is>
      </c>
      <c r="D841" s="37" t="inlineStr">
        <is>
          <t>OCCUPIED</t>
        </is>
      </c>
      <c r="E841" s="37" t="inlineStr">
        <is>
          <t>WL-02125</t>
        </is>
      </c>
      <c r="F841" s="37" t="inlineStr">
        <is>
          <t>Fred Powell</t>
        </is>
      </c>
      <c r="G841" s="37" t="n">
        <v>28</v>
      </c>
      <c r="H841" s="39" t="n">
        <v>43.1</v>
      </c>
      <c r="I841" s="40">
        <f>ROUNDUP(MAX(G841,H841),0)</f>
        <v/>
      </c>
      <c r="J841" s="41">
        <f>IF(C841="COVERED",'Methodology'!$B$9,'Methodology'!$B$10)</f>
        <v/>
      </c>
      <c r="K841" s="41">
        <f>I841*J841</f>
        <v/>
      </c>
      <c r="L841" s="41">
        <f>SUMIFS('Billing Aug'!$J$2:$J$770,'Billing Aug'!$D$2:$D$770,A841)</f>
        <v/>
      </c>
      <c r="M841" s="41">
        <f>L841-K841</f>
        <v/>
      </c>
      <c r="N841" s="37">
        <f>COUNTIF('Billing Aug'!$D$2:$D$770,A841)</f>
        <v/>
      </c>
      <c r="O841" s="37">
        <f>SUMIFS('Billing Aug'!$F$2:$F$770,'Billing Aug'!$D$2:$D$770,A841)</f>
        <v/>
      </c>
      <c r="P841" s="41">
        <f>IF(N841=0,0,L841-SUMIFS('Billing Aug'!$H$2:$H$770,'Billing Aug'!$D$2:$D$770,A841)*SUMIFS('Billing Aug'!$I$2:$I$770,'Billing Aug'!$D$2:$D$770,A841))</f>
        <v/>
      </c>
      <c r="Q841" s="37">
        <f>IF(N841=0,"NO AUG TRANSACTION IN SUPPLIED EXTRACT",IF(ABS(P841)&gt;0.004,"SUBLEDGER ARITHMETIC ERROR",IF(ABS(M841)&gt;0.004,"BILLING VARIANCE","MATCH")))</f>
        <v/>
      </c>
    </row>
    <row r="842">
      <c r="A842" s="37" t="inlineStr">
        <is>
          <t>GW-0809</t>
        </is>
      </c>
      <c r="B842" s="37" t="inlineStr">
        <is>
          <t>Gullwing</t>
        </is>
      </c>
      <c r="C842" s="37" t="inlineStr">
        <is>
          <t>OPEN</t>
        </is>
      </c>
      <c r="D842" s="37" t="inlineStr">
        <is>
          <t>OCCUPIED</t>
        </is>
      </c>
      <c r="E842" s="37" t="inlineStr">
        <is>
          <t>WL-02028</t>
        </is>
      </c>
      <c r="F842" s="37" t="inlineStr">
        <is>
          <t>Stephanie Shepard</t>
        </is>
      </c>
      <c r="G842" s="37" t="n">
        <v>70</v>
      </c>
      <c r="H842" s="39" t="n">
        <v>29.2</v>
      </c>
      <c r="I842" s="40">
        <f>ROUNDUP(MAX(G842,H842),0)</f>
        <v/>
      </c>
      <c r="J842" s="41">
        <f>IF(C842="COVERED",'Methodology'!$B$9,'Methodology'!$B$10)</f>
        <v/>
      </c>
      <c r="K842" s="41">
        <f>I842*J842</f>
        <v/>
      </c>
      <c r="L842" s="41">
        <f>SUMIFS('Billing Aug'!$J$2:$J$770,'Billing Aug'!$D$2:$D$770,A842)</f>
        <v/>
      </c>
      <c r="M842" s="41">
        <f>L842-K842</f>
        <v/>
      </c>
      <c r="N842" s="37">
        <f>COUNTIF('Billing Aug'!$D$2:$D$770,A842)</f>
        <v/>
      </c>
      <c r="O842" s="37">
        <f>SUMIFS('Billing Aug'!$F$2:$F$770,'Billing Aug'!$D$2:$D$770,A842)</f>
        <v/>
      </c>
      <c r="P842" s="41">
        <f>IF(N842=0,0,L842-SUMIFS('Billing Aug'!$H$2:$H$770,'Billing Aug'!$D$2:$D$770,A842)*SUMIFS('Billing Aug'!$I$2:$I$770,'Billing Aug'!$D$2:$D$770,A842))</f>
        <v/>
      </c>
      <c r="Q842" s="37">
        <f>IF(N842=0,"NO AUG TRANSACTION IN SUPPLIED EXTRACT",IF(ABS(P842)&gt;0.004,"SUBLEDGER ARITHMETIC ERROR",IF(ABS(M842)&gt;0.004,"BILLING VARIANCE","MATCH")))</f>
        <v/>
      </c>
    </row>
    <row r="843">
      <c r="A843" s="37" t="inlineStr">
        <is>
          <t>GW-0810</t>
        </is>
      </c>
      <c r="B843" s="37" t="inlineStr">
        <is>
          <t>Gullwing</t>
        </is>
      </c>
      <c r="C843" s="37" t="inlineStr">
        <is>
          <t>OPEN</t>
        </is>
      </c>
      <c r="D843" s="37" t="inlineStr">
        <is>
          <t>OCCUPIED</t>
        </is>
      </c>
      <c r="E843" s="37" t="inlineStr">
        <is>
          <t>WL-03527</t>
        </is>
      </c>
      <c r="F843" s="37" t="inlineStr">
        <is>
          <t>Ashley Logan</t>
        </is>
      </c>
      <c r="G843" s="37" t="n">
        <v>70</v>
      </c>
      <c r="H843" s="39" t="n">
        <v>30.5</v>
      </c>
      <c r="I843" s="40">
        <f>ROUNDUP(MAX(G843,H843),0)</f>
        <v/>
      </c>
      <c r="J843" s="41">
        <f>IF(C843="COVERED",'Methodology'!$B$9,'Methodology'!$B$10)</f>
        <v/>
      </c>
      <c r="K843" s="41">
        <f>I843*J843</f>
        <v/>
      </c>
      <c r="L843" s="41">
        <f>SUMIFS('Billing Aug'!$J$2:$J$770,'Billing Aug'!$D$2:$D$770,A843)</f>
        <v/>
      </c>
      <c r="M843" s="41">
        <f>L843-K843</f>
        <v/>
      </c>
      <c r="N843" s="37">
        <f>COUNTIF('Billing Aug'!$D$2:$D$770,A843)</f>
        <v/>
      </c>
      <c r="O843" s="37">
        <f>SUMIFS('Billing Aug'!$F$2:$F$770,'Billing Aug'!$D$2:$D$770,A843)</f>
        <v/>
      </c>
      <c r="P843" s="41">
        <f>IF(N843=0,0,L843-SUMIFS('Billing Aug'!$H$2:$H$770,'Billing Aug'!$D$2:$D$770,A843)*SUMIFS('Billing Aug'!$I$2:$I$770,'Billing Aug'!$D$2:$D$770,A843))</f>
        <v/>
      </c>
      <c r="Q843" s="37">
        <f>IF(N843=0,"NO AUG TRANSACTION IN SUPPLIED EXTRACT",IF(ABS(P843)&gt;0.004,"SUBLEDGER ARITHMETIC ERROR",IF(ABS(M843)&gt;0.004,"BILLING VARIANCE","MATCH")))</f>
        <v/>
      </c>
    </row>
    <row r="844">
      <c r="A844" s="37" t="inlineStr">
        <is>
          <t>GW-0811</t>
        </is>
      </c>
      <c r="B844" s="37" t="inlineStr">
        <is>
          <t>Gullwing</t>
        </is>
      </c>
      <c r="C844" s="37" t="inlineStr">
        <is>
          <t>OPEN</t>
        </is>
      </c>
      <c r="D844" s="37" t="inlineStr">
        <is>
          <t>OCCUPIED</t>
        </is>
      </c>
      <c r="E844" s="37" t="inlineStr">
        <is>
          <t>WL-02325</t>
        </is>
      </c>
      <c r="F844" s="37" t="inlineStr">
        <is>
          <t>Lisa Brown</t>
        </is>
      </c>
      <c r="G844" s="37" t="n">
        <v>45</v>
      </c>
      <c r="H844" s="39" t="n">
        <v>34.6</v>
      </c>
      <c r="I844" s="40">
        <f>ROUNDUP(MAX(G844,H844),0)</f>
        <v/>
      </c>
      <c r="J844" s="41">
        <f>IF(C844="COVERED",'Methodology'!$B$9,'Methodology'!$B$10)</f>
        <v/>
      </c>
      <c r="K844" s="41">
        <f>I844*J844</f>
        <v/>
      </c>
      <c r="L844" s="41">
        <f>SUMIFS('Billing Aug'!$J$2:$J$770,'Billing Aug'!$D$2:$D$770,A844)</f>
        <v/>
      </c>
      <c r="M844" s="41">
        <f>L844-K844</f>
        <v/>
      </c>
      <c r="N844" s="37">
        <f>COUNTIF('Billing Aug'!$D$2:$D$770,A844)</f>
        <v/>
      </c>
      <c r="O844" s="37">
        <f>SUMIFS('Billing Aug'!$F$2:$F$770,'Billing Aug'!$D$2:$D$770,A844)</f>
        <v/>
      </c>
      <c r="P844" s="41">
        <f>IF(N844=0,0,L844-SUMIFS('Billing Aug'!$H$2:$H$770,'Billing Aug'!$D$2:$D$770,A844)*SUMIFS('Billing Aug'!$I$2:$I$770,'Billing Aug'!$D$2:$D$770,A844))</f>
        <v/>
      </c>
      <c r="Q844" s="37">
        <f>IF(N844=0,"NO AUG TRANSACTION IN SUPPLIED EXTRACT",IF(ABS(P844)&gt;0.004,"SUBLEDGER ARITHMETIC ERROR",IF(ABS(M844)&gt;0.004,"BILLING VARIANCE","MATCH")))</f>
        <v/>
      </c>
    </row>
    <row r="845">
      <c r="A845" s="37" t="inlineStr">
        <is>
          <t>GW-0812</t>
        </is>
      </c>
      <c r="B845" s="37" t="inlineStr">
        <is>
          <t>Gullwing</t>
        </is>
      </c>
      <c r="C845" s="37" t="inlineStr">
        <is>
          <t>OPEN</t>
        </is>
      </c>
      <c r="D845" s="37" t="inlineStr">
        <is>
          <t>OCCUPIED</t>
        </is>
      </c>
      <c r="E845" s="37" t="inlineStr">
        <is>
          <t>WL-02726</t>
        </is>
      </c>
      <c r="F845" s="37" t="inlineStr">
        <is>
          <t>Michelle Herman</t>
        </is>
      </c>
      <c r="G845" s="37" t="n">
        <v>28</v>
      </c>
      <c r="H845" s="39" t="n">
        <v>48.3</v>
      </c>
      <c r="I845" s="40">
        <f>ROUNDUP(MAX(G845,H845),0)</f>
        <v/>
      </c>
      <c r="J845" s="41">
        <f>IF(C845="COVERED",'Methodology'!$B$9,'Methodology'!$B$10)</f>
        <v/>
      </c>
      <c r="K845" s="41">
        <f>I845*J845</f>
        <v/>
      </c>
      <c r="L845" s="41">
        <f>SUMIFS('Billing Aug'!$J$2:$J$770,'Billing Aug'!$D$2:$D$770,A845)</f>
        <v/>
      </c>
      <c r="M845" s="41">
        <f>L845-K845</f>
        <v/>
      </c>
      <c r="N845" s="37">
        <f>COUNTIF('Billing Aug'!$D$2:$D$770,A845)</f>
        <v/>
      </c>
      <c r="O845" s="37">
        <f>SUMIFS('Billing Aug'!$F$2:$F$770,'Billing Aug'!$D$2:$D$770,A845)</f>
        <v/>
      </c>
      <c r="P845" s="41">
        <f>IF(N845=0,0,L845-SUMIFS('Billing Aug'!$H$2:$H$770,'Billing Aug'!$D$2:$D$770,A845)*SUMIFS('Billing Aug'!$I$2:$I$770,'Billing Aug'!$D$2:$D$770,A845))</f>
        <v/>
      </c>
      <c r="Q845" s="37">
        <f>IF(N845=0,"NO AUG TRANSACTION IN SUPPLIED EXTRACT",IF(ABS(P845)&gt;0.004,"SUBLEDGER ARITHMETIC ERROR",IF(ABS(M845)&gt;0.004,"BILLING VARIANCE","MATCH")))</f>
        <v/>
      </c>
    </row>
    <row r="846">
      <c r="A846" s="37" t="inlineStr">
        <is>
          <t>GW-0813</t>
        </is>
      </c>
      <c r="B846" s="37" t="inlineStr">
        <is>
          <t>Gullwing</t>
        </is>
      </c>
      <c r="C846" s="37" t="inlineStr">
        <is>
          <t>OPEN</t>
        </is>
      </c>
      <c r="D846" s="37" t="inlineStr">
        <is>
          <t>OCCUPIED</t>
        </is>
      </c>
      <c r="E846" s="37" t="inlineStr">
        <is>
          <t>WL-01147</t>
        </is>
      </c>
      <c r="F846" s="37" t="inlineStr">
        <is>
          <t>Rachel Burnett</t>
        </is>
      </c>
      <c r="G846" s="37" t="n">
        <v>28</v>
      </c>
      <c r="H846" s="39" t="n">
        <v>48.7</v>
      </c>
      <c r="I846" s="40">
        <f>ROUNDUP(MAX(G846,H846),0)</f>
        <v/>
      </c>
      <c r="J846" s="41">
        <f>IF(C846="COVERED",'Methodology'!$B$9,'Methodology'!$B$10)</f>
        <v/>
      </c>
      <c r="K846" s="41">
        <f>I846*J846</f>
        <v/>
      </c>
      <c r="L846" s="41">
        <f>SUMIFS('Billing Aug'!$J$2:$J$770,'Billing Aug'!$D$2:$D$770,A846)</f>
        <v/>
      </c>
      <c r="M846" s="41">
        <f>L846-K846</f>
        <v/>
      </c>
      <c r="N846" s="37">
        <f>COUNTIF('Billing Aug'!$D$2:$D$770,A846)</f>
        <v/>
      </c>
      <c r="O846" s="37">
        <f>SUMIFS('Billing Aug'!$F$2:$F$770,'Billing Aug'!$D$2:$D$770,A846)</f>
        <v/>
      </c>
      <c r="P846" s="41">
        <f>IF(N846=0,0,L846-SUMIFS('Billing Aug'!$H$2:$H$770,'Billing Aug'!$D$2:$D$770,A846)*SUMIFS('Billing Aug'!$I$2:$I$770,'Billing Aug'!$D$2:$D$770,A846))</f>
        <v/>
      </c>
      <c r="Q846" s="37">
        <f>IF(N846=0,"NO AUG TRANSACTION IN SUPPLIED EXTRACT",IF(ABS(P846)&gt;0.004,"SUBLEDGER ARITHMETIC ERROR",IF(ABS(M846)&gt;0.004,"BILLING VARIANCE","MATCH")))</f>
        <v/>
      </c>
    </row>
    <row r="847">
      <c r="A847" s="37" t="inlineStr">
        <is>
          <t>GW-0814</t>
        </is>
      </c>
      <c r="B847" s="37" t="inlineStr">
        <is>
          <t>Gullwing</t>
        </is>
      </c>
      <c r="C847" s="37" t="inlineStr">
        <is>
          <t>OPEN</t>
        </is>
      </c>
      <c r="D847" s="37" t="inlineStr">
        <is>
          <t>OCCUPIED</t>
        </is>
      </c>
      <c r="E847" s="37" t="inlineStr">
        <is>
          <t>WL-03573</t>
        </is>
      </c>
      <c r="F847" s="37" t="inlineStr">
        <is>
          <t>Kathy Sanchez</t>
        </is>
      </c>
      <c r="G847" s="37" t="n">
        <v>70</v>
      </c>
      <c r="H847" s="39" t="n">
        <v>33.1</v>
      </c>
      <c r="I847" s="40">
        <f>ROUNDUP(MAX(G847,H847),0)</f>
        <v/>
      </c>
      <c r="J847" s="41">
        <f>IF(C847="COVERED",'Methodology'!$B$9,'Methodology'!$B$10)</f>
        <v/>
      </c>
      <c r="K847" s="41">
        <f>I847*J847</f>
        <v/>
      </c>
      <c r="L847" s="41">
        <f>SUMIFS('Billing Aug'!$J$2:$J$770,'Billing Aug'!$D$2:$D$770,A847)</f>
        <v/>
      </c>
      <c r="M847" s="41">
        <f>L847-K847</f>
        <v/>
      </c>
      <c r="N847" s="37">
        <f>COUNTIF('Billing Aug'!$D$2:$D$770,A847)</f>
        <v/>
      </c>
      <c r="O847" s="37">
        <f>SUMIFS('Billing Aug'!$F$2:$F$770,'Billing Aug'!$D$2:$D$770,A847)</f>
        <v/>
      </c>
      <c r="P847" s="41">
        <f>IF(N847=0,0,L847-SUMIFS('Billing Aug'!$H$2:$H$770,'Billing Aug'!$D$2:$D$770,A847)*SUMIFS('Billing Aug'!$I$2:$I$770,'Billing Aug'!$D$2:$D$770,A847))</f>
        <v/>
      </c>
      <c r="Q847" s="37">
        <f>IF(N847=0,"NO AUG TRANSACTION IN SUPPLIED EXTRACT",IF(ABS(P847)&gt;0.004,"SUBLEDGER ARITHMETIC ERROR",IF(ABS(M847)&gt;0.004,"BILLING VARIANCE","MATCH")))</f>
        <v/>
      </c>
    </row>
    <row r="848">
      <c r="A848" s="37" t="inlineStr">
        <is>
          <t>GW-0816</t>
        </is>
      </c>
      <c r="B848" s="37" t="inlineStr">
        <is>
          <t>Gullwing</t>
        </is>
      </c>
      <c r="C848" s="37" t="inlineStr">
        <is>
          <t>OPEN</t>
        </is>
      </c>
      <c r="D848" s="37" t="inlineStr">
        <is>
          <t>OCCUPIED</t>
        </is>
      </c>
      <c r="E848" s="37" t="inlineStr">
        <is>
          <t>WL-01044</t>
        </is>
      </c>
      <c r="F848" s="37" t="inlineStr">
        <is>
          <t>Craig Mason</t>
        </is>
      </c>
      <c r="G848" s="37" t="n">
        <v>70</v>
      </c>
      <c r="H848" s="39" t="n">
        <v>55.9</v>
      </c>
      <c r="I848" s="40">
        <f>ROUNDUP(MAX(G848,H848),0)</f>
        <v/>
      </c>
      <c r="J848" s="41">
        <f>IF(C848="COVERED",'Methodology'!$B$9,'Methodology'!$B$10)</f>
        <v/>
      </c>
      <c r="K848" s="41">
        <f>I848*J848</f>
        <v/>
      </c>
      <c r="L848" s="41">
        <f>SUMIFS('Billing Aug'!$J$2:$J$770,'Billing Aug'!$D$2:$D$770,A848)</f>
        <v/>
      </c>
      <c r="M848" s="41">
        <f>L848-K848</f>
        <v/>
      </c>
      <c r="N848" s="37">
        <f>COUNTIF('Billing Aug'!$D$2:$D$770,A848)</f>
        <v/>
      </c>
      <c r="O848" s="37">
        <f>SUMIFS('Billing Aug'!$F$2:$F$770,'Billing Aug'!$D$2:$D$770,A848)</f>
        <v/>
      </c>
      <c r="P848" s="41">
        <f>IF(N848=0,0,L848-SUMIFS('Billing Aug'!$H$2:$H$770,'Billing Aug'!$D$2:$D$770,A848)*SUMIFS('Billing Aug'!$I$2:$I$770,'Billing Aug'!$D$2:$D$770,A848))</f>
        <v/>
      </c>
      <c r="Q848" s="37">
        <f>IF(N848=0,"NO AUG TRANSACTION IN SUPPLIED EXTRACT",IF(ABS(P848)&gt;0.004,"SUBLEDGER ARITHMETIC ERROR",IF(ABS(M848)&gt;0.004,"BILLING VARIANCE","MATCH")))</f>
        <v/>
      </c>
    </row>
    <row r="849">
      <c r="A849" s="37" t="inlineStr">
        <is>
          <t>GW-0817</t>
        </is>
      </c>
      <c r="B849" s="37" t="inlineStr">
        <is>
          <t>Gullwing</t>
        </is>
      </c>
      <c r="C849" s="37" t="inlineStr">
        <is>
          <t>OPEN</t>
        </is>
      </c>
      <c r="D849" s="37" t="inlineStr">
        <is>
          <t>OCCUPIED</t>
        </is>
      </c>
      <c r="E849" s="37" t="inlineStr">
        <is>
          <t>WL-03408</t>
        </is>
      </c>
      <c r="F849" s="37" t="inlineStr">
        <is>
          <t>Mark Phillips</t>
        </is>
      </c>
      <c r="G849" s="37" t="n">
        <v>60</v>
      </c>
      <c r="H849" s="39" t="n">
        <v>56.6</v>
      </c>
      <c r="I849" s="40">
        <f>ROUNDUP(MAX(G849,H849),0)</f>
        <v/>
      </c>
      <c r="J849" s="41">
        <f>IF(C849="COVERED",'Methodology'!$B$9,'Methodology'!$B$10)</f>
        <v/>
      </c>
      <c r="K849" s="41">
        <f>I849*J849</f>
        <v/>
      </c>
      <c r="L849" s="41">
        <f>SUMIFS('Billing Aug'!$J$2:$J$770,'Billing Aug'!$D$2:$D$770,A849)</f>
        <v/>
      </c>
      <c r="M849" s="41">
        <f>L849-K849</f>
        <v/>
      </c>
      <c r="N849" s="37">
        <f>COUNTIF('Billing Aug'!$D$2:$D$770,A849)</f>
        <v/>
      </c>
      <c r="O849" s="37">
        <f>SUMIFS('Billing Aug'!$F$2:$F$770,'Billing Aug'!$D$2:$D$770,A849)</f>
        <v/>
      </c>
      <c r="P849" s="41">
        <f>IF(N849=0,0,L849-SUMIFS('Billing Aug'!$H$2:$H$770,'Billing Aug'!$D$2:$D$770,A849)*SUMIFS('Billing Aug'!$I$2:$I$770,'Billing Aug'!$D$2:$D$770,A849))</f>
        <v/>
      </c>
      <c r="Q849" s="37">
        <f>IF(N849=0,"NO AUG TRANSACTION IN SUPPLIED EXTRACT",IF(ABS(P849)&gt;0.004,"SUBLEDGER ARITHMETIC ERROR",IF(ABS(M849)&gt;0.004,"BILLING VARIANCE","MATCH")))</f>
        <v/>
      </c>
    </row>
    <row r="850">
      <c r="A850" s="37" t="inlineStr">
        <is>
          <t>GW-0818</t>
        </is>
      </c>
      <c r="B850" s="37" t="inlineStr">
        <is>
          <t>Gullwing</t>
        </is>
      </c>
      <c r="C850" s="37" t="inlineStr">
        <is>
          <t>OPEN</t>
        </is>
      </c>
      <c r="D850" s="37" t="inlineStr">
        <is>
          <t>OCCUPIED</t>
        </is>
      </c>
      <c r="E850" s="37" t="inlineStr">
        <is>
          <t>WL-03081</t>
        </is>
      </c>
      <c r="F850" s="37" t="inlineStr">
        <is>
          <t>Casey Ortiz</t>
        </is>
      </c>
      <c r="G850" s="37" t="n">
        <v>70</v>
      </c>
      <c r="H850" s="39" t="n">
        <v>56</v>
      </c>
      <c r="I850" s="40">
        <f>ROUNDUP(MAX(G850,H850),0)</f>
        <v/>
      </c>
      <c r="J850" s="41">
        <f>IF(C850="COVERED",'Methodology'!$B$9,'Methodology'!$B$10)</f>
        <v/>
      </c>
      <c r="K850" s="41">
        <f>I850*J850</f>
        <v/>
      </c>
      <c r="L850" s="41">
        <f>SUMIFS('Billing Aug'!$J$2:$J$770,'Billing Aug'!$D$2:$D$770,A850)</f>
        <v/>
      </c>
      <c r="M850" s="41">
        <f>L850-K850</f>
        <v/>
      </c>
      <c r="N850" s="37">
        <f>COUNTIF('Billing Aug'!$D$2:$D$770,A850)</f>
        <v/>
      </c>
      <c r="O850" s="37">
        <f>SUMIFS('Billing Aug'!$F$2:$F$770,'Billing Aug'!$D$2:$D$770,A850)</f>
        <v/>
      </c>
      <c r="P850" s="41">
        <f>IF(N850=0,0,L850-SUMIFS('Billing Aug'!$H$2:$H$770,'Billing Aug'!$D$2:$D$770,A850)*SUMIFS('Billing Aug'!$I$2:$I$770,'Billing Aug'!$D$2:$D$770,A850))</f>
        <v/>
      </c>
      <c r="Q850" s="37">
        <f>IF(N850=0,"NO AUG TRANSACTION IN SUPPLIED EXTRACT",IF(ABS(P850)&gt;0.004,"SUBLEDGER ARITHMETIC ERROR",IF(ABS(M850)&gt;0.004,"BILLING VARIANCE","MATCH")))</f>
        <v/>
      </c>
    </row>
    <row r="851">
      <c r="A851" s="37" t="inlineStr">
        <is>
          <t>GW-0819</t>
        </is>
      </c>
      <c r="B851" s="37" t="inlineStr">
        <is>
          <t>Gullwing</t>
        </is>
      </c>
      <c r="C851" s="37" t="inlineStr">
        <is>
          <t>OPEN</t>
        </is>
      </c>
      <c r="D851" s="37" t="inlineStr">
        <is>
          <t>OCCUPIED</t>
        </is>
      </c>
      <c r="E851" s="37" t="inlineStr">
        <is>
          <t>WL-01022</t>
        </is>
      </c>
      <c r="F851" s="37" t="inlineStr">
        <is>
          <t>Brett Cooley</t>
        </is>
      </c>
      <c r="G851" s="37" t="n">
        <v>24</v>
      </c>
      <c r="H851" s="39" t="n">
        <v>43.9</v>
      </c>
      <c r="I851" s="40">
        <f>ROUNDUP(MAX(G851,H851),0)</f>
        <v/>
      </c>
      <c r="J851" s="41">
        <f>IF(C851="COVERED",'Methodology'!$B$9,'Methodology'!$B$10)</f>
        <v/>
      </c>
      <c r="K851" s="41">
        <f>I851*J851</f>
        <v/>
      </c>
      <c r="L851" s="41">
        <f>SUMIFS('Billing Aug'!$J$2:$J$770,'Billing Aug'!$D$2:$D$770,A851)</f>
        <v/>
      </c>
      <c r="M851" s="41">
        <f>L851-K851</f>
        <v/>
      </c>
      <c r="N851" s="37">
        <f>COUNTIF('Billing Aug'!$D$2:$D$770,A851)</f>
        <v/>
      </c>
      <c r="O851" s="37">
        <f>SUMIFS('Billing Aug'!$F$2:$F$770,'Billing Aug'!$D$2:$D$770,A851)</f>
        <v/>
      </c>
      <c r="P851" s="41">
        <f>IF(N851=0,0,L851-SUMIFS('Billing Aug'!$H$2:$H$770,'Billing Aug'!$D$2:$D$770,A851)*SUMIFS('Billing Aug'!$I$2:$I$770,'Billing Aug'!$D$2:$D$770,A851))</f>
        <v/>
      </c>
      <c r="Q851" s="37">
        <f>IF(N851=0,"NO AUG TRANSACTION IN SUPPLIED EXTRACT",IF(ABS(P851)&gt;0.004,"SUBLEDGER ARITHMETIC ERROR",IF(ABS(M851)&gt;0.004,"BILLING VARIANCE","MATCH")))</f>
        <v/>
      </c>
    </row>
    <row r="852">
      <c r="A852" s="37" t="inlineStr">
        <is>
          <t>GW-0820</t>
        </is>
      </c>
      <c r="B852" s="37" t="inlineStr">
        <is>
          <t>Gullwing</t>
        </is>
      </c>
      <c r="C852" s="37" t="inlineStr">
        <is>
          <t>OPEN</t>
        </is>
      </c>
      <c r="D852" s="37" t="inlineStr">
        <is>
          <t>OCCUPIED</t>
        </is>
      </c>
      <c r="E852" s="37" t="inlineStr">
        <is>
          <t>WL-03760</t>
        </is>
      </c>
      <c r="F852" s="37" t="inlineStr">
        <is>
          <t>Samantha Herring</t>
        </is>
      </c>
      <c r="G852" s="37" t="n">
        <v>28</v>
      </c>
      <c r="H852" s="39" t="n">
        <v>57.9</v>
      </c>
      <c r="I852" s="40">
        <f>ROUNDUP(MAX(G852,H852),0)</f>
        <v/>
      </c>
      <c r="J852" s="41">
        <f>IF(C852="COVERED",'Methodology'!$B$9,'Methodology'!$B$10)</f>
        <v/>
      </c>
      <c r="K852" s="41">
        <f>I852*J852</f>
        <v/>
      </c>
      <c r="L852" s="41">
        <f>SUMIFS('Billing Aug'!$J$2:$J$770,'Billing Aug'!$D$2:$D$770,A852)</f>
        <v/>
      </c>
      <c r="M852" s="41">
        <f>L852-K852</f>
        <v/>
      </c>
      <c r="N852" s="37">
        <f>COUNTIF('Billing Aug'!$D$2:$D$770,A852)</f>
        <v/>
      </c>
      <c r="O852" s="37">
        <f>SUMIFS('Billing Aug'!$F$2:$F$770,'Billing Aug'!$D$2:$D$770,A852)</f>
        <v/>
      </c>
      <c r="P852" s="41">
        <f>IF(N852=0,0,L852-SUMIFS('Billing Aug'!$H$2:$H$770,'Billing Aug'!$D$2:$D$770,A852)*SUMIFS('Billing Aug'!$I$2:$I$770,'Billing Aug'!$D$2:$D$770,A852))</f>
        <v/>
      </c>
      <c r="Q852" s="37">
        <f>IF(N852=0,"NO AUG TRANSACTION IN SUPPLIED EXTRACT",IF(ABS(P852)&gt;0.004,"SUBLEDGER ARITHMETIC ERROR",IF(ABS(M852)&gt;0.004,"BILLING VARIANCE","MATCH")))</f>
        <v/>
      </c>
    </row>
    <row r="853">
      <c r="A853" s="37" t="inlineStr">
        <is>
          <t>GW-0821</t>
        </is>
      </c>
      <c r="B853" s="37" t="inlineStr">
        <is>
          <t>Gullwing</t>
        </is>
      </c>
      <c r="C853" s="37" t="inlineStr">
        <is>
          <t>OPEN</t>
        </is>
      </c>
      <c r="D853" s="37" t="inlineStr">
        <is>
          <t>OCCUPIED</t>
        </is>
      </c>
      <c r="E853" s="37" t="inlineStr">
        <is>
          <t>WL-02465</t>
        </is>
      </c>
      <c r="F853" s="37" t="inlineStr">
        <is>
          <t>Clinton Cox</t>
        </is>
      </c>
      <c r="G853" s="37" t="n">
        <v>24</v>
      </c>
      <c r="H853" s="39" t="n">
        <v>48.4</v>
      </c>
      <c r="I853" s="40">
        <f>ROUNDUP(MAX(G853,H853),0)</f>
        <v/>
      </c>
      <c r="J853" s="41">
        <f>IF(C853="COVERED",'Methodology'!$B$9,'Methodology'!$B$10)</f>
        <v/>
      </c>
      <c r="K853" s="41">
        <f>I853*J853</f>
        <v/>
      </c>
      <c r="L853" s="41">
        <f>SUMIFS('Billing Aug'!$J$2:$J$770,'Billing Aug'!$D$2:$D$770,A853)</f>
        <v/>
      </c>
      <c r="M853" s="41">
        <f>L853-K853</f>
        <v/>
      </c>
      <c r="N853" s="37">
        <f>COUNTIF('Billing Aug'!$D$2:$D$770,A853)</f>
        <v/>
      </c>
      <c r="O853" s="37">
        <f>SUMIFS('Billing Aug'!$F$2:$F$770,'Billing Aug'!$D$2:$D$770,A853)</f>
        <v/>
      </c>
      <c r="P853" s="41">
        <f>IF(N853=0,0,L853-SUMIFS('Billing Aug'!$H$2:$H$770,'Billing Aug'!$D$2:$D$770,A853)*SUMIFS('Billing Aug'!$I$2:$I$770,'Billing Aug'!$D$2:$D$770,A853))</f>
        <v/>
      </c>
      <c r="Q853" s="37">
        <f>IF(N853=0,"NO AUG TRANSACTION IN SUPPLIED EXTRACT",IF(ABS(P853)&gt;0.004,"SUBLEDGER ARITHMETIC ERROR",IF(ABS(M853)&gt;0.004,"BILLING VARIANCE","MATCH")))</f>
        <v/>
      </c>
    </row>
    <row r="854">
      <c r="A854" s="37" t="inlineStr">
        <is>
          <t>GW-0822</t>
        </is>
      </c>
      <c r="B854" s="37" t="inlineStr">
        <is>
          <t>Gullwing</t>
        </is>
      </c>
      <c r="C854" s="37" t="inlineStr">
        <is>
          <t>OPEN</t>
        </is>
      </c>
      <c r="D854" s="37" t="inlineStr">
        <is>
          <t>OCCUPIED</t>
        </is>
      </c>
      <c r="E854" s="37" t="inlineStr">
        <is>
          <t>WL-02630</t>
        </is>
      </c>
      <c r="F854" s="37" t="inlineStr">
        <is>
          <t>Susan Snow</t>
        </is>
      </c>
      <c r="G854" s="37" t="n">
        <v>24</v>
      </c>
      <c r="H854" s="39" t="n">
        <v>27.3</v>
      </c>
      <c r="I854" s="40">
        <f>ROUNDUP(MAX(G854,H854),0)</f>
        <v/>
      </c>
      <c r="J854" s="41">
        <f>IF(C854="COVERED",'Methodology'!$B$9,'Methodology'!$B$10)</f>
        <v/>
      </c>
      <c r="K854" s="41">
        <f>I854*J854</f>
        <v/>
      </c>
      <c r="L854" s="41">
        <f>SUMIFS('Billing Aug'!$J$2:$J$770,'Billing Aug'!$D$2:$D$770,A854)</f>
        <v/>
      </c>
      <c r="M854" s="41">
        <f>L854-K854</f>
        <v/>
      </c>
      <c r="N854" s="37">
        <f>COUNTIF('Billing Aug'!$D$2:$D$770,A854)</f>
        <v/>
      </c>
      <c r="O854" s="37">
        <f>SUMIFS('Billing Aug'!$F$2:$F$770,'Billing Aug'!$D$2:$D$770,A854)</f>
        <v/>
      </c>
      <c r="P854" s="41">
        <f>IF(N854=0,0,L854-SUMIFS('Billing Aug'!$H$2:$H$770,'Billing Aug'!$D$2:$D$770,A854)*SUMIFS('Billing Aug'!$I$2:$I$770,'Billing Aug'!$D$2:$D$770,A854))</f>
        <v/>
      </c>
      <c r="Q854" s="37">
        <f>IF(N854=0,"NO AUG TRANSACTION IN SUPPLIED EXTRACT",IF(ABS(P854)&gt;0.004,"SUBLEDGER ARITHMETIC ERROR",IF(ABS(M854)&gt;0.004,"BILLING VARIANCE","MATCH")))</f>
        <v/>
      </c>
    </row>
    <row r="855">
      <c r="A855" s="37" t="inlineStr">
        <is>
          <t>GW-0823</t>
        </is>
      </c>
      <c r="B855" s="37" t="inlineStr">
        <is>
          <t>Gullwing</t>
        </is>
      </c>
      <c r="C855" s="37" t="inlineStr">
        <is>
          <t>OPEN</t>
        </is>
      </c>
      <c r="D855" s="37" t="inlineStr">
        <is>
          <t>OCCUPIED</t>
        </is>
      </c>
      <c r="E855" s="37" t="inlineStr">
        <is>
          <t>WL-01825</t>
        </is>
      </c>
      <c r="F855" s="37" t="inlineStr">
        <is>
          <t>Charles Krause</t>
        </is>
      </c>
      <c r="G855" s="37" t="n">
        <v>60</v>
      </c>
      <c r="H855" s="39" t="n">
        <v>29.8</v>
      </c>
      <c r="I855" s="40">
        <f>ROUNDUP(MAX(G855,H855),0)</f>
        <v/>
      </c>
      <c r="J855" s="41">
        <f>IF(C855="COVERED",'Methodology'!$B$9,'Methodology'!$B$10)</f>
        <v/>
      </c>
      <c r="K855" s="41">
        <f>I855*J855</f>
        <v/>
      </c>
      <c r="L855" s="41">
        <f>SUMIFS('Billing Aug'!$J$2:$J$770,'Billing Aug'!$D$2:$D$770,A855)</f>
        <v/>
      </c>
      <c r="M855" s="41">
        <f>L855-K855</f>
        <v/>
      </c>
      <c r="N855" s="37">
        <f>COUNTIF('Billing Aug'!$D$2:$D$770,A855)</f>
        <v/>
      </c>
      <c r="O855" s="37">
        <f>SUMIFS('Billing Aug'!$F$2:$F$770,'Billing Aug'!$D$2:$D$770,A855)</f>
        <v/>
      </c>
      <c r="P855" s="41">
        <f>IF(N855=0,0,L855-SUMIFS('Billing Aug'!$H$2:$H$770,'Billing Aug'!$D$2:$D$770,A855)*SUMIFS('Billing Aug'!$I$2:$I$770,'Billing Aug'!$D$2:$D$770,A855))</f>
        <v/>
      </c>
      <c r="Q855" s="37">
        <f>IF(N855=0,"NO AUG TRANSACTION IN SUPPLIED EXTRACT",IF(ABS(P855)&gt;0.004,"SUBLEDGER ARITHMETIC ERROR",IF(ABS(M855)&gt;0.004,"BILLING VARIANCE","MATCH")))</f>
        <v/>
      </c>
    </row>
    <row r="856">
      <c r="A856" s="37" t="inlineStr">
        <is>
          <t>GW-0901</t>
        </is>
      </c>
      <c r="B856" s="37" t="inlineStr">
        <is>
          <t>Gullwing</t>
        </is>
      </c>
      <c r="C856" s="37" t="inlineStr">
        <is>
          <t>OPEN</t>
        </is>
      </c>
      <c r="D856" s="37" t="inlineStr">
        <is>
          <t>OCCUPIED</t>
        </is>
      </c>
      <c r="E856" s="37" t="inlineStr">
        <is>
          <t>WL-03757</t>
        </is>
      </c>
      <c r="F856" s="37" t="inlineStr">
        <is>
          <t>Stephanie Webb</t>
        </is>
      </c>
      <c r="G856" s="37" t="n">
        <v>24</v>
      </c>
      <c r="H856" s="39" t="n">
        <v>45.8</v>
      </c>
      <c r="I856" s="40">
        <f>ROUNDUP(MAX(G856,H856),0)</f>
        <v/>
      </c>
      <c r="J856" s="41">
        <f>IF(C856="COVERED",'Methodology'!$B$9,'Methodology'!$B$10)</f>
        <v/>
      </c>
      <c r="K856" s="41">
        <f>I856*J856</f>
        <v/>
      </c>
      <c r="L856" s="41">
        <f>SUMIFS('Billing Aug'!$J$2:$J$770,'Billing Aug'!$D$2:$D$770,A856)</f>
        <v/>
      </c>
      <c r="M856" s="41">
        <f>L856-K856</f>
        <v/>
      </c>
      <c r="N856" s="37">
        <f>COUNTIF('Billing Aug'!$D$2:$D$770,A856)</f>
        <v/>
      </c>
      <c r="O856" s="37">
        <f>SUMIFS('Billing Aug'!$F$2:$F$770,'Billing Aug'!$D$2:$D$770,A856)</f>
        <v/>
      </c>
      <c r="P856" s="41">
        <f>IF(N856=0,0,L856-SUMIFS('Billing Aug'!$H$2:$H$770,'Billing Aug'!$D$2:$D$770,A856)*SUMIFS('Billing Aug'!$I$2:$I$770,'Billing Aug'!$D$2:$D$770,A856))</f>
        <v/>
      </c>
      <c r="Q856" s="37">
        <f>IF(N856=0,"NO AUG TRANSACTION IN SUPPLIED EXTRACT",IF(ABS(P856)&gt;0.004,"SUBLEDGER ARITHMETIC ERROR",IF(ABS(M856)&gt;0.004,"BILLING VARIANCE","MATCH")))</f>
        <v/>
      </c>
    </row>
    <row r="857">
      <c r="A857" s="37" t="inlineStr">
        <is>
          <t>GW-0902</t>
        </is>
      </c>
      <c r="B857" s="37" t="inlineStr">
        <is>
          <t>Gullwing</t>
        </is>
      </c>
      <c r="C857" s="37" t="inlineStr">
        <is>
          <t>OPEN</t>
        </is>
      </c>
      <c r="D857" s="37" t="inlineStr">
        <is>
          <t>OCCUPIED</t>
        </is>
      </c>
      <c r="E857" s="37" t="inlineStr">
        <is>
          <t>WL-02131</t>
        </is>
      </c>
      <c r="F857" s="37" t="inlineStr">
        <is>
          <t>Richard Thompson</t>
        </is>
      </c>
      <c r="G857" s="37" t="n">
        <v>36</v>
      </c>
      <c r="H857" s="39" t="n">
        <v>59.7</v>
      </c>
      <c r="I857" s="40">
        <f>ROUNDUP(MAX(G857,H857),0)</f>
        <v/>
      </c>
      <c r="J857" s="41">
        <f>IF(C857="COVERED",'Methodology'!$B$9,'Methodology'!$B$10)</f>
        <v/>
      </c>
      <c r="K857" s="41">
        <f>I857*J857</f>
        <v/>
      </c>
      <c r="L857" s="41">
        <f>SUMIFS('Billing Aug'!$J$2:$J$770,'Billing Aug'!$D$2:$D$770,A857)</f>
        <v/>
      </c>
      <c r="M857" s="41">
        <f>L857-K857</f>
        <v/>
      </c>
      <c r="N857" s="37">
        <f>COUNTIF('Billing Aug'!$D$2:$D$770,A857)</f>
        <v/>
      </c>
      <c r="O857" s="37">
        <f>SUMIFS('Billing Aug'!$F$2:$F$770,'Billing Aug'!$D$2:$D$770,A857)</f>
        <v/>
      </c>
      <c r="P857" s="41">
        <f>IF(N857=0,0,L857-SUMIFS('Billing Aug'!$H$2:$H$770,'Billing Aug'!$D$2:$D$770,A857)*SUMIFS('Billing Aug'!$I$2:$I$770,'Billing Aug'!$D$2:$D$770,A857))</f>
        <v/>
      </c>
      <c r="Q857" s="37">
        <f>IF(N857=0,"NO AUG TRANSACTION IN SUPPLIED EXTRACT",IF(ABS(P857)&gt;0.004,"SUBLEDGER ARITHMETIC ERROR",IF(ABS(M857)&gt;0.004,"BILLING VARIANCE","MATCH")))</f>
        <v/>
      </c>
    </row>
    <row r="858">
      <c r="A858" s="37" t="inlineStr">
        <is>
          <t>GW-0903</t>
        </is>
      </c>
      <c r="B858" s="37" t="inlineStr">
        <is>
          <t>Gullwing</t>
        </is>
      </c>
      <c r="C858" s="37" t="inlineStr">
        <is>
          <t>OPEN</t>
        </is>
      </c>
      <c r="D858" s="37" t="inlineStr">
        <is>
          <t>OCCUPIED</t>
        </is>
      </c>
      <c r="E858" s="37" t="inlineStr">
        <is>
          <t>WL-03429</t>
        </is>
      </c>
      <c r="F858" s="37" t="inlineStr">
        <is>
          <t>Daniel Perez</t>
        </is>
      </c>
      <c r="G858" s="37" t="n">
        <v>36</v>
      </c>
      <c r="H858" s="39" t="n">
        <v>59.9</v>
      </c>
      <c r="I858" s="40">
        <f>ROUNDUP(MAX(G858,H858),0)</f>
        <v/>
      </c>
      <c r="J858" s="41">
        <f>IF(C858="COVERED",'Methodology'!$B$9,'Methodology'!$B$10)</f>
        <v/>
      </c>
      <c r="K858" s="41">
        <f>I858*J858</f>
        <v/>
      </c>
      <c r="L858" s="41">
        <f>SUMIFS('Billing Aug'!$J$2:$J$770,'Billing Aug'!$D$2:$D$770,A858)</f>
        <v/>
      </c>
      <c r="M858" s="41">
        <f>L858-K858</f>
        <v/>
      </c>
      <c r="N858" s="37">
        <f>COUNTIF('Billing Aug'!$D$2:$D$770,A858)</f>
        <v/>
      </c>
      <c r="O858" s="37">
        <f>SUMIFS('Billing Aug'!$F$2:$F$770,'Billing Aug'!$D$2:$D$770,A858)</f>
        <v/>
      </c>
      <c r="P858" s="41">
        <f>IF(N858=0,0,L858-SUMIFS('Billing Aug'!$H$2:$H$770,'Billing Aug'!$D$2:$D$770,A858)*SUMIFS('Billing Aug'!$I$2:$I$770,'Billing Aug'!$D$2:$D$770,A858))</f>
        <v/>
      </c>
      <c r="Q858" s="37">
        <f>IF(N858=0,"NO AUG TRANSACTION IN SUPPLIED EXTRACT",IF(ABS(P858)&gt;0.004,"SUBLEDGER ARITHMETIC ERROR",IF(ABS(M858)&gt;0.004,"BILLING VARIANCE","MATCH")))</f>
        <v/>
      </c>
    </row>
    <row r="859">
      <c r="A859" s="37" t="inlineStr">
        <is>
          <t>GW-0904</t>
        </is>
      </c>
      <c r="B859" s="37" t="inlineStr">
        <is>
          <t>Gullwing</t>
        </is>
      </c>
      <c r="C859" s="37" t="inlineStr">
        <is>
          <t>OPEN</t>
        </is>
      </c>
      <c r="D859" s="37" t="inlineStr">
        <is>
          <t>OCCUPIED</t>
        </is>
      </c>
      <c r="E859" s="37" t="inlineStr">
        <is>
          <t>WL-02021</t>
        </is>
      </c>
      <c r="F859" s="37" t="inlineStr">
        <is>
          <t>Andrew Medina</t>
        </is>
      </c>
      <c r="G859" s="37" t="n">
        <v>32</v>
      </c>
      <c r="H859" s="39" t="n">
        <v>49.7</v>
      </c>
      <c r="I859" s="40">
        <f>ROUNDUP(MAX(G859,H859),0)</f>
        <v/>
      </c>
      <c r="J859" s="41">
        <f>IF(C859="COVERED",'Methodology'!$B$9,'Methodology'!$B$10)</f>
        <v/>
      </c>
      <c r="K859" s="41">
        <f>I859*J859</f>
        <v/>
      </c>
      <c r="L859" s="41">
        <f>SUMIFS('Billing Aug'!$J$2:$J$770,'Billing Aug'!$D$2:$D$770,A859)</f>
        <v/>
      </c>
      <c r="M859" s="41">
        <f>L859-K859</f>
        <v/>
      </c>
      <c r="N859" s="37">
        <f>COUNTIF('Billing Aug'!$D$2:$D$770,A859)</f>
        <v/>
      </c>
      <c r="O859" s="37">
        <f>SUMIFS('Billing Aug'!$F$2:$F$770,'Billing Aug'!$D$2:$D$770,A859)</f>
        <v/>
      </c>
      <c r="P859" s="41">
        <f>IF(N859=0,0,L859-SUMIFS('Billing Aug'!$H$2:$H$770,'Billing Aug'!$D$2:$D$770,A859)*SUMIFS('Billing Aug'!$I$2:$I$770,'Billing Aug'!$D$2:$D$770,A859))</f>
        <v/>
      </c>
      <c r="Q859" s="37">
        <f>IF(N859=0,"NO AUG TRANSACTION IN SUPPLIED EXTRACT",IF(ABS(P859)&gt;0.004,"SUBLEDGER ARITHMETIC ERROR",IF(ABS(M859)&gt;0.004,"BILLING VARIANCE","MATCH")))</f>
        <v/>
      </c>
    </row>
    <row r="860">
      <c r="A860" s="37" t="inlineStr">
        <is>
          <t>GW-0905</t>
        </is>
      </c>
      <c r="B860" s="37" t="inlineStr">
        <is>
          <t>Gullwing</t>
        </is>
      </c>
      <c r="C860" s="37" t="inlineStr">
        <is>
          <t>OPEN</t>
        </is>
      </c>
      <c r="D860" s="37" t="inlineStr">
        <is>
          <t>OCCUPIED</t>
        </is>
      </c>
      <c r="E860" s="37" t="inlineStr">
        <is>
          <t>WL-02101</t>
        </is>
      </c>
      <c r="F860" s="37" t="inlineStr">
        <is>
          <t>David Green</t>
        </is>
      </c>
      <c r="G860" s="37" t="n">
        <v>50</v>
      </c>
      <c r="H860" s="39" t="n">
        <v>38.9</v>
      </c>
      <c r="I860" s="40">
        <f>ROUNDUP(MAX(G860,H860),0)</f>
        <v/>
      </c>
      <c r="J860" s="41">
        <f>IF(C860="COVERED",'Methodology'!$B$9,'Methodology'!$B$10)</f>
        <v/>
      </c>
      <c r="K860" s="41">
        <f>I860*J860</f>
        <v/>
      </c>
      <c r="L860" s="41">
        <f>SUMIFS('Billing Aug'!$J$2:$J$770,'Billing Aug'!$D$2:$D$770,A860)</f>
        <v/>
      </c>
      <c r="M860" s="41">
        <f>L860-K860</f>
        <v/>
      </c>
      <c r="N860" s="37">
        <f>COUNTIF('Billing Aug'!$D$2:$D$770,A860)</f>
        <v/>
      </c>
      <c r="O860" s="37">
        <f>SUMIFS('Billing Aug'!$F$2:$F$770,'Billing Aug'!$D$2:$D$770,A860)</f>
        <v/>
      </c>
      <c r="P860" s="41">
        <f>IF(N860=0,0,L860-SUMIFS('Billing Aug'!$H$2:$H$770,'Billing Aug'!$D$2:$D$770,A860)*SUMIFS('Billing Aug'!$I$2:$I$770,'Billing Aug'!$D$2:$D$770,A860))</f>
        <v/>
      </c>
      <c r="Q860" s="37">
        <f>IF(N860=0,"NO AUG TRANSACTION IN SUPPLIED EXTRACT",IF(ABS(P860)&gt;0.004,"SUBLEDGER ARITHMETIC ERROR",IF(ABS(M860)&gt;0.004,"BILLING VARIANCE","MATCH")))</f>
        <v/>
      </c>
    </row>
    <row r="861">
      <c r="A861" s="37" t="inlineStr">
        <is>
          <t>GW-0906</t>
        </is>
      </c>
      <c r="B861" s="37" t="inlineStr">
        <is>
          <t>Gullwing</t>
        </is>
      </c>
      <c r="C861" s="37" t="inlineStr">
        <is>
          <t>OPEN</t>
        </is>
      </c>
      <c r="D861" s="37" t="inlineStr">
        <is>
          <t>OCCUPIED</t>
        </is>
      </c>
      <c r="E861" s="37" t="inlineStr">
        <is>
          <t>WL-01794</t>
        </is>
      </c>
      <c r="F861" s="37" t="inlineStr">
        <is>
          <t>Holly Thomas</t>
        </is>
      </c>
      <c r="G861" s="37" t="n">
        <v>45</v>
      </c>
      <c r="H861" s="39" t="n">
        <v>53.3</v>
      </c>
      <c r="I861" s="40">
        <f>ROUNDUP(MAX(G861,H861),0)</f>
        <v/>
      </c>
      <c r="J861" s="41">
        <f>IF(C861="COVERED",'Methodology'!$B$9,'Methodology'!$B$10)</f>
        <v/>
      </c>
      <c r="K861" s="41">
        <f>I861*J861</f>
        <v/>
      </c>
      <c r="L861" s="41">
        <f>SUMIFS('Billing Aug'!$J$2:$J$770,'Billing Aug'!$D$2:$D$770,A861)</f>
        <v/>
      </c>
      <c r="M861" s="41">
        <f>L861-K861</f>
        <v/>
      </c>
      <c r="N861" s="37">
        <f>COUNTIF('Billing Aug'!$D$2:$D$770,A861)</f>
        <v/>
      </c>
      <c r="O861" s="37">
        <f>SUMIFS('Billing Aug'!$F$2:$F$770,'Billing Aug'!$D$2:$D$770,A861)</f>
        <v/>
      </c>
      <c r="P861" s="41">
        <f>IF(N861=0,0,L861-SUMIFS('Billing Aug'!$H$2:$H$770,'Billing Aug'!$D$2:$D$770,A861)*SUMIFS('Billing Aug'!$I$2:$I$770,'Billing Aug'!$D$2:$D$770,A861))</f>
        <v/>
      </c>
      <c r="Q861" s="37">
        <f>IF(N861=0,"NO AUG TRANSACTION IN SUPPLIED EXTRACT",IF(ABS(P861)&gt;0.004,"SUBLEDGER ARITHMETIC ERROR",IF(ABS(M861)&gt;0.004,"BILLING VARIANCE","MATCH")))</f>
        <v/>
      </c>
    </row>
    <row r="862">
      <c r="A862" s="37" t="inlineStr">
        <is>
          <t>GW-0907</t>
        </is>
      </c>
      <c r="B862" s="37" t="inlineStr">
        <is>
          <t>Gullwing</t>
        </is>
      </c>
      <c r="C862" s="37" t="inlineStr">
        <is>
          <t>OPEN</t>
        </is>
      </c>
      <c r="D862" s="37" t="inlineStr">
        <is>
          <t>OCCUPIED</t>
        </is>
      </c>
      <c r="E862" s="37" t="inlineStr">
        <is>
          <t>WL-02365</t>
        </is>
      </c>
      <c r="F862" s="37" t="inlineStr">
        <is>
          <t>Sophia Williams</t>
        </is>
      </c>
      <c r="G862" s="37" t="n">
        <v>45</v>
      </c>
      <c r="H862" s="39" t="n">
        <v>25.5</v>
      </c>
      <c r="I862" s="40">
        <f>ROUNDUP(MAX(G862,H862),0)</f>
        <v/>
      </c>
      <c r="J862" s="41">
        <f>IF(C862="COVERED",'Methodology'!$B$9,'Methodology'!$B$10)</f>
        <v/>
      </c>
      <c r="K862" s="41">
        <f>I862*J862</f>
        <v/>
      </c>
      <c r="L862" s="41">
        <f>SUMIFS('Billing Aug'!$J$2:$J$770,'Billing Aug'!$D$2:$D$770,A862)</f>
        <v/>
      </c>
      <c r="M862" s="41">
        <f>L862-K862</f>
        <v/>
      </c>
      <c r="N862" s="37">
        <f>COUNTIF('Billing Aug'!$D$2:$D$770,A862)</f>
        <v/>
      </c>
      <c r="O862" s="37">
        <f>SUMIFS('Billing Aug'!$F$2:$F$770,'Billing Aug'!$D$2:$D$770,A862)</f>
        <v/>
      </c>
      <c r="P862" s="41">
        <f>IF(N862=0,0,L862-SUMIFS('Billing Aug'!$H$2:$H$770,'Billing Aug'!$D$2:$D$770,A862)*SUMIFS('Billing Aug'!$I$2:$I$770,'Billing Aug'!$D$2:$D$770,A862))</f>
        <v/>
      </c>
      <c r="Q862" s="37">
        <f>IF(N862=0,"NO AUG TRANSACTION IN SUPPLIED EXTRACT",IF(ABS(P862)&gt;0.004,"SUBLEDGER ARITHMETIC ERROR",IF(ABS(M862)&gt;0.004,"BILLING VARIANCE","MATCH")))</f>
        <v/>
      </c>
    </row>
    <row r="863">
      <c r="A863" s="37" t="inlineStr">
        <is>
          <t>GW-0908</t>
        </is>
      </c>
      <c r="B863" s="37" t="inlineStr">
        <is>
          <t>Gullwing</t>
        </is>
      </c>
      <c r="C863" s="37" t="inlineStr">
        <is>
          <t>OPEN</t>
        </is>
      </c>
      <c r="D863" s="37" t="inlineStr">
        <is>
          <t>OCCUPIED</t>
        </is>
      </c>
      <c r="E863" s="37" t="inlineStr">
        <is>
          <t>WL-01615</t>
        </is>
      </c>
      <c r="F863" s="37" t="inlineStr">
        <is>
          <t>Melissa Gaines</t>
        </is>
      </c>
      <c r="G863" s="37" t="n">
        <v>24</v>
      </c>
      <c r="H863" s="39" t="n">
        <v>50.9</v>
      </c>
      <c r="I863" s="40">
        <f>ROUNDUP(MAX(G863,H863),0)</f>
        <v/>
      </c>
      <c r="J863" s="41">
        <f>IF(C863="COVERED",'Methodology'!$B$9,'Methodology'!$B$10)</f>
        <v/>
      </c>
      <c r="K863" s="41">
        <f>I863*J863</f>
        <v/>
      </c>
      <c r="L863" s="41">
        <f>SUMIFS('Billing Aug'!$J$2:$J$770,'Billing Aug'!$D$2:$D$770,A863)</f>
        <v/>
      </c>
      <c r="M863" s="41">
        <f>L863-K863</f>
        <v/>
      </c>
      <c r="N863" s="37">
        <f>COUNTIF('Billing Aug'!$D$2:$D$770,A863)</f>
        <v/>
      </c>
      <c r="O863" s="37">
        <f>SUMIFS('Billing Aug'!$F$2:$F$770,'Billing Aug'!$D$2:$D$770,A863)</f>
        <v/>
      </c>
      <c r="P863" s="41">
        <f>IF(N863=0,0,L863-SUMIFS('Billing Aug'!$H$2:$H$770,'Billing Aug'!$D$2:$D$770,A863)*SUMIFS('Billing Aug'!$I$2:$I$770,'Billing Aug'!$D$2:$D$770,A863))</f>
        <v/>
      </c>
      <c r="Q863" s="37">
        <f>IF(N863=0,"NO AUG TRANSACTION IN SUPPLIED EXTRACT",IF(ABS(P863)&gt;0.004,"SUBLEDGER ARITHMETIC ERROR",IF(ABS(M863)&gt;0.004,"BILLING VARIANCE","MATCH")))</f>
        <v/>
      </c>
    </row>
    <row r="864">
      <c r="A864" s="37" t="inlineStr">
        <is>
          <t>GW-0909</t>
        </is>
      </c>
      <c r="B864" s="37" t="inlineStr">
        <is>
          <t>Gullwing</t>
        </is>
      </c>
      <c r="C864" s="37" t="inlineStr">
        <is>
          <t>OPEN</t>
        </is>
      </c>
      <c r="D864" s="37" t="inlineStr">
        <is>
          <t>OCCUPIED</t>
        </is>
      </c>
      <c r="E864" s="37" t="inlineStr">
        <is>
          <t>WL-01033</t>
        </is>
      </c>
      <c r="F864" s="37" t="inlineStr">
        <is>
          <t>Jodi Gonzalez</t>
        </is>
      </c>
      <c r="G864" s="37" t="n">
        <v>40</v>
      </c>
      <c r="H864" s="39" t="n">
        <v>29</v>
      </c>
      <c r="I864" s="40">
        <f>ROUNDUP(MAX(G864,H864),0)</f>
        <v/>
      </c>
      <c r="J864" s="41">
        <f>IF(C864="COVERED",'Methodology'!$B$9,'Methodology'!$B$10)</f>
        <v/>
      </c>
      <c r="K864" s="41">
        <f>I864*J864</f>
        <v/>
      </c>
      <c r="L864" s="41">
        <f>SUMIFS('Billing Aug'!$J$2:$J$770,'Billing Aug'!$D$2:$D$770,A864)</f>
        <v/>
      </c>
      <c r="M864" s="41">
        <f>L864-K864</f>
        <v/>
      </c>
      <c r="N864" s="37">
        <f>COUNTIF('Billing Aug'!$D$2:$D$770,A864)</f>
        <v/>
      </c>
      <c r="O864" s="37">
        <f>SUMIFS('Billing Aug'!$F$2:$F$770,'Billing Aug'!$D$2:$D$770,A864)</f>
        <v/>
      </c>
      <c r="P864" s="41">
        <f>IF(N864=0,0,L864-SUMIFS('Billing Aug'!$H$2:$H$770,'Billing Aug'!$D$2:$D$770,A864)*SUMIFS('Billing Aug'!$I$2:$I$770,'Billing Aug'!$D$2:$D$770,A864))</f>
        <v/>
      </c>
      <c r="Q864" s="37">
        <f>IF(N864=0,"NO AUG TRANSACTION IN SUPPLIED EXTRACT",IF(ABS(P864)&gt;0.004,"SUBLEDGER ARITHMETIC ERROR",IF(ABS(M864)&gt;0.004,"BILLING VARIANCE","MATCH")))</f>
        <v/>
      </c>
    </row>
    <row r="865">
      <c r="A865" s="37" t="inlineStr">
        <is>
          <t>GW-0910</t>
        </is>
      </c>
      <c r="B865" s="37" t="inlineStr">
        <is>
          <t>Gullwing</t>
        </is>
      </c>
      <c r="C865" s="37" t="inlineStr">
        <is>
          <t>OPEN</t>
        </is>
      </c>
      <c r="D865" s="37" t="inlineStr">
        <is>
          <t>OCCUPIED</t>
        </is>
      </c>
      <c r="E865" s="37" t="inlineStr">
        <is>
          <t>WL-01532</t>
        </is>
      </c>
      <c r="F865" s="37" t="inlineStr">
        <is>
          <t>Bradley Mejia</t>
        </is>
      </c>
      <c r="G865" s="37" t="n">
        <v>50</v>
      </c>
      <c r="H865" s="39" t="n">
        <v>25.9</v>
      </c>
      <c r="I865" s="40">
        <f>ROUNDUP(MAX(G865,H865),0)</f>
        <v/>
      </c>
      <c r="J865" s="41">
        <f>IF(C865="COVERED",'Methodology'!$B$9,'Methodology'!$B$10)</f>
        <v/>
      </c>
      <c r="K865" s="41">
        <f>I865*J865</f>
        <v/>
      </c>
      <c r="L865" s="41">
        <f>SUMIFS('Billing Aug'!$J$2:$J$770,'Billing Aug'!$D$2:$D$770,A865)</f>
        <v/>
      </c>
      <c r="M865" s="41">
        <f>L865-K865</f>
        <v/>
      </c>
      <c r="N865" s="37">
        <f>COUNTIF('Billing Aug'!$D$2:$D$770,A865)</f>
        <v/>
      </c>
      <c r="O865" s="37">
        <f>SUMIFS('Billing Aug'!$F$2:$F$770,'Billing Aug'!$D$2:$D$770,A865)</f>
        <v/>
      </c>
      <c r="P865" s="41">
        <f>IF(N865=0,0,L865-SUMIFS('Billing Aug'!$H$2:$H$770,'Billing Aug'!$D$2:$D$770,A865)*SUMIFS('Billing Aug'!$I$2:$I$770,'Billing Aug'!$D$2:$D$770,A865))</f>
        <v/>
      </c>
      <c r="Q865" s="37">
        <f>IF(N865=0,"NO AUG TRANSACTION IN SUPPLIED EXTRACT",IF(ABS(P865)&gt;0.004,"SUBLEDGER ARITHMETIC ERROR",IF(ABS(M865)&gt;0.004,"BILLING VARIANCE","MATCH")))</f>
        <v/>
      </c>
    </row>
    <row r="866">
      <c r="A866" s="37" t="inlineStr">
        <is>
          <t>GW-0911</t>
        </is>
      </c>
      <c r="B866" s="37" t="inlineStr">
        <is>
          <t>Gullwing</t>
        </is>
      </c>
      <c r="C866" s="37" t="inlineStr">
        <is>
          <t>OPEN</t>
        </is>
      </c>
      <c r="D866" s="37" t="inlineStr">
        <is>
          <t>OCCUPIED</t>
        </is>
      </c>
      <c r="E866" s="37" t="inlineStr">
        <is>
          <t>WL-03632</t>
        </is>
      </c>
      <c r="F866" s="37" t="inlineStr">
        <is>
          <t>Melissa Wallace</t>
        </is>
      </c>
      <c r="G866" s="37" t="n">
        <v>32</v>
      </c>
      <c r="H866" s="39" t="n">
        <v>36.5</v>
      </c>
      <c r="I866" s="40">
        <f>ROUNDUP(MAX(G866,H866),0)</f>
        <v/>
      </c>
      <c r="J866" s="41">
        <f>IF(C866="COVERED",'Methodology'!$B$9,'Methodology'!$B$10)</f>
        <v/>
      </c>
      <c r="K866" s="41">
        <f>I866*J866</f>
        <v/>
      </c>
      <c r="L866" s="41">
        <f>SUMIFS('Billing Aug'!$J$2:$J$770,'Billing Aug'!$D$2:$D$770,A866)</f>
        <v/>
      </c>
      <c r="M866" s="41">
        <f>L866-K866</f>
        <v/>
      </c>
      <c r="N866" s="37">
        <f>COUNTIF('Billing Aug'!$D$2:$D$770,A866)</f>
        <v/>
      </c>
      <c r="O866" s="37">
        <f>SUMIFS('Billing Aug'!$F$2:$F$770,'Billing Aug'!$D$2:$D$770,A866)</f>
        <v/>
      </c>
      <c r="P866" s="41">
        <f>IF(N866=0,0,L866-SUMIFS('Billing Aug'!$H$2:$H$770,'Billing Aug'!$D$2:$D$770,A866)*SUMIFS('Billing Aug'!$I$2:$I$770,'Billing Aug'!$D$2:$D$770,A866))</f>
        <v/>
      </c>
      <c r="Q866" s="37">
        <f>IF(N866=0,"NO AUG TRANSACTION IN SUPPLIED EXTRACT",IF(ABS(P866)&gt;0.004,"SUBLEDGER ARITHMETIC ERROR",IF(ABS(M866)&gt;0.004,"BILLING VARIANCE","MATCH")))</f>
        <v/>
      </c>
    </row>
    <row r="867">
      <c r="A867" s="37" t="inlineStr">
        <is>
          <t>GW-0912</t>
        </is>
      </c>
      <c r="B867" s="37" t="inlineStr">
        <is>
          <t>Gullwing</t>
        </is>
      </c>
      <c r="C867" s="37" t="inlineStr">
        <is>
          <t>OPEN</t>
        </is>
      </c>
      <c r="D867" s="37" t="inlineStr">
        <is>
          <t>OCCUPIED</t>
        </is>
      </c>
      <c r="E867" s="37" t="inlineStr">
        <is>
          <t>WL-02341</t>
        </is>
      </c>
      <c r="F867" s="37" t="inlineStr">
        <is>
          <t>David Stewart</t>
        </is>
      </c>
      <c r="G867" s="37" t="n">
        <v>32</v>
      </c>
      <c r="H867" s="39" t="n">
        <v>59</v>
      </c>
      <c r="I867" s="40">
        <f>ROUNDUP(MAX(G867,H867),0)</f>
        <v/>
      </c>
      <c r="J867" s="41">
        <f>IF(C867="COVERED",'Methodology'!$B$9,'Methodology'!$B$10)</f>
        <v/>
      </c>
      <c r="K867" s="41">
        <f>I867*J867</f>
        <v/>
      </c>
      <c r="L867" s="41">
        <f>SUMIFS('Billing Aug'!$J$2:$J$770,'Billing Aug'!$D$2:$D$770,A867)</f>
        <v/>
      </c>
      <c r="M867" s="41">
        <f>L867-K867</f>
        <v/>
      </c>
      <c r="N867" s="37">
        <f>COUNTIF('Billing Aug'!$D$2:$D$770,A867)</f>
        <v/>
      </c>
      <c r="O867" s="37">
        <f>SUMIFS('Billing Aug'!$F$2:$F$770,'Billing Aug'!$D$2:$D$770,A867)</f>
        <v/>
      </c>
      <c r="P867" s="41">
        <f>IF(N867=0,0,L867-SUMIFS('Billing Aug'!$H$2:$H$770,'Billing Aug'!$D$2:$D$770,A867)*SUMIFS('Billing Aug'!$I$2:$I$770,'Billing Aug'!$D$2:$D$770,A867))</f>
        <v/>
      </c>
      <c r="Q867" s="37">
        <f>IF(N867=0,"NO AUG TRANSACTION IN SUPPLIED EXTRACT",IF(ABS(P867)&gt;0.004,"SUBLEDGER ARITHMETIC ERROR",IF(ABS(M867)&gt;0.004,"BILLING VARIANCE","MATCH")))</f>
        <v/>
      </c>
    </row>
    <row r="868">
      <c r="A868" s="37" t="inlineStr">
        <is>
          <t>GW-0913</t>
        </is>
      </c>
      <c r="B868" s="37" t="inlineStr">
        <is>
          <t>Gullwing</t>
        </is>
      </c>
      <c r="C868" s="37" t="inlineStr">
        <is>
          <t>OPEN</t>
        </is>
      </c>
      <c r="D868" s="37" t="inlineStr">
        <is>
          <t>OCCUPIED</t>
        </is>
      </c>
      <c r="E868" s="37" t="inlineStr">
        <is>
          <t>WL-03523</t>
        </is>
      </c>
      <c r="F868" s="37" t="inlineStr">
        <is>
          <t>Darlene Glover</t>
        </is>
      </c>
      <c r="G868" s="37" t="n">
        <v>28</v>
      </c>
      <c r="H868" s="39" t="n">
        <v>53.1</v>
      </c>
      <c r="I868" s="40">
        <f>ROUNDUP(MAX(G868,H868),0)</f>
        <v/>
      </c>
      <c r="J868" s="41">
        <f>IF(C868="COVERED",'Methodology'!$B$9,'Methodology'!$B$10)</f>
        <v/>
      </c>
      <c r="K868" s="41">
        <f>I868*J868</f>
        <v/>
      </c>
      <c r="L868" s="41">
        <f>SUMIFS('Billing Aug'!$J$2:$J$770,'Billing Aug'!$D$2:$D$770,A868)</f>
        <v/>
      </c>
      <c r="M868" s="41">
        <f>L868-K868</f>
        <v/>
      </c>
      <c r="N868" s="37">
        <f>COUNTIF('Billing Aug'!$D$2:$D$770,A868)</f>
        <v/>
      </c>
      <c r="O868" s="37">
        <f>SUMIFS('Billing Aug'!$F$2:$F$770,'Billing Aug'!$D$2:$D$770,A868)</f>
        <v/>
      </c>
      <c r="P868" s="41">
        <f>IF(N868=0,0,L868-SUMIFS('Billing Aug'!$H$2:$H$770,'Billing Aug'!$D$2:$D$770,A868)*SUMIFS('Billing Aug'!$I$2:$I$770,'Billing Aug'!$D$2:$D$770,A868))</f>
        <v/>
      </c>
      <c r="Q868" s="37">
        <f>IF(N868=0,"NO AUG TRANSACTION IN SUPPLIED EXTRACT",IF(ABS(P868)&gt;0.004,"SUBLEDGER ARITHMETIC ERROR",IF(ABS(M868)&gt;0.004,"BILLING VARIANCE","MATCH")))</f>
        <v/>
      </c>
    </row>
    <row r="869">
      <c r="A869" s="37" t="inlineStr">
        <is>
          <t>GW-0914</t>
        </is>
      </c>
      <c r="B869" s="37" t="inlineStr">
        <is>
          <t>Gullwing</t>
        </is>
      </c>
      <c r="C869" s="37" t="inlineStr">
        <is>
          <t>OPEN</t>
        </is>
      </c>
      <c r="D869" s="37" t="inlineStr">
        <is>
          <t>OCCUPIED</t>
        </is>
      </c>
      <c r="E869" s="37" t="inlineStr">
        <is>
          <t>WL-01460</t>
        </is>
      </c>
      <c r="F869" s="37" t="inlineStr">
        <is>
          <t>Lori Maldonado</t>
        </is>
      </c>
      <c r="G869" s="37" t="n">
        <v>24</v>
      </c>
      <c r="H869" s="39" t="n">
        <v>45.4</v>
      </c>
      <c r="I869" s="40">
        <f>ROUNDUP(MAX(G869,H869),0)</f>
        <v/>
      </c>
      <c r="J869" s="41">
        <f>IF(C869="COVERED",'Methodology'!$B$9,'Methodology'!$B$10)</f>
        <v/>
      </c>
      <c r="K869" s="41">
        <f>I869*J869</f>
        <v/>
      </c>
      <c r="L869" s="41">
        <f>SUMIFS('Billing Aug'!$J$2:$J$770,'Billing Aug'!$D$2:$D$770,A869)</f>
        <v/>
      </c>
      <c r="M869" s="41">
        <f>L869-K869</f>
        <v/>
      </c>
      <c r="N869" s="37">
        <f>COUNTIF('Billing Aug'!$D$2:$D$770,A869)</f>
        <v/>
      </c>
      <c r="O869" s="37">
        <f>SUMIFS('Billing Aug'!$F$2:$F$770,'Billing Aug'!$D$2:$D$770,A869)</f>
        <v/>
      </c>
      <c r="P869" s="41">
        <f>IF(N869=0,0,L869-SUMIFS('Billing Aug'!$H$2:$H$770,'Billing Aug'!$D$2:$D$770,A869)*SUMIFS('Billing Aug'!$I$2:$I$770,'Billing Aug'!$D$2:$D$770,A869))</f>
        <v/>
      </c>
      <c r="Q869" s="37">
        <f>IF(N869=0,"NO AUG TRANSACTION IN SUPPLIED EXTRACT",IF(ABS(P869)&gt;0.004,"SUBLEDGER ARITHMETIC ERROR",IF(ABS(M869)&gt;0.004,"BILLING VARIANCE","MATCH")))</f>
        <v/>
      </c>
    </row>
    <row r="870">
      <c r="A870" s="37" t="inlineStr">
        <is>
          <t>GW-0915</t>
        </is>
      </c>
      <c r="B870" s="37" t="inlineStr">
        <is>
          <t>Gullwing</t>
        </is>
      </c>
      <c r="C870" s="37" t="inlineStr">
        <is>
          <t>OPEN</t>
        </is>
      </c>
      <c r="D870" s="37" t="inlineStr">
        <is>
          <t>OCCUPIED</t>
        </is>
      </c>
      <c r="E870" s="37" t="inlineStr">
        <is>
          <t>WL-03866</t>
        </is>
      </c>
      <c r="F870" s="37" t="inlineStr">
        <is>
          <t>Jacqueline Anderson</t>
        </is>
      </c>
      <c r="G870" s="37" t="n">
        <v>32</v>
      </c>
      <c r="H870" s="39" t="n">
        <v>55.2</v>
      </c>
      <c r="I870" s="40">
        <f>ROUNDUP(MAX(G870,H870),0)</f>
        <v/>
      </c>
      <c r="J870" s="41">
        <f>IF(C870="COVERED",'Methodology'!$B$9,'Methodology'!$B$10)</f>
        <v/>
      </c>
      <c r="K870" s="41">
        <f>I870*J870</f>
        <v/>
      </c>
      <c r="L870" s="41">
        <f>SUMIFS('Billing Aug'!$J$2:$J$770,'Billing Aug'!$D$2:$D$770,A870)</f>
        <v/>
      </c>
      <c r="M870" s="41">
        <f>L870-K870</f>
        <v/>
      </c>
      <c r="N870" s="37">
        <f>COUNTIF('Billing Aug'!$D$2:$D$770,A870)</f>
        <v/>
      </c>
      <c r="O870" s="37">
        <f>SUMIFS('Billing Aug'!$F$2:$F$770,'Billing Aug'!$D$2:$D$770,A870)</f>
        <v/>
      </c>
      <c r="P870" s="41">
        <f>IF(N870=0,0,L870-SUMIFS('Billing Aug'!$H$2:$H$770,'Billing Aug'!$D$2:$D$770,A870)*SUMIFS('Billing Aug'!$I$2:$I$770,'Billing Aug'!$D$2:$D$770,A870))</f>
        <v/>
      </c>
      <c r="Q870" s="37">
        <f>IF(N870=0,"NO AUG TRANSACTION IN SUPPLIED EXTRACT",IF(ABS(P870)&gt;0.004,"SUBLEDGER ARITHMETIC ERROR",IF(ABS(M870)&gt;0.004,"BILLING VARIANCE","MATCH")))</f>
        <v/>
      </c>
    </row>
    <row r="871">
      <c r="A871" s="37" t="inlineStr">
        <is>
          <t>GW-0916</t>
        </is>
      </c>
      <c r="B871" s="37" t="inlineStr">
        <is>
          <t>Gullwing</t>
        </is>
      </c>
      <c r="C871" s="37" t="inlineStr">
        <is>
          <t>OPEN</t>
        </is>
      </c>
      <c r="D871" s="37" t="inlineStr">
        <is>
          <t>OCCUPIED</t>
        </is>
      </c>
      <c r="E871" s="37" t="inlineStr">
        <is>
          <t>WL-01914</t>
        </is>
      </c>
      <c r="F871" s="37" t="inlineStr">
        <is>
          <t>Danny Flores</t>
        </is>
      </c>
      <c r="G871" s="37" t="n">
        <v>24</v>
      </c>
      <c r="H871" s="39" t="n">
        <v>61.5</v>
      </c>
      <c r="I871" s="40">
        <f>ROUNDUP(MAX(G871,H871),0)</f>
        <v/>
      </c>
      <c r="J871" s="41">
        <f>IF(C871="COVERED",'Methodology'!$B$9,'Methodology'!$B$10)</f>
        <v/>
      </c>
      <c r="K871" s="41">
        <f>I871*J871</f>
        <v/>
      </c>
      <c r="L871" s="41">
        <f>SUMIFS('Billing Aug'!$J$2:$J$770,'Billing Aug'!$D$2:$D$770,A871)</f>
        <v/>
      </c>
      <c r="M871" s="41">
        <f>L871-K871</f>
        <v/>
      </c>
      <c r="N871" s="37">
        <f>COUNTIF('Billing Aug'!$D$2:$D$770,A871)</f>
        <v/>
      </c>
      <c r="O871" s="37">
        <f>SUMIFS('Billing Aug'!$F$2:$F$770,'Billing Aug'!$D$2:$D$770,A871)</f>
        <v/>
      </c>
      <c r="P871" s="41">
        <f>IF(N871=0,0,L871-SUMIFS('Billing Aug'!$H$2:$H$770,'Billing Aug'!$D$2:$D$770,A871)*SUMIFS('Billing Aug'!$I$2:$I$770,'Billing Aug'!$D$2:$D$770,A871))</f>
        <v/>
      </c>
      <c r="Q871" s="37">
        <f>IF(N871=0,"NO AUG TRANSACTION IN SUPPLIED EXTRACT",IF(ABS(P871)&gt;0.004,"SUBLEDGER ARITHMETIC ERROR",IF(ABS(M871)&gt;0.004,"BILLING VARIANCE","MATCH")))</f>
        <v/>
      </c>
    </row>
    <row r="872">
      <c r="A872" s="37" t="inlineStr">
        <is>
          <t>GW-0917</t>
        </is>
      </c>
      <c r="B872" s="37" t="inlineStr">
        <is>
          <t>Gullwing</t>
        </is>
      </c>
      <c r="C872" s="37" t="inlineStr">
        <is>
          <t>OPEN</t>
        </is>
      </c>
      <c r="D872" s="37" t="inlineStr">
        <is>
          <t>OCCUPIED</t>
        </is>
      </c>
      <c r="E872" s="37" t="inlineStr">
        <is>
          <t>WL-02603</t>
        </is>
      </c>
      <c r="F872" s="37" t="inlineStr">
        <is>
          <t>Sharon Lopez</t>
        </is>
      </c>
      <c r="G872" s="37" t="n">
        <v>24</v>
      </c>
      <c r="H872" s="39" t="n">
        <v>56.4</v>
      </c>
      <c r="I872" s="40">
        <f>ROUNDUP(MAX(G872,H872),0)</f>
        <v/>
      </c>
      <c r="J872" s="41">
        <f>IF(C872="COVERED",'Methodology'!$B$9,'Methodology'!$B$10)</f>
        <v/>
      </c>
      <c r="K872" s="41">
        <f>I872*J872</f>
        <v/>
      </c>
      <c r="L872" s="41">
        <f>SUMIFS('Billing Aug'!$J$2:$J$770,'Billing Aug'!$D$2:$D$770,A872)</f>
        <v/>
      </c>
      <c r="M872" s="41">
        <f>L872-K872</f>
        <v/>
      </c>
      <c r="N872" s="37">
        <f>COUNTIF('Billing Aug'!$D$2:$D$770,A872)</f>
        <v/>
      </c>
      <c r="O872" s="37">
        <f>SUMIFS('Billing Aug'!$F$2:$F$770,'Billing Aug'!$D$2:$D$770,A872)</f>
        <v/>
      </c>
      <c r="P872" s="41">
        <f>IF(N872=0,0,L872-SUMIFS('Billing Aug'!$H$2:$H$770,'Billing Aug'!$D$2:$D$770,A872)*SUMIFS('Billing Aug'!$I$2:$I$770,'Billing Aug'!$D$2:$D$770,A872))</f>
        <v/>
      </c>
      <c r="Q872" s="37">
        <f>IF(N872=0,"NO AUG TRANSACTION IN SUPPLIED EXTRACT",IF(ABS(P872)&gt;0.004,"SUBLEDGER ARITHMETIC ERROR",IF(ABS(M872)&gt;0.004,"BILLING VARIANCE","MATCH")))</f>
        <v/>
      </c>
    </row>
    <row r="873">
      <c r="A873" s="37" t="inlineStr">
        <is>
          <t>GW-0918</t>
        </is>
      </c>
      <c r="B873" s="37" t="inlineStr">
        <is>
          <t>Gullwing</t>
        </is>
      </c>
      <c r="C873" s="37" t="inlineStr">
        <is>
          <t>OPEN</t>
        </is>
      </c>
      <c r="D873" s="37" t="inlineStr">
        <is>
          <t>OCCUPIED</t>
        </is>
      </c>
      <c r="E873" s="37" t="inlineStr">
        <is>
          <t>WL-03172</t>
        </is>
      </c>
      <c r="F873" s="37" t="inlineStr">
        <is>
          <t>Jessica Sanford</t>
        </is>
      </c>
      <c r="G873" s="37" t="n">
        <v>50</v>
      </c>
      <c r="H873" s="39" t="n">
        <v>61.6</v>
      </c>
      <c r="I873" s="40">
        <f>ROUNDUP(MAX(G873,H873),0)</f>
        <v/>
      </c>
      <c r="J873" s="41">
        <f>IF(C873="COVERED",'Methodology'!$B$9,'Methodology'!$B$10)</f>
        <v/>
      </c>
      <c r="K873" s="41">
        <f>I873*J873</f>
        <v/>
      </c>
      <c r="L873" s="41">
        <f>SUMIFS('Billing Aug'!$J$2:$J$770,'Billing Aug'!$D$2:$D$770,A873)</f>
        <v/>
      </c>
      <c r="M873" s="41">
        <f>L873-K873</f>
        <v/>
      </c>
      <c r="N873" s="37">
        <f>COUNTIF('Billing Aug'!$D$2:$D$770,A873)</f>
        <v/>
      </c>
      <c r="O873" s="37">
        <f>SUMIFS('Billing Aug'!$F$2:$F$770,'Billing Aug'!$D$2:$D$770,A873)</f>
        <v/>
      </c>
      <c r="P873" s="41">
        <f>IF(N873=0,0,L873-SUMIFS('Billing Aug'!$H$2:$H$770,'Billing Aug'!$D$2:$D$770,A873)*SUMIFS('Billing Aug'!$I$2:$I$770,'Billing Aug'!$D$2:$D$770,A873))</f>
        <v/>
      </c>
      <c r="Q873" s="37">
        <f>IF(N873=0,"NO AUG TRANSACTION IN SUPPLIED EXTRACT",IF(ABS(P873)&gt;0.004,"SUBLEDGER ARITHMETIC ERROR",IF(ABS(M873)&gt;0.004,"BILLING VARIANCE","MATCH")))</f>
        <v/>
      </c>
    </row>
    <row r="874">
      <c r="A874" s="37" t="inlineStr">
        <is>
          <t>GW-0919</t>
        </is>
      </c>
      <c r="B874" s="37" t="inlineStr">
        <is>
          <t>Gullwing</t>
        </is>
      </c>
      <c r="C874" s="37" t="inlineStr">
        <is>
          <t>OPEN</t>
        </is>
      </c>
      <c r="D874" s="37" t="inlineStr">
        <is>
          <t>OCCUPIED</t>
        </is>
      </c>
      <c r="E874" s="37" t="inlineStr">
        <is>
          <t>WL-01940</t>
        </is>
      </c>
      <c r="F874" s="37" t="inlineStr">
        <is>
          <t>Kelly Howell</t>
        </is>
      </c>
      <c r="G874" s="37" t="n">
        <v>36</v>
      </c>
      <c r="H874" s="39" t="n">
        <v>53.5</v>
      </c>
      <c r="I874" s="40">
        <f>ROUNDUP(MAX(G874,H874),0)</f>
        <v/>
      </c>
      <c r="J874" s="41">
        <f>IF(C874="COVERED",'Methodology'!$B$9,'Methodology'!$B$10)</f>
        <v/>
      </c>
      <c r="K874" s="41">
        <f>I874*J874</f>
        <v/>
      </c>
      <c r="L874" s="41">
        <f>SUMIFS('Billing Aug'!$J$2:$J$770,'Billing Aug'!$D$2:$D$770,A874)</f>
        <v/>
      </c>
      <c r="M874" s="41">
        <f>L874-K874</f>
        <v/>
      </c>
      <c r="N874" s="37">
        <f>COUNTIF('Billing Aug'!$D$2:$D$770,A874)</f>
        <v/>
      </c>
      <c r="O874" s="37">
        <f>SUMIFS('Billing Aug'!$F$2:$F$770,'Billing Aug'!$D$2:$D$770,A874)</f>
        <v/>
      </c>
      <c r="P874" s="41">
        <f>IF(N874=0,0,L874-SUMIFS('Billing Aug'!$H$2:$H$770,'Billing Aug'!$D$2:$D$770,A874)*SUMIFS('Billing Aug'!$I$2:$I$770,'Billing Aug'!$D$2:$D$770,A874))</f>
        <v/>
      </c>
      <c r="Q874" s="37">
        <f>IF(N874=0,"NO AUG TRANSACTION IN SUPPLIED EXTRACT",IF(ABS(P874)&gt;0.004,"SUBLEDGER ARITHMETIC ERROR",IF(ABS(M874)&gt;0.004,"BILLING VARIANCE","MATCH")))</f>
        <v/>
      </c>
    </row>
    <row r="875">
      <c r="A875" s="37" t="inlineStr">
        <is>
          <t>GW-0920</t>
        </is>
      </c>
      <c r="B875" s="37" t="inlineStr">
        <is>
          <t>Gullwing</t>
        </is>
      </c>
      <c r="C875" s="37" t="inlineStr">
        <is>
          <t>OPEN</t>
        </is>
      </c>
      <c r="D875" s="37" t="inlineStr">
        <is>
          <t>OCCUPIED</t>
        </is>
      </c>
      <c r="E875" s="37" t="inlineStr">
        <is>
          <t>WL-01338</t>
        </is>
      </c>
      <c r="F875" s="37" t="inlineStr">
        <is>
          <t>Philip Simpson</t>
        </is>
      </c>
      <c r="G875" s="37" t="n">
        <v>28</v>
      </c>
      <c r="H875" s="39" t="n">
        <v>35.7</v>
      </c>
      <c r="I875" s="40">
        <f>ROUNDUP(MAX(G875,H875),0)</f>
        <v/>
      </c>
      <c r="J875" s="41">
        <f>IF(C875="COVERED",'Methodology'!$B$9,'Methodology'!$B$10)</f>
        <v/>
      </c>
      <c r="K875" s="41">
        <f>I875*J875</f>
        <v/>
      </c>
      <c r="L875" s="41">
        <f>SUMIFS('Billing Aug'!$J$2:$J$770,'Billing Aug'!$D$2:$D$770,A875)</f>
        <v/>
      </c>
      <c r="M875" s="41">
        <f>L875-K875</f>
        <v/>
      </c>
      <c r="N875" s="37">
        <f>COUNTIF('Billing Aug'!$D$2:$D$770,A875)</f>
        <v/>
      </c>
      <c r="O875" s="37">
        <f>SUMIFS('Billing Aug'!$F$2:$F$770,'Billing Aug'!$D$2:$D$770,A875)</f>
        <v/>
      </c>
      <c r="P875" s="41">
        <f>IF(N875=0,0,L875-SUMIFS('Billing Aug'!$H$2:$H$770,'Billing Aug'!$D$2:$D$770,A875)*SUMIFS('Billing Aug'!$I$2:$I$770,'Billing Aug'!$D$2:$D$770,A875))</f>
        <v/>
      </c>
      <c r="Q875" s="37">
        <f>IF(N875=0,"NO AUG TRANSACTION IN SUPPLIED EXTRACT",IF(ABS(P875)&gt;0.004,"SUBLEDGER ARITHMETIC ERROR",IF(ABS(M875)&gt;0.004,"BILLING VARIANCE","MATCH")))</f>
        <v/>
      </c>
    </row>
    <row r="876">
      <c r="A876" s="37" t="inlineStr">
        <is>
          <t>GW-0921</t>
        </is>
      </c>
      <c r="B876" s="37" t="inlineStr">
        <is>
          <t>Gullwing</t>
        </is>
      </c>
      <c r="C876" s="37" t="inlineStr">
        <is>
          <t>OPEN</t>
        </is>
      </c>
      <c r="D876" s="37" t="inlineStr">
        <is>
          <t>OCCUPIED</t>
        </is>
      </c>
      <c r="E876" s="37" t="inlineStr">
        <is>
          <t>WL-02657</t>
        </is>
      </c>
      <c r="F876" s="37" t="inlineStr">
        <is>
          <t>Keith Barr</t>
        </is>
      </c>
      <c r="G876" s="37" t="n">
        <v>32</v>
      </c>
      <c r="H876" s="39" t="n">
        <v>46.7</v>
      </c>
      <c r="I876" s="40">
        <f>ROUNDUP(MAX(G876,H876),0)</f>
        <v/>
      </c>
      <c r="J876" s="41">
        <f>IF(C876="COVERED",'Methodology'!$B$9,'Methodology'!$B$10)</f>
        <v/>
      </c>
      <c r="K876" s="41">
        <f>I876*J876</f>
        <v/>
      </c>
      <c r="L876" s="41">
        <f>SUMIFS('Billing Aug'!$J$2:$J$770,'Billing Aug'!$D$2:$D$770,A876)</f>
        <v/>
      </c>
      <c r="M876" s="41">
        <f>L876-K876</f>
        <v/>
      </c>
      <c r="N876" s="37">
        <f>COUNTIF('Billing Aug'!$D$2:$D$770,A876)</f>
        <v/>
      </c>
      <c r="O876" s="37">
        <f>SUMIFS('Billing Aug'!$F$2:$F$770,'Billing Aug'!$D$2:$D$770,A876)</f>
        <v/>
      </c>
      <c r="P876" s="41">
        <f>IF(N876=0,0,L876-SUMIFS('Billing Aug'!$H$2:$H$770,'Billing Aug'!$D$2:$D$770,A876)*SUMIFS('Billing Aug'!$I$2:$I$770,'Billing Aug'!$D$2:$D$770,A876))</f>
        <v/>
      </c>
      <c r="Q876" s="37">
        <f>IF(N876=0,"NO AUG TRANSACTION IN SUPPLIED EXTRACT",IF(ABS(P876)&gt;0.004,"SUBLEDGER ARITHMETIC ERROR",IF(ABS(M876)&gt;0.004,"BILLING VARIANCE","MATCH")))</f>
        <v/>
      </c>
    </row>
    <row r="877">
      <c r="A877" s="37" t="inlineStr">
        <is>
          <t>GW-0922</t>
        </is>
      </c>
      <c r="B877" s="37" t="inlineStr">
        <is>
          <t>Gullwing</t>
        </is>
      </c>
      <c r="C877" s="37" t="inlineStr">
        <is>
          <t>OPEN</t>
        </is>
      </c>
      <c r="D877" s="37" t="inlineStr">
        <is>
          <t>OCCUPIED</t>
        </is>
      </c>
      <c r="E877" s="37" t="inlineStr">
        <is>
          <t>WL-03531</t>
        </is>
      </c>
      <c r="F877" s="37" t="inlineStr">
        <is>
          <t>Nicole Golden</t>
        </is>
      </c>
      <c r="G877" s="37" t="n">
        <v>70</v>
      </c>
      <c r="H877" s="39" t="n">
        <v>47.4</v>
      </c>
      <c r="I877" s="40">
        <f>ROUNDUP(MAX(G877,H877),0)</f>
        <v/>
      </c>
      <c r="J877" s="41">
        <f>IF(C877="COVERED",'Methodology'!$B$9,'Methodology'!$B$10)</f>
        <v/>
      </c>
      <c r="K877" s="41">
        <f>I877*J877</f>
        <v/>
      </c>
      <c r="L877" s="41">
        <f>SUMIFS('Billing Aug'!$J$2:$J$770,'Billing Aug'!$D$2:$D$770,A877)</f>
        <v/>
      </c>
      <c r="M877" s="41">
        <f>L877-K877</f>
        <v/>
      </c>
      <c r="N877" s="37">
        <f>COUNTIF('Billing Aug'!$D$2:$D$770,A877)</f>
        <v/>
      </c>
      <c r="O877" s="37">
        <f>SUMIFS('Billing Aug'!$F$2:$F$770,'Billing Aug'!$D$2:$D$770,A877)</f>
        <v/>
      </c>
      <c r="P877" s="41">
        <f>IF(N877=0,0,L877-SUMIFS('Billing Aug'!$H$2:$H$770,'Billing Aug'!$D$2:$D$770,A877)*SUMIFS('Billing Aug'!$I$2:$I$770,'Billing Aug'!$D$2:$D$770,A877))</f>
        <v/>
      </c>
      <c r="Q877" s="37">
        <f>IF(N877=0,"NO AUG TRANSACTION IN SUPPLIED EXTRACT",IF(ABS(P877)&gt;0.004,"SUBLEDGER ARITHMETIC ERROR",IF(ABS(M877)&gt;0.004,"BILLING VARIANCE","MATCH")))</f>
        <v/>
      </c>
    </row>
    <row r="878">
      <c r="A878" s="37" t="inlineStr">
        <is>
          <t>GW-0923</t>
        </is>
      </c>
      <c r="B878" s="37" t="inlineStr">
        <is>
          <t>Gullwing</t>
        </is>
      </c>
      <c r="C878" s="37" t="inlineStr">
        <is>
          <t>OPEN</t>
        </is>
      </c>
      <c r="D878" s="37" t="inlineStr">
        <is>
          <t>OCCUPIED</t>
        </is>
      </c>
      <c r="E878" s="37" t="inlineStr">
        <is>
          <t>WL-02574</t>
        </is>
      </c>
      <c r="F878" s="37" t="inlineStr">
        <is>
          <t>Elizabeth Larsen</t>
        </is>
      </c>
      <c r="G878" s="37" t="n">
        <v>70</v>
      </c>
      <c r="H878" s="39" t="n">
        <v>26.3</v>
      </c>
      <c r="I878" s="40">
        <f>ROUNDUP(MAX(G878,H878),0)</f>
        <v/>
      </c>
      <c r="J878" s="41">
        <f>IF(C878="COVERED",'Methodology'!$B$9,'Methodology'!$B$10)</f>
        <v/>
      </c>
      <c r="K878" s="41">
        <f>I878*J878</f>
        <v/>
      </c>
      <c r="L878" s="41">
        <f>SUMIFS('Billing Aug'!$J$2:$J$770,'Billing Aug'!$D$2:$D$770,A878)</f>
        <v/>
      </c>
      <c r="M878" s="41">
        <f>L878-K878</f>
        <v/>
      </c>
      <c r="N878" s="37">
        <f>COUNTIF('Billing Aug'!$D$2:$D$770,A878)</f>
        <v/>
      </c>
      <c r="O878" s="37">
        <f>SUMIFS('Billing Aug'!$F$2:$F$770,'Billing Aug'!$D$2:$D$770,A878)</f>
        <v/>
      </c>
      <c r="P878" s="41">
        <f>IF(N878=0,0,L878-SUMIFS('Billing Aug'!$H$2:$H$770,'Billing Aug'!$D$2:$D$770,A878)*SUMIFS('Billing Aug'!$I$2:$I$770,'Billing Aug'!$D$2:$D$770,A878))</f>
        <v/>
      </c>
      <c r="Q878" s="37">
        <f>IF(N878=0,"NO AUG TRANSACTION IN SUPPLIED EXTRACT",IF(ABS(P878)&gt;0.004,"SUBLEDGER ARITHMETIC ERROR",IF(ABS(M878)&gt;0.004,"BILLING VARIANCE","MATCH")))</f>
        <v/>
      </c>
    </row>
    <row r="879">
      <c r="A879" s="37" t="inlineStr">
        <is>
          <t>GW-1001</t>
        </is>
      </c>
      <c r="B879" s="37" t="inlineStr">
        <is>
          <t>Gullwing</t>
        </is>
      </c>
      <c r="C879" s="37" t="inlineStr">
        <is>
          <t>OPEN</t>
        </is>
      </c>
      <c r="D879" s="37" t="inlineStr">
        <is>
          <t>OCCUPIED</t>
        </is>
      </c>
      <c r="E879" s="37" t="inlineStr">
        <is>
          <t>WL-02083</t>
        </is>
      </c>
      <c r="F879" s="37" t="inlineStr">
        <is>
          <t>Brandon Choi</t>
        </is>
      </c>
      <c r="G879" s="37" t="n">
        <v>32</v>
      </c>
      <c r="H879" s="39" t="n">
        <v>47.2</v>
      </c>
      <c r="I879" s="40">
        <f>ROUNDUP(MAX(G879,H879),0)</f>
        <v/>
      </c>
      <c r="J879" s="41">
        <f>IF(C879="COVERED",'Methodology'!$B$9,'Methodology'!$B$10)</f>
        <v/>
      </c>
      <c r="K879" s="41">
        <f>I879*J879</f>
        <v/>
      </c>
      <c r="L879" s="41">
        <f>SUMIFS('Billing Aug'!$J$2:$J$770,'Billing Aug'!$D$2:$D$770,A879)</f>
        <v/>
      </c>
      <c r="M879" s="41">
        <f>L879-K879</f>
        <v/>
      </c>
      <c r="N879" s="37">
        <f>COUNTIF('Billing Aug'!$D$2:$D$770,A879)</f>
        <v/>
      </c>
      <c r="O879" s="37">
        <f>SUMIFS('Billing Aug'!$F$2:$F$770,'Billing Aug'!$D$2:$D$770,A879)</f>
        <v/>
      </c>
      <c r="P879" s="41">
        <f>IF(N879=0,0,L879-SUMIFS('Billing Aug'!$H$2:$H$770,'Billing Aug'!$D$2:$D$770,A879)*SUMIFS('Billing Aug'!$I$2:$I$770,'Billing Aug'!$D$2:$D$770,A879))</f>
        <v/>
      </c>
      <c r="Q879" s="37">
        <f>IF(N879=0,"NO AUG TRANSACTION IN SUPPLIED EXTRACT",IF(ABS(P879)&gt;0.004,"SUBLEDGER ARITHMETIC ERROR",IF(ABS(M879)&gt;0.004,"BILLING VARIANCE","MATCH")))</f>
        <v/>
      </c>
    </row>
    <row r="880">
      <c r="A880" s="37" t="inlineStr">
        <is>
          <t>GW-1002</t>
        </is>
      </c>
      <c r="B880" s="37" t="inlineStr">
        <is>
          <t>Gullwing</t>
        </is>
      </c>
      <c r="C880" s="37" t="inlineStr">
        <is>
          <t>OPEN</t>
        </is>
      </c>
      <c r="D880" s="37" t="inlineStr">
        <is>
          <t>OCCUPIED</t>
        </is>
      </c>
      <c r="E880" s="37" t="inlineStr">
        <is>
          <t>WL-01108</t>
        </is>
      </c>
      <c r="F880" s="37" t="inlineStr">
        <is>
          <t>Evelyn Thomas</t>
        </is>
      </c>
      <c r="G880" s="37" t="n">
        <v>60</v>
      </c>
      <c r="H880" s="39" t="n">
        <v>36.7</v>
      </c>
      <c r="I880" s="40">
        <f>ROUNDUP(MAX(G880,H880),0)</f>
        <v/>
      </c>
      <c r="J880" s="41">
        <f>IF(C880="COVERED",'Methodology'!$B$9,'Methodology'!$B$10)</f>
        <v/>
      </c>
      <c r="K880" s="41">
        <f>I880*J880</f>
        <v/>
      </c>
      <c r="L880" s="41">
        <f>SUMIFS('Billing Aug'!$J$2:$J$770,'Billing Aug'!$D$2:$D$770,A880)</f>
        <v/>
      </c>
      <c r="M880" s="41">
        <f>L880-K880</f>
        <v/>
      </c>
      <c r="N880" s="37">
        <f>COUNTIF('Billing Aug'!$D$2:$D$770,A880)</f>
        <v/>
      </c>
      <c r="O880" s="37">
        <f>SUMIFS('Billing Aug'!$F$2:$F$770,'Billing Aug'!$D$2:$D$770,A880)</f>
        <v/>
      </c>
      <c r="P880" s="41">
        <f>IF(N880=0,0,L880-SUMIFS('Billing Aug'!$H$2:$H$770,'Billing Aug'!$D$2:$D$770,A880)*SUMIFS('Billing Aug'!$I$2:$I$770,'Billing Aug'!$D$2:$D$770,A880))</f>
        <v/>
      </c>
      <c r="Q880" s="37">
        <f>IF(N880=0,"NO AUG TRANSACTION IN SUPPLIED EXTRACT",IF(ABS(P880)&gt;0.004,"SUBLEDGER ARITHMETIC ERROR",IF(ABS(M880)&gt;0.004,"BILLING VARIANCE","MATCH")))</f>
        <v/>
      </c>
    </row>
    <row r="881">
      <c r="A881" s="37" t="inlineStr">
        <is>
          <t>GW-1003</t>
        </is>
      </c>
      <c r="B881" s="37" t="inlineStr">
        <is>
          <t>Gullwing</t>
        </is>
      </c>
      <c r="C881" s="37" t="inlineStr">
        <is>
          <t>OPEN</t>
        </is>
      </c>
      <c r="D881" s="37" t="inlineStr">
        <is>
          <t>OCCUPIED</t>
        </is>
      </c>
      <c r="E881" s="37" t="inlineStr">
        <is>
          <t>WL-03052</t>
        </is>
      </c>
      <c r="F881" s="37" t="inlineStr">
        <is>
          <t>Jenna Marsh</t>
        </is>
      </c>
      <c r="G881" s="37" t="n">
        <v>24</v>
      </c>
      <c r="H881" s="39" t="n">
        <v>19</v>
      </c>
      <c r="I881" s="40">
        <f>ROUNDUP(MAX(G881,H881),0)</f>
        <v/>
      </c>
      <c r="J881" s="41">
        <f>IF(C881="COVERED",'Methodology'!$B$9,'Methodology'!$B$10)</f>
        <v/>
      </c>
      <c r="K881" s="41">
        <f>I881*J881</f>
        <v/>
      </c>
      <c r="L881" s="41">
        <f>SUMIFS('Billing Aug'!$J$2:$J$770,'Billing Aug'!$D$2:$D$770,A881)</f>
        <v/>
      </c>
      <c r="M881" s="41">
        <f>L881-K881</f>
        <v/>
      </c>
      <c r="N881" s="37">
        <f>COUNTIF('Billing Aug'!$D$2:$D$770,A881)</f>
        <v/>
      </c>
      <c r="O881" s="37">
        <f>SUMIFS('Billing Aug'!$F$2:$F$770,'Billing Aug'!$D$2:$D$770,A881)</f>
        <v/>
      </c>
      <c r="P881" s="41">
        <f>IF(N881=0,0,L881-SUMIFS('Billing Aug'!$H$2:$H$770,'Billing Aug'!$D$2:$D$770,A881)*SUMIFS('Billing Aug'!$I$2:$I$770,'Billing Aug'!$D$2:$D$770,A881))</f>
        <v/>
      </c>
      <c r="Q881" s="37">
        <f>IF(N881=0,"NO AUG TRANSACTION IN SUPPLIED EXTRACT",IF(ABS(P881)&gt;0.004,"SUBLEDGER ARITHMETIC ERROR",IF(ABS(M881)&gt;0.004,"BILLING VARIANCE","MATCH")))</f>
        <v/>
      </c>
    </row>
    <row r="882">
      <c r="A882" s="37" t="inlineStr">
        <is>
          <t>GW-1004</t>
        </is>
      </c>
      <c r="B882" s="37" t="inlineStr">
        <is>
          <t>Gullwing</t>
        </is>
      </c>
      <c r="C882" s="37" t="inlineStr">
        <is>
          <t>OPEN</t>
        </is>
      </c>
      <c r="D882" s="37" t="inlineStr">
        <is>
          <t>OCCUPIED</t>
        </is>
      </c>
      <c r="E882" s="37" t="inlineStr">
        <is>
          <t>WL-03149</t>
        </is>
      </c>
      <c r="F882" s="37" t="inlineStr">
        <is>
          <t>Todd Williams</t>
        </is>
      </c>
      <c r="G882" s="37" t="n">
        <v>36</v>
      </c>
      <c r="H882" s="39" t="n">
        <v>25.8</v>
      </c>
      <c r="I882" s="40">
        <f>ROUNDUP(MAX(G882,H882),0)</f>
        <v/>
      </c>
      <c r="J882" s="41">
        <f>IF(C882="COVERED",'Methodology'!$B$9,'Methodology'!$B$10)</f>
        <v/>
      </c>
      <c r="K882" s="41">
        <f>I882*J882</f>
        <v/>
      </c>
      <c r="L882" s="41">
        <f>SUMIFS('Billing Aug'!$J$2:$J$770,'Billing Aug'!$D$2:$D$770,A882)</f>
        <v/>
      </c>
      <c r="M882" s="41">
        <f>L882-K882</f>
        <v/>
      </c>
      <c r="N882" s="37">
        <f>COUNTIF('Billing Aug'!$D$2:$D$770,A882)</f>
        <v/>
      </c>
      <c r="O882" s="37">
        <f>SUMIFS('Billing Aug'!$F$2:$F$770,'Billing Aug'!$D$2:$D$770,A882)</f>
        <v/>
      </c>
      <c r="P882" s="41">
        <f>IF(N882=0,0,L882-SUMIFS('Billing Aug'!$H$2:$H$770,'Billing Aug'!$D$2:$D$770,A882)*SUMIFS('Billing Aug'!$I$2:$I$770,'Billing Aug'!$D$2:$D$770,A882))</f>
        <v/>
      </c>
      <c r="Q882" s="37">
        <f>IF(N882=0,"NO AUG TRANSACTION IN SUPPLIED EXTRACT",IF(ABS(P882)&gt;0.004,"SUBLEDGER ARITHMETIC ERROR",IF(ABS(M882)&gt;0.004,"BILLING VARIANCE","MATCH")))</f>
        <v/>
      </c>
    </row>
    <row r="883">
      <c r="A883" s="37" t="inlineStr">
        <is>
          <t>GW-1005</t>
        </is>
      </c>
      <c r="B883" s="37" t="inlineStr">
        <is>
          <t>Gullwing</t>
        </is>
      </c>
      <c r="C883" s="37" t="inlineStr">
        <is>
          <t>OPEN</t>
        </is>
      </c>
      <c r="D883" s="37" t="inlineStr">
        <is>
          <t>OCCUPIED</t>
        </is>
      </c>
      <c r="E883" s="37" t="inlineStr">
        <is>
          <t>WL-03191</t>
        </is>
      </c>
      <c r="F883" s="37" t="inlineStr">
        <is>
          <t>William Lam</t>
        </is>
      </c>
      <c r="G883" s="37" t="n">
        <v>32</v>
      </c>
      <c r="H883" s="39" t="n">
        <v>58.4</v>
      </c>
      <c r="I883" s="40">
        <f>ROUNDUP(MAX(G883,H883),0)</f>
        <v/>
      </c>
      <c r="J883" s="41">
        <f>IF(C883="COVERED",'Methodology'!$B$9,'Methodology'!$B$10)</f>
        <v/>
      </c>
      <c r="K883" s="41">
        <f>I883*J883</f>
        <v/>
      </c>
      <c r="L883" s="41">
        <f>SUMIFS('Billing Aug'!$J$2:$J$770,'Billing Aug'!$D$2:$D$770,A883)</f>
        <v/>
      </c>
      <c r="M883" s="41">
        <f>L883-K883</f>
        <v/>
      </c>
      <c r="N883" s="37">
        <f>COUNTIF('Billing Aug'!$D$2:$D$770,A883)</f>
        <v/>
      </c>
      <c r="O883" s="37">
        <f>SUMIFS('Billing Aug'!$F$2:$F$770,'Billing Aug'!$D$2:$D$770,A883)</f>
        <v/>
      </c>
      <c r="P883" s="41">
        <f>IF(N883=0,0,L883-SUMIFS('Billing Aug'!$H$2:$H$770,'Billing Aug'!$D$2:$D$770,A883)*SUMIFS('Billing Aug'!$I$2:$I$770,'Billing Aug'!$D$2:$D$770,A883))</f>
        <v/>
      </c>
      <c r="Q883" s="37">
        <f>IF(N883=0,"NO AUG TRANSACTION IN SUPPLIED EXTRACT",IF(ABS(P883)&gt;0.004,"SUBLEDGER ARITHMETIC ERROR",IF(ABS(M883)&gt;0.004,"BILLING VARIANCE","MATCH")))</f>
        <v/>
      </c>
    </row>
    <row r="884">
      <c r="A884" s="37" t="inlineStr">
        <is>
          <t>GW-1006</t>
        </is>
      </c>
      <c r="B884" s="37" t="inlineStr">
        <is>
          <t>Gullwing</t>
        </is>
      </c>
      <c r="C884" s="37" t="inlineStr">
        <is>
          <t>OPEN</t>
        </is>
      </c>
      <c r="D884" s="37" t="inlineStr">
        <is>
          <t>OCCUPIED</t>
        </is>
      </c>
      <c r="E884" s="37" t="inlineStr">
        <is>
          <t>WL-02170</t>
        </is>
      </c>
      <c r="F884" s="37" t="inlineStr">
        <is>
          <t>Robin Duke</t>
        </is>
      </c>
      <c r="G884" s="37" t="n">
        <v>32</v>
      </c>
      <c r="H884" s="39" t="n">
        <v>31.4</v>
      </c>
      <c r="I884" s="40">
        <f>ROUNDUP(MAX(G884,H884),0)</f>
        <v/>
      </c>
      <c r="J884" s="41">
        <f>IF(C884="COVERED",'Methodology'!$B$9,'Methodology'!$B$10)</f>
        <v/>
      </c>
      <c r="K884" s="41">
        <f>I884*J884</f>
        <v/>
      </c>
      <c r="L884" s="41">
        <f>SUMIFS('Billing Aug'!$J$2:$J$770,'Billing Aug'!$D$2:$D$770,A884)</f>
        <v/>
      </c>
      <c r="M884" s="41">
        <f>L884-K884</f>
        <v/>
      </c>
      <c r="N884" s="37">
        <f>COUNTIF('Billing Aug'!$D$2:$D$770,A884)</f>
        <v/>
      </c>
      <c r="O884" s="37">
        <f>SUMIFS('Billing Aug'!$F$2:$F$770,'Billing Aug'!$D$2:$D$770,A884)</f>
        <v/>
      </c>
      <c r="P884" s="41">
        <f>IF(N884=0,0,L884-SUMIFS('Billing Aug'!$H$2:$H$770,'Billing Aug'!$D$2:$D$770,A884)*SUMIFS('Billing Aug'!$I$2:$I$770,'Billing Aug'!$D$2:$D$770,A884))</f>
        <v/>
      </c>
      <c r="Q884" s="37">
        <f>IF(N884=0,"NO AUG TRANSACTION IN SUPPLIED EXTRACT",IF(ABS(P884)&gt;0.004,"SUBLEDGER ARITHMETIC ERROR",IF(ABS(M884)&gt;0.004,"BILLING VARIANCE","MATCH")))</f>
        <v/>
      </c>
    </row>
    <row r="885">
      <c r="A885" s="37" t="inlineStr">
        <is>
          <t>GW-1007</t>
        </is>
      </c>
      <c r="B885" s="37" t="inlineStr">
        <is>
          <t>Gullwing</t>
        </is>
      </c>
      <c r="C885" s="37" t="inlineStr">
        <is>
          <t>OPEN</t>
        </is>
      </c>
      <c r="D885" s="37" t="inlineStr">
        <is>
          <t>OCCUPIED</t>
        </is>
      </c>
      <c r="E885" s="37" t="inlineStr">
        <is>
          <t>WL-01742</t>
        </is>
      </c>
      <c r="F885" s="37" t="inlineStr">
        <is>
          <t>Robert Smith</t>
        </is>
      </c>
      <c r="G885" s="37" t="n">
        <v>60</v>
      </c>
      <c r="H885" s="39" t="n">
        <v>29.1</v>
      </c>
      <c r="I885" s="40">
        <f>ROUNDUP(MAX(G885,H885),0)</f>
        <v/>
      </c>
      <c r="J885" s="41">
        <f>IF(C885="COVERED",'Methodology'!$B$9,'Methodology'!$B$10)</f>
        <v/>
      </c>
      <c r="K885" s="41">
        <f>I885*J885</f>
        <v/>
      </c>
      <c r="L885" s="41">
        <f>SUMIFS('Billing Aug'!$J$2:$J$770,'Billing Aug'!$D$2:$D$770,A885)</f>
        <v/>
      </c>
      <c r="M885" s="41">
        <f>L885-K885</f>
        <v/>
      </c>
      <c r="N885" s="37">
        <f>COUNTIF('Billing Aug'!$D$2:$D$770,A885)</f>
        <v/>
      </c>
      <c r="O885" s="37">
        <f>SUMIFS('Billing Aug'!$F$2:$F$770,'Billing Aug'!$D$2:$D$770,A885)</f>
        <v/>
      </c>
      <c r="P885" s="41">
        <f>IF(N885=0,0,L885-SUMIFS('Billing Aug'!$H$2:$H$770,'Billing Aug'!$D$2:$D$770,A885)*SUMIFS('Billing Aug'!$I$2:$I$770,'Billing Aug'!$D$2:$D$770,A885))</f>
        <v/>
      </c>
      <c r="Q885" s="37">
        <f>IF(N885=0,"NO AUG TRANSACTION IN SUPPLIED EXTRACT",IF(ABS(P885)&gt;0.004,"SUBLEDGER ARITHMETIC ERROR",IF(ABS(M885)&gt;0.004,"BILLING VARIANCE","MATCH")))</f>
        <v/>
      </c>
    </row>
    <row r="886">
      <c r="A886" s="37" t="inlineStr">
        <is>
          <t>GW-1008</t>
        </is>
      </c>
      <c r="B886" s="37" t="inlineStr">
        <is>
          <t>Gullwing</t>
        </is>
      </c>
      <c r="C886" s="37" t="inlineStr">
        <is>
          <t>OPEN</t>
        </is>
      </c>
      <c r="D886" s="37" t="inlineStr">
        <is>
          <t>OCCUPIED</t>
        </is>
      </c>
      <c r="E886" s="37" t="inlineStr">
        <is>
          <t>WL-03216</t>
        </is>
      </c>
      <c r="F886" s="37" t="inlineStr">
        <is>
          <t>Nancy Branch</t>
        </is>
      </c>
      <c r="G886" s="37" t="n">
        <v>60</v>
      </c>
      <c r="H886" s="39" t="n">
        <v>58.3</v>
      </c>
      <c r="I886" s="40">
        <f>ROUNDUP(MAX(G886,H886),0)</f>
        <v/>
      </c>
      <c r="J886" s="41">
        <f>IF(C886="COVERED",'Methodology'!$B$9,'Methodology'!$B$10)</f>
        <v/>
      </c>
      <c r="K886" s="41">
        <f>I886*J886</f>
        <v/>
      </c>
      <c r="L886" s="41">
        <f>SUMIFS('Billing Aug'!$J$2:$J$770,'Billing Aug'!$D$2:$D$770,A886)</f>
        <v/>
      </c>
      <c r="M886" s="41">
        <f>L886-K886</f>
        <v/>
      </c>
      <c r="N886" s="37">
        <f>COUNTIF('Billing Aug'!$D$2:$D$770,A886)</f>
        <v/>
      </c>
      <c r="O886" s="37">
        <f>SUMIFS('Billing Aug'!$F$2:$F$770,'Billing Aug'!$D$2:$D$770,A886)</f>
        <v/>
      </c>
      <c r="P886" s="41">
        <f>IF(N886=0,0,L886-SUMIFS('Billing Aug'!$H$2:$H$770,'Billing Aug'!$D$2:$D$770,A886)*SUMIFS('Billing Aug'!$I$2:$I$770,'Billing Aug'!$D$2:$D$770,A886))</f>
        <v/>
      </c>
      <c r="Q886" s="37">
        <f>IF(N886=0,"NO AUG TRANSACTION IN SUPPLIED EXTRACT",IF(ABS(P886)&gt;0.004,"SUBLEDGER ARITHMETIC ERROR",IF(ABS(M886)&gt;0.004,"BILLING VARIANCE","MATCH")))</f>
        <v/>
      </c>
    </row>
    <row r="887">
      <c r="A887" s="37" t="inlineStr">
        <is>
          <t>GW-1009</t>
        </is>
      </c>
      <c r="B887" s="37" t="inlineStr">
        <is>
          <t>Gullwing</t>
        </is>
      </c>
      <c r="C887" s="37" t="inlineStr">
        <is>
          <t>OPEN</t>
        </is>
      </c>
      <c r="D887" s="37" t="inlineStr">
        <is>
          <t>OCCUPIED</t>
        </is>
      </c>
      <c r="E887" s="37" t="inlineStr">
        <is>
          <t>WL-03228</t>
        </is>
      </c>
      <c r="F887" s="37" t="inlineStr">
        <is>
          <t>Roy Stuart</t>
        </is>
      </c>
      <c r="G887" s="37" t="n">
        <v>45</v>
      </c>
      <c r="H887" s="39" t="n">
        <v>47.5</v>
      </c>
      <c r="I887" s="40">
        <f>ROUNDUP(MAX(G887,H887),0)</f>
        <v/>
      </c>
      <c r="J887" s="41">
        <f>IF(C887="COVERED",'Methodology'!$B$9,'Methodology'!$B$10)</f>
        <v/>
      </c>
      <c r="K887" s="41">
        <f>I887*J887</f>
        <v/>
      </c>
      <c r="L887" s="41">
        <f>SUMIFS('Billing Aug'!$J$2:$J$770,'Billing Aug'!$D$2:$D$770,A887)</f>
        <v/>
      </c>
      <c r="M887" s="41">
        <f>L887-K887</f>
        <v/>
      </c>
      <c r="N887" s="37">
        <f>COUNTIF('Billing Aug'!$D$2:$D$770,A887)</f>
        <v/>
      </c>
      <c r="O887" s="37">
        <f>SUMIFS('Billing Aug'!$F$2:$F$770,'Billing Aug'!$D$2:$D$770,A887)</f>
        <v/>
      </c>
      <c r="P887" s="41">
        <f>IF(N887=0,0,L887-SUMIFS('Billing Aug'!$H$2:$H$770,'Billing Aug'!$D$2:$D$770,A887)*SUMIFS('Billing Aug'!$I$2:$I$770,'Billing Aug'!$D$2:$D$770,A887))</f>
        <v/>
      </c>
      <c r="Q887" s="37">
        <f>IF(N887=0,"NO AUG TRANSACTION IN SUPPLIED EXTRACT",IF(ABS(P887)&gt;0.004,"SUBLEDGER ARITHMETIC ERROR",IF(ABS(M887)&gt;0.004,"BILLING VARIANCE","MATCH")))</f>
        <v/>
      </c>
    </row>
    <row r="888">
      <c r="A888" s="37" t="inlineStr">
        <is>
          <t>GW-1010</t>
        </is>
      </c>
      <c r="B888" s="37" t="inlineStr">
        <is>
          <t>Gullwing</t>
        </is>
      </c>
      <c r="C888" s="37" t="inlineStr">
        <is>
          <t>OPEN</t>
        </is>
      </c>
      <c r="D888" s="37" t="inlineStr">
        <is>
          <t>OCCUPIED</t>
        </is>
      </c>
      <c r="E888" s="37" t="inlineStr">
        <is>
          <t>WL-01543</t>
        </is>
      </c>
      <c r="F888" s="37" t="inlineStr">
        <is>
          <t>Charles Gomez</t>
        </is>
      </c>
      <c r="G888" s="37" t="n">
        <v>45</v>
      </c>
      <c r="H888" s="39" t="n">
        <v>27.2</v>
      </c>
      <c r="I888" s="40">
        <f>ROUNDUP(MAX(G888,H888),0)</f>
        <v/>
      </c>
      <c r="J888" s="41">
        <f>IF(C888="COVERED",'Methodology'!$B$9,'Methodology'!$B$10)</f>
        <v/>
      </c>
      <c r="K888" s="41">
        <f>I888*J888</f>
        <v/>
      </c>
      <c r="L888" s="41">
        <f>SUMIFS('Billing Aug'!$J$2:$J$770,'Billing Aug'!$D$2:$D$770,A888)</f>
        <v/>
      </c>
      <c r="M888" s="41">
        <f>L888-K888</f>
        <v/>
      </c>
      <c r="N888" s="37">
        <f>COUNTIF('Billing Aug'!$D$2:$D$770,A888)</f>
        <v/>
      </c>
      <c r="O888" s="37">
        <f>SUMIFS('Billing Aug'!$F$2:$F$770,'Billing Aug'!$D$2:$D$770,A888)</f>
        <v/>
      </c>
      <c r="P888" s="41">
        <f>IF(N888=0,0,L888-SUMIFS('Billing Aug'!$H$2:$H$770,'Billing Aug'!$D$2:$D$770,A888)*SUMIFS('Billing Aug'!$I$2:$I$770,'Billing Aug'!$D$2:$D$770,A888))</f>
        <v/>
      </c>
      <c r="Q888" s="37">
        <f>IF(N888=0,"NO AUG TRANSACTION IN SUPPLIED EXTRACT",IF(ABS(P888)&gt;0.004,"SUBLEDGER ARITHMETIC ERROR",IF(ABS(M888)&gt;0.004,"BILLING VARIANCE","MATCH")))</f>
        <v/>
      </c>
    </row>
    <row r="889">
      <c r="A889" s="37" t="inlineStr">
        <is>
          <t>GW-1011</t>
        </is>
      </c>
      <c r="B889" s="37" t="inlineStr">
        <is>
          <t>Gullwing</t>
        </is>
      </c>
      <c r="C889" s="37" t="inlineStr">
        <is>
          <t>OPEN</t>
        </is>
      </c>
      <c r="D889" s="37" t="inlineStr">
        <is>
          <t>OCCUPIED</t>
        </is>
      </c>
      <c r="E889" s="37" t="inlineStr">
        <is>
          <t>WL-02258</t>
        </is>
      </c>
      <c r="F889" s="37" t="inlineStr">
        <is>
          <t>Katrina Griffin</t>
        </is>
      </c>
      <c r="G889" s="37" t="n">
        <v>80</v>
      </c>
      <c r="H889" s="39" t="n">
        <v>51.7</v>
      </c>
      <c r="I889" s="40">
        <f>ROUNDUP(MAX(G889,H889),0)</f>
        <v/>
      </c>
      <c r="J889" s="41">
        <f>IF(C889="COVERED",'Methodology'!$B$9,'Methodology'!$B$10)</f>
        <v/>
      </c>
      <c r="K889" s="41">
        <f>I889*J889</f>
        <v/>
      </c>
      <c r="L889" s="41">
        <f>SUMIFS('Billing Aug'!$J$2:$J$770,'Billing Aug'!$D$2:$D$770,A889)</f>
        <v/>
      </c>
      <c r="M889" s="41">
        <f>L889-K889</f>
        <v/>
      </c>
      <c r="N889" s="37">
        <f>COUNTIF('Billing Aug'!$D$2:$D$770,A889)</f>
        <v/>
      </c>
      <c r="O889" s="37">
        <f>SUMIFS('Billing Aug'!$F$2:$F$770,'Billing Aug'!$D$2:$D$770,A889)</f>
        <v/>
      </c>
      <c r="P889" s="41">
        <f>IF(N889=0,0,L889-SUMIFS('Billing Aug'!$H$2:$H$770,'Billing Aug'!$D$2:$D$770,A889)*SUMIFS('Billing Aug'!$I$2:$I$770,'Billing Aug'!$D$2:$D$770,A889))</f>
        <v/>
      </c>
      <c r="Q889" s="37">
        <f>IF(N889=0,"NO AUG TRANSACTION IN SUPPLIED EXTRACT",IF(ABS(P889)&gt;0.004,"SUBLEDGER ARITHMETIC ERROR",IF(ABS(M889)&gt;0.004,"BILLING VARIANCE","MATCH")))</f>
        <v/>
      </c>
    </row>
    <row r="890">
      <c r="A890" s="37" t="inlineStr">
        <is>
          <t>GW-1012</t>
        </is>
      </c>
      <c r="B890" s="37" t="inlineStr">
        <is>
          <t>Gullwing</t>
        </is>
      </c>
      <c r="C890" s="37" t="inlineStr">
        <is>
          <t>OPEN</t>
        </is>
      </c>
      <c r="D890" s="37" t="inlineStr">
        <is>
          <t>OCCUPIED</t>
        </is>
      </c>
      <c r="E890" s="37" t="inlineStr">
        <is>
          <t>WL-01480</t>
        </is>
      </c>
      <c r="F890" s="37" t="inlineStr">
        <is>
          <t>Kaitlin Meyer</t>
        </is>
      </c>
      <c r="G890" s="37" t="n">
        <v>80</v>
      </c>
      <c r="H890" s="39" t="n">
        <v>48</v>
      </c>
      <c r="I890" s="40">
        <f>ROUNDUP(MAX(G890,H890),0)</f>
        <v/>
      </c>
      <c r="J890" s="41">
        <f>IF(C890="COVERED",'Methodology'!$B$9,'Methodology'!$B$10)</f>
        <v/>
      </c>
      <c r="K890" s="41">
        <f>I890*J890</f>
        <v/>
      </c>
      <c r="L890" s="41">
        <f>SUMIFS('Billing Aug'!$J$2:$J$770,'Billing Aug'!$D$2:$D$770,A890)</f>
        <v/>
      </c>
      <c r="M890" s="41">
        <f>L890-K890</f>
        <v/>
      </c>
      <c r="N890" s="37">
        <f>COUNTIF('Billing Aug'!$D$2:$D$770,A890)</f>
        <v/>
      </c>
      <c r="O890" s="37">
        <f>SUMIFS('Billing Aug'!$F$2:$F$770,'Billing Aug'!$D$2:$D$770,A890)</f>
        <v/>
      </c>
      <c r="P890" s="41">
        <f>IF(N890=0,0,L890-SUMIFS('Billing Aug'!$H$2:$H$770,'Billing Aug'!$D$2:$D$770,A890)*SUMIFS('Billing Aug'!$I$2:$I$770,'Billing Aug'!$D$2:$D$770,A890))</f>
        <v/>
      </c>
      <c r="Q890" s="37">
        <f>IF(N890=0,"NO AUG TRANSACTION IN SUPPLIED EXTRACT",IF(ABS(P890)&gt;0.004,"SUBLEDGER ARITHMETIC ERROR",IF(ABS(M890)&gt;0.004,"BILLING VARIANCE","MATCH")))</f>
        <v/>
      </c>
    </row>
    <row r="891">
      <c r="A891" s="37" t="inlineStr">
        <is>
          <t>GW-1013</t>
        </is>
      </c>
      <c r="B891" s="37" t="inlineStr">
        <is>
          <t>Gullwing</t>
        </is>
      </c>
      <c r="C891" s="37" t="inlineStr">
        <is>
          <t>OPEN</t>
        </is>
      </c>
      <c r="D891" s="37" t="inlineStr">
        <is>
          <t>OCCUPIED</t>
        </is>
      </c>
      <c r="E891" s="37" t="inlineStr">
        <is>
          <t>WL-02038</t>
        </is>
      </c>
      <c r="F891" s="37" t="inlineStr">
        <is>
          <t>Patricia Thomas</t>
        </is>
      </c>
      <c r="G891" s="37" t="n">
        <v>60</v>
      </c>
      <c r="H891" s="39" t="n">
        <v>27.1</v>
      </c>
      <c r="I891" s="40">
        <f>ROUNDUP(MAX(G891,H891),0)</f>
        <v/>
      </c>
      <c r="J891" s="41">
        <f>IF(C891="COVERED",'Methodology'!$B$9,'Methodology'!$B$10)</f>
        <v/>
      </c>
      <c r="K891" s="41">
        <f>I891*J891</f>
        <v/>
      </c>
      <c r="L891" s="41">
        <f>SUMIFS('Billing Aug'!$J$2:$J$770,'Billing Aug'!$D$2:$D$770,A891)</f>
        <v/>
      </c>
      <c r="M891" s="41">
        <f>L891-K891</f>
        <v/>
      </c>
      <c r="N891" s="37">
        <f>COUNTIF('Billing Aug'!$D$2:$D$770,A891)</f>
        <v/>
      </c>
      <c r="O891" s="37">
        <f>SUMIFS('Billing Aug'!$F$2:$F$770,'Billing Aug'!$D$2:$D$770,A891)</f>
        <v/>
      </c>
      <c r="P891" s="41">
        <f>IF(N891=0,0,L891-SUMIFS('Billing Aug'!$H$2:$H$770,'Billing Aug'!$D$2:$D$770,A891)*SUMIFS('Billing Aug'!$I$2:$I$770,'Billing Aug'!$D$2:$D$770,A891))</f>
        <v/>
      </c>
      <c r="Q891" s="37">
        <f>IF(N891=0,"NO AUG TRANSACTION IN SUPPLIED EXTRACT",IF(ABS(P891)&gt;0.004,"SUBLEDGER ARITHMETIC ERROR",IF(ABS(M891)&gt;0.004,"BILLING VARIANCE","MATCH")))</f>
        <v/>
      </c>
    </row>
    <row r="892">
      <c r="A892" s="37" t="inlineStr">
        <is>
          <t>GW-1014</t>
        </is>
      </c>
      <c r="B892" s="37" t="inlineStr">
        <is>
          <t>Gullwing</t>
        </is>
      </c>
      <c r="C892" s="37" t="inlineStr">
        <is>
          <t>OPEN</t>
        </is>
      </c>
      <c r="D892" s="37" t="inlineStr">
        <is>
          <t>OCCUPIED</t>
        </is>
      </c>
      <c r="E892" s="37" t="inlineStr">
        <is>
          <t>WL-03067</t>
        </is>
      </c>
      <c r="F892" s="37" t="inlineStr">
        <is>
          <t>Eric Thomas</t>
        </is>
      </c>
      <c r="G892" s="37" t="n">
        <v>32</v>
      </c>
      <c r="H892" s="39" t="n">
        <v>30.6</v>
      </c>
      <c r="I892" s="40">
        <f>ROUNDUP(MAX(G892,H892),0)</f>
        <v/>
      </c>
      <c r="J892" s="41">
        <f>IF(C892="COVERED",'Methodology'!$B$9,'Methodology'!$B$10)</f>
        <v/>
      </c>
      <c r="K892" s="41">
        <f>I892*J892</f>
        <v/>
      </c>
      <c r="L892" s="41">
        <f>SUMIFS('Billing Aug'!$J$2:$J$770,'Billing Aug'!$D$2:$D$770,A892)</f>
        <v/>
      </c>
      <c r="M892" s="41">
        <f>L892-K892</f>
        <v/>
      </c>
      <c r="N892" s="37">
        <f>COUNTIF('Billing Aug'!$D$2:$D$770,A892)</f>
        <v/>
      </c>
      <c r="O892" s="37">
        <f>SUMIFS('Billing Aug'!$F$2:$F$770,'Billing Aug'!$D$2:$D$770,A892)</f>
        <v/>
      </c>
      <c r="P892" s="41">
        <f>IF(N892=0,0,L892-SUMIFS('Billing Aug'!$H$2:$H$770,'Billing Aug'!$D$2:$D$770,A892)*SUMIFS('Billing Aug'!$I$2:$I$770,'Billing Aug'!$D$2:$D$770,A892))</f>
        <v/>
      </c>
      <c r="Q892" s="37">
        <f>IF(N892=0,"NO AUG TRANSACTION IN SUPPLIED EXTRACT",IF(ABS(P892)&gt;0.004,"SUBLEDGER ARITHMETIC ERROR",IF(ABS(M892)&gt;0.004,"BILLING VARIANCE","MATCH")))</f>
        <v/>
      </c>
    </row>
    <row r="893">
      <c r="A893" s="37" t="inlineStr">
        <is>
          <t>GW-1015</t>
        </is>
      </c>
      <c r="B893" s="37" t="inlineStr">
        <is>
          <t>Gullwing</t>
        </is>
      </c>
      <c r="C893" s="37" t="inlineStr">
        <is>
          <t>OPEN</t>
        </is>
      </c>
      <c r="D893" s="37" t="inlineStr">
        <is>
          <t>OCCUPIED</t>
        </is>
      </c>
      <c r="E893" s="37" t="inlineStr">
        <is>
          <t>WL-02143</t>
        </is>
      </c>
      <c r="F893" s="37" t="inlineStr">
        <is>
          <t>Lisa Wright</t>
        </is>
      </c>
      <c r="G893" s="37" t="n">
        <v>70</v>
      </c>
      <c r="H893" s="39" t="n">
        <v>50.8</v>
      </c>
      <c r="I893" s="40">
        <f>ROUNDUP(MAX(G893,H893),0)</f>
        <v/>
      </c>
      <c r="J893" s="41">
        <f>IF(C893="COVERED",'Methodology'!$B$9,'Methodology'!$B$10)</f>
        <v/>
      </c>
      <c r="K893" s="41">
        <f>I893*J893</f>
        <v/>
      </c>
      <c r="L893" s="41">
        <f>SUMIFS('Billing Aug'!$J$2:$J$770,'Billing Aug'!$D$2:$D$770,A893)</f>
        <v/>
      </c>
      <c r="M893" s="41">
        <f>L893-K893</f>
        <v/>
      </c>
      <c r="N893" s="37">
        <f>COUNTIF('Billing Aug'!$D$2:$D$770,A893)</f>
        <v/>
      </c>
      <c r="O893" s="37">
        <f>SUMIFS('Billing Aug'!$F$2:$F$770,'Billing Aug'!$D$2:$D$770,A893)</f>
        <v/>
      </c>
      <c r="P893" s="41">
        <f>IF(N893=0,0,L893-SUMIFS('Billing Aug'!$H$2:$H$770,'Billing Aug'!$D$2:$D$770,A893)*SUMIFS('Billing Aug'!$I$2:$I$770,'Billing Aug'!$D$2:$D$770,A893))</f>
        <v/>
      </c>
      <c r="Q893" s="37">
        <f>IF(N893=0,"NO AUG TRANSACTION IN SUPPLIED EXTRACT",IF(ABS(P893)&gt;0.004,"SUBLEDGER ARITHMETIC ERROR",IF(ABS(M893)&gt;0.004,"BILLING VARIANCE","MATCH")))</f>
        <v/>
      </c>
    </row>
    <row r="894">
      <c r="A894" s="37" t="inlineStr">
        <is>
          <t>GW-1016</t>
        </is>
      </c>
      <c r="B894" s="37" t="inlineStr">
        <is>
          <t>Gullwing</t>
        </is>
      </c>
      <c r="C894" s="37" t="inlineStr">
        <is>
          <t>OPEN</t>
        </is>
      </c>
      <c r="D894" s="37" t="inlineStr">
        <is>
          <t>OCCUPIED</t>
        </is>
      </c>
      <c r="E894" s="37" t="inlineStr">
        <is>
          <t>WL-02443</t>
        </is>
      </c>
      <c r="F894" s="37" t="inlineStr">
        <is>
          <t>Seth Neal</t>
        </is>
      </c>
      <c r="G894" s="37" t="n">
        <v>24</v>
      </c>
      <c r="H894" s="39" t="n">
        <v>31.6</v>
      </c>
      <c r="I894" s="40">
        <f>ROUNDUP(MAX(G894,H894),0)</f>
        <v/>
      </c>
      <c r="J894" s="41">
        <f>IF(C894="COVERED",'Methodology'!$B$9,'Methodology'!$B$10)</f>
        <v/>
      </c>
      <c r="K894" s="41">
        <f>I894*J894</f>
        <v/>
      </c>
      <c r="L894" s="41">
        <f>SUMIFS('Billing Aug'!$J$2:$J$770,'Billing Aug'!$D$2:$D$770,A894)</f>
        <v/>
      </c>
      <c r="M894" s="41">
        <f>L894-K894</f>
        <v/>
      </c>
      <c r="N894" s="37">
        <f>COUNTIF('Billing Aug'!$D$2:$D$770,A894)</f>
        <v/>
      </c>
      <c r="O894" s="37">
        <f>SUMIFS('Billing Aug'!$F$2:$F$770,'Billing Aug'!$D$2:$D$770,A894)</f>
        <v/>
      </c>
      <c r="P894" s="41">
        <f>IF(N894=0,0,L894-SUMIFS('Billing Aug'!$H$2:$H$770,'Billing Aug'!$D$2:$D$770,A894)*SUMIFS('Billing Aug'!$I$2:$I$770,'Billing Aug'!$D$2:$D$770,A894))</f>
        <v/>
      </c>
      <c r="Q894" s="37">
        <f>IF(N894=0,"NO AUG TRANSACTION IN SUPPLIED EXTRACT",IF(ABS(P894)&gt;0.004,"SUBLEDGER ARITHMETIC ERROR",IF(ABS(M894)&gt;0.004,"BILLING VARIANCE","MATCH")))</f>
        <v/>
      </c>
    </row>
    <row r="895">
      <c r="A895" s="37" t="inlineStr">
        <is>
          <t>GW-1017</t>
        </is>
      </c>
      <c r="B895" s="37" t="inlineStr">
        <is>
          <t>Gullwing</t>
        </is>
      </c>
      <c r="C895" s="37" t="inlineStr">
        <is>
          <t>OPEN</t>
        </is>
      </c>
      <c r="D895" s="37" t="inlineStr">
        <is>
          <t>OCCUPIED</t>
        </is>
      </c>
      <c r="E895" s="37" t="inlineStr">
        <is>
          <t>WL-01350</t>
        </is>
      </c>
      <c r="F895" s="37" t="inlineStr">
        <is>
          <t>John George</t>
        </is>
      </c>
      <c r="G895" s="37" t="n">
        <v>32</v>
      </c>
      <c r="H895" s="39" t="n">
        <v>22.5</v>
      </c>
      <c r="I895" s="40">
        <f>ROUNDUP(MAX(G895,H895),0)</f>
        <v/>
      </c>
      <c r="J895" s="41">
        <f>IF(C895="COVERED",'Methodology'!$B$9,'Methodology'!$B$10)</f>
        <v/>
      </c>
      <c r="K895" s="41">
        <f>I895*J895</f>
        <v/>
      </c>
      <c r="L895" s="41">
        <f>SUMIFS('Billing Aug'!$J$2:$J$770,'Billing Aug'!$D$2:$D$770,A895)</f>
        <v/>
      </c>
      <c r="M895" s="41">
        <f>L895-K895</f>
        <v/>
      </c>
      <c r="N895" s="37">
        <f>COUNTIF('Billing Aug'!$D$2:$D$770,A895)</f>
        <v/>
      </c>
      <c r="O895" s="37">
        <f>SUMIFS('Billing Aug'!$F$2:$F$770,'Billing Aug'!$D$2:$D$770,A895)</f>
        <v/>
      </c>
      <c r="P895" s="41">
        <f>IF(N895=0,0,L895-SUMIFS('Billing Aug'!$H$2:$H$770,'Billing Aug'!$D$2:$D$770,A895)*SUMIFS('Billing Aug'!$I$2:$I$770,'Billing Aug'!$D$2:$D$770,A895))</f>
        <v/>
      </c>
      <c r="Q895" s="37">
        <f>IF(N895=0,"NO AUG TRANSACTION IN SUPPLIED EXTRACT",IF(ABS(P895)&gt;0.004,"SUBLEDGER ARITHMETIC ERROR",IF(ABS(M895)&gt;0.004,"BILLING VARIANCE","MATCH")))</f>
        <v/>
      </c>
    </row>
    <row r="896">
      <c r="A896" s="37" t="inlineStr">
        <is>
          <t>GW-1018</t>
        </is>
      </c>
      <c r="B896" s="37" t="inlineStr">
        <is>
          <t>Gullwing</t>
        </is>
      </c>
      <c r="C896" s="37" t="inlineStr">
        <is>
          <t>OPEN</t>
        </is>
      </c>
      <c r="D896" s="37" t="inlineStr">
        <is>
          <t>OCCUPIED</t>
        </is>
      </c>
      <c r="E896" s="37" t="inlineStr">
        <is>
          <t>WL-02941</t>
        </is>
      </c>
      <c r="F896" s="37" t="inlineStr">
        <is>
          <t>Jose Benson</t>
        </is>
      </c>
      <c r="G896" s="37" t="n">
        <v>24</v>
      </c>
      <c r="H896" s="39" t="n">
        <v>51</v>
      </c>
      <c r="I896" s="40">
        <f>ROUNDUP(MAX(G896,H896),0)</f>
        <v/>
      </c>
      <c r="J896" s="41">
        <f>IF(C896="COVERED",'Methodology'!$B$9,'Methodology'!$B$10)</f>
        <v/>
      </c>
      <c r="K896" s="41">
        <f>I896*J896</f>
        <v/>
      </c>
      <c r="L896" s="41">
        <f>SUMIFS('Billing Aug'!$J$2:$J$770,'Billing Aug'!$D$2:$D$770,A896)</f>
        <v/>
      </c>
      <c r="M896" s="41">
        <f>L896-K896</f>
        <v/>
      </c>
      <c r="N896" s="37">
        <f>COUNTIF('Billing Aug'!$D$2:$D$770,A896)</f>
        <v/>
      </c>
      <c r="O896" s="37">
        <f>SUMIFS('Billing Aug'!$F$2:$F$770,'Billing Aug'!$D$2:$D$770,A896)</f>
        <v/>
      </c>
      <c r="P896" s="41">
        <f>IF(N896=0,0,L896-SUMIFS('Billing Aug'!$H$2:$H$770,'Billing Aug'!$D$2:$D$770,A896)*SUMIFS('Billing Aug'!$I$2:$I$770,'Billing Aug'!$D$2:$D$770,A896))</f>
        <v/>
      </c>
      <c r="Q896" s="37">
        <f>IF(N896=0,"NO AUG TRANSACTION IN SUPPLIED EXTRACT",IF(ABS(P896)&gt;0.004,"SUBLEDGER ARITHMETIC ERROR",IF(ABS(M896)&gt;0.004,"BILLING VARIANCE","MATCH")))</f>
        <v/>
      </c>
    </row>
    <row r="897">
      <c r="A897" s="37" t="inlineStr">
        <is>
          <t>GW-1019</t>
        </is>
      </c>
      <c r="B897" s="37" t="inlineStr">
        <is>
          <t>Gullwing</t>
        </is>
      </c>
      <c r="C897" s="37" t="inlineStr">
        <is>
          <t>OPEN</t>
        </is>
      </c>
      <c r="D897" s="37" t="inlineStr">
        <is>
          <t>OCCUPIED</t>
        </is>
      </c>
      <c r="E897" s="37" t="inlineStr">
        <is>
          <t>WL-02234</t>
        </is>
      </c>
      <c r="F897" s="37" t="inlineStr">
        <is>
          <t>Chelsea Chandler</t>
        </is>
      </c>
      <c r="G897" s="37" t="n">
        <v>45</v>
      </c>
      <c r="H897" s="39" t="n">
        <v>42.1</v>
      </c>
      <c r="I897" s="40">
        <f>ROUNDUP(MAX(G897,H897),0)</f>
        <v/>
      </c>
      <c r="J897" s="41">
        <f>IF(C897="COVERED",'Methodology'!$B$9,'Methodology'!$B$10)</f>
        <v/>
      </c>
      <c r="K897" s="41">
        <f>I897*J897</f>
        <v/>
      </c>
      <c r="L897" s="41">
        <f>SUMIFS('Billing Aug'!$J$2:$J$770,'Billing Aug'!$D$2:$D$770,A897)</f>
        <v/>
      </c>
      <c r="M897" s="41">
        <f>L897-K897</f>
        <v/>
      </c>
      <c r="N897" s="37">
        <f>COUNTIF('Billing Aug'!$D$2:$D$770,A897)</f>
        <v/>
      </c>
      <c r="O897" s="37">
        <f>SUMIFS('Billing Aug'!$F$2:$F$770,'Billing Aug'!$D$2:$D$770,A897)</f>
        <v/>
      </c>
      <c r="P897" s="41">
        <f>IF(N897=0,0,L897-SUMIFS('Billing Aug'!$H$2:$H$770,'Billing Aug'!$D$2:$D$770,A897)*SUMIFS('Billing Aug'!$I$2:$I$770,'Billing Aug'!$D$2:$D$770,A897))</f>
        <v/>
      </c>
      <c r="Q897" s="37">
        <f>IF(N897=0,"NO AUG TRANSACTION IN SUPPLIED EXTRACT",IF(ABS(P897)&gt;0.004,"SUBLEDGER ARITHMETIC ERROR",IF(ABS(M897)&gt;0.004,"BILLING VARIANCE","MATCH")))</f>
        <v/>
      </c>
    </row>
    <row r="898">
      <c r="A898" s="37" t="inlineStr">
        <is>
          <t>GW-1020</t>
        </is>
      </c>
      <c r="B898" s="37" t="inlineStr">
        <is>
          <t>Gullwing</t>
        </is>
      </c>
      <c r="C898" s="37" t="inlineStr">
        <is>
          <t>OPEN</t>
        </is>
      </c>
      <c r="D898" s="37" t="inlineStr">
        <is>
          <t>OCCUPIED</t>
        </is>
      </c>
      <c r="E898" s="37" t="inlineStr">
        <is>
          <t>WL-03776</t>
        </is>
      </c>
      <c r="F898" s="37" t="inlineStr">
        <is>
          <t>Michael Beard</t>
        </is>
      </c>
      <c r="G898" s="37" t="n">
        <v>32</v>
      </c>
      <c r="H898" s="39" t="n">
        <v>19.8</v>
      </c>
      <c r="I898" s="40">
        <f>ROUNDUP(MAX(G898,H898),0)</f>
        <v/>
      </c>
      <c r="J898" s="41">
        <f>IF(C898="COVERED",'Methodology'!$B$9,'Methodology'!$B$10)</f>
        <v/>
      </c>
      <c r="K898" s="41">
        <f>I898*J898</f>
        <v/>
      </c>
      <c r="L898" s="41">
        <f>SUMIFS('Billing Aug'!$J$2:$J$770,'Billing Aug'!$D$2:$D$770,A898)</f>
        <v/>
      </c>
      <c r="M898" s="41">
        <f>L898-K898</f>
        <v/>
      </c>
      <c r="N898" s="37">
        <f>COUNTIF('Billing Aug'!$D$2:$D$770,A898)</f>
        <v/>
      </c>
      <c r="O898" s="37">
        <f>SUMIFS('Billing Aug'!$F$2:$F$770,'Billing Aug'!$D$2:$D$770,A898)</f>
        <v/>
      </c>
      <c r="P898" s="41">
        <f>IF(N898=0,0,L898-SUMIFS('Billing Aug'!$H$2:$H$770,'Billing Aug'!$D$2:$D$770,A898)*SUMIFS('Billing Aug'!$I$2:$I$770,'Billing Aug'!$D$2:$D$770,A898))</f>
        <v/>
      </c>
      <c r="Q898" s="37">
        <f>IF(N898=0,"NO AUG TRANSACTION IN SUPPLIED EXTRACT",IF(ABS(P898)&gt;0.004,"SUBLEDGER ARITHMETIC ERROR",IF(ABS(M898)&gt;0.004,"BILLING VARIANCE","MATCH")))</f>
        <v/>
      </c>
    </row>
    <row r="899">
      <c r="A899" s="37" t="inlineStr">
        <is>
          <t>GW-1021</t>
        </is>
      </c>
      <c r="B899" s="37" t="inlineStr">
        <is>
          <t>Gullwing</t>
        </is>
      </c>
      <c r="C899" s="37" t="inlineStr">
        <is>
          <t>OPEN</t>
        </is>
      </c>
      <c r="D899" s="37" t="inlineStr">
        <is>
          <t>OCCUPIED</t>
        </is>
      </c>
      <c r="E899" s="37" t="inlineStr">
        <is>
          <t>WL-03394</t>
        </is>
      </c>
      <c r="F899" s="37" t="inlineStr">
        <is>
          <t>Alyssa Robinson</t>
        </is>
      </c>
      <c r="G899" s="37" t="n">
        <v>45</v>
      </c>
      <c r="H899" s="39" t="n">
        <v>28.5</v>
      </c>
      <c r="I899" s="40">
        <f>ROUNDUP(MAX(G899,H899),0)</f>
        <v/>
      </c>
      <c r="J899" s="41">
        <f>IF(C899="COVERED",'Methodology'!$B$9,'Methodology'!$B$10)</f>
        <v/>
      </c>
      <c r="K899" s="41">
        <f>I899*J899</f>
        <v/>
      </c>
      <c r="L899" s="41">
        <f>SUMIFS('Billing Aug'!$J$2:$J$770,'Billing Aug'!$D$2:$D$770,A899)</f>
        <v/>
      </c>
      <c r="M899" s="41">
        <f>L899-K899</f>
        <v/>
      </c>
      <c r="N899" s="37">
        <f>COUNTIF('Billing Aug'!$D$2:$D$770,A899)</f>
        <v/>
      </c>
      <c r="O899" s="37">
        <f>SUMIFS('Billing Aug'!$F$2:$F$770,'Billing Aug'!$D$2:$D$770,A899)</f>
        <v/>
      </c>
      <c r="P899" s="41">
        <f>IF(N899=0,0,L899-SUMIFS('Billing Aug'!$H$2:$H$770,'Billing Aug'!$D$2:$D$770,A899)*SUMIFS('Billing Aug'!$I$2:$I$770,'Billing Aug'!$D$2:$D$770,A899))</f>
        <v/>
      </c>
      <c r="Q899" s="37">
        <f>IF(N899=0,"NO AUG TRANSACTION IN SUPPLIED EXTRACT",IF(ABS(P899)&gt;0.004,"SUBLEDGER ARITHMETIC ERROR",IF(ABS(M899)&gt;0.004,"BILLING VARIANCE","MATCH")))</f>
        <v/>
      </c>
    </row>
    <row r="900">
      <c r="A900" s="37" t="inlineStr">
        <is>
          <t>GW-1023</t>
        </is>
      </c>
      <c r="B900" s="37" t="inlineStr">
        <is>
          <t>Gullwing</t>
        </is>
      </c>
      <c r="C900" s="37" t="inlineStr">
        <is>
          <t>OPEN</t>
        </is>
      </c>
      <c r="D900" s="37" t="inlineStr">
        <is>
          <t>OCCUPIED</t>
        </is>
      </c>
      <c r="E900" s="37" t="inlineStr">
        <is>
          <t>WL-02832</t>
        </is>
      </c>
      <c r="F900" s="37" t="inlineStr">
        <is>
          <t>Mia Schwartz</t>
        </is>
      </c>
      <c r="G900" s="37" t="n">
        <v>28</v>
      </c>
      <c r="H900" s="39" t="n">
        <v>35</v>
      </c>
      <c r="I900" s="40">
        <f>ROUNDUP(MAX(G900,H900),0)</f>
        <v/>
      </c>
      <c r="J900" s="41">
        <f>IF(C900="COVERED",'Methodology'!$B$9,'Methodology'!$B$10)</f>
        <v/>
      </c>
      <c r="K900" s="41">
        <f>I900*J900</f>
        <v/>
      </c>
      <c r="L900" s="41">
        <f>SUMIFS('Billing Aug'!$J$2:$J$770,'Billing Aug'!$D$2:$D$770,A900)</f>
        <v/>
      </c>
      <c r="M900" s="41">
        <f>L900-K900</f>
        <v/>
      </c>
      <c r="N900" s="37">
        <f>COUNTIF('Billing Aug'!$D$2:$D$770,A900)</f>
        <v/>
      </c>
      <c r="O900" s="37">
        <f>SUMIFS('Billing Aug'!$F$2:$F$770,'Billing Aug'!$D$2:$D$770,A900)</f>
        <v/>
      </c>
      <c r="P900" s="41">
        <f>IF(N900=0,0,L900-SUMIFS('Billing Aug'!$H$2:$H$770,'Billing Aug'!$D$2:$D$770,A900)*SUMIFS('Billing Aug'!$I$2:$I$770,'Billing Aug'!$D$2:$D$770,A900))</f>
        <v/>
      </c>
      <c r="Q900" s="37">
        <f>IF(N900=0,"NO AUG TRANSACTION IN SUPPLIED EXTRACT",IF(ABS(P900)&gt;0.004,"SUBLEDGER ARITHMETIC ERROR",IF(ABS(M900)&gt;0.004,"BILLING VARIANCE","MATCH")))</f>
        <v/>
      </c>
    </row>
    <row r="901">
      <c r="A901" s="37" t="inlineStr">
        <is>
          <t>SB-0101</t>
        </is>
      </c>
      <c r="B901" s="37" t="inlineStr">
        <is>
          <t>Salmonberry</t>
        </is>
      </c>
      <c r="C901" s="37" t="inlineStr">
        <is>
          <t>OPEN</t>
        </is>
      </c>
      <c r="D901" s="37" t="inlineStr">
        <is>
          <t>OCCUPIED</t>
        </is>
      </c>
      <c r="E901" s="37" t="inlineStr">
        <is>
          <t>WL-03060</t>
        </is>
      </c>
      <c r="F901" s="37" t="inlineStr">
        <is>
          <t>Lisa Johnson</t>
        </is>
      </c>
      <c r="G901" s="37" t="n">
        <v>70</v>
      </c>
      <c r="H901" s="39" t="n">
        <v>27.6</v>
      </c>
      <c r="I901" s="40">
        <f>ROUNDUP(MAX(G901,H901),0)</f>
        <v/>
      </c>
      <c r="J901" s="41">
        <f>IF(C901="COVERED",'Methodology'!$B$9,'Methodology'!$B$10)</f>
        <v/>
      </c>
      <c r="K901" s="41">
        <f>I901*J901</f>
        <v/>
      </c>
      <c r="L901" s="41">
        <f>SUMIFS('Billing Aug'!$J$2:$J$770,'Billing Aug'!$D$2:$D$770,A901)</f>
        <v/>
      </c>
      <c r="M901" s="41">
        <f>L901-K901</f>
        <v/>
      </c>
      <c r="N901" s="37">
        <f>COUNTIF('Billing Aug'!$D$2:$D$770,A901)</f>
        <v/>
      </c>
      <c r="O901" s="37">
        <f>SUMIFS('Billing Aug'!$F$2:$F$770,'Billing Aug'!$D$2:$D$770,A901)</f>
        <v/>
      </c>
      <c r="P901" s="41">
        <f>IF(N901=0,0,L901-SUMIFS('Billing Aug'!$H$2:$H$770,'Billing Aug'!$D$2:$D$770,A901)*SUMIFS('Billing Aug'!$I$2:$I$770,'Billing Aug'!$D$2:$D$770,A901))</f>
        <v/>
      </c>
      <c r="Q901" s="37">
        <f>IF(N901=0,"NO AUG TRANSACTION IN SUPPLIED EXTRACT",IF(ABS(P901)&gt;0.004,"SUBLEDGER ARITHMETIC ERROR",IF(ABS(M901)&gt;0.004,"BILLING VARIANCE","MATCH")))</f>
        <v/>
      </c>
    </row>
    <row r="902">
      <c r="A902" s="37" t="inlineStr">
        <is>
          <t>SB-0102</t>
        </is>
      </c>
      <c r="B902" s="37" t="inlineStr">
        <is>
          <t>Salmonberry</t>
        </is>
      </c>
      <c r="C902" s="37" t="inlineStr">
        <is>
          <t>OPEN</t>
        </is>
      </c>
      <c r="D902" s="37" t="inlineStr">
        <is>
          <t>OCCUPIED</t>
        </is>
      </c>
      <c r="E902" s="37" t="inlineStr">
        <is>
          <t>WL-02851</t>
        </is>
      </c>
      <c r="F902" s="37" t="inlineStr">
        <is>
          <t>Andrew Rivera</t>
        </is>
      </c>
      <c r="G902" s="37" t="n">
        <v>32</v>
      </c>
      <c r="H902" s="39" t="n">
        <v>44.3</v>
      </c>
      <c r="I902" s="40">
        <f>ROUNDUP(MAX(G902,H902),0)</f>
        <v/>
      </c>
      <c r="J902" s="41">
        <f>IF(C902="COVERED",'Methodology'!$B$9,'Methodology'!$B$10)</f>
        <v/>
      </c>
      <c r="K902" s="41">
        <f>I902*J902</f>
        <v/>
      </c>
      <c r="L902" s="41">
        <f>SUMIFS('Billing Aug'!$J$2:$J$770,'Billing Aug'!$D$2:$D$770,A902)</f>
        <v/>
      </c>
      <c r="M902" s="41">
        <f>L902-K902</f>
        <v/>
      </c>
      <c r="N902" s="37">
        <f>COUNTIF('Billing Aug'!$D$2:$D$770,A902)</f>
        <v/>
      </c>
      <c r="O902" s="37">
        <f>SUMIFS('Billing Aug'!$F$2:$F$770,'Billing Aug'!$D$2:$D$770,A902)</f>
        <v/>
      </c>
      <c r="P902" s="41">
        <f>IF(N902=0,0,L902-SUMIFS('Billing Aug'!$H$2:$H$770,'Billing Aug'!$D$2:$D$770,A902)*SUMIFS('Billing Aug'!$I$2:$I$770,'Billing Aug'!$D$2:$D$770,A902))</f>
        <v/>
      </c>
      <c r="Q902" s="37">
        <f>IF(N902=0,"NO AUG TRANSACTION IN SUPPLIED EXTRACT",IF(ABS(P902)&gt;0.004,"SUBLEDGER ARITHMETIC ERROR",IF(ABS(M902)&gt;0.004,"BILLING VARIANCE","MATCH")))</f>
        <v/>
      </c>
    </row>
    <row r="903">
      <c r="A903" s="37" t="inlineStr">
        <is>
          <t>SB-0103</t>
        </is>
      </c>
      <c r="B903" s="37" t="inlineStr">
        <is>
          <t>Salmonberry</t>
        </is>
      </c>
      <c r="C903" s="37" t="inlineStr">
        <is>
          <t>OPEN</t>
        </is>
      </c>
      <c r="D903" s="37" t="inlineStr">
        <is>
          <t>OCCUPIED</t>
        </is>
      </c>
      <c r="E903" s="37" t="inlineStr">
        <is>
          <t>WL-03155</t>
        </is>
      </c>
      <c r="F903" s="37" t="inlineStr">
        <is>
          <t>Mark Harvey</t>
        </is>
      </c>
      <c r="G903" s="37" t="n">
        <v>36</v>
      </c>
      <c r="H903" s="39" t="n">
        <v>55.5</v>
      </c>
      <c r="I903" s="40">
        <f>ROUNDUP(MAX(G903,H903),0)</f>
        <v/>
      </c>
      <c r="J903" s="41">
        <f>IF(C903="COVERED",'Methodology'!$B$9,'Methodology'!$B$10)</f>
        <v/>
      </c>
      <c r="K903" s="41">
        <f>I903*J903</f>
        <v/>
      </c>
      <c r="L903" s="41">
        <f>SUMIFS('Billing Aug'!$J$2:$J$770,'Billing Aug'!$D$2:$D$770,A903)</f>
        <v/>
      </c>
      <c r="M903" s="41">
        <f>L903-K903</f>
        <v/>
      </c>
      <c r="N903" s="37">
        <f>COUNTIF('Billing Aug'!$D$2:$D$770,A903)</f>
        <v/>
      </c>
      <c r="O903" s="37">
        <f>SUMIFS('Billing Aug'!$F$2:$F$770,'Billing Aug'!$D$2:$D$770,A903)</f>
        <v/>
      </c>
      <c r="P903" s="41">
        <f>IF(N903=0,0,L903-SUMIFS('Billing Aug'!$H$2:$H$770,'Billing Aug'!$D$2:$D$770,A903)*SUMIFS('Billing Aug'!$I$2:$I$770,'Billing Aug'!$D$2:$D$770,A903))</f>
        <v/>
      </c>
      <c r="Q903" s="37">
        <f>IF(N903=0,"NO AUG TRANSACTION IN SUPPLIED EXTRACT",IF(ABS(P903)&gt;0.004,"SUBLEDGER ARITHMETIC ERROR",IF(ABS(M903)&gt;0.004,"BILLING VARIANCE","MATCH")))</f>
        <v/>
      </c>
    </row>
    <row r="904">
      <c r="A904" s="37" t="inlineStr">
        <is>
          <t>SB-0104</t>
        </is>
      </c>
      <c r="B904" s="37" t="inlineStr">
        <is>
          <t>Salmonberry</t>
        </is>
      </c>
      <c r="C904" s="37" t="inlineStr">
        <is>
          <t>OPEN</t>
        </is>
      </c>
      <c r="D904" s="37" t="inlineStr">
        <is>
          <t>OCCUPIED</t>
        </is>
      </c>
      <c r="E904" s="37" t="inlineStr">
        <is>
          <t>WL-02079</t>
        </is>
      </c>
      <c r="F904" s="37" t="inlineStr">
        <is>
          <t>Vicki Wright</t>
        </is>
      </c>
      <c r="G904" s="37" t="n">
        <v>50</v>
      </c>
      <c r="H904" s="39" t="n">
        <v>52.4</v>
      </c>
      <c r="I904" s="40">
        <f>ROUNDUP(MAX(G904,H904),0)</f>
        <v/>
      </c>
      <c r="J904" s="41">
        <f>IF(C904="COVERED",'Methodology'!$B$9,'Methodology'!$B$10)</f>
        <v/>
      </c>
      <c r="K904" s="41">
        <f>I904*J904</f>
        <v/>
      </c>
      <c r="L904" s="41">
        <f>SUMIFS('Billing Aug'!$J$2:$J$770,'Billing Aug'!$D$2:$D$770,A904)</f>
        <v/>
      </c>
      <c r="M904" s="41">
        <f>L904-K904</f>
        <v/>
      </c>
      <c r="N904" s="37">
        <f>COUNTIF('Billing Aug'!$D$2:$D$770,A904)</f>
        <v/>
      </c>
      <c r="O904" s="37">
        <f>SUMIFS('Billing Aug'!$F$2:$F$770,'Billing Aug'!$D$2:$D$770,A904)</f>
        <v/>
      </c>
      <c r="P904" s="41">
        <f>IF(N904=0,0,L904-SUMIFS('Billing Aug'!$H$2:$H$770,'Billing Aug'!$D$2:$D$770,A904)*SUMIFS('Billing Aug'!$I$2:$I$770,'Billing Aug'!$D$2:$D$770,A904))</f>
        <v/>
      </c>
      <c r="Q904" s="37">
        <f>IF(N904=0,"NO AUG TRANSACTION IN SUPPLIED EXTRACT",IF(ABS(P904)&gt;0.004,"SUBLEDGER ARITHMETIC ERROR",IF(ABS(M904)&gt;0.004,"BILLING VARIANCE","MATCH")))</f>
        <v/>
      </c>
    </row>
    <row r="905">
      <c r="A905" s="37" t="inlineStr">
        <is>
          <t>SB-0106</t>
        </is>
      </c>
      <c r="B905" s="37" t="inlineStr">
        <is>
          <t>Salmonberry</t>
        </is>
      </c>
      <c r="C905" s="37" t="inlineStr">
        <is>
          <t>OPEN</t>
        </is>
      </c>
      <c r="D905" s="37" t="inlineStr">
        <is>
          <t>OCCUPIED</t>
        </is>
      </c>
      <c r="E905" s="37" t="inlineStr">
        <is>
          <t>WL-03736</t>
        </is>
      </c>
      <c r="F905" s="37" t="inlineStr">
        <is>
          <t>Nicole Martinez</t>
        </is>
      </c>
      <c r="G905" s="37" t="n">
        <v>28</v>
      </c>
      <c r="H905" s="39" t="n">
        <v>36.9</v>
      </c>
      <c r="I905" s="40">
        <f>ROUNDUP(MAX(G905,H905),0)</f>
        <v/>
      </c>
      <c r="J905" s="41">
        <f>IF(C905="COVERED",'Methodology'!$B$9,'Methodology'!$B$10)</f>
        <v/>
      </c>
      <c r="K905" s="41">
        <f>I905*J905</f>
        <v/>
      </c>
      <c r="L905" s="41">
        <f>SUMIFS('Billing Aug'!$J$2:$J$770,'Billing Aug'!$D$2:$D$770,A905)</f>
        <v/>
      </c>
      <c r="M905" s="41">
        <f>L905-K905</f>
        <v/>
      </c>
      <c r="N905" s="37">
        <f>COUNTIF('Billing Aug'!$D$2:$D$770,A905)</f>
        <v/>
      </c>
      <c r="O905" s="37">
        <f>SUMIFS('Billing Aug'!$F$2:$F$770,'Billing Aug'!$D$2:$D$770,A905)</f>
        <v/>
      </c>
      <c r="P905" s="41">
        <f>IF(N905=0,0,L905-SUMIFS('Billing Aug'!$H$2:$H$770,'Billing Aug'!$D$2:$D$770,A905)*SUMIFS('Billing Aug'!$I$2:$I$770,'Billing Aug'!$D$2:$D$770,A905))</f>
        <v/>
      </c>
      <c r="Q905" s="37">
        <f>IF(N905=0,"NO AUG TRANSACTION IN SUPPLIED EXTRACT",IF(ABS(P905)&gt;0.004,"SUBLEDGER ARITHMETIC ERROR",IF(ABS(M905)&gt;0.004,"BILLING VARIANCE","MATCH")))</f>
        <v/>
      </c>
    </row>
    <row r="906">
      <c r="A906" s="37" t="inlineStr">
        <is>
          <t>SB-0107</t>
        </is>
      </c>
      <c r="B906" s="37" t="inlineStr">
        <is>
          <t>Salmonberry</t>
        </is>
      </c>
      <c r="C906" s="37" t="inlineStr">
        <is>
          <t>OPEN</t>
        </is>
      </c>
      <c r="D906" s="37" t="inlineStr">
        <is>
          <t>OCCUPIED</t>
        </is>
      </c>
      <c r="E906" s="37" t="inlineStr">
        <is>
          <t>WL-02071</t>
        </is>
      </c>
      <c r="F906" s="37" t="inlineStr">
        <is>
          <t>Cameron Perry</t>
        </is>
      </c>
      <c r="G906" s="37" t="n">
        <v>40</v>
      </c>
      <c r="H906" s="39" t="n">
        <v>47.8</v>
      </c>
      <c r="I906" s="40">
        <f>ROUNDUP(MAX(G906,H906),0)</f>
        <v/>
      </c>
      <c r="J906" s="41">
        <f>IF(C906="COVERED",'Methodology'!$B$9,'Methodology'!$B$10)</f>
        <v/>
      </c>
      <c r="K906" s="41">
        <f>I906*J906</f>
        <v/>
      </c>
      <c r="L906" s="41">
        <f>SUMIFS('Billing Aug'!$J$2:$J$770,'Billing Aug'!$D$2:$D$770,A906)</f>
        <v/>
      </c>
      <c r="M906" s="41">
        <f>L906-K906</f>
        <v/>
      </c>
      <c r="N906" s="37">
        <f>COUNTIF('Billing Aug'!$D$2:$D$770,A906)</f>
        <v/>
      </c>
      <c r="O906" s="37">
        <f>SUMIFS('Billing Aug'!$F$2:$F$770,'Billing Aug'!$D$2:$D$770,A906)</f>
        <v/>
      </c>
      <c r="P906" s="41">
        <f>IF(N906=0,0,L906-SUMIFS('Billing Aug'!$H$2:$H$770,'Billing Aug'!$D$2:$D$770,A906)*SUMIFS('Billing Aug'!$I$2:$I$770,'Billing Aug'!$D$2:$D$770,A906))</f>
        <v/>
      </c>
      <c r="Q906" s="37">
        <f>IF(N906=0,"NO AUG TRANSACTION IN SUPPLIED EXTRACT",IF(ABS(P906)&gt;0.004,"SUBLEDGER ARITHMETIC ERROR",IF(ABS(M906)&gt;0.004,"BILLING VARIANCE","MATCH")))</f>
        <v/>
      </c>
    </row>
    <row r="907">
      <c r="A907" s="37" t="inlineStr">
        <is>
          <t>SB-0108</t>
        </is>
      </c>
      <c r="B907" s="37" t="inlineStr">
        <is>
          <t>Salmonberry</t>
        </is>
      </c>
      <c r="C907" s="37" t="inlineStr">
        <is>
          <t>OPEN</t>
        </is>
      </c>
      <c r="D907" s="37" t="inlineStr">
        <is>
          <t>OCCUPIED</t>
        </is>
      </c>
      <c r="E907" s="37" t="inlineStr">
        <is>
          <t>WL-03452</t>
        </is>
      </c>
      <c r="F907" s="37" t="inlineStr">
        <is>
          <t>Nicole Wood</t>
        </is>
      </c>
      <c r="G907" s="37" t="n">
        <v>28</v>
      </c>
      <c r="H907" s="39" t="n">
        <v>34</v>
      </c>
      <c r="I907" s="40">
        <f>ROUNDUP(MAX(G907,H907),0)</f>
        <v/>
      </c>
      <c r="J907" s="41">
        <f>IF(C907="COVERED",'Methodology'!$B$9,'Methodology'!$B$10)</f>
        <v/>
      </c>
      <c r="K907" s="41">
        <f>I907*J907</f>
        <v/>
      </c>
      <c r="L907" s="41">
        <f>SUMIFS('Billing Aug'!$J$2:$J$770,'Billing Aug'!$D$2:$D$770,A907)</f>
        <v/>
      </c>
      <c r="M907" s="41">
        <f>L907-K907</f>
        <v/>
      </c>
      <c r="N907" s="37">
        <f>COUNTIF('Billing Aug'!$D$2:$D$770,A907)</f>
        <v/>
      </c>
      <c r="O907" s="37">
        <f>SUMIFS('Billing Aug'!$F$2:$F$770,'Billing Aug'!$D$2:$D$770,A907)</f>
        <v/>
      </c>
      <c r="P907" s="41">
        <f>IF(N907=0,0,L907-SUMIFS('Billing Aug'!$H$2:$H$770,'Billing Aug'!$D$2:$D$770,A907)*SUMIFS('Billing Aug'!$I$2:$I$770,'Billing Aug'!$D$2:$D$770,A907))</f>
        <v/>
      </c>
      <c r="Q907" s="37">
        <f>IF(N907=0,"NO AUG TRANSACTION IN SUPPLIED EXTRACT",IF(ABS(P907)&gt;0.004,"SUBLEDGER ARITHMETIC ERROR",IF(ABS(M907)&gt;0.004,"BILLING VARIANCE","MATCH")))</f>
        <v/>
      </c>
    </row>
    <row r="908">
      <c r="A908" s="37" t="inlineStr">
        <is>
          <t>SB-0109</t>
        </is>
      </c>
      <c r="B908" s="37" t="inlineStr">
        <is>
          <t>Salmonberry</t>
        </is>
      </c>
      <c r="C908" s="37" t="inlineStr">
        <is>
          <t>OPEN</t>
        </is>
      </c>
      <c r="D908" s="37" t="inlineStr">
        <is>
          <t>OCCUPIED</t>
        </is>
      </c>
      <c r="E908" s="37" t="inlineStr">
        <is>
          <t>WL-03007</t>
        </is>
      </c>
      <c r="F908" s="37" t="inlineStr">
        <is>
          <t>Brandy Hart</t>
        </is>
      </c>
      <c r="G908" s="37" t="n">
        <v>32</v>
      </c>
      <c r="H908" s="39" t="n">
        <v>24.7</v>
      </c>
      <c r="I908" s="40">
        <f>ROUNDUP(MAX(G908,H908),0)</f>
        <v/>
      </c>
      <c r="J908" s="41">
        <f>IF(C908="COVERED",'Methodology'!$B$9,'Methodology'!$B$10)</f>
        <v/>
      </c>
      <c r="K908" s="41">
        <f>I908*J908</f>
        <v/>
      </c>
      <c r="L908" s="41">
        <f>SUMIFS('Billing Aug'!$J$2:$J$770,'Billing Aug'!$D$2:$D$770,A908)</f>
        <v/>
      </c>
      <c r="M908" s="41">
        <f>L908-K908</f>
        <v/>
      </c>
      <c r="N908" s="37">
        <f>COUNTIF('Billing Aug'!$D$2:$D$770,A908)</f>
        <v/>
      </c>
      <c r="O908" s="37">
        <f>SUMIFS('Billing Aug'!$F$2:$F$770,'Billing Aug'!$D$2:$D$770,A908)</f>
        <v/>
      </c>
      <c r="P908" s="41">
        <f>IF(N908=0,0,L908-SUMIFS('Billing Aug'!$H$2:$H$770,'Billing Aug'!$D$2:$D$770,A908)*SUMIFS('Billing Aug'!$I$2:$I$770,'Billing Aug'!$D$2:$D$770,A908))</f>
        <v/>
      </c>
      <c r="Q908" s="37">
        <f>IF(N908=0,"NO AUG TRANSACTION IN SUPPLIED EXTRACT",IF(ABS(P908)&gt;0.004,"SUBLEDGER ARITHMETIC ERROR",IF(ABS(M908)&gt;0.004,"BILLING VARIANCE","MATCH")))</f>
        <v/>
      </c>
    </row>
    <row r="909">
      <c r="A909" s="37" t="inlineStr">
        <is>
          <t>SB-0110</t>
        </is>
      </c>
      <c r="B909" s="37" t="inlineStr">
        <is>
          <t>Salmonberry</t>
        </is>
      </c>
      <c r="C909" s="37" t="inlineStr">
        <is>
          <t>OPEN</t>
        </is>
      </c>
      <c r="D909" s="37" t="inlineStr">
        <is>
          <t>OCCUPIED</t>
        </is>
      </c>
      <c r="E909" s="37" t="inlineStr">
        <is>
          <t>WL-02641</t>
        </is>
      </c>
      <c r="F909" s="37" t="inlineStr">
        <is>
          <t>Denise Miles</t>
        </is>
      </c>
      <c r="G909" s="37" t="n">
        <v>28</v>
      </c>
      <c r="H909" s="39" t="n">
        <v>34.6</v>
      </c>
      <c r="I909" s="40">
        <f>ROUNDUP(MAX(G909,H909),0)</f>
        <v/>
      </c>
      <c r="J909" s="41">
        <f>IF(C909="COVERED",'Methodology'!$B$9,'Methodology'!$B$10)</f>
        <v/>
      </c>
      <c r="K909" s="41">
        <f>I909*J909</f>
        <v/>
      </c>
      <c r="L909" s="41">
        <f>SUMIFS('Billing Aug'!$J$2:$J$770,'Billing Aug'!$D$2:$D$770,A909)</f>
        <v/>
      </c>
      <c r="M909" s="41">
        <f>L909-K909</f>
        <v/>
      </c>
      <c r="N909" s="37">
        <f>COUNTIF('Billing Aug'!$D$2:$D$770,A909)</f>
        <v/>
      </c>
      <c r="O909" s="37">
        <f>SUMIFS('Billing Aug'!$F$2:$F$770,'Billing Aug'!$D$2:$D$770,A909)</f>
        <v/>
      </c>
      <c r="P909" s="41">
        <f>IF(N909=0,0,L909-SUMIFS('Billing Aug'!$H$2:$H$770,'Billing Aug'!$D$2:$D$770,A909)*SUMIFS('Billing Aug'!$I$2:$I$770,'Billing Aug'!$D$2:$D$770,A909))</f>
        <v/>
      </c>
      <c r="Q909" s="37">
        <f>IF(N909=0,"NO AUG TRANSACTION IN SUPPLIED EXTRACT",IF(ABS(P909)&gt;0.004,"SUBLEDGER ARITHMETIC ERROR",IF(ABS(M909)&gt;0.004,"BILLING VARIANCE","MATCH")))</f>
        <v/>
      </c>
    </row>
    <row r="910">
      <c r="A910" s="37" t="inlineStr">
        <is>
          <t>SB-0111</t>
        </is>
      </c>
      <c r="B910" s="37" t="inlineStr">
        <is>
          <t>Salmonberry</t>
        </is>
      </c>
      <c r="C910" s="37" t="inlineStr">
        <is>
          <t>OPEN</t>
        </is>
      </c>
      <c r="D910" s="37" t="inlineStr">
        <is>
          <t>OCCUPIED</t>
        </is>
      </c>
      <c r="E910" s="37" t="inlineStr">
        <is>
          <t>WL-03610</t>
        </is>
      </c>
      <c r="F910" s="37" t="inlineStr">
        <is>
          <t>David Austin</t>
        </is>
      </c>
      <c r="G910" s="37" t="n">
        <v>45</v>
      </c>
      <c r="H910" s="39" t="n">
        <v>30.5</v>
      </c>
      <c r="I910" s="40">
        <f>ROUNDUP(MAX(G910,H910),0)</f>
        <v/>
      </c>
      <c r="J910" s="41">
        <f>IF(C910="COVERED",'Methodology'!$B$9,'Methodology'!$B$10)</f>
        <v/>
      </c>
      <c r="K910" s="41">
        <f>I910*J910</f>
        <v/>
      </c>
      <c r="L910" s="41">
        <f>SUMIFS('Billing Aug'!$J$2:$J$770,'Billing Aug'!$D$2:$D$770,A910)</f>
        <v/>
      </c>
      <c r="M910" s="41">
        <f>L910-K910</f>
        <v/>
      </c>
      <c r="N910" s="37">
        <f>COUNTIF('Billing Aug'!$D$2:$D$770,A910)</f>
        <v/>
      </c>
      <c r="O910" s="37">
        <f>SUMIFS('Billing Aug'!$F$2:$F$770,'Billing Aug'!$D$2:$D$770,A910)</f>
        <v/>
      </c>
      <c r="P910" s="41">
        <f>IF(N910=0,0,L910-SUMIFS('Billing Aug'!$H$2:$H$770,'Billing Aug'!$D$2:$D$770,A910)*SUMIFS('Billing Aug'!$I$2:$I$770,'Billing Aug'!$D$2:$D$770,A910))</f>
        <v/>
      </c>
      <c r="Q910" s="37">
        <f>IF(N910=0,"NO AUG TRANSACTION IN SUPPLIED EXTRACT",IF(ABS(P910)&gt;0.004,"SUBLEDGER ARITHMETIC ERROR",IF(ABS(M910)&gt;0.004,"BILLING VARIANCE","MATCH")))</f>
        <v/>
      </c>
    </row>
    <row r="911">
      <c r="A911" s="37" t="inlineStr">
        <is>
          <t>SB-0112</t>
        </is>
      </c>
      <c r="B911" s="37" t="inlineStr">
        <is>
          <t>Salmonberry</t>
        </is>
      </c>
      <c r="C911" s="37" t="inlineStr">
        <is>
          <t>OPEN</t>
        </is>
      </c>
      <c r="D911" s="37" t="inlineStr">
        <is>
          <t>OCCUPIED</t>
        </is>
      </c>
      <c r="E911" s="37" t="inlineStr">
        <is>
          <t>WL-03043</t>
        </is>
      </c>
      <c r="F911" s="37" t="inlineStr">
        <is>
          <t>Donald Jones</t>
        </is>
      </c>
      <c r="G911" s="37" t="n">
        <v>32</v>
      </c>
      <c r="H911" s="39" t="n">
        <v>49.9</v>
      </c>
      <c r="I911" s="40">
        <f>ROUNDUP(MAX(G911,H911),0)</f>
        <v/>
      </c>
      <c r="J911" s="41">
        <f>IF(C911="COVERED",'Methodology'!$B$9,'Methodology'!$B$10)</f>
        <v/>
      </c>
      <c r="K911" s="41">
        <f>I911*J911</f>
        <v/>
      </c>
      <c r="L911" s="41">
        <f>SUMIFS('Billing Aug'!$J$2:$J$770,'Billing Aug'!$D$2:$D$770,A911)</f>
        <v/>
      </c>
      <c r="M911" s="41">
        <f>L911-K911</f>
        <v/>
      </c>
      <c r="N911" s="37">
        <f>COUNTIF('Billing Aug'!$D$2:$D$770,A911)</f>
        <v/>
      </c>
      <c r="O911" s="37">
        <f>SUMIFS('Billing Aug'!$F$2:$F$770,'Billing Aug'!$D$2:$D$770,A911)</f>
        <v/>
      </c>
      <c r="P911" s="41">
        <f>IF(N911=0,0,L911-SUMIFS('Billing Aug'!$H$2:$H$770,'Billing Aug'!$D$2:$D$770,A911)*SUMIFS('Billing Aug'!$I$2:$I$770,'Billing Aug'!$D$2:$D$770,A911))</f>
        <v/>
      </c>
      <c r="Q911" s="37">
        <f>IF(N911=0,"NO AUG TRANSACTION IN SUPPLIED EXTRACT",IF(ABS(P911)&gt;0.004,"SUBLEDGER ARITHMETIC ERROR",IF(ABS(M911)&gt;0.004,"BILLING VARIANCE","MATCH")))</f>
        <v/>
      </c>
    </row>
    <row r="912">
      <c r="A912" s="37" t="inlineStr">
        <is>
          <t>SB-0113</t>
        </is>
      </c>
      <c r="B912" s="37" t="inlineStr">
        <is>
          <t>Salmonberry</t>
        </is>
      </c>
      <c r="C912" s="37" t="inlineStr">
        <is>
          <t>OPEN</t>
        </is>
      </c>
      <c r="D912" s="37" t="inlineStr">
        <is>
          <t>OCCUPIED</t>
        </is>
      </c>
      <c r="E912" s="37" t="inlineStr">
        <is>
          <t>WL-03490</t>
        </is>
      </c>
      <c r="F912" s="37" t="inlineStr">
        <is>
          <t>Julian Browning</t>
        </is>
      </c>
      <c r="G912" s="37" t="n">
        <v>36</v>
      </c>
      <c r="H912" s="39" t="n">
        <v>50.7</v>
      </c>
      <c r="I912" s="40">
        <f>ROUNDUP(MAX(G912,H912),0)</f>
        <v/>
      </c>
      <c r="J912" s="41">
        <f>IF(C912="COVERED",'Methodology'!$B$9,'Methodology'!$B$10)</f>
        <v/>
      </c>
      <c r="K912" s="41">
        <f>I912*J912</f>
        <v/>
      </c>
      <c r="L912" s="41">
        <f>SUMIFS('Billing Aug'!$J$2:$J$770,'Billing Aug'!$D$2:$D$770,A912)</f>
        <v/>
      </c>
      <c r="M912" s="41">
        <f>L912-K912</f>
        <v/>
      </c>
      <c r="N912" s="37">
        <f>COUNTIF('Billing Aug'!$D$2:$D$770,A912)</f>
        <v/>
      </c>
      <c r="O912" s="37">
        <f>SUMIFS('Billing Aug'!$F$2:$F$770,'Billing Aug'!$D$2:$D$770,A912)</f>
        <v/>
      </c>
      <c r="P912" s="41">
        <f>IF(N912=0,0,L912-SUMIFS('Billing Aug'!$H$2:$H$770,'Billing Aug'!$D$2:$D$770,A912)*SUMIFS('Billing Aug'!$I$2:$I$770,'Billing Aug'!$D$2:$D$770,A912))</f>
        <v/>
      </c>
      <c r="Q912" s="37">
        <f>IF(N912=0,"NO AUG TRANSACTION IN SUPPLIED EXTRACT",IF(ABS(P912)&gt;0.004,"SUBLEDGER ARITHMETIC ERROR",IF(ABS(M912)&gt;0.004,"BILLING VARIANCE","MATCH")))</f>
        <v/>
      </c>
    </row>
    <row r="913">
      <c r="A913" s="37" t="inlineStr">
        <is>
          <t>SB-0114</t>
        </is>
      </c>
      <c r="B913" s="37" t="inlineStr">
        <is>
          <t>Salmonberry</t>
        </is>
      </c>
      <c r="C913" s="37" t="inlineStr">
        <is>
          <t>OPEN</t>
        </is>
      </c>
      <c r="D913" s="37" t="inlineStr">
        <is>
          <t>OCCUPIED</t>
        </is>
      </c>
      <c r="E913" s="37" t="inlineStr">
        <is>
          <t>WL-03362</t>
        </is>
      </c>
      <c r="F913" s="37" t="inlineStr">
        <is>
          <t>Crystal Porter</t>
        </is>
      </c>
      <c r="G913" s="37" t="n">
        <v>32</v>
      </c>
      <c r="H913" s="39" t="n">
        <v>21</v>
      </c>
      <c r="I913" s="40">
        <f>ROUNDUP(MAX(G913,H913),0)</f>
        <v/>
      </c>
      <c r="J913" s="41">
        <f>IF(C913="COVERED",'Methodology'!$B$9,'Methodology'!$B$10)</f>
        <v/>
      </c>
      <c r="K913" s="41">
        <f>I913*J913</f>
        <v/>
      </c>
      <c r="L913" s="41">
        <f>SUMIFS('Billing Aug'!$J$2:$J$770,'Billing Aug'!$D$2:$D$770,A913)</f>
        <v/>
      </c>
      <c r="M913" s="41">
        <f>L913-K913</f>
        <v/>
      </c>
      <c r="N913" s="37">
        <f>COUNTIF('Billing Aug'!$D$2:$D$770,A913)</f>
        <v/>
      </c>
      <c r="O913" s="37">
        <f>SUMIFS('Billing Aug'!$F$2:$F$770,'Billing Aug'!$D$2:$D$770,A913)</f>
        <v/>
      </c>
      <c r="P913" s="41">
        <f>IF(N913=0,0,L913-SUMIFS('Billing Aug'!$H$2:$H$770,'Billing Aug'!$D$2:$D$770,A913)*SUMIFS('Billing Aug'!$I$2:$I$770,'Billing Aug'!$D$2:$D$770,A913))</f>
        <v/>
      </c>
      <c r="Q913" s="37">
        <f>IF(N913=0,"NO AUG TRANSACTION IN SUPPLIED EXTRACT",IF(ABS(P913)&gt;0.004,"SUBLEDGER ARITHMETIC ERROR",IF(ABS(M913)&gt;0.004,"BILLING VARIANCE","MATCH")))</f>
        <v/>
      </c>
    </row>
    <row r="914">
      <c r="A914" s="37" t="inlineStr">
        <is>
          <t>SB-0115</t>
        </is>
      </c>
      <c r="B914" s="37" t="inlineStr">
        <is>
          <t>Salmonberry</t>
        </is>
      </c>
      <c r="C914" s="37" t="inlineStr">
        <is>
          <t>OPEN</t>
        </is>
      </c>
      <c r="D914" s="37" t="inlineStr">
        <is>
          <t>OCCUPIED</t>
        </is>
      </c>
      <c r="E914" s="37" t="inlineStr">
        <is>
          <t>WL-03018</t>
        </is>
      </c>
      <c r="F914" s="37" t="inlineStr">
        <is>
          <t>Jessica Duffy</t>
        </is>
      </c>
      <c r="G914" s="37" t="n">
        <v>24</v>
      </c>
      <c r="H914" s="39" t="n">
        <v>19.8</v>
      </c>
      <c r="I914" s="40">
        <f>ROUNDUP(MAX(G914,H914),0)</f>
        <v/>
      </c>
      <c r="J914" s="41">
        <f>IF(C914="COVERED",'Methodology'!$B$9,'Methodology'!$B$10)</f>
        <v/>
      </c>
      <c r="K914" s="41">
        <f>I914*J914</f>
        <v/>
      </c>
      <c r="L914" s="41">
        <f>SUMIFS('Billing Aug'!$J$2:$J$770,'Billing Aug'!$D$2:$D$770,A914)</f>
        <v/>
      </c>
      <c r="M914" s="41">
        <f>L914-K914</f>
        <v/>
      </c>
      <c r="N914" s="37">
        <f>COUNTIF('Billing Aug'!$D$2:$D$770,A914)</f>
        <v/>
      </c>
      <c r="O914" s="37">
        <f>SUMIFS('Billing Aug'!$F$2:$F$770,'Billing Aug'!$D$2:$D$770,A914)</f>
        <v/>
      </c>
      <c r="P914" s="41">
        <f>IF(N914=0,0,L914-SUMIFS('Billing Aug'!$H$2:$H$770,'Billing Aug'!$D$2:$D$770,A914)*SUMIFS('Billing Aug'!$I$2:$I$770,'Billing Aug'!$D$2:$D$770,A914))</f>
        <v/>
      </c>
      <c r="Q914" s="37">
        <f>IF(N914=0,"NO AUG TRANSACTION IN SUPPLIED EXTRACT",IF(ABS(P914)&gt;0.004,"SUBLEDGER ARITHMETIC ERROR",IF(ABS(M914)&gt;0.004,"BILLING VARIANCE","MATCH")))</f>
        <v/>
      </c>
    </row>
    <row r="915">
      <c r="A915" s="37" t="inlineStr">
        <is>
          <t>SB-0116</t>
        </is>
      </c>
      <c r="B915" s="37" t="inlineStr">
        <is>
          <t>Salmonberry</t>
        </is>
      </c>
      <c r="C915" s="37" t="inlineStr">
        <is>
          <t>OPEN</t>
        </is>
      </c>
      <c r="D915" s="37" t="inlineStr">
        <is>
          <t>OCCUPIED</t>
        </is>
      </c>
      <c r="E915" s="37" t="inlineStr">
        <is>
          <t>WL-03839</t>
        </is>
      </c>
      <c r="F915" s="37" t="inlineStr">
        <is>
          <t>Sonya May</t>
        </is>
      </c>
      <c r="G915" s="37" t="n">
        <v>70</v>
      </c>
      <c r="H915" s="39" t="n">
        <v>43.2</v>
      </c>
      <c r="I915" s="40">
        <f>ROUNDUP(MAX(G915,H915),0)</f>
        <v/>
      </c>
      <c r="J915" s="41">
        <f>IF(C915="COVERED",'Methodology'!$B$9,'Methodology'!$B$10)</f>
        <v/>
      </c>
      <c r="K915" s="41">
        <f>I915*J915</f>
        <v/>
      </c>
      <c r="L915" s="41">
        <f>SUMIFS('Billing Aug'!$J$2:$J$770,'Billing Aug'!$D$2:$D$770,A915)</f>
        <v/>
      </c>
      <c r="M915" s="41">
        <f>L915-K915</f>
        <v/>
      </c>
      <c r="N915" s="37">
        <f>COUNTIF('Billing Aug'!$D$2:$D$770,A915)</f>
        <v/>
      </c>
      <c r="O915" s="37">
        <f>SUMIFS('Billing Aug'!$F$2:$F$770,'Billing Aug'!$D$2:$D$770,A915)</f>
        <v/>
      </c>
      <c r="P915" s="41">
        <f>IF(N915=0,0,L915-SUMIFS('Billing Aug'!$H$2:$H$770,'Billing Aug'!$D$2:$D$770,A915)*SUMIFS('Billing Aug'!$I$2:$I$770,'Billing Aug'!$D$2:$D$770,A915))</f>
        <v/>
      </c>
      <c r="Q915" s="37">
        <f>IF(N915=0,"NO AUG TRANSACTION IN SUPPLIED EXTRACT",IF(ABS(P915)&gt;0.004,"SUBLEDGER ARITHMETIC ERROR",IF(ABS(M915)&gt;0.004,"BILLING VARIANCE","MATCH")))</f>
        <v/>
      </c>
    </row>
    <row r="916">
      <c r="A916" s="37" t="inlineStr">
        <is>
          <t>SB-0117</t>
        </is>
      </c>
      <c r="B916" s="37" t="inlineStr">
        <is>
          <t>Salmonberry</t>
        </is>
      </c>
      <c r="C916" s="37" t="inlineStr">
        <is>
          <t>OPEN</t>
        </is>
      </c>
      <c r="D916" s="37" t="inlineStr">
        <is>
          <t>OCCUPIED</t>
        </is>
      </c>
      <c r="E916" s="37" t="inlineStr">
        <is>
          <t>WL-02959</t>
        </is>
      </c>
      <c r="F916" s="37" t="inlineStr">
        <is>
          <t>Diamond Zavala</t>
        </is>
      </c>
      <c r="G916" s="37" t="n">
        <v>24</v>
      </c>
      <c r="H916" s="39" t="n">
        <v>31.6</v>
      </c>
      <c r="I916" s="40">
        <f>ROUNDUP(MAX(G916,H916),0)</f>
        <v/>
      </c>
      <c r="J916" s="41">
        <f>IF(C916="COVERED",'Methodology'!$B$9,'Methodology'!$B$10)</f>
        <v/>
      </c>
      <c r="K916" s="41">
        <f>I916*J916</f>
        <v/>
      </c>
      <c r="L916" s="41">
        <f>SUMIFS('Billing Aug'!$J$2:$J$770,'Billing Aug'!$D$2:$D$770,A916)</f>
        <v/>
      </c>
      <c r="M916" s="41">
        <f>L916-K916</f>
        <v/>
      </c>
      <c r="N916" s="37">
        <f>COUNTIF('Billing Aug'!$D$2:$D$770,A916)</f>
        <v/>
      </c>
      <c r="O916" s="37">
        <f>SUMIFS('Billing Aug'!$F$2:$F$770,'Billing Aug'!$D$2:$D$770,A916)</f>
        <v/>
      </c>
      <c r="P916" s="41">
        <f>IF(N916=0,0,L916-SUMIFS('Billing Aug'!$H$2:$H$770,'Billing Aug'!$D$2:$D$770,A916)*SUMIFS('Billing Aug'!$I$2:$I$770,'Billing Aug'!$D$2:$D$770,A916))</f>
        <v/>
      </c>
      <c r="Q916" s="37">
        <f>IF(N916=0,"NO AUG TRANSACTION IN SUPPLIED EXTRACT",IF(ABS(P916)&gt;0.004,"SUBLEDGER ARITHMETIC ERROR",IF(ABS(M916)&gt;0.004,"BILLING VARIANCE","MATCH")))</f>
        <v/>
      </c>
    </row>
    <row r="917">
      <c r="A917" s="37" t="inlineStr">
        <is>
          <t>SB-0118</t>
        </is>
      </c>
      <c r="B917" s="37" t="inlineStr">
        <is>
          <t>Salmonberry</t>
        </is>
      </c>
      <c r="C917" s="37" t="inlineStr">
        <is>
          <t>OPEN</t>
        </is>
      </c>
      <c r="D917" s="37" t="inlineStr">
        <is>
          <t>OCCUPIED</t>
        </is>
      </c>
      <c r="E917" s="37" t="inlineStr">
        <is>
          <t>WL-02380</t>
        </is>
      </c>
      <c r="F917" s="37" t="inlineStr">
        <is>
          <t>John Escobar</t>
        </is>
      </c>
      <c r="G917" s="37" t="n">
        <v>60</v>
      </c>
      <c r="H917" s="39" t="n">
        <v>52.3</v>
      </c>
      <c r="I917" s="40">
        <f>ROUNDUP(MAX(G917,H917),0)</f>
        <v/>
      </c>
      <c r="J917" s="41">
        <f>IF(C917="COVERED",'Methodology'!$B$9,'Methodology'!$B$10)</f>
        <v/>
      </c>
      <c r="K917" s="41">
        <f>I917*J917</f>
        <v/>
      </c>
      <c r="L917" s="41">
        <f>SUMIFS('Billing Aug'!$J$2:$J$770,'Billing Aug'!$D$2:$D$770,A917)</f>
        <v/>
      </c>
      <c r="M917" s="41">
        <f>L917-K917</f>
        <v/>
      </c>
      <c r="N917" s="37">
        <f>COUNTIF('Billing Aug'!$D$2:$D$770,A917)</f>
        <v/>
      </c>
      <c r="O917" s="37">
        <f>SUMIFS('Billing Aug'!$F$2:$F$770,'Billing Aug'!$D$2:$D$770,A917)</f>
        <v/>
      </c>
      <c r="P917" s="41">
        <f>IF(N917=0,0,L917-SUMIFS('Billing Aug'!$H$2:$H$770,'Billing Aug'!$D$2:$D$770,A917)*SUMIFS('Billing Aug'!$I$2:$I$770,'Billing Aug'!$D$2:$D$770,A917))</f>
        <v/>
      </c>
      <c r="Q917" s="37">
        <f>IF(N917=0,"NO AUG TRANSACTION IN SUPPLIED EXTRACT",IF(ABS(P917)&gt;0.004,"SUBLEDGER ARITHMETIC ERROR",IF(ABS(M917)&gt;0.004,"BILLING VARIANCE","MATCH")))</f>
        <v/>
      </c>
    </row>
    <row r="918">
      <c r="A918" s="37" t="inlineStr">
        <is>
          <t>SB-0119</t>
        </is>
      </c>
      <c r="B918" s="37" t="inlineStr">
        <is>
          <t>Salmonberry</t>
        </is>
      </c>
      <c r="C918" s="37" t="inlineStr">
        <is>
          <t>OPEN</t>
        </is>
      </c>
      <c r="D918" s="37" t="inlineStr">
        <is>
          <t>OCCUPIED</t>
        </is>
      </c>
      <c r="E918" s="37" t="inlineStr">
        <is>
          <t>WL-02414</t>
        </is>
      </c>
      <c r="F918" s="37" t="inlineStr">
        <is>
          <t>Ashley Martinez</t>
        </is>
      </c>
      <c r="G918" s="37" t="n">
        <v>32</v>
      </c>
      <c r="H918" s="39" t="n">
        <v>27.8</v>
      </c>
      <c r="I918" s="40">
        <f>ROUNDUP(MAX(G918,H918),0)</f>
        <v/>
      </c>
      <c r="J918" s="41">
        <f>IF(C918="COVERED",'Methodology'!$B$9,'Methodology'!$B$10)</f>
        <v/>
      </c>
      <c r="K918" s="41">
        <f>I918*J918</f>
        <v/>
      </c>
      <c r="L918" s="41">
        <f>SUMIFS('Billing Aug'!$J$2:$J$770,'Billing Aug'!$D$2:$D$770,A918)</f>
        <v/>
      </c>
      <c r="M918" s="41">
        <f>L918-K918</f>
        <v/>
      </c>
      <c r="N918" s="37">
        <f>COUNTIF('Billing Aug'!$D$2:$D$770,A918)</f>
        <v/>
      </c>
      <c r="O918" s="37">
        <f>SUMIFS('Billing Aug'!$F$2:$F$770,'Billing Aug'!$D$2:$D$770,A918)</f>
        <v/>
      </c>
      <c r="P918" s="41">
        <f>IF(N918=0,0,L918-SUMIFS('Billing Aug'!$H$2:$H$770,'Billing Aug'!$D$2:$D$770,A918)*SUMIFS('Billing Aug'!$I$2:$I$770,'Billing Aug'!$D$2:$D$770,A918))</f>
        <v/>
      </c>
      <c r="Q918" s="37">
        <f>IF(N918=0,"NO AUG TRANSACTION IN SUPPLIED EXTRACT",IF(ABS(P918)&gt;0.004,"SUBLEDGER ARITHMETIC ERROR",IF(ABS(M918)&gt;0.004,"BILLING VARIANCE","MATCH")))</f>
        <v/>
      </c>
    </row>
    <row r="919">
      <c r="A919" s="37" t="inlineStr">
        <is>
          <t>SB-0120</t>
        </is>
      </c>
      <c r="B919" s="37" t="inlineStr">
        <is>
          <t>Salmonberry</t>
        </is>
      </c>
      <c r="C919" s="37" t="inlineStr">
        <is>
          <t>OPEN</t>
        </is>
      </c>
      <c r="D919" s="37" t="inlineStr">
        <is>
          <t>OCCUPIED</t>
        </is>
      </c>
      <c r="E919" s="37" t="inlineStr">
        <is>
          <t>WL-03833</t>
        </is>
      </c>
      <c r="F919" s="37" t="inlineStr">
        <is>
          <t>Jenny Miller</t>
        </is>
      </c>
      <c r="G919" s="37" t="n">
        <v>40</v>
      </c>
      <c r="H919" s="39" t="n">
        <v>57.3</v>
      </c>
      <c r="I919" s="40">
        <f>ROUNDUP(MAX(G919,H919),0)</f>
        <v/>
      </c>
      <c r="J919" s="41">
        <f>IF(C919="COVERED",'Methodology'!$B$9,'Methodology'!$B$10)</f>
        <v/>
      </c>
      <c r="K919" s="41">
        <f>I919*J919</f>
        <v/>
      </c>
      <c r="L919" s="41">
        <f>SUMIFS('Billing Aug'!$J$2:$J$770,'Billing Aug'!$D$2:$D$770,A919)</f>
        <v/>
      </c>
      <c r="M919" s="41">
        <f>L919-K919</f>
        <v/>
      </c>
      <c r="N919" s="37">
        <f>COUNTIF('Billing Aug'!$D$2:$D$770,A919)</f>
        <v/>
      </c>
      <c r="O919" s="37">
        <f>SUMIFS('Billing Aug'!$F$2:$F$770,'Billing Aug'!$D$2:$D$770,A919)</f>
        <v/>
      </c>
      <c r="P919" s="41">
        <f>IF(N919=0,0,L919-SUMIFS('Billing Aug'!$H$2:$H$770,'Billing Aug'!$D$2:$D$770,A919)*SUMIFS('Billing Aug'!$I$2:$I$770,'Billing Aug'!$D$2:$D$770,A919))</f>
        <v/>
      </c>
      <c r="Q919" s="37">
        <f>IF(N919=0,"NO AUG TRANSACTION IN SUPPLIED EXTRACT",IF(ABS(P919)&gt;0.004,"SUBLEDGER ARITHMETIC ERROR",IF(ABS(M919)&gt;0.004,"BILLING VARIANCE","MATCH")))</f>
        <v/>
      </c>
    </row>
    <row r="920">
      <c r="A920" s="37" t="inlineStr">
        <is>
          <t>SB-0121</t>
        </is>
      </c>
      <c r="B920" s="37" t="inlineStr">
        <is>
          <t>Salmonberry</t>
        </is>
      </c>
      <c r="C920" s="37" t="inlineStr">
        <is>
          <t>OPEN</t>
        </is>
      </c>
      <c r="D920" s="37" t="inlineStr">
        <is>
          <t>OCCUPIED</t>
        </is>
      </c>
      <c r="E920" s="37" t="inlineStr">
        <is>
          <t>WL-02392</t>
        </is>
      </c>
      <c r="F920" s="37" t="inlineStr">
        <is>
          <t>Michael Jones</t>
        </is>
      </c>
      <c r="G920" s="37" t="n">
        <v>80</v>
      </c>
      <c r="H920" s="39" t="n">
        <v>53.4</v>
      </c>
      <c r="I920" s="40">
        <f>ROUNDUP(MAX(G920,H920),0)</f>
        <v/>
      </c>
      <c r="J920" s="41">
        <f>IF(C920="COVERED",'Methodology'!$B$9,'Methodology'!$B$10)</f>
        <v/>
      </c>
      <c r="K920" s="41">
        <f>I920*J920</f>
        <v/>
      </c>
      <c r="L920" s="41">
        <f>SUMIFS('Billing Aug'!$J$2:$J$770,'Billing Aug'!$D$2:$D$770,A920)</f>
        <v/>
      </c>
      <c r="M920" s="41">
        <f>L920-K920</f>
        <v/>
      </c>
      <c r="N920" s="37">
        <f>COUNTIF('Billing Aug'!$D$2:$D$770,A920)</f>
        <v/>
      </c>
      <c r="O920" s="37">
        <f>SUMIFS('Billing Aug'!$F$2:$F$770,'Billing Aug'!$D$2:$D$770,A920)</f>
        <v/>
      </c>
      <c r="P920" s="41">
        <f>IF(N920=0,0,L920-SUMIFS('Billing Aug'!$H$2:$H$770,'Billing Aug'!$D$2:$D$770,A920)*SUMIFS('Billing Aug'!$I$2:$I$770,'Billing Aug'!$D$2:$D$770,A920))</f>
        <v/>
      </c>
      <c r="Q920" s="37">
        <f>IF(N920=0,"NO AUG TRANSACTION IN SUPPLIED EXTRACT",IF(ABS(P920)&gt;0.004,"SUBLEDGER ARITHMETIC ERROR",IF(ABS(M920)&gt;0.004,"BILLING VARIANCE","MATCH")))</f>
        <v/>
      </c>
    </row>
    <row r="921">
      <c r="A921" s="37" t="inlineStr">
        <is>
          <t>SB-0122</t>
        </is>
      </c>
      <c r="B921" s="37" t="inlineStr">
        <is>
          <t>Salmonberry</t>
        </is>
      </c>
      <c r="C921" s="37" t="inlineStr">
        <is>
          <t>OPEN</t>
        </is>
      </c>
      <c r="D921" s="37" t="inlineStr">
        <is>
          <t>OCCUPIED</t>
        </is>
      </c>
      <c r="E921" s="37" t="inlineStr">
        <is>
          <t>WL-03856</t>
        </is>
      </c>
      <c r="F921" s="37" t="inlineStr">
        <is>
          <t>Taylor Ross</t>
        </is>
      </c>
      <c r="G921" s="37" t="n">
        <v>24</v>
      </c>
      <c r="H921" s="39" t="n">
        <v>23.5</v>
      </c>
      <c r="I921" s="40">
        <f>ROUNDUP(MAX(G921,H921),0)</f>
        <v/>
      </c>
      <c r="J921" s="41">
        <f>IF(C921="COVERED",'Methodology'!$B$9,'Methodology'!$B$10)</f>
        <v/>
      </c>
      <c r="K921" s="41">
        <f>I921*J921</f>
        <v/>
      </c>
      <c r="L921" s="41">
        <f>SUMIFS('Billing Aug'!$J$2:$J$770,'Billing Aug'!$D$2:$D$770,A921)</f>
        <v/>
      </c>
      <c r="M921" s="41">
        <f>L921-K921</f>
        <v/>
      </c>
      <c r="N921" s="37">
        <f>COUNTIF('Billing Aug'!$D$2:$D$770,A921)</f>
        <v/>
      </c>
      <c r="O921" s="37">
        <f>SUMIFS('Billing Aug'!$F$2:$F$770,'Billing Aug'!$D$2:$D$770,A921)</f>
        <v/>
      </c>
      <c r="P921" s="41">
        <f>IF(N921=0,0,L921-SUMIFS('Billing Aug'!$H$2:$H$770,'Billing Aug'!$D$2:$D$770,A921)*SUMIFS('Billing Aug'!$I$2:$I$770,'Billing Aug'!$D$2:$D$770,A921))</f>
        <v/>
      </c>
      <c r="Q921" s="37">
        <f>IF(N921=0,"NO AUG TRANSACTION IN SUPPLIED EXTRACT",IF(ABS(P921)&gt;0.004,"SUBLEDGER ARITHMETIC ERROR",IF(ABS(M921)&gt;0.004,"BILLING VARIANCE","MATCH")))</f>
        <v/>
      </c>
    </row>
    <row r="922">
      <c r="A922" s="37" t="inlineStr">
        <is>
          <t>SB-0201</t>
        </is>
      </c>
      <c r="B922" s="37" t="inlineStr">
        <is>
          <t>Salmonberry</t>
        </is>
      </c>
      <c r="C922" s="37" t="inlineStr">
        <is>
          <t>OPEN</t>
        </is>
      </c>
      <c r="D922" s="37" t="inlineStr">
        <is>
          <t>OCCUPIED</t>
        </is>
      </c>
      <c r="E922" s="37" t="inlineStr">
        <is>
          <t>WL-01401</t>
        </is>
      </c>
      <c r="F922" s="37" t="inlineStr">
        <is>
          <t>Douglas Thompson</t>
        </is>
      </c>
      <c r="G922" s="37" t="n">
        <v>32</v>
      </c>
      <c r="H922" s="39" t="n">
        <v>39.8</v>
      </c>
      <c r="I922" s="40">
        <f>ROUNDUP(MAX(G922,H922),0)</f>
        <v/>
      </c>
      <c r="J922" s="41">
        <f>IF(C922="COVERED",'Methodology'!$B$9,'Methodology'!$B$10)</f>
        <v/>
      </c>
      <c r="K922" s="41">
        <f>I922*J922</f>
        <v/>
      </c>
      <c r="L922" s="41">
        <f>SUMIFS('Billing Aug'!$J$2:$J$770,'Billing Aug'!$D$2:$D$770,A922)</f>
        <v/>
      </c>
      <c r="M922" s="41">
        <f>L922-K922</f>
        <v/>
      </c>
      <c r="N922" s="37">
        <f>COUNTIF('Billing Aug'!$D$2:$D$770,A922)</f>
        <v/>
      </c>
      <c r="O922" s="37">
        <f>SUMIFS('Billing Aug'!$F$2:$F$770,'Billing Aug'!$D$2:$D$770,A922)</f>
        <v/>
      </c>
      <c r="P922" s="41">
        <f>IF(N922=0,0,L922-SUMIFS('Billing Aug'!$H$2:$H$770,'Billing Aug'!$D$2:$D$770,A922)*SUMIFS('Billing Aug'!$I$2:$I$770,'Billing Aug'!$D$2:$D$770,A922))</f>
        <v/>
      </c>
      <c r="Q922" s="37">
        <f>IF(N922=0,"NO AUG TRANSACTION IN SUPPLIED EXTRACT",IF(ABS(P922)&gt;0.004,"SUBLEDGER ARITHMETIC ERROR",IF(ABS(M922)&gt;0.004,"BILLING VARIANCE","MATCH")))</f>
        <v/>
      </c>
    </row>
    <row r="923">
      <c r="A923" s="37" t="inlineStr">
        <is>
          <t>SB-0202</t>
        </is>
      </c>
      <c r="B923" s="37" t="inlineStr">
        <is>
          <t>Salmonberry</t>
        </is>
      </c>
      <c r="C923" s="37" t="inlineStr">
        <is>
          <t>OPEN</t>
        </is>
      </c>
      <c r="D923" s="37" t="inlineStr">
        <is>
          <t>OCCUPIED</t>
        </is>
      </c>
      <c r="E923" s="37" t="inlineStr">
        <is>
          <t>WL-03158</t>
        </is>
      </c>
      <c r="F923" s="37" t="inlineStr">
        <is>
          <t>Andrea Lopez</t>
        </is>
      </c>
      <c r="G923" s="37" t="n">
        <v>80</v>
      </c>
      <c r="H923" s="39" t="n">
        <v>57.9</v>
      </c>
      <c r="I923" s="40">
        <f>ROUNDUP(MAX(G923,H923),0)</f>
        <v/>
      </c>
      <c r="J923" s="41">
        <f>IF(C923="COVERED",'Methodology'!$B$9,'Methodology'!$B$10)</f>
        <v/>
      </c>
      <c r="K923" s="41">
        <f>I923*J923</f>
        <v/>
      </c>
      <c r="L923" s="41">
        <f>SUMIFS('Billing Aug'!$J$2:$J$770,'Billing Aug'!$D$2:$D$770,A923)</f>
        <v/>
      </c>
      <c r="M923" s="41">
        <f>L923-K923</f>
        <v/>
      </c>
      <c r="N923" s="37">
        <f>COUNTIF('Billing Aug'!$D$2:$D$770,A923)</f>
        <v/>
      </c>
      <c r="O923" s="37">
        <f>SUMIFS('Billing Aug'!$F$2:$F$770,'Billing Aug'!$D$2:$D$770,A923)</f>
        <v/>
      </c>
      <c r="P923" s="41">
        <f>IF(N923=0,0,L923-SUMIFS('Billing Aug'!$H$2:$H$770,'Billing Aug'!$D$2:$D$770,A923)*SUMIFS('Billing Aug'!$I$2:$I$770,'Billing Aug'!$D$2:$D$770,A923))</f>
        <v/>
      </c>
      <c r="Q923" s="37">
        <f>IF(N923=0,"NO AUG TRANSACTION IN SUPPLIED EXTRACT",IF(ABS(P923)&gt;0.004,"SUBLEDGER ARITHMETIC ERROR",IF(ABS(M923)&gt;0.004,"BILLING VARIANCE","MATCH")))</f>
        <v/>
      </c>
    </row>
    <row r="924">
      <c r="A924" s="37" t="inlineStr">
        <is>
          <t>SB-0204</t>
        </is>
      </c>
      <c r="B924" s="37" t="inlineStr">
        <is>
          <t>Salmonberry</t>
        </is>
      </c>
      <c r="C924" s="37" t="inlineStr">
        <is>
          <t>OPEN</t>
        </is>
      </c>
      <c r="D924" s="37" t="inlineStr">
        <is>
          <t>OCCUPIED</t>
        </is>
      </c>
      <c r="E924" s="37" t="inlineStr">
        <is>
          <t>WL-01704</t>
        </is>
      </c>
      <c r="F924" s="37" t="inlineStr">
        <is>
          <t>Justin Horn</t>
        </is>
      </c>
      <c r="G924" s="37" t="n">
        <v>32</v>
      </c>
      <c r="H924" s="39" t="n">
        <v>24.6</v>
      </c>
      <c r="I924" s="40">
        <f>ROUNDUP(MAX(G924,H924),0)</f>
        <v/>
      </c>
      <c r="J924" s="41">
        <f>IF(C924="COVERED",'Methodology'!$B$9,'Methodology'!$B$10)</f>
        <v/>
      </c>
      <c r="K924" s="41">
        <f>I924*J924</f>
        <v/>
      </c>
      <c r="L924" s="41">
        <f>SUMIFS('Billing Aug'!$J$2:$J$770,'Billing Aug'!$D$2:$D$770,A924)</f>
        <v/>
      </c>
      <c r="M924" s="41">
        <f>L924-K924</f>
        <v/>
      </c>
      <c r="N924" s="37">
        <f>COUNTIF('Billing Aug'!$D$2:$D$770,A924)</f>
        <v/>
      </c>
      <c r="O924" s="37">
        <f>SUMIFS('Billing Aug'!$F$2:$F$770,'Billing Aug'!$D$2:$D$770,A924)</f>
        <v/>
      </c>
      <c r="P924" s="41">
        <f>IF(N924=0,0,L924-SUMIFS('Billing Aug'!$H$2:$H$770,'Billing Aug'!$D$2:$D$770,A924)*SUMIFS('Billing Aug'!$I$2:$I$770,'Billing Aug'!$D$2:$D$770,A924))</f>
        <v/>
      </c>
      <c r="Q924" s="37">
        <f>IF(N924=0,"NO AUG TRANSACTION IN SUPPLIED EXTRACT",IF(ABS(P924)&gt;0.004,"SUBLEDGER ARITHMETIC ERROR",IF(ABS(M924)&gt;0.004,"BILLING VARIANCE","MATCH")))</f>
        <v/>
      </c>
    </row>
    <row r="925">
      <c r="A925" s="37" t="inlineStr">
        <is>
          <t>SB-0205</t>
        </is>
      </c>
      <c r="B925" s="37" t="inlineStr">
        <is>
          <t>Salmonberry</t>
        </is>
      </c>
      <c r="C925" s="37" t="inlineStr">
        <is>
          <t>OPEN</t>
        </is>
      </c>
      <c r="D925" s="37" t="inlineStr">
        <is>
          <t>OCCUPIED</t>
        </is>
      </c>
      <c r="E925" s="37" t="inlineStr">
        <is>
          <t>WL-03840</t>
        </is>
      </c>
      <c r="F925" s="37" t="inlineStr">
        <is>
          <t>David Davis</t>
        </is>
      </c>
      <c r="G925" s="37" t="n">
        <v>45</v>
      </c>
      <c r="H925" s="39" t="n">
        <v>48.4</v>
      </c>
      <c r="I925" s="40">
        <f>ROUNDUP(MAX(G925,H925),0)</f>
        <v/>
      </c>
      <c r="J925" s="41">
        <f>IF(C925="COVERED",'Methodology'!$B$9,'Methodology'!$B$10)</f>
        <v/>
      </c>
      <c r="K925" s="41">
        <f>I925*J925</f>
        <v/>
      </c>
      <c r="L925" s="41">
        <f>SUMIFS('Billing Aug'!$J$2:$J$770,'Billing Aug'!$D$2:$D$770,A925)</f>
        <v/>
      </c>
      <c r="M925" s="41">
        <f>L925-K925</f>
        <v/>
      </c>
      <c r="N925" s="37">
        <f>COUNTIF('Billing Aug'!$D$2:$D$770,A925)</f>
        <v/>
      </c>
      <c r="O925" s="37">
        <f>SUMIFS('Billing Aug'!$F$2:$F$770,'Billing Aug'!$D$2:$D$770,A925)</f>
        <v/>
      </c>
      <c r="P925" s="41">
        <f>IF(N925=0,0,L925-SUMIFS('Billing Aug'!$H$2:$H$770,'Billing Aug'!$D$2:$D$770,A925)*SUMIFS('Billing Aug'!$I$2:$I$770,'Billing Aug'!$D$2:$D$770,A925))</f>
        <v/>
      </c>
      <c r="Q925" s="37">
        <f>IF(N925=0,"NO AUG TRANSACTION IN SUPPLIED EXTRACT",IF(ABS(P925)&gt;0.004,"SUBLEDGER ARITHMETIC ERROR",IF(ABS(M925)&gt;0.004,"BILLING VARIANCE","MATCH")))</f>
        <v/>
      </c>
    </row>
    <row r="926">
      <c r="A926" s="37" t="inlineStr">
        <is>
          <t>SB-0206</t>
        </is>
      </c>
      <c r="B926" s="37" t="inlineStr">
        <is>
          <t>Salmonberry</t>
        </is>
      </c>
      <c r="C926" s="37" t="inlineStr">
        <is>
          <t>OPEN</t>
        </is>
      </c>
      <c r="D926" s="37" t="inlineStr">
        <is>
          <t>OCCUPIED</t>
        </is>
      </c>
      <c r="E926" s="37" t="inlineStr">
        <is>
          <t>WL-02300</t>
        </is>
      </c>
      <c r="F926" s="37" t="inlineStr">
        <is>
          <t>Carolyn Murray</t>
        </is>
      </c>
      <c r="G926" s="37" t="n">
        <v>32</v>
      </c>
      <c r="H926" s="39" t="n">
        <v>27.3</v>
      </c>
      <c r="I926" s="40">
        <f>ROUNDUP(MAX(G926,H926),0)</f>
        <v/>
      </c>
      <c r="J926" s="41">
        <f>IF(C926="COVERED",'Methodology'!$B$9,'Methodology'!$B$10)</f>
        <v/>
      </c>
      <c r="K926" s="41">
        <f>I926*J926</f>
        <v/>
      </c>
      <c r="L926" s="41">
        <f>SUMIFS('Billing Aug'!$J$2:$J$770,'Billing Aug'!$D$2:$D$770,A926)</f>
        <v/>
      </c>
      <c r="M926" s="41">
        <f>L926-K926</f>
        <v/>
      </c>
      <c r="N926" s="37">
        <f>COUNTIF('Billing Aug'!$D$2:$D$770,A926)</f>
        <v/>
      </c>
      <c r="O926" s="37">
        <f>SUMIFS('Billing Aug'!$F$2:$F$770,'Billing Aug'!$D$2:$D$770,A926)</f>
        <v/>
      </c>
      <c r="P926" s="41">
        <f>IF(N926=0,0,L926-SUMIFS('Billing Aug'!$H$2:$H$770,'Billing Aug'!$D$2:$D$770,A926)*SUMIFS('Billing Aug'!$I$2:$I$770,'Billing Aug'!$D$2:$D$770,A926))</f>
        <v/>
      </c>
      <c r="Q926" s="37">
        <f>IF(N926=0,"NO AUG TRANSACTION IN SUPPLIED EXTRACT",IF(ABS(P926)&gt;0.004,"SUBLEDGER ARITHMETIC ERROR",IF(ABS(M926)&gt;0.004,"BILLING VARIANCE","MATCH")))</f>
        <v/>
      </c>
    </row>
    <row r="927">
      <c r="A927" s="37" t="inlineStr">
        <is>
          <t>SB-0207</t>
        </is>
      </c>
      <c r="B927" s="37" t="inlineStr">
        <is>
          <t>Salmonberry</t>
        </is>
      </c>
      <c r="C927" s="37" t="inlineStr">
        <is>
          <t>OPEN</t>
        </is>
      </c>
      <c r="D927" s="37" t="inlineStr">
        <is>
          <t>OCCUPIED</t>
        </is>
      </c>
      <c r="E927" s="37" t="inlineStr">
        <is>
          <t>WL-02285</t>
        </is>
      </c>
      <c r="F927" s="37" t="inlineStr">
        <is>
          <t>Brian Scott</t>
        </is>
      </c>
      <c r="G927" s="37" t="n">
        <v>24</v>
      </c>
      <c r="H927" s="39" t="n">
        <v>46</v>
      </c>
      <c r="I927" s="40">
        <f>ROUNDUP(MAX(G927,H927),0)</f>
        <v/>
      </c>
      <c r="J927" s="41">
        <f>IF(C927="COVERED",'Methodology'!$B$9,'Methodology'!$B$10)</f>
        <v/>
      </c>
      <c r="K927" s="41">
        <f>I927*J927</f>
        <v/>
      </c>
      <c r="L927" s="41">
        <f>SUMIFS('Billing Aug'!$J$2:$J$770,'Billing Aug'!$D$2:$D$770,A927)</f>
        <v/>
      </c>
      <c r="M927" s="41">
        <f>L927-K927</f>
        <v/>
      </c>
      <c r="N927" s="37">
        <f>COUNTIF('Billing Aug'!$D$2:$D$770,A927)</f>
        <v/>
      </c>
      <c r="O927" s="37">
        <f>SUMIFS('Billing Aug'!$F$2:$F$770,'Billing Aug'!$D$2:$D$770,A927)</f>
        <v/>
      </c>
      <c r="P927" s="41">
        <f>IF(N927=0,0,L927-SUMIFS('Billing Aug'!$H$2:$H$770,'Billing Aug'!$D$2:$D$770,A927)*SUMIFS('Billing Aug'!$I$2:$I$770,'Billing Aug'!$D$2:$D$770,A927))</f>
        <v/>
      </c>
      <c r="Q927" s="37">
        <f>IF(N927=0,"NO AUG TRANSACTION IN SUPPLIED EXTRACT",IF(ABS(P927)&gt;0.004,"SUBLEDGER ARITHMETIC ERROR",IF(ABS(M927)&gt;0.004,"BILLING VARIANCE","MATCH")))</f>
        <v/>
      </c>
    </row>
    <row r="928">
      <c r="A928" s="37" t="inlineStr">
        <is>
          <t>SB-0208</t>
        </is>
      </c>
      <c r="B928" s="37" t="inlineStr">
        <is>
          <t>Salmonberry</t>
        </is>
      </c>
      <c r="C928" s="37" t="inlineStr">
        <is>
          <t>OPEN</t>
        </is>
      </c>
      <c r="D928" s="37" t="inlineStr">
        <is>
          <t>OCCUPIED</t>
        </is>
      </c>
      <c r="E928" s="37" t="inlineStr">
        <is>
          <t>WL-01383</t>
        </is>
      </c>
      <c r="F928" s="37" t="inlineStr">
        <is>
          <t>Donna Henderson</t>
        </is>
      </c>
      <c r="G928" s="37" t="n">
        <v>24</v>
      </c>
      <c r="H928" s="39" t="n">
        <v>27.6</v>
      </c>
      <c r="I928" s="40">
        <f>ROUNDUP(MAX(G928,H928),0)</f>
        <v/>
      </c>
      <c r="J928" s="41">
        <f>IF(C928="COVERED",'Methodology'!$B$9,'Methodology'!$B$10)</f>
        <v/>
      </c>
      <c r="K928" s="41">
        <f>I928*J928</f>
        <v/>
      </c>
      <c r="L928" s="41">
        <f>SUMIFS('Billing Aug'!$J$2:$J$770,'Billing Aug'!$D$2:$D$770,A928)</f>
        <v/>
      </c>
      <c r="M928" s="41">
        <f>L928-K928</f>
        <v/>
      </c>
      <c r="N928" s="37">
        <f>COUNTIF('Billing Aug'!$D$2:$D$770,A928)</f>
        <v/>
      </c>
      <c r="O928" s="37">
        <f>SUMIFS('Billing Aug'!$F$2:$F$770,'Billing Aug'!$D$2:$D$770,A928)</f>
        <v/>
      </c>
      <c r="P928" s="41">
        <f>IF(N928=0,0,L928-SUMIFS('Billing Aug'!$H$2:$H$770,'Billing Aug'!$D$2:$D$770,A928)*SUMIFS('Billing Aug'!$I$2:$I$770,'Billing Aug'!$D$2:$D$770,A928))</f>
        <v/>
      </c>
      <c r="Q928" s="37">
        <f>IF(N928=0,"NO AUG TRANSACTION IN SUPPLIED EXTRACT",IF(ABS(P928)&gt;0.004,"SUBLEDGER ARITHMETIC ERROR",IF(ABS(M928)&gt;0.004,"BILLING VARIANCE","MATCH")))</f>
        <v/>
      </c>
    </row>
    <row r="929">
      <c r="A929" s="37" t="inlineStr">
        <is>
          <t>SB-0209</t>
        </is>
      </c>
      <c r="B929" s="37" t="inlineStr">
        <is>
          <t>Salmonberry</t>
        </is>
      </c>
      <c r="C929" s="37" t="inlineStr">
        <is>
          <t>OPEN</t>
        </is>
      </c>
      <c r="D929" s="37" t="inlineStr">
        <is>
          <t>OCCUPIED</t>
        </is>
      </c>
      <c r="E929" s="37" t="inlineStr">
        <is>
          <t>WL-01114</t>
        </is>
      </c>
      <c r="F929" s="37" t="inlineStr">
        <is>
          <t>Dustin Lambert</t>
        </is>
      </c>
      <c r="G929" s="37" t="n">
        <v>24</v>
      </c>
      <c r="H929" s="39" t="n">
        <v>46.5</v>
      </c>
      <c r="I929" s="40">
        <f>ROUNDUP(MAX(G929,H929),0)</f>
        <v/>
      </c>
      <c r="J929" s="41">
        <f>IF(C929="COVERED",'Methodology'!$B$9,'Methodology'!$B$10)</f>
        <v/>
      </c>
      <c r="K929" s="41">
        <f>I929*J929</f>
        <v/>
      </c>
      <c r="L929" s="41">
        <f>SUMIFS('Billing Aug'!$J$2:$J$770,'Billing Aug'!$D$2:$D$770,A929)</f>
        <v/>
      </c>
      <c r="M929" s="41">
        <f>L929-K929</f>
        <v/>
      </c>
      <c r="N929" s="37">
        <f>COUNTIF('Billing Aug'!$D$2:$D$770,A929)</f>
        <v/>
      </c>
      <c r="O929" s="37">
        <f>SUMIFS('Billing Aug'!$F$2:$F$770,'Billing Aug'!$D$2:$D$770,A929)</f>
        <v/>
      </c>
      <c r="P929" s="41">
        <f>IF(N929=0,0,L929-SUMIFS('Billing Aug'!$H$2:$H$770,'Billing Aug'!$D$2:$D$770,A929)*SUMIFS('Billing Aug'!$I$2:$I$770,'Billing Aug'!$D$2:$D$770,A929))</f>
        <v/>
      </c>
      <c r="Q929" s="37">
        <f>IF(N929=0,"NO AUG TRANSACTION IN SUPPLIED EXTRACT",IF(ABS(P929)&gt;0.004,"SUBLEDGER ARITHMETIC ERROR",IF(ABS(M929)&gt;0.004,"BILLING VARIANCE","MATCH")))</f>
        <v/>
      </c>
    </row>
    <row r="930">
      <c r="A930" s="37" t="inlineStr">
        <is>
          <t>SB-0210</t>
        </is>
      </c>
      <c r="B930" s="37" t="inlineStr">
        <is>
          <t>Salmonberry</t>
        </is>
      </c>
      <c r="C930" s="37" t="inlineStr">
        <is>
          <t>OPEN</t>
        </is>
      </c>
      <c r="D930" s="37" t="inlineStr">
        <is>
          <t>OCCUPIED</t>
        </is>
      </c>
      <c r="E930" s="37" t="inlineStr">
        <is>
          <t>WL-03463</t>
        </is>
      </c>
      <c r="F930" s="37" t="inlineStr">
        <is>
          <t>Chris Dixon</t>
        </is>
      </c>
      <c r="G930" s="37" t="n">
        <v>24</v>
      </c>
      <c r="H930" s="39" t="n">
        <v>39.1</v>
      </c>
      <c r="I930" s="40">
        <f>ROUNDUP(MAX(G930,H930),0)</f>
        <v/>
      </c>
      <c r="J930" s="41">
        <f>IF(C930="COVERED",'Methodology'!$B$9,'Methodology'!$B$10)</f>
        <v/>
      </c>
      <c r="K930" s="41">
        <f>I930*J930</f>
        <v/>
      </c>
      <c r="L930" s="41">
        <f>SUMIFS('Billing Aug'!$J$2:$J$770,'Billing Aug'!$D$2:$D$770,A930)</f>
        <v/>
      </c>
      <c r="M930" s="41">
        <f>L930-K930</f>
        <v/>
      </c>
      <c r="N930" s="37">
        <f>COUNTIF('Billing Aug'!$D$2:$D$770,A930)</f>
        <v/>
      </c>
      <c r="O930" s="37">
        <f>SUMIFS('Billing Aug'!$F$2:$F$770,'Billing Aug'!$D$2:$D$770,A930)</f>
        <v/>
      </c>
      <c r="P930" s="41">
        <f>IF(N930=0,0,L930-SUMIFS('Billing Aug'!$H$2:$H$770,'Billing Aug'!$D$2:$D$770,A930)*SUMIFS('Billing Aug'!$I$2:$I$770,'Billing Aug'!$D$2:$D$770,A930))</f>
        <v/>
      </c>
      <c r="Q930" s="37">
        <f>IF(N930=0,"NO AUG TRANSACTION IN SUPPLIED EXTRACT",IF(ABS(P930)&gt;0.004,"SUBLEDGER ARITHMETIC ERROR",IF(ABS(M930)&gt;0.004,"BILLING VARIANCE","MATCH")))</f>
        <v/>
      </c>
    </row>
    <row r="931">
      <c r="A931" s="37" t="inlineStr">
        <is>
          <t>SB-0211</t>
        </is>
      </c>
      <c r="B931" s="37" t="inlineStr">
        <is>
          <t>Salmonberry</t>
        </is>
      </c>
      <c r="C931" s="37" t="inlineStr">
        <is>
          <t>OPEN</t>
        </is>
      </c>
      <c r="D931" s="37" t="inlineStr">
        <is>
          <t>OCCUPIED</t>
        </is>
      </c>
      <c r="E931" s="37" t="inlineStr">
        <is>
          <t>WL-01011</t>
        </is>
      </c>
      <c r="F931" s="37" t="inlineStr">
        <is>
          <t>Kristen Hughes</t>
        </is>
      </c>
      <c r="G931" s="37" t="n">
        <v>45</v>
      </c>
      <c r="H931" s="39" t="n">
        <v>60.3</v>
      </c>
      <c r="I931" s="40">
        <f>ROUNDUP(MAX(G931,H931),0)</f>
        <v/>
      </c>
      <c r="J931" s="41">
        <f>IF(C931="COVERED",'Methodology'!$B$9,'Methodology'!$B$10)</f>
        <v/>
      </c>
      <c r="K931" s="41">
        <f>I931*J931</f>
        <v/>
      </c>
      <c r="L931" s="41">
        <f>SUMIFS('Billing Aug'!$J$2:$J$770,'Billing Aug'!$D$2:$D$770,A931)</f>
        <v/>
      </c>
      <c r="M931" s="41">
        <f>L931-K931</f>
        <v/>
      </c>
      <c r="N931" s="37">
        <f>COUNTIF('Billing Aug'!$D$2:$D$770,A931)</f>
        <v/>
      </c>
      <c r="O931" s="37">
        <f>SUMIFS('Billing Aug'!$F$2:$F$770,'Billing Aug'!$D$2:$D$770,A931)</f>
        <v/>
      </c>
      <c r="P931" s="41">
        <f>IF(N931=0,0,L931-SUMIFS('Billing Aug'!$H$2:$H$770,'Billing Aug'!$D$2:$D$770,A931)*SUMIFS('Billing Aug'!$I$2:$I$770,'Billing Aug'!$D$2:$D$770,A931))</f>
        <v/>
      </c>
      <c r="Q931" s="37">
        <f>IF(N931=0,"NO AUG TRANSACTION IN SUPPLIED EXTRACT",IF(ABS(P931)&gt;0.004,"SUBLEDGER ARITHMETIC ERROR",IF(ABS(M931)&gt;0.004,"BILLING VARIANCE","MATCH")))</f>
        <v/>
      </c>
    </row>
    <row r="932">
      <c r="A932" s="37" t="inlineStr">
        <is>
          <t>SB-0212</t>
        </is>
      </c>
      <c r="B932" s="37" t="inlineStr">
        <is>
          <t>Salmonberry</t>
        </is>
      </c>
      <c r="C932" s="37" t="inlineStr">
        <is>
          <t>OPEN</t>
        </is>
      </c>
      <c r="D932" s="37" t="inlineStr">
        <is>
          <t>OCCUPIED</t>
        </is>
      </c>
      <c r="E932" s="37" t="inlineStr">
        <is>
          <t>WL-02204</t>
        </is>
      </c>
      <c r="F932" s="37" t="inlineStr">
        <is>
          <t>Julia Hansen</t>
        </is>
      </c>
      <c r="G932" s="37" t="n">
        <v>32</v>
      </c>
      <c r="H932" s="39" t="n">
        <v>58.9</v>
      </c>
      <c r="I932" s="40">
        <f>ROUNDUP(MAX(G932,H932),0)</f>
        <v/>
      </c>
      <c r="J932" s="41">
        <f>IF(C932="COVERED",'Methodology'!$B$9,'Methodology'!$B$10)</f>
        <v/>
      </c>
      <c r="K932" s="41">
        <f>I932*J932</f>
        <v/>
      </c>
      <c r="L932" s="41">
        <f>SUMIFS('Billing Aug'!$J$2:$J$770,'Billing Aug'!$D$2:$D$770,A932)</f>
        <v/>
      </c>
      <c r="M932" s="41">
        <f>L932-K932</f>
        <v/>
      </c>
      <c r="N932" s="37">
        <f>COUNTIF('Billing Aug'!$D$2:$D$770,A932)</f>
        <v/>
      </c>
      <c r="O932" s="37">
        <f>SUMIFS('Billing Aug'!$F$2:$F$770,'Billing Aug'!$D$2:$D$770,A932)</f>
        <v/>
      </c>
      <c r="P932" s="41">
        <f>IF(N932=0,0,L932-SUMIFS('Billing Aug'!$H$2:$H$770,'Billing Aug'!$D$2:$D$770,A932)*SUMIFS('Billing Aug'!$I$2:$I$770,'Billing Aug'!$D$2:$D$770,A932))</f>
        <v/>
      </c>
      <c r="Q932" s="37">
        <f>IF(N932=0,"NO AUG TRANSACTION IN SUPPLIED EXTRACT",IF(ABS(P932)&gt;0.004,"SUBLEDGER ARITHMETIC ERROR",IF(ABS(M932)&gt;0.004,"BILLING VARIANCE","MATCH")))</f>
        <v/>
      </c>
    </row>
    <row r="933">
      <c r="A933" s="37" t="inlineStr">
        <is>
          <t>SB-0213</t>
        </is>
      </c>
      <c r="B933" s="37" t="inlineStr">
        <is>
          <t>Salmonberry</t>
        </is>
      </c>
      <c r="C933" s="37" t="inlineStr">
        <is>
          <t>OPEN</t>
        </is>
      </c>
      <c r="D933" s="37" t="inlineStr">
        <is>
          <t>OCCUPIED</t>
        </is>
      </c>
      <c r="E933" s="37" t="inlineStr">
        <is>
          <t>WL-01573</t>
        </is>
      </c>
      <c r="F933" s="37" t="inlineStr">
        <is>
          <t>Benjamin Jimenez</t>
        </is>
      </c>
      <c r="G933" s="37" t="n">
        <v>40</v>
      </c>
      <c r="H933" s="39" t="n">
        <v>22.7</v>
      </c>
      <c r="I933" s="40">
        <f>ROUNDUP(MAX(G933,H933),0)</f>
        <v/>
      </c>
      <c r="J933" s="41">
        <f>IF(C933="COVERED",'Methodology'!$B$9,'Methodology'!$B$10)</f>
        <v/>
      </c>
      <c r="K933" s="41">
        <f>I933*J933</f>
        <v/>
      </c>
      <c r="L933" s="41">
        <f>SUMIFS('Billing Aug'!$J$2:$J$770,'Billing Aug'!$D$2:$D$770,A933)</f>
        <v/>
      </c>
      <c r="M933" s="41">
        <f>L933-K933</f>
        <v/>
      </c>
      <c r="N933" s="37">
        <f>COUNTIF('Billing Aug'!$D$2:$D$770,A933)</f>
        <v/>
      </c>
      <c r="O933" s="37">
        <f>SUMIFS('Billing Aug'!$F$2:$F$770,'Billing Aug'!$D$2:$D$770,A933)</f>
        <v/>
      </c>
      <c r="P933" s="41">
        <f>IF(N933=0,0,L933-SUMIFS('Billing Aug'!$H$2:$H$770,'Billing Aug'!$D$2:$D$770,A933)*SUMIFS('Billing Aug'!$I$2:$I$770,'Billing Aug'!$D$2:$D$770,A933))</f>
        <v/>
      </c>
      <c r="Q933" s="37">
        <f>IF(N933=0,"NO AUG TRANSACTION IN SUPPLIED EXTRACT",IF(ABS(P933)&gt;0.004,"SUBLEDGER ARITHMETIC ERROR",IF(ABS(M933)&gt;0.004,"BILLING VARIANCE","MATCH")))</f>
        <v/>
      </c>
    </row>
    <row r="934">
      <c r="A934" s="37" t="inlineStr">
        <is>
          <t>SB-0214</t>
        </is>
      </c>
      <c r="B934" s="37" t="inlineStr">
        <is>
          <t>Salmonberry</t>
        </is>
      </c>
      <c r="C934" s="37" t="inlineStr">
        <is>
          <t>OPEN</t>
        </is>
      </c>
      <c r="D934" s="37" t="inlineStr">
        <is>
          <t>OCCUPIED</t>
        </is>
      </c>
      <c r="E934" s="37" t="inlineStr">
        <is>
          <t>WL-01611</t>
        </is>
      </c>
      <c r="F934" s="37" t="inlineStr">
        <is>
          <t>Joshua Diaz</t>
        </is>
      </c>
      <c r="G934" s="37" t="n">
        <v>28</v>
      </c>
      <c r="H934" s="39" t="n">
        <v>58.1</v>
      </c>
      <c r="I934" s="40">
        <f>ROUNDUP(MAX(G934,H934),0)</f>
        <v/>
      </c>
      <c r="J934" s="41">
        <f>IF(C934="COVERED",'Methodology'!$B$9,'Methodology'!$B$10)</f>
        <v/>
      </c>
      <c r="K934" s="41">
        <f>I934*J934</f>
        <v/>
      </c>
      <c r="L934" s="41">
        <f>SUMIFS('Billing Aug'!$J$2:$J$770,'Billing Aug'!$D$2:$D$770,A934)</f>
        <v/>
      </c>
      <c r="M934" s="41">
        <f>L934-K934</f>
        <v/>
      </c>
      <c r="N934" s="37">
        <f>COUNTIF('Billing Aug'!$D$2:$D$770,A934)</f>
        <v/>
      </c>
      <c r="O934" s="37">
        <f>SUMIFS('Billing Aug'!$F$2:$F$770,'Billing Aug'!$D$2:$D$770,A934)</f>
        <v/>
      </c>
      <c r="P934" s="41">
        <f>IF(N934=0,0,L934-SUMIFS('Billing Aug'!$H$2:$H$770,'Billing Aug'!$D$2:$D$770,A934)*SUMIFS('Billing Aug'!$I$2:$I$770,'Billing Aug'!$D$2:$D$770,A934))</f>
        <v/>
      </c>
      <c r="Q934" s="37">
        <f>IF(N934=0,"NO AUG TRANSACTION IN SUPPLIED EXTRACT",IF(ABS(P934)&gt;0.004,"SUBLEDGER ARITHMETIC ERROR",IF(ABS(M934)&gt;0.004,"BILLING VARIANCE","MATCH")))</f>
        <v/>
      </c>
    </row>
    <row r="935">
      <c r="A935" s="37" t="inlineStr">
        <is>
          <t>SB-0215</t>
        </is>
      </c>
      <c r="B935" s="37" t="inlineStr">
        <is>
          <t>Salmonberry</t>
        </is>
      </c>
      <c r="C935" s="37" t="inlineStr">
        <is>
          <t>OPEN</t>
        </is>
      </c>
      <c r="D935" s="37" t="inlineStr">
        <is>
          <t>OCCUPIED</t>
        </is>
      </c>
      <c r="E935" s="37" t="inlineStr">
        <is>
          <t>WL-03513</t>
        </is>
      </c>
      <c r="F935" s="37" t="inlineStr">
        <is>
          <t>Rose Lee</t>
        </is>
      </c>
      <c r="G935" s="37" t="n">
        <v>70</v>
      </c>
      <c r="H935" s="39" t="n">
        <v>47.1</v>
      </c>
      <c r="I935" s="40">
        <f>ROUNDUP(MAX(G935,H935),0)</f>
        <v/>
      </c>
      <c r="J935" s="41">
        <f>IF(C935="COVERED",'Methodology'!$B$9,'Methodology'!$B$10)</f>
        <v/>
      </c>
      <c r="K935" s="41">
        <f>I935*J935</f>
        <v/>
      </c>
      <c r="L935" s="41">
        <f>SUMIFS('Billing Aug'!$J$2:$J$770,'Billing Aug'!$D$2:$D$770,A935)</f>
        <v/>
      </c>
      <c r="M935" s="41">
        <f>L935-K935</f>
        <v/>
      </c>
      <c r="N935" s="37">
        <f>COUNTIF('Billing Aug'!$D$2:$D$770,A935)</f>
        <v/>
      </c>
      <c r="O935" s="37">
        <f>SUMIFS('Billing Aug'!$F$2:$F$770,'Billing Aug'!$D$2:$D$770,A935)</f>
        <v/>
      </c>
      <c r="P935" s="41">
        <f>IF(N935=0,0,L935-SUMIFS('Billing Aug'!$H$2:$H$770,'Billing Aug'!$D$2:$D$770,A935)*SUMIFS('Billing Aug'!$I$2:$I$770,'Billing Aug'!$D$2:$D$770,A935))</f>
        <v/>
      </c>
      <c r="Q935" s="37">
        <f>IF(N935=0,"NO AUG TRANSACTION IN SUPPLIED EXTRACT",IF(ABS(P935)&gt;0.004,"SUBLEDGER ARITHMETIC ERROR",IF(ABS(M935)&gt;0.004,"BILLING VARIANCE","MATCH")))</f>
        <v/>
      </c>
    </row>
    <row r="936">
      <c r="A936" s="37" t="inlineStr">
        <is>
          <t>SB-0216</t>
        </is>
      </c>
      <c r="B936" s="37" t="inlineStr">
        <is>
          <t>Salmonberry</t>
        </is>
      </c>
      <c r="C936" s="37" t="inlineStr">
        <is>
          <t>OPEN</t>
        </is>
      </c>
      <c r="D936" s="37" t="inlineStr">
        <is>
          <t>OCCUPIED</t>
        </is>
      </c>
      <c r="E936" s="37" t="inlineStr">
        <is>
          <t>WL-01900</t>
        </is>
      </c>
      <c r="F936" s="37" t="inlineStr">
        <is>
          <t>Nancy Guerrero</t>
        </is>
      </c>
      <c r="G936" s="37" t="n">
        <v>28</v>
      </c>
      <c r="H936" s="39" t="n">
        <v>37.5</v>
      </c>
      <c r="I936" s="40">
        <f>ROUNDUP(MAX(G936,H936),0)</f>
        <v/>
      </c>
      <c r="J936" s="41">
        <f>IF(C936="COVERED",'Methodology'!$B$9,'Methodology'!$B$10)</f>
        <v/>
      </c>
      <c r="K936" s="41">
        <f>I936*J936</f>
        <v/>
      </c>
      <c r="L936" s="41">
        <f>SUMIFS('Billing Aug'!$J$2:$J$770,'Billing Aug'!$D$2:$D$770,A936)</f>
        <v/>
      </c>
      <c r="M936" s="41">
        <f>L936-K936</f>
        <v/>
      </c>
      <c r="N936" s="37">
        <f>COUNTIF('Billing Aug'!$D$2:$D$770,A936)</f>
        <v/>
      </c>
      <c r="O936" s="37">
        <f>SUMIFS('Billing Aug'!$F$2:$F$770,'Billing Aug'!$D$2:$D$770,A936)</f>
        <v/>
      </c>
      <c r="P936" s="41">
        <f>IF(N936=0,0,L936-SUMIFS('Billing Aug'!$H$2:$H$770,'Billing Aug'!$D$2:$D$770,A936)*SUMIFS('Billing Aug'!$I$2:$I$770,'Billing Aug'!$D$2:$D$770,A936))</f>
        <v/>
      </c>
      <c r="Q936" s="37">
        <f>IF(N936=0,"NO AUG TRANSACTION IN SUPPLIED EXTRACT",IF(ABS(P936)&gt;0.004,"SUBLEDGER ARITHMETIC ERROR",IF(ABS(M936)&gt;0.004,"BILLING VARIANCE","MATCH")))</f>
        <v/>
      </c>
    </row>
    <row r="937">
      <c r="A937" s="37" t="inlineStr">
        <is>
          <t>SB-0217</t>
        </is>
      </c>
      <c r="B937" s="37" t="inlineStr">
        <is>
          <t>Salmonberry</t>
        </is>
      </c>
      <c r="C937" s="37" t="inlineStr">
        <is>
          <t>OPEN</t>
        </is>
      </c>
      <c r="D937" s="37" t="inlineStr">
        <is>
          <t>OCCUPIED</t>
        </is>
      </c>
      <c r="E937" s="37" t="inlineStr">
        <is>
          <t>WL-03724</t>
        </is>
      </c>
      <c r="F937" s="37" t="inlineStr">
        <is>
          <t>Ryan Garza</t>
        </is>
      </c>
      <c r="G937" s="37" t="n">
        <v>50</v>
      </c>
      <c r="H937" s="39" t="n">
        <v>44.2</v>
      </c>
      <c r="I937" s="40">
        <f>ROUNDUP(MAX(G937,H937),0)</f>
        <v/>
      </c>
      <c r="J937" s="41">
        <f>IF(C937="COVERED",'Methodology'!$B$9,'Methodology'!$B$10)</f>
        <v/>
      </c>
      <c r="K937" s="41">
        <f>I937*J937</f>
        <v/>
      </c>
      <c r="L937" s="41">
        <f>SUMIFS('Billing Aug'!$J$2:$J$770,'Billing Aug'!$D$2:$D$770,A937)</f>
        <v/>
      </c>
      <c r="M937" s="41">
        <f>L937-K937</f>
        <v/>
      </c>
      <c r="N937" s="37">
        <f>COUNTIF('Billing Aug'!$D$2:$D$770,A937)</f>
        <v/>
      </c>
      <c r="O937" s="37">
        <f>SUMIFS('Billing Aug'!$F$2:$F$770,'Billing Aug'!$D$2:$D$770,A937)</f>
        <v/>
      </c>
      <c r="P937" s="41">
        <f>IF(N937=0,0,L937-SUMIFS('Billing Aug'!$H$2:$H$770,'Billing Aug'!$D$2:$D$770,A937)*SUMIFS('Billing Aug'!$I$2:$I$770,'Billing Aug'!$D$2:$D$770,A937))</f>
        <v/>
      </c>
      <c r="Q937" s="37">
        <f>IF(N937=0,"NO AUG TRANSACTION IN SUPPLIED EXTRACT",IF(ABS(P937)&gt;0.004,"SUBLEDGER ARITHMETIC ERROR",IF(ABS(M937)&gt;0.004,"BILLING VARIANCE","MATCH")))</f>
        <v/>
      </c>
    </row>
    <row r="938">
      <c r="A938" s="37" t="inlineStr">
        <is>
          <t>SB-0218</t>
        </is>
      </c>
      <c r="B938" s="37" t="inlineStr">
        <is>
          <t>Salmonberry</t>
        </is>
      </c>
      <c r="C938" s="37" t="inlineStr">
        <is>
          <t>OPEN</t>
        </is>
      </c>
      <c r="D938" s="37" t="inlineStr">
        <is>
          <t>OCCUPIED</t>
        </is>
      </c>
      <c r="E938" s="37" t="inlineStr">
        <is>
          <t>WL-03103</t>
        </is>
      </c>
      <c r="F938" s="37" t="inlineStr">
        <is>
          <t>Thomas Roman</t>
        </is>
      </c>
      <c r="G938" s="37" t="n">
        <v>50</v>
      </c>
      <c r="H938" s="39" t="n">
        <v>48.8</v>
      </c>
      <c r="I938" s="40">
        <f>ROUNDUP(MAX(G938,H938),0)</f>
        <v/>
      </c>
      <c r="J938" s="41">
        <f>IF(C938="COVERED",'Methodology'!$B$9,'Methodology'!$B$10)</f>
        <v/>
      </c>
      <c r="K938" s="41">
        <f>I938*J938</f>
        <v/>
      </c>
      <c r="L938" s="41">
        <f>SUMIFS('Billing Aug'!$J$2:$J$770,'Billing Aug'!$D$2:$D$770,A938)</f>
        <v/>
      </c>
      <c r="M938" s="41">
        <f>L938-K938</f>
        <v/>
      </c>
      <c r="N938" s="37">
        <f>COUNTIF('Billing Aug'!$D$2:$D$770,A938)</f>
        <v/>
      </c>
      <c r="O938" s="37">
        <f>SUMIFS('Billing Aug'!$F$2:$F$770,'Billing Aug'!$D$2:$D$770,A938)</f>
        <v/>
      </c>
      <c r="P938" s="41">
        <f>IF(N938=0,0,L938-SUMIFS('Billing Aug'!$H$2:$H$770,'Billing Aug'!$D$2:$D$770,A938)*SUMIFS('Billing Aug'!$I$2:$I$770,'Billing Aug'!$D$2:$D$770,A938))</f>
        <v/>
      </c>
      <c r="Q938" s="37">
        <f>IF(N938=0,"NO AUG TRANSACTION IN SUPPLIED EXTRACT",IF(ABS(P938)&gt;0.004,"SUBLEDGER ARITHMETIC ERROR",IF(ABS(M938)&gt;0.004,"BILLING VARIANCE","MATCH")))</f>
        <v/>
      </c>
    </row>
    <row r="939">
      <c r="A939" s="37" t="inlineStr">
        <is>
          <t>SB-0219</t>
        </is>
      </c>
      <c r="B939" s="37" t="inlineStr">
        <is>
          <t>Salmonberry</t>
        </is>
      </c>
      <c r="C939" s="37" t="inlineStr">
        <is>
          <t>OPEN</t>
        </is>
      </c>
      <c r="D939" s="37" t="inlineStr">
        <is>
          <t>OCCUPIED</t>
        </is>
      </c>
      <c r="E939" s="37" t="inlineStr">
        <is>
          <t>WL-03588</t>
        </is>
      </c>
      <c r="F939" s="37" t="inlineStr">
        <is>
          <t>Angela Olson</t>
        </is>
      </c>
      <c r="G939" s="37" t="n">
        <v>28</v>
      </c>
      <c r="H939" s="39" t="n">
        <v>51.5</v>
      </c>
      <c r="I939" s="40">
        <f>ROUNDUP(MAX(G939,H939),0)</f>
        <v/>
      </c>
      <c r="J939" s="41">
        <f>IF(C939="COVERED",'Methodology'!$B$9,'Methodology'!$B$10)</f>
        <v/>
      </c>
      <c r="K939" s="41">
        <f>I939*J939</f>
        <v/>
      </c>
      <c r="L939" s="41">
        <f>SUMIFS('Billing Aug'!$J$2:$J$770,'Billing Aug'!$D$2:$D$770,A939)</f>
        <v/>
      </c>
      <c r="M939" s="41">
        <f>L939-K939</f>
        <v/>
      </c>
      <c r="N939" s="37">
        <f>COUNTIF('Billing Aug'!$D$2:$D$770,A939)</f>
        <v/>
      </c>
      <c r="O939" s="37">
        <f>SUMIFS('Billing Aug'!$F$2:$F$770,'Billing Aug'!$D$2:$D$770,A939)</f>
        <v/>
      </c>
      <c r="P939" s="41">
        <f>IF(N939=0,0,L939-SUMIFS('Billing Aug'!$H$2:$H$770,'Billing Aug'!$D$2:$D$770,A939)*SUMIFS('Billing Aug'!$I$2:$I$770,'Billing Aug'!$D$2:$D$770,A939))</f>
        <v/>
      </c>
      <c r="Q939" s="37">
        <f>IF(N939=0,"NO AUG TRANSACTION IN SUPPLIED EXTRACT",IF(ABS(P939)&gt;0.004,"SUBLEDGER ARITHMETIC ERROR",IF(ABS(M939)&gt;0.004,"BILLING VARIANCE","MATCH")))</f>
        <v/>
      </c>
    </row>
    <row r="940">
      <c r="A940" s="37" t="inlineStr">
        <is>
          <t>SB-0220</t>
        </is>
      </c>
      <c r="B940" s="37" t="inlineStr">
        <is>
          <t>Salmonberry</t>
        </is>
      </c>
      <c r="C940" s="37" t="inlineStr">
        <is>
          <t>OPEN</t>
        </is>
      </c>
      <c r="D940" s="37" t="inlineStr">
        <is>
          <t>OCCUPIED</t>
        </is>
      </c>
      <c r="E940" s="37" t="inlineStr">
        <is>
          <t>WL-02617</t>
        </is>
      </c>
      <c r="F940" s="37" t="inlineStr">
        <is>
          <t>Shane Lozano</t>
        </is>
      </c>
      <c r="G940" s="37" t="n">
        <v>40</v>
      </c>
      <c r="H940" s="39" t="n">
        <v>26.4</v>
      </c>
      <c r="I940" s="40">
        <f>ROUNDUP(MAX(G940,H940),0)</f>
        <v/>
      </c>
      <c r="J940" s="41">
        <f>IF(C940="COVERED",'Methodology'!$B$9,'Methodology'!$B$10)</f>
        <v/>
      </c>
      <c r="K940" s="41">
        <f>I940*J940</f>
        <v/>
      </c>
      <c r="L940" s="41">
        <f>SUMIFS('Billing Aug'!$J$2:$J$770,'Billing Aug'!$D$2:$D$770,A940)</f>
        <v/>
      </c>
      <c r="M940" s="41">
        <f>L940-K940</f>
        <v/>
      </c>
      <c r="N940" s="37">
        <f>COUNTIF('Billing Aug'!$D$2:$D$770,A940)</f>
        <v/>
      </c>
      <c r="O940" s="37">
        <f>SUMIFS('Billing Aug'!$F$2:$F$770,'Billing Aug'!$D$2:$D$770,A940)</f>
        <v/>
      </c>
      <c r="P940" s="41">
        <f>IF(N940=0,0,L940-SUMIFS('Billing Aug'!$H$2:$H$770,'Billing Aug'!$D$2:$D$770,A940)*SUMIFS('Billing Aug'!$I$2:$I$770,'Billing Aug'!$D$2:$D$770,A940))</f>
        <v/>
      </c>
      <c r="Q940" s="37">
        <f>IF(N940=0,"NO AUG TRANSACTION IN SUPPLIED EXTRACT",IF(ABS(P940)&gt;0.004,"SUBLEDGER ARITHMETIC ERROR",IF(ABS(M940)&gt;0.004,"BILLING VARIANCE","MATCH")))</f>
        <v/>
      </c>
    </row>
    <row r="941">
      <c r="A941" s="37" t="inlineStr">
        <is>
          <t>SB-0222</t>
        </is>
      </c>
      <c r="B941" s="37" t="inlineStr">
        <is>
          <t>Salmonberry</t>
        </is>
      </c>
      <c r="C941" s="37" t="inlineStr">
        <is>
          <t>OPEN</t>
        </is>
      </c>
      <c r="D941" s="37" t="inlineStr">
        <is>
          <t>OCCUPIED</t>
        </is>
      </c>
      <c r="E941" s="37" t="inlineStr">
        <is>
          <t>WL-02483</t>
        </is>
      </c>
      <c r="F941" s="37" t="inlineStr">
        <is>
          <t>Benjamin Gomez</t>
        </is>
      </c>
      <c r="G941" s="37" t="n">
        <v>32</v>
      </c>
      <c r="H941" s="39" t="n">
        <v>23.2</v>
      </c>
      <c r="I941" s="40">
        <f>ROUNDUP(MAX(G941,H941),0)</f>
        <v/>
      </c>
      <c r="J941" s="41">
        <f>IF(C941="COVERED",'Methodology'!$B$9,'Methodology'!$B$10)</f>
        <v/>
      </c>
      <c r="K941" s="41">
        <f>I941*J941</f>
        <v/>
      </c>
      <c r="L941" s="41">
        <f>SUMIFS('Billing Aug'!$J$2:$J$770,'Billing Aug'!$D$2:$D$770,A941)</f>
        <v/>
      </c>
      <c r="M941" s="41">
        <f>L941-K941</f>
        <v/>
      </c>
      <c r="N941" s="37">
        <f>COUNTIF('Billing Aug'!$D$2:$D$770,A941)</f>
        <v/>
      </c>
      <c r="O941" s="37">
        <f>SUMIFS('Billing Aug'!$F$2:$F$770,'Billing Aug'!$D$2:$D$770,A941)</f>
        <v/>
      </c>
      <c r="P941" s="41">
        <f>IF(N941=0,0,L941-SUMIFS('Billing Aug'!$H$2:$H$770,'Billing Aug'!$D$2:$D$770,A941)*SUMIFS('Billing Aug'!$I$2:$I$770,'Billing Aug'!$D$2:$D$770,A941))</f>
        <v/>
      </c>
      <c r="Q941" s="37">
        <f>IF(N941=0,"NO AUG TRANSACTION IN SUPPLIED EXTRACT",IF(ABS(P941)&gt;0.004,"SUBLEDGER ARITHMETIC ERROR",IF(ABS(M941)&gt;0.004,"BILLING VARIANCE","MATCH")))</f>
        <v/>
      </c>
    </row>
    <row r="942">
      <c r="A942" s="37" t="inlineStr">
        <is>
          <t>SB-0223</t>
        </is>
      </c>
      <c r="B942" s="37" t="inlineStr">
        <is>
          <t>Salmonberry</t>
        </is>
      </c>
      <c r="C942" s="37" t="inlineStr">
        <is>
          <t>OPEN</t>
        </is>
      </c>
      <c r="D942" s="37" t="inlineStr">
        <is>
          <t>OCCUPIED</t>
        </is>
      </c>
      <c r="E942" s="37" t="inlineStr">
        <is>
          <t>WL-03116</t>
        </is>
      </c>
      <c r="F942" s="37" t="inlineStr">
        <is>
          <t>Anthony Kennedy</t>
        </is>
      </c>
      <c r="G942" s="37" t="n">
        <v>80</v>
      </c>
      <c r="H942" s="39" t="n">
        <v>48.6</v>
      </c>
      <c r="I942" s="40">
        <f>ROUNDUP(MAX(G942,H942),0)</f>
        <v/>
      </c>
      <c r="J942" s="41">
        <f>IF(C942="COVERED",'Methodology'!$B$9,'Methodology'!$B$10)</f>
        <v/>
      </c>
      <c r="K942" s="41">
        <f>I942*J942</f>
        <v/>
      </c>
      <c r="L942" s="41">
        <f>SUMIFS('Billing Aug'!$J$2:$J$770,'Billing Aug'!$D$2:$D$770,A942)</f>
        <v/>
      </c>
      <c r="M942" s="41">
        <f>L942-K942</f>
        <v/>
      </c>
      <c r="N942" s="37">
        <f>COUNTIF('Billing Aug'!$D$2:$D$770,A942)</f>
        <v/>
      </c>
      <c r="O942" s="37">
        <f>SUMIFS('Billing Aug'!$F$2:$F$770,'Billing Aug'!$D$2:$D$770,A942)</f>
        <v/>
      </c>
      <c r="P942" s="41">
        <f>IF(N942=0,0,L942-SUMIFS('Billing Aug'!$H$2:$H$770,'Billing Aug'!$D$2:$D$770,A942)*SUMIFS('Billing Aug'!$I$2:$I$770,'Billing Aug'!$D$2:$D$770,A942))</f>
        <v/>
      </c>
      <c r="Q942" s="37">
        <f>IF(N942=0,"NO AUG TRANSACTION IN SUPPLIED EXTRACT",IF(ABS(P942)&gt;0.004,"SUBLEDGER ARITHMETIC ERROR",IF(ABS(M942)&gt;0.004,"BILLING VARIANCE","MATCH")))</f>
        <v/>
      </c>
    </row>
    <row r="943">
      <c r="A943" s="37" t="inlineStr">
        <is>
          <t>SB-0224</t>
        </is>
      </c>
      <c r="B943" s="37" t="inlineStr">
        <is>
          <t>Salmonberry</t>
        </is>
      </c>
      <c r="C943" s="37" t="inlineStr">
        <is>
          <t>OPEN</t>
        </is>
      </c>
      <c r="D943" s="37" t="inlineStr">
        <is>
          <t>OCCUPIED</t>
        </is>
      </c>
      <c r="E943" s="37" t="inlineStr">
        <is>
          <t>WL-01960</t>
        </is>
      </c>
      <c r="F943" s="37" t="inlineStr">
        <is>
          <t>Sean Smith</t>
        </is>
      </c>
      <c r="G943" s="37" t="n">
        <v>32</v>
      </c>
      <c r="H943" s="39" t="n">
        <v>30.9</v>
      </c>
      <c r="I943" s="40">
        <f>ROUNDUP(MAX(G943,H943),0)</f>
        <v/>
      </c>
      <c r="J943" s="41">
        <f>IF(C943="COVERED",'Methodology'!$B$9,'Methodology'!$B$10)</f>
        <v/>
      </c>
      <c r="K943" s="41">
        <f>I943*J943</f>
        <v/>
      </c>
      <c r="L943" s="41">
        <f>SUMIFS('Billing Aug'!$J$2:$J$770,'Billing Aug'!$D$2:$D$770,A943)</f>
        <v/>
      </c>
      <c r="M943" s="41">
        <f>L943-K943</f>
        <v/>
      </c>
      <c r="N943" s="37">
        <f>COUNTIF('Billing Aug'!$D$2:$D$770,A943)</f>
        <v/>
      </c>
      <c r="O943" s="37">
        <f>SUMIFS('Billing Aug'!$F$2:$F$770,'Billing Aug'!$D$2:$D$770,A943)</f>
        <v/>
      </c>
      <c r="P943" s="41">
        <f>IF(N943=0,0,L943-SUMIFS('Billing Aug'!$H$2:$H$770,'Billing Aug'!$D$2:$D$770,A943)*SUMIFS('Billing Aug'!$I$2:$I$770,'Billing Aug'!$D$2:$D$770,A943))</f>
        <v/>
      </c>
      <c r="Q943" s="37">
        <f>IF(N943=0,"NO AUG TRANSACTION IN SUPPLIED EXTRACT",IF(ABS(P943)&gt;0.004,"SUBLEDGER ARITHMETIC ERROR",IF(ABS(M943)&gt;0.004,"BILLING VARIANCE","MATCH")))</f>
        <v/>
      </c>
    </row>
    <row r="944">
      <c r="A944" s="37" t="inlineStr">
        <is>
          <t>SB-0301</t>
        </is>
      </c>
      <c r="B944" s="37" t="inlineStr">
        <is>
          <t>Salmonberry</t>
        </is>
      </c>
      <c r="C944" s="37" t="inlineStr">
        <is>
          <t>OPEN</t>
        </is>
      </c>
      <c r="D944" s="37" t="inlineStr">
        <is>
          <t>OCCUPIED</t>
        </is>
      </c>
      <c r="E944" s="37" t="inlineStr">
        <is>
          <t>WL-03355</t>
        </is>
      </c>
      <c r="F944" s="37" t="inlineStr">
        <is>
          <t>Sarah King</t>
        </is>
      </c>
      <c r="G944" s="37" t="n">
        <v>70</v>
      </c>
      <c r="H944" s="39" t="n">
        <v>57.4</v>
      </c>
      <c r="I944" s="40">
        <f>ROUNDUP(MAX(G944,H944),0)</f>
        <v/>
      </c>
      <c r="J944" s="41">
        <f>IF(C944="COVERED",'Methodology'!$B$9,'Methodology'!$B$10)</f>
        <v/>
      </c>
      <c r="K944" s="41">
        <f>I944*J944</f>
        <v/>
      </c>
      <c r="L944" s="41">
        <f>SUMIFS('Billing Aug'!$J$2:$J$770,'Billing Aug'!$D$2:$D$770,A944)</f>
        <v/>
      </c>
      <c r="M944" s="41">
        <f>L944-K944</f>
        <v/>
      </c>
      <c r="N944" s="37">
        <f>COUNTIF('Billing Aug'!$D$2:$D$770,A944)</f>
        <v/>
      </c>
      <c r="O944" s="37">
        <f>SUMIFS('Billing Aug'!$F$2:$F$770,'Billing Aug'!$D$2:$D$770,A944)</f>
        <v/>
      </c>
      <c r="P944" s="41">
        <f>IF(N944=0,0,L944-SUMIFS('Billing Aug'!$H$2:$H$770,'Billing Aug'!$D$2:$D$770,A944)*SUMIFS('Billing Aug'!$I$2:$I$770,'Billing Aug'!$D$2:$D$770,A944))</f>
        <v/>
      </c>
      <c r="Q944" s="37">
        <f>IF(N944=0,"NO AUG TRANSACTION IN SUPPLIED EXTRACT",IF(ABS(P944)&gt;0.004,"SUBLEDGER ARITHMETIC ERROR",IF(ABS(M944)&gt;0.004,"BILLING VARIANCE","MATCH")))</f>
        <v/>
      </c>
    </row>
    <row r="945">
      <c r="A945" s="37" t="inlineStr">
        <is>
          <t>SB-0302</t>
        </is>
      </c>
      <c r="B945" s="37" t="inlineStr">
        <is>
          <t>Salmonberry</t>
        </is>
      </c>
      <c r="C945" s="37" t="inlineStr">
        <is>
          <t>OPEN</t>
        </is>
      </c>
      <c r="D945" s="37" t="inlineStr">
        <is>
          <t>OCCUPIED</t>
        </is>
      </c>
      <c r="E945" s="37" t="inlineStr">
        <is>
          <t>WL-01068</t>
        </is>
      </c>
      <c r="F945" s="37" t="inlineStr">
        <is>
          <t>Charles Thomas</t>
        </is>
      </c>
      <c r="G945" s="37" t="n">
        <v>28</v>
      </c>
      <c r="H945" s="39" t="n">
        <v>20.7</v>
      </c>
      <c r="I945" s="40">
        <f>ROUNDUP(MAX(G945,H945),0)</f>
        <v/>
      </c>
      <c r="J945" s="41">
        <f>IF(C945="COVERED",'Methodology'!$B$9,'Methodology'!$B$10)</f>
        <v/>
      </c>
      <c r="K945" s="41">
        <f>I945*J945</f>
        <v/>
      </c>
      <c r="L945" s="41">
        <f>SUMIFS('Billing Aug'!$J$2:$J$770,'Billing Aug'!$D$2:$D$770,A945)</f>
        <v/>
      </c>
      <c r="M945" s="41">
        <f>L945-K945</f>
        <v/>
      </c>
      <c r="N945" s="37">
        <f>COUNTIF('Billing Aug'!$D$2:$D$770,A945)</f>
        <v/>
      </c>
      <c r="O945" s="37">
        <f>SUMIFS('Billing Aug'!$F$2:$F$770,'Billing Aug'!$D$2:$D$770,A945)</f>
        <v/>
      </c>
      <c r="P945" s="41">
        <f>IF(N945=0,0,L945-SUMIFS('Billing Aug'!$H$2:$H$770,'Billing Aug'!$D$2:$D$770,A945)*SUMIFS('Billing Aug'!$I$2:$I$770,'Billing Aug'!$D$2:$D$770,A945))</f>
        <v/>
      </c>
      <c r="Q945" s="37">
        <f>IF(N945=0,"NO AUG TRANSACTION IN SUPPLIED EXTRACT",IF(ABS(P945)&gt;0.004,"SUBLEDGER ARITHMETIC ERROR",IF(ABS(M945)&gt;0.004,"BILLING VARIANCE","MATCH")))</f>
        <v/>
      </c>
    </row>
    <row r="946">
      <c r="A946" s="37" t="inlineStr">
        <is>
          <t>SB-0303</t>
        </is>
      </c>
      <c r="B946" s="37" t="inlineStr">
        <is>
          <t>Salmonberry</t>
        </is>
      </c>
      <c r="C946" s="37" t="inlineStr">
        <is>
          <t>OPEN</t>
        </is>
      </c>
      <c r="D946" s="37" t="inlineStr">
        <is>
          <t>OCCUPIED</t>
        </is>
      </c>
      <c r="E946" s="37" t="inlineStr">
        <is>
          <t>WL-03829</t>
        </is>
      </c>
      <c r="F946" s="37" t="inlineStr">
        <is>
          <t>Ana Christian</t>
        </is>
      </c>
      <c r="G946" s="37" t="n">
        <v>24</v>
      </c>
      <c r="H946" s="39" t="n">
        <v>30</v>
      </c>
      <c r="I946" s="40">
        <f>ROUNDUP(MAX(G946,H946),0)</f>
        <v/>
      </c>
      <c r="J946" s="41">
        <f>IF(C946="COVERED",'Methodology'!$B$9,'Methodology'!$B$10)</f>
        <v/>
      </c>
      <c r="K946" s="41">
        <f>I946*J946</f>
        <v/>
      </c>
      <c r="L946" s="41">
        <f>SUMIFS('Billing Aug'!$J$2:$J$770,'Billing Aug'!$D$2:$D$770,A946)</f>
        <v/>
      </c>
      <c r="M946" s="41">
        <f>L946-K946</f>
        <v/>
      </c>
      <c r="N946" s="37">
        <f>COUNTIF('Billing Aug'!$D$2:$D$770,A946)</f>
        <v/>
      </c>
      <c r="O946" s="37">
        <f>SUMIFS('Billing Aug'!$F$2:$F$770,'Billing Aug'!$D$2:$D$770,A946)</f>
        <v/>
      </c>
      <c r="P946" s="41">
        <f>IF(N946=0,0,L946-SUMIFS('Billing Aug'!$H$2:$H$770,'Billing Aug'!$D$2:$D$770,A946)*SUMIFS('Billing Aug'!$I$2:$I$770,'Billing Aug'!$D$2:$D$770,A946))</f>
        <v/>
      </c>
      <c r="Q946" s="37">
        <f>IF(N946=0,"NO AUG TRANSACTION IN SUPPLIED EXTRACT",IF(ABS(P946)&gt;0.004,"SUBLEDGER ARITHMETIC ERROR",IF(ABS(M946)&gt;0.004,"BILLING VARIANCE","MATCH")))</f>
        <v/>
      </c>
    </row>
    <row r="947">
      <c r="A947" s="37" t="inlineStr">
        <is>
          <t>SB-0304</t>
        </is>
      </c>
      <c r="B947" s="37" t="inlineStr">
        <is>
          <t>Salmonberry</t>
        </is>
      </c>
      <c r="C947" s="37" t="inlineStr">
        <is>
          <t>OPEN</t>
        </is>
      </c>
      <c r="D947" s="37" t="inlineStr">
        <is>
          <t>OCCUPIED</t>
        </is>
      </c>
      <c r="E947" s="37" t="inlineStr">
        <is>
          <t>WL-03729</t>
        </is>
      </c>
      <c r="F947" s="37" t="inlineStr">
        <is>
          <t>Sara Jackson</t>
        </is>
      </c>
      <c r="G947" s="37" t="n">
        <v>24</v>
      </c>
      <c r="H947" s="39" t="n">
        <v>58.1</v>
      </c>
      <c r="I947" s="40">
        <f>ROUNDUP(MAX(G947,H947),0)</f>
        <v/>
      </c>
      <c r="J947" s="41">
        <f>IF(C947="COVERED",'Methodology'!$B$9,'Methodology'!$B$10)</f>
        <v/>
      </c>
      <c r="K947" s="41">
        <f>I947*J947</f>
        <v/>
      </c>
      <c r="L947" s="41">
        <f>SUMIFS('Billing Aug'!$J$2:$J$770,'Billing Aug'!$D$2:$D$770,A947)</f>
        <v/>
      </c>
      <c r="M947" s="41">
        <f>L947-K947</f>
        <v/>
      </c>
      <c r="N947" s="37">
        <f>COUNTIF('Billing Aug'!$D$2:$D$770,A947)</f>
        <v/>
      </c>
      <c r="O947" s="37">
        <f>SUMIFS('Billing Aug'!$F$2:$F$770,'Billing Aug'!$D$2:$D$770,A947)</f>
        <v/>
      </c>
      <c r="P947" s="41">
        <f>IF(N947=0,0,L947-SUMIFS('Billing Aug'!$H$2:$H$770,'Billing Aug'!$D$2:$D$770,A947)*SUMIFS('Billing Aug'!$I$2:$I$770,'Billing Aug'!$D$2:$D$770,A947))</f>
        <v/>
      </c>
      <c r="Q947" s="37">
        <f>IF(N947=0,"NO AUG TRANSACTION IN SUPPLIED EXTRACT",IF(ABS(P947)&gt;0.004,"SUBLEDGER ARITHMETIC ERROR",IF(ABS(M947)&gt;0.004,"BILLING VARIANCE","MATCH")))</f>
        <v/>
      </c>
    </row>
    <row r="948">
      <c r="A948" s="37" t="inlineStr">
        <is>
          <t>SB-0305</t>
        </is>
      </c>
      <c r="B948" s="37" t="inlineStr">
        <is>
          <t>Salmonberry</t>
        </is>
      </c>
      <c r="C948" s="37" t="inlineStr">
        <is>
          <t>OPEN</t>
        </is>
      </c>
      <c r="D948" s="37" t="inlineStr">
        <is>
          <t>OCCUPIED</t>
        </is>
      </c>
      <c r="E948" s="37" t="inlineStr">
        <is>
          <t>WL-03660</t>
        </is>
      </c>
      <c r="F948" s="37" t="inlineStr">
        <is>
          <t>David Sutton</t>
        </is>
      </c>
      <c r="G948" s="37" t="n">
        <v>70</v>
      </c>
      <c r="H948" s="39" t="n">
        <v>58.3</v>
      </c>
      <c r="I948" s="40">
        <f>ROUNDUP(MAX(G948,H948),0)</f>
        <v/>
      </c>
      <c r="J948" s="41">
        <f>IF(C948="COVERED",'Methodology'!$B$9,'Methodology'!$B$10)</f>
        <v/>
      </c>
      <c r="K948" s="41">
        <f>I948*J948</f>
        <v/>
      </c>
      <c r="L948" s="41">
        <f>SUMIFS('Billing Aug'!$J$2:$J$770,'Billing Aug'!$D$2:$D$770,A948)</f>
        <v/>
      </c>
      <c r="M948" s="41">
        <f>L948-K948</f>
        <v/>
      </c>
      <c r="N948" s="37">
        <f>COUNTIF('Billing Aug'!$D$2:$D$770,A948)</f>
        <v/>
      </c>
      <c r="O948" s="37">
        <f>SUMIFS('Billing Aug'!$F$2:$F$770,'Billing Aug'!$D$2:$D$770,A948)</f>
        <v/>
      </c>
      <c r="P948" s="41">
        <f>IF(N948=0,0,L948-SUMIFS('Billing Aug'!$H$2:$H$770,'Billing Aug'!$D$2:$D$770,A948)*SUMIFS('Billing Aug'!$I$2:$I$770,'Billing Aug'!$D$2:$D$770,A948))</f>
        <v/>
      </c>
      <c r="Q948" s="37">
        <f>IF(N948=0,"NO AUG TRANSACTION IN SUPPLIED EXTRACT",IF(ABS(P948)&gt;0.004,"SUBLEDGER ARITHMETIC ERROR",IF(ABS(M948)&gt;0.004,"BILLING VARIANCE","MATCH")))</f>
        <v/>
      </c>
    </row>
    <row r="949">
      <c r="A949" s="37" t="inlineStr">
        <is>
          <t>SB-0306</t>
        </is>
      </c>
      <c r="B949" s="37" t="inlineStr">
        <is>
          <t>Salmonberry</t>
        </is>
      </c>
      <c r="C949" s="37" t="inlineStr">
        <is>
          <t>OPEN</t>
        </is>
      </c>
      <c r="D949" s="37" t="inlineStr">
        <is>
          <t>OCCUPIED</t>
        </is>
      </c>
      <c r="E949" s="37" t="inlineStr">
        <is>
          <t>WL-03658</t>
        </is>
      </c>
      <c r="F949" s="37" t="inlineStr">
        <is>
          <t>William Washington</t>
        </is>
      </c>
      <c r="G949" s="37" t="n">
        <v>70</v>
      </c>
      <c r="H949" s="39" t="n">
        <v>35.4</v>
      </c>
      <c r="I949" s="40">
        <f>ROUNDUP(MAX(G949,H949),0)</f>
        <v/>
      </c>
      <c r="J949" s="41">
        <f>IF(C949="COVERED",'Methodology'!$B$9,'Methodology'!$B$10)</f>
        <v/>
      </c>
      <c r="K949" s="41">
        <f>I949*J949</f>
        <v/>
      </c>
      <c r="L949" s="41">
        <f>SUMIFS('Billing Aug'!$J$2:$J$770,'Billing Aug'!$D$2:$D$770,A949)</f>
        <v/>
      </c>
      <c r="M949" s="41">
        <f>L949-K949</f>
        <v/>
      </c>
      <c r="N949" s="37">
        <f>COUNTIF('Billing Aug'!$D$2:$D$770,A949)</f>
        <v/>
      </c>
      <c r="O949" s="37">
        <f>SUMIFS('Billing Aug'!$F$2:$F$770,'Billing Aug'!$D$2:$D$770,A949)</f>
        <v/>
      </c>
      <c r="P949" s="41">
        <f>IF(N949=0,0,L949-SUMIFS('Billing Aug'!$H$2:$H$770,'Billing Aug'!$D$2:$D$770,A949)*SUMIFS('Billing Aug'!$I$2:$I$770,'Billing Aug'!$D$2:$D$770,A949))</f>
        <v/>
      </c>
      <c r="Q949" s="37">
        <f>IF(N949=0,"NO AUG TRANSACTION IN SUPPLIED EXTRACT",IF(ABS(P949)&gt;0.004,"SUBLEDGER ARITHMETIC ERROR",IF(ABS(M949)&gt;0.004,"BILLING VARIANCE","MATCH")))</f>
        <v/>
      </c>
    </row>
    <row r="950">
      <c r="A950" s="37" t="inlineStr">
        <is>
          <t>SB-0307</t>
        </is>
      </c>
      <c r="B950" s="37" t="inlineStr">
        <is>
          <t>Salmonberry</t>
        </is>
      </c>
      <c r="C950" s="37" t="inlineStr">
        <is>
          <t>OPEN</t>
        </is>
      </c>
      <c r="D950" s="37" t="inlineStr">
        <is>
          <t>OCCUPIED</t>
        </is>
      </c>
      <c r="E950" s="37" t="inlineStr">
        <is>
          <t>WL-02216</t>
        </is>
      </c>
      <c r="F950" s="37" t="inlineStr">
        <is>
          <t>Michael Diaz</t>
        </is>
      </c>
      <c r="G950" s="37" t="n">
        <v>32</v>
      </c>
      <c r="H950" s="39" t="n">
        <v>60.3</v>
      </c>
      <c r="I950" s="40">
        <f>ROUNDUP(MAX(G950,H950),0)</f>
        <v/>
      </c>
      <c r="J950" s="41">
        <f>IF(C950="COVERED",'Methodology'!$B$9,'Methodology'!$B$10)</f>
        <v/>
      </c>
      <c r="K950" s="41">
        <f>I950*J950</f>
        <v/>
      </c>
      <c r="L950" s="41">
        <f>SUMIFS('Billing Aug'!$J$2:$J$770,'Billing Aug'!$D$2:$D$770,A950)</f>
        <v/>
      </c>
      <c r="M950" s="41">
        <f>L950-K950</f>
        <v/>
      </c>
      <c r="N950" s="37">
        <f>COUNTIF('Billing Aug'!$D$2:$D$770,A950)</f>
        <v/>
      </c>
      <c r="O950" s="37">
        <f>SUMIFS('Billing Aug'!$F$2:$F$770,'Billing Aug'!$D$2:$D$770,A950)</f>
        <v/>
      </c>
      <c r="P950" s="41">
        <f>IF(N950=0,0,L950-SUMIFS('Billing Aug'!$H$2:$H$770,'Billing Aug'!$D$2:$D$770,A950)*SUMIFS('Billing Aug'!$I$2:$I$770,'Billing Aug'!$D$2:$D$770,A950))</f>
        <v/>
      </c>
      <c r="Q950" s="37">
        <f>IF(N950=0,"NO AUG TRANSACTION IN SUPPLIED EXTRACT",IF(ABS(P950)&gt;0.004,"SUBLEDGER ARITHMETIC ERROR",IF(ABS(M950)&gt;0.004,"BILLING VARIANCE","MATCH")))</f>
        <v/>
      </c>
    </row>
    <row r="951">
      <c r="A951" s="37" t="inlineStr">
        <is>
          <t>SB-0308</t>
        </is>
      </c>
      <c r="B951" s="37" t="inlineStr">
        <is>
          <t>Salmonberry</t>
        </is>
      </c>
      <c r="C951" s="37" t="inlineStr">
        <is>
          <t>OPEN</t>
        </is>
      </c>
      <c r="D951" s="37" t="inlineStr">
        <is>
          <t>OCCUPIED</t>
        </is>
      </c>
      <c r="E951" s="37" t="inlineStr">
        <is>
          <t>WL-02849</t>
        </is>
      </c>
      <c r="F951" s="37" t="inlineStr">
        <is>
          <t>Peter Johnson</t>
        </is>
      </c>
      <c r="G951" s="37" t="n">
        <v>50</v>
      </c>
      <c r="H951" s="39" t="n">
        <v>20.9</v>
      </c>
      <c r="I951" s="40">
        <f>ROUNDUP(MAX(G951,H951),0)</f>
        <v/>
      </c>
      <c r="J951" s="41">
        <f>IF(C951="COVERED",'Methodology'!$B$9,'Methodology'!$B$10)</f>
        <v/>
      </c>
      <c r="K951" s="41">
        <f>I951*J951</f>
        <v/>
      </c>
      <c r="L951" s="41">
        <f>SUMIFS('Billing Aug'!$J$2:$J$770,'Billing Aug'!$D$2:$D$770,A951)</f>
        <v/>
      </c>
      <c r="M951" s="41">
        <f>L951-K951</f>
        <v/>
      </c>
      <c r="N951" s="37">
        <f>COUNTIF('Billing Aug'!$D$2:$D$770,A951)</f>
        <v/>
      </c>
      <c r="O951" s="37">
        <f>SUMIFS('Billing Aug'!$F$2:$F$770,'Billing Aug'!$D$2:$D$770,A951)</f>
        <v/>
      </c>
      <c r="P951" s="41">
        <f>IF(N951=0,0,L951-SUMIFS('Billing Aug'!$H$2:$H$770,'Billing Aug'!$D$2:$D$770,A951)*SUMIFS('Billing Aug'!$I$2:$I$770,'Billing Aug'!$D$2:$D$770,A951))</f>
        <v/>
      </c>
      <c r="Q951" s="37">
        <f>IF(N951=0,"NO AUG TRANSACTION IN SUPPLIED EXTRACT",IF(ABS(P951)&gt;0.004,"SUBLEDGER ARITHMETIC ERROR",IF(ABS(M951)&gt;0.004,"BILLING VARIANCE","MATCH")))</f>
        <v/>
      </c>
    </row>
    <row r="952">
      <c r="A952" s="37" t="inlineStr">
        <is>
          <t>SB-0309</t>
        </is>
      </c>
      <c r="B952" s="37" t="inlineStr">
        <is>
          <t>Salmonberry</t>
        </is>
      </c>
      <c r="C952" s="37" t="inlineStr">
        <is>
          <t>OPEN</t>
        </is>
      </c>
      <c r="D952" s="37" t="inlineStr">
        <is>
          <t>OCCUPIED</t>
        </is>
      </c>
      <c r="E952" s="37" t="inlineStr">
        <is>
          <t>WL-03557</t>
        </is>
      </c>
      <c r="F952" s="37" t="inlineStr">
        <is>
          <t>Tiffany Smith</t>
        </is>
      </c>
      <c r="G952" s="37" t="n">
        <v>40</v>
      </c>
      <c r="H952" s="39" t="n">
        <v>26.6</v>
      </c>
      <c r="I952" s="40">
        <f>ROUNDUP(MAX(G952,H952),0)</f>
        <v/>
      </c>
      <c r="J952" s="41">
        <f>IF(C952="COVERED",'Methodology'!$B$9,'Methodology'!$B$10)</f>
        <v/>
      </c>
      <c r="K952" s="41">
        <f>I952*J952</f>
        <v/>
      </c>
      <c r="L952" s="41">
        <f>SUMIFS('Billing Aug'!$J$2:$J$770,'Billing Aug'!$D$2:$D$770,A952)</f>
        <v/>
      </c>
      <c r="M952" s="41">
        <f>L952-K952</f>
        <v/>
      </c>
      <c r="N952" s="37">
        <f>COUNTIF('Billing Aug'!$D$2:$D$770,A952)</f>
        <v/>
      </c>
      <c r="O952" s="37">
        <f>SUMIFS('Billing Aug'!$F$2:$F$770,'Billing Aug'!$D$2:$D$770,A952)</f>
        <v/>
      </c>
      <c r="P952" s="41">
        <f>IF(N952=0,0,L952-SUMIFS('Billing Aug'!$H$2:$H$770,'Billing Aug'!$D$2:$D$770,A952)*SUMIFS('Billing Aug'!$I$2:$I$770,'Billing Aug'!$D$2:$D$770,A952))</f>
        <v/>
      </c>
      <c r="Q952" s="37">
        <f>IF(N952=0,"NO AUG TRANSACTION IN SUPPLIED EXTRACT",IF(ABS(P952)&gt;0.004,"SUBLEDGER ARITHMETIC ERROR",IF(ABS(M952)&gt;0.004,"BILLING VARIANCE","MATCH")))</f>
        <v/>
      </c>
    </row>
    <row r="953">
      <c r="A953" s="37" t="inlineStr">
        <is>
          <t>SB-0311</t>
        </is>
      </c>
      <c r="B953" s="37" t="inlineStr">
        <is>
          <t>Salmonberry</t>
        </is>
      </c>
      <c r="C953" s="37" t="inlineStr">
        <is>
          <t>OPEN</t>
        </is>
      </c>
      <c r="D953" s="37" t="inlineStr">
        <is>
          <t>OCCUPIED</t>
        </is>
      </c>
      <c r="E953" s="37" t="inlineStr">
        <is>
          <t>WL-03282</t>
        </is>
      </c>
      <c r="F953" s="37" t="inlineStr">
        <is>
          <t>Jillian Curry</t>
        </is>
      </c>
      <c r="G953" s="37" t="n">
        <v>28</v>
      </c>
      <c r="H953" s="39" t="n">
        <v>43.8</v>
      </c>
      <c r="I953" s="40">
        <f>ROUNDUP(MAX(G953,H953),0)</f>
        <v/>
      </c>
      <c r="J953" s="41">
        <f>IF(C953="COVERED",'Methodology'!$B$9,'Methodology'!$B$10)</f>
        <v/>
      </c>
      <c r="K953" s="41">
        <f>I953*J953</f>
        <v/>
      </c>
      <c r="L953" s="41">
        <f>SUMIFS('Billing Aug'!$J$2:$J$770,'Billing Aug'!$D$2:$D$770,A953)</f>
        <v/>
      </c>
      <c r="M953" s="41">
        <f>L953-K953</f>
        <v/>
      </c>
      <c r="N953" s="37">
        <f>COUNTIF('Billing Aug'!$D$2:$D$770,A953)</f>
        <v/>
      </c>
      <c r="O953" s="37">
        <f>SUMIFS('Billing Aug'!$F$2:$F$770,'Billing Aug'!$D$2:$D$770,A953)</f>
        <v/>
      </c>
      <c r="P953" s="41">
        <f>IF(N953=0,0,L953-SUMIFS('Billing Aug'!$H$2:$H$770,'Billing Aug'!$D$2:$D$770,A953)*SUMIFS('Billing Aug'!$I$2:$I$770,'Billing Aug'!$D$2:$D$770,A953))</f>
        <v/>
      </c>
      <c r="Q953" s="37">
        <f>IF(N953=0,"NO AUG TRANSACTION IN SUPPLIED EXTRACT",IF(ABS(P953)&gt;0.004,"SUBLEDGER ARITHMETIC ERROR",IF(ABS(M953)&gt;0.004,"BILLING VARIANCE","MATCH")))</f>
        <v/>
      </c>
    </row>
    <row r="954">
      <c r="A954" s="37" t="inlineStr">
        <is>
          <t>SB-0312</t>
        </is>
      </c>
      <c r="B954" s="37" t="inlineStr">
        <is>
          <t>Salmonberry</t>
        </is>
      </c>
      <c r="C954" s="37" t="inlineStr">
        <is>
          <t>OPEN</t>
        </is>
      </c>
      <c r="D954" s="37" t="inlineStr">
        <is>
          <t>OCCUPIED</t>
        </is>
      </c>
      <c r="E954" s="37" t="inlineStr">
        <is>
          <t>WL-02507</t>
        </is>
      </c>
      <c r="F954" s="37" t="inlineStr">
        <is>
          <t>Erin Morris</t>
        </is>
      </c>
      <c r="G954" s="37" t="n">
        <v>50</v>
      </c>
      <c r="H954" s="39" t="n">
        <v>37.7</v>
      </c>
      <c r="I954" s="40">
        <f>ROUNDUP(MAX(G954,H954),0)</f>
        <v/>
      </c>
      <c r="J954" s="41">
        <f>IF(C954="COVERED",'Methodology'!$B$9,'Methodology'!$B$10)</f>
        <v/>
      </c>
      <c r="K954" s="41">
        <f>I954*J954</f>
        <v/>
      </c>
      <c r="L954" s="41">
        <f>SUMIFS('Billing Aug'!$J$2:$J$770,'Billing Aug'!$D$2:$D$770,A954)</f>
        <v/>
      </c>
      <c r="M954" s="41">
        <f>L954-K954</f>
        <v/>
      </c>
      <c r="N954" s="37">
        <f>COUNTIF('Billing Aug'!$D$2:$D$770,A954)</f>
        <v/>
      </c>
      <c r="O954" s="37">
        <f>SUMIFS('Billing Aug'!$F$2:$F$770,'Billing Aug'!$D$2:$D$770,A954)</f>
        <v/>
      </c>
      <c r="P954" s="41">
        <f>IF(N954=0,0,L954-SUMIFS('Billing Aug'!$H$2:$H$770,'Billing Aug'!$D$2:$D$770,A954)*SUMIFS('Billing Aug'!$I$2:$I$770,'Billing Aug'!$D$2:$D$770,A954))</f>
        <v/>
      </c>
      <c r="Q954" s="37">
        <f>IF(N954=0,"NO AUG TRANSACTION IN SUPPLIED EXTRACT",IF(ABS(P954)&gt;0.004,"SUBLEDGER ARITHMETIC ERROR",IF(ABS(M954)&gt;0.004,"BILLING VARIANCE","MATCH")))</f>
        <v/>
      </c>
    </row>
    <row r="955">
      <c r="A955" s="37" t="inlineStr">
        <is>
          <t>SB-0313</t>
        </is>
      </c>
      <c r="B955" s="37" t="inlineStr">
        <is>
          <t>Salmonberry</t>
        </is>
      </c>
      <c r="C955" s="37" t="inlineStr">
        <is>
          <t>OPEN</t>
        </is>
      </c>
      <c r="D955" s="37" t="inlineStr">
        <is>
          <t>OCCUPIED</t>
        </is>
      </c>
      <c r="E955" s="37" t="inlineStr">
        <is>
          <t>WL-02129</t>
        </is>
      </c>
      <c r="F955" s="37" t="inlineStr">
        <is>
          <t>Lisa Palmer</t>
        </is>
      </c>
      <c r="G955" s="37" t="n">
        <v>24</v>
      </c>
      <c r="H955" s="39" t="n">
        <v>52.1</v>
      </c>
      <c r="I955" s="40">
        <f>ROUNDUP(MAX(G955,H955),0)</f>
        <v/>
      </c>
      <c r="J955" s="41">
        <f>IF(C955="COVERED",'Methodology'!$B$9,'Methodology'!$B$10)</f>
        <v/>
      </c>
      <c r="K955" s="41">
        <f>I955*J955</f>
        <v/>
      </c>
      <c r="L955" s="41">
        <f>SUMIFS('Billing Aug'!$J$2:$J$770,'Billing Aug'!$D$2:$D$770,A955)</f>
        <v/>
      </c>
      <c r="M955" s="41">
        <f>L955-K955</f>
        <v/>
      </c>
      <c r="N955" s="37">
        <f>COUNTIF('Billing Aug'!$D$2:$D$770,A955)</f>
        <v/>
      </c>
      <c r="O955" s="37">
        <f>SUMIFS('Billing Aug'!$F$2:$F$770,'Billing Aug'!$D$2:$D$770,A955)</f>
        <v/>
      </c>
      <c r="P955" s="41">
        <f>IF(N955=0,0,L955-SUMIFS('Billing Aug'!$H$2:$H$770,'Billing Aug'!$D$2:$D$770,A955)*SUMIFS('Billing Aug'!$I$2:$I$770,'Billing Aug'!$D$2:$D$770,A955))</f>
        <v/>
      </c>
      <c r="Q955" s="37">
        <f>IF(N955=0,"NO AUG TRANSACTION IN SUPPLIED EXTRACT",IF(ABS(P955)&gt;0.004,"SUBLEDGER ARITHMETIC ERROR",IF(ABS(M955)&gt;0.004,"BILLING VARIANCE","MATCH")))</f>
        <v/>
      </c>
    </row>
    <row r="956">
      <c r="A956" s="37" t="inlineStr">
        <is>
          <t>SB-0314</t>
        </is>
      </c>
      <c r="B956" s="37" t="inlineStr">
        <is>
          <t>Salmonberry</t>
        </is>
      </c>
      <c r="C956" s="37" t="inlineStr">
        <is>
          <t>OPEN</t>
        </is>
      </c>
      <c r="D956" s="37" t="inlineStr">
        <is>
          <t>OCCUPIED</t>
        </is>
      </c>
      <c r="E956" s="37" t="inlineStr">
        <is>
          <t>WL-03303</t>
        </is>
      </c>
      <c r="F956" s="37" t="inlineStr">
        <is>
          <t>Eileen Norris</t>
        </is>
      </c>
      <c r="G956" s="37" t="n">
        <v>70</v>
      </c>
      <c r="H956" s="39" t="n">
        <v>59.9</v>
      </c>
      <c r="I956" s="40">
        <f>ROUNDUP(MAX(G956,H956),0)</f>
        <v/>
      </c>
      <c r="J956" s="41">
        <f>IF(C956="COVERED",'Methodology'!$B$9,'Methodology'!$B$10)</f>
        <v/>
      </c>
      <c r="K956" s="41">
        <f>I956*J956</f>
        <v/>
      </c>
      <c r="L956" s="41">
        <f>SUMIFS('Billing Aug'!$J$2:$J$770,'Billing Aug'!$D$2:$D$770,A956)</f>
        <v/>
      </c>
      <c r="M956" s="41">
        <f>L956-K956</f>
        <v/>
      </c>
      <c r="N956" s="37">
        <f>COUNTIF('Billing Aug'!$D$2:$D$770,A956)</f>
        <v/>
      </c>
      <c r="O956" s="37">
        <f>SUMIFS('Billing Aug'!$F$2:$F$770,'Billing Aug'!$D$2:$D$770,A956)</f>
        <v/>
      </c>
      <c r="P956" s="41">
        <f>IF(N956=0,0,L956-SUMIFS('Billing Aug'!$H$2:$H$770,'Billing Aug'!$D$2:$D$770,A956)*SUMIFS('Billing Aug'!$I$2:$I$770,'Billing Aug'!$D$2:$D$770,A956))</f>
        <v/>
      </c>
      <c r="Q956" s="37">
        <f>IF(N956=0,"NO AUG TRANSACTION IN SUPPLIED EXTRACT",IF(ABS(P956)&gt;0.004,"SUBLEDGER ARITHMETIC ERROR",IF(ABS(M956)&gt;0.004,"BILLING VARIANCE","MATCH")))</f>
        <v/>
      </c>
    </row>
    <row r="957">
      <c r="A957" s="37" t="inlineStr">
        <is>
          <t>SB-0315</t>
        </is>
      </c>
      <c r="B957" s="37" t="inlineStr">
        <is>
          <t>Salmonberry</t>
        </is>
      </c>
      <c r="C957" s="37" t="inlineStr">
        <is>
          <t>OPEN</t>
        </is>
      </c>
      <c r="D957" s="37" t="inlineStr">
        <is>
          <t>OCCUPIED</t>
        </is>
      </c>
      <c r="E957" s="37" t="inlineStr">
        <is>
          <t>WL-02337</t>
        </is>
      </c>
      <c r="F957" s="37" t="inlineStr">
        <is>
          <t>Brian Taylor</t>
        </is>
      </c>
      <c r="G957" s="37" t="n">
        <v>24</v>
      </c>
      <c r="H957" s="39" t="n">
        <v>55.5</v>
      </c>
      <c r="I957" s="40">
        <f>ROUNDUP(MAX(G957,H957),0)</f>
        <v/>
      </c>
      <c r="J957" s="41">
        <f>IF(C957="COVERED",'Methodology'!$B$9,'Methodology'!$B$10)</f>
        <v/>
      </c>
      <c r="K957" s="41">
        <f>I957*J957</f>
        <v/>
      </c>
      <c r="L957" s="41">
        <f>SUMIFS('Billing Aug'!$J$2:$J$770,'Billing Aug'!$D$2:$D$770,A957)</f>
        <v/>
      </c>
      <c r="M957" s="41">
        <f>L957-K957</f>
        <v/>
      </c>
      <c r="N957" s="37">
        <f>COUNTIF('Billing Aug'!$D$2:$D$770,A957)</f>
        <v/>
      </c>
      <c r="O957" s="37">
        <f>SUMIFS('Billing Aug'!$F$2:$F$770,'Billing Aug'!$D$2:$D$770,A957)</f>
        <v/>
      </c>
      <c r="P957" s="41">
        <f>IF(N957=0,0,L957-SUMIFS('Billing Aug'!$H$2:$H$770,'Billing Aug'!$D$2:$D$770,A957)*SUMIFS('Billing Aug'!$I$2:$I$770,'Billing Aug'!$D$2:$D$770,A957))</f>
        <v/>
      </c>
      <c r="Q957" s="37">
        <f>IF(N957=0,"NO AUG TRANSACTION IN SUPPLIED EXTRACT",IF(ABS(P957)&gt;0.004,"SUBLEDGER ARITHMETIC ERROR",IF(ABS(M957)&gt;0.004,"BILLING VARIANCE","MATCH")))</f>
        <v/>
      </c>
    </row>
    <row r="958">
      <c r="A958" s="37" t="inlineStr">
        <is>
          <t>SB-0316</t>
        </is>
      </c>
      <c r="B958" s="37" t="inlineStr">
        <is>
          <t>Salmonberry</t>
        </is>
      </c>
      <c r="C958" s="37" t="inlineStr">
        <is>
          <t>OPEN</t>
        </is>
      </c>
      <c r="D958" s="37" t="inlineStr">
        <is>
          <t>OCCUPIED</t>
        </is>
      </c>
      <c r="E958" s="37" t="inlineStr">
        <is>
          <t>WL-02020</t>
        </is>
      </c>
      <c r="F958" s="37" t="inlineStr">
        <is>
          <t>Jacqueline Daniels</t>
        </is>
      </c>
      <c r="G958" s="37" t="n">
        <v>24</v>
      </c>
      <c r="H958" s="39" t="n">
        <v>32.9</v>
      </c>
      <c r="I958" s="40">
        <f>ROUNDUP(MAX(G958,H958),0)</f>
        <v/>
      </c>
      <c r="J958" s="41">
        <f>IF(C958="COVERED",'Methodology'!$B$9,'Methodology'!$B$10)</f>
        <v/>
      </c>
      <c r="K958" s="41">
        <f>I958*J958</f>
        <v/>
      </c>
      <c r="L958" s="41">
        <f>SUMIFS('Billing Aug'!$J$2:$J$770,'Billing Aug'!$D$2:$D$770,A958)</f>
        <v/>
      </c>
      <c r="M958" s="41">
        <f>L958-K958</f>
        <v/>
      </c>
      <c r="N958" s="37">
        <f>COUNTIF('Billing Aug'!$D$2:$D$770,A958)</f>
        <v/>
      </c>
      <c r="O958" s="37">
        <f>SUMIFS('Billing Aug'!$F$2:$F$770,'Billing Aug'!$D$2:$D$770,A958)</f>
        <v/>
      </c>
      <c r="P958" s="41">
        <f>IF(N958=0,0,L958-SUMIFS('Billing Aug'!$H$2:$H$770,'Billing Aug'!$D$2:$D$770,A958)*SUMIFS('Billing Aug'!$I$2:$I$770,'Billing Aug'!$D$2:$D$770,A958))</f>
        <v/>
      </c>
      <c r="Q958" s="37">
        <f>IF(N958=0,"NO AUG TRANSACTION IN SUPPLIED EXTRACT",IF(ABS(P958)&gt;0.004,"SUBLEDGER ARITHMETIC ERROR",IF(ABS(M958)&gt;0.004,"BILLING VARIANCE","MATCH")))</f>
        <v/>
      </c>
    </row>
    <row r="959">
      <c r="A959" s="37" t="inlineStr">
        <is>
          <t>SB-0317</t>
        </is>
      </c>
      <c r="B959" s="37" t="inlineStr">
        <is>
          <t>Salmonberry</t>
        </is>
      </c>
      <c r="C959" s="37" t="inlineStr">
        <is>
          <t>OPEN</t>
        </is>
      </c>
      <c r="D959" s="37" t="inlineStr">
        <is>
          <t>OCCUPIED</t>
        </is>
      </c>
      <c r="E959" s="37" t="inlineStr">
        <is>
          <t>WL-01571</t>
        </is>
      </c>
      <c r="F959" s="37" t="inlineStr">
        <is>
          <t>Blake Webb</t>
        </is>
      </c>
      <c r="G959" s="37" t="n">
        <v>28</v>
      </c>
      <c r="H959" s="39" t="n">
        <v>45.8</v>
      </c>
      <c r="I959" s="40">
        <f>ROUNDUP(MAX(G959,H959),0)</f>
        <v/>
      </c>
      <c r="J959" s="41">
        <f>IF(C959="COVERED",'Methodology'!$B$9,'Methodology'!$B$10)</f>
        <v/>
      </c>
      <c r="K959" s="41">
        <f>I959*J959</f>
        <v/>
      </c>
      <c r="L959" s="41">
        <f>SUMIFS('Billing Aug'!$J$2:$J$770,'Billing Aug'!$D$2:$D$770,A959)</f>
        <v/>
      </c>
      <c r="M959" s="41">
        <f>L959-K959</f>
        <v/>
      </c>
      <c r="N959" s="37">
        <f>COUNTIF('Billing Aug'!$D$2:$D$770,A959)</f>
        <v/>
      </c>
      <c r="O959" s="37">
        <f>SUMIFS('Billing Aug'!$F$2:$F$770,'Billing Aug'!$D$2:$D$770,A959)</f>
        <v/>
      </c>
      <c r="P959" s="41">
        <f>IF(N959=0,0,L959-SUMIFS('Billing Aug'!$H$2:$H$770,'Billing Aug'!$D$2:$D$770,A959)*SUMIFS('Billing Aug'!$I$2:$I$770,'Billing Aug'!$D$2:$D$770,A959))</f>
        <v/>
      </c>
      <c r="Q959" s="37">
        <f>IF(N959=0,"NO AUG TRANSACTION IN SUPPLIED EXTRACT",IF(ABS(P959)&gt;0.004,"SUBLEDGER ARITHMETIC ERROR",IF(ABS(M959)&gt;0.004,"BILLING VARIANCE","MATCH")))</f>
        <v/>
      </c>
    </row>
    <row r="960">
      <c r="A960" s="37" t="inlineStr">
        <is>
          <t>SB-0318</t>
        </is>
      </c>
      <c r="B960" s="37" t="inlineStr">
        <is>
          <t>Salmonberry</t>
        </is>
      </c>
      <c r="C960" s="37" t="inlineStr">
        <is>
          <t>OPEN</t>
        </is>
      </c>
      <c r="D960" s="37" t="inlineStr">
        <is>
          <t>OCCUPIED</t>
        </is>
      </c>
      <c r="E960" s="37" t="inlineStr">
        <is>
          <t>WL-03173</t>
        </is>
      </c>
      <c r="F960" s="37" t="inlineStr">
        <is>
          <t>Timothy Wood</t>
        </is>
      </c>
      <c r="G960" s="37" t="n">
        <v>28</v>
      </c>
      <c r="H960" s="39" t="n">
        <v>27.1</v>
      </c>
      <c r="I960" s="40">
        <f>ROUNDUP(MAX(G960,H960),0)</f>
        <v/>
      </c>
      <c r="J960" s="41">
        <f>IF(C960="COVERED",'Methodology'!$B$9,'Methodology'!$B$10)</f>
        <v/>
      </c>
      <c r="K960" s="41">
        <f>I960*J960</f>
        <v/>
      </c>
      <c r="L960" s="41">
        <f>SUMIFS('Billing Aug'!$J$2:$J$770,'Billing Aug'!$D$2:$D$770,A960)</f>
        <v/>
      </c>
      <c r="M960" s="41">
        <f>L960-K960</f>
        <v/>
      </c>
      <c r="N960" s="37">
        <f>COUNTIF('Billing Aug'!$D$2:$D$770,A960)</f>
        <v/>
      </c>
      <c r="O960" s="37">
        <f>SUMIFS('Billing Aug'!$F$2:$F$770,'Billing Aug'!$D$2:$D$770,A960)</f>
        <v/>
      </c>
      <c r="P960" s="41">
        <f>IF(N960=0,0,L960-SUMIFS('Billing Aug'!$H$2:$H$770,'Billing Aug'!$D$2:$D$770,A960)*SUMIFS('Billing Aug'!$I$2:$I$770,'Billing Aug'!$D$2:$D$770,A960))</f>
        <v/>
      </c>
      <c r="Q960" s="37">
        <f>IF(N960=0,"NO AUG TRANSACTION IN SUPPLIED EXTRACT",IF(ABS(P960)&gt;0.004,"SUBLEDGER ARITHMETIC ERROR",IF(ABS(M960)&gt;0.004,"BILLING VARIANCE","MATCH")))</f>
        <v/>
      </c>
    </row>
    <row r="961">
      <c r="A961" s="37" t="inlineStr">
        <is>
          <t>SB-0319</t>
        </is>
      </c>
      <c r="B961" s="37" t="inlineStr">
        <is>
          <t>Salmonberry</t>
        </is>
      </c>
      <c r="C961" s="37" t="inlineStr">
        <is>
          <t>OPEN</t>
        </is>
      </c>
      <c r="D961" s="37" t="inlineStr">
        <is>
          <t>OCCUPIED</t>
        </is>
      </c>
      <c r="E961" s="37" t="inlineStr">
        <is>
          <t>WL-02172</t>
        </is>
      </c>
      <c r="F961" s="37" t="inlineStr">
        <is>
          <t>Anna Bishop</t>
        </is>
      </c>
      <c r="G961" s="37" t="n">
        <v>32</v>
      </c>
      <c r="H961" s="39" t="n">
        <v>53.4</v>
      </c>
      <c r="I961" s="40">
        <f>ROUNDUP(MAX(G961,H961),0)</f>
        <v/>
      </c>
      <c r="J961" s="41">
        <f>IF(C961="COVERED",'Methodology'!$B$9,'Methodology'!$B$10)</f>
        <v/>
      </c>
      <c r="K961" s="41">
        <f>I961*J961</f>
        <v/>
      </c>
      <c r="L961" s="41">
        <f>SUMIFS('Billing Aug'!$J$2:$J$770,'Billing Aug'!$D$2:$D$770,A961)</f>
        <v/>
      </c>
      <c r="M961" s="41">
        <f>L961-K961</f>
        <v/>
      </c>
      <c r="N961" s="37">
        <f>COUNTIF('Billing Aug'!$D$2:$D$770,A961)</f>
        <v/>
      </c>
      <c r="O961" s="37">
        <f>SUMIFS('Billing Aug'!$F$2:$F$770,'Billing Aug'!$D$2:$D$770,A961)</f>
        <v/>
      </c>
      <c r="P961" s="41">
        <f>IF(N961=0,0,L961-SUMIFS('Billing Aug'!$H$2:$H$770,'Billing Aug'!$D$2:$D$770,A961)*SUMIFS('Billing Aug'!$I$2:$I$770,'Billing Aug'!$D$2:$D$770,A961))</f>
        <v/>
      </c>
      <c r="Q961" s="37">
        <f>IF(N961=0,"NO AUG TRANSACTION IN SUPPLIED EXTRACT",IF(ABS(P961)&gt;0.004,"SUBLEDGER ARITHMETIC ERROR",IF(ABS(M961)&gt;0.004,"BILLING VARIANCE","MATCH")))</f>
        <v/>
      </c>
    </row>
    <row r="962">
      <c r="A962" s="37" t="inlineStr">
        <is>
          <t>SB-0320</t>
        </is>
      </c>
      <c r="B962" s="37" t="inlineStr">
        <is>
          <t>Salmonberry</t>
        </is>
      </c>
      <c r="C962" s="37" t="inlineStr">
        <is>
          <t>OPEN</t>
        </is>
      </c>
      <c r="D962" s="37" t="inlineStr">
        <is>
          <t>OCCUPIED</t>
        </is>
      </c>
      <c r="E962" s="37" t="inlineStr">
        <is>
          <t>WL-01830</t>
        </is>
      </c>
      <c r="F962" s="37" t="inlineStr">
        <is>
          <t>Robert Patel</t>
        </is>
      </c>
      <c r="G962" s="37" t="n">
        <v>36</v>
      </c>
      <c r="H962" s="39" t="n">
        <v>28.9</v>
      </c>
      <c r="I962" s="40">
        <f>ROUNDUP(MAX(G962,H962),0)</f>
        <v/>
      </c>
      <c r="J962" s="41">
        <f>IF(C962="COVERED",'Methodology'!$B$9,'Methodology'!$B$10)</f>
        <v/>
      </c>
      <c r="K962" s="41">
        <f>I962*J962</f>
        <v/>
      </c>
      <c r="L962" s="41">
        <f>SUMIFS('Billing Aug'!$J$2:$J$770,'Billing Aug'!$D$2:$D$770,A962)</f>
        <v/>
      </c>
      <c r="M962" s="41">
        <f>L962-K962</f>
        <v/>
      </c>
      <c r="N962" s="37">
        <f>COUNTIF('Billing Aug'!$D$2:$D$770,A962)</f>
        <v/>
      </c>
      <c r="O962" s="37">
        <f>SUMIFS('Billing Aug'!$F$2:$F$770,'Billing Aug'!$D$2:$D$770,A962)</f>
        <v/>
      </c>
      <c r="P962" s="41">
        <f>IF(N962=0,0,L962-SUMIFS('Billing Aug'!$H$2:$H$770,'Billing Aug'!$D$2:$D$770,A962)*SUMIFS('Billing Aug'!$I$2:$I$770,'Billing Aug'!$D$2:$D$770,A962))</f>
        <v/>
      </c>
      <c r="Q962" s="37">
        <f>IF(N962=0,"NO AUG TRANSACTION IN SUPPLIED EXTRACT",IF(ABS(P962)&gt;0.004,"SUBLEDGER ARITHMETIC ERROR",IF(ABS(M962)&gt;0.004,"BILLING VARIANCE","MATCH")))</f>
        <v/>
      </c>
    </row>
    <row r="963">
      <c r="A963" s="37" t="inlineStr">
        <is>
          <t>SB-0321</t>
        </is>
      </c>
      <c r="B963" s="37" t="inlineStr">
        <is>
          <t>Salmonberry</t>
        </is>
      </c>
      <c r="C963" s="37" t="inlineStr">
        <is>
          <t>OPEN</t>
        </is>
      </c>
      <c r="D963" s="37" t="inlineStr">
        <is>
          <t>OCCUPIED</t>
        </is>
      </c>
      <c r="E963" s="37" t="inlineStr">
        <is>
          <t>WL-02472</t>
        </is>
      </c>
      <c r="F963" s="37" t="inlineStr">
        <is>
          <t>William Martinez</t>
        </is>
      </c>
      <c r="G963" s="37" t="n">
        <v>45</v>
      </c>
      <c r="H963" s="39" t="n">
        <v>24</v>
      </c>
      <c r="I963" s="40">
        <f>ROUNDUP(MAX(G963,H963),0)</f>
        <v/>
      </c>
      <c r="J963" s="41">
        <f>IF(C963="COVERED",'Methodology'!$B$9,'Methodology'!$B$10)</f>
        <v/>
      </c>
      <c r="K963" s="41">
        <f>I963*J963</f>
        <v/>
      </c>
      <c r="L963" s="41">
        <f>SUMIFS('Billing Aug'!$J$2:$J$770,'Billing Aug'!$D$2:$D$770,A963)</f>
        <v/>
      </c>
      <c r="M963" s="41">
        <f>L963-K963</f>
        <v/>
      </c>
      <c r="N963" s="37">
        <f>COUNTIF('Billing Aug'!$D$2:$D$770,A963)</f>
        <v/>
      </c>
      <c r="O963" s="37">
        <f>SUMIFS('Billing Aug'!$F$2:$F$770,'Billing Aug'!$D$2:$D$770,A963)</f>
        <v/>
      </c>
      <c r="P963" s="41">
        <f>IF(N963=0,0,L963-SUMIFS('Billing Aug'!$H$2:$H$770,'Billing Aug'!$D$2:$D$770,A963)*SUMIFS('Billing Aug'!$I$2:$I$770,'Billing Aug'!$D$2:$D$770,A963))</f>
        <v/>
      </c>
      <c r="Q963" s="37">
        <f>IF(N963=0,"NO AUG TRANSACTION IN SUPPLIED EXTRACT",IF(ABS(P963)&gt;0.004,"SUBLEDGER ARITHMETIC ERROR",IF(ABS(M963)&gt;0.004,"BILLING VARIANCE","MATCH")))</f>
        <v/>
      </c>
    </row>
    <row r="964">
      <c r="A964" s="37" t="inlineStr">
        <is>
          <t>SB-0322</t>
        </is>
      </c>
      <c r="B964" s="37" t="inlineStr">
        <is>
          <t>Salmonberry</t>
        </is>
      </c>
      <c r="C964" s="37" t="inlineStr">
        <is>
          <t>OPEN</t>
        </is>
      </c>
      <c r="D964" s="37" t="inlineStr">
        <is>
          <t>OCCUPIED</t>
        </is>
      </c>
      <c r="E964" s="37" t="inlineStr">
        <is>
          <t>WL-02376</t>
        </is>
      </c>
      <c r="F964" s="37" t="inlineStr">
        <is>
          <t>Steven Robinson</t>
        </is>
      </c>
      <c r="G964" s="37" t="n">
        <v>24</v>
      </c>
      <c r="H964" s="39" t="n">
        <v>35.5</v>
      </c>
      <c r="I964" s="40">
        <f>ROUNDUP(MAX(G964,H964),0)</f>
        <v/>
      </c>
      <c r="J964" s="41">
        <f>IF(C964="COVERED",'Methodology'!$B$9,'Methodology'!$B$10)</f>
        <v/>
      </c>
      <c r="K964" s="41">
        <f>I964*J964</f>
        <v/>
      </c>
      <c r="L964" s="41">
        <f>SUMIFS('Billing Aug'!$J$2:$J$770,'Billing Aug'!$D$2:$D$770,A964)</f>
        <v/>
      </c>
      <c r="M964" s="41">
        <f>L964-K964</f>
        <v/>
      </c>
      <c r="N964" s="37">
        <f>COUNTIF('Billing Aug'!$D$2:$D$770,A964)</f>
        <v/>
      </c>
      <c r="O964" s="37">
        <f>SUMIFS('Billing Aug'!$F$2:$F$770,'Billing Aug'!$D$2:$D$770,A964)</f>
        <v/>
      </c>
      <c r="P964" s="41">
        <f>IF(N964=0,0,L964-SUMIFS('Billing Aug'!$H$2:$H$770,'Billing Aug'!$D$2:$D$770,A964)*SUMIFS('Billing Aug'!$I$2:$I$770,'Billing Aug'!$D$2:$D$770,A964))</f>
        <v/>
      </c>
      <c r="Q964" s="37">
        <f>IF(N964=0,"NO AUG TRANSACTION IN SUPPLIED EXTRACT",IF(ABS(P964)&gt;0.004,"SUBLEDGER ARITHMETIC ERROR",IF(ABS(M964)&gt;0.004,"BILLING VARIANCE","MATCH")))</f>
        <v/>
      </c>
    </row>
    <row r="965">
      <c r="A965" s="37" t="inlineStr">
        <is>
          <t>SB-0323</t>
        </is>
      </c>
      <c r="B965" s="37" t="inlineStr">
        <is>
          <t>Salmonberry</t>
        </is>
      </c>
      <c r="C965" s="37" t="inlineStr">
        <is>
          <t>OPEN</t>
        </is>
      </c>
      <c r="D965" s="37" t="inlineStr">
        <is>
          <t>OCCUPIED</t>
        </is>
      </c>
      <c r="E965" s="37" t="inlineStr">
        <is>
          <t>WL-03820</t>
        </is>
      </c>
      <c r="F965" s="37" t="inlineStr">
        <is>
          <t>Thomas Robinson</t>
        </is>
      </c>
      <c r="G965" s="37" t="n">
        <v>70</v>
      </c>
      <c r="H965" s="39" t="n">
        <v>47.1</v>
      </c>
      <c r="I965" s="40">
        <f>ROUNDUP(MAX(G965,H965),0)</f>
        <v/>
      </c>
      <c r="J965" s="41">
        <f>IF(C965="COVERED",'Methodology'!$B$9,'Methodology'!$B$10)</f>
        <v/>
      </c>
      <c r="K965" s="41">
        <f>I965*J965</f>
        <v/>
      </c>
      <c r="L965" s="41">
        <f>SUMIFS('Billing Aug'!$J$2:$J$770,'Billing Aug'!$D$2:$D$770,A965)</f>
        <v/>
      </c>
      <c r="M965" s="41">
        <f>L965-K965</f>
        <v/>
      </c>
      <c r="N965" s="37">
        <f>COUNTIF('Billing Aug'!$D$2:$D$770,A965)</f>
        <v/>
      </c>
      <c r="O965" s="37">
        <f>SUMIFS('Billing Aug'!$F$2:$F$770,'Billing Aug'!$D$2:$D$770,A965)</f>
        <v/>
      </c>
      <c r="P965" s="41">
        <f>IF(N965=0,0,L965-SUMIFS('Billing Aug'!$H$2:$H$770,'Billing Aug'!$D$2:$D$770,A965)*SUMIFS('Billing Aug'!$I$2:$I$770,'Billing Aug'!$D$2:$D$770,A965))</f>
        <v/>
      </c>
      <c r="Q965" s="37">
        <f>IF(N965=0,"NO AUG TRANSACTION IN SUPPLIED EXTRACT",IF(ABS(P965)&gt;0.004,"SUBLEDGER ARITHMETIC ERROR",IF(ABS(M965)&gt;0.004,"BILLING VARIANCE","MATCH")))</f>
        <v/>
      </c>
    </row>
    <row r="966">
      <c r="A966" s="37" t="inlineStr">
        <is>
          <t>SB-0324</t>
        </is>
      </c>
      <c r="B966" s="37" t="inlineStr">
        <is>
          <t>Salmonberry</t>
        </is>
      </c>
      <c r="C966" s="37" t="inlineStr">
        <is>
          <t>OPEN</t>
        </is>
      </c>
      <c r="D966" s="37" t="inlineStr">
        <is>
          <t>OCCUPIED</t>
        </is>
      </c>
      <c r="E966" s="37" t="inlineStr">
        <is>
          <t>WL-01917</t>
        </is>
      </c>
      <c r="F966" s="37" t="inlineStr">
        <is>
          <t>Matthew May</t>
        </is>
      </c>
      <c r="G966" s="37" t="n">
        <v>32</v>
      </c>
      <c r="H966" s="39" t="n">
        <v>48.1</v>
      </c>
      <c r="I966" s="40">
        <f>ROUNDUP(MAX(G966,H966),0)</f>
        <v/>
      </c>
      <c r="J966" s="41">
        <f>IF(C966="COVERED",'Methodology'!$B$9,'Methodology'!$B$10)</f>
        <v/>
      </c>
      <c r="K966" s="41">
        <f>I966*J966</f>
        <v/>
      </c>
      <c r="L966" s="41">
        <f>SUMIFS('Billing Aug'!$J$2:$J$770,'Billing Aug'!$D$2:$D$770,A966)</f>
        <v/>
      </c>
      <c r="M966" s="41">
        <f>L966-K966</f>
        <v/>
      </c>
      <c r="N966" s="37">
        <f>COUNTIF('Billing Aug'!$D$2:$D$770,A966)</f>
        <v/>
      </c>
      <c r="O966" s="37">
        <f>SUMIFS('Billing Aug'!$F$2:$F$770,'Billing Aug'!$D$2:$D$770,A966)</f>
        <v/>
      </c>
      <c r="P966" s="41">
        <f>IF(N966=0,0,L966-SUMIFS('Billing Aug'!$H$2:$H$770,'Billing Aug'!$D$2:$D$770,A966)*SUMIFS('Billing Aug'!$I$2:$I$770,'Billing Aug'!$D$2:$D$770,A966))</f>
        <v/>
      </c>
      <c r="Q966" s="37">
        <f>IF(N966=0,"NO AUG TRANSACTION IN SUPPLIED EXTRACT",IF(ABS(P966)&gt;0.004,"SUBLEDGER ARITHMETIC ERROR",IF(ABS(M966)&gt;0.004,"BILLING VARIANCE","MATCH")))</f>
        <v/>
      </c>
    </row>
    <row r="967">
      <c r="A967" s="37" t="inlineStr">
        <is>
          <t>SB-0401</t>
        </is>
      </c>
      <c r="B967" s="37" t="inlineStr">
        <is>
          <t>Salmonberry</t>
        </is>
      </c>
      <c r="C967" s="37" t="inlineStr">
        <is>
          <t>OPEN</t>
        </is>
      </c>
      <c r="D967" s="37" t="inlineStr">
        <is>
          <t>OCCUPIED</t>
        </is>
      </c>
      <c r="E967" s="37" t="inlineStr">
        <is>
          <t>WL-01395</t>
        </is>
      </c>
      <c r="F967" s="37" t="inlineStr">
        <is>
          <t>Denise Mitchell</t>
        </is>
      </c>
      <c r="G967" s="37" t="n">
        <v>60</v>
      </c>
      <c r="H967" s="39" t="n">
        <v>23.8</v>
      </c>
      <c r="I967" s="40">
        <f>ROUNDUP(MAX(G967,H967),0)</f>
        <v/>
      </c>
      <c r="J967" s="41">
        <f>IF(C967="COVERED",'Methodology'!$B$9,'Methodology'!$B$10)</f>
        <v/>
      </c>
      <c r="K967" s="41">
        <f>I967*J967</f>
        <v/>
      </c>
      <c r="L967" s="41">
        <f>SUMIFS('Billing Aug'!$J$2:$J$770,'Billing Aug'!$D$2:$D$770,A967)</f>
        <v/>
      </c>
      <c r="M967" s="41">
        <f>L967-K967</f>
        <v/>
      </c>
      <c r="N967" s="37">
        <f>COUNTIF('Billing Aug'!$D$2:$D$770,A967)</f>
        <v/>
      </c>
      <c r="O967" s="37">
        <f>SUMIFS('Billing Aug'!$F$2:$F$770,'Billing Aug'!$D$2:$D$770,A967)</f>
        <v/>
      </c>
      <c r="P967" s="41">
        <f>IF(N967=0,0,L967-SUMIFS('Billing Aug'!$H$2:$H$770,'Billing Aug'!$D$2:$D$770,A967)*SUMIFS('Billing Aug'!$I$2:$I$770,'Billing Aug'!$D$2:$D$770,A967))</f>
        <v/>
      </c>
      <c r="Q967" s="37">
        <f>IF(N967=0,"NO AUG TRANSACTION IN SUPPLIED EXTRACT",IF(ABS(P967)&gt;0.004,"SUBLEDGER ARITHMETIC ERROR",IF(ABS(M967)&gt;0.004,"BILLING VARIANCE","MATCH")))</f>
        <v/>
      </c>
    </row>
    <row r="968">
      <c r="A968" s="37" t="inlineStr">
        <is>
          <t>SB-0402</t>
        </is>
      </c>
      <c r="B968" s="37" t="inlineStr">
        <is>
          <t>Salmonberry</t>
        </is>
      </c>
      <c r="C968" s="37" t="inlineStr">
        <is>
          <t>OPEN</t>
        </is>
      </c>
      <c r="D968" s="37" t="inlineStr">
        <is>
          <t>OCCUPIED</t>
        </is>
      </c>
      <c r="E968" s="37" t="inlineStr">
        <is>
          <t>WL-03565</t>
        </is>
      </c>
      <c r="F968" s="37" t="inlineStr">
        <is>
          <t>Brian Rosario</t>
        </is>
      </c>
      <c r="G968" s="37" t="n">
        <v>32</v>
      </c>
      <c r="H968" s="39" t="n">
        <v>53.9</v>
      </c>
      <c r="I968" s="40">
        <f>ROUNDUP(MAX(G968,H968),0)</f>
        <v/>
      </c>
      <c r="J968" s="41">
        <f>IF(C968="COVERED",'Methodology'!$B$9,'Methodology'!$B$10)</f>
        <v/>
      </c>
      <c r="K968" s="41">
        <f>I968*J968</f>
        <v/>
      </c>
      <c r="L968" s="41">
        <f>SUMIFS('Billing Aug'!$J$2:$J$770,'Billing Aug'!$D$2:$D$770,A968)</f>
        <v/>
      </c>
      <c r="M968" s="41">
        <f>L968-K968</f>
        <v/>
      </c>
      <c r="N968" s="37">
        <f>COUNTIF('Billing Aug'!$D$2:$D$770,A968)</f>
        <v/>
      </c>
      <c r="O968" s="37">
        <f>SUMIFS('Billing Aug'!$F$2:$F$770,'Billing Aug'!$D$2:$D$770,A968)</f>
        <v/>
      </c>
      <c r="P968" s="41">
        <f>IF(N968=0,0,L968-SUMIFS('Billing Aug'!$H$2:$H$770,'Billing Aug'!$D$2:$D$770,A968)*SUMIFS('Billing Aug'!$I$2:$I$770,'Billing Aug'!$D$2:$D$770,A968))</f>
        <v/>
      </c>
      <c r="Q968" s="37">
        <f>IF(N968=0,"NO AUG TRANSACTION IN SUPPLIED EXTRACT",IF(ABS(P968)&gt;0.004,"SUBLEDGER ARITHMETIC ERROR",IF(ABS(M968)&gt;0.004,"BILLING VARIANCE","MATCH")))</f>
        <v/>
      </c>
    </row>
    <row r="969">
      <c r="A969" s="37" t="inlineStr">
        <is>
          <t>SB-0403</t>
        </is>
      </c>
      <c r="B969" s="37" t="inlineStr">
        <is>
          <t>Salmonberry</t>
        </is>
      </c>
      <c r="C969" s="37" t="inlineStr">
        <is>
          <t>OPEN</t>
        </is>
      </c>
      <c r="D969" s="37" t="inlineStr">
        <is>
          <t>OCCUPIED</t>
        </is>
      </c>
      <c r="E969" s="37" t="inlineStr">
        <is>
          <t>WL-02892</t>
        </is>
      </c>
      <c r="F969" s="37" t="inlineStr">
        <is>
          <t>Martha Cook</t>
        </is>
      </c>
      <c r="G969" s="37" t="n">
        <v>24</v>
      </c>
      <c r="H969" s="39" t="n">
        <v>47.7</v>
      </c>
      <c r="I969" s="40">
        <f>ROUNDUP(MAX(G969,H969),0)</f>
        <v/>
      </c>
      <c r="J969" s="41">
        <f>IF(C969="COVERED",'Methodology'!$B$9,'Methodology'!$B$10)</f>
        <v/>
      </c>
      <c r="K969" s="41">
        <f>I969*J969</f>
        <v/>
      </c>
      <c r="L969" s="41">
        <f>SUMIFS('Billing Aug'!$J$2:$J$770,'Billing Aug'!$D$2:$D$770,A969)</f>
        <v/>
      </c>
      <c r="M969" s="41">
        <f>L969-K969</f>
        <v/>
      </c>
      <c r="N969" s="37">
        <f>COUNTIF('Billing Aug'!$D$2:$D$770,A969)</f>
        <v/>
      </c>
      <c r="O969" s="37">
        <f>SUMIFS('Billing Aug'!$F$2:$F$770,'Billing Aug'!$D$2:$D$770,A969)</f>
        <v/>
      </c>
      <c r="P969" s="41">
        <f>IF(N969=0,0,L969-SUMIFS('Billing Aug'!$H$2:$H$770,'Billing Aug'!$D$2:$D$770,A969)*SUMIFS('Billing Aug'!$I$2:$I$770,'Billing Aug'!$D$2:$D$770,A969))</f>
        <v/>
      </c>
      <c r="Q969" s="37">
        <f>IF(N969=0,"NO AUG TRANSACTION IN SUPPLIED EXTRACT",IF(ABS(P969)&gt;0.004,"SUBLEDGER ARITHMETIC ERROR",IF(ABS(M969)&gt;0.004,"BILLING VARIANCE","MATCH")))</f>
        <v/>
      </c>
    </row>
    <row r="970">
      <c r="A970" s="37" t="inlineStr">
        <is>
          <t>SB-0404</t>
        </is>
      </c>
      <c r="B970" s="37" t="inlineStr">
        <is>
          <t>Salmonberry</t>
        </is>
      </c>
      <c r="C970" s="37" t="inlineStr">
        <is>
          <t>OPEN</t>
        </is>
      </c>
      <c r="D970" s="37" t="inlineStr">
        <is>
          <t>OCCUPIED</t>
        </is>
      </c>
      <c r="E970" s="37" t="inlineStr">
        <is>
          <t>WL-02160</t>
        </is>
      </c>
      <c r="F970" s="37" t="inlineStr">
        <is>
          <t>Alexander Lawrence</t>
        </is>
      </c>
      <c r="G970" s="37" t="n">
        <v>40</v>
      </c>
      <c r="H970" s="39" t="n">
        <v>54.9</v>
      </c>
      <c r="I970" s="40">
        <f>ROUNDUP(MAX(G970,H970),0)</f>
        <v/>
      </c>
      <c r="J970" s="41">
        <f>IF(C970="COVERED",'Methodology'!$B$9,'Methodology'!$B$10)</f>
        <v/>
      </c>
      <c r="K970" s="41">
        <f>I970*J970</f>
        <v/>
      </c>
      <c r="L970" s="41">
        <f>SUMIFS('Billing Aug'!$J$2:$J$770,'Billing Aug'!$D$2:$D$770,A970)</f>
        <v/>
      </c>
      <c r="M970" s="41">
        <f>L970-K970</f>
        <v/>
      </c>
      <c r="N970" s="37">
        <f>COUNTIF('Billing Aug'!$D$2:$D$770,A970)</f>
        <v/>
      </c>
      <c r="O970" s="37">
        <f>SUMIFS('Billing Aug'!$F$2:$F$770,'Billing Aug'!$D$2:$D$770,A970)</f>
        <v/>
      </c>
      <c r="P970" s="41">
        <f>IF(N970=0,0,L970-SUMIFS('Billing Aug'!$H$2:$H$770,'Billing Aug'!$D$2:$D$770,A970)*SUMIFS('Billing Aug'!$I$2:$I$770,'Billing Aug'!$D$2:$D$770,A970))</f>
        <v/>
      </c>
      <c r="Q970" s="37">
        <f>IF(N970=0,"NO AUG TRANSACTION IN SUPPLIED EXTRACT",IF(ABS(P970)&gt;0.004,"SUBLEDGER ARITHMETIC ERROR",IF(ABS(M970)&gt;0.004,"BILLING VARIANCE","MATCH")))</f>
        <v/>
      </c>
    </row>
    <row r="971">
      <c r="A971" s="37" t="inlineStr">
        <is>
          <t>SB-0405</t>
        </is>
      </c>
      <c r="B971" s="37" t="inlineStr">
        <is>
          <t>Salmonberry</t>
        </is>
      </c>
      <c r="C971" s="37" t="inlineStr">
        <is>
          <t>OPEN</t>
        </is>
      </c>
      <c r="D971" s="37" t="inlineStr">
        <is>
          <t>OCCUPIED</t>
        </is>
      </c>
      <c r="E971" s="37" t="inlineStr">
        <is>
          <t>WL-02223</t>
        </is>
      </c>
      <c r="F971" s="37" t="inlineStr">
        <is>
          <t>Ashley Wilson</t>
        </is>
      </c>
      <c r="G971" s="37" t="n">
        <v>45</v>
      </c>
      <c r="H971" s="39" t="n">
        <v>57.3</v>
      </c>
      <c r="I971" s="40">
        <f>ROUNDUP(MAX(G971,H971),0)</f>
        <v/>
      </c>
      <c r="J971" s="41">
        <f>IF(C971="COVERED",'Methodology'!$B$9,'Methodology'!$B$10)</f>
        <v/>
      </c>
      <c r="K971" s="41">
        <f>I971*J971</f>
        <v/>
      </c>
      <c r="L971" s="41">
        <f>SUMIFS('Billing Aug'!$J$2:$J$770,'Billing Aug'!$D$2:$D$770,A971)</f>
        <v/>
      </c>
      <c r="M971" s="41">
        <f>L971-K971</f>
        <v/>
      </c>
      <c r="N971" s="37">
        <f>COUNTIF('Billing Aug'!$D$2:$D$770,A971)</f>
        <v/>
      </c>
      <c r="O971" s="37">
        <f>SUMIFS('Billing Aug'!$F$2:$F$770,'Billing Aug'!$D$2:$D$770,A971)</f>
        <v/>
      </c>
      <c r="P971" s="41">
        <f>IF(N971=0,0,L971-SUMIFS('Billing Aug'!$H$2:$H$770,'Billing Aug'!$D$2:$D$770,A971)*SUMIFS('Billing Aug'!$I$2:$I$770,'Billing Aug'!$D$2:$D$770,A971))</f>
        <v/>
      </c>
      <c r="Q971" s="37">
        <f>IF(N971=0,"NO AUG TRANSACTION IN SUPPLIED EXTRACT",IF(ABS(P971)&gt;0.004,"SUBLEDGER ARITHMETIC ERROR",IF(ABS(M971)&gt;0.004,"BILLING VARIANCE","MATCH")))</f>
        <v/>
      </c>
    </row>
    <row r="972">
      <c r="A972" s="37" t="inlineStr">
        <is>
          <t>SB-0406</t>
        </is>
      </c>
      <c r="B972" s="37" t="inlineStr">
        <is>
          <t>Salmonberry</t>
        </is>
      </c>
      <c r="C972" s="37" t="inlineStr">
        <is>
          <t>OPEN</t>
        </is>
      </c>
      <c r="D972" s="37" t="inlineStr">
        <is>
          <t>OCCUPIED</t>
        </is>
      </c>
      <c r="E972" s="37" t="inlineStr">
        <is>
          <t>WL-02891</t>
        </is>
      </c>
      <c r="F972" s="37" t="inlineStr">
        <is>
          <t>Jon Suarez</t>
        </is>
      </c>
      <c r="G972" s="37" t="n">
        <v>40</v>
      </c>
      <c r="H972" s="39" t="n">
        <v>55.3</v>
      </c>
      <c r="I972" s="40">
        <f>ROUNDUP(MAX(G972,H972),0)</f>
        <v/>
      </c>
      <c r="J972" s="41">
        <f>IF(C972="COVERED",'Methodology'!$B$9,'Methodology'!$B$10)</f>
        <v/>
      </c>
      <c r="K972" s="41">
        <f>I972*J972</f>
        <v/>
      </c>
      <c r="L972" s="41">
        <f>SUMIFS('Billing Aug'!$J$2:$J$770,'Billing Aug'!$D$2:$D$770,A972)</f>
        <v/>
      </c>
      <c r="M972" s="41">
        <f>L972-K972</f>
        <v/>
      </c>
      <c r="N972" s="37">
        <f>COUNTIF('Billing Aug'!$D$2:$D$770,A972)</f>
        <v/>
      </c>
      <c r="O972" s="37">
        <f>SUMIFS('Billing Aug'!$F$2:$F$770,'Billing Aug'!$D$2:$D$770,A972)</f>
        <v/>
      </c>
      <c r="P972" s="41">
        <f>IF(N972=0,0,L972-SUMIFS('Billing Aug'!$H$2:$H$770,'Billing Aug'!$D$2:$D$770,A972)*SUMIFS('Billing Aug'!$I$2:$I$770,'Billing Aug'!$D$2:$D$770,A972))</f>
        <v/>
      </c>
      <c r="Q972" s="37">
        <f>IF(N972=0,"NO AUG TRANSACTION IN SUPPLIED EXTRACT",IF(ABS(P972)&gt;0.004,"SUBLEDGER ARITHMETIC ERROR",IF(ABS(M972)&gt;0.004,"BILLING VARIANCE","MATCH")))</f>
        <v/>
      </c>
    </row>
    <row r="973">
      <c r="A973" s="37" t="inlineStr">
        <is>
          <t>SB-0407</t>
        </is>
      </c>
      <c r="B973" s="37" t="inlineStr">
        <is>
          <t>Salmonberry</t>
        </is>
      </c>
      <c r="C973" s="37" t="inlineStr">
        <is>
          <t>OPEN</t>
        </is>
      </c>
      <c r="D973" s="37" t="inlineStr">
        <is>
          <t>OCCUPIED</t>
        </is>
      </c>
      <c r="E973" s="37" t="inlineStr">
        <is>
          <t>WL-02876</t>
        </is>
      </c>
      <c r="F973" s="37" t="inlineStr">
        <is>
          <t>Janice Collins</t>
        </is>
      </c>
      <c r="G973" s="37" t="n">
        <v>24</v>
      </c>
      <c r="H973" s="39" t="n">
        <v>32.7</v>
      </c>
      <c r="I973" s="40">
        <f>ROUNDUP(MAX(G973,H973),0)</f>
        <v/>
      </c>
      <c r="J973" s="41">
        <f>IF(C973="COVERED",'Methodology'!$B$9,'Methodology'!$B$10)</f>
        <v/>
      </c>
      <c r="K973" s="41">
        <f>I973*J973</f>
        <v/>
      </c>
      <c r="L973" s="41">
        <f>SUMIFS('Billing Aug'!$J$2:$J$770,'Billing Aug'!$D$2:$D$770,A973)</f>
        <v/>
      </c>
      <c r="M973" s="41">
        <f>L973-K973</f>
        <v/>
      </c>
      <c r="N973" s="37">
        <f>COUNTIF('Billing Aug'!$D$2:$D$770,A973)</f>
        <v/>
      </c>
      <c r="O973" s="37">
        <f>SUMIFS('Billing Aug'!$F$2:$F$770,'Billing Aug'!$D$2:$D$770,A973)</f>
        <v/>
      </c>
      <c r="P973" s="41">
        <f>IF(N973=0,0,L973-SUMIFS('Billing Aug'!$H$2:$H$770,'Billing Aug'!$D$2:$D$770,A973)*SUMIFS('Billing Aug'!$I$2:$I$770,'Billing Aug'!$D$2:$D$770,A973))</f>
        <v/>
      </c>
      <c r="Q973" s="37">
        <f>IF(N973=0,"NO AUG TRANSACTION IN SUPPLIED EXTRACT",IF(ABS(P973)&gt;0.004,"SUBLEDGER ARITHMETIC ERROR",IF(ABS(M973)&gt;0.004,"BILLING VARIANCE","MATCH")))</f>
        <v/>
      </c>
    </row>
    <row r="974">
      <c r="A974" s="37" t="inlineStr">
        <is>
          <t>SB-0408</t>
        </is>
      </c>
      <c r="B974" s="37" t="inlineStr">
        <is>
          <t>Salmonberry</t>
        </is>
      </c>
      <c r="C974" s="37" t="inlineStr">
        <is>
          <t>OPEN</t>
        </is>
      </c>
      <c r="D974" s="37" t="inlineStr">
        <is>
          <t>OCCUPIED</t>
        </is>
      </c>
      <c r="E974" s="37" t="inlineStr">
        <is>
          <t>WL-01281</t>
        </is>
      </c>
      <c r="F974" s="37" t="inlineStr">
        <is>
          <t>Alexander Ferguson</t>
        </is>
      </c>
      <c r="G974" s="37" t="n">
        <v>28</v>
      </c>
      <c r="H974" s="39" t="n">
        <v>50.7</v>
      </c>
      <c r="I974" s="40">
        <f>ROUNDUP(MAX(G974,H974),0)</f>
        <v/>
      </c>
      <c r="J974" s="41">
        <f>IF(C974="COVERED",'Methodology'!$B$9,'Methodology'!$B$10)</f>
        <v/>
      </c>
      <c r="K974" s="41">
        <f>I974*J974</f>
        <v/>
      </c>
      <c r="L974" s="41">
        <f>SUMIFS('Billing Aug'!$J$2:$J$770,'Billing Aug'!$D$2:$D$770,A974)</f>
        <v/>
      </c>
      <c r="M974" s="41">
        <f>L974-K974</f>
        <v/>
      </c>
      <c r="N974" s="37">
        <f>COUNTIF('Billing Aug'!$D$2:$D$770,A974)</f>
        <v/>
      </c>
      <c r="O974" s="37">
        <f>SUMIFS('Billing Aug'!$F$2:$F$770,'Billing Aug'!$D$2:$D$770,A974)</f>
        <v/>
      </c>
      <c r="P974" s="41">
        <f>IF(N974=0,0,L974-SUMIFS('Billing Aug'!$H$2:$H$770,'Billing Aug'!$D$2:$D$770,A974)*SUMIFS('Billing Aug'!$I$2:$I$770,'Billing Aug'!$D$2:$D$770,A974))</f>
        <v/>
      </c>
      <c r="Q974" s="37">
        <f>IF(N974=0,"NO AUG TRANSACTION IN SUPPLIED EXTRACT",IF(ABS(P974)&gt;0.004,"SUBLEDGER ARITHMETIC ERROR",IF(ABS(M974)&gt;0.004,"BILLING VARIANCE","MATCH")))</f>
        <v/>
      </c>
    </row>
    <row r="975">
      <c r="A975" s="37" t="inlineStr">
        <is>
          <t>SB-0409</t>
        </is>
      </c>
      <c r="B975" s="37" t="inlineStr">
        <is>
          <t>Salmonberry</t>
        </is>
      </c>
      <c r="C975" s="37" t="inlineStr">
        <is>
          <t>OPEN</t>
        </is>
      </c>
      <c r="D975" s="37" t="inlineStr">
        <is>
          <t>OCCUPIED</t>
        </is>
      </c>
      <c r="E975" s="37" t="inlineStr">
        <is>
          <t>WL-01762</t>
        </is>
      </c>
      <c r="F975" s="37" t="inlineStr">
        <is>
          <t>John Powell</t>
        </is>
      </c>
      <c r="G975" s="37" t="n">
        <v>40</v>
      </c>
      <c r="H975" s="39" t="n">
        <v>28.6</v>
      </c>
      <c r="I975" s="40">
        <f>ROUNDUP(MAX(G975,H975),0)</f>
        <v/>
      </c>
      <c r="J975" s="41">
        <f>IF(C975="COVERED",'Methodology'!$B$9,'Methodology'!$B$10)</f>
        <v/>
      </c>
      <c r="K975" s="41">
        <f>I975*J975</f>
        <v/>
      </c>
      <c r="L975" s="41">
        <f>SUMIFS('Billing Aug'!$J$2:$J$770,'Billing Aug'!$D$2:$D$770,A975)</f>
        <v/>
      </c>
      <c r="M975" s="41">
        <f>L975-K975</f>
        <v/>
      </c>
      <c r="N975" s="37">
        <f>COUNTIF('Billing Aug'!$D$2:$D$770,A975)</f>
        <v/>
      </c>
      <c r="O975" s="37">
        <f>SUMIFS('Billing Aug'!$F$2:$F$770,'Billing Aug'!$D$2:$D$770,A975)</f>
        <v/>
      </c>
      <c r="P975" s="41">
        <f>IF(N975=0,0,L975-SUMIFS('Billing Aug'!$H$2:$H$770,'Billing Aug'!$D$2:$D$770,A975)*SUMIFS('Billing Aug'!$I$2:$I$770,'Billing Aug'!$D$2:$D$770,A975))</f>
        <v/>
      </c>
      <c r="Q975" s="37">
        <f>IF(N975=0,"NO AUG TRANSACTION IN SUPPLIED EXTRACT",IF(ABS(P975)&gt;0.004,"SUBLEDGER ARITHMETIC ERROR",IF(ABS(M975)&gt;0.004,"BILLING VARIANCE","MATCH")))</f>
        <v/>
      </c>
    </row>
    <row r="976">
      <c r="A976" s="37" t="inlineStr">
        <is>
          <t>SB-0410</t>
        </is>
      </c>
      <c r="B976" s="37" t="inlineStr">
        <is>
          <t>Salmonberry</t>
        </is>
      </c>
      <c r="C976" s="37" t="inlineStr">
        <is>
          <t>OPEN</t>
        </is>
      </c>
      <c r="D976" s="37" t="inlineStr">
        <is>
          <t>OCCUPIED</t>
        </is>
      </c>
      <c r="E976" s="37" t="inlineStr">
        <is>
          <t>WL-01770</t>
        </is>
      </c>
      <c r="F976" s="37" t="inlineStr">
        <is>
          <t>Billy Cummings</t>
        </is>
      </c>
      <c r="G976" s="37" t="n">
        <v>24</v>
      </c>
      <c r="H976" s="39" t="n">
        <v>31.4</v>
      </c>
      <c r="I976" s="40">
        <f>ROUNDUP(MAX(G976,H976),0)</f>
        <v/>
      </c>
      <c r="J976" s="41">
        <f>IF(C976="COVERED",'Methodology'!$B$9,'Methodology'!$B$10)</f>
        <v/>
      </c>
      <c r="K976" s="41">
        <f>I976*J976</f>
        <v/>
      </c>
      <c r="L976" s="41">
        <f>SUMIFS('Billing Aug'!$J$2:$J$770,'Billing Aug'!$D$2:$D$770,A976)</f>
        <v/>
      </c>
      <c r="M976" s="41">
        <f>L976-K976</f>
        <v/>
      </c>
      <c r="N976" s="37">
        <f>COUNTIF('Billing Aug'!$D$2:$D$770,A976)</f>
        <v/>
      </c>
      <c r="O976" s="37">
        <f>SUMIFS('Billing Aug'!$F$2:$F$770,'Billing Aug'!$D$2:$D$770,A976)</f>
        <v/>
      </c>
      <c r="P976" s="41">
        <f>IF(N976=0,0,L976-SUMIFS('Billing Aug'!$H$2:$H$770,'Billing Aug'!$D$2:$D$770,A976)*SUMIFS('Billing Aug'!$I$2:$I$770,'Billing Aug'!$D$2:$D$770,A976))</f>
        <v/>
      </c>
      <c r="Q976" s="37">
        <f>IF(N976=0,"NO AUG TRANSACTION IN SUPPLIED EXTRACT",IF(ABS(P976)&gt;0.004,"SUBLEDGER ARITHMETIC ERROR",IF(ABS(M976)&gt;0.004,"BILLING VARIANCE","MATCH")))</f>
        <v/>
      </c>
    </row>
    <row r="977">
      <c r="A977" s="37" t="inlineStr">
        <is>
          <t>SB-0411</t>
        </is>
      </c>
      <c r="B977" s="37" t="inlineStr">
        <is>
          <t>Salmonberry</t>
        </is>
      </c>
      <c r="C977" s="37" t="inlineStr">
        <is>
          <t>OPEN</t>
        </is>
      </c>
      <c r="D977" s="37" t="inlineStr">
        <is>
          <t>OCCUPIED</t>
        </is>
      </c>
      <c r="E977" s="37" t="inlineStr">
        <is>
          <t>WL-02542</t>
        </is>
      </c>
      <c r="F977" s="37" t="inlineStr">
        <is>
          <t>Susan Decker</t>
        </is>
      </c>
      <c r="G977" s="37" t="n">
        <v>24</v>
      </c>
      <c r="H977" s="39" t="n">
        <v>28.3</v>
      </c>
      <c r="I977" s="40">
        <f>ROUNDUP(MAX(G977,H977),0)</f>
        <v/>
      </c>
      <c r="J977" s="41">
        <f>IF(C977="COVERED",'Methodology'!$B$9,'Methodology'!$B$10)</f>
        <v/>
      </c>
      <c r="K977" s="41">
        <f>I977*J977</f>
        <v/>
      </c>
      <c r="L977" s="41">
        <f>SUMIFS('Billing Aug'!$J$2:$J$770,'Billing Aug'!$D$2:$D$770,A977)</f>
        <v/>
      </c>
      <c r="M977" s="41">
        <f>L977-K977</f>
        <v/>
      </c>
      <c r="N977" s="37">
        <f>COUNTIF('Billing Aug'!$D$2:$D$770,A977)</f>
        <v/>
      </c>
      <c r="O977" s="37">
        <f>SUMIFS('Billing Aug'!$F$2:$F$770,'Billing Aug'!$D$2:$D$770,A977)</f>
        <v/>
      </c>
      <c r="P977" s="41">
        <f>IF(N977=0,0,L977-SUMIFS('Billing Aug'!$H$2:$H$770,'Billing Aug'!$D$2:$D$770,A977)*SUMIFS('Billing Aug'!$I$2:$I$770,'Billing Aug'!$D$2:$D$770,A977))</f>
        <v/>
      </c>
      <c r="Q977" s="37">
        <f>IF(N977=0,"NO AUG TRANSACTION IN SUPPLIED EXTRACT",IF(ABS(P977)&gt;0.004,"SUBLEDGER ARITHMETIC ERROR",IF(ABS(M977)&gt;0.004,"BILLING VARIANCE","MATCH")))</f>
        <v/>
      </c>
    </row>
    <row r="978">
      <c r="A978" s="37" t="inlineStr">
        <is>
          <t>SB-0412</t>
        </is>
      </c>
      <c r="B978" s="37" t="inlineStr">
        <is>
          <t>Salmonberry</t>
        </is>
      </c>
      <c r="C978" s="37" t="inlineStr">
        <is>
          <t>OPEN</t>
        </is>
      </c>
      <c r="D978" s="37" t="inlineStr">
        <is>
          <t>OCCUPIED</t>
        </is>
      </c>
      <c r="E978" s="37" t="inlineStr">
        <is>
          <t>WL-03345</t>
        </is>
      </c>
      <c r="F978" s="37" t="inlineStr">
        <is>
          <t>Cody Jackson</t>
        </is>
      </c>
      <c r="G978" s="37" t="n">
        <v>70</v>
      </c>
      <c r="H978" s="39" t="n">
        <v>53.3</v>
      </c>
      <c r="I978" s="40">
        <f>ROUNDUP(MAX(G978,H978),0)</f>
        <v/>
      </c>
      <c r="J978" s="41">
        <f>IF(C978="COVERED",'Methodology'!$B$9,'Methodology'!$B$10)</f>
        <v/>
      </c>
      <c r="K978" s="41">
        <f>I978*J978</f>
        <v/>
      </c>
      <c r="L978" s="41">
        <f>SUMIFS('Billing Aug'!$J$2:$J$770,'Billing Aug'!$D$2:$D$770,A978)</f>
        <v/>
      </c>
      <c r="M978" s="41">
        <f>L978-K978</f>
        <v/>
      </c>
      <c r="N978" s="37">
        <f>COUNTIF('Billing Aug'!$D$2:$D$770,A978)</f>
        <v/>
      </c>
      <c r="O978" s="37">
        <f>SUMIFS('Billing Aug'!$F$2:$F$770,'Billing Aug'!$D$2:$D$770,A978)</f>
        <v/>
      </c>
      <c r="P978" s="41">
        <f>IF(N978=0,0,L978-SUMIFS('Billing Aug'!$H$2:$H$770,'Billing Aug'!$D$2:$D$770,A978)*SUMIFS('Billing Aug'!$I$2:$I$770,'Billing Aug'!$D$2:$D$770,A978))</f>
        <v/>
      </c>
      <c r="Q978" s="37">
        <f>IF(N978=0,"NO AUG TRANSACTION IN SUPPLIED EXTRACT",IF(ABS(P978)&gt;0.004,"SUBLEDGER ARITHMETIC ERROR",IF(ABS(M978)&gt;0.004,"BILLING VARIANCE","MATCH")))</f>
        <v/>
      </c>
    </row>
    <row r="979">
      <c r="A979" s="37" t="inlineStr">
        <is>
          <t>SB-0413</t>
        </is>
      </c>
      <c r="B979" s="37" t="inlineStr">
        <is>
          <t>Salmonberry</t>
        </is>
      </c>
      <c r="C979" s="37" t="inlineStr">
        <is>
          <t>OPEN</t>
        </is>
      </c>
      <c r="D979" s="37" t="inlineStr">
        <is>
          <t>OCCUPIED</t>
        </is>
      </c>
      <c r="E979" s="37" t="inlineStr">
        <is>
          <t>WL-01247</t>
        </is>
      </c>
      <c r="F979" s="37" t="inlineStr">
        <is>
          <t>Daniel Wallace</t>
        </is>
      </c>
      <c r="G979" s="37" t="n">
        <v>45</v>
      </c>
      <c r="H979" s="39" t="n">
        <v>27.8</v>
      </c>
      <c r="I979" s="40">
        <f>ROUNDUP(MAX(G979,H979),0)</f>
        <v/>
      </c>
      <c r="J979" s="41">
        <f>IF(C979="COVERED",'Methodology'!$B$9,'Methodology'!$B$10)</f>
        <v/>
      </c>
      <c r="K979" s="41">
        <f>I979*J979</f>
        <v/>
      </c>
      <c r="L979" s="41">
        <f>SUMIFS('Billing Aug'!$J$2:$J$770,'Billing Aug'!$D$2:$D$770,A979)</f>
        <v/>
      </c>
      <c r="M979" s="41">
        <f>L979-K979</f>
        <v/>
      </c>
      <c r="N979" s="37">
        <f>COUNTIF('Billing Aug'!$D$2:$D$770,A979)</f>
        <v/>
      </c>
      <c r="O979" s="37">
        <f>SUMIFS('Billing Aug'!$F$2:$F$770,'Billing Aug'!$D$2:$D$770,A979)</f>
        <v/>
      </c>
      <c r="P979" s="41">
        <f>IF(N979=0,0,L979-SUMIFS('Billing Aug'!$H$2:$H$770,'Billing Aug'!$D$2:$D$770,A979)*SUMIFS('Billing Aug'!$I$2:$I$770,'Billing Aug'!$D$2:$D$770,A979))</f>
        <v/>
      </c>
      <c r="Q979" s="37">
        <f>IF(N979=0,"NO AUG TRANSACTION IN SUPPLIED EXTRACT",IF(ABS(P979)&gt;0.004,"SUBLEDGER ARITHMETIC ERROR",IF(ABS(M979)&gt;0.004,"BILLING VARIANCE","MATCH")))</f>
        <v/>
      </c>
    </row>
    <row r="980">
      <c r="A980" s="37" t="inlineStr">
        <is>
          <t>SB-0414</t>
        </is>
      </c>
      <c r="B980" s="37" t="inlineStr">
        <is>
          <t>Salmonberry</t>
        </is>
      </c>
      <c r="C980" s="37" t="inlineStr">
        <is>
          <t>OPEN</t>
        </is>
      </c>
      <c r="D980" s="37" t="inlineStr">
        <is>
          <t>OCCUPIED</t>
        </is>
      </c>
      <c r="E980" s="37" t="inlineStr">
        <is>
          <t>WL-01769</t>
        </is>
      </c>
      <c r="F980" s="37" t="inlineStr">
        <is>
          <t>Brenda Cruz</t>
        </is>
      </c>
      <c r="G980" s="37" t="n">
        <v>32</v>
      </c>
      <c r="H980" s="39" t="n">
        <v>59.1</v>
      </c>
      <c r="I980" s="40">
        <f>ROUNDUP(MAX(G980,H980),0)</f>
        <v/>
      </c>
      <c r="J980" s="41">
        <f>IF(C980="COVERED",'Methodology'!$B$9,'Methodology'!$B$10)</f>
        <v/>
      </c>
      <c r="K980" s="41">
        <f>I980*J980</f>
        <v/>
      </c>
      <c r="L980" s="41">
        <f>SUMIFS('Billing Aug'!$J$2:$J$770,'Billing Aug'!$D$2:$D$770,A980)</f>
        <v/>
      </c>
      <c r="M980" s="41">
        <f>L980-K980</f>
        <v/>
      </c>
      <c r="N980" s="37">
        <f>COUNTIF('Billing Aug'!$D$2:$D$770,A980)</f>
        <v/>
      </c>
      <c r="O980" s="37">
        <f>SUMIFS('Billing Aug'!$F$2:$F$770,'Billing Aug'!$D$2:$D$770,A980)</f>
        <v/>
      </c>
      <c r="P980" s="41">
        <f>IF(N980=0,0,L980-SUMIFS('Billing Aug'!$H$2:$H$770,'Billing Aug'!$D$2:$D$770,A980)*SUMIFS('Billing Aug'!$I$2:$I$770,'Billing Aug'!$D$2:$D$770,A980))</f>
        <v/>
      </c>
      <c r="Q980" s="37">
        <f>IF(N980=0,"NO AUG TRANSACTION IN SUPPLIED EXTRACT",IF(ABS(P980)&gt;0.004,"SUBLEDGER ARITHMETIC ERROR",IF(ABS(M980)&gt;0.004,"BILLING VARIANCE","MATCH")))</f>
        <v/>
      </c>
    </row>
    <row r="981">
      <c r="A981" s="37" t="inlineStr">
        <is>
          <t>SB-0415</t>
        </is>
      </c>
      <c r="B981" s="37" t="inlineStr">
        <is>
          <t>Salmonberry</t>
        </is>
      </c>
      <c r="C981" s="37" t="inlineStr">
        <is>
          <t>OPEN</t>
        </is>
      </c>
      <c r="D981" s="37" t="inlineStr">
        <is>
          <t>OCCUPIED</t>
        </is>
      </c>
      <c r="E981" s="37" t="inlineStr">
        <is>
          <t>WL-03540</t>
        </is>
      </c>
      <c r="F981" s="37" t="inlineStr">
        <is>
          <t>Julie Crane</t>
        </is>
      </c>
      <c r="G981" s="37" t="n">
        <v>28</v>
      </c>
      <c r="H981" s="39" t="n">
        <v>41.5</v>
      </c>
      <c r="I981" s="40">
        <f>ROUNDUP(MAX(G981,H981),0)</f>
        <v/>
      </c>
      <c r="J981" s="41">
        <f>IF(C981="COVERED",'Methodology'!$B$9,'Methodology'!$B$10)</f>
        <v/>
      </c>
      <c r="K981" s="41">
        <f>I981*J981</f>
        <v/>
      </c>
      <c r="L981" s="41">
        <f>SUMIFS('Billing Aug'!$J$2:$J$770,'Billing Aug'!$D$2:$D$770,A981)</f>
        <v/>
      </c>
      <c r="M981" s="41">
        <f>L981-K981</f>
        <v/>
      </c>
      <c r="N981" s="37">
        <f>COUNTIF('Billing Aug'!$D$2:$D$770,A981)</f>
        <v/>
      </c>
      <c r="O981" s="37">
        <f>SUMIFS('Billing Aug'!$F$2:$F$770,'Billing Aug'!$D$2:$D$770,A981)</f>
        <v/>
      </c>
      <c r="P981" s="41">
        <f>IF(N981=0,0,L981-SUMIFS('Billing Aug'!$H$2:$H$770,'Billing Aug'!$D$2:$D$770,A981)*SUMIFS('Billing Aug'!$I$2:$I$770,'Billing Aug'!$D$2:$D$770,A981))</f>
        <v/>
      </c>
      <c r="Q981" s="37">
        <f>IF(N981=0,"NO AUG TRANSACTION IN SUPPLIED EXTRACT",IF(ABS(P981)&gt;0.004,"SUBLEDGER ARITHMETIC ERROR",IF(ABS(M981)&gt;0.004,"BILLING VARIANCE","MATCH")))</f>
        <v/>
      </c>
    </row>
    <row r="982">
      <c r="A982" s="37" t="inlineStr">
        <is>
          <t>SB-0416</t>
        </is>
      </c>
      <c r="B982" s="37" t="inlineStr">
        <is>
          <t>Salmonberry</t>
        </is>
      </c>
      <c r="C982" s="37" t="inlineStr">
        <is>
          <t>OPEN</t>
        </is>
      </c>
      <c r="D982" s="37" t="inlineStr">
        <is>
          <t>OCCUPIED</t>
        </is>
      </c>
      <c r="E982" s="37" t="inlineStr">
        <is>
          <t>WL-03324</t>
        </is>
      </c>
      <c r="F982" s="37" t="inlineStr">
        <is>
          <t>Jacob Hanna</t>
        </is>
      </c>
      <c r="G982" s="37" t="n">
        <v>28</v>
      </c>
      <c r="H982" s="39" t="n">
        <v>41.9</v>
      </c>
      <c r="I982" s="40">
        <f>ROUNDUP(MAX(G982,H982),0)</f>
        <v/>
      </c>
      <c r="J982" s="41">
        <f>IF(C982="COVERED",'Methodology'!$B$9,'Methodology'!$B$10)</f>
        <v/>
      </c>
      <c r="K982" s="41">
        <f>I982*J982</f>
        <v/>
      </c>
      <c r="L982" s="41">
        <f>SUMIFS('Billing Aug'!$J$2:$J$770,'Billing Aug'!$D$2:$D$770,A982)</f>
        <v/>
      </c>
      <c r="M982" s="41">
        <f>L982-K982</f>
        <v/>
      </c>
      <c r="N982" s="37">
        <f>COUNTIF('Billing Aug'!$D$2:$D$770,A982)</f>
        <v/>
      </c>
      <c r="O982" s="37">
        <f>SUMIFS('Billing Aug'!$F$2:$F$770,'Billing Aug'!$D$2:$D$770,A982)</f>
        <v/>
      </c>
      <c r="P982" s="41">
        <f>IF(N982=0,0,L982-SUMIFS('Billing Aug'!$H$2:$H$770,'Billing Aug'!$D$2:$D$770,A982)*SUMIFS('Billing Aug'!$I$2:$I$770,'Billing Aug'!$D$2:$D$770,A982))</f>
        <v/>
      </c>
      <c r="Q982" s="37">
        <f>IF(N982=0,"NO AUG TRANSACTION IN SUPPLIED EXTRACT",IF(ABS(P982)&gt;0.004,"SUBLEDGER ARITHMETIC ERROR",IF(ABS(M982)&gt;0.004,"BILLING VARIANCE","MATCH")))</f>
        <v/>
      </c>
    </row>
    <row r="983">
      <c r="A983" s="37" t="inlineStr">
        <is>
          <t>SB-0418</t>
        </is>
      </c>
      <c r="B983" s="37" t="inlineStr">
        <is>
          <t>Salmonberry</t>
        </is>
      </c>
      <c r="C983" s="37" t="inlineStr">
        <is>
          <t>OPEN</t>
        </is>
      </c>
      <c r="D983" s="37" t="inlineStr">
        <is>
          <t>OCCUPIED</t>
        </is>
      </c>
      <c r="E983" s="37" t="inlineStr">
        <is>
          <t>WL-03571</t>
        </is>
      </c>
      <c r="F983" s="37" t="inlineStr">
        <is>
          <t>Rebecca Merritt</t>
        </is>
      </c>
      <c r="G983" s="37" t="n">
        <v>45</v>
      </c>
      <c r="H983" s="39" t="n">
        <v>38.2</v>
      </c>
      <c r="I983" s="40">
        <f>ROUNDUP(MAX(G983,H983),0)</f>
        <v/>
      </c>
      <c r="J983" s="41">
        <f>IF(C983="COVERED",'Methodology'!$B$9,'Methodology'!$B$10)</f>
        <v/>
      </c>
      <c r="K983" s="41">
        <f>I983*J983</f>
        <v/>
      </c>
      <c r="L983" s="41">
        <f>SUMIFS('Billing Aug'!$J$2:$J$770,'Billing Aug'!$D$2:$D$770,A983)</f>
        <v/>
      </c>
      <c r="M983" s="41">
        <f>L983-K983</f>
        <v/>
      </c>
      <c r="N983" s="37">
        <f>COUNTIF('Billing Aug'!$D$2:$D$770,A983)</f>
        <v/>
      </c>
      <c r="O983" s="37">
        <f>SUMIFS('Billing Aug'!$F$2:$F$770,'Billing Aug'!$D$2:$D$770,A983)</f>
        <v/>
      </c>
      <c r="P983" s="41">
        <f>IF(N983=0,0,L983-SUMIFS('Billing Aug'!$H$2:$H$770,'Billing Aug'!$D$2:$D$770,A983)*SUMIFS('Billing Aug'!$I$2:$I$770,'Billing Aug'!$D$2:$D$770,A983))</f>
        <v/>
      </c>
      <c r="Q983" s="37">
        <f>IF(N983=0,"NO AUG TRANSACTION IN SUPPLIED EXTRACT",IF(ABS(P983)&gt;0.004,"SUBLEDGER ARITHMETIC ERROR",IF(ABS(M983)&gt;0.004,"BILLING VARIANCE","MATCH")))</f>
        <v/>
      </c>
    </row>
    <row r="984">
      <c r="A984" s="37" t="inlineStr">
        <is>
          <t>SB-0419</t>
        </is>
      </c>
      <c r="B984" s="37" t="inlineStr">
        <is>
          <t>Salmonberry</t>
        </is>
      </c>
      <c r="C984" s="37" t="inlineStr">
        <is>
          <t>OPEN</t>
        </is>
      </c>
      <c r="D984" s="37" t="inlineStr">
        <is>
          <t>OCCUPIED</t>
        </is>
      </c>
      <c r="E984" s="37" t="inlineStr">
        <is>
          <t>WL-03076</t>
        </is>
      </c>
      <c r="F984" s="37" t="inlineStr">
        <is>
          <t>Jennifer Davis</t>
        </is>
      </c>
      <c r="G984" s="37" t="n">
        <v>32</v>
      </c>
      <c r="H984" s="39" t="n">
        <v>48.2</v>
      </c>
      <c r="I984" s="40">
        <f>ROUNDUP(MAX(G984,H984),0)</f>
        <v/>
      </c>
      <c r="J984" s="41">
        <f>IF(C984="COVERED",'Methodology'!$B$9,'Methodology'!$B$10)</f>
        <v/>
      </c>
      <c r="K984" s="41">
        <f>I984*J984</f>
        <v/>
      </c>
      <c r="L984" s="41">
        <f>SUMIFS('Billing Aug'!$J$2:$J$770,'Billing Aug'!$D$2:$D$770,A984)</f>
        <v/>
      </c>
      <c r="M984" s="41">
        <f>L984-K984</f>
        <v/>
      </c>
      <c r="N984" s="37">
        <f>COUNTIF('Billing Aug'!$D$2:$D$770,A984)</f>
        <v/>
      </c>
      <c r="O984" s="37">
        <f>SUMIFS('Billing Aug'!$F$2:$F$770,'Billing Aug'!$D$2:$D$770,A984)</f>
        <v/>
      </c>
      <c r="P984" s="41">
        <f>IF(N984=0,0,L984-SUMIFS('Billing Aug'!$H$2:$H$770,'Billing Aug'!$D$2:$D$770,A984)*SUMIFS('Billing Aug'!$I$2:$I$770,'Billing Aug'!$D$2:$D$770,A984))</f>
        <v/>
      </c>
      <c r="Q984" s="37">
        <f>IF(N984=0,"NO AUG TRANSACTION IN SUPPLIED EXTRACT",IF(ABS(P984)&gt;0.004,"SUBLEDGER ARITHMETIC ERROR",IF(ABS(M984)&gt;0.004,"BILLING VARIANCE","MATCH")))</f>
        <v/>
      </c>
    </row>
    <row r="985">
      <c r="A985" s="37" t="inlineStr">
        <is>
          <t>SB-0420</t>
        </is>
      </c>
      <c r="B985" s="37" t="inlineStr">
        <is>
          <t>Salmonberry</t>
        </is>
      </c>
      <c r="C985" s="37" t="inlineStr">
        <is>
          <t>OPEN</t>
        </is>
      </c>
      <c r="D985" s="37" t="inlineStr">
        <is>
          <t>OCCUPIED</t>
        </is>
      </c>
      <c r="E985" s="37" t="inlineStr">
        <is>
          <t>WL-03473</t>
        </is>
      </c>
      <c r="F985" s="37" t="inlineStr">
        <is>
          <t>Brian Miller</t>
        </is>
      </c>
      <c r="G985" s="37" t="n">
        <v>32</v>
      </c>
      <c r="H985" s="39" t="n">
        <v>61.2</v>
      </c>
      <c r="I985" s="40">
        <f>ROUNDUP(MAX(G985,H985),0)</f>
        <v/>
      </c>
      <c r="J985" s="41">
        <f>IF(C985="COVERED",'Methodology'!$B$9,'Methodology'!$B$10)</f>
        <v/>
      </c>
      <c r="K985" s="41">
        <f>I985*J985</f>
        <v/>
      </c>
      <c r="L985" s="41">
        <f>SUMIFS('Billing Aug'!$J$2:$J$770,'Billing Aug'!$D$2:$D$770,A985)</f>
        <v/>
      </c>
      <c r="M985" s="41">
        <f>L985-K985</f>
        <v/>
      </c>
      <c r="N985" s="37">
        <f>COUNTIF('Billing Aug'!$D$2:$D$770,A985)</f>
        <v/>
      </c>
      <c r="O985" s="37">
        <f>SUMIFS('Billing Aug'!$F$2:$F$770,'Billing Aug'!$D$2:$D$770,A985)</f>
        <v/>
      </c>
      <c r="P985" s="41">
        <f>IF(N985=0,0,L985-SUMIFS('Billing Aug'!$H$2:$H$770,'Billing Aug'!$D$2:$D$770,A985)*SUMIFS('Billing Aug'!$I$2:$I$770,'Billing Aug'!$D$2:$D$770,A985))</f>
        <v/>
      </c>
      <c r="Q985" s="37">
        <f>IF(N985=0,"NO AUG TRANSACTION IN SUPPLIED EXTRACT",IF(ABS(P985)&gt;0.004,"SUBLEDGER ARITHMETIC ERROR",IF(ABS(M985)&gt;0.004,"BILLING VARIANCE","MATCH")))</f>
        <v/>
      </c>
    </row>
    <row r="986">
      <c r="A986" s="37" t="inlineStr">
        <is>
          <t>SB-0421</t>
        </is>
      </c>
      <c r="B986" s="37" t="inlineStr">
        <is>
          <t>Salmonberry</t>
        </is>
      </c>
      <c r="C986" s="37" t="inlineStr">
        <is>
          <t>OPEN</t>
        </is>
      </c>
      <c r="D986" s="37" t="inlineStr">
        <is>
          <t>OCCUPIED</t>
        </is>
      </c>
      <c r="E986" s="37" t="inlineStr">
        <is>
          <t>WL-02552</t>
        </is>
      </c>
      <c r="F986" s="37" t="inlineStr">
        <is>
          <t>Brian Shea</t>
        </is>
      </c>
      <c r="G986" s="37" t="n">
        <v>60</v>
      </c>
      <c r="H986" s="39" t="n">
        <v>48.4</v>
      </c>
      <c r="I986" s="40">
        <f>ROUNDUP(MAX(G986,H986),0)</f>
        <v/>
      </c>
      <c r="J986" s="41">
        <f>IF(C986="COVERED",'Methodology'!$B$9,'Methodology'!$B$10)</f>
        <v/>
      </c>
      <c r="K986" s="41">
        <f>I986*J986</f>
        <v/>
      </c>
      <c r="L986" s="41">
        <f>SUMIFS('Billing Aug'!$J$2:$J$770,'Billing Aug'!$D$2:$D$770,A986)</f>
        <v/>
      </c>
      <c r="M986" s="41">
        <f>L986-K986</f>
        <v/>
      </c>
      <c r="N986" s="37">
        <f>COUNTIF('Billing Aug'!$D$2:$D$770,A986)</f>
        <v/>
      </c>
      <c r="O986" s="37">
        <f>SUMIFS('Billing Aug'!$F$2:$F$770,'Billing Aug'!$D$2:$D$770,A986)</f>
        <v/>
      </c>
      <c r="P986" s="41">
        <f>IF(N986=0,0,L986-SUMIFS('Billing Aug'!$H$2:$H$770,'Billing Aug'!$D$2:$D$770,A986)*SUMIFS('Billing Aug'!$I$2:$I$770,'Billing Aug'!$D$2:$D$770,A986))</f>
        <v/>
      </c>
      <c r="Q986" s="37">
        <f>IF(N986=0,"NO AUG TRANSACTION IN SUPPLIED EXTRACT",IF(ABS(P986)&gt;0.004,"SUBLEDGER ARITHMETIC ERROR",IF(ABS(M986)&gt;0.004,"BILLING VARIANCE","MATCH")))</f>
        <v/>
      </c>
    </row>
    <row r="987">
      <c r="A987" s="37" t="inlineStr">
        <is>
          <t>SB-0422</t>
        </is>
      </c>
      <c r="B987" s="37" t="inlineStr">
        <is>
          <t>Salmonberry</t>
        </is>
      </c>
      <c r="C987" s="37" t="inlineStr">
        <is>
          <t>OPEN</t>
        </is>
      </c>
      <c r="D987" s="37" t="inlineStr">
        <is>
          <t>OCCUPIED</t>
        </is>
      </c>
      <c r="E987" s="37" t="inlineStr">
        <is>
          <t>WL-02351</t>
        </is>
      </c>
      <c r="F987" s="37" t="inlineStr">
        <is>
          <t>Kenneth Bradford</t>
        </is>
      </c>
      <c r="G987" s="37" t="n">
        <v>24</v>
      </c>
      <c r="H987" s="39" t="n">
        <v>26.5</v>
      </c>
      <c r="I987" s="40">
        <f>ROUNDUP(MAX(G987,H987),0)</f>
        <v/>
      </c>
      <c r="J987" s="41">
        <f>IF(C987="COVERED",'Methodology'!$B$9,'Methodology'!$B$10)</f>
        <v/>
      </c>
      <c r="K987" s="41">
        <f>I987*J987</f>
        <v/>
      </c>
      <c r="L987" s="41">
        <f>SUMIFS('Billing Aug'!$J$2:$J$770,'Billing Aug'!$D$2:$D$770,A987)</f>
        <v/>
      </c>
      <c r="M987" s="41">
        <f>L987-K987</f>
        <v/>
      </c>
      <c r="N987" s="37">
        <f>COUNTIF('Billing Aug'!$D$2:$D$770,A987)</f>
        <v/>
      </c>
      <c r="O987" s="37">
        <f>SUMIFS('Billing Aug'!$F$2:$F$770,'Billing Aug'!$D$2:$D$770,A987)</f>
        <v/>
      </c>
      <c r="P987" s="41">
        <f>IF(N987=0,0,L987-SUMIFS('Billing Aug'!$H$2:$H$770,'Billing Aug'!$D$2:$D$770,A987)*SUMIFS('Billing Aug'!$I$2:$I$770,'Billing Aug'!$D$2:$D$770,A987))</f>
        <v/>
      </c>
      <c r="Q987" s="37">
        <f>IF(N987=0,"NO AUG TRANSACTION IN SUPPLIED EXTRACT",IF(ABS(P987)&gt;0.004,"SUBLEDGER ARITHMETIC ERROR",IF(ABS(M987)&gt;0.004,"BILLING VARIANCE","MATCH")))</f>
        <v/>
      </c>
    </row>
    <row r="988">
      <c r="A988" s="37" t="inlineStr">
        <is>
          <t>SB-0423</t>
        </is>
      </c>
      <c r="B988" s="37" t="inlineStr">
        <is>
          <t>Salmonberry</t>
        </is>
      </c>
      <c r="C988" s="37" t="inlineStr">
        <is>
          <t>OPEN</t>
        </is>
      </c>
      <c r="D988" s="37" t="inlineStr">
        <is>
          <t>OCCUPIED</t>
        </is>
      </c>
      <c r="E988" s="37" t="inlineStr">
        <is>
          <t>WL-03606</t>
        </is>
      </c>
      <c r="F988" s="37" t="inlineStr">
        <is>
          <t>Jared Garcia</t>
        </is>
      </c>
      <c r="G988" s="37" t="n">
        <v>80</v>
      </c>
      <c r="H988" s="39" t="n">
        <v>53.2</v>
      </c>
      <c r="I988" s="40">
        <f>ROUNDUP(MAX(G988,H988),0)</f>
        <v/>
      </c>
      <c r="J988" s="41">
        <f>IF(C988="COVERED",'Methodology'!$B$9,'Methodology'!$B$10)</f>
        <v/>
      </c>
      <c r="K988" s="41">
        <f>I988*J988</f>
        <v/>
      </c>
      <c r="L988" s="41">
        <f>SUMIFS('Billing Aug'!$J$2:$J$770,'Billing Aug'!$D$2:$D$770,A988)</f>
        <v/>
      </c>
      <c r="M988" s="41">
        <f>L988-K988</f>
        <v/>
      </c>
      <c r="N988" s="37">
        <f>COUNTIF('Billing Aug'!$D$2:$D$770,A988)</f>
        <v/>
      </c>
      <c r="O988" s="37">
        <f>SUMIFS('Billing Aug'!$F$2:$F$770,'Billing Aug'!$D$2:$D$770,A988)</f>
        <v/>
      </c>
      <c r="P988" s="41">
        <f>IF(N988=0,0,L988-SUMIFS('Billing Aug'!$H$2:$H$770,'Billing Aug'!$D$2:$D$770,A988)*SUMIFS('Billing Aug'!$I$2:$I$770,'Billing Aug'!$D$2:$D$770,A988))</f>
        <v/>
      </c>
      <c r="Q988" s="37">
        <f>IF(N988=0,"NO AUG TRANSACTION IN SUPPLIED EXTRACT",IF(ABS(P988)&gt;0.004,"SUBLEDGER ARITHMETIC ERROR",IF(ABS(M988)&gt;0.004,"BILLING VARIANCE","MATCH")))</f>
        <v/>
      </c>
    </row>
    <row r="989">
      <c r="A989" s="37" t="inlineStr">
        <is>
          <t>SB-0424</t>
        </is>
      </c>
      <c r="B989" s="37" t="inlineStr">
        <is>
          <t>Salmonberry</t>
        </is>
      </c>
      <c r="C989" s="37" t="inlineStr">
        <is>
          <t>OPEN</t>
        </is>
      </c>
      <c r="D989" s="37" t="inlineStr">
        <is>
          <t>OCCUPIED</t>
        </is>
      </c>
      <c r="E989" s="37" t="inlineStr">
        <is>
          <t>WL-02295</t>
        </is>
      </c>
      <c r="F989" s="37" t="inlineStr">
        <is>
          <t>Katie Hall</t>
        </is>
      </c>
      <c r="G989" s="37" t="n">
        <v>24</v>
      </c>
      <c r="H989" s="39" t="n">
        <v>52.5</v>
      </c>
      <c r="I989" s="40">
        <f>ROUNDUP(MAX(G989,H989),0)</f>
        <v/>
      </c>
      <c r="J989" s="41">
        <f>IF(C989="COVERED",'Methodology'!$B$9,'Methodology'!$B$10)</f>
        <v/>
      </c>
      <c r="K989" s="41">
        <f>I989*J989</f>
        <v/>
      </c>
      <c r="L989" s="41">
        <f>SUMIFS('Billing Aug'!$J$2:$J$770,'Billing Aug'!$D$2:$D$770,A989)</f>
        <v/>
      </c>
      <c r="M989" s="41">
        <f>L989-K989</f>
        <v/>
      </c>
      <c r="N989" s="37">
        <f>COUNTIF('Billing Aug'!$D$2:$D$770,A989)</f>
        <v/>
      </c>
      <c r="O989" s="37">
        <f>SUMIFS('Billing Aug'!$F$2:$F$770,'Billing Aug'!$D$2:$D$770,A989)</f>
        <v/>
      </c>
      <c r="P989" s="41">
        <f>IF(N989=0,0,L989-SUMIFS('Billing Aug'!$H$2:$H$770,'Billing Aug'!$D$2:$D$770,A989)*SUMIFS('Billing Aug'!$I$2:$I$770,'Billing Aug'!$D$2:$D$770,A989))</f>
        <v/>
      </c>
      <c r="Q989" s="37">
        <f>IF(N989=0,"NO AUG TRANSACTION IN SUPPLIED EXTRACT",IF(ABS(P989)&gt;0.004,"SUBLEDGER ARITHMETIC ERROR",IF(ABS(M989)&gt;0.004,"BILLING VARIANCE","MATCH")))</f>
        <v/>
      </c>
    </row>
    <row r="990">
      <c r="A990" s="37" t="inlineStr">
        <is>
          <t>SB-0502</t>
        </is>
      </c>
      <c r="B990" s="37" t="inlineStr">
        <is>
          <t>Salmonberry</t>
        </is>
      </c>
      <c r="C990" s="37" t="inlineStr">
        <is>
          <t>OPEN</t>
        </is>
      </c>
      <c r="D990" s="37" t="inlineStr">
        <is>
          <t>OCCUPIED</t>
        </is>
      </c>
      <c r="E990" s="37" t="inlineStr">
        <is>
          <t>WL-01453</t>
        </is>
      </c>
      <c r="F990" s="37" t="inlineStr">
        <is>
          <t>Kelly Lee</t>
        </is>
      </c>
      <c r="G990" s="37" t="n">
        <v>80</v>
      </c>
      <c r="H990" s="39" t="n">
        <v>40.6</v>
      </c>
      <c r="I990" s="40">
        <f>ROUNDUP(MAX(G990,H990),0)</f>
        <v/>
      </c>
      <c r="J990" s="41">
        <f>IF(C990="COVERED",'Methodology'!$B$9,'Methodology'!$B$10)</f>
        <v/>
      </c>
      <c r="K990" s="41">
        <f>I990*J990</f>
        <v/>
      </c>
      <c r="L990" s="41">
        <f>SUMIFS('Billing Aug'!$J$2:$J$770,'Billing Aug'!$D$2:$D$770,A990)</f>
        <v/>
      </c>
      <c r="M990" s="41">
        <f>L990-K990</f>
        <v/>
      </c>
      <c r="N990" s="37">
        <f>COUNTIF('Billing Aug'!$D$2:$D$770,A990)</f>
        <v/>
      </c>
      <c r="O990" s="37">
        <f>SUMIFS('Billing Aug'!$F$2:$F$770,'Billing Aug'!$D$2:$D$770,A990)</f>
        <v/>
      </c>
      <c r="P990" s="41">
        <f>IF(N990=0,0,L990-SUMIFS('Billing Aug'!$H$2:$H$770,'Billing Aug'!$D$2:$D$770,A990)*SUMIFS('Billing Aug'!$I$2:$I$770,'Billing Aug'!$D$2:$D$770,A990))</f>
        <v/>
      </c>
      <c r="Q990" s="37">
        <f>IF(N990=0,"NO AUG TRANSACTION IN SUPPLIED EXTRACT",IF(ABS(P990)&gt;0.004,"SUBLEDGER ARITHMETIC ERROR",IF(ABS(M990)&gt;0.004,"BILLING VARIANCE","MATCH")))</f>
        <v/>
      </c>
    </row>
    <row r="991">
      <c r="A991" s="37" t="inlineStr">
        <is>
          <t>SB-0503</t>
        </is>
      </c>
      <c r="B991" s="37" t="inlineStr">
        <is>
          <t>Salmonberry</t>
        </is>
      </c>
      <c r="C991" s="37" t="inlineStr">
        <is>
          <t>OPEN</t>
        </is>
      </c>
      <c r="D991" s="37" t="inlineStr">
        <is>
          <t>OCCUPIED</t>
        </is>
      </c>
      <c r="E991" s="37" t="inlineStr">
        <is>
          <t>WL-02805</t>
        </is>
      </c>
      <c r="F991" s="37" t="inlineStr">
        <is>
          <t>Sheila Fuentes</t>
        </is>
      </c>
      <c r="G991" s="37" t="n">
        <v>45</v>
      </c>
      <c r="H991" s="39" t="n">
        <v>37.5</v>
      </c>
      <c r="I991" s="40">
        <f>ROUNDUP(MAX(G991,H991),0)</f>
        <v/>
      </c>
      <c r="J991" s="41">
        <f>IF(C991="COVERED",'Methodology'!$B$9,'Methodology'!$B$10)</f>
        <v/>
      </c>
      <c r="K991" s="41">
        <f>I991*J991</f>
        <v/>
      </c>
      <c r="L991" s="41">
        <f>SUMIFS('Billing Aug'!$J$2:$J$770,'Billing Aug'!$D$2:$D$770,A991)</f>
        <v/>
      </c>
      <c r="M991" s="41">
        <f>L991-K991</f>
        <v/>
      </c>
      <c r="N991" s="37">
        <f>COUNTIF('Billing Aug'!$D$2:$D$770,A991)</f>
        <v/>
      </c>
      <c r="O991" s="37">
        <f>SUMIFS('Billing Aug'!$F$2:$F$770,'Billing Aug'!$D$2:$D$770,A991)</f>
        <v/>
      </c>
      <c r="P991" s="41">
        <f>IF(N991=0,0,L991-SUMIFS('Billing Aug'!$H$2:$H$770,'Billing Aug'!$D$2:$D$770,A991)*SUMIFS('Billing Aug'!$I$2:$I$770,'Billing Aug'!$D$2:$D$770,A991))</f>
        <v/>
      </c>
      <c r="Q991" s="37">
        <f>IF(N991=0,"NO AUG TRANSACTION IN SUPPLIED EXTRACT",IF(ABS(P991)&gt;0.004,"SUBLEDGER ARITHMETIC ERROR",IF(ABS(M991)&gt;0.004,"BILLING VARIANCE","MATCH")))</f>
        <v/>
      </c>
    </row>
    <row r="992">
      <c r="A992" s="37" t="inlineStr">
        <is>
          <t>SB-0504</t>
        </is>
      </c>
      <c r="B992" s="37" t="inlineStr">
        <is>
          <t>Salmonberry</t>
        </is>
      </c>
      <c r="C992" s="37" t="inlineStr">
        <is>
          <t>OPEN</t>
        </is>
      </c>
      <c r="D992" s="37" t="inlineStr">
        <is>
          <t>OCCUPIED</t>
        </is>
      </c>
      <c r="E992" s="37" t="inlineStr">
        <is>
          <t>WL-03009</t>
        </is>
      </c>
      <c r="F992" s="37" t="inlineStr">
        <is>
          <t>Dennis Taylor</t>
        </is>
      </c>
      <c r="G992" s="37" t="n">
        <v>70</v>
      </c>
      <c r="H992" s="39" t="n">
        <v>54.6</v>
      </c>
      <c r="I992" s="40">
        <f>ROUNDUP(MAX(G992,H992),0)</f>
        <v/>
      </c>
      <c r="J992" s="41">
        <f>IF(C992="COVERED",'Methodology'!$B$9,'Methodology'!$B$10)</f>
        <v/>
      </c>
      <c r="K992" s="41">
        <f>I992*J992</f>
        <v/>
      </c>
      <c r="L992" s="41">
        <f>SUMIFS('Billing Aug'!$J$2:$J$770,'Billing Aug'!$D$2:$D$770,A992)</f>
        <v/>
      </c>
      <c r="M992" s="41">
        <f>L992-K992</f>
        <v/>
      </c>
      <c r="N992" s="37">
        <f>COUNTIF('Billing Aug'!$D$2:$D$770,A992)</f>
        <v/>
      </c>
      <c r="O992" s="37">
        <f>SUMIFS('Billing Aug'!$F$2:$F$770,'Billing Aug'!$D$2:$D$770,A992)</f>
        <v/>
      </c>
      <c r="P992" s="41">
        <f>IF(N992=0,0,L992-SUMIFS('Billing Aug'!$H$2:$H$770,'Billing Aug'!$D$2:$D$770,A992)*SUMIFS('Billing Aug'!$I$2:$I$770,'Billing Aug'!$D$2:$D$770,A992))</f>
        <v/>
      </c>
      <c r="Q992" s="37">
        <f>IF(N992=0,"NO AUG TRANSACTION IN SUPPLIED EXTRACT",IF(ABS(P992)&gt;0.004,"SUBLEDGER ARITHMETIC ERROR",IF(ABS(M992)&gt;0.004,"BILLING VARIANCE","MATCH")))</f>
        <v/>
      </c>
    </row>
    <row r="993">
      <c r="A993" s="37" t="inlineStr">
        <is>
          <t>SB-0505</t>
        </is>
      </c>
      <c r="B993" s="37" t="inlineStr">
        <is>
          <t>Salmonberry</t>
        </is>
      </c>
      <c r="C993" s="37" t="inlineStr">
        <is>
          <t>OPEN</t>
        </is>
      </c>
      <c r="D993" s="37" t="inlineStr">
        <is>
          <t>OCCUPIED</t>
        </is>
      </c>
      <c r="E993" s="37" t="inlineStr">
        <is>
          <t>WL-03522</t>
        </is>
      </c>
      <c r="F993" s="37" t="inlineStr">
        <is>
          <t>Austin Sanchez</t>
        </is>
      </c>
      <c r="G993" s="37" t="n">
        <v>80</v>
      </c>
      <c r="H993" s="39" t="n">
        <v>46.1</v>
      </c>
      <c r="I993" s="40">
        <f>ROUNDUP(MAX(G993,H993),0)</f>
        <v/>
      </c>
      <c r="J993" s="41">
        <f>IF(C993="COVERED",'Methodology'!$B$9,'Methodology'!$B$10)</f>
        <v/>
      </c>
      <c r="K993" s="41">
        <f>I993*J993</f>
        <v/>
      </c>
      <c r="L993" s="41">
        <f>SUMIFS('Billing Aug'!$J$2:$J$770,'Billing Aug'!$D$2:$D$770,A993)</f>
        <v/>
      </c>
      <c r="M993" s="41">
        <f>L993-K993</f>
        <v/>
      </c>
      <c r="N993" s="37">
        <f>COUNTIF('Billing Aug'!$D$2:$D$770,A993)</f>
        <v/>
      </c>
      <c r="O993" s="37">
        <f>SUMIFS('Billing Aug'!$F$2:$F$770,'Billing Aug'!$D$2:$D$770,A993)</f>
        <v/>
      </c>
      <c r="P993" s="41">
        <f>IF(N993=0,0,L993-SUMIFS('Billing Aug'!$H$2:$H$770,'Billing Aug'!$D$2:$D$770,A993)*SUMIFS('Billing Aug'!$I$2:$I$770,'Billing Aug'!$D$2:$D$770,A993))</f>
        <v/>
      </c>
      <c r="Q993" s="37">
        <f>IF(N993=0,"NO AUG TRANSACTION IN SUPPLIED EXTRACT",IF(ABS(P993)&gt;0.004,"SUBLEDGER ARITHMETIC ERROR",IF(ABS(M993)&gt;0.004,"BILLING VARIANCE","MATCH")))</f>
        <v/>
      </c>
    </row>
    <row r="994">
      <c r="A994" s="37" t="inlineStr">
        <is>
          <t>SB-0506</t>
        </is>
      </c>
      <c r="B994" s="37" t="inlineStr">
        <is>
          <t>Salmonberry</t>
        </is>
      </c>
      <c r="C994" s="37" t="inlineStr">
        <is>
          <t>OPEN</t>
        </is>
      </c>
      <c r="D994" s="37" t="inlineStr">
        <is>
          <t>OCCUPIED</t>
        </is>
      </c>
      <c r="E994" s="37" t="inlineStr">
        <is>
          <t>WL-02067</t>
        </is>
      </c>
      <c r="F994" s="37" t="inlineStr">
        <is>
          <t>Craig Simon</t>
        </is>
      </c>
      <c r="G994" s="37" t="n">
        <v>32</v>
      </c>
      <c r="H994" s="39" t="n">
        <v>47.8</v>
      </c>
      <c r="I994" s="40">
        <f>ROUNDUP(MAX(G994,H994),0)</f>
        <v/>
      </c>
      <c r="J994" s="41">
        <f>IF(C994="COVERED",'Methodology'!$B$9,'Methodology'!$B$10)</f>
        <v/>
      </c>
      <c r="K994" s="41">
        <f>I994*J994</f>
        <v/>
      </c>
      <c r="L994" s="41">
        <f>SUMIFS('Billing Aug'!$J$2:$J$770,'Billing Aug'!$D$2:$D$770,A994)</f>
        <v/>
      </c>
      <c r="M994" s="41">
        <f>L994-K994</f>
        <v/>
      </c>
      <c r="N994" s="37">
        <f>COUNTIF('Billing Aug'!$D$2:$D$770,A994)</f>
        <v/>
      </c>
      <c r="O994" s="37">
        <f>SUMIFS('Billing Aug'!$F$2:$F$770,'Billing Aug'!$D$2:$D$770,A994)</f>
        <v/>
      </c>
      <c r="P994" s="41">
        <f>IF(N994=0,0,L994-SUMIFS('Billing Aug'!$H$2:$H$770,'Billing Aug'!$D$2:$D$770,A994)*SUMIFS('Billing Aug'!$I$2:$I$770,'Billing Aug'!$D$2:$D$770,A994))</f>
        <v/>
      </c>
      <c r="Q994" s="37">
        <f>IF(N994=0,"NO AUG TRANSACTION IN SUPPLIED EXTRACT",IF(ABS(P994)&gt;0.004,"SUBLEDGER ARITHMETIC ERROR",IF(ABS(M994)&gt;0.004,"BILLING VARIANCE","MATCH")))</f>
        <v/>
      </c>
    </row>
    <row r="995">
      <c r="A995" s="37" t="inlineStr">
        <is>
          <t>SB-0507</t>
        </is>
      </c>
      <c r="B995" s="37" t="inlineStr">
        <is>
          <t>Salmonberry</t>
        </is>
      </c>
      <c r="C995" s="37" t="inlineStr">
        <is>
          <t>OPEN</t>
        </is>
      </c>
      <c r="D995" s="37" t="inlineStr">
        <is>
          <t>OCCUPIED</t>
        </is>
      </c>
      <c r="E995" s="37" t="inlineStr">
        <is>
          <t>WL-03590</t>
        </is>
      </c>
      <c r="F995" s="37" t="inlineStr">
        <is>
          <t>Dawn Johnson</t>
        </is>
      </c>
      <c r="G995" s="37" t="n">
        <v>24</v>
      </c>
      <c r="H995" s="39" t="n">
        <v>27.5</v>
      </c>
      <c r="I995" s="40">
        <f>ROUNDUP(MAX(G995,H995),0)</f>
        <v/>
      </c>
      <c r="J995" s="41">
        <f>IF(C995="COVERED",'Methodology'!$B$9,'Methodology'!$B$10)</f>
        <v/>
      </c>
      <c r="K995" s="41">
        <f>I995*J995</f>
        <v/>
      </c>
      <c r="L995" s="41">
        <f>SUMIFS('Billing Aug'!$J$2:$J$770,'Billing Aug'!$D$2:$D$770,A995)</f>
        <v/>
      </c>
      <c r="M995" s="41">
        <f>L995-K995</f>
        <v/>
      </c>
      <c r="N995" s="37">
        <f>COUNTIF('Billing Aug'!$D$2:$D$770,A995)</f>
        <v/>
      </c>
      <c r="O995" s="37">
        <f>SUMIFS('Billing Aug'!$F$2:$F$770,'Billing Aug'!$D$2:$D$770,A995)</f>
        <v/>
      </c>
      <c r="P995" s="41">
        <f>IF(N995=0,0,L995-SUMIFS('Billing Aug'!$H$2:$H$770,'Billing Aug'!$D$2:$D$770,A995)*SUMIFS('Billing Aug'!$I$2:$I$770,'Billing Aug'!$D$2:$D$770,A995))</f>
        <v/>
      </c>
      <c r="Q995" s="37">
        <f>IF(N995=0,"NO AUG TRANSACTION IN SUPPLIED EXTRACT",IF(ABS(P995)&gt;0.004,"SUBLEDGER ARITHMETIC ERROR",IF(ABS(M995)&gt;0.004,"BILLING VARIANCE","MATCH")))</f>
        <v/>
      </c>
    </row>
    <row r="996">
      <c r="A996" s="37" t="inlineStr">
        <is>
          <t>SB-0509</t>
        </is>
      </c>
      <c r="B996" s="37" t="inlineStr">
        <is>
          <t>Salmonberry</t>
        </is>
      </c>
      <c r="C996" s="37" t="inlineStr">
        <is>
          <t>OPEN</t>
        </is>
      </c>
      <c r="D996" s="37" t="inlineStr">
        <is>
          <t>OCCUPIED</t>
        </is>
      </c>
      <c r="E996" s="37" t="inlineStr">
        <is>
          <t>WL-02521</t>
        </is>
      </c>
      <c r="F996" s="37" t="inlineStr">
        <is>
          <t>Ashley Vance</t>
        </is>
      </c>
      <c r="G996" s="37" t="n">
        <v>32</v>
      </c>
      <c r="H996" s="39" t="n">
        <v>35.6</v>
      </c>
      <c r="I996" s="40">
        <f>ROUNDUP(MAX(G996,H996),0)</f>
        <v/>
      </c>
      <c r="J996" s="41">
        <f>IF(C996="COVERED",'Methodology'!$B$9,'Methodology'!$B$10)</f>
        <v/>
      </c>
      <c r="K996" s="41">
        <f>I996*J996</f>
        <v/>
      </c>
      <c r="L996" s="41">
        <f>SUMIFS('Billing Aug'!$J$2:$J$770,'Billing Aug'!$D$2:$D$770,A996)</f>
        <v/>
      </c>
      <c r="M996" s="41">
        <f>L996-K996</f>
        <v/>
      </c>
      <c r="N996" s="37">
        <f>COUNTIF('Billing Aug'!$D$2:$D$770,A996)</f>
        <v/>
      </c>
      <c r="O996" s="37">
        <f>SUMIFS('Billing Aug'!$F$2:$F$770,'Billing Aug'!$D$2:$D$770,A996)</f>
        <v/>
      </c>
      <c r="P996" s="41">
        <f>IF(N996=0,0,L996-SUMIFS('Billing Aug'!$H$2:$H$770,'Billing Aug'!$D$2:$D$770,A996)*SUMIFS('Billing Aug'!$I$2:$I$770,'Billing Aug'!$D$2:$D$770,A996))</f>
        <v/>
      </c>
      <c r="Q996" s="37">
        <f>IF(N996=0,"NO AUG TRANSACTION IN SUPPLIED EXTRACT",IF(ABS(P996)&gt;0.004,"SUBLEDGER ARITHMETIC ERROR",IF(ABS(M996)&gt;0.004,"BILLING VARIANCE","MATCH")))</f>
        <v/>
      </c>
    </row>
    <row r="997">
      <c r="A997" s="37" t="inlineStr">
        <is>
          <t>SB-0510</t>
        </is>
      </c>
      <c r="B997" s="37" t="inlineStr">
        <is>
          <t>Salmonberry</t>
        </is>
      </c>
      <c r="C997" s="37" t="inlineStr">
        <is>
          <t>OPEN</t>
        </is>
      </c>
      <c r="D997" s="37" t="inlineStr">
        <is>
          <t>OCCUPIED</t>
        </is>
      </c>
      <c r="E997" s="37" t="inlineStr">
        <is>
          <t>WL-02318</t>
        </is>
      </c>
      <c r="F997" s="37" t="inlineStr">
        <is>
          <t>Brittany Harris</t>
        </is>
      </c>
      <c r="G997" s="37" t="n">
        <v>32</v>
      </c>
      <c r="H997" s="39" t="n">
        <v>19.9</v>
      </c>
      <c r="I997" s="40">
        <f>ROUNDUP(MAX(G997,H997),0)</f>
        <v/>
      </c>
      <c r="J997" s="41">
        <f>IF(C997="COVERED",'Methodology'!$B$9,'Methodology'!$B$10)</f>
        <v/>
      </c>
      <c r="K997" s="41">
        <f>I997*J997</f>
        <v/>
      </c>
      <c r="L997" s="41">
        <f>SUMIFS('Billing Aug'!$J$2:$J$770,'Billing Aug'!$D$2:$D$770,A997)</f>
        <v/>
      </c>
      <c r="M997" s="41">
        <f>L997-K997</f>
        <v/>
      </c>
      <c r="N997" s="37">
        <f>COUNTIF('Billing Aug'!$D$2:$D$770,A997)</f>
        <v/>
      </c>
      <c r="O997" s="37">
        <f>SUMIFS('Billing Aug'!$F$2:$F$770,'Billing Aug'!$D$2:$D$770,A997)</f>
        <v/>
      </c>
      <c r="P997" s="41">
        <f>IF(N997=0,0,L997-SUMIFS('Billing Aug'!$H$2:$H$770,'Billing Aug'!$D$2:$D$770,A997)*SUMIFS('Billing Aug'!$I$2:$I$770,'Billing Aug'!$D$2:$D$770,A997))</f>
        <v/>
      </c>
      <c r="Q997" s="37">
        <f>IF(N997=0,"NO AUG TRANSACTION IN SUPPLIED EXTRACT",IF(ABS(P997)&gt;0.004,"SUBLEDGER ARITHMETIC ERROR",IF(ABS(M997)&gt;0.004,"BILLING VARIANCE","MATCH")))</f>
        <v/>
      </c>
    </row>
    <row r="998">
      <c r="A998" s="37" t="inlineStr">
        <is>
          <t>SB-0511</t>
        </is>
      </c>
      <c r="B998" s="37" t="inlineStr">
        <is>
          <t>Salmonberry</t>
        </is>
      </c>
      <c r="C998" s="37" t="inlineStr">
        <is>
          <t>OPEN</t>
        </is>
      </c>
      <c r="D998" s="37" t="inlineStr">
        <is>
          <t>OCCUPIED</t>
        </is>
      </c>
      <c r="E998" s="37" t="inlineStr">
        <is>
          <t>WL-01844</t>
        </is>
      </c>
      <c r="F998" s="37" t="inlineStr">
        <is>
          <t>Jeffrey Pearson</t>
        </is>
      </c>
      <c r="G998" s="37" t="n">
        <v>36</v>
      </c>
      <c r="H998" s="39" t="n">
        <v>55.4</v>
      </c>
      <c r="I998" s="40">
        <f>ROUNDUP(MAX(G998,H998),0)</f>
        <v/>
      </c>
      <c r="J998" s="41">
        <f>IF(C998="COVERED",'Methodology'!$B$9,'Methodology'!$B$10)</f>
        <v/>
      </c>
      <c r="K998" s="41">
        <f>I998*J998</f>
        <v/>
      </c>
      <c r="L998" s="41">
        <f>SUMIFS('Billing Aug'!$J$2:$J$770,'Billing Aug'!$D$2:$D$770,A998)</f>
        <v/>
      </c>
      <c r="M998" s="41">
        <f>L998-K998</f>
        <v/>
      </c>
      <c r="N998" s="37">
        <f>COUNTIF('Billing Aug'!$D$2:$D$770,A998)</f>
        <v/>
      </c>
      <c r="O998" s="37">
        <f>SUMIFS('Billing Aug'!$F$2:$F$770,'Billing Aug'!$D$2:$D$770,A998)</f>
        <v/>
      </c>
      <c r="P998" s="41">
        <f>IF(N998=0,0,L998-SUMIFS('Billing Aug'!$H$2:$H$770,'Billing Aug'!$D$2:$D$770,A998)*SUMIFS('Billing Aug'!$I$2:$I$770,'Billing Aug'!$D$2:$D$770,A998))</f>
        <v/>
      </c>
      <c r="Q998" s="37">
        <f>IF(N998=0,"NO AUG TRANSACTION IN SUPPLIED EXTRACT",IF(ABS(P998)&gt;0.004,"SUBLEDGER ARITHMETIC ERROR",IF(ABS(M998)&gt;0.004,"BILLING VARIANCE","MATCH")))</f>
        <v/>
      </c>
    </row>
    <row r="999">
      <c r="A999" s="37" t="inlineStr">
        <is>
          <t>SB-0512</t>
        </is>
      </c>
      <c r="B999" s="37" t="inlineStr">
        <is>
          <t>Salmonberry</t>
        </is>
      </c>
      <c r="C999" s="37" t="inlineStr">
        <is>
          <t>OPEN</t>
        </is>
      </c>
      <c r="D999" s="37" t="inlineStr">
        <is>
          <t>OCCUPIED</t>
        </is>
      </c>
      <c r="E999" s="37" t="inlineStr">
        <is>
          <t>WL-01253</t>
        </is>
      </c>
      <c r="F999" s="37" t="inlineStr">
        <is>
          <t>Brandon Sawyer</t>
        </is>
      </c>
      <c r="G999" s="37" t="n">
        <v>45</v>
      </c>
      <c r="H999" s="39" t="n">
        <v>52.6</v>
      </c>
      <c r="I999" s="40">
        <f>ROUNDUP(MAX(G999,H999),0)</f>
        <v/>
      </c>
      <c r="J999" s="41">
        <f>IF(C999="COVERED",'Methodology'!$B$9,'Methodology'!$B$10)</f>
        <v/>
      </c>
      <c r="K999" s="41">
        <f>I999*J999</f>
        <v/>
      </c>
      <c r="L999" s="41">
        <f>SUMIFS('Billing Aug'!$J$2:$J$770,'Billing Aug'!$D$2:$D$770,A999)</f>
        <v/>
      </c>
      <c r="M999" s="41">
        <f>L999-K999</f>
        <v/>
      </c>
      <c r="N999" s="37">
        <f>COUNTIF('Billing Aug'!$D$2:$D$770,A999)</f>
        <v/>
      </c>
      <c r="O999" s="37">
        <f>SUMIFS('Billing Aug'!$F$2:$F$770,'Billing Aug'!$D$2:$D$770,A999)</f>
        <v/>
      </c>
      <c r="P999" s="41">
        <f>IF(N999=0,0,L999-SUMIFS('Billing Aug'!$H$2:$H$770,'Billing Aug'!$D$2:$D$770,A999)*SUMIFS('Billing Aug'!$I$2:$I$770,'Billing Aug'!$D$2:$D$770,A999))</f>
        <v/>
      </c>
      <c r="Q999" s="37">
        <f>IF(N999=0,"NO AUG TRANSACTION IN SUPPLIED EXTRACT",IF(ABS(P999)&gt;0.004,"SUBLEDGER ARITHMETIC ERROR",IF(ABS(M999)&gt;0.004,"BILLING VARIANCE","MATCH")))</f>
        <v/>
      </c>
    </row>
    <row r="1000">
      <c r="A1000" s="37" t="inlineStr">
        <is>
          <t>SB-0514</t>
        </is>
      </c>
      <c r="B1000" s="37" t="inlineStr">
        <is>
          <t>Salmonberry</t>
        </is>
      </c>
      <c r="C1000" s="37" t="inlineStr">
        <is>
          <t>OPEN</t>
        </is>
      </c>
      <c r="D1000" s="37" t="inlineStr">
        <is>
          <t>OCCUPIED</t>
        </is>
      </c>
      <c r="E1000" s="37" t="inlineStr">
        <is>
          <t>WL-01190</t>
        </is>
      </c>
      <c r="F1000" s="37" t="inlineStr">
        <is>
          <t>James Cortez</t>
        </is>
      </c>
      <c r="G1000" s="37" t="n">
        <v>45</v>
      </c>
      <c r="H1000" s="39" t="n">
        <v>20.1</v>
      </c>
      <c r="I1000" s="40">
        <f>ROUNDUP(MAX(G1000,H1000),0)</f>
        <v/>
      </c>
      <c r="J1000" s="41">
        <f>IF(C1000="COVERED",'Methodology'!$B$9,'Methodology'!$B$10)</f>
        <v/>
      </c>
      <c r="K1000" s="41">
        <f>I1000*J1000</f>
        <v/>
      </c>
      <c r="L1000" s="41">
        <f>SUMIFS('Billing Aug'!$J$2:$J$770,'Billing Aug'!$D$2:$D$770,A1000)</f>
        <v/>
      </c>
      <c r="M1000" s="41">
        <f>L1000-K1000</f>
        <v/>
      </c>
      <c r="N1000" s="37">
        <f>COUNTIF('Billing Aug'!$D$2:$D$770,A1000)</f>
        <v/>
      </c>
      <c r="O1000" s="37">
        <f>SUMIFS('Billing Aug'!$F$2:$F$770,'Billing Aug'!$D$2:$D$770,A1000)</f>
        <v/>
      </c>
      <c r="P1000" s="41">
        <f>IF(N1000=0,0,L1000-SUMIFS('Billing Aug'!$H$2:$H$770,'Billing Aug'!$D$2:$D$770,A1000)*SUMIFS('Billing Aug'!$I$2:$I$770,'Billing Aug'!$D$2:$D$770,A1000))</f>
        <v/>
      </c>
      <c r="Q1000" s="37">
        <f>IF(N1000=0,"NO AUG TRANSACTION IN SUPPLIED EXTRACT",IF(ABS(P1000)&gt;0.004,"SUBLEDGER ARITHMETIC ERROR",IF(ABS(M1000)&gt;0.004,"BILLING VARIANCE","MATCH")))</f>
        <v/>
      </c>
    </row>
    <row r="1001">
      <c r="A1001" s="37" t="inlineStr">
        <is>
          <t>SB-0515</t>
        </is>
      </c>
      <c r="B1001" s="37" t="inlineStr">
        <is>
          <t>Salmonberry</t>
        </is>
      </c>
      <c r="C1001" s="37" t="inlineStr">
        <is>
          <t>OPEN</t>
        </is>
      </c>
      <c r="D1001" s="37" t="inlineStr">
        <is>
          <t>OCCUPIED</t>
        </is>
      </c>
      <c r="E1001" s="37" t="inlineStr">
        <is>
          <t>WL-01458</t>
        </is>
      </c>
      <c r="F1001" s="37" t="inlineStr">
        <is>
          <t>Sean Ruiz</t>
        </is>
      </c>
      <c r="G1001" s="37" t="n">
        <v>40</v>
      </c>
      <c r="H1001" s="39" t="n">
        <v>22.8</v>
      </c>
      <c r="I1001" s="40">
        <f>ROUNDUP(MAX(G1001,H1001),0)</f>
        <v/>
      </c>
      <c r="J1001" s="41">
        <f>IF(C1001="COVERED",'Methodology'!$B$9,'Methodology'!$B$10)</f>
        <v/>
      </c>
      <c r="K1001" s="41">
        <f>I1001*J1001</f>
        <v/>
      </c>
      <c r="L1001" s="41">
        <f>SUMIFS('Billing Aug'!$J$2:$J$770,'Billing Aug'!$D$2:$D$770,A1001)</f>
        <v/>
      </c>
      <c r="M1001" s="41">
        <f>L1001-K1001</f>
        <v/>
      </c>
      <c r="N1001" s="37">
        <f>COUNTIF('Billing Aug'!$D$2:$D$770,A1001)</f>
        <v/>
      </c>
      <c r="O1001" s="37">
        <f>SUMIFS('Billing Aug'!$F$2:$F$770,'Billing Aug'!$D$2:$D$770,A1001)</f>
        <v/>
      </c>
      <c r="P1001" s="41">
        <f>IF(N1001=0,0,L1001-SUMIFS('Billing Aug'!$H$2:$H$770,'Billing Aug'!$D$2:$D$770,A1001)*SUMIFS('Billing Aug'!$I$2:$I$770,'Billing Aug'!$D$2:$D$770,A1001))</f>
        <v/>
      </c>
      <c r="Q1001" s="37">
        <f>IF(N1001=0,"NO AUG TRANSACTION IN SUPPLIED EXTRACT",IF(ABS(P1001)&gt;0.004,"SUBLEDGER ARITHMETIC ERROR",IF(ABS(M1001)&gt;0.004,"BILLING VARIANCE","MATCH")))</f>
        <v/>
      </c>
    </row>
    <row r="1002">
      <c r="A1002" s="37" t="inlineStr">
        <is>
          <t>SB-0516</t>
        </is>
      </c>
      <c r="B1002" s="37" t="inlineStr">
        <is>
          <t>Salmonberry</t>
        </is>
      </c>
      <c r="C1002" s="37" t="inlineStr">
        <is>
          <t>OPEN</t>
        </is>
      </c>
      <c r="D1002" s="37" t="inlineStr">
        <is>
          <t>OCCUPIED</t>
        </is>
      </c>
      <c r="E1002" s="37" t="inlineStr">
        <is>
          <t>WL-02648</t>
        </is>
      </c>
      <c r="F1002" s="37" t="inlineStr">
        <is>
          <t>William Russell</t>
        </is>
      </c>
      <c r="G1002" s="37" t="n">
        <v>60</v>
      </c>
      <c r="H1002" s="39" t="n">
        <v>36.4</v>
      </c>
      <c r="I1002" s="40">
        <f>ROUNDUP(MAX(G1002,H1002),0)</f>
        <v/>
      </c>
      <c r="J1002" s="41">
        <f>IF(C1002="COVERED",'Methodology'!$B$9,'Methodology'!$B$10)</f>
        <v/>
      </c>
      <c r="K1002" s="41">
        <f>I1002*J1002</f>
        <v/>
      </c>
      <c r="L1002" s="41">
        <f>SUMIFS('Billing Aug'!$J$2:$J$770,'Billing Aug'!$D$2:$D$770,A1002)</f>
        <v/>
      </c>
      <c r="M1002" s="41">
        <f>L1002-K1002</f>
        <v/>
      </c>
      <c r="N1002" s="37">
        <f>COUNTIF('Billing Aug'!$D$2:$D$770,A1002)</f>
        <v/>
      </c>
      <c r="O1002" s="37">
        <f>SUMIFS('Billing Aug'!$F$2:$F$770,'Billing Aug'!$D$2:$D$770,A1002)</f>
        <v/>
      </c>
      <c r="P1002" s="41">
        <f>IF(N1002=0,0,L1002-SUMIFS('Billing Aug'!$H$2:$H$770,'Billing Aug'!$D$2:$D$770,A1002)*SUMIFS('Billing Aug'!$I$2:$I$770,'Billing Aug'!$D$2:$D$770,A1002))</f>
        <v/>
      </c>
      <c r="Q1002" s="37">
        <f>IF(N1002=0,"NO AUG TRANSACTION IN SUPPLIED EXTRACT",IF(ABS(P1002)&gt;0.004,"SUBLEDGER ARITHMETIC ERROR",IF(ABS(M1002)&gt;0.004,"BILLING VARIANCE","MATCH")))</f>
        <v/>
      </c>
    </row>
    <row r="1003">
      <c r="A1003" s="37" t="inlineStr">
        <is>
          <t>SB-0518</t>
        </is>
      </c>
      <c r="B1003" s="37" t="inlineStr">
        <is>
          <t>Salmonberry</t>
        </is>
      </c>
      <c r="C1003" s="37" t="inlineStr">
        <is>
          <t>OPEN</t>
        </is>
      </c>
      <c r="D1003" s="37" t="inlineStr">
        <is>
          <t>OCCUPIED</t>
        </is>
      </c>
      <c r="E1003" s="37" t="inlineStr">
        <is>
          <t>WL-02395</t>
        </is>
      </c>
      <c r="F1003" s="37" t="inlineStr">
        <is>
          <t>Scott Ramos</t>
        </is>
      </c>
      <c r="G1003" s="37" t="n">
        <v>45</v>
      </c>
      <c r="H1003" s="39" t="n">
        <v>24.9</v>
      </c>
      <c r="I1003" s="40">
        <f>ROUNDUP(MAX(G1003,H1003),0)</f>
        <v/>
      </c>
      <c r="J1003" s="41">
        <f>IF(C1003="COVERED",'Methodology'!$B$9,'Methodology'!$B$10)</f>
        <v/>
      </c>
      <c r="K1003" s="41">
        <f>I1003*J1003</f>
        <v/>
      </c>
      <c r="L1003" s="41">
        <f>SUMIFS('Billing Aug'!$J$2:$J$770,'Billing Aug'!$D$2:$D$770,A1003)</f>
        <v/>
      </c>
      <c r="M1003" s="41">
        <f>L1003-K1003</f>
        <v/>
      </c>
      <c r="N1003" s="37">
        <f>COUNTIF('Billing Aug'!$D$2:$D$770,A1003)</f>
        <v/>
      </c>
      <c r="O1003" s="37">
        <f>SUMIFS('Billing Aug'!$F$2:$F$770,'Billing Aug'!$D$2:$D$770,A1003)</f>
        <v/>
      </c>
      <c r="P1003" s="41">
        <f>IF(N1003=0,0,L1003-SUMIFS('Billing Aug'!$H$2:$H$770,'Billing Aug'!$D$2:$D$770,A1003)*SUMIFS('Billing Aug'!$I$2:$I$770,'Billing Aug'!$D$2:$D$770,A1003))</f>
        <v/>
      </c>
      <c r="Q1003" s="37">
        <f>IF(N1003=0,"NO AUG TRANSACTION IN SUPPLIED EXTRACT",IF(ABS(P1003)&gt;0.004,"SUBLEDGER ARITHMETIC ERROR",IF(ABS(M1003)&gt;0.004,"BILLING VARIANCE","MATCH")))</f>
        <v/>
      </c>
    </row>
    <row r="1004">
      <c r="A1004" s="37" t="inlineStr">
        <is>
          <t>SB-0520</t>
        </is>
      </c>
      <c r="B1004" s="37" t="inlineStr">
        <is>
          <t>Salmonberry</t>
        </is>
      </c>
      <c r="C1004" s="37" t="inlineStr">
        <is>
          <t>OPEN</t>
        </is>
      </c>
      <c r="D1004" s="37" t="inlineStr">
        <is>
          <t>OCCUPIED</t>
        </is>
      </c>
      <c r="E1004" s="37" t="inlineStr">
        <is>
          <t>WL-02847</t>
        </is>
      </c>
      <c r="F1004" s="37" t="inlineStr">
        <is>
          <t>Julie Johnston</t>
        </is>
      </c>
      <c r="G1004" s="37" t="n">
        <v>45</v>
      </c>
      <c r="H1004" s="39" t="n">
        <v>25.7</v>
      </c>
      <c r="I1004" s="40">
        <f>ROUNDUP(MAX(G1004,H1004),0)</f>
        <v/>
      </c>
      <c r="J1004" s="41">
        <f>IF(C1004="COVERED",'Methodology'!$B$9,'Methodology'!$B$10)</f>
        <v/>
      </c>
      <c r="K1004" s="41">
        <f>I1004*J1004</f>
        <v/>
      </c>
      <c r="L1004" s="41">
        <f>SUMIFS('Billing Aug'!$J$2:$J$770,'Billing Aug'!$D$2:$D$770,A1004)</f>
        <v/>
      </c>
      <c r="M1004" s="41">
        <f>L1004-K1004</f>
        <v/>
      </c>
      <c r="N1004" s="37">
        <f>COUNTIF('Billing Aug'!$D$2:$D$770,A1004)</f>
        <v/>
      </c>
      <c r="O1004" s="37">
        <f>SUMIFS('Billing Aug'!$F$2:$F$770,'Billing Aug'!$D$2:$D$770,A1004)</f>
        <v/>
      </c>
      <c r="P1004" s="41">
        <f>IF(N1004=0,0,L1004-SUMIFS('Billing Aug'!$H$2:$H$770,'Billing Aug'!$D$2:$D$770,A1004)*SUMIFS('Billing Aug'!$I$2:$I$770,'Billing Aug'!$D$2:$D$770,A1004))</f>
        <v/>
      </c>
      <c r="Q1004" s="37">
        <f>IF(N1004=0,"NO AUG TRANSACTION IN SUPPLIED EXTRACT",IF(ABS(P1004)&gt;0.004,"SUBLEDGER ARITHMETIC ERROR",IF(ABS(M1004)&gt;0.004,"BILLING VARIANCE","MATCH")))</f>
        <v/>
      </c>
    </row>
    <row r="1005">
      <c r="A1005" s="37" t="inlineStr">
        <is>
          <t>SB-0521</t>
        </is>
      </c>
      <c r="B1005" s="37" t="inlineStr">
        <is>
          <t>Salmonberry</t>
        </is>
      </c>
      <c r="C1005" s="37" t="inlineStr">
        <is>
          <t>OPEN</t>
        </is>
      </c>
      <c r="D1005" s="37" t="inlineStr">
        <is>
          <t>OCCUPIED</t>
        </is>
      </c>
      <c r="E1005" s="37" t="inlineStr">
        <is>
          <t>WL-03663</t>
        </is>
      </c>
      <c r="F1005" s="37" t="inlineStr">
        <is>
          <t>Jasmine Page</t>
        </is>
      </c>
      <c r="G1005" s="37" t="n">
        <v>28</v>
      </c>
      <c r="H1005" s="39" t="n">
        <v>54.6</v>
      </c>
      <c r="I1005" s="40">
        <f>ROUNDUP(MAX(G1005,H1005),0)</f>
        <v/>
      </c>
      <c r="J1005" s="41">
        <f>IF(C1005="COVERED",'Methodology'!$B$9,'Methodology'!$B$10)</f>
        <v/>
      </c>
      <c r="K1005" s="41">
        <f>I1005*J1005</f>
        <v/>
      </c>
      <c r="L1005" s="41">
        <f>SUMIFS('Billing Aug'!$J$2:$J$770,'Billing Aug'!$D$2:$D$770,A1005)</f>
        <v/>
      </c>
      <c r="M1005" s="41">
        <f>L1005-K1005</f>
        <v/>
      </c>
      <c r="N1005" s="37">
        <f>COUNTIF('Billing Aug'!$D$2:$D$770,A1005)</f>
        <v/>
      </c>
      <c r="O1005" s="37">
        <f>SUMIFS('Billing Aug'!$F$2:$F$770,'Billing Aug'!$D$2:$D$770,A1005)</f>
        <v/>
      </c>
      <c r="P1005" s="41">
        <f>IF(N1005=0,0,L1005-SUMIFS('Billing Aug'!$H$2:$H$770,'Billing Aug'!$D$2:$D$770,A1005)*SUMIFS('Billing Aug'!$I$2:$I$770,'Billing Aug'!$D$2:$D$770,A1005))</f>
        <v/>
      </c>
      <c r="Q1005" s="37">
        <f>IF(N1005=0,"NO AUG TRANSACTION IN SUPPLIED EXTRACT",IF(ABS(P1005)&gt;0.004,"SUBLEDGER ARITHMETIC ERROR",IF(ABS(M1005)&gt;0.004,"BILLING VARIANCE","MATCH")))</f>
        <v/>
      </c>
    </row>
    <row r="1006">
      <c r="A1006" s="37" t="inlineStr">
        <is>
          <t>SB-0522</t>
        </is>
      </c>
      <c r="B1006" s="37" t="inlineStr">
        <is>
          <t>Salmonberry</t>
        </is>
      </c>
      <c r="C1006" s="37" t="inlineStr">
        <is>
          <t>OPEN</t>
        </is>
      </c>
      <c r="D1006" s="37" t="inlineStr">
        <is>
          <t>OCCUPIED</t>
        </is>
      </c>
      <c r="E1006" s="37" t="inlineStr">
        <is>
          <t>WL-03063</t>
        </is>
      </c>
      <c r="F1006" s="37" t="inlineStr">
        <is>
          <t>Natalie Stout</t>
        </is>
      </c>
      <c r="G1006" s="37" t="n">
        <v>40</v>
      </c>
      <c r="H1006" s="39" t="n">
        <v>31.6</v>
      </c>
      <c r="I1006" s="40">
        <f>ROUNDUP(MAX(G1006,H1006),0)</f>
        <v/>
      </c>
      <c r="J1006" s="41">
        <f>IF(C1006="COVERED",'Methodology'!$B$9,'Methodology'!$B$10)</f>
        <v/>
      </c>
      <c r="K1006" s="41">
        <f>I1006*J1006</f>
        <v/>
      </c>
      <c r="L1006" s="41">
        <f>SUMIFS('Billing Aug'!$J$2:$J$770,'Billing Aug'!$D$2:$D$770,A1006)</f>
        <v/>
      </c>
      <c r="M1006" s="41">
        <f>L1006-K1006</f>
        <v/>
      </c>
      <c r="N1006" s="37">
        <f>COUNTIF('Billing Aug'!$D$2:$D$770,A1006)</f>
        <v/>
      </c>
      <c r="O1006" s="37">
        <f>SUMIFS('Billing Aug'!$F$2:$F$770,'Billing Aug'!$D$2:$D$770,A1006)</f>
        <v/>
      </c>
      <c r="P1006" s="41">
        <f>IF(N1006=0,0,L1006-SUMIFS('Billing Aug'!$H$2:$H$770,'Billing Aug'!$D$2:$D$770,A1006)*SUMIFS('Billing Aug'!$I$2:$I$770,'Billing Aug'!$D$2:$D$770,A1006))</f>
        <v/>
      </c>
      <c r="Q1006" s="37">
        <f>IF(N1006=0,"NO AUG TRANSACTION IN SUPPLIED EXTRACT",IF(ABS(P1006)&gt;0.004,"SUBLEDGER ARITHMETIC ERROR",IF(ABS(M1006)&gt;0.004,"BILLING VARIANCE","MATCH")))</f>
        <v/>
      </c>
    </row>
    <row r="1007">
      <c r="A1007" s="37" t="inlineStr">
        <is>
          <t>SB-0523</t>
        </is>
      </c>
      <c r="B1007" s="37" t="inlineStr">
        <is>
          <t>Salmonberry</t>
        </is>
      </c>
      <c r="C1007" s="37" t="inlineStr">
        <is>
          <t>OPEN</t>
        </is>
      </c>
      <c r="D1007" s="37" t="inlineStr">
        <is>
          <t>OCCUPIED</t>
        </is>
      </c>
      <c r="E1007" s="37" t="inlineStr">
        <is>
          <t>WL-03436</t>
        </is>
      </c>
      <c r="F1007" s="37" t="inlineStr">
        <is>
          <t>Katherine Hunter</t>
        </is>
      </c>
      <c r="G1007" s="37" t="n">
        <v>32</v>
      </c>
      <c r="H1007" s="39" t="n">
        <v>47.2</v>
      </c>
      <c r="I1007" s="40">
        <f>ROUNDUP(MAX(G1007,H1007),0)</f>
        <v/>
      </c>
      <c r="J1007" s="41">
        <f>IF(C1007="COVERED",'Methodology'!$B$9,'Methodology'!$B$10)</f>
        <v/>
      </c>
      <c r="K1007" s="41">
        <f>I1007*J1007</f>
        <v/>
      </c>
      <c r="L1007" s="41">
        <f>SUMIFS('Billing Aug'!$J$2:$J$770,'Billing Aug'!$D$2:$D$770,A1007)</f>
        <v/>
      </c>
      <c r="M1007" s="41">
        <f>L1007-K1007</f>
        <v/>
      </c>
      <c r="N1007" s="37">
        <f>COUNTIF('Billing Aug'!$D$2:$D$770,A1007)</f>
        <v/>
      </c>
      <c r="O1007" s="37">
        <f>SUMIFS('Billing Aug'!$F$2:$F$770,'Billing Aug'!$D$2:$D$770,A1007)</f>
        <v/>
      </c>
      <c r="P1007" s="41">
        <f>IF(N1007=0,0,L1007-SUMIFS('Billing Aug'!$H$2:$H$770,'Billing Aug'!$D$2:$D$770,A1007)*SUMIFS('Billing Aug'!$I$2:$I$770,'Billing Aug'!$D$2:$D$770,A1007))</f>
        <v/>
      </c>
      <c r="Q1007" s="37">
        <f>IF(N1007=0,"NO AUG TRANSACTION IN SUPPLIED EXTRACT",IF(ABS(P1007)&gt;0.004,"SUBLEDGER ARITHMETIC ERROR",IF(ABS(M1007)&gt;0.004,"BILLING VARIANCE","MATCH")))</f>
        <v/>
      </c>
    </row>
    <row r="1008">
      <c r="A1008" s="37" t="inlineStr">
        <is>
          <t>SB-0524</t>
        </is>
      </c>
      <c r="B1008" s="37" t="inlineStr">
        <is>
          <t>Salmonberry</t>
        </is>
      </c>
      <c r="C1008" s="37" t="inlineStr">
        <is>
          <t>OPEN</t>
        </is>
      </c>
      <c r="D1008" s="37" t="inlineStr">
        <is>
          <t>OCCUPIED</t>
        </is>
      </c>
      <c r="E1008" s="37" t="inlineStr">
        <is>
          <t>WL-03511</t>
        </is>
      </c>
      <c r="F1008" s="37" t="inlineStr">
        <is>
          <t>Kristen Turner</t>
        </is>
      </c>
      <c r="G1008" s="37" t="n">
        <v>24</v>
      </c>
      <c r="H1008" s="39" t="n">
        <v>40.4</v>
      </c>
      <c r="I1008" s="40">
        <f>ROUNDUP(MAX(G1008,H1008),0)</f>
        <v/>
      </c>
      <c r="J1008" s="41">
        <f>IF(C1008="COVERED",'Methodology'!$B$9,'Methodology'!$B$10)</f>
        <v/>
      </c>
      <c r="K1008" s="41">
        <f>I1008*J1008</f>
        <v/>
      </c>
      <c r="L1008" s="41">
        <f>SUMIFS('Billing Aug'!$J$2:$J$770,'Billing Aug'!$D$2:$D$770,A1008)</f>
        <v/>
      </c>
      <c r="M1008" s="41">
        <f>L1008-K1008</f>
        <v/>
      </c>
      <c r="N1008" s="37">
        <f>COUNTIF('Billing Aug'!$D$2:$D$770,A1008)</f>
        <v/>
      </c>
      <c r="O1008" s="37">
        <f>SUMIFS('Billing Aug'!$F$2:$F$770,'Billing Aug'!$D$2:$D$770,A1008)</f>
        <v/>
      </c>
      <c r="P1008" s="41">
        <f>IF(N1008=0,0,L1008-SUMIFS('Billing Aug'!$H$2:$H$770,'Billing Aug'!$D$2:$D$770,A1008)*SUMIFS('Billing Aug'!$I$2:$I$770,'Billing Aug'!$D$2:$D$770,A1008))</f>
        <v/>
      </c>
      <c r="Q1008" s="37">
        <f>IF(N1008=0,"NO AUG TRANSACTION IN SUPPLIED EXTRACT",IF(ABS(P1008)&gt;0.004,"SUBLEDGER ARITHMETIC ERROR",IF(ABS(M1008)&gt;0.004,"BILLING VARIANCE","MATCH")))</f>
        <v/>
      </c>
    </row>
    <row r="1009">
      <c r="A1009" s="37" t="inlineStr">
        <is>
          <t>SB-0601</t>
        </is>
      </c>
      <c r="B1009" s="37" t="inlineStr">
        <is>
          <t>Salmonberry</t>
        </is>
      </c>
      <c r="C1009" s="37" t="inlineStr">
        <is>
          <t>OPEN</t>
        </is>
      </c>
      <c r="D1009" s="37" t="inlineStr">
        <is>
          <t>OCCUPIED</t>
        </is>
      </c>
      <c r="E1009" s="37" t="inlineStr">
        <is>
          <t>WL-02855</t>
        </is>
      </c>
      <c r="F1009" s="37" t="inlineStr">
        <is>
          <t>Kristy Bernard</t>
        </is>
      </c>
      <c r="G1009" s="37" t="n">
        <v>24</v>
      </c>
      <c r="H1009" s="39" t="n">
        <v>34.5</v>
      </c>
      <c r="I1009" s="40">
        <f>ROUNDUP(MAX(G1009,H1009),0)</f>
        <v/>
      </c>
      <c r="J1009" s="41">
        <f>IF(C1009="COVERED",'Methodology'!$B$9,'Methodology'!$B$10)</f>
        <v/>
      </c>
      <c r="K1009" s="41">
        <f>I1009*J1009</f>
        <v/>
      </c>
      <c r="L1009" s="41">
        <f>SUMIFS('Billing Aug'!$J$2:$J$770,'Billing Aug'!$D$2:$D$770,A1009)</f>
        <v/>
      </c>
      <c r="M1009" s="41">
        <f>L1009-K1009</f>
        <v/>
      </c>
      <c r="N1009" s="37">
        <f>COUNTIF('Billing Aug'!$D$2:$D$770,A1009)</f>
        <v/>
      </c>
      <c r="O1009" s="37">
        <f>SUMIFS('Billing Aug'!$F$2:$F$770,'Billing Aug'!$D$2:$D$770,A1009)</f>
        <v/>
      </c>
      <c r="P1009" s="41">
        <f>IF(N1009=0,0,L1009-SUMIFS('Billing Aug'!$H$2:$H$770,'Billing Aug'!$D$2:$D$770,A1009)*SUMIFS('Billing Aug'!$I$2:$I$770,'Billing Aug'!$D$2:$D$770,A1009))</f>
        <v/>
      </c>
      <c r="Q1009" s="37">
        <f>IF(N1009=0,"NO AUG TRANSACTION IN SUPPLIED EXTRACT",IF(ABS(P1009)&gt;0.004,"SUBLEDGER ARITHMETIC ERROR",IF(ABS(M1009)&gt;0.004,"BILLING VARIANCE","MATCH")))</f>
        <v/>
      </c>
    </row>
    <row r="1010">
      <c r="A1010" s="37" t="inlineStr">
        <is>
          <t>SB-0602</t>
        </is>
      </c>
      <c r="B1010" s="37" t="inlineStr">
        <is>
          <t>Salmonberry</t>
        </is>
      </c>
      <c r="C1010" s="37" t="inlineStr">
        <is>
          <t>OPEN</t>
        </is>
      </c>
      <c r="D1010" s="37" t="inlineStr">
        <is>
          <t>OCCUPIED</t>
        </is>
      </c>
      <c r="E1010" s="37" t="inlineStr">
        <is>
          <t>WL-03696</t>
        </is>
      </c>
      <c r="F1010" s="37" t="inlineStr">
        <is>
          <t>Natalie Duncan</t>
        </is>
      </c>
      <c r="G1010" s="37" t="n">
        <v>40</v>
      </c>
      <c r="H1010" s="39" t="n">
        <v>52.7</v>
      </c>
      <c r="I1010" s="40">
        <f>ROUNDUP(MAX(G1010,H1010),0)</f>
        <v/>
      </c>
      <c r="J1010" s="41">
        <f>IF(C1010="COVERED",'Methodology'!$B$9,'Methodology'!$B$10)</f>
        <v/>
      </c>
      <c r="K1010" s="41">
        <f>I1010*J1010</f>
        <v/>
      </c>
      <c r="L1010" s="41">
        <f>SUMIFS('Billing Aug'!$J$2:$J$770,'Billing Aug'!$D$2:$D$770,A1010)</f>
        <v/>
      </c>
      <c r="M1010" s="41">
        <f>L1010-K1010</f>
        <v/>
      </c>
      <c r="N1010" s="37">
        <f>COUNTIF('Billing Aug'!$D$2:$D$770,A1010)</f>
        <v/>
      </c>
      <c r="O1010" s="37">
        <f>SUMIFS('Billing Aug'!$F$2:$F$770,'Billing Aug'!$D$2:$D$770,A1010)</f>
        <v/>
      </c>
      <c r="P1010" s="41">
        <f>IF(N1010=0,0,L1010-SUMIFS('Billing Aug'!$H$2:$H$770,'Billing Aug'!$D$2:$D$770,A1010)*SUMIFS('Billing Aug'!$I$2:$I$770,'Billing Aug'!$D$2:$D$770,A1010))</f>
        <v/>
      </c>
      <c r="Q1010" s="37">
        <f>IF(N1010=0,"NO AUG TRANSACTION IN SUPPLIED EXTRACT",IF(ABS(P1010)&gt;0.004,"SUBLEDGER ARITHMETIC ERROR",IF(ABS(M1010)&gt;0.004,"BILLING VARIANCE","MATCH")))</f>
        <v/>
      </c>
    </row>
    <row r="1011">
      <c r="A1011" s="37" t="inlineStr">
        <is>
          <t>SB-0603</t>
        </is>
      </c>
      <c r="B1011" s="37" t="inlineStr">
        <is>
          <t>Salmonberry</t>
        </is>
      </c>
      <c r="C1011" s="37" t="inlineStr">
        <is>
          <t>OPEN</t>
        </is>
      </c>
      <c r="D1011" s="37" t="inlineStr">
        <is>
          <t>OCCUPIED</t>
        </is>
      </c>
      <c r="E1011" s="37" t="inlineStr">
        <is>
          <t>WL-01326</t>
        </is>
      </c>
      <c r="F1011" s="37" t="inlineStr">
        <is>
          <t>Kristin Smith</t>
        </is>
      </c>
      <c r="G1011" s="37" t="n">
        <v>32</v>
      </c>
      <c r="H1011" s="39" t="n">
        <v>33.2</v>
      </c>
      <c r="I1011" s="40">
        <f>ROUNDUP(MAX(G1011,H1011),0)</f>
        <v/>
      </c>
      <c r="J1011" s="41">
        <f>IF(C1011="COVERED",'Methodology'!$B$9,'Methodology'!$B$10)</f>
        <v/>
      </c>
      <c r="K1011" s="41">
        <f>I1011*J1011</f>
        <v/>
      </c>
      <c r="L1011" s="41">
        <f>SUMIFS('Billing Aug'!$J$2:$J$770,'Billing Aug'!$D$2:$D$770,A1011)</f>
        <v/>
      </c>
      <c r="M1011" s="41">
        <f>L1011-K1011</f>
        <v/>
      </c>
      <c r="N1011" s="37">
        <f>COUNTIF('Billing Aug'!$D$2:$D$770,A1011)</f>
        <v/>
      </c>
      <c r="O1011" s="37">
        <f>SUMIFS('Billing Aug'!$F$2:$F$770,'Billing Aug'!$D$2:$D$770,A1011)</f>
        <v/>
      </c>
      <c r="P1011" s="41">
        <f>IF(N1011=0,0,L1011-SUMIFS('Billing Aug'!$H$2:$H$770,'Billing Aug'!$D$2:$D$770,A1011)*SUMIFS('Billing Aug'!$I$2:$I$770,'Billing Aug'!$D$2:$D$770,A1011))</f>
        <v/>
      </c>
      <c r="Q1011" s="37">
        <f>IF(N1011=0,"NO AUG TRANSACTION IN SUPPLIED EXTRACT",IF(ABS(P1011)&gt;0.004,"SUBLEDGER ARITHMETIC ERROR",IF(ABS(M1011)&gt;0.004,"BILLING VARIANCE","MATCH")))</f>
        <v/>
      </c>
    </row>
    <row r="1012">
      <c r="A1012" s="37" t="inlineStr">
        <is>
          <t>SB-0604</t>
        </is>
      </c>
      <c r="B1012" s="37" t="inlineStr">
        <is>
          <t>Salmonberry</t>
        </is>
      </c>
      <c r="C1012" s="37" t="inlineStr">
        <is>
          <t>OPEN</t>
        </is>
      </c>
      <c r="D1012" s="37" t="inlineStr">
        <is>
          <t>OCCUPIED</t>
        </is>
      </c>
      <c r="E1012" s="37" t="inlineStr">
        <is>
          <t>WL-03071</t>
        </is>
      </c>
      <c r="F1012" s="37" t="inlineStr">
        <is>
          <t>Kenneth Jones</t>
        </is>
      </c>
      <c r="G1012" s="37" t="n">
        <v>80</v>
      </c>
      <c r="H1012" s="39" t="n">
        <v>21</v>
      </c>
      <c r="I1012" s="40">
        <f>ROUNDUP(MAX(G1012,H1012),0)</f>
        <v/>
      </c>
      <c r="J1012" s="41">
        <f>IF(C1012="COVERED",'Methodology'!$B$9,'Methodology'!$B$10)</f>
        <v/>
      </c>
      <c r="K1012" s="41">
        <f>I1012*J1012</f>
        <v/>
      </c>
      <c r="L1012" s="41">
        <f>SUMIFS('Billing Aug'!$J$2:$J$770,'Billing Aug'!$D$2:$D$770,A1012)</f>
        <v/>
      </c>
      <c r="M1012" s="41">
        <f>L1012-K1012</f>
        <v/>
      </c>
      <c r="N1012" s="37">
        <f>COUNTIF('Billing Aug'!$D$2:$D$770,A1012)</f>
        <v/>
      </c>
      <c r="O1012" s="37">
        <f>SUMIFS('Billing Aug'!$F$2:$F$770,'Billing Aug'!$D$2:$D$770,A1012)</f>
        <v/>
      </c>
      <c r="P1012" s="41">
        <f>IF(N1012=0,0,L1012-SUMIFS('Billing Aug'!$H$2:$H$770,'Billing Aug'!$D$2:$D$770,A1012)*SUMIFS('Billing Aug'!$I$2:$I$770,'Billing Aug'!$D$2:$D$770,A1012))</f>
        <v/>
      </c>
      <c r="Q1012" s="37">
        <f>IF(N1012=0,"NO AUG TRANSACTION IN SUPPLIED EXTRACT",IF(ABS(P1012)&gt;0.004,"SUBLEDGER ARITHMETIC ERROR",IF(ABS(M1012)&gt;0.004,"BILLING VARIANCE","MATCH")))</f>
        <v/>
      </c>
    </row>
    <row r="1013">
      <c r="A1013" s="37" t="inlineStr">
        <is>
          <t>SB-0605</t>
        </is>
      </c>
      <c r="B1013" s="37" t="inlineStr">
        <is>
          <t>Salmonberry</t>
        </is>
      </c>
      <c r="C1013" s="37" t="inlineStr">
        <is>
          <t>OPEN</t>
        </is>
      </c>
      <c r="D1013" s="37" t="inlineStr">
        <is>
          <t>OCCUPIED</t>
        </is>
      </c>
      <c r="E1013" s="37" t="inlineStr">
        <is>
          <t>WL-02387</t>
        </is>
      </c>
      <c r="F1013" s="37" t="inlineStr">
        <is>
          <t>Scott Roberts</t>
        </is>
      </c>
      <c r="G1013" s="37" t="n">
        <v>24</v>
      </c>
      <c r="H1013" s="39" t="n">
        <v>41.9</v>
      </c>
      <c r="I1013" s="40">
        <f>ROUNDUP(MAX(G1013,H1013),0)</f>
        <v/>
      </c>
      <c r="J1013" s="41">
        <f>IF(C1013="COVERED",'Methodology'!$B$9,'Methodology'!$B$10)</f>
        <v/>
      </c>
      <c r="K1013" s="41">
        <f>I1013*J1013</f>
        <v/>
      </c>
      <c r="L1013" s="41">
        <f>SUMIFS('Billing Aug'!$J$2:$J$770,'Billing Aug'!$D$2:$D$770,A1013)</f>
        <v/>
      </c>
      <c r="M1013" s="41">
        <f>L1013-K1013</f>
        <v/>
      </c>
      <c r="N1013" s="37">
        <f>COUNTIF('Billing Aug'!$D$2:$D$770,A1013)</f>
        <v/>
      </c>
      <c r="O1013" s="37">
        <f>SUMIFS('Billing Aug'!$F$2:$F$770,'Billing Aug'!$D$2:$D$770,A1013)</f>
        <v/>
      </c>
      <c r="P1013" s="41">
        <f>IF(N1013=0,0,L1013-SUMIFS('Billing Aug'!$H$2:$H$770,'Billing Aug'!$D$2:$D$770,A1013)*SUMIFS('Billing Aug'!$I$2:$I$770,'Billing Aug'!$D$2:$D$770,A1013))</f>
        <v/>
      </c>
      <c r="Q1013" s="37">
        <f>IF(N1013=0,"NO AUG TRANSACTION IN SUPPLIED EXTRACT",IF(ABS(P1013)&gt;0.004,"SUBLEDGER ARITHMETIC ERROR",IF(ABS(M1013)&gt;0.004,"BILLING VARIANCE","MATCH")))</f>
        <v/>
      </c>
    </row>
    <row r="1014">
      <c r="A1014" s="37" t="inlineStr">
        <is>
          <t>SB-0606</t>
        </is>
      </c>
      <c r="B1014" s="37" t="inlineStr">
        <is>
          <t>Salmonberry</t>
        </is>
      </c>
      <c r="C1014" s="37" t="inlineStr">
        <is>
          <t>OPEN</t>
        </is>
      </c>
      <c r="D1014" s="37" t="inlineStr">
        <is>
          <t>OCCUPIED</t>
        </is>
      </c>
      <c r="E1014" s="37" t="inlineStr">
        <is>
          <t>WL-02385</t>
        </is>
      </c>
      <c r="F1014" s="37" t="inlineStr">
        <is>
          <t>John Lopez</t>
        </is>
      </c>
      <c r="G1014" s="37" t="n">
        <v>80</v>
      </c>
      <c r="H1014" s="39" t="n">
        <v>47.1</v>
      </c>
      <c r="I1014" s="40">
        <f>ROUNDUP(MAX(G1014,H1014),0)</f>
        <v/>
      </c>
      <c r="J1014" s="41">
        <f>IF(C1014="COVERED",'Methodology'!$B$9,'Methodology'!$B$10)</f>
        <v/>
      </c>
      <c r="K1014" s="41">
        <f>I1014*J1014</f>
        <v/>
      </c>
      <c r="L1014" s="41">
        <f>SUMIFS('Billing Aug'!$J$2:$J$770,'Billing Aug'!$D$2:$D$770,A1014)</f>
        <v/>
      </c>
      <c r="M1014" s="41">
        <f>L1014-K1014</f>
        <v/>
      </c>
      <c r="N1014" s="37">
        <f>COUNTIF('Billing Aug'!$D$2:$D$770,A1014)</f>
        <v/>
      </c>
      <c r="O1014" s="37">
        <f>SUMIFS('Billing Aug'!$F$2:$F$770,'Billing Aug'!$D$2:$D$770,A1014)</f>
        <v/>
      </c>
      <c r="P1014" s="41">
        <f>IF(N1014=0,0,L1014-SUMIFS('Billing Aug'!$H$2:$H$770,'Billing Aug'!$D$2:$D$770,A1014)*SUMIFS('Billing Aug'!$I$2:$I$770,'Billing Aug'!$D$2:$D$770,A1014))</f>
        <v/>
      </c>
      <c r="Q1014" s="37">
        <f>IF(N1014=0,"NO AUG TRANSACTION IN SUPPLIED EXTRACT",IF(ABS(P1014)&gt;0.004,"SUBLEDGER ARITHMETIC ERROR",IF(ABS(M1014)&gt;0.004,"BILLING VARIANCE","MATCH")))</f>
        <v/>
      </c>
    </row>
    <row r="1015">
      <c r="A1015" s="37" t="inlineStr">
        <is>
          <t>SB-0607</t>
        </is>
      </c>
      <c r="B1015" s="37" t="inlineStr">
        <is>
          <t>Salmonberry</t>
        </is>
      </c>
      <c r="C1015" s="37" t="inlineStr">
        <is>
          <t>OPEN</t>
        </is>
      </c>
      <c r="D1015" s="37" t="inlineStr">
        <is>
          <t>OCCUPIED</t>
        </is>
      </c>
      <c r="E1015" s="37" t="inlineStr">
        <is>
          <t>WL-03601</t>
        </is>
      </c>
      <c r="F1015" s="37" t="inlineStr">
        <is>
          <t>Jenny Perez</t>
        </is>
      </c>
      <c r="G1015" s="37" t="n">
        <v>40</v>
      </c>
      <c r="H1015" s="39" t="n">
        <v>30.9</v>
      </c>
      <c r="I1015" s="40">
        <f>ROUNDUP(MAX(G1015,H1015),0)</f>
        <v/>
      </c>
      <c r="J1015" s="41">
        <f>IF(C1015="COVERED",'Methodology'!$B$9,'Methodology'!$B$10)</f>
        <v/>
      </c>
      <c r="K1015" s="41">
        <f>I1015*J1015</f>
        <v/>
      </c>
      <c r="L1015" s="41">
        <f>SUMIFS('Billing Aug'!$J$2:$J$770,'Billing Aug'!$D$2:$D$770,A1015)</f>
        <v/>
      </c>
      <c r="M1015" s="41">
        <f>L1015-K1015</f>
        <v/>
      </c>
      <c r="N1015" s="37">
        <f>COUNTIF('Billing Aug'!$D$2:$D$770,A1015)</f>
        <v/>
      </c>
      <c r="O1015" s="37">
        <f>SUMIFS('Billing Aug'!$F$2:$F$770,'Billing Aug'!$D$2:$D$770,A1015)</f>
        <v/>
      </c>
      <c r="P1015" s="41">
        <f>IF(N1015=0,0,L1015-SUMIFS('Billing Aug'!$H$2:$H$770,'Billing Aug'!$D$2:$D$770,A1015)*SUMIFS('Billing Aug'!$I$2:$I$770,'Billing Aug'!$D$2:$D$770,A1015))</f>
        <v/>
      </c>
      <c r="Q1015" s="37">
        <f>IF(N1015=0,"NO AUG TRANSACTION IN SUPPLIED EXTRACT",IF(ABS(P1015)&gt;0.004,"SUBLEDGER ARITHMETIC ERROR",IF(ABS(M1015)&gt;0.004,"BILLING VARIANCE","MATCH")))</f>
        <v/>
      </c>
    </row>
    <row r="1016">
      <c r="A1016" s="37" t="inlineStr">
        <is>
          <t>SB-0609</t>
        </is>
      </c>
      <c r="B1016" s="37" t="inlineStr">
        <is>
          <t>Salmonberry</t>
        </is>
      </c>
      <c r="C1016" s="37" t="inlineStr">
        <is>
          <t>OPEN</t>
        </is>
      </c>
      <c r="D1016" s="37" t="inlineStr">
        <is>
          <t>OCCUPIED</t>
        </is>
      </c>
      <c r="E1016" s="37" t="inlineStr">
        <is>
          <t>WL-01633</t>
        </is>
      </c>
      <c r="F1016" s="37" t="inlineStr">
        <is>
          <t>Michael Gonzalez</t>
        </is>
      </c>
      <c r="G1016" s="37" t="n">
        <v>36</v>
      </c>
      <c r="H1016" s="39" t="n">
        <v>37</v>
      </c>
      <c r="I1016" s="40">
        <f>ROUNDUP(MAX(G1016,H1016),0)</f>
        <v/>
      </c>
      <c r="J1016" s="41">
        <f>IF(C1016="COVERED",'Methodology'!$B$9,'Methodology'!$B$10)</f>
        <v/>
      </c>
      <c r="K1016" s="41">
        <f>I1016*J1016</f>
        <v/>
      </c>
      <c r="L1016" s="41">
        <f>SUMIFS('Billing Aug'!$J$2:$J$770,'Billing Aug'!$D$2:$D$770,A1016)</f>
        <v/>
      </c>
      <c r="M1016" s="41">
        <f>L1016-K1016</f>
        <v/>
      </c>
      <c r="N1016" s="37">
        <f>COUNTIF('Billing Aug'!$D$2:$D$770,A1016)</f>
        <v/>
      </c>
      <c r="O1016" s="37">
        <f>SUMIFS('Billing Aug'!$F$2:$F$770,'Billing Aug'!$D$2:$D$770,A1016)</f>
        <v/>
      </c>
      <c r="P1016" s="41">
        <f>IF(N1016=0,0,L1016-SUMIFS('Billing Aug'!$H$2:$H$770,'Billing Aug'!$D$2:$D$770,A1016)*SUMIFS('Billing Aug'!$I$2:$I$770,'Billing Aug'!$D$2:$D$770,A1016))</f>
        <v/>
      </c>
      <c r="Q1016" s="37">
        <f>IF(N1016=0,"NO AUG TRANSACTION IN SUPPLIED EXTRACT",IF(ABS(P1016)&gt;0.004,"SUBLEDGER ARITHMETIC ERROR",IF(ABS(M1016)&gt;0.004,"BILLING VARIANCE","MATCH")))</f>
        <v/>
      </c>
    </row>
    <row r="1017">
      <c r="A1017" s="37" t="inlineStr">
        <is>
          <t>SB-0610</t>
        </is>
      </c>
      <c r="B1017" s="37" t="inlineStr">
        <is>
          <t>Salmonberry</t>
        </is>
      </c>
      <c r="C1017" s="37" t="inlineStr">
        <is>
          <t>OPEN</t>
        </is>
      </c>
      <c r="D1017" s="37" t="inlineStr">
        <is>
          <t>OCCUPIED</t>
        </is>
      </c>
      <c r="E1017" s="37" t="inlineStr">
        <is>
          <t>WL-02854</t>
        </is>
      </c>
      <c r="F1017" s="37" t="inlineStr">
        <is>
          <t>Michael Martinez</t>
        </is>
      </c>
      <c r="G1017" s="37" t="n">
        <v>60</v>
      </c>
      <c r="H1017" s="39" t="n">
        <v>31.7</v>
      </c>
      <c r="I1017" s="40">
        <f>ROUNDUP(MAX(G1017,H1017),0)</f>
        <v/>
      </c>
      <c r="J1017" s="41">
        <f>IF(C1017="COVERED",'Methodology'!$B$9,'Methodology'!$B$10)</f>
        <v/>
      </c>
      <c r="K1017" s="41">
        <f>I1017*J1017</f>
        <v/>
      </c>
      <c r="L1017" s="41">
        <f>SUMIFS('Billing Aug'!$J$2:$J$770,'Billing Aug'!$D$2:$D$770,A1017)</f>
        <v/>
      </c>
      <c r="M1017" s="41">
        <f>L1017-K1017</f>
        <v/>
      </c>
      <c r="N1017" s="37">
        <f>COUNTIF('Billing Aug'!$D$2:$D$770,A1017)</f>
        <v/>
      </c>
      <c r="O1017" s="37">
        <f>SUMIFS('Billing Aug'!$F$2:$F$770,'Billing Aug'!$D$2:$D$770,A1017)</f>
        <v/>
      </c>
      <c r="P1017" s="41">
        <f>IF(N1017=0,0,L1017-SUMIFS('Billing Aug'!$H$2:$H$770,'Billing Aug'!$D$2:$D$770,A1017)*SUMIFS('Billing Aug'!$I$2:$I$770,'Billing Aug'!$D$2:$D$770,A1017))</f>
        <v/>
      </c>
      <c r="Q1017" s="37">
        <f>IF(N1017=0,"NO AUG TRANSACTION IN SUPPLIED EXTRACT",IF(ABS(P1017)&gt;0.004,"SUBLEDGER ARITHMETIC ERROR",IF(ABS(M1017)&gt;0.004,"BILLING VARIANCE","MATCH")))</f>
        <v/>
      </c>
    </row>
    <row r="1018">
      <c r="A1018" s="37" t="inlineStr">
        <is>
          <t>SB-0611</t>
        </is>
      </c>
      <c r="B1018" s="37" t="inlineStr">
        <is>
          <t>Salmonberry</t>
        </is>
      </c>
      <c r="C1018" s="37" t="inlineStr">
        <is>
          <t>OPEN</t>
        </is>
      </c>
      <c r="D1018" s="37" t="inlineStr">
        <is>
          <t>OCCUPIED</t>
        </is>
      </c>
      <c r="E1018" s="37" t="inlineStr">
        <is>
          <t>WL-02381</t>
        </is>
      </c>
      <c r="F1018" s="37" t="inlineStr">
        <is>
          <t>Gary Waters</t>
        </is>
      </c>
      <c r="G1018" s="37" t="n">
        <v>36</v>
      </c>
      <c r="H1018" s="39" t="n">
        <v>24.7</v>
      </c>
      <c r="I1018" s="40">
        <f>ROUNDUP(MAX(G1018,H1018),0)</f>
        <v/>
      </c>
      <c r="J1018" s="41">
        <f>IF(C1018="COVERED",'Methodology'!$B$9,'Methodology'!$B$10)</f>
        <v/>
      </c>
      <c r="K1018" s="41">
        <f>I1018*J1018</f>
        <v/>
      </c>
      <c r="L1018" s="41">
        <f>SUMIFS('Billing Aug'!$J$2:$J$770,'Billing Aug'!$D$2:$D$770,A1018)</f>
        <v/>
      </c>
      <c r="M1018" s="41">
        <f>L1018-K1018</f>
        <v/>
      </c>
      <c r="N1018" s="37">
        <f>COUNTIF('Billing Aug'!$D$2:$D$770,A1018)</f>
        <v/>
      </c>
      <c r="O1018" s="37">
        <f>SUMIFS('Billing Aug'!$F$2:$F$770,'Billing Aug'!$D$2:$D$770,A1018)</f>
        <v/>
      </c>
      <c r="P1018" s="41">
        <f>IF(N1018=0,0,L1018-SUMIFS('Billing Aug'!$H$2:$H$770,'Billing Aug'!$D$2:$D$770,A1018)*SUMIFS('Billing Aug'!$I$2:$I$770,'Billing Aug'!$D$2:$D$770,A1018))</f>
        <v/>
      </c>
      <c r="Q1018" s="37">
        <f>IF(N1018=0,"NO AUG TRANSACTION IN SUPPLIED EXTRACT",IF(ABS(P1018)&gt;0.004,"SUBLEDGER ARITHMETIC ERROR",IF(ABS(M1018)&gt;0.004,"BILLING VARIANCE","MATCH")))</f>
        <v/>
      </c>
    </row>
    <row r="1019">
      <c r="A1019" s="37" t="inlineStr">
        <is>
          <t>SB-0612</t>
        </is>
      </c>
      <c r="B1019" s="37" t="inlineStr">
        <is>
          <t>Salmonberry</t>
        </is>
      </c>
      <c r="C1019" s="37" t="inlineStr">
        <is>
          <t>OPEN</t>
        </is>
      </c>
      <c r="D1019" s="37" t="inlineStr">
        <is>
          <t>OCCUPIED</t>
        </is>
      </c>
      <c r="E1019" s="37" t="inlineStr">
        <is>
          <t>WL-03514</t>
        </is>
      </c>
      <c r="F1019" s="37" t="inlineStr">
        <is>
          <t>Marvin Davila</t>
        </is>
      </c>
      <c r="G1019" s="37" t="n">
        <v>24</v>
      </c>
      <c r="H1019" s="39" t="n">
        <v>45</v>
      </c>
      <c r="I1019" s="40">
        <f>ROUNDUP(MAX(G1019,H1019),0)</f>
        <v/>
      </c>
      <c r="J1019" s="41">
        <f>IF(C1019="COVERED",'Methodology'!$B$9,'Methodology'!$B$10)</f>
        <v/>
      </c>
      <c r="K1019" s="41">
        <f>I1019*J1019</f>
        <v/>
      </c>
      <c r="L1019" s="41">
        <f>SUMIFS('Billing Aug'!$J$2:$J$770,'Billing Aug'!$D$2:$D$770,A1019)</f>
        <v/>
      </c>
      <c r="M1019" s="41">
        <f>L1019-K1019</f>
        <v/>
      </c>
      <c r="N1019" s="37">
        <f>COUNTIF('Billing Aug'!$D$2:$D$770,A1019)</f>
        <v/>
      </c>
      <c r="O1019" s="37">
        <f>SUMIFS('Billing Aug'!$F$2:$F$770,'Billing Aug'!$D$2:$D$770,A1019)</f>
        <v/>
      </c>
      <c r="P1019" s="41">
        <f>IF(N1019=0,0,L1019-SUMIFS('Billing Aug'!$H$2:$H$770,'Billing Aug'!$D$2:$D$770,A1019)*SUMIFS('Billing Aug'!$I$2:$I$770,'Billing Aug'!$D$2:$D$770,A1019))</f>
        <v/>
      </c>
      <c r="Q1019" s="37">
        <f>IF(N1019=0,"NO AUG TRANSACTION IN SUPPLIED EXTRACT",IF(ABS(P1019)&gt;0.004,"SUBLEDGER ARITHMETIC ERROR",IF(ABS(M1019)&gt;0.004,"BILLING VARIANCE","MATCH")))</f>
        <v/>
      </c>
    </row>
    <row r="1020">
      <c r="A1020" s="37" t="inlineStr">
        <is>
          <t>SB-0613</t>
        </is>
      </c>
      <c r="B1020" s="37" t="inlineStr">
        <is>
          <t>Salmonberry</t>
        </is>
      </c>
      <c r="C1020" s="37" t="inlineStr">
        <is>
          <t>OPEN</t>
        </is>
      </c>
      <c r="D1020" s="37" t="inlineStr">
        <is>
          <t>OCCUPIED</t>
        </is>
      </c>
      <c r="E1020" s="37" t="inlineStr">
        <is>
          <t>WL-03616</t>
        </is>
      </c>
      <c r="F1020" s="37" t="inlineStr">
        <is>
          <t>Martin King</t>
        </is>
      </c>
      <c r="G1020" s="37" t="n">
        <v>28</v>
      </c>
      <c r="H1020" s="39" t="n">
        <v>53.6</v>
      </c>
      <c r="I1020" s="40">
        <f>ROUNDUP(MAX(G1020,H1020),0)</f>
        <v/>
      </c>
      <c r="J1020" s="41">
        <f>IF(C1020="COVERED",'Methodology'!$B$9,'Methodology'!$B$10)</f>
        <v/>
      </c>
      <c r="K1020" s="41">
        <f>I1020*J1020</f>
        <v/>
      </c>
      <c r="L1020" s="41">
        <f>SUMIFS('Billing Aug'!$J$2:$J$770,'Billing Aug'!$D$2:$D$770,A1020)</f>
        <v/>
      </c>
      <c r="M1020" s="41">
        <f>L1020-K1020</f>
        <v/>
      </c>
      <c r="N1020" s="37">
        <f>COUNTIF('Billing Aug'!$D$2:$D$770,A1020)</f>
        <v/>
      </c>
      <c r="O1020" s="37">
        <f>SUMIFS('Billing Aug'!$F$2:$F$770,'Billing Aug'!$D$2:$D$770,A1020)</f>
        <v/>
      </c>
      <c r="P1020" s="41">
        <f>IF(N1020=0,0,L1020-SUMIFS('Billing Aug'!$H$2:$H$770,'Billing Aug'!$D$2:$D$770,A1020)*SUMIFS('Billing Aug'!$I$2:$I$770,'Billing Aug'!$D$2:$D$770,A1020))</f>
        <v/>
      </c>
      <c r="Q1020" s="37">
        <f>IF(N1020=0,"NO AUG TRANSACTION IN SUPPLIED EXTRACT",IF(ABS(P1020)&gt;0.004,"SUBLEDGER ARITHMETIC ERROR",IF(ABS(M1020)&gt;0.004,"BILLING VARIANCE","MATCH")))</f>
        <v/>
      </c>
    </row>
    <row r="1021">
      <c r="A1021" s="37" t="inlineStr">
        <is>
          <t>SB-0614</t>
        </is>
      </c>
      <c r="B1021" s="37" t="inlineStr">
        <is>
          <t>Salmonberry</t>
        </is>
      </c>
      <c r="C1021" s="37" t="inlineStr">
        <is>
          <t>OPEN</t>
        </is>
      </c>
      <c r="D1021" s="37" t="inlineStr">
        <is>
          <t>OCCUPIED</t>
        </is>
      </c>
      <c r="E1021" s="37" t="inlineStr">
        <is>
          <t>WL-01755</t>
        </is>
      </c>
      <c r="F1021" s="37" t="inlineStr">
        <is>
          <t>Joshua Walton</t>
        </is>
      </c>
      <c r="G1021" s="37" t="n">
        <v>80</v>
      </c>
      <c r="H1021" s="39" t="n">
        <v>49.5</v>
      </c>
      <c r="I1021" s="40">
        <f>ROUNDUP(MAX(G1021,H1021),0)</f>
        <v/>
      </c>
      <c r="J1021" s="41">
        <f>IF(C1021="COVERED",'Methodology'!$B$9,'Methodology'!$B$10)</f>
        <v/>
      </c>
      <c r="K1021" s="41">
        <f>I1021*J1021</f>
        <v/>
      </c>
      <c r="L1021" s="41">
        <f>SUMIFS('Billing Aug'!$J$2:$J$770,'Billing Aug'!$D$2:$D$770,A1021)</f>
        <v/>
      </c>
      <c r="M1021" s="41">
        <f>L1021-K1021</f>
        <v/>
      </c>
      <c r="N1021" s="37">
        <f>COUNTIF('Billing Aug'!$D$2:$D$770,A1021)</f>
        <v/>
      </c>
      <c r="O1021" s="37">
        <f>SUMIFS('Billing Aug'!$F$2:$F$770,'Billing Aug'!$D$2:$D$770,A1021)</f>
        <v/>
      </c>
      <c r="P1021" s="41">
        <f>IF(N1021=0,0,L1021-SUMIFS('Billing Aug'!$H$2:$H$770,'Billing Aug'!$D$2:$D$770,A1021)*SUMIFS('Billing Aug'!$I$2:$I$770,'Billing Aug'!$D$2:$D$770,A1021))</f>
        <v/>
      </c>
      <c r="Q1021" s="37">
        <f>IF(N1021=0,"NO AUG TRANSACTION IN SUPPLIED EXTRACT",IF(ABS(P1021)&gt;0.004,"SUBLEDGER ARITHMETIC ERROR",IF(ABS(M1021)&gt;0.004,"BILLING VARIANCE","MATCH")))</f>
        <v/>
      </c>
    </row>
    <row r="1022">
      <c r="A1022" s="37" t="inlineStr">
        <is>
          <t>SB-0615</t>
        </is>
      </c>
      <c r="B1022" s="37" t="inlineStr">
        <is>
          <t>Salmonberry</t>
        </is>
      </c>
      <c r="C1022" s="37" t="inlineStr">
        <is>
          <t>OPEN</t>
        </is>
      </c>
      <c r="D1022" s="37" t="inlineStr">
        <is>
          <t>OCCUPIED</t>
        </is>
      </c>
      <c r="E1022" s="37" t="inlineStr">
        <is>
          <t>WL-01424</t>
        </is>
      </c>
      <c r="F1022" s="37" t="inlineStr">
        <is>
          <t>Kristen Miller</t>
        </is>
      </c>
      <c r="G1022" s="37" t="n">
        <v>45</v>
      </c>
      <c r="H1022" s="39" t="n">
        <v>27.7</v>
      </c>
      <c r="I1022" s="40">
        <f>ROUNDUP(MAX(G1022,H1022),0)</f>
        <v/>
      </c>
      <c r="J1022" s="41">
        <f>IF(C1022="COVERED",'Methodology'!$B$9,'Methodology'!$B$10)</f>
        <v/>
      </c>
      <c r="K1022" s="41">
        <f>I1022*J1022</f>
        <v/>
      </c>
      <c r="L1022" s="41">
        <f>SUMIFS('Billing Aug'!$J$2:$J$770,'Billing Aug'!$D$2:$D$770,A1022)</f>
        <v/>
      </c>
      <c r="M1022" s="41">
        <f>L1022-K1022</f>
        <v/>
      </c>
      <c r="N1022" s="37">
        <f>COUNTIF('Billing Aug'!$D$2:$D$770,A1022)</f>
        <v/>
      </c>
      <c r="O1022" s="37">
        <f>SUMIFS('Billing Aug'!$F$2:$F$770,'Billing Aug'!$D$2:$D$770,A1022)</f>
        <v/>
      </c>
      <c r="P1022" s="41">
        <f>IF(N1022=0,0,L1022-SUMIFS('Billing Aug'!$H$2:$H$770,'Billing Aug'!$D$2:$D$770,A1022)*SUMIFS('Billing Aug'!$I$2:$I$770,'Billing Aug'!$D$2:$D$770,A1022))</f>
        <v/>
      </c>
      <c r="Q1022" s="37">
        <f>IF(N1022=0,"NO AUG TRANSACTION IN SUPPLIED EXTRACT",IF(ABS(P1022)&gt;0.004,"SUBLEDGER ARITHMETIC ERROR",IF(ABS(M1022)&gt;0.004,"BILLING VARIANCE","MATCH")))</f>
        <v/>
      </c>
    </row>
    <row r="1023">
      <c r="A1023" s="37" t="inlineStr">
        <is>
          <t>SB-0616</t>
        </is>
      </c>
      <c r="B1023" s="37" t="inlineStr">
        <is>
          <t>Salmonberry</t>
        </is>
      </c>
      <c r="C1023" s="37" t="inlineStr">
        <is>
          <t>OPEN</t>
        </is>
      </c>
      <c r="D1023" s="37" t="inlineStr">
        <is>
          <t>OCCUPIED</t>
        </is>
      </c>
      <c r="E1023" s="37" t="inlineStr">
        <is>
          <t>WL-03789</t>
        </is>
      </c>
      <c r="F1023" s="37" t="inlineStr">
        <is>
          <t>Christopher Dorsey</t>
        </is>
      </c>
      <c r="G1023" s="37" t="n">
        <v>24</v>
      </c>
      <c r="H1023" s="39" t="n">
        <v>41.8</v>
      </c>
      <c r="I1023" s="40">
        <f>ROUNDUP(MAX(G1023,H1023),0)</f>
        <v/>
      </c>
      <c r="J1023" s="41">
        <f>IF(C1023="COVERED",'Methodology'!$B$9,'Methodology'!$B$10)</f>
        <v/>
      </c>
      <c r="K1023" s="41">
        <f>I1023*J1023</f>
        <v/>
      </c>
      <c r="L1023" s="41">
        <f>SUMIFS('Billing Aug'!$J$2:$J$770,'Billing Aug'!$D$2:$D$770,A1023)</f>
        <v/>
      </c>
      <c r="M1023" s="41">
        <f>L1023-K1023</f>
        <v/>
      </c>
      <c r="N1023" s="37">
        <f>COUNTIF('Billing Aug'!$D$2:$D$770,A1023)</f>
        <v/>
      </c>
      <c r="O1023" s="37">
        <f>SUMIFS('Billing Aug'!$F$2:$F$770,'Billing Aug'!$D$2:$D$770,A1023)</f>
        <v/>
      </c>
      <c r="P1023" s="41">
        <f>IF(N1023=0,0,L1023-SUMIFS('Billing Aug'!$H$2:$H$770,'Billing Aug'!$D$2:$D$770,A1023)*SUMIFS('Billing Aug'!$I$2:$I$770,'Billing Aug'!$D$2:$D$770,A1023))</f>
        <v/>
      </c>
      <c r="Q1023" s="37">
        <f>IF(N1023=0,"NO AUG TRANSACTION IN SUPPLIED EXTRACT",IF(ABS(P1023)&gt;0.004,"SUBLEDGER ARITHMETIC ERROR",IF(ABS(M1023)&gt;0.004,"BILLING VARIANCE","MATCH")))</f>
        <v/>
      </c>
    </row>
    <row r="1024">
      <c r="A1024" s="37" t="inlineStr">
        <is>
          <t>SB-0617</t>
        </is>
      </c>
      <c r="B1024" s="37" t="inlineStr">
        <is>
          <t>Salmonberry</t>
        </is>
      </c>
      <c r="C1024" s="37" t="inlineStr">
        <is>
          <t>OPEN</t>
        </is>
      </c>
      <c r="D1024" s="37" t="inlineStr">
        <is>
          <t>OCCUPIED</t>
        </is>
      </c>
      <c r="E1024" s="37" t="inlineStr">
        <is>
          <t>WL-01894</t>
        </is>
      </c>
      <c r="F1024" s="37" t="inlineStr">
        <is>
          <t>Linda Taylor</t>
        </is>
      </c>
      <c r="G1024" s="37" t="n">
        <v>36</v>
      </c>
      <c r="H1024" s="39" t="n">
        <v>26.3</v>
      </c>
      <c r="I1024" s="40">
        <f>ROUNDUP(MAX(G1024,H1024),0)</f>
        <v/>
      </c>
      <c r="J1024" s="41">
        <f>IF(C1024="COVERED",'Methodology'!$B$9,'Methodology'!$B$10)</f>
        <v/>
      </c>
      <c r="K1024" s="41">
        <f>I1024*J1024</f>
        <v/>
      </c>
      <c r="L1024" s="41">
        <f>SUMIFS('Billing Aug'!$J$2:$J$770,'Billing Aug'!$D$2:$D$770,A1024)</f>
        <v/>
      </c>
      <c r="M1024" s="41">
        <f>L1024-K1024</f>
        <v/>
      </c>
      <c r="N1024" s="37">
        <f>COUNTIF('Billing Aug'!$D$2:$D$770,A1024)</f>
        <v/>
      </c>
      <c r="O1024" s="37">
        <f>SUMIFS('Billing Aug'!$F$2:$F$770,'Billing Aug'!$D$2:$D$770,A1024)</f>
        <v/>
      </c>
      <c r="P1024" s="41">
        <f>IF(N1024=0,0,L1024-SUMIFS('Billing Aug'!$H$2:$H$770,'Billing Aug'!$D$2:$D$770,A1024)*SUMIFS('Billing Aug'!$I$2:$I$770,'Billing Aug'!$D$2:$D$770,A1024))</f>
        <v/>
      </c>
      <c r="Q1024" s="37">
        <f>IF(N1024=0,"NO AUG TRANSACTION IN SUPPLIED EXTRACT",IF(ABS(P1024)&gt;0.004,"SUBLEDGER ARITHMETIC ERROR",IF(ABS(M1024)&gt;0.004,"BILLING VARIANCE","MATCH")))</f>
        <v/>
      </c>
    </row>
    <row r="1025">
      <c r="A1025" s="37" t="inlineStr">
        <is>
          <t>SB-0619</t>
        </is>
      </c>
      <c r="B1025" s="37" t="inlineStr">
        <is>
          <t>Salmonberry</t>
        </is>
      </c>
      <c r="C1025" s="37" t="inlineStr">
        <is>
          <t>OPEN</t>
        </is>
      </c>
      <c r="D1025" s="37" t="inlineStr">
        <is>
          <t>OCCUPIED</t>
        </is>
      </c>
      <c r="E1025" s="37" t="inlineStr">
        <is>
          <t>WL-01977</t>
        </is>
      </c>
      <c r="F1025" s="37" t="inlineStr">
        <is>
          <t>Adam Warner</t>
        </is>
      </c>
      <c r="G1025" s="37" t="n">
        <v>24</v>
      </c>
      <c r="H1025" s="39" t="n">
        <v>26.3</v>
      </c>
      <c r="I1025" s="40">
        <f>ROUNDUP(MAX(G1025,H1025),0)</f>
        <v/>
      </c>
      <c r="J1025" s="41">
        <f>IF(C1025="COVERED",'Methodology'!$B$9,'Methodology'!$B$10)</f>
        <v/>
      </c>
      <c r="K1025" s="41">
        <f>I1025*J1025</f>
        <v/>
      </c>
      <c r="L1025" s="41">
        <f>SUMIFS('Billing Aug'!$J$2:$J$770,'Billing Aug'!$D$2:$D$770,A1025)</f>
        <v/>
      </c>
      <c r="M1025" s="41">
        <f>L1025-K1025</f>
        <v/>
      </c>
      <c r="N1025" s="37">
        <f>COUNTIF('Billing Aug'!$D$2:$D$770,A1025)</f>
        <v/>
      </c>
      <c r="O1025" s="37">
        <f>SUMIFS('Billing Aug'!$F$2:$F$770,'Billing Aug'!$D$2:$D$770,A1025)</f>
        <v/>
      </c>
      <c r="P1025" s="41">
        <f>IF(N1025=0,0,L1025-SUMIFS('Billing Aug'!$H$2:$H$770,'Billing Aug'!$D$2:$D$770,A1025)*SUMIFS('Billing Aug'!$I$2:$I$770,'Billing Aug'!$D$2:$D$770,A1025))</f>
        <v/>
      </c>
      <c r="Q1025" s="37">
        <f>IF(N1025=0,"NO AUG TRANSACTION IN SUPPLIED EXTRACT",IF(ABS(P1025)&gt;0.004,"SUBLEDGER ARITHMETIC ERROR",IF(ABS(M1025)&gt;0.004,"BILLING VARIANCE","MATCH")))</f>
        <v/>
      </c>
    </row>
    <row r="1026">
      <c r="A1026" s="37" t="inlineStr">
        <is>
          <t>SB-0620</t>
        </is>
      </c>
      <c r="B1026" s="37" t="inlineStr">
        <is>
          <t>Salmonberry</t>
        </is>
      </c>
      <c r="C1026" s="37" t="inlineStr">
        <is>
          <t>OPEN</t>
        </is>
      </c>
      <c r="D1026" s="37" t="inlineStr">
        <is>
          <t>OCCUPIED</t>
        </is>
      </c>
      <c r="E1026" s="37" t="inlineStr">
        <is>
          <t>WL-01426</t>
        </is>
      </c>
      <c r="F1026" s="37" t="inlineStr">
        <is>
          <t>Glen Owen</t>
        </is>
      </c>
      <c r="G1026" s="37" t="n">
        <v>60</v>
      </c>
      <c r="H1026" s="39" t="n">
        <v>61.4</v>
      </c>
      <c r="I1026" s="40">
        <f>ROUNDUP(MAX(G1026,H1026),0)</f>
        <v/>
      </c>
      <c r="J1026" s="41">
        <f>IF(C1026="COVERED",'Methodology'!$B$9,'Methodology'!$B$10)</f>
        <v/>
      </c>
      <c r="K1026" s="41">
        <f>I1026*J1026</f>
        <v/>
      </c>
      <c r="L1026" s="41">
        <f>SUMIFS('Billing Aug'!$J$2:$J$770,'Billing Aug'!$D$2:$D$770,A1026)</f>
        <v/>
      </c>
      <c r="M1026" s="41">
        <f>L1026-K1026</f>
        <v/>
      </c>
      <c r="N1026" s="37">
        <f>COUNTIF('Billing Aug'!$D$2:$D$770,A1026)</f>
        <v/>
      </c>
      <c r="O1026" s="37">
        <f>SUMIFS('Billing Aug'!$F$2:$F$770,'Billing Aug'!$D$2:$D$770,A1026)</f>
        <v/>
      </c>
      <c r="P1026" s="41">
        <f>IF(N1026=0,0,L1026-SUMIFS('Billing Aug'!$H$2:$H$770,'Billing Aug'!$D$2:$D$770,A1026)*SUMIFS('Billing Aug'!$I$2:$I$770,'Billing Aug'!$D$2:$D$770,A1026))</f>
        <v/>
      </c>
      <c r="Q1026" s="37">
        <f>IF(N1026=0,"NO AUG TRANSACTION IN SUPPLIED EXTRACT",IF(ABS(P1026)&gt;0.004,"SUBLEDGER ARITHMETIC ERROR",IF(ABS(M1026)&gt;0.004,"BILLING VARIANCE","MATCH")))</f>
        <v/>
      </c>
    </row>
    <row r="1027">
      <c r="A1027" s="37" t="inlineStr">
        <is>
          <t>SB-0621</t>
        </is>
      </c>
      <c r="B1027" s="37" t="inlineStr">
        <is>
          <t>Salmonberry</t>
        </is>
      </c>
      <c r="C1027" s="37" t="inlineStr">
        <is>
          <t>OPEN</t>
        </is>
      </c>
      <c r="D1027" s="37" t="inlineStr">
        <is>
          <t>OCCUPIED</t>
        </is>
      </c>
      <c r="E1027" s="37" t="inlineStr">
        <is>
          <t>WL-01415</t>
        </is>
      </c>
      <c r="F1027" s="37" t="inlineStr">
        <is>
          <t>Jeremy Stevens</t>
        </is>
      </c>
      <c r="G1027" s="37" t="n">
        <v>32</v>
      </c>
      <c r="H1027" s="39" t="n">
        <v>25.8</v>
      </c>
      <c r="I1027" s="40">
        <f>ROUNDUP(MAX(G1027,H1027),0)</f>
        <v/>
      </c>
      <c r="J1027" s="41">
        <f>IF(C1027="COVERED",'Methodology'!$B$9,'Methodology'!$B$10)</f>
        <v/>
      </c>
      <c r="K1027" s="41">
        <f>I1027*J1027</f>
        <v/>
      </c>
      <c r="L1027" s="41">
        <f>SUMIFS('Billing Aug'!$J$2:$J$770,'Billing Aug'!$D$2:$D$770,A1027)</f>
        <v/>
      </c>
      <c r="M1027" s="41">
        <f>L1027-K1027</f>
        <v/>
      </c>
      <c r="N1027" s="37">
        <f>COUNTIF('Billing Aug'!$D$2:$D$770,A1027)</f>
        <v/>
      </c>
      <c r="O1027" s="37">
        <f>SUMIFS('Billing Aug'!$F$2:$F$770,'Billing Aug'!$D$2:$D$770,A1027)</f>
        <v/>
      </c>
      <c r="P1027" s="41">
        <f>IF(N1027=0,0,L1027-SUMIFS('Billing Aug'!$H$2:$H$770,'Billing Aug'!$D$2:$D$770,A1027)*SUMIFS('Billing Aug'!$I$2:$I$770,'Billing Aug'!$D$2:$D$770,A1027))</f>
        <v/>
      </c>
      <c r="Q1027" s="37">
        <f>IF(N1027=0,"NO AUG TRANSACTION IN SUPPLIED EXTRACT",IF(ABS(P1027)&gt;0.004,"SUBLEDGER ARITHMETIC ERROR",IF(ABS(M1027)&gt;0.004,"BILLING VARIANCE","MATCH")))</f>
        <v/>
      </c>
    </row>
    <row r="1028">
      <c r="A1028" s="37" t="inlineStr">
        <is>
          <t>SB-0622</t>
        </is>
      </c>
      <c r="B1028" s="37" t="inlineStr">
        <is>
          <t>Salmonberry</t>
        </is>
      </c>
      <c r="C1028" s="37" t="inlineStr">
        <is>
          <t>OPEN</t>
        </is>
      </c>
      <c r="D1028" s="37" t="inlineStr">
        <is>
          <t>OCCUPIED</t>
        </is>
      </c>
      <c r="E1028" s="37" t="inlineStr">
        <is>
          <t>WL-03668</t>
        </is>
      </c>
      <c r="F1028" s="37" t="inlineStr">
        <is>
          <t>Anthony Morris</t>
        </is>
      </c>
      <c r="G1028" s="37" t="n">
        <v>32</v>
      </c>
      <c r="H1028" s="39" t="n">
        <v>34.1</v>
      </c>
      <c r="I1028" s="40">
        <f>ROUNDUP(MAX(G1028,H1028),0)</f>
        <v/>
      </c>
      <c r="J1028" s="41">
        <f>IF(C1028="COVERED",'Methodology'!$B$9,'Methodology'!$B$10)</f>
        <v/>
      </c>
      <c r="K1028" s="41">
        <f>I1028*J1028</f>
        <v/>
      </c>
      <c r="L1028" s="41">
        <f>SUMIFS('Billing Aug'!$J$2:$J$770,'Billing Aug'!$D$2:$D$770,A1028)</f>
        <v/>
      </c>
      <c r="M1028" s="41">
        <f>L1028-K1028</f>
        <v/>
      </c>
      <c r="N1028" s="37">
        <f>COUNTIF('Billing Aug'!$D$2:$D$770,A1028)</f>
        <v/>
      </c>
      <c r="O1028" s="37">
        <f>SUMIFS('Billing Aug'!$F$2:$F$770,'Billing Aug'!$D$2:$D$770,A1028)</f>
        <v/>
      </c>
      <c r="P1028" s="41">
        <f>IF(N1028=0,0,L1028-SUMIFS('Billing Aug'!$H$2:$H$770,'Billing Aug'!$D$2:$D$770,A1028)*SUMIFS('Billing Aug'!$I$2:$I$770,'Billing Aug'!$D$2:$D$770,A1028))</f>
        <v/>
      </c>
      <c r="Q1028" s="37">
        <f>IF(N1028=0,"NO AUG TRANSACTION IN SUPPLIED EXTRACT",IF(ABS(P1028)&gt;0.004,"SUBLEDGER ARITHMETIC ERROR",IF(ABS(M1028)&gt;0.004,"BILLING VARIANCE","MATCH")))</f>
        <v/>
      </c>
    </row>
    <row r="1029">
      <c r="A1029" s="37" t="inlineStr">
        <is>
          <t>SB-0623</t>
        </is>
      </c>
      <c r="B1029" s="37" t="inlineStr">
        <is>
          <t>Salmonberry</t>
        </is>
      </c>
      <c r="C1029" s="37" t="inlineStr">
        <is>
          <t>OPEN</t>
        </is>
      </c>
      <c r="D1029" s="37" t="inlineStr">
        <is>
          <t>OCCUPIED</t>
        </is>
      </c>
      <c r="E1029" s="37" t="inlineStr">
        <is>
          <t>WL-01938</t>
        </is>
      </c>
      <c r="F1029" s="37" t="inlineStr">
        <is>
          <t>Ian Webb</t>
        </is>
      </c>
      <c r="G1029" s="37" t="n">
        <v>28</v>
      </c>
      <c r="H1029" s="39" t="n">
        <v>41.8</v>
      </c>
      <c r="I1029" s="40">
        <f>ROUNDUP(MAX(G1029,H1029),0)</f>
        <v/>
      </c>
      <c r="J1029" s="41">
        <f>IF(C1029="COVERED",'Methodology'!$B$9,'Methodology'!$B$10)</f>
        <v/>
      </c>
      <c r="K1029" s="41">
        <f>I1029*J1029</f>
        <v/>
      </c>
      <c r="L1029" s="41">
        <f>SUMIFS('Billing Aug'!$J$2:$J$770,'Billing Aug'!$D$2:$D$770,A1029)</f>
        <v/>
      </c>
      <c r="M1029" s="41">
        <f>L1029-K1029</f>
        <v/>
      </c>
      <c r="N1029" s="37">
        <f>COUNTIF('Billing Aug'!$D$2:$D$770,A1029)</f>
        <v/>
      </c>
      <c r="O1029" s="37">
        <f>SUMIFS('Billing Aug'!$F$2:$F$770,'Billing Aug'!$D$2:$D$770,A1029)</f>
        <v/>
      </c>
      <c r="P1029" s="41">
        <f>IF(N1029=0,0,L1029-SUMIFS('Billing Aug'!$H$2:$H$770,'Billing Aug'!$D$2:$D$770,A1029)*SUMIFS('Billing Aug'!$I$2:$I$770,'Billing Aug'!$D$2:$D$770,A1029))</f>
        <v/>
      </c>
      <c r="Q1029" s="37">
        <f>IF(N1029=0,"NO AUG TRANSACTION IN SUPPLIED EXTRACT",IF(ABS(P1029)&gt;0.004,"SUBLEDGER ARITHMETIC ERROR",IF(ABS(M1029)&gt;0.004,"BILLING VARIANCE","MATCH")))</f>
        <v/>
      </c>
    </row>
    <row r="1030">
      <c r="A1030" s="37" t="inlineStr">
        <is>
          <t>SB-0624</t>
        </is>
      </c>
      <c r="B1030" s="37" t="inlineStr">
        <is>
          <t>Salmonberry</t>
        </is>
      </c>
      <c r="C1030" s="37" t="inlineStr">
        <is>
          <t>OPEN</t>
        </is>
      </c>
      <c r="D1030" s="37" t="inlineStr">
        <is>
          <t>OCCUPIED</t>
        </is>
      </c>
      <c r="E1030" s="37" t="inlineStr">
        <is>
          <t>WL-01530</t>
        </is>
      </c>
      <c r="F1030" s="37" t="inlineStr">
        <is>
          <t>Sean Huber</t>
        </is>
      </c>
      <c r="G1030" s="37" t="n">
        <v>24</v>
      </c>
      <c r="H1030" s="39" t="n">
        <v>32.4</v>
      </c>
      <c r="I1030" s="40">
        <f>ROUNDUP(MAX(G1030,H1030),0)</f>
        <v/>
      </c>
      <c r="J1030" s="41">
        <f>IF(C1030="COVERED",'Methodology'!$B$9,'Methodology'!$B$10)</f>
        <v/>
      </c>
      <c r="K1030" s="41">
        <f>I1030*J1030</f>
        <v/>
      </c>
      <c r="L1030" s="41">
        <f>SUMIFS('Billing Aug'!$J$2:$J$770,'Billing Aug'!$D$2:$D$770,A1030)</f>
        <v/>
      </c>
      <c r="M1030" s="41">
        <f>L1030-K1030</f>
        <v/>
      </c>
      <c r="N1030" s="37">
        <f>COUNTIF('Billing Aug'!$D$2:$D$770,A1030)</f>
        <v/>
      </c>
      <c r="O1030" s="37">
        <f>SUMIFS('Billing Aug'!$F$2:$F$770,'Billing Aug'!$D$2:$D$770,A1030)</f>
        <v/>
      </c>
      <c r="P1030" s="41">
        <f>IF(N1030=0,0,L1030-SUMIFS('Billing Aug'!$H$2:$H$770,'Billing Aug'!$D$2:$D$770,A1030)*SUMIFS('Billing Aug'!$I$2:$I$770,'Billing Aug'!$D$2:$D$770,A1030))</f>
        <v/>
      </c>
      <c r="Q1030" s="37">
        <f>IF(N1030=0,"NO AUG TRANSACTION IN SUPPLIED EXTRACT",IF(ABS(P1030)&gt;0.004,"SUBLEDGER ARITHMETIC ERROR",IF(ABS(M1030)&gt;0.004,"BILLING VARIANCE","MATCH")))</f>
        <v/>
      </c>
    </row>
    <row r="1031">
      <c r="A1031" s="37" t="inlineStr">
        <is>
          <t>SB-0701</t>
        </is>
      </c>
      <c r="B1031" s="37" t="inlineStr">
        <is>
          <t>Salmonberry</t>
        </is>
      </c>
      <c r="C1031" s="37" t="inlineStr">
        <is>
          <t>OPEN</t>
        </is>
      </c>
      <c r="D1031" s="37" t="inlineStr">
        <is>
          <t>OCCUPIED</t>
        </is>
      </c>
      <c r="E1031" s="37" t="inlineStr">
        <is>
          <t>WL-02761</t>
        </is>
      </c>
      <c r="F1031" s="37" t="inlineStr">
        <is>
          <t>Timothy Coleman</t>
        </is>
      </c>
      <c r="G1031" s="37" t="n">
        <v>28</v>
      </c>
      <c r="H1031" s="39" t="n">
        <v>37.3</v>
      </c>
      <c r="I1031" s="40">
        <f>ROUNDUP(MAX(G1031,H1031),0)</f>
        <v/>
      </c>
      <c r="J1031" s="41">
        <f>IF(C1031="COVERED",'Methodology'!$B$9,'Methodology'!$B$10)</f>
        <v/>
      </c>
      <c r="K1031" s="41">
        <f>I1031*J1031</f>
        <v/>
      </c>
      <c r="L1031" s="41">
        <f>SUMIFS('Billing Aug'!$J$2:$J$770,'Billing Aug'!$D$2:$D$770,A1031)</f>
        <v/>
      </c>
      <c r="M1031" s="41">
        <f>L1031-K1031</f>
        <v/>
      </c>
      <c r="N1031" s="37">
        <f>COUNTIF('Billing Aug'!$D$2:$D$770,A1031)</f>
        <v/>
      </c>
      <c r="O1031" s="37">
        <f>SUMIFS('Billing Aug'!$F$2:$F$770,'Billing Aug'!$D$2:$D$770,A1031)</f>
        <v/>
      </c>
      <c r="P1031" s="41">
        <f>IF(N1031=0,0,L1031-SUMIFS('Billing Aug'!$H$2:$H$770,'Billing Aug'!$D$2:$D$770,A1031)*SUMIFS('Billing Aug'!$I$2:$I$770,'Billing Aug'!$D$2:$D$770,A1031))</f>
        <v/>
      </c>
      <c r="Q1031" s="37">
        <f>IF(N1031=0,"NO AUG TRANSACTION IN SUPPLIED EXTRACT",IF(ABS(P1031)&gt;0.004,"SUBLEDGER ARITHMETIC ERROR",IF(ABS(M1031)&gt;0.004,"BILLING VARIANCE","MATCH")))</f>
        <v/>
      </c>
    </row>
    <row r="1032">
      <c r="A1032" s="37" t="inlineStr">
        <is>
          <t>SB-0702</t>
        </is>
      </c>
      <c r="B1032" s="37" t="inlineStr">
        <is>
          <t>Salmonberry</t>
        </is>
      </c>
      <c r="C1032" s="37" t="inlineStr">
        <is>
          <t>OPEN</t>
        </is>
      </c>
      <c r="D1032" s="37" t="inlineStr">
        <is>
          <t>OCCUPIED</t>
        </is>
      </c>
      <c r="E1032" s="37" t="inlineStr">
        <is>
          <t>WL-03233</t>
        </is>
      </c>
      <c r="F1032" s="37" t="inlineStr">
        <is>
          <t>Erin Williams</t>
        </is>
      </c>
      <c r="G1032" s="37" t="n">
        <v>50</v>
      </c>
      <c r="H1032" s="39" t="n">
        <v>19.2</v>
      </c>
      <c r="I1032" s="40">
        <f>ROUNDUP(MAX(G1032,H1032),0)</f>
        <v/>
      </c>
      <c r="J1032" s="41">
        <f>IF(C1032="COVERED",'Methodology'!$B$9,'Methodology'!$B$10)</f>
        <v/>
      </c>
      <c r="K1032" s="41">
        <f>I1032*J1032</f>
        <v/>
      </c>
      <c r="L1032" s="41">
        <f>SUMIFS('Billing Aug'!$J$2:$J$770,'Billing Aug'!$D$2:$D$770,A1032)</f>
        <v/>
      </c>
      <c r="M1032" s="41">
        <f>L1032-K1032</f>
        <v/>
      </c>
      <c r="N1032" s="37">
        <f>COUNTIF('Billing Aug'!$D$2:$D$770,A1032)</f>
        <v/>
      </c>
      <c r="O1032" s="37">
        <f>SUMIFS('Billing Aug'!$F$2:$F$770,'Billing Aug'!$D$2:$D$770,A1032)</f>
        <v/>
      </c>
      <c r="P1032" s="41">
        <f>IF(N1032=0,0,L1032-SUMIFS('Billing Aug'!$H$2:$H$770,'Billing Aug'!$D$2:$D$770,A1032)*SUMIFS('Billing Aug'!$I$2:$I$770,'Billing Aug'!$D$2:$D$770,A1032))</f>
        <v/>
      </c>
      <c r="Q1032" s="37">
        <f>IF(N1032=0,"NO AUG TRANSACTION IN SUPPLIED EXTRACT",IF(ABS(P1032)&gt;0.004,"SUBLEDGER ARITHMETIC ERROR",IF(ABS(M1032)&gt;0.004,"BILLING VARIANCE","MATCH")))</f>
        <v/>
      </c>
    </row>
    <row r="1033">
      <c r="A1033" s="37" t="inlineStr">
        <is>
          <t>SB-0703</t>
        </is>
      </c>
      <c r="B1033" s="37" t="inlineStr">
        <is>
          <t>Salmonberry</t>
        </is>
      </c>
      <c r="C1033" s="37" t="inlineStr">
        <is>
          <t>OPEN</t>
        </is>
      </c>
      <c r="D1033" s="37" t="inlineStr">
        <is>
          <t>OCCUPIED</t>
        </is>
      </c>
      <c r="E1033" s="37" t="inlineStr">
        <is>
          <t>WL-03044</t>
        </is>
      </c>
      <c r="F1033" s="37" t="inlineStr">
        <is>
          <t>Iris Quan</t>
        </is>
      </c>
      <c r="G1033" s="37" t="n">
        <v>32</v>
      </c>
      <c r="H1033" s="39" t="n">
        <v>23.6</v>
      </c>
      <c r="I1033" s="40">
        <f>ROUNDUP(MAX(G1033,H1033),0)</f>
        <v/>
      </c>
      <c r="J1033" s="41">
        <f>IF(C1033="COVERED",'Methodology'!$B$9,'Methodology'!$B$10)</f>
        <v/>
      </c>
      <c r="K1033" s="41">
        <f>I1033*J1033</f>
        <v/>
      </c>
      <c r="L1033" s="41">
        <f>SUMIFS('Billing Aug'!$J$2:$J$770,'Billing Aug'!$D$2:$D$770,A1033)</f>
        <v/>
      </c>
      <c r="M1033" s="41">
        <f>L1033-K1033</f>
        <v/>
      </c>
      <c r="N1033" s="37">
        <f>COUNTIF('Billing Aug'!$D$2:$D$770,A1033)</f>
        <v/>
      </c>
      <c r="O1033" s="37">
        <f>SUMIFS('Billing Aug'!$F$2:$F$770,'Billing Aug'!$D$2:$D$770,A1033)</f>
        <v/>
      </c>
      <c r="P1033" s="41">
        <f>IF(N1033=0,0,L1033-SUMIFS('Billing Aug'!$H$2:$H$770,'Billing Aug'!$D$2:$D$770,A1033)*SUMIFS('Billing Aug'!$I$2:$I$770,'Billing Aug'!$D$2:$D$770,A1033))</f>
        <v/>
      </c>
      <c r="Q1033" s="37">
        <f>IF(N1033=0,"NO AUG TRANSACTION IN SUPPLIED EXTRACT",IF(ABS(P1033)&gt;0.004,"SUBLEDGER ARITHMETIC ERROR",IF(ABS(M1033)&gt;0.004,"BILLING VARIANCE","MATCH")))</f>
        <v/>
      </c>
    </row>
    <row r="1034">
      <c r="A1034" s="37" t="inlineStr">
        <is>
          <t>SB-0704</t>
        </is>
      </c>
      <c r="B1034" s="37" t="inlineStr">
        <is>
          <t>Salmonberry</t>
        </is>
      </c>
      <c r="C1034" s="37" t="inlineStr">
        <is>
          <t>OPEN</t>
        </is>
      </c>
      <c r="D1034" s="37" t="inlineStr">
        <is>
          <t>OCCUPIED</t>
        </is>
      </c>
      <c r="E1034" s="37" t="inlineStr">
        <is>
          <t>WL-02338</t>
        </is>
      </c>
      <c r="F1034" s="37" t="inlineStr">
        <is>
          <t>Deborah Estrada</t>
        </is>
      </c>
      <c r="G1034" s="37" t="n">
        <v>70</v>
      </c>
      <c r="H1034" s="39" t="n">
        <v>25.3</v>
      </c>
      <c r="I1034" s="40">
        <f>ROUNDUP(MAX(G1034,H1034),0)</f>
        <v/>
      </c>
      <c r="J1034" s="41">
        <f>IF(C1034="COVERED",'Methodology'!$B$9,'Methodology'!$B$10)</f>
        <v/>
      </c>
      <c r="K1034" s="41">
        <f>I1034*J1034</f>
        <v/>
      </c>
      <c r="L1034" s="41">
        <f>SUMIFS('Billing Aug'!$J$2:$J$770,'Billing Aug'!$D$2:$D$770,A1034)</f>
        <v/>
      </c>
      <c r="M1034" s="41">
        <f>L1034-K1034</f>
        <v/>
      </c>
      <c r="N1034" s="37">
        <f>COUNTIF('Billing Aug'!$D$2:$D$770,A1034)</f>
        <v/>
      </c>
      <c r="O1034" s="37">
        <f>SUMIFS('Billing Aug'!$F$2:$F$770,'Billing Aug'!$D$2:$D$770,A1034)</f>
        <v/>
      </c>
      <c r="P1034" s="41">
        <f>IF(N1034=0,0,L1034-SUMIFS('Billing Aug'!$H$2:$H$770,'Billing Aug'!$D$2:$D$770,A1034)*SUMIFS('Billing Aug'!$I$2:$I$770,'Billing Aug'!$D$2:$D$770,A1034))</f>
        <v/>
      </c>
      <c r="Q1034" s="37">
        <f>IF(N1034=0,"NO AUG TRANSACTION IN SUPPLIED EXTRACT",IF(ABS(P1034)&gt;0.004,"SUBLEDGER ARITHMETIC ERROR",IF(ABS(M1034)&gt;0.004,"BILLING VARIANCE","MATCH")))</f>
        <v/>
      </c>
    </row>
    <row r="1035">
      <c r="A1035" s="37" t="inlineStr">
        <is>
          <t>SB-0705</t>
        </is>
      </c>
      <c r="B1035" s="37" t="inlineStr">
        <is>
          <t>Salmonberry</t>
        </is>
      </c>
      <c r="C1035" s="37" t="inlineStr">
        <is>
          <t>OPEN</t>
        </is>
      </c>
      <c r="D1035" s="37" t="inlineStr">
        <is>
          <t>OCCUPIED</t>
        </is>
      </c>
      <c r="E1035" s="37" t="inlineStr">
        <is>
          <t>WL-01922</t>
        </is>
      </c>
      <c r="F1035" s="37" t="inlineStr">
        <is>
          <t>Jodi Holland</t>
        </is>
      </c>
      <c r="G1035" s="37" t="n">
        <v>28</v>
      </c>
      <c r="H1035" s="39" t="n">
        <v>48.9</v>
      </c>
      <c r="I1035" s="40">
        <f>ROUNDUP(MAX(G1035,H1035),0)</f>
        <v/>
      </c>
      <c r="J1035" s="41">
        <f>IF(C1035="COVERED",'Methodology'!$B$9,'Methodology'!$B$10)</f>
        <v/>
      </c>
      <c r="K1035" s="41">
        <f>I1035*J1035</f>
        <v/>
      </c>
      <c r="L1035" s="41">
        <f>SUMIFS('Billing Aug'!$J$2:$J$770,'Billing Aug'!$D$2:$D$770,A1035)</f>
        <v/>
      </c>
      <c r="M1035" s="41">
        <f>L1035-K1035</f>
        <v/>
      </c>
      <c r="N1035" s="37">
        <f>COUNTIF('Billing Aug'!$D$2:$D$770,A1035)</f>
        <v/>
      </c>
      <c r="O1035" s="37">
        <f>SUMIFS('Billing Aug'!$F$2:$F$770,'Billing Aug'!$D$2:$D$770,A1035)</f>
        <v/>
      </c>
      <c r="P1035" s="41">
        <f>IF(N1035=0,0,L1035-SUMIFS('Billing Aug'!$H$2:$H$770,'Billing Aug'!$D$2:$D$770,A1035)*SUMIFS('Billing Aug'!$I$2:$I$770,'Billing Aug'!$D$2:$D$770,A1035))</f>
        <v/>
      </c>
      <c r="Q1035" s="37">
        <f>IF(N1035=0,"NO AUG TRANSACTION IN SUPPLIED EXTRACT",IF(ABS(P1035)&gt;0.004,"SUBLEDGER ARITHMETIC ERROR",IF(ABS(M1035)&gt;0.004,"BILLING VARIANCE","MATCH")))</f>
        <v/>
      </c>
    </row>
    <row r="1036">
      <c r="A1036" s="37" t="inlineStr">
        <is>
          <t>SB-0706</t>
        </is>
      </c>
      <c r="B1036" s="37" t="inlineStr">
        <is>
          <t>Salmonberry</t>
        </is>
      </c>
      <c r="C1036" s="37" t="inlineStr">
        <is>
          <t>OPEN</t>
        </is>
      </c>
      <c r="D1036" s="37" t="inlineStr">
        <is>
          <t>OCCUPIED</t>
        </is>
      </c>
      <c r="E1036" s="37" t="inlineStr">
        <is>
          <t>WL-02346</t>
        </is>
      </c>
      <c r="F1036" s="37" t="inlineStr">
        <is>
          <t>Tammy Thomas</t>
        </is>
      </c>
      <c r="G1036" s="37" t="n">
        <v>28</v>
      </c>
      <c r="H1036" s="39" t="n">
        <v>44.5</v>
      </c>
      <c r="I1036" s="40">
        <f>ROUNDUP(MAX(G1036,H1036),0)</f>
        <v/>
      </c>
      <c r="J1036" s="41">
        <f>IF(C1036="COVERED",'Methodology'!$B$9,'Methodology'!$B$10)</f>
        <v/>
      </c>
      <c r="K1036" s="41">
        <f>I1036*J1036</f>
        <v/>
      </c>
      <c r="L1036" s="41">
        <f>SUMIFS('Billing Aug'!$J$2:$J$770,'Billing Aug'!$D$2:$D$770,A1036)</f>
        <v/>
      </c>
      <c r="M1036" s="41">
        <f>L1036-K1036</f>
        <v/>
      </c>
      <c r="N1036" s="37">
        <f>COUNTIF('Billing Aug'!$D$2:$D$770,A1036)</f>
        <v/>
      </c>
      <c r="O1036" s="37">
        <f>SUMIFS('Billing Aug'!$F$2:$F$770,'Billing Aug'!$D$2:$D$770,A1036)</f>
        <v/>
      </c>
      <c r="P1036" s="41">
        <f>IF(N1036=0,0,L1036-SUMIFS('Billing Aug'!$H$2:$H$770,'Billing Aug'!$D$2:$D$770,A1036)*SUMIFS('Billing Aug'!$I$2:$I$770,'Billing Aug'!$D$2:$D$770,A1036))</f>
        <v/>
      </c>
      <c r="Q1036" s="37">
        <f>IF(N1036=0,"NO AUG TRANSACTION IN SUPPLIED EXTRACT",IF(ABS(P1036)&gt;0.004,"SUBLEDGER ARITHMETIC ERROR",IF(ABS(M1036)&gt;0.004,"BILLING VARIANCE","MATCH")))</f>
        <v/>
      </c>
    </row>
    <row r="1037">
      <c r="A1037" s="37" t="inlineStr">
        <is>
          <t>SB-0707</t>
        </is>
      </c>
      <c r="B1037" s="37" t="inlineStr">
        <is>
          <t>Salmonberry</t>
        </is>
      </c>
      <c r="C1037" s="37" t="inlineStr">
        <is>
          <t>OPEN</t>
        </is>
      </c>
      <c r="D1037" s="37" t="inlineStr">
        <is>
          <t>OCCUPIED</t>
        </is>
      </c>
      <c r="E1037" s="37" t="inlineStr">
        <is>
          <t>WL-01946</t>
        </is>
      </c>
      <c r="F1037" s="37" t="inlineStr">
        <is>
          <t>David Sweeney</t>
        </is>
      </c>
      <c r="G1037" s="37" t="n">
        <v>45</v>
      </c>
      <c r="H1037" s="39" t="n">
        <v>38.7</v>
      </c>
      <c r="I1037" s="40">
        <f>ROUNDUP(MAX(G1037,H1037),0)</f>
        <v/>
      </c>
      <c r="J1037" s="41">
        <f>IF(C1037="COVERED",'Methodology'!$B$9,'Methodology'!$B$10)</f>
        <v/>
      </c>
      <c r="K1037" s="41">
        <f>I1037*J1037</f>
        <v/>
      </c>
      <c r="L1037" s="41">
        <f>SUMIFS('Billing Aug'!$J$2:$J$770,'Billing Aug'!$D$2:$D$770,A1037)</f>
        <v/>
      </c>
      <c r="M1037" s="41">
        <f>L1037-K1037</f>
        <v/>
      </c>
      <c r="N1037" s="37">
        <f>COUNTIF('Billing Aug'!$D$2:$D$770,A1037)</f>
        <v/>
      </c>
      <c r="O1037" s="37">
        <f>SUMIFS('Billing Aug'!$F$2:$F$770,'Billing Aug'!$D$2:$D$770,A1037)</f>
        <v/>
      </c>
      <c r="P1037" s="41">
        <f>IF(N1037=0,0,L1037-SUMIFS('Billing Aug'!$H$2:$H$770,'Billing Aug'!$D$2:$D$770,A1037)*SUMIFS('Billing Aug'!$I$2:$I$770,'Billing Aug'!$D$2:$D$770,A1037))</f>
        <v/>
      </c>
      <c r="Q1037" s="37">
        <f>IF(N1037=0,"NO AUG TRANSACTION IN SUPPLIED EXTRACT",IF(ABS(P1037)&gt;0.004,"SUBLEDGER ARITHMETIC ERROR",IF(ABS(M1037)&gt;0.004,"BILLING VARIANCE","MATCH")))</f>
        <v/>
      </c>
    </row>
    <row r="1038">
      <c r="A1038" s="37" t="inlineStr">
        <is>
          <t>SB-0708</t>
        </is>
      </c>
      <c r="B1038" s="37" t="inlineStr">
        <is>
          <t>Salmonberry</t>
        </is>
      </c>
      <c r="C1038" s="37" t="inlineStr">
        <is>
          <t>OPEN</t>
        </is>
      </c>
      <c r="D1038" s="37" t="inlineStr">
        <is>
          <t>OCCUPIED</t>
        </is>
      </c>
      <c r="E1038" s="37" t="inlineStr">
        <is>
          <t>WL-02065</t>
        </is>
      </c>
      <c r="F1038" s="37" t="inlineStr">
        <is>
          <t>Christopher Torres</t>
        </is>
      </c>
      <c r="G1038" s="37" t="n">
        <v>24</v>
      </c>
      <c r="H1038" s="39" t="n">
        <v>25.7</v>
      </c>
      <c r="I1038" s="40">
        <f>ROUNDUP(MAX(G1038,H1038),0)</f>
        <v/>
      </c>
      <c r="J1038" s="41">
        <f>IF(C1038="COVERED",'Methodology'!$B$9,'Methodology'!$B$10)</f>
        <v/>
      </c>
      <c r="K1038" s="41">
        <f>I1038*J1038</f>
        <v/>
      </c>
      <c r="L1038" s="41">
        <f>SUMIFS('Billing Aug'!$J$2:$J$770,'Billing Aug'!$D$2:$D$770,A1038)</f>
        <v/>
      </c>
      <c r="M1038" s="41">
        <f>L1038-K1038</f>
        <v/>
      </c>
      <c r="N1038" s="37">
        <f>COUNTIF('Billing Aug'!$D$2:$D$770,A1038)</f>
        <v/>
      </c>
      <c r="O1038" s="37">
        <f>SUMIFS('Billing Aug'!$F$2:$F$770,'Billing Aug'!$D$2:$D$770,A1038)</f>
        <v/>
      </c>
      <c r="P1038" s="41">
        <f>IF(N1038=0,0,L1038-SUMIFS('Billing Aug'!$H$2:$H$770,'Billing Aug'!$D$2:$D$770,A1038)*SUMIFS('Billing Aug'!$I$2:$I$770,'Billing Aug'!$D$2:$D$770,A1038))</f>
        <v/>
      </c>
      <c r="Q1038" s="37">
        <f>IF(N1038=0,"NO AUG TRANSACTION IN SUPPLIED EXTRACT",IF(ABS(P1038)&gt;0.004,"SUBLEDGER ARITHMETIC ERROR",IF(ABS(M1038)&gt;0.004,"BILLING VARIANCE","MATCH")))</f>
        <v/>
      </c>
    </row>
    <row r="1039">
      <c r="A1039" s="37" t="inlineStr">
        <is>
          <t>SB-0709</t>
        </is>
      </c>
      <c r="B1039" s="37" t="inlineStr">
        <is>
          <t>Salmonberry</t>
        </is>
      </c>
      <c r="C1039" s="37" t="inlineStr">
        <is>
          <t>OPEN</t>
        </is>
      </c>
      <c r="D1039" s="37" t="inlineStr">
        <is>
          <t>OCCUPIED</t>
        </is>
      </c>
      <c r="E1039" s="37" t="inlineStr">
        <is>
          <t>WL-03577</t>
        </is>
      </c>
      <c r="F1039" s="37" t="inlineStr">
        <is>
          <t>Charles Bell</t>
        </is>
      </c>
      <c r="G1039" s="37" t="n">
        <v>28</v>
      </c>
      <c r="H1039" s="39" t="n">
        <v>27.1</v>
      </c>
      <c r="I1039" s="40">
        <f>ROUNDUP(MAX(G1039,H1039),0)</f>
        <v/>
      </c>
      <c r="J1039" s="41">
        <f>IF(C1039="COVERED",'Methodology'!$B$9,'Methodology'!$B$10)</f>
        <v/>
      </c>
      <c r="K1039" s="41">
        <f>I1039*J1039</f>
        <v/>
      </c>
      <c r="L1039" s="41">
        <f>SUMIFS('Billing Aug'!$J$2:$J$770,'Billing Aug'!$D$2:$D$770,A1039)</f>
        <v/>
      </c>
      <c r="M1039" s="41">
        <f>L1039-K1039</f>
        <v/>
      </c>
      <c r="N1039" s="37">
        <f>COUNTIF('Billing Aug'!$D$2:$D$770,A1039)</f>
        <v/>
      </c>
      <c r="O1039" s="37">
        <f>SUMIFS('Billing Aug'!$F$2:$F$770,'Billing Aug'!$D$2:$D$770,A1039)</f>
        <v/>
      </c>
      <c r="P1039" s="41">
        <f>IF(N1039=0,0,L1039-SUMIFS('Billing Aug'!$H$2:$H$770,'Billing Aug'!$D$2:$D$770,A1039)*SUMIFS('Billing Aug'!$I$2:$I$770,'Billing Aug'!$D$2:$D$770,A1039))</f>
        <v/>
      </c>
      <c r="Q1039" s="37">
        <f>IF(N1039=0,"NO AUG TRANSACTION IN SUPPLIED EXTRACT",IF(ABS(P1039)&gt;0.004,"SUBLEDGER ARITHMETIC ERROR",IF(ABS(M1039)&gt;0.004,"BILLING VARIANCE","MATCH")))</f>
        <v/>
      </c>
    </row>
    <row r="1040">
      <c r="A1040" s="37" t="inlineStr">
        <is>
          <t>SB-0710</t>
        </is>
      </c>
      <c r="B1040" s="37" t="inlineStr">
        <is>
          <t>Salmonberry</t>
        </is>
      </c>
      <c r="C1040" s="37" t="inlineStr">
        <is>
          <t>OPEN</t>
        </is>
      </c>
      <c r="D1040" s="37" t="inlineStr">
        <is>
          <t>OCCUPIED</t>
        </is>
      </c>
      <c r="E1040" s="37" t="inlineStr">
        <is>
          <t>WL-01525</t>
        </is>
      </c>
      <c r="F1040" s="37" t="inlineStr">
        <is>
          <t>Holly Myers</t>
        </is>
      </c>
      <c r="G1040" s="37" t="n">
        <v>50</v>
      </c>
      <c r="H1040" s="39" t="n">
        <v>36.7</v>
      </c>
      <c r="I1040" s="40">
        <f>ROUNDUP(MAX(G1040,H1040),0)</f>
        <v/>
      </c>
      <c r="J1040" s="41">
        <f>IF(C1040="COVERED",'Methodology'!$B$9,'Methodology'!$B$10)</f>
        <v/>
      </c>
      <c r="K1040" s="41">
        <f>I1040*J1040</f>
        <v/>
      </c>
      <c r="L1040" s="41">
        <f>SUMIFS('Billing Aug'!$J$2:$J$770,'Billing Aug'!$D$2:$D$770,A1040)</f>
        <v/>
      </c>
      <c r="M1040" s="41">
        <f>L1040-K1040</f>
        <v/>
      </c>
      <c r="N1040" s="37">
        <f>COUNTIF('Billing Aug'!$D$2:$D$770,A1040)</f>
        <v/>
      </c>
      <c r="O1040" s="37">
        <f>SUMIFS('Billing Aug'!$F$2:$F$770,'Billing Aug'!$D$2:$D$770,A1040)</f>
        <v/>
      </c>
      <c r="P1040" s="41">
        <f>IF(N1040=0,0,L1040-SUMIFS('Billing Aug'!$H$2:$H$770,'Billing Aug'!$D$2:$D$770,A1040)*SUMIFS('Billing Aug'!$I$2:$I$770,'Billing Aug'!$D$2:$D$770,A1040))</f>
        <v/>
      </c>
      <c r="Q1040" s="37">
        <f>IF(N1040=0,"NO AUG TRANSACTION IN SUPPLIED EXTRACT",IF(ABS(P1040)&gt;0.004,"SUBLEDGER ARITHMETIC ERROR",IF(ABS(M1040)&gt;0.004,"BILLING VARIANCE","MATCH")))</f>
        <v/>
      </c>
    </row>
    <row r="1041">
      <c r="A1041" s="37" t="inlineStr">
        <is>
          <t>SB-0711</t>
        </is>
      </c>
      <c r="B1041" s="37" t="inlineStr">
        <is>
          <t>Salmonberry</t>
        </is>
      </c>
      <c r="C1041" s="37" t="inlineStr">
        <is>
          <t>OPEN</t>
        </is>
      </c>
      <c r="D1041" s="37" t="inlineStr">
        <is>
          <t>OCCUPIED</t>
        </is>
      </c>
      <c r="E1041" s="37" t="inlineStr">
        <is>
          <t>WL-03861</t>
        </is>
      </c>
      <c r="F1041" s="37" t="inlineStr">
        <is>
          <t>Joseph Koch</t>
        </is>
      </c>
      <c r="G1041" s="37" t="n">
        <v>24</v>
      </c>
      <c r="H1041" s="39" t="n">
        <v>49.2</v>
      </c>
      <c r="I1041" s="40">
        <f>ROUNDUP(MAX(G1041,H1041),0)</f>
        <v/>
      </c>
      <c r="J1041" s="41">
        <f>IF(C1041="COVERED",'Methodology'!$B$9,'Methodology'!$B$10)</f>
        <v/>
      </c>
      <c r="K1041" s="41">
        <f>I1041*J1041</f>
        <v/>
      </c>
      <c r="L1041" s="41">
        <f>SUMIFS('Billing Aug'!$J$2:$J$770,'Billing Aug'!$D$2:$D$770,A1041)</f>
        <v/>
      </c>
      <c r="M1041" s="41">
        <f>L1041-K1041</f>
        <v/>
      </c>
      <c r="N1041" s="37">
        <f>COUNTIF('Billing Aug'!$D$2:$D$770,A1041)</f>
        <v/>
      </c>
      <c r="O1041" s="37">
        <f>SUMIFS('Billing Aug'!$F$2:$F$770,'Billing Aug'!$D$2:$D$770,A1041)</f>
        <v/>
      </c>
      <c r="P1041" s="41">
        <f>IF(N1041=0,0,L1041-SUMIFS('Billing Aug'!$H$2:$H$770,'Billing Aug'!$D$2:$D$770,A1041)*SUMIFS('Billing Aug'!$I$2:$I$770,'Billing Aug'!$D$2:$D$770,A1041))</f>
        <v/>
      </c>
      <c r="Q1041" s="37">
        <f>IF(N1041=0,"NO AUG TRANSACTION IN SUPPLIED EXTRACT",IF(ABS(P1041)&gt;0.004,"SUBLEDGER ARITHMETIC ERROR",IF(ABS(M1041)&gt;0.004,"BILLING VARIANCE","MATCH")))</f>
        <v/>
      </c>
    </row>
    <row r="1042">
      <c r="A1042" s="37" t="inlineStr">
        <is>
          <t>SB-0712</t>
        </is>
      </c>
      <c r="B1042" s="37" t="inlineStr">
        <is>
          <t>Salmonberry</t>
        </is>
      </c>
      <c r="C1042" s="37" t="inlineStr">
        <is>
          <t>OPEN</t>
        </is>
      </c>
      <c r="D1042" s="37" t="inlineStr">
        <is>
          <t>OCCUPIED</t>
        </is>
      </c>
      <c r="E1042" s="37" t="inlineStr">
        <is>
          <t>WL-03248</t>
        </is>
      </c>
      <c r="F1042" s="37" t="inlineStr">
        <is>
          <t>Theresa Grant</t>
        </is>
      </c>
      <c r="G1042" s="37" t="n">
        <v>70</v>
      </c>
      <c r="H1042" s="39" t="n">
        <v>20.5</v>
      </c>
      <c r="I1042" s="40">
        <f>ROUNDUP(MAX(G1042,H1042),0)</f>
        <v/>
      </c>
      <c r="J1042" s="41">
        <f>IF(C1042="COVERED",'Methodology'!$B$9,'Methodology'!$B$10)</f>
        <v/>
      </c>
      <c r="K1042" s="41">
        <f>I1042*J1042</f>
        <v/>
      </c>
      <c r="L1042" s="41">
        <f>SUMIFS('Billing Aug'!$J$2:$J$770,'Billing Aug'!$D$2:$D$770,A1042)</f>
        <v/>
      </c>
      <c r="M1042" s="41">
        <f>L1042-K1042</f>
        <v/>
      </c>
      <c r="N1042" s="37">
        <f>COUNTIF('Billing Aug'!$D$2:$D$770,A1042)</f>
        <v/>
      </c>
      <c r="O1042" s="37">
        <f>SUMIFS('Billing Aug'!$F$2:$F$770,'Billing Aug'!$D$2:$D$770,A1042)</f>
        <v/>
      </c>
      <c r="P1042" s="41">
        <f>IF(N1042=0,0,L1042-SUMIFS('Billing Aug'!$H$2:$H$770,'Billing Aug'!$D$2:$D$770,A1042)*SUMIFS('Billing Aug'!$I$2:$I$770,'Billing Aug'!$D$2:$D$770,A1042))</f>
        <v/>
      </c>
      <c r="Q1042" s="37">
        <f>IF(N1042=0,"NO AUG TRANSACTION IN SUPPLIED EXTRACT",IF(ABS(P1042)&gt;0.004,"SUBLEDGER ARITHMETIC ERROR",IF(ABS(M1042)&gt;0.004,"BILLING VARIANCE","MATCH")))</f>
        <v/>
      </c>
    </row>
    <row r="1043">
      <c r="A1043" s="37" t="inlineStr">
        <is>
          <t>SB-0713</t>
        </is>
      </c>
      <c r="B1043" s="37" t="inlineStr">
        <is>
          <t>Salmonberry</t>
        </is>
      </c>
      <c r="C1043" s="37" t="inlineStr">
        <is>
          <t>OPEN</t>
        </is>
      </c>
      <c r="D1043" s="37" t="inlineStr">
        <is>
          <t>OCCUPIED</t>
        </is>
      </c>
      <c r="E1043" s="37" t="inlineStr">
        <is>
          <t>WL-03510</t>
        </is>
      </c>
      <c r="F1043" s="37" t="inlineStr">
        <is>
          <t>Kimberly Pearson</t>
        </is>
      </c>
      <c r="G1043" s="37" t="n">
        <v>60</v>
      </c>
      <c r="H1043" s="39" t="n">
        <v>42</v>
      </c>
      <c r="I1043" s="40">
        <f>ROUNDUP(MAX(G1043,H1043),0)</f>
        <v/>
      </c>
      <c r="J1043" s="41">
        <f>IF(C1043="COVERED",'Methodology'!$B$9,'Methodology'!$B$10)</f>
        <v/>
      </c>
      <c r="K1043" s="41">
        <f>I1043*J1043</f>
        <v/>
      </c>
      <c r="L1043" s="41">
        <f>SUMIFS('Billing Aug'!$J$2:$J$770,'Billing Aug'!$D$2:$D$770,A1043)</f>
        <v/>
      </c>
      <c r="M1043" s="41">
        <f>L1043-K1043</f>
        <v/>
      </c>
      <c r="N1043" s="37">
        <f>COUNTIF('Billing Aug'!$D$2:$D$770,A1043)</f>
        <v/>
      </c>
      <c r="O1043" s="37">
        <f>SUMIFS('Billing Aug'!$F$2:$F$770,'Billing Aug'!$D$2:$D$770,A1043)</f>
        <v/>
      </c>
      <c r="P1043" s="41">
        <f>IF(N1043=0,0,L1043-SUMIFS('Billing Aug'!$H$2:$H$770,'Billing Aug'!$D$2:$D$770,A1043)*SUMIFS('Billing Aug'!$I$2:$I$770,'Billing Aug'!$D$2:$D$770,A1043))</f>
        <v/>
      </c>
      <c r="Q1043" s="37">
        <f>IF(N1043=0,"NO AUG TRANSACTION IN SUPPLIED EXTRACT",IF(ABS(P1043)&gt;0.004,"SUBLEDGER ARITHMETIC ERROR",IF(ABS(M1043)&gt;0.004,"BILLING VARIANCE","MATCH")))</f>
        <v/>
      </c>
    </row>
    <row r="1044">
      <c r="A1044" s="37" t="inlineStr">
        <is>
          <t>SB-0714</t>
        </is>
      </c>
      <c r="B1044" s="37" t="inlineStr">
        <is>
          <t>Salmonberry</t>
        </is>
      </c>
      <c r="C1044" s="37" t="inlineStr">
        <is>
          <t>OPEN</t>
        </is>
      </c>
      <c r="D1044" s="37" t="inlineStr">
        <is>
          <t>OCCUPIED</t>
        </is>
      </c>
      <c r="E1044" s="37" t="inlineStr">
        <is>
          <t>WL-03165</t>
        </is>
      </c>
      <c r="F1044" s="37" t="inlineStr">
        <is>
          <t>Brendan Durham</t>
        </is>
      </c>
      <c r="G1044" s="37" t="n">
        <v>70</v>
      </c>
      <c r="H1044" s="39" t="n">
        <v>24.4</v>
      </c>
      <c r="I1044" s="40">
        <f>ROUNDUP(MAX(G1044,H1044),0)</f>
        <v/>
      </c>
      <c r="J1044" s="41">
        <f>IF(C1044="COVERED",'Methodology'!$B$9,'Methodology'!$B$10)</f>
        <v/>
      </c>
      <c r="K1044" s="41">
        <f>I1044*J1044</f>
        <v/>
      </c>
      <c r="L1044" s="41">
        <f>SUMIFS('Billing Aug'!$J$2:$J$770,'Billing Aug'!$D$2:$D$770,A1044)</f>
        <v/>
      </c>
      <c r="M1044" s="41">
        <f>L1044-K1044</f>
        <v/>
      </c>
      <c r="N1044" s="37">
        <f>COUNTIF('Billing Aug'!$D$2:$D$770,A1044)</f>
        <v/>
      </c>
      <c r="O1044" s="37">
        <f>SUMIFS('Billing Aug'!$F$2:$F$770,'Billing Aug'!$D$2:$D$770,A1044)</f>
        <v/>
      </c>
      <c r="P1044" s="41">
        <f>IF(N1044=0,0,L1044-SUMIFS('Billing Aug'!$H$2:$H$770,'Billing Aug'!$D$2:$D$770,A1044)*SUMIFS('Billing Aug'!$I$2:$I$770,'Billing Aug'!$D$2:$D$770,A1044))</f>
        <v/>
      </c>
      <c r="Q1044" s="37">
        <f>IF(N1044=0,"NO AUG TRANSACTION IN SUPPLIED EXTRACT",IF(ABS(P1044)&gt;0.004,"SUBLEDGER ARITHMETIC ERROR",IF(ABS(M1044)&gt;0.004,"BILLING VARIANCE","MATCH")))</f>
        <v/>
      </c>
    </row>
    <row r="1045">
      <c r="A1045" s="37" t="inlineStr">
        <is>
          <t>SB-0715</t>
        </is>
      </c>
      <c r="B1045" s="37" t="inlineStr">
        <is>
          <t>Salmonberry</t>
        </is>
      </c>
      <c r="C1045" s="37" t="inlineStr">
        <is>
          <t>OPEN</t>
        </is>
      </c>
      <c r="D1045" s="37" t="inlineStr">
        <is>
          <t>OCCUPIED</t>
        </is>
      </c>
      <c r="E1045" s="37" t="inlineStr">
        <is>
          <t>WL-03330</t>
        </is>
      </c>
      <c r="F1045" s="37" t="inlineStr">
        <is>
          <t>Lori Bauer</t>
        </is>
      </c>
      <c r="G1045" s="37" t="n">
        <v>28</v>
      </c>
      <c r="H1045" s="39" t="n">
        <v>56.7</v>
      </c>
      <c r="I1045" s="40">
        <f>ROUNDUP(MAX(G1045,H1045),0)</f>
        <v/>
      </c>
      <c r="J1045" s="41">
        <f>IF(C1045="COVERED",'Methodology'!$B$9,'Methodology'!$B$10)</f>
        <v/>
      </c>
      <c r="K1045" s="41">
        <f>I1045*J1045</f>
        <v/>
      </c>
      <c r="L1045" s="41">
        <f>SUMIFS('Billing Aug'!$J$2:$J$770,'Billing Aug'!$D$2:$D$770,A1045)</f>
        <v/>
      </c>
      <c r="M1045" s="41">
        <f>L1045-K1045</f>
        <v/>
      </c>
      <c r="N1045" s="37">
        <f>COUNTIF('Billing Aug'!$D$2:$D$770,A1045)</f>
        <v/>
      </c>
      <c r="O1045" s="37">
        <f>SUMIFS('Billing Aug'!$F$2:$F$770,'Billing Aug'!$D$2:$D$770,A1045)</f>
        <v/>
      </c>
      <c r="P1045" s="41">
        <f>IF(N1045=0,0,L1045-SUMIFS('Billing Aug'!$H$2:$H$770,'Billing Aug'!$D$2:$D$770,A1045)*SUMIFS('Billing Aug'!$I$2:$I$770,'Billing Aug'!$D$2:$D$770,A1045))</f>
        <v/>
      </c>
      <c r="Q1045" s="37">
        <f>IF(N1045=0,"NO AUG TRANSACTION IN SUPPLIED EXTRACT",IF(ABS(P1045)&gt;0.004,"SUBLEDGER ARITHMETIC ERROR",IF(ABS(M1045)&gt;0.004,"BILLING VARIANCE","MATCH")))</f>
        <v/>
      </c>
    </row>
    <row r="1046">
      <c r="A1046" s="37" t="inlineStr">
        <is>
          <t>SB-0716</t>
        </is>
      </c>
      <c r="B1046" s="37" t="inlineStr">
        <is>
          <t>Salmonberry</t>
        </is>
      </c>
      <c r="C1046" s="37" t="inlineStr">
        <is>
          <t>OPEN</t>
        </is>
      </c>
      <c r="D1046" s="37" t="inlineStr">
        <is>
          <t>OCCUPIED</t>
        </is>
      </c>
      <c r="E1046" s="37" t="inlineStr">
        <is>
          <t>WL-02899</t>
        </is>
      </c>
      <c r="F1046" s="37" t="inlineStr">
        <is>
          <t>Tricia Dixon</t>
        </is>
      </c>
      <c r="G1046" s="37" t="n">
        <v>24</v>
      </c>
      <c r="H1046" s="39" t="n">
        <v>61.6</v>
      </c>
      <c r="I1046" s="40">
        <f>ROUNDUP(MAX(G1046,H1046),0)</f>
        <v/>
      </c>
      <c r="J1046" s="41">
        <f>IF(C1046="COVERED",'Methodology'!$B$9,'Methodology'!$B$10)</f>
        <v/>
      </c>
      <c r="K1046" s="41">
        <f>I1046*J1046</f>
        <v/>
      </c>
      <c r="L1046" s="41">
        <f>SUMIFS('Billing Aug'!$J$2:$J$770,'Billing Aug'!$D$2:$D$770,A1046)</f>
        <v/>
      </c>
      <c r="M1046" s="41">
        <f>L1046-K1046</f>
        <v/>
      </c>
      <c r="N1046" s="37">
        <f>COUNTIF('Billing Aug'!$D$2:$D$770,A1046)</f>
        <v/>
      </c>
      <c r="O1046" s="37">
        <f>SUMIFS('Billing Aug'!$F$2:$F$770,'Billing Aug'!$D$2:$D$770,A1046)</f>
        <v/>
      </c>
      <c r="P1046" s="41">
        <f>IF(N1046=0,0,L1046-SUMIFS('Billing Aug'!$H$2:$H$770,'Billing Aug'!$D$2:$D$770,A1046)*SUMIFS('Billing Aug'!$I$2:$I$770,'Billing Aug'!$D$2:$D$770,A1046))</f>
        <v/>
      </c>
      <c r="Q1046" s="37">
        <f>IF(N1046=0,"NO AUG TRANSACTION IN SUPPLIED EXTRACT",IF(ABS(P1046)&gt;0.004,"SUBLEDGER ARITHMETIC ERROR",IF(ABS(M1046)&gt;0.004,"BILLING VARIANCE","MATCH")))</f>
        <v/>
      </c>
    </row>
    <row r="1047">
      <c r="A1047" s="37" t="inlineStr">
        <is>
          <t>SB-0717</t>
        </is>
      </c>
      <c r="B1047" s="37" t="inlineStr">
        <is>
          <t>Salmonberry</t>
        </is>
      </c>
      <c r="C1047" s="37" t="inlineStr">
        <is>
          <t>OPEN</t>
        </is>
      </c>
      <c r="D1047" s="37" t="inlineStr">
        <is>
          <t>OCCUPIED</t>
        </is>
      </c>
      <c r="E1047" s="37" t="inlineStr">
        <is>
          <t>WL-03661</t>
        </is>
      </c>
      <c r="F1047" s="37" t="inlineStr">
        <is>
          <t>Kenneth Williams</t>
        </is>
      </c>
      <c r="G1047" s="37" t="n">
        <v>60</v>
      </c>
      <c r="H1047" s="39" t="n">
        <v>54.8</v>
      </c>
      <c r="I1047" s="40">
        <f>ROUNDUP(MAX(G1047,H1047),0)</f>
        <v/>
      </c>
      <c r="J1047" s="41">
        <f>IF(C1047="COVERED",'Methodology'!$B$9,'Methodology'!$B$10)</f>
        <v/>
      </c>
      <c r="K1047" s="41">
        <f>I1047*J1047</f>
        <v/>
      </c>
      <c r="L1047" s="41">
        <f>SUMIFS('Billing Aug'!$J$2:$J$770,'Billing Aug'!$D$2:$D$770,A1047)</f>
        <v/>
      </c>
      <c r="M1047" s="41">
        <f>L1047-K1047</f>
        <v/>
      </c>
      <c r="N1047" s="37">
        <f>COUNTIF('Billing Aug'!$D$2:$D$770,A1047)</f>
        <v/>
      </c>
      <c r="O1047" s="37">
        <f>SUMIFS('Billing Aug'!$F$2:$F$770,'Billing Aug'!$D$2:$D$770,A1047)</f>
        <v/>
      </c>
      <c r="P1047" s="41">
        <f>IF(N1047=0,0,L1047-SUMIFS('Billing Aug'!$H$2:$H$770,'Billing Aug'!$D$2:$D$770,A1047)*SUMIFS('Billing Aug'!$I$2:$I$770,'Billing Aug'!$D$2:$D$770,A1047))</f>
        <v/>
      </c>
      <c r="Q1047" s="37">
        <f>IF(N1047=0,"NO AUG TRANSACTION IN SUPPLIED EXTRACT",IF(ABS(P1047)&gt;0.004,"SUBLEDGER ARITHMETIC ERROR",IF(ABS(M1047)&gt;0.004,"BILLING VARIANCE","MATCH")))</f>
        <v/>
      </c>
    </row>
    <row r="1048">
      <c r="A1048" s="37" t="inlineStr">
        <is>
          <t>SB-0718</t>
        </is>
      </c>
      <c r="B1048" s="37" t="inlineStr">
        <is>
          <t>Salmonberry</t>
        </is>
      </c>
      <c r="C1048" s="37" t="inlineStr">
        <is>
          <t>OPEN</t>
        </is>
      </c>
      <c r="D1048" s="37" t="inlineStr">
        <is>
          <t>OCCUPIED</t>
        </is>
      </c>
      <c r="E1048" s="37" t="inlineStr">
        <is>
          <t>WL-01111</t>
        </is>
      </c>
      <c r="F1048" s="37" t="inlineStr">
        <is>
          <t>Monique Carey</t>
        </is>
      </c>
      <c r="G1048" s="37" t="n">
        <v>80</v>
      </c>
      <c r="H1048" s="39" t="n">
        <v>20.2</v>
      </c>
      <c r="I1048" s="40">
        <f>ROUNDUP(MAX(G1048,H1048),0)</f>
        <v/>
      </c>
      <c r="J1048" s="41">
        <f>IF(C1048="COVERED",'Methodology'!$B$9,'Methodology'!$B$10)</f>
        <v/>
      </c>
      <c r="K1048" s="41">
        <f>I1048*J1048</f>
        <v/>
      </c>
      <c r="L1048" s="41">
        <f>SUMIFS('Billing Aug'!$J$2:$J$770,'Billing Aug'!$D$2:$D$770,A1048)</f>
        <v/>
      </c>
      <c r="M1048" s="41">
        <f>L1048-K1048</f>
        <v/>
      </c>
      <c r="N1048" s="37">
        <f>COUNTIF('Billing Aug'!$D$2:$D$770,A1048)</f>
        <v/>
      </c>
      <c r="O1048" s="37">
        <f>SUMIFS('Billing Aug'!$F$2:$F$770,'Billing Aug'!$D$2:$D$770,A1048)</f>
        <v/>
      </c>
      <c r="P1048" s="41">
        <f>IF(N1048=0,0,L1048-SUMIFS('Billing Aug'!$H$2:$H$770,'Billing Aug'!$D$2:$D$770,A1048)*SUMIFS('Billing Aug'!$I$2:$I$770,'Billing Aug'!$D$2:$D$770,A1048))</f>
        <v/>
      </c>
      <c r="Q1048" s="37">
        <f>IF(N1048=0,"NO AUG TRANSACTION IN SUPPLIED EXTRACT",IF(ABS(P1048)&gt;0.004,"SUBLEDGER ARITHMETIC ERROR",IF(ABS(M1048)&gt;0.004,"BILLING VARIANCE","MATCH")))</f>
        <v/>
      </c>
    </row>
    <row r="1049">
      <c r="A1049" s="37" t="inlineStr">
        <is>
          <t>SB-0719</t>
        </is>
      </c>
      <c r="B1049" s="37" t="inlineStr">
        <is>
          <t>Salmonberry</t>
        </is>
      </c>
      <c r="C1049" s="37" t="inlineStr">
        <is>
          <t>OPEN</t>
        </is>
      </c>
      <c r="D1049" s="37" t="inlineStr">
        <is>
          <t>OCCUPIED</t>
        </is>
      </c>
      <c r="E1049" s="37" t="inlineStr">
        <is>
          <t>WL-03199</t>
        </is>
      </c>
      <c r="F1049" s="37" t="inlineStr">
        <is>
          <t>Miguel Tucker</t>
        </is>
      </c>
      <c r="G1049" s="37" t="n">
        <v>28</v>
      </c>
      <c r="H1049" s="39" t="n">
        <v>59</v>
      </c>
      <c r="I1049" s="40">
        <f>ROUNDUP(MAX(G1049,H1049),0)</f>
        <v/>
      </c>
      <c r="J1049" s="41">
        <f>IF(C1049="COVERED",'Methodology'!$B$9,'Methodology'!$B$10)</f>
        <v/>
      </c>
      <c r="K1049" s="41">
        <f>I1049*J1049</f>
        <v/>
      </c>
      <c r="L1049" s="41">
        <f>SUMIFS('Billing Aug'!$J$2:$J$770,'Billing Aug'!$D$2:$D$770,A1049)</f>
        <v/>
      </c>
      <c r="M1049" s="41">
        <f>L1049-K1049</f>
        <v/>
      </c>
      <c r="N1049" s="37">
        <f>COUNTIF('Billing Aug'!$D$2:$D$770,A1049)</f>
        <v/>
      </c>
      <c r="O1049" s="37">
        <f>SUMIFS('Billing Aug'!$F$2:$F$770,'Billing Aug'!$D$2:$D$770,A1049)</f>
        <v/>
      </c>
      <c r="P1049" s="41">
        <f>IF(N1049=0,0,L1049-SUMIFS('Billing Aug'!$H$2:$H$770,'Billing Aug'!$D$2:$D$770,A1049)*SUMIFS('Billing Aug'!$I$2:$I$770,'Billing Aug'!$D$2:$D$770,A1049))</f>
        <v/>
      </c>
      <c r="Q1049" s="37">
        <f>IF(N1049=0,"NO AUG TRANSACTION IN SUPPLIED EXTRACT",IF(ABS(P1049)&gt;0.004,"SUBLEDGER ARITHMETIC ERROR",IF(ABS(M1049)&gt;0.004,"BILLING VARIANCE","MATCH")))</f>
        <v/>
      </c>
    </row>
    <row r="1050">
      <c r="A1050" s="37" t="inlineStr">
        <is>
          <t>SB-0720</t>
        </is>
      </c>
      <c r="B1050" s="37" t="inlineStr">
        <is>
          <t>Salmonberry</t>
        </is>
      </c>
      <c r="C1050" s="37" t="inlineStr">
        <is>
          <t>OPEN</t>
        </is>
      </c>
      <c r="D1050" s="37" t="inlineStr">
        <is>
          <t>OCCUPIED</t>
        </is>
      </c>
      <c r="E1050" s="37" t="inlineStr">
        <is>
          <t>WL-02654</t>
        </is>
      </c>
      <c r="F1050" s="37" t="inlineStr">
        <is>
          <t>Christopher Evans</t>
        </is>
      </c>
      <c r="G1050" s="37" t="n">
        <v>28</v>
      </c>
      <c r="H1050" s="39" t="n">
        <v>31.5</v>
      </c>
      <c r="I1050" s="40">
        <f>ROUNDUP(MAX(G1050,H1050),0)</f>
        <v/>
      </c>
      <c r="J1050" s="41">
        <f>IF(C1050="COVERED",'Methodology'!$B$9,'Methodology'!$B$10)</f>
        <v/>
      </c>
      <c r="K1050" s="41">
        <f>I1050*J1050</f>
        <v/>
      </c>
      <c r="L1050" s="41">
        <f>SUMIFS('Billing Aug'!$J$2:$J$770,'Billing Aug'!$D$2:$D$770,A1050)</f>
        <v/>
      </c>
      <c r="M1050" s="41">
        <f>L1050-K1050</f>
        <v/>
      </c>
      <c r="N1050" s="37">
        <f>COUNTIF('Billing Aug'!$D$2:$D$770,A1050)</f>
        <v/>
      </c>
      <c r="O1050" s="37">
        <f>SUMIFS('Billing Aug'!$F$2:$F$770,'Billing Aug'!$D$2:$D$770,A1050)</f>
        <v/>
      </c>
      <c r="P1050" s="41">
        <f>IF(N1050=0,0,L1050-SUMIFS('Billing Aug'!$H$2:$H$770,'Billing Aug'!$D$2:$D$770,A1050)*SUMIFS('Billing Aug'!$I$2:$I$770,'Billing Aug'!$D$2:$D$770,A1050))</f>
        <v/>
      </c>
      <c r="Q1050" s="37">
        <f>IF(N1050=0,"NO AUG TRANSACTION IN SUPPLIED EXTRACT",IF(ABS(P1050)&gt;0.004,"SUBLEDGER ARITHMETIC ERROR",IF(ABS(M1050)&gt;0.004,"BILLING VARIANCE","MATCH")))</f>
        <v/>
      </c>
    </row>
    <row r="1051">
      <c r="A1051" s="37" t="inlineStr">
        <is>
          <t>SB-0721</t>
        </is>
      </c>
      <c r="B1051" s="37" t="inlineStr">
        <is>
          <t>Salmonberry</t>
        </is>
      </c>
      <c r="C1051" s="37" t="inlineStr">
        <is>
          <t>OPEN</t>
        </is>
      </c>
      <c r="D1051" s="37" t="inlineStr">
        <is>
          <t>OCCUPIED</t>
        </is>
      </c>
      <c r="E1051" s="37" t="inlineStr">
        <is>
          <t>WL-02272</t>
        </is>
      </c>
      <c r="F1051" s="37" t="inlineStr">
        <is>
          <t>Scott Mendoza</t>
        </is>
      </c>
      <c r="G1051" s="37" t="n">
        <v>28</v>
      </c>
      <c r="H1051" s="39" t="n">
        <v>29.7</v>
      </c>
      <c r="I1051" s="40">
        <f>ROUNDUP(MAX(G1051,H1051),0)</f>
        <v/>
      </c>
      <c r="J1051" s="41">
        <f>IF(C1051="COVERED",'Methodology'!$B$9,'Methodology'!$B$10)</f>
        <v/>
      </c>
      <c r="K1051" s="41">
        <f>I1051*J1051</f>
        <v/>
      </c>
      <c r="L1051" s="41">
        <f>SUMIFS('Billing Aug'!$J$2:$J$770,'Billing Aug'!$D$2:$D$770,A1051)</f>
        <v/>
      </c>
      <c r="M1051" s="41">
        <f>L1051-K1051</f>
        <v/>
      </c>
      <c r="N1051" s="37">
        <f>COUNTIF('Billing Aug'!$D$2:$D$770,A1051)</f>
        <v/>
      </c>
      <c r="O1051" s="37">
        <f>SUMIFS('Billing Aug'!$F$2:$F$770,'Billing Aug'!$D$2:$D$770,A1051)</f>
        <v/>
      </c>
      <c r="P1051" s="41">
        <f>IF(N1051=0,0,L1051-SUMIFS('Billing Aug'!$H$2:$H$770,'Billing Aug'!$D$2:$D$770,A1051)*SUMIFS('Billing Aug'!$I$2:$I$770,'Billing Aug'!$D$2:$D$770,A1051))</f>
        <v/>
      </c>
      <c r="Q1051" s="37">
        <f>IF(N1051=0,"NO AUG TRANSACTION IN SUPPLIED EXTRACT",IF(ABS(P1051)&gt;0.004,"SUBLEDGER ARITHMETIC ERROR",IF(ABS(M1051)&gt;0.004,"BILLING VARIANCE","MATCH")))</f>
        <v/>
      </c>
    </row>
    <row r="1052">
      <c r="A1052" s="37" t="inlineStr">
        <is>
          <t>SB-0722</t>
        </is>
      </c>
      <c r="B1052" s="37" t="inlineStr">
        <is>
          <t>Salmonberry</t>
        </is>
      </c>
      <c r="C1052" s="37" t="inlineStr">
        <is>
          <t>OPEN</t>
        </is>
      </c>
      <c r="D1052" s="37" t="inlineStr">
        <is>
          <t>OCCUPIED</t>
        </is>
      </c>
      <c r="E1052" s="37" t="inlineStr">
        <is>
          <t>WL-03331</t>
        </is>
      </c>
      <c r="F1052" s="37" t="inlineStr">
        <is>
          <t>Samuel Lane</t>
        </is>
      </c>
      <c r="G1052" s="37" t="n">
        <v>24</v>
      </c>
      <c r="H1052" s="39" t="n">
        <v>54</v>
      </c>
      <c r="I1052" s="40">
        <f>ROUNDUP(MAX(G1052,H1052),0)</f>
        <v/>
      </c>
      <c r="J1052" s="41">
        <f>IF(C1052="COVERED",'Methodology'!$B$9,'Methodology'!$B$10)</f>
        <v/>
      </c>
      <c r="K1052" s="41">
        <f>I1052*J1052</f>
        <v/>
      </c>
      <c r="L1052" s="41">
        <f>SUMIFS('Billing Aug'!$J$2:$J$770,'Billing Aug'!$D$2:$D$770,A1052)</f>
        <v/>
      </c>
      <c r="M1052" s="41">
        <f>L1052-K1052</f>
        <v/>
      </c>
      <c r="N1052" s="37">
        <f>COUNTIF('Billing Aug'!$D$2:$D$770,A1052)</f>
        <v/>
      </c>
      <c r="O1052" s="37">
        <f>SUMIFS('Billing Aug'!$F$2:$F$770,'Billing Aug'!$D$2:$D$770,A1052)</f>
        <v/>
      </c>
      <c r="P1052" s="41">
        <f>IF(N1052=0,0,L1052-SUMIFS('Billing Aug'!$H$2:$H$770,'Billing Aug'!$D$2:$D$770,A1052)*SUMIFS('Billing Aug'!$I$2:$I$770,'Billing Aug'!$D$2:$D$770,A1052))</f>
        <v/>
      </c>
      <c r="Q1052" s="37">
        <f>IF(N1052=0,"NO AUG TRANSACTION IN SUPPLIED EXTRACT",IF(ABS(P1052)&gt;0.004,"SUBLEDGER ARITHMETIC ERROR",IF(ABS(M1052)&gt;0.004,"BILLING VARIANCE","MATCH")))</f>
        <v/>
      </c>
    </row>
    <row r="1053">
      <c r="A1053" s="37" t="inlineStr">
        <is>
          <t>SB-0723</t>
        </is>
      </c>
      <c r="B1053" s="37" t="inlineStr">
        <is>
          <t>Salmonberry</t>
        </is>
      </c>
      <c r="C1053" s="37" t="inlineStr">
        <is>
          <t>OPEN</t>
        </is>
      </c>
      <c r="D1053" s="37" t="inlineStr">
        <is>
          <t>OCCUPIED</t>
        </is>
      </c>
      <c r="E1053" s="37" t="inlineStr">
        <is>
          <t>WL-02427</t>
        </is>
      </c>
      <c r="F1053" s="37" t="inlineStr">
        <is>
          <t>Joseph Crosby</t>
        </is>
      </c>
      <c r="G1053" s="37" t="n">
        <v>24</v>
      </c>
      <c r="H1053" s="39" t="n">
        <v>40.1</v>
      </c>
      <c r="I1053" s="40">
        <f>ROUNDUP(MAX(G1053,H1053),0)</f>
        <v/>
      </c>
      <c r="J1053" s="41">
        <f>IF(C1053="COVERED",'Methodology'!$B$9,'Methodology'!$B$10)</f>
        <v/>
      </c>
      <c r="K1053" s="41">
        <f>I1053*J1053</f>
        <v/>
      </c>
      <c r="L1053" s="41">
        <f>SUMIFS('Billing Aug'!$J$2:$J$770,'Billing Aug'!$D$2:$D$770,A1053)</f>
        <v/>
      </c>
      <c r="M1053" s="41">
        <f>L1053-K1053</f>
        <v/>
      </c>
      <c r="N1053" s="37">
        <f>COUNTIF('Billing Aug'!$D$2:$D$770,A1053)</f>
        <v/>
      </c>
      <c r="O1053" s="37">
        <f>SUMIFS('Billing Aug'!$F$2:$F$770,'Billing Aug'!$D$2:$D$770,A1053)</f>
        <v/>
      </c>
      <c r="P1053" s="41">
        <f>IF(N1053=0,0,L1053-SUMIFS('Billing Aug'!$H$2:$H$770,'Billing Aug'!$D$2:$D$770,A1053)*SUMIFS('Billing Aug'!$I$2:$I$770,'Billing Aug'!$D$2:$D$770,A1053))</f>
        <v/>
      </c>
      <c r="Q1053" s="37">
        <f>IF(N1053=0,"NO AUG TRANSACTION IN SUPPLIED EXTRACT",IF(ABS(P1053)&gt;0.004,"SUBLEDGER ARITHMETIC ERROR",IF(ABS(M1053)&gt;0.004,"BILLING VARIANCE","MATCH")))</f>
        <v/>
      </c>
    </row>
    <row r="1054">
      <c r="A1054" s="37" t="inlineStr">
        <is>
          <t>SB-0724</t>
        </is>
      </c>
      <c r="B1054" s="37" t="inlineStr">
        <is>
          <t>Salmonberry</t>
        </is>
      </c>
      <c r="C1054" s="37" t="inlineStr">
        <is>
          <t>OPEN</t>
        </is>
      </c>
      <c r="D1054" s="37" t="inlineStr">
        <is>
          <t>OCCUPIED</t>
        </is>
      </c>
      <c r="E1054" s="37" t="inlineStr">
        <is>
          <t>WL-03552</t>
        </is>
      </c>
      <c r="F1054" s="37" t="inlineStr">
        <is>
          <t>Dawn Hammond</t>
        </is>
      </c>
      <c r="G1054" s="37" t="n">
        <v>40</v>
      </c>
      <c r="H1054" s="39" t="n">
        <v>58.8</v>
      </c>
      <c r="I1054" s="40">
        <f>ROUNDUP(MAX(G1054,H1054),0)</f>
        <v/>
      </c>
      <c r="J1054" s="41">
        <f>IF(C1054="COVERED",'Methodology'!$B$9,'Methodology'!$B$10)</f>
        <v/>
      </c>
      <c r="K1054" s="41">
        <f>I1054*J1054</f>
        <v/>
      </c>
      <c r="L1054" s="41">
        <f>SUMIFS('Billing Aug'!$J$2:$J$770,'Billing Aug'!$D$2:$D$770,A1054)</f>
        <v/>
      </c>
      <c r="M1054" s="41">
        <f>L1054-K1054</f>
        <v/>
      </c>
      <c r="N1054" s="37">
        <f>COUNTIF('Billing Aug'!$D$2:$D$770,A1054)</f>
        <v/>
      </c>
      <c r="O1054" s="37">
        <f>SUMIFS('Billing Aug'!$F$2:$F$770,'Billing Aug'!$D$2:$D$770,A1054)</f>
        <v/>
      </c>
      <c r="P1054" s="41">
        <f>IF(N1054=0,0,L1054-SUMIFS('Billing Aug'!$H$2:$H$770,'Billing Aug'!$D$2:$D$770,A1054)*SUMIFS('Billing Aug'!$I$2:$I$770,'Billing Aug'!$D$2:$D$770,A1054))</f>
        <v/>
      </c>
      <c r="Q1054" s="37">
        <f>IF(N1054=0,"NO AUG TRANSACTION IN SUPPLIED EXTRACT",IF(ABS(P1054)&gt;0.004,"SUBLEDGER ARITHMETIC ERROR",IF(ABS(M1054)&gt;0.004,"BILLING VARIANCE","MATCH")))</f>
        <v/>
      </c>
    </row>
    <row r="1055">
      <c r="A1055" s="37" t="inlineStr">
        <is>
          <t>SB-0801</t>
        </is>
      </c>
      <c r="B1055" s="37" t="inlineStr">
        <is>
          <t>Salmonberry</t>
        </is>
      </c>
      <c r="C1055" s="37" t="inlineStr">
        <is>
          <t>OPEN</t>
        </is>
      </c>
      <c r="D1055" s="37" t="inlineStr">
        <is>
          <t>OCCUPIED</t>
        </is>
      </c>
      <c r="E1055" s="37" t="inlineStr">
        <is>
          <t>WL-01126</t>
        </is>
      </c>
      <c r="F1055" s="37" t="inlineStr">
        <is>
          <t>Jo Hernandez</t>
        </is>
      </c>
      <c r="G1055" s="37" t="n">
        <v>32</v>
      </c>
      <c r="H1055" s="39" t="n">
        <v>44.8</v>
      </c>
      <c r="I1055" s="40">
        <f>ROUNDUP(MAX(G1055,H1055),0)</f>
        <v/>
      </c>
      <c r="J1055" s="41">
        <f>IF(C1055="COVERED",'Methodology'!$B$9,'Methodology'!$B$10)</f>
        <v/>
      </c>
      <c r="K1055" s="41">
        <f>I1055*J1055</f>
        <v/>
      </c>
      <c r="L1055" s="41">
        <f>SUMIFS('Billing Aug'!$J$2:$J$770,'Billing Aug'!$D$2:$D$770,A1055)</f>
        <v/>
      </c>
      <c r="M1055" s="41">
        <f>L1055-K1055</f>
        <v/>
      </c>
      <c r="N1055" s="37">
        <f>COUNTIF('Billing Aug'!$D$2:$D$770,A1055)</f>
        <v/>
      </c>
      <c r="O1055" s="37">
        <f>SUMIFS('Billing Aug'!$F$2:$F$770,'Billing Aug'!$D$2:$D$770,A1055)</f>
        <v/>
      </c>
      <c r="P1055" s="41">
        <f>IF(N1055=0,0,L1055-SUMIFS('Billing Aug'!$H$2:$H$770,'Billing Aug'!$D$2:$D$770,A1055)*SUMIFS('Billing Aug'!$I$2:$I$770,'Billing Aug'!$D$2:$D$770,A1055))</f>
        <v/>
      </c>
      <c r="Q1055" s="37">
        <f>IF(N1055=0,"NO AUG TRANSACTION IN SUPPLIED EXTRACT",IF(ABS(P1055)&gt;0.004,"SUBLEDGER ARITHMETIC ERROR",IF(ABS(M1055)&gt;0.004,"BILLING VARIANCE","MATCH")))</f>
        <v/>
      </c>
    </row>
    <row r="1056">
      <c r="A1056" s="37" t="inlineStr">
        <is>
          <t>SB-0802</t>
        </is>
      </c>
      <c r="B1056" s="37" t="inlineStr">
        <is>
          <t>Salmonberry</t>
        </is>
      </c>
      <c r="C1056" s="37" t="inlineStr">
        <is>
          <t>OPEN</t>
        </is>
      </c>
      <c r="D1056" s="37" t="inlineStr">
        <is>
          <t>OCCUPIED</t>
        </is>
      </c>
      <c r="E1056" s="37" t="inlineStr">
        <is>
          <t>WL-03773</t>
        </is>
      </c>
      <c r="F1056" s="37" t="inlineStr">
        <is>
          <t>David Giles</t>
        </is>
      </c>
      <c r="G1056" s="37" t="n">
        <v>45</v>
      </c>
      <c r="H1056" s="39" t="n">
        <v>34.3</v>
      </c>
      <c r="I1056" s="40">
        <f>ROUNDUP(MAX(G1056,H1056),0)</f>
        <v/>
      </c>
      <c r="J1056" s="41">
        <f>IF(C1056="COVERED",'Methodology'!$B$9,'Methodology'!$B$10)</f>
        <v/>
      </c>
      <c r="K1056" s="41">
        <f>I1056*J1056</f>
        <v/>
      </c>
      <c r="L1056" s="41">
        <f>SUMIFS('Billing Aug'!$J$2:$J$770,'Billing Aug'!$D$2:$D$770,A1056)</f>
        <v/>
      </c>
      <c r="M1056" s="41">
        <f>L1056-K1056</f>
        <v/>
      </c>
      <c r="N1056" s="37">
        <f>COUNTIF('Billing Aug'!$D$2:$D$770,A1056)</f>
        <v/>
      </c>
      <c r="O1056" s="37">
        <f>SUMIFS('Billing Aug'!$F$2:$F$770,'Billing Aug'!$D$2:$D$770,A1056)</f>
        <v/>
      </c>
      <c r="P1056" s="41">
        <f>IF(N1056=0,0,L1056-SUMIFS('Billing Aug'!$H$2:$H$770,'Billing Aug'!$D$2:$D$770,A1056)*SUMIFS('Billing Aug'!$I$2:$I$770,'Billing Aug'!$D$2:$D$770,A1056))</f>
        <v/>
      </c>
      <c r="Q1056" s="37">
        <f>IF(N1056=0,"NO AUG TRANSACTION IN SUPPLIED EXTRACT",IF(ABS(P1056)&gt;0.004,"SUBLEDGER ARITHMETIC ERROR",IF(ABS(M1056)&gt;0.004,"BILLING VARIANCE","MATCH")))</f>
        <v/>
      </c>
    </row>
    <row r="1057">
      <c r="A1057" s="37" t="inlineStr">
        <is>
          <t>SB-0803</t>
        </is>
      </c>
      <c r="B1057" s="37" t="inlineStr">
        <is>
          <t>Salmonberry</t>
        </is>
      </c>
      <c r="C1057" s="37" t="inlineStr">
        <is>
          <t>OPEN</t>
        </is>
      </c>
      <c r="D1057" s="37" t="inlineStr">
        <is>
          <t>OCCUPIED</t>
        </is>
      </c>
      <c r="E1057" s="37" t="inlineStr">
        <is>
          <t>WL-03314</t>
        </is>
      </c>
      <c r="F1057" s="37" t="inlineStr">
        <is>
          <t>Hannah Orozco</t>
        </is>
      </c>
      <c r="G1057" s="37" t="n">
        <v>32</v>
      </c>
      <c r="H1057" s="39" t="n">
        <v>57</v>
      </c>
      <c r="I1057" s="40">
        <f>ROUNDUP(MAX(G1057,H1057),0)</f>
        <v/>
      </c>
      <c r="J1057" s="41">
        <f>IF(C1057="COVERED",'Methodology'!$B$9,'Methodology'!$B$10)</f>
        <v/>
      </c>
      <c r="K1057" s="41">
        <f>I1057*J1057</f>
        <v/>
      </c>
      <c r="L1057" s="41">
        <f>SUMIFS('Billing Aug'!$J$2:$J$770,'Billing Aug'!$D$2:$D$770,A1057)</f>
        <v/>
      </c>
      <c r="M1057" s="41">
        <f>L1057-K1057</f>
        <v/>
      </c>
      <c r="N1057" s="37">
        <f>COUNTIF('Billing Aug'!$D$2:$D$770,A1057)</f>
        <v/>
      </c>
      <c r="O1057" s="37">
        <f>SUMIFS('Billing Aug'!$F$2:$F$770,'Billing Aug'!$D$2:$D$770,A1057)</f>
        <v/>
      </c>
      <c r="P1057" s="41">
        <f>IF(N1057=0,0,L1057-SUMIFS('Billing Aug'!$H$2:$H$770,'Billing Aug'!$D$2:$D$770,A1057)*SUMIFS('Billing Aug'!$I$2:$I$770,'Billing Aug'!$D$2:$D$770,A1057))</f>
        <v/>
      </c>
      <c r="Q1057" s="37">
        <f>IF(N1057=0,"NO AUG TRANSACTION IN SUPPLIED EXTRACT",IF(ABS(P1057)&gt;0.004,"SUBLEDGER ARITHMETIC ERROR",IF(ABS(M1057)&gt;0.004,"BILLING VARIANCE","MATCH")))</f>
        <v/>
      </c>
    </row>
    <row r="1058">
      <c r="A1058" s="37" t="inlineStr">
        <is>
          <t>SB-0804</t>
        </is>
      </c>
      <c r="B1058" s="37" t="inlineStr">
        <is>
          <t>Salmonberry</t>
        </is>
      </c>
      <c r="C1058" s="37" t="inlineStr">
        <is>
          <t>OPEN</t>
        </is>
      </c>
      <c r="D1058" s="37" t="inlineStr">
        <is>
          <t>OCCUPIED</t>
        </is>
      </c>
      <c r="E1058" s="37" t="inlineStr">
        <is>
          <t>WL-01349</t>
        </is>
      </c>
      <c r="F1058" s="37" t="inlineStr">
        <is>
          <t>Justin Johnson</t>
        </is>
      </c>
      <c r="G1058" s="37" t="n">
        <v>24</v>
      </c>
      <c r="H1058" s="39" t="n">
        <v>44.8</v>
      </c>
      <c r="I1058" s="40">
        <f>ROUNDUP(MAX(G1058,H1058),0)</f>
        <v/>
      </c>
      <c r="J1058" s="41">
        <f>IF(C1058="COVERED",'Methodology'!$B$9,'Methodology'!$B$10)</f>
        <v/>
      </c>
      <c r="K1058" s="41">
        <f>I1058*J1058</f>
        <v/>
      </c>
      <c r="L1058" s="41">
        <f>SUMIFS('Billing Aug'!$J$2:$J$770,'Billing Aug'!$D$2:$D$770,A1058)</f>
        <v/>
      </c>
      <c r="M1058" s="41">
        <f>L1058-K1058</f>
        <v/>
      </c>
      <c r="N1058" s="37">
        <f>COUNTIF('Billing Aug'!$D$2:$D$770,A1058)</f>
        <v/>
      </c>
      <c r="O1058" s="37">
        <f>SUMIFS('Billing Aug'!$F$2:$F$770,'Billing Aug'!$D$2:$D$770,A1058)</f>
        <v/>
      </c>
      <c r="P1058" s="41">
        <f>IF(N1058=0,0,L1058-SUMIFS('Billing Aug'!$H$2:$H$770,'Billing Aug'!$D$2:$D$770,A1058)*SUMIFS('Billing Aug'!$I$2:$I$770,'Billing Aug'!$D$2:$D$770,A1058))</f>
        <v/>
      </c>
      <c r="Q1058" s="37">
        <f>IF(N1058=0,"NO AUG TRANSACTION IN SUPPLIED EXTRACT",IF(ABS(P1058)&gt;0.004,"SUBLEDGER ARITHMETIC ERROR",IF(ABS(M1058)&gt;0.004,"BILLING VARIANCE","MATCH")))</f>
        <v/>
      </c>
    </row>
    <row r="1059">
      <c r="A1059" s="37" t="inlineStr">
        <is>
          <t>SB-0805</t>
        </is>
      </c>
      <c r="B1059" s="37" t="inlineStr">
        <is>
          <t>Salmonberry</t>
        </is>
      </c>
      <c r="C1059" s="37" t="inlineStr">
        <is>
          <t>OPEN</t>
        </is>
      </c>
      <c r="D1059" s="37" t="inlineStr">
        <is>
          <t>OCCUPIED</t>
        </is>
      </c>
      <c r="E1059" s="37" t="inlineStr">
        <is>
          <t>WL-02163</t>
        </is>
      </c>
      <c r="F1059" s="37" t="inlineStr">
        <is>
          <t>Kimberly Brown</t>
        </is>
      </c>
      <c r="G1059" s="37" t="n">
        <v>24</v>
      </c>
      <c r="H1059" s="39" t="n">
        <v>21.9</v>
      </c>
      <c r="I1059" s="40">
        <f>ROUNDUP(MAX(G1059,H1059),0)</f>
        <v/>
      </c>
      <c r="J1059" s="41">
        <f>IF(C1059="COVERED",'Methodology'!$B$9,'Methodology'!$B$10)</f>
        <v/>
      </c>
      <c r="K1059" s="41">
        <f>I1059*J1059</f>
        <v/>
      </c>
      <c r="L1059" s="41">
        <f>SUMIFS('Billing Aug'!$J$2:$J$770,'Billing Aug'!$D$2:$D$770,A1059)</f>
        <v/>
      </c>
      <c r="M1059" s="41">
        <f>L1059-K1059</f>
        <v/>
      </c>
      <c r="N1059" s="37">
        <f>COUNTIF('Billing Aug'!$D$2:$D$770,A1059)</f>
        <v/>
      </c>
      <c r="O1059" s="37">
        <f>SUMIFS('Billing Aug'!$F$2:$F$770,'Billing Aug'!$D$2:$D$770,A1059)</f>
        <v/>
      </c>
      <c r="P1059" s="41">
        <f>IF(N1059=0,0,L1059-SUMIFS('Billing Aug'!$H$2:$H$770,'Billing Aug'!$D$2:$D$770,A1059)*SUMIFS('Billing Aug'!$I$2:$I$770,'Billing Aug'!$D$2:$D$770,A1059))</f>
        <v/>
      </c>
      <c r="Q1059" s="37">
        <f>IF(N1059=0,"NO AUG TRANSACTION IN SUPPLIED EXTRACT",IF(ABS(P1059)&gt;0.004,"SUBLEDGER ARITHMETIC ERROR",IF(ABS(M1059)&gt;0.004,"BILLING VARIANCE","MATCH")))</f>
        <v/>
      </c>
    </row>
    <row r="1060">
      <c r="A1060" s="37" t="inlineStr">
        <is>
          <t>SB-0806</t>
        </is>
      </c>
      <c r="B1060" s="37" t="inlineStr">
        <is>
          <t>Salmonberry</t>
        </is>
      </c>
      <c r="C1060" s="37" t="inlineStr">
        <is>
          <t>OPEN</t>
        </is>
      </c>
      <c r="D1060" s="37" t="inlineStr">
        <is>
          <t>OCCUPIED</t>
        </is>
      </c>
      <c r="E1060" s="37" t="inlineStr">
        <is>
          <t>WL-03521</t>
        </is>
      </c>
      <c r="F1060" s="37" t="inlineStr">
        <is>
          <t>Penny Nelson</t>
        </is>
      </c>
      <c r="G1060" s="37" t="n">
        <v>28</v>
      </c>
      <c r="H1060" s="39" t="n">
        <v>61.1</v>
      </c>
      <c r="I1060" s="40">
        <f>ROUNDUP(MAX(G1060,H1060),0)</f>
        <v/>
      </c>
      <c r="J1060" s="41">
        <f>IF(C1060="COVERED",'Methodology'!$B$9,'Methodology'!$B$10)</f>
        <v/>
      </c>
      <c r="K1060" s="41">
        <f>I1060*J1060</f>
        <v/>
      </c>
      <c r="L1060" s="41">
        <f>SUMIFS('Billing Aug'!$J$2:$J$770,'Billing Aug'!$D$2:$D$770,A1060)</f>
        <v/>
      </c>
      <c r="M1060" s="41">
        <f>L1060-K1060</f>
        <v/>
      </c>
      <c r="N1060" s="37">
        <f>COUNTIF('Billing Aug'!$D$2:$D$770,A1060)</f>
        <v/>
      </c>
      <c r="O1060" s="37">
        <f>SUMIFS('Billing Aug'!$F$2:$F$770,'Billing Aug'!$D$2:$D$770,A1060)</f>
        <v/>
      </c>
      <c r="P1060" s="41">
        <f>IF(N1060=0,0,L1060-SUMIFS('Billing Aug'!$H$2:$H$770,'Billing Aug'!$D$2:$D$770,A1060)*SUMIFS('Billing Aug'!$I$2:$I$770,'Billing Aug'!$D$2:$D$770,A1060))</f>
        <v/>
      </c>
      <c r="Q1060" s="37">
        <f>IF(N1060=0,"NO AUG TRANSACTION IN SUPPLIED EXTRACT",IF(ABS(P1060)&gt;0.004,"SUBLEDGER ARITHMETIC ERROR",IF(ABS(M1060)&gt;0.004,"BILLING VARIANCE","MATCH")))</f>
        <v/>
      </c>
    </row>
    <row r="1061">
      <c r="A1061" s="37" t="inlineStr">
        <is>
          <t>SB-0808</t>
        </is>
      </c>
      <c r="B1061" s="37" t="inlineStr">
        <is>
          <t>Salmonberry</t>
        </is>
      </c>
      <c r="C1061" s="37" t="inlineStr">
        <is>
          <t>OPEN</t>
        </is>
      </c>
      <c r="D1061" s="37" t="inlineStr">
        <is>
          <t>OCCUPIED</t>
        </is>
      </c>
      <c r="E1061" s="37" t="inlineStr">
        <is>
          <t>WL-02924</t>
        </is>
      </c>
      <c r="F1061" s="37" t="inlineStr">
        <is>
          <t>Heather Hall</t>
        </is>
      </c>
      <c r="G1061" s="37" t="n">
        <v>28</v>
      </c>
      <c r="H1061" s="39" t="n">
        <v>22.2</v>
      </c>
      <c r="I1061" s="40">
        <f>ROUNDUP(MAX(G1061,H1061),0)</f>
        <v/>
      </c>
      <c r="J1061" s="41">
        <f>IF(C1061="COVERED",'Methodology'!$B$9,'Methodology'!$B$10)</f>
        <v/>
      </c>
      <c r="K1061" s="41">
        <f>I1061*J1061</f>
        <v/>
      </c>
      <c r="L1061" s="41">
        <f>SUMIFS('Billing Aug'!$J$2:$J$770,'Billing Aug'!$D$2:$D$770,A1061)</f>
        <v/>
      </c>
      <c r="M1061" s="41">
        <f>L1061-K1061</f>
        <v/>
      </c>
      <c r="N1061" s="37">
        <f>COUNTIF('Billing Aug'!$D$2:$D$770,A1061)</f>
        <v/>
      </c>
      <c r="O1061" s="37">
        <f>SUMIFS('Billing Aug'!$F$2:$F$770,'Billing Aug'!$D$2:$D$770,A1061)</f>
        <v/>
      </c>
      <c r="P1061" s="41">
        <f>IF(N1061=0,0,L1061-SUMIFS('Billing Aug'!$H$2:$H$770,'Billing Aug'!$D$2:$D$770,A1061)*SUMIFS('Billing Aug'!$I$2:$I$770,'Billing Aug'!$D$2:$D$770,A1061))</f>
        <v/>
      </c>
      <c r="Q1061" s="37">
        <f>IF(N1061=0,"NO AUG TRANSACTION IN SUPPLIED EXTRACT",IF(ABS(P1061)&gt;0.004,"SUBLEDGER ARITHMETIC ERROR",IF(ABS(M1061)&gt;0.004,"BILLING VARIANCE","MATCH")))</f>
        <v/>
      </c>
    </row>
    <row r="1062">
      <c r="A1062" s="37" t="inlineStr">
        <is>
          <t>SB-0809</t>
        </is>
      </c>
      <c r="B1062" s="37" t="inlineStr">
        <is>
          <t>Salmonberry</t>
        </is>
      </c>
      <c r="C1062" s="37" t="inlineStr">
        <is>
          <t>OPEN</t>
        </is>
      </c>
      <c r="D1062" s="37" t="inlineStr">
        <is>
          <t>OCCUPIED</t>
        </is>
      </c>
      <c r="E1062" s="37" t="inlineStr">
        <is>
          <t>WL-03219</t>
        </is>
      </c>
      <c r="F1062" s="37" t="inlineStr">
        <is>
          <t>Tara Sanders</t>
        </is>
      </c>
      <c r="G1062" s="37" t="n">
        <v>45</v>
      </c>
      <c r="H1062" s="39" t="n">
        <v>21.2</v>
      </c>
      <c r="I1062" s="40">
        <f>ROUNDUP(MAX(G1062,H1062),0)</f>
        <v/>
      </c>
      <c r="J1062" s="41">
        <f>IF(C1062="COVERED",'Methodology'!$B$9,'Methodology'!$B$10)</f>
        <v/>
      </c>
      <c r="K1062" s="41">
        <f>I1062*J1062</f>
        <v/>
      </c>
      <c r="L1062" s="41">
        <f>SUMIFS('Billing Aug'!$J$2:$J$770,'Billing Aug'!$D$2:$D$770,A1062)</f>
        <v/>
      </c>
      <c r="M1062" s="41">
        <f>L1062-K1062</f>
        <v/>
      </c>
      <c r="N1062" s="37">
        <f>COUNTIF('Billing Aug'!$D$2:$D$770,A1062)</f>
        <v/>
      </c>
      <c r="O1062" s="37">
        <f>SUMIFS('Billing Aug'!$F$2:$F$770,'Billing Aug'!$D$2:$D$770,A1062)</f>
        <v/>
      </c>
      <c r="P1062" s="41">
        <f>IF(N1062=0,0,L1062-SUMIFS('Billing Aug'!$H$2:$H$770,'Billing Aug'!$D$2:$D$770,A1062)*SUMIFS('Billing Aug'!$I$2:$I$770,'Billing Aug'!$D$2:$D$770,A1062))</f>
        <v/>
      </c>
      <c r="Q1062" s="37">
        <f>IF(N1062=0,"NO AUG TRANSACTION IN SUPPLIED EXTRACT",IF(ABS(P1062)&gt;0.004,"SUBLEDGER ARITHMETIC ERROR",IF(ABS(M1062)&gt;0.004,"BILLING VARIANCE","MATCH")))</f>
        <v/>
      </c>
    </row>
    <row r="1063">
      <c r="A1063" s="37" t="inlineStr">
        <is>
          <t>SB-0810</t>
        </is>
      </c>
      <c r="B1063" s="37" t="inlineStr">
        <is>
          <t>Salmonberry</t>
        </is>
      </c>
      <c r="C1063" s="37" t="inlineStr">
        <is>
          <t>OPEN</t>
        </is>
      </c>
      <c r="D1063" s="37" t="inlineStr">
        <is>
          <t>OCCUPIED</t>
        </is>
      </c>
      <c r="E1063" s="37" t="inlineStr">
        <is>
          <t>WL-02815</t>
        </is>
      </c>
      <c r="F1063" s="37" t="inlineStr">
        <is>
          <t>Mark Myers</t>
        </is>
      </c>
      <c r="G1063" s="37" t="n">
        <v>40</v>
      </c>
      <c r="H1063" s="39" t="n">
        <v>34.1</v>
      </c>
      <c r="I1063" s="40">
        <f>ROUNDUP(MAX(G1063,H1063),0)</f>
        <v/>
      </c>
      <c r="J1063" s="41">
        <f>IF(C1063="COVERED",'Methodology'!$B$9,'Methodology'!$B$10)</f>
        <v/>
      </c>
      <c r="K1063" s="41">
        <f>I1063*J1063</f>
        <v/>
      </c>
      <c r="L1063" s="41">
        <f>SUMIFS('Billing Aug'!$J$2:$J$770,'Billing Aug'!$D$2:$D$770,A1063)</f>
        <v/>
      </c>
      <c r="M1063" s="41">
        <f>L1063-K1063</f>
        <v/>
      </c>
      <c r="N1063" s="37">
        <f>COUNTIF('Billing Aug'!$D$2:$D$770,A1063)</f>
        <v/>
      </c>
      <c r="O1063" s="37">
        <f>SUMIFS('Billing Aug'!$F$2:$F$770,'Billing Aug'!$D$2:$D$770,A1063)</f>
        <v/>
      </c>
      <c r="P1063" s="41">
        <f>IF(N1063=0,0,L1063-SUMIFS('Billing Aug'!$H$2:$H$770,'Billing Aug'!$D$2:$D$770,A1063)*SUMIFS('Billing Aug'!$I$2:$I$770,'Billing Aug'!$D$2:$D$770,A1063))</f>
        <v/>
      </c>
      <c r="Q1063" s="37">
        <f>IF(N1063=0,"NO AUG TRANSACTION IN SUPPLIED EXTRACT",IF(ABS(P1063)&gt;0.004,"SUBLEDGER ARITHMETIC ERROR",IF(ABS(M1063)&gt;0.004,"BILLING VARIANCE","MATCH")))</f>
        <v/>
      </c>
    </row>
    <row r="1064">
      <c r="A1064" s="37" t="inlineStr">
        <is>
          <t>SB-0812</t>
        </is>
      </c>
      <c r="B1064" s="37" t="inlineStr">
        <is>
          <t>Salmonberry</t>
        </is>
      </c>
      <c r="C1064" s="37" t="inlineStr">
        <is>
          <t>OPEN</t>
        </is>
      </c>
      <c r="D1064" s="37" t="inlineStr">
        <is>
          <t>OCCUPIED</t>
        </is>
      </c>
      <c r="E1064" s="37" t="inlineStr">
        <is>
          <t>WL-02153</t>
        </is>
      </c>
      <c r="F1064" s="37" t="inlineStr">
        <is>
          <t>Amy Murray</t>
        </is>
      </c>
      <c r="G1064" s="37" t="n">
        <v>32</v>
      </c>
      <c r="H1064" s="39" t="n">
        <v>22.1</v>
      </c>
      <c r="I1064" s="40">
        <f>ROUNDUP(MAX(G1064,H1064),0)</f>
        <v/>
      </c>
      <c r="J1064" s="41">
        <f>IF(C1064="COVERED",'Methodology'!$B$9,'Methodology'!$B$10)</f>
        <v/>
      </c>
      <c r="K1064" s="41">
        <f>I1064*J1064</f>
        <v/>
      </c>
      <c r="L1064" s="41">
        <f>SUMIFS('Billing Aug'!$J$2:$J$770,'Billing Aug'!$D$2:$D$770,A1064)</f>
        <v/>
      </c>
      <c r="M1064" s="41">
        <f>L1064-K1064</f>
        <v/>
      </c>
      <c r="N1064" s="37">
        <f>COUNTIF('Billing Aug'!$D$2:$D$770,A1064)</f>
        <v/>
      </c>
      <c r="O1064" s="37">
        <f>SUMIFS('Billing Aug'!$F$2:$F$770,'Billing Aug'!$D$2:$D$770,A1064)</f>
        <v/>
      </c>
      <c r="P1064" s="41">
        <f>IF(N1064=0,0,L1064-SUMIFS('Billing Aug'!$H$2:$H$770,'Billing Aug'!$D$2:$D$770,A1064)*SUMIFS('Billing Aug'!$I$2:$I$770,'Billing Aug'!$D$2:$D$770,A1064))</f>
        <v/>
      </c>
      <c r="Q1064" s="37">
        <f>IF(N1064=0,"NO AUG TRANSACTION IN SUPPLIED EXTRACT",IF(ABS(P1064)&gt;0.004,"SUBLEDGER ARITHMETIC ERROR",IF(ABS(M1064)&gt;0.004,"BILLING VARIANCE","MATCH")))</f>
        <v/>
      </c>
    </row>
    <row r="1065">
      <c r="A1065" s="37" t="inlineStr">
        <is>
          <t>SB-0813</t>
        </is>
      </c>
      <c r="B1065" s="37" t="inlineStr">
        <is>
          <t>Salmonberry</t>
        </is>
      </c>
      <c r="C1065" s="37" t="inlineStr">
        <is>
          <t>OPEN</t>
        </is>
      </c>
      <c r="D1065" s="37" t="inlineStr">
        <is>
          <t>OCCUPIED</t>
        </is>
      </c>
      <c r="E1065" s="37" t="inlineStr">
        <is>
          <t>WL-01647</t>
        </is>
      </c>
      <c r="F1065" s="37" t="inlineStr">
        <is>
          <t>Robert Shannon</t>
        </is>
      </c>
      <c r="G1065" s="37" t="n">
        <v>24</v>
      </c>
      <c r="H1065" s="39" t="n">
        <v>24.6</v>
      </c>
      <c r="I1065" s="40">
        <f>ROUNDUP(MAX(G1065,H1065),0)</f>
        <v/>
      </c>
      <c r="J1065" s="41">
        <f>IF(C1065="COVERED",'Methodology'!$B$9,'Methodology'!$B$10)</f>
        <v/>
      </c>
      <c r="K1065" s="41">
        <f>I1065*J1065</f>
        <v/>
      </c>
      <c r="L1065" s="41">
        <f>SUMIFS('Billing Aug'!$J$2:$J$770,'Billing Aug'!$D$2:$D$770,A1065)</f>
        <v/>
      </c>
      <c r="M1065" s="41">
        <f>L1065-K1065</f>
        <v/>
      </c>
      <c r="N1065" s="37">
        <f>COUNTIF('Billing Aug'!$D$2:$D$770,A1065)</f>
        <v/>
      </c>
      <c r="O1065" s="37">
        <f>SUMIFS('Billing Aug'!$F$2:$F$770,'Billing Aug'!$D$2:$D$770,A1065)</f>
        <v/>
      </c>
      <c r="P1065" s="41">
        <f>IF(N1065=0,0,L1065-SUMIFS('Billing Aug'!$H$2:$H$770,'Billing Aug'!$D$2:$D$770,A1065)*SUMIFS('Billing Aug'!$I$2:$I$770,'Billing Aug'!$D$2:$D$770,A1065))</f>
        <v/>
      </c>
      <c r="Q1065" s="37">
        <f>IF(N1065=0,"NO AUG TRANSACTION IN SUPPLIED EXTRACT",IF(ABS(P1065)&gt;0.004,"SUBLEDGER ARITHMETIC ERROR",IF(ABS(M1065)&gt;0.004,"BILLING VARIANCE","MATCH")))</f>
        <v/>
      </c>
    </row>
    <row r="1066">
      <c r="A1066" s="37" t="inlineStr">
        <is>
          <t>SB-0814</t>
        </is>
      </c>
      <c r="B1066" s="37" t="inlineStr">
        <is>
          <t>Salmonberry</t>
        </is>
      </c>
      <c r="C1066" s="37" t="inlineStr">
        <is>
          <t>OPEN</t>
        </is>
      </c>
      <c r="D1066" s="37" t="inlineStr">
        <is>
          <t>OCCUPIED</t>
        </is>
      </c>
      <c r="E1066" s="37" t="inlineStr">
        <is>
          <t>WL-01607</t>
        </is>
      </c>
      <c r="F1066" s="37" t="inlineStr">
        <is>
          <t>John Williams</t>
        </is>
      </c>
      <c r="G1066" s="37" t="n">
        <v>28</v>
      </c>
      <c r="H1066" s="39" t="n">
        <v>52.3</v>
      </c>
      <c r="I1066" s="40">
        <f>ROUNDUP(MAX(G1066,H1066),0)</f>
        <v/>
      </c>
      <c r="J1066" s="41">
        <f>IF(C1066="COVERED",'Methodology'!$B$9,'Methodology'!$B$10)</f>
        <v/>
      </c>
      <c r="K1066" s="41">
        <f>I1066*J1066</f>
        <v/>
      </c>
      <c r="L1066" s="41">
        <f>SUMIFS('Billing Aug'!$J$2:$J$770,'Billing Aug'!$D$2:$D$770,A1066)</f>
        <v/>
      </c>
      <c r="M1066" s="41">
        <f>L1066-K1066</f>
        <v/>
      </c>
      <c r="N1066" s="37">
        <f>COUNTIF('Billing Aug'!$D$2:$D$770,A1066)</f>
        <v/>
      </c>
      <c r="O1066" s="37">
        <f>SUMIFS('Billing Aug'!$F$2:$F$770,'Billing Aug'!$D$2:$D$770,A1066)</f>
        <v/>
      </c>
      <c r="P1066" s="41">
        <f>IF(N1066=0,0,L1066-SUMIFS('Billing Aug'!$H$2:$H$770,'Billing Aug'!$D$2:$D$770,A1066)*SUMIFS('Billing Aug'!$I$2:$I$770,'Billing Aug'!$D$2:$D$770,A1066))</f>
        <v/>
      </c>
      <c r="Q1066" s="37">
        <f>IF(N1066=0,"NO AUG TRANSACTION IN SUPPLIED EXTRACT",IF(ABS(P1066)&gt;0.004,"SUBLEDGER ARITHMETIC ERROR",IF(ABS(M1066)&gt;0.004,"BILLING VARIANCE","MATCH")))</f>
        <v/>
      </c>
    </row>
    <row r="1067">
      <c r="A1067" s="37" t="inlineStr">
        <is>
          <t>SB-0815</t>
        </is>
      </c>
      <c r="B1067" s="37" t="inlineStr">
        <is>
          <t>Salmonberry</t>
        </is>
      </c>
      <c r="C1067" s="37" t="inlineStr">
        <is>
          <t>OPEN</t>
        </is>
      </c>
      <c r="D1067" s="37" t="inlineStr">
        <is>
          <t>OCCUPIED</t>
        </is>
      </c>
      <c r="E1067" s="37" t="inlineStr">
        <is>
          <t>WL-01237</t>
        </is>
      </c>
      <c r="F1067" s="37" t="inlineStr">
        <is>
          <t>April Nguyen</t>
        </is>
      </c>
      <c r="G1067" s="37" t="n">
        <v>70</v>
      </c>
      <c r="H1067" s="39" t="n">
        <v>25.9</v>
      </c>
      <c r="I1067" s="40">
        <f>ROUNDUP(MAX(G1067,H1067),0)</f>
        <v/>
      </c>
      <c r="J1067" s="41">
        <f>IF(C1067="COVERED",'Methodology'!$B$9,'Methodology'!$B$10)</f>
        <v/>
      </c>
      <c r="K1067" s="41">
        <f>I1067*J1067</f>
        <v/>
      </c>
      <c r="L1067" s="41">
        <f>SUMIFS('Billing Aug'!$J$2:$J$770,'Billing Aug'!$D$2:$D$770,A1067)</f>
        <v/>
      </c>
      <c r="M1067" s="41">
        <f>L1067-K1067</f>
        <v/>
      </c>
      <c r="N1067" s="37">
        <f>COUNTIF('Billing Aug'!$D$2:$D$770,A1067)</f>
        <v/>
      </c>
      <c r="O1067" s="37">
        <f>SUMIFS('Billing Aug'!$F$2:$F$770,'Billing Aug'!$D$2:$D$770,A1067)</f>
        <v/>
      </c>
      <c r="P1067" s="41">
        <f>IF(N1067=0,0,L1067-SUMIFS('Billing Aug'!$H$2:$H$770,'Billing Aug'!$D$2:$D$770,A1067)*SUMIFS('Billing Aug'!$I$2:$I$770,'Billing Aug'!$D$2:$D$770,A1067))</f>
        <v/>
      </c>
      <c r="Q1067" s="37">
        <f>IF(N1067=0,"NO AUG TRANSACTION IN SUPPLIED EXTRACT",IF(ABS(P1067)&gt;0.004,"SUBLEDGER ARITHMETIC ERROR",IF(ABS(M1067)&gt;0.004,"BILLING VARIANCE","MATCH")))</f>
        <v/>
      </c>
    </row>
    <row r="1068">
      <c r="A1068" s="37" t="inlineStr">
        <is>
          <t>SB-0816</t>
        </is>
      </c>
      <c r="B1068" s="37" t="inlineStr">
        <is>
          <t>Salmonberry</t>
        </is>
      </c>
      <c r="C1068" s="37" t="inlineStr">
        <is>
          <t>OPEN</t>
        </is>
      </c>
      <c r="D1068" s="37" t="inlineStr">
        <is>
          <t>OCCUPIED</t>
        </is>
      </c>
      <c r="E1068" s="37" t="inlineStr">
        <is>
          <t>WL-03446</t>
        </is>
      </c>
      <c r="F1068" s="37" t="inlineStr">
        <is>
          <t>Joshua Weaver</t>
        </is>
      </c>
      <c r="G1068" s="37" t="n">
        <v>28</v>
      </c>
      <c r="H1068" s="39" t="n">
        <v>46.5</v>
      </c>
      <c r="I1068" s="40">
        <f>ROUNDUP(MAX(G1068,H1068),0)</f>
        <v/>
      </c>
      <c r="J1068" s="41">
        <f>IF(C1068="COVERED",'Methodology'!$B$9,'Methodology'!$B$10)</f>
        <v/>
      </c>
      <c r="K1068" s="41">
        <f>I1068*J1068</f>
        <v/>
      </c>
      <c r="L1068" s="41">
        <f>SUMIFS('Billing Aug'!$J$2:$J$770,'Billing Aug'!$D$2:$D$770,A1068)</f>
        <v/>
      </c>
      <c r="M1068" s="41">
        <f>L1068-K1068</f>
        <v/>
      </c>
      <c r="N1068" s="37">
        <f>COUNTIF('Billing Aug'!$D$2:$D$770,A1068)</f>
        <v/>
      </c>
      <c r="O1068" s="37">
        <f>SUMIFS('Billing Aug'!$F$2:$F$770,'Billing Aug'!$D$2:$D$770,A1068)</f>
        <v/>
      </c>
      <c r="P1068" s="41">
        <f>IF(N1068=0,0,L1068-SUMIFS('Billing Aug'!$H$2:$H$770,'Billing Aug'!$D$2:$D$770,A1068)*SUMIFS('Billing Aug'!$I$2:$I$770,'Billing Aug'!$D$2:$D$770,A1068))</f>
        <v/>
      </c>
      <c r="Q1068" s="37">
        <f>IF(N1068=0,"NO AUG TRANSACTION IN SUPPLIED EXTRACT",IF(ABS(P1068)&gt;0.004,"SUBLEDGER ARITHMETIC ERROR",IF(ABS(M1068)&gt;0.004,"BILLING VARIANCE","MATCH")))</f>
        <v/>
      </c>
    </row>
    <row r="1069">
      <c r="A1069" s="37" t="inlineStr">
        <is>
          <t>SB-0818</t>
        </is>
      </c>
      <c r="B1069" s="37" t="inlineStr">
        <is>
          <t>Salmonberry</t>
        </is>
      </c>
      <c r="C1069" s="37" t="inlineStr">
        <is>
          <t>OPEN</t>
        </is>
      </c>
      <c r="D1069" s="37" t="inlineStr">
        <is>
          <t>OCCUPIED</t>
        </is>
      </c>
      <c r="E1069" s="37" t="inlineStr">
        <is>
          <t>WL-03486</t>
        </is>
      </c>
      <c r="F1069" s="37" t="inlineStr">
        <is>
          <t>Mary Murillo</t>
        </is>
      </c>
      <c r="G1069" s="37" t="n">
        <v>70</v>
      </c>
      <c r="H1069" s="39" t="n">
        <v>28</v>
      </c>
      <c r="I1069" s="40">
        <f>ROUNDUP(MAX(G1069,H1069),0)</f>
        <v/>
      </c>
      <c r="J1069" s="41">
        <f>IF(C1069="COVERED",'Methodology'!$B$9,'Methodology'!$B$10)</f>
        <v/>
      </c>
      <c r="K1069" s="41">
        <f>I1069*J1069</f>
        <v/>
      </c>
      <c r="L1069" s="41">
        <f>SUMIFS('Billing Aug'!$J$2:$J$770,'Billing Aug'!$D$2:$D$770,A1069)</f>
        <v/>
      </c>
      <c r="M1069" s="41">
        <f>L1069-K1069</f>
        <v/>
      </c>
      <c r="N1069" s="37">
        <f>COUNTIF('Billing Aug'!$D$2:$D$770,A1069)</f>
        <v/>
      </c>
      <c r="O1069" s="37">
        <f>SUMIFS('Billing Aug'!$F$2:$F$770,'Billing Aug'!$D$2:$D$770,A1069)</f>
        <v/>
      </c>
      <c r="P1069" s="41">
        <f>IF(N1069=0,0,L1069-SUMIFS('Billing Aug'!$H$2:$H$770,'Billing Aug'!$D$2:$D$770,A1069)*SUMIFS('Billing Aug'!$I$2:$I$770,'Billing Aug'!$D$2:$D$770,A1069))</f>
        <v/>
      </c>
      <c r="Q1069" s="37">
        <f>IF(N1069=0,"NO AUG TRANSACTION IN SUPPLIED EXTRACT",IF(ABS(P1069)&gt;0.004,"SUBLEDGER ARITHMETIC ERROR",IF(ABS(M1069)&gt;0.004,"BILLING VARIANCE","MATCH")))</f>
        <v/>
      </c>
    </row>
    <row r="1070">
      <c r="A1070" s="37" t="inlineStr">
        <is>
          <t>SB-0819</t>
        </is>
      </c>
      <c r="B1070" s="37" t="inlineStr">
        <is>
          <t>Salmonberry</t>
        </is>
      </c>
      <c r="C1070" s="37" t="inlineStr">
        <is>
          <t>OPEN</t>
        </is>
      </c>
      <c r="D1070" s="37" t="inlineStr">
        <is>
          <t>OCCUPIED</t>
        </is>
      </c>
      <c r="E1070" s="37" t="inlineStr">
        <is>
          <t>WL-02764</t>
        </is>
      </c>
      <c r="F1070" s="37" t="inlineStr">
        <is>
          <t>Jason Bradley</t>
        </is>
      </c>
      <c r="G1070" s="37" t="n">
        <v>24</v>
      </c>
      <c r="H1070" s="39" t="n">
        <v>25.9</v>
      </c>
      <c r="I1070" s="40">
        <f>ROUNDUP(MAX(G1070,H1070),0)</f>
        <v/>
      </c>
      <c r="J1070" s="41">
        <f>IF(C1070="COVERED",'Methodology'!$B$9,'Methodology'!$B$10)</f>
        <v/>
      </c>
      <c r="K1070" s="41">
        <f>I1070*J1070</f>
        <v/>
      </c>
      <c r="L1070" s="41">
        <f>SUMIFS('Billing Aug'!$J$2:$J$770,'Billing Aug'!$D$2:$D$770,A1070)</f>
        <v/>
      </c>
      <c r="M1070" s="41">
        <f>L1070-K1070</f>
        <v/>
      </c>
      <c r="N1070" s="37">
        <f>COUNTIF('Billing Aug'!$D$2:$D$770,A1070)</f>
        <v/>
      </c>
      <c r="O1070" s="37">
        <f>SUMIFS('Billing Aug'!$F$2:$F$770,'Billing Aug'!$D$2:$D$770,A1070)</f>
        <v/>
      </c>
      <c r="P1070" s="41">
        <f>IF(N1070=0,0,L1070-SUMIFS('Billing Aug'!$H$2:$H$770,'Billing Aug'!$D$2:$D$770,A1070)*SUMIFS('Billing Aug'!$I$2:$I$770,'Billing Aug'!$D$2:$D$770,A1070))</f>
        <v/>
      </c>
      <c r="Q1070" s="37">
        <f>IF(N1070=0,"NO AUG TRANSACTION IN SUPPLIED EXTRACT",IF(ABS(P1070)&gt;0.004,"SUBLEDGER ARITHMETIC ERROR",IF(ABS(M1070)&gt;0.004,"BILLING VARIANCE","MATCH")))</f>
        <v/>
      </c>
    </row>
    <row r="1071">
      <c r="A1071" s="37" t="inlineStr">
        <is>
          <t>SB-0820</t>
        </is>
      </c>
      <c r="B1071" s="37" t="inlineStr">
        <is>
          <t>Salmonberry</t>
        </is>
      </c>
      <c r="C1071" s="37" t="inlineStr">
        <is>
          <t>OPEN</t>
        </is>
      </c>
      <c r="D1071" s="37" t="inlineStr">
        <is>
          <t>OCCUPIED</t>
        </is>
      </c>
      <c r="E1071" s="37" t="inlineStr">
        <is>
          <t>WL-02114</t>
        </is>
      </c>
      <c r="F1071" s="37" t="inlineStr">
        <is>
          <t>Walter Adams</t>
        </is>
      </c>
      <c r="G1071" s="37" t="n">
        <v>40</v>
      </c>
      <c r="H1071" s="39" t="n">
        <v>47.3</v>
      </c>
      <c r="I1071" s="40">
        <f>ROUNDUP(MAX(G1071,H1071),0)</f>
        <v/>
      </c>
      <c r="J1071" s="41">
        <f>IF(C1071="COVERED",'Methodology'!$B$9,'Methodology'!$B$10)</f>
        <v/>
      </c>
      <c r="K1071" s="41">
        <f>I1071*J1071</f>
        <v/>
      </c>
      <c r="L1071" s="41">
        <f>SUMIFS('Billing Aug'!$J$2:$J$770,'Billing Aug'!$D$2:$D$770,A1071)</f>
        <v/>
      </c>
      <c r="M1071" s="41">
        <f>L1071-K1071</f>
        <v/>
      </c>
      <c r="N1071" s="37">
        <f>COUNTIF('Billing Aug'!$D$2:$D$770,A1071)</f>
        <v/>
      </c>
      <c r="O1071" s="37">
        <f>SUMIFS('Billing Aug'!$F$2:$F$770,'Billing Aug'!$D$2:$D$770,A1071)</f>
        <v/>
      </c>
      <c r="P1071" s="41">
        <f>IF(N1071=0,0,L1071-SUMIFS('Billing Aug'!$H$2:$H$770,'Billing Aug'!$D$2:$D$770,A1071)*SUMIFS('Billing Aug'!$I$2:$I$770,'Billing Aug'!$D$2:$D$770,A1071))</f>
        <v/>
      </c>
      <c r="Q1071" s="37">
        <f>IF(N1071=0,"NO AUG TRANSACTION IN SUPPLIED EXTRACT",IF(ABS(P1071)&gt;0.004,"SUBLEDGER ARITHMETIC ERROR",IF(ABS(M1071)&gt;0.004,"BILLING VARIANCE","MATCH")))</f>
        <v/>
      </c>
    </row>
    <row r="1072">
      <c r="A1072" s="37" t="inlineStr">
        <is>
          <t>SB-0821</t>
        </is>
      </c>
      <c r="B1072" s="37" t="inlineStr">
        <is>
          <t>Salmonberry</t>
        </is>
      </c>
      <c r="C1072" s="37" t="inlineStr">
        <is>
          <t>OPEN</t>
        </is>
      </c>
      <c r="D1072" s="37" t="inlineStr">
        <is>
          <t>OCCUPIED</t>
        </is>
      </c>
      <c r="E1072" s="37" t="inlineStr">
        <is>
          <t>WL-01693</t>
        </is>
      </c>
      <c r="F1072" s="37" t="inlineStr">
        <is>
          <t>Michael Price</t>
        </is>
      </c>
      <c r="G1072" s="37" t="n">
        <v>36</v>
      </c>
      <c r="H1072" s="39" t="n">
        <v>26.8</v>
      </c>
      <c r="I1072" s="40">
        <f>ROUNDUP(MAX(G1072,H1072),0)</f>
        <v/>
      </c>
      <c r="J1072" s="41">
        <f>IF(C1072="COVERED",'Methodology'!$B$9,'Methodology'!$B$10)</f>
        <v/>
      </c>
      <c r="K1072" s="41">
        <f>I1072*J1072</f>
        <v/>
      </c>
      <c r="L1072" s="41">
        <f>SUMIFS('Billing Aug'!$J$2:$J$770,'Billing Aug'!$D$2:$D$770,A1072)</f>
        <v/>
      </c>
      <c r="M1072" s="41">
        <f>L1072-K1072</f>
        <v/>
      </c>
      <c r="N1072" s="37">
        <f>COUNTIF('Billing Aug'!$D$2:$D$770,A1072)</f>
        <v/>
      </c>
      <c r="O1072" s="37">
        <f>SUMIFS('Billing Aug'!$F$2:$F$770,'Billing Aug'!$D$2:$D$770,A1072)</f>
        <v/>
      </c>
      <c r="P1072" s="41">
        <f>IF(N1072=0,0,L1072-SUMIFS('Billing Aug'!$H$2:$H$770,'Billing Aug'!$D$2:$D$770,A1072)*SUMIFS('Billing Aug'!$I$2:$I$770,'Billing Aug'!$D$2:$D$770,A1072))</f>
        <v/>
      </c>
      <c r="Q1072" s="37">
        <f>IF(N1072=0,"NO AUG TRANSACTION IN SUPPLIED EXTRACT",IF(ABS(P1072)&gt;0.004,"SUBLEDGER ARITHMETIC ERROR",IF(ABS(M1072)&gt;0.004,"BILLING VARIANCE","MATCH")))</f>
        <v/>
      </c>
    </row>
    <row r="1073">
      <c r="A1073" s="37" t="inlineStr">
        <is>
          <t>SB-0822</t>
        </is>
      </c>
      <c r="B1073" s="37" t="inlineStr">
        <is>
          <t>Salmonberry</t>
        </is>
      </c>
      <c r="C1073" s="37" t="inlineStr">
        <is>
          <t>OPEN</t>
        </is>
      </c>
      <c r="D1073" s="37" t="inlineStr">
        <is>
          <t>OCCUPIED</t>
        </is>
      </c>
      <c r="E1073" s="37" t="inlineStr">
        <is>
          <t>WL-03341</t>
        </is>
      </c>
      <c r="F1073" s="37" t="inlineStr">
        <is>
          <t>Terri Johnston</t>
        </is>
      </c>
      <c r="G1073" s="37" t="n">
        <v>32</v>
      </c>
      <c r="H1073" s="39" t="n">
        <v>34.6</v>
      </c>
      <c r="I1073" s="40">
        <f>ROUNDUP(MAX(G1073,H1073),0)</f>
        <v/>
      </c>
      <c r="J1073" s="41">
        <f>IF(C1073="COVERED",'Methodology'!$B$9,'Methodology'!$B$10)</f>
        <v/>
      </c>
      <c r="K1073" s="41">
        <f>I1073*J1073</f>
        <v/>
      </c>
      <c r="L1073" s="41">
        <f>SUMIFS('Billing Aug'!$J$2:$J$770,'Billing Aug'!$D$2:$D$770,A1073)</f>
        <v/>
      </c>
      <c r="M1073" s="41">
        <f>L1073-K1073</f>
        <v/>
      </c>
      <c r="N1073" s="37">
        <f>COUNTIF('Billing Aug'!$D$2:$D$770,A1073)</f>
        <v/>
      </c>
      <c r="O1073" s="37">
        <f>SUMIFS('Billing Aug'!$F$2:$F$770,'Billing Aug'!$D$2:$D$770,A1073)</f>
        <v/>
      </c>
      <c r="P1073" s="41">
        <f>IF(N1073=0,0,L1073-SUMIFS('Billing Aug'!$H$2:$H$770,'Billing Aug'!$D$2:$D$770,A1073)*SUMIFS('Billing Aug'!$I$2:$I$770,'Billing Aug'!$D$2:$D$770,A1073))</f>
        <v/>
      </c>
      <c r="Q1073" s="37">
        <f>IF(N1073=0,"NO AUG TRANSACTION IN SUPPLIED EXTRACT",IF(ABS(P1073)&gt;0.004,"SUBLEDGER ARITHMETIC ERROR",IF(ABS(M1073)&gt;0.004,"BILLING VARIANCE","MATCH")))</f>
        <v/>
      </c>
    </row>
    <row r="1074">
      <c r="A1074" s="37" t="inlineStr">
        <is>
          <t>SB-0824</t>
        </is>
      </c>
      <c r="B1074" s="37" t="inlineStr">
        <is>
          <t>Salmonberry</t>
        </is>
      </c>
      <c r="C1074" s="37" t="inlineStr">
        <is>
          <t>OPEN</t>
        </is>
      </c>
      <c r="D1074" s="37" t="inlineStr">
        <is>
          <t>OCCUPIED</t>
        </is>
      </c>
      <c r="E1074" s="37" t="inlineStr">
        <is>
          <t>WL-01971</t>
        </is>
      </c>
      <c r="F1074" s="37" t="inlineStr">
        <is>
          <t>Paul Smith</t>
        </is>
      </c>
      <c r="G1074" s="37" t="n">
        <v>24</v>
      </c>
      <c r="H1074" s="39" t="n">
        <v>43.8</v>
      </c>
      <c r="I1074" s="40">
        <f>ROUNDUP(MAX(G1074,H1074),0)</f>
        <v/>
      </c>
      <c r="J1074" s="41">
        <f>IF(C1074="COVERED",'Methodology'!$B$9,'Methodology'!$B$10)</f>
        <v/>
      </c>
      <c r="K1074" s="41">
        <f>I1074*J1074</f>
        <v/>
      </c>
      <c r="L1074" s="41">
        <f>SUMIFS('Billing Aug'!$J$2:$J$770,'Billing Aug'!$D$2:$D$770,A1074)</f>
        <v/>
      </c>
      <c r="M1074" s="41">
        <f>L1074-K1074</f>
        <v/>
      </c>
      <c r="N1074" s="37">
        <f>COUNTIF('Billing Aug'!$D$2:$D$770,A1074)</f>
        <v/>
      </c>
      <c r="O1074" s="37">
        <f>SUMIFS('Billing Aug'!$F$2:$F$770,'Billing Aug'!$D$2:$D$770,A1074)</f>
        <v/>
      </c>
      <c r="P1074" s="41">
        <f>IF(N1074=0,0,L1074-SUMIFS('Billing Aug'!$H$2:$H$770,'Billing Aug'!$D$2:$D$770,A1074)*SUMIFS('Billing Aug'!$I$2:$I$770,'Billing Aug'!$D$2:$D$770,A1074))</f>
        <v/>
      </c>
      <c r="Q1074" s="37">
        <f>IF(N1074=0,"NO AUG TRANSACTION IN SUPPLIED EXTRACT",IF(ABS(P1074)&gt;0.004,"SUBLEDGER ARITHMETIC ERROR",IF(ABS(M1074)&gt;0.004,"BILLING VARIANCE","MATCH")))</f>
        <v/>
      </c>
    </row>
    <row r="1075">
      <c r="A1075" s="37" t="inlineStr">
        <is>
          <t>SB-0901</t>
        </is>
      </c>
      <c r="B1075" s="37" t="inlineStr">
        <is>
          <t>Salmonberry</t>
        </is>
      </c>
      <c r="C1075" s="37" t="inlineStr">
        <is>
          <t>OPEN</t>
        </is>
      </c>
      <c r="D1075" s="37" t="inlineStr">
        <is>
          <t>OCCUPIED</t>
        </is>
      </c>
      <c r="E1075" s="37" t="inlineStr">
        <is>
          <t>WL-03688</t>
        </is>
      </c>
      <c r="F1075" s="37" t="inlineStr">
        <is>
          <t>Gilbert Rodriguez</t>
        </is>
      </c>
      <c r="G1075" s="37" t="n">
        <v>45</v>
      </c>
      <c r="H1075" s="39" t="n">
        <v>44.7</v>
      </c>
      <c r="I1075" s="40">
        <f>ROUNDUP(MAX(G1075,H1075),0)</f>
        <v/>
      </c>
      <c r="J1075" s="41">
        <f>IF(C1075="COVERED",'Methodology'!$B$9,'Methodology'!$B$10)</f>
        <v/>
      </c>
      <c r="K1075" s="41">
        <f>I1075*J1075</f>
        <v/>
      </c>
      <c r="L1075" s="41">
        <f>SUMIFS('Billing Aug'!$J$2:$J$770,'Billing Aug'!$D$2:$D$770,A1075)</f>
        <v/>
      </c>
      <c r="M1075" s="41">
        <f>L1075-K1075</f>
        <v/>
      </c>
      <c r="N1075" s="37">
        <f>COUNTIF('Billing Aug'!$D$2:$D$770,A1075)</f>
        <v/>
      </c>
      <c r="O1075" s="37">
        <f>SUMIFS('Billing Aug'!$F$2:$F$770,'Billing Aug'!$D$2:$D$770,A1075)</f>
        <v/>
      </c>
      <c r="P1075" s="41">
        <f>IF(N1075=0,0,L1075-SUMIFS('Billing Aug'!$H$2:$H$770,'Billing Aug'!$D$2:$D$770,A1075)*SUMIFS('Billing Aug'!$I$2:$I$770,'Billing Aug'!$D$2:$D$770,A1075))</f>
        <v/>
      </c>
      <c r="Q1075" s="37">
        <f>IF(N1075=0,"NO AUG TRANSACTION IN SUPPLIED EXTRACT",IF(ABS(P1075)&gt;0.004,"SUBLEDGER ARITHMETIC ERROR",IF(ABS(M1075)&gt;0.004,"BILLING VARIANCE","MATCH")))</f>
        <v/>
      </c>
    </row>
    <row r="1076">
      <c r="A1076" s="37" t="inlineStr">
        <is>
          <t>SB-0903</t>
        </is>
      </c>
      <c r="B1076" s="37" t="inlineStr">
        <is>
          <t>Salmonberry</t>
        </is>
      </c>
      <c r="C1076" s="37" t="inlineStr">
        <is>
          <t>OPEN</t>
        </is>
      </c>
      <c r="D1076" s="37" t="inlineStr">
        <is>
          <t>OCCUPIED</t>
        </is>
      </c>
      <c r="E1076" s="37" t="inlineStr">
        <is>
          <t>WL-03519</t>
        </is>
      </c>
      <c r="F1076" s="37" t="inlineStr">
        <is>
          <t>Crystal Moore</t>
        </is>
      </c>
      <c r="G1076" s="37" t="n">
        <v>80</v>
      </c>
      <c r="H1076" s="39" t="n">
        <v>31.9</v>
      </c>
      <c r="I1076" s="40">
        <f>ROUNDUP(MAX(G1076,H1076),0)</f>
        <v/>
      </c>
      <c r="J1076" s="41">
        <f>IF(C1076="COVERED",'Methodology'!$B$9,'Methodology'!$B$10)</f>
        <v/>
      </c>
      <c r="K1076" s="41">
        <f>I1076*J1076</f>
        <v/>
      </c>
      <c r="L1076" s="41">
        <f>SUMIFS('Billing Aug'!$J$2:$J$770,'Billing Aug'!$D$2:$D$770,A1076)</f>
        <v/>
      </c>
      <c r="M1076" s="41">
        <f>L1076-K1076</f>
        <v/>
      </c>
      <c r="N1076" s="37">
        <f>COUNTIF('Billing Aug'!$D$2:$D$770,A1076)</f>
        <v/>
      </c>
      <c r="O1076" s="37">
        <f>SUMIFS('Billing Aug'!$F$2:$F$770,'Billing Aug'!$D$2:$D$770,A1076)</f>
        <v/>
      </c>
      <c r="P1076" s="41">
        <f>IF(N1076=0,0,L1076-SUMIFS('Billing Aug'!$H$2:$H$770,'Billing Aug'!$D$2:$D$770,A1076)*SUMIFS('Billing Aug'!$I$2:$I$770,'Billing Aug'!$D$2:$D$770,A1076))</f>
        <v/>
      </c>
      <c r="Q1076" s="37">
        <f>IF(N1076=0,"NO AUG TRANSACTION IN SUPPLIED EXTRACT",IF(ABS(P1076)&gt;0.004,"SUBLEDGER ARITHMETIC ERROR",IF(ABS(M1076)&gt;0.004,"BILLING VARIANCE","MATCH")))</f>
        <v/>
      </c>
    </row>
    <row r="1077">
      <c r="A1077" s="37" t="inlineStr">
        <is>
          <t>SB-0904</t>
        </is>
      </c>
      <c r="B1077" s="37" t="inlineStr">
        <is>
          <t>Salmonberry</t>
        </is>
      </c>
      <c r="C1077" s="37" t="inlineStr">
        <is>
          <t>OPEN</t>
        </is>
      </c>
      <c r="D1077" s="37" t="inlineStr">
        <is>
          <t>OCCUPIED</t>
        </is>
      </c>
      <c r="E1077" s="37" t="inlineStr">
        <is>
          <t>WL-02180</t>
        </is>
      </c>
      <c r="F1077" s="37" t="inlineStr">
        <is>
          <t>Michele Jones</t>
        </is>
      </c>
      <c r="G1077" s="37" t="n">
        <v>80</v>
      </c>
      <c r="H1077" s="39" t="n">
        <v>59.4</v>
      </c>
      <c r="I1077" s="40">
        <f>ROUNDUP(MAX(G1077,H1077),0)</f>
        <v/>
      </c>
      <c r="J1077" s="41">
        <f>IF(C1077="COVERED",'Methodology'!$B$9,'Methodology'!$B$10)</f>
        <v/>
      </c>
      <c r="K1077" s="41">
        <f>I1077*J1077</f>
        <v/>
      </c>
      <c r="L1077" s="41">
        <f>SUMIFS('Billing Aug'!$J$2:$J$770,'Billing Aug'!$D$2:$D$770,A1077)</f>
        <v/>
      </c>
      <c r="M1077" s="41">
        <f>L1077-K1077</f>
        <v/>
      </c>
      <c r="N1077" s="37">
        <f>COUNTIF('Billing Aug'!$D$2:$D$770,A1077)</f>
        <v/>
      </c>
      <c r="O1077" s="37">
        <f>SUMIFS('Billing Aug'!$F$2:$F$770,'Billing Aug'!$D$2:$D$770,A1077)</f>
        <v/>
      </c>
      <c r="P1077" s="41">
        <f>IF(N1077=0,0,L1077-SUMIFS('Billing Aug'!$H$2:$H$770,'Billing Aug'!$D$2:$D$770,A1077)*SUMIFS('Billing Aug'!$I$2:$I$770,'Billing Aug'!$D$2:$D$770,A1077))</f>
        <v/>
      </c>
      <c r="Q1077" s="37">
        <f>IF(N1077=0,"NO AUG TRANSACTION IN SUPPLIED EXTRACT",IF(ABS(P1077)&gt;0.004,"SUBLEDGER ARITHMETIC ERROR",IF(ABS(M1077)&gt;0.004,"BILLING VARIANCE","MATCH")))</f>
        <v/>
      </c>
    </row>
    <row r="1078">
      <c r="A1078" s="37" t="inlineStr">
        <is>
          <t>SB-0905</t>
        </is>
      </c>
      <c r="B1078" s="37" t="inlineStr">
        <is>
          <t>Salmonberry</t>
        </is>
      </c>
      <c r="C1078" s="37" t="inlineStr">
        <is>
          <t>OPEN</t>
        </is>
      </c>
      <c r="D1078" s="37" t="inlineStr">
        <is>
          <t>OCCUPIED</t>
        </is>
      </c>
      <c r="E1078" s="37" t="inlineStr">
        <is>
          <t>WL-03714</t>
        </is>
      </c>
      <c r="F1078" s="37" t="inlineStr">
        <is>
          <t>Christopher Mitchell</t>
        </is>
      </c>
      <c r="G1078" s="37" t="n">
        <v>32</v>
      </c>
      <c r="H1078" s="39" t="n">
        <v>42.9</v>
      </c>
      <c r="I1078" s="40">
        <f>ROUNDUP(MAX(G1078,H1078),0)</f>
        <v/>
      </c>
      <c r="J1078" s="41">
        <f>IF(C1078="COVERED",'Methodology'!$B$9,'Methodology'!$B$10)</f>
        <v/>
      </c>
      <c r="K1078" s="41">
        <f>I1078*J1078</f>
        <v/>
      </c>
      <c r="L1078" s="41">
        <f>SUMIFS('Billing Aug'!$J$2:$J$770,'Billing Aug'!$D$2:$D$770,A1078)</f>
        <v/>
      </c>
      <c r="M1078" s="41">
        <f>L1078-K1078</f>
        <v/>
      </c>
      <c r="N1078" s="37">
        <f>COUNTIF('Billing Aug'!$D$2:$D$770,A1078)</f>
        <v/>
      </c>
      <c r="O1078" s="37">
        <f>SUMIFS('Billing Aug'!$F$2:$F$770,'Billing Aug'!$D$2:$D$770,A1078)</f>
        <v/>
      </c>
      <c r="P1078" s="41">
        <f>IF(N1078=0,0,L1078-SUMIFS('Billing Aug'!$H$2:$H$770,'Billing Aug'!$D$2:$D$770,A1078)*SUMIFS('Billing Aug'!$I$2:$I$770,'Billing Aug'!$D$2:$D$770,A1078))</f>
        <v/>
      </c>
      <c r="Q1078" s="37">
        <f>IF(N1078=0,"NO AUG TRANSACTION IN SUPPLIED EXTRACT",IF(ABS(P1078)&gt;0.004,"SUBLEDGER ARITHMETIC ERROR",IF(ABS(M1078)&gt;0.004,"BILLING VARIANCE","MATCH")))</f>
        <v/>
      </c>
    </row>
    <row r="1079">
      <c r="A1079" s="37" t="inlineStr">
        <is>
          <t>SB-0906</t>
        </is>
      </c>
      <c r="B1079" s="37" t="inlineStr">
        <is>
          <t>Salmonberry</t>
        </is>
      </c>
      <c r="C1079" s="37" t="inlineStr">
        <is>
          <t>OPEN</t>
        </is>
      </c>
      <c r="D1079" s="37" t="inlineStr">
        <is>
          <t>OCCUPIED</t>
        </is>
      </c>
      <c r="E1079" s="37" t="inlineStr">
        <is>
          <t>WL-01202</t>
        </is>
      </c>
      <c r="F1079" s="37" t="inlineStr">
        <is>
          <t>Kevin Benson</t>
        </is>
      </c>
      <c r="G1079" s="37" t="n">
        <v>36</v>
      </c>
      <c r="H1079" s="39" t="n">
        <v>44</v>
      </c>
      <c r="I1079" s="40">
        <f>ROUNDUP(MAX(G1079,H1079),0)</f>
        <v/>
      </c>
      <c r="J1079" s="41">
        <f>IF(C1079="COVERED",'Methodology'!$B$9,'Methodology'!$B$10)</f>
        <v/>
      </c>
      <c r="K1079" s="41">
        <f>I1079*J1079</f>
        <v/>
      </c>
      <c r="L1079" s="41">
        <f>SUMIFS('Billing Aug'!$J$2:$J$770,'Billing Aug'!$D$2:$D$770,A1079)</f>
        <v/>
      </c>
      <c r="M1079" s="41">
        <f>L1079-K1079</f>
        <v/>
      </c>
      <c r="N1079" s="37">
        <f>COUNTIF('Billing Aug'!$D$2:$D$770,A1079)</f>
        <v/>
      </c>
      <c r="O1079" s="37">
        <f>SUMIFS('Billing Aug'!$F$2:$F$770,'Billing Aug'!$D$2:$D$770,A1079)</f>
        <v/>
      </c>
      <c r="P1079" s="41">
        <f>IF(N1079=0,0,L1079-SUMIFS('Billing Aug'!$H$2:$H$770,'Billing Aug'!$D$2:$D$770,A1079)*SUMIFS('Billing Aug'!$I$2:$I$770,'Billing Aug'!$D$2:$D$770,A1079))</f>
        <v/>
      </c>
      <c r="Q1079" s="37">
        <f>IF(N1079=0,"NO AUG TRANSACTION IN SUPPLIED EXTRACT",IF(ABS(P1079)&gt;0.004,"SUBLEDGER ARITHMETIC ERROR",IF(ABS(M1079)&gt;0.004,"BILLING VARIANCE","MATCH")))</f>
        <v/>
      </c>
    </row>
    <row r="1080">
      <c r="A1080" s="37" t="inlineStr">
        <is>
          <t>SB-0908</t>
        </is>
      </c>
      <c r="B1080" s="37" t="inlineStr">
        <is>
          <t>Salmonberry</t>
        </is>
      </c>
      <c r="C1080" s="37" t="inlineStr">
        <is>
          <t>OPEN</t>
        </is>
      </c>
      <c r="D1080" s="37" t="inlineStr">
        <is>
          <t>OCCUPIED</t>
        </is>
      </c>
      <c r="E1080" s="37" t="inlineStr">
        <is>
          <t>WL-03796</t>
        </is>
      </c>
      <c r="F1080" s="37" t="inlineStr">
        <is>
          <t>Christine Johnson</t>
        </is>
      </c>
      <c r="G1080" s="37" t="n">
        <v>36</v>
      </c>
      <c r="H1080" s="39" t="n">
        <v>53.6</v>
      </c>
      <c r="I1080" s="40">
        <f>ROUNDUP(MAX(G1080,H1080),0)</f>
        <v/>
      </c>
      <c r="J1080" s="41">
        <f>IF(C1080="COVERED",'Methodology'!$B$9,'Methodology'!$B$10)</f>
        <v/>
      </c>
      <c r="K1080" s="41">
        <f>I1080*J1080</f>
        <v/>
      </c>
      <c r="L1080" s="41">
        <f>SUMIFS('Billing Aug'!$J$2:$J$770,'Billing Aug'!$D$2:$D$770,A1080)</f>
        <v/>
      </c>
      <c r="M1080" s="41">
        <f>L1080-K1080</f>
        <v/>
      </c>
      <c r="N1080" s="37">
        <f>COUNTIF('Billing Aug'!$D$2:$D$770,A1080)</f>
        <v/>
      </c>
      <c r="O1080" s="37">
        <f>SUMIFS('Billing Aug'!$F$2:$F$770,'Billing Aug'!$D$2:$D$770,A1080)</f>
        <v/>
      </c>
      <c r="P1080" s="41">
        <f>IF(N1080=0,0,L1080-SUMIFS('Billing Aug'!$H$2:$H$770,'Billing Aug'!$D$2:$D$770,A1080)*SUMIFS('Billing Aug'!$I$2:$I$770,'Billing Aug'!$D$2:$D$770,A1080))</f>
        <v/>
      </c>
      <c r="Q1080" s="37">
        <f>IF(N1080=0,"NO AUG TRANSACTION IN SUPPLIED EXTRACT",IF(ABS(P1080)&gt;0.004,"SUBLEDGER ARITHMETIC ERROR",IF(ABS(M1080)&gt;0.004,"BILLING VARIANCE","MATCH")))</f>
        <v/>
      </c>
    </row>
    <row r="1081">
      <c r="A1081" s="37" t="inlineStr">
        <is>
          <t>SB-0909</t>
        </is>
      </c>
      <c r="B1081" s="37" t="inlineStr">
        <is>
          <t>Salmonberry</t>
        </is>
      </c>
      <c r="C1081" s="37" t="inlineStr">
        <is>
          <t>OPEN</t>
        </is>
      </c>
      <c r="D1081" s="37" t="inlineStr">
        <is>
          <t>OCCUPIED</t>
        </is>
      </c>
      <c r="E1081" s="37" t="inlineStr">
        <is>
          <t>WL-01919</t>
        </is>
      </c>
      <c r="F1081" s="37" t="inlineStr">
        <is>
          <t>Glenda Perkins</t>
        </is>
      </c>
      <c r="G1081" s="37" t="n">
        <v>24</v>
      </c>
      <c r="H1081" s="39" t="n">
        <v>52.9</v>
      </c>
      <c r="I1081" s="40">
        <f>ROUNDUP(MAX(G1081,H1081),0)</f>
        <v/>
      </c>
      <c r="J1081" s="41">
        <f>IF(C1081="COVERED",'Methodology'!$B$9,'Methodology'!$B$10)</f>
        <v/>
      </c>
      <c r="K1081" s="41">
        <f>I1081*J1081</f>
        <v/>
      </c>
      <c r="L1081" s="41">
        <f>SUMIFS('Billing Aug'!$J$2:$J$770,'Billing Aug'!$D$2:$D$770,A1081)</f>
        <v/>
      </c>
      <c r="M1081" s="41">
        <f>L1081-K1081</f>
        <v/>
      </c>
      <c r="N1081" s="37">
        <f>COUNTIF('Billing Aug'!$D$2:$D$770,A1081)</f>
        <v/>
      </c>
      <c r="O1081" s="37">
        <f>SUMIFS('Billing Aug'!$F$2:$F$770,'Billing Aug'!$D$2:$D$770,A1081)</f>
        <v/>
      </c>
      <c r="P1081" s="41">
        <f>IF(N1081=0,0,L1081-SUMIFS('Billing Aug'!$H$2:$H$770,'Billing Aug'!$D$2:$D$770,A1081)*SUMIFS('Billing Aug'!$I$2:$I$770,'Billing Aug'!$D$2:$D$770,A1081))</f>
        <v/>
      </c>
      <c r="Q1081" s="37">
        <f>IF(N1081=0,"NO AUG TRANSACTION IN SUPPLIED EXTRACT",IF(ABS(P1081)&gt;0.004,"SUBLEDGER ARITHMETIC ERROR",IF(ABS(M1081)&gt;0.004,"BILLING VARIANCE","MATCH")))</f>
        <v/>
      </c>
    </row>
    <row r="1082">
      <c r="A1082" s="37" t="inlineStr">
        <is>
          <t>SB-0910</t>
        </is>
      </c>
      <c r="B1082" s="37" t="inlineStr">
        <is>
          <t>Salmonberry</t>
        </is>
      </c>
      <c r="C1082" s="37" t="inlineStr">
        <is>
          <t>OPEN</t>
        </is>
      </c>
      <c r="D1082" s="37" t="inlineStr">
        <is>
          <t>OCCUPIED</t>
        </is>
      </c>
      <c r="E1082" s="37" t="inlineStr">
        <is>
          <t>WL-01503</t>
        </is>
      </c>
      <c r="F1082" s="37" t="inlineStr">
        <is>
          <t>Kayla Moore</t>
        </is>
      </c>
      <c r="G1082" s="37" t="n">
        <v>28</v>
      </c>
      <c r="H1082" s="39" t="n">
        <v>61.1</v>
      </c>
      <c r="I1082" s="40">
        <f>ROUNDUP(MAX(G1082,H1082),0)</f>
        <v/>
      </c>
      <c r="J1082" s="41">
        <f>IF(C1082="COVERED",'Methodology'!$B$9,'Methodology'!$B$10)</f>
        <v/>
      </c>
      <c r="K1082" s="41">
        <f>I1082*J1082</f>
        <v/>
      </c>
      <c r="L1082" s="41">
        <f>SUMIFS('Billing Aug'!$J$2:$J$770,'Billing Aug'!$D$2:$D$770,A1082)</f>
        <v/>
      </c>
      <c r="M1082" s="41">
        <f>L1082-K1082</f>
        <v/>
      </c>
      <c r="N1082" s="37">
        <f>COUNTIF('Billing Aug'!$D$2:$D$770,A1082)</f>
        <v/>
      </c>
      <c r="O1082" s="37">
        <f>SUMIFS('Billing Aug'!$F$2:$F$770,'Billing Aug'!$D$2:$D$770,A1082)</f>
        <v/>
      </c>
      <c r="P1082" s="41">
        <f>IF(N1082=0,0,L1082-SUMIFS('Billing Aug'!$H$2:$H$770,'Billing Aug'!$D$2:$D$770,A1082)*SUMIFS('Billing Aug'!$I$2:$I$770,'Billing Aug'!$D$2:$D$770,A1082))</f>
        <v/>
      </c>
      <c r="Q1082" s="37">
        <f>IF(N1082=0,"NO AUG TRANSACTION IN SUPPLIED EXTRACT",IF(ABS(P1082)&gt;0.004,"SUBLEDGER ARITHMETIC ERROR",IF(ABS(M1082)&gt;0.004,"BILLING VARIANCE","MATCH")))</f>
        <v/>
      </c>
    </row>
    <row r="1083">
      <c r="A1083" s="37" t="inlineStr">
        <is>
          <t>SB-0911</t>
        </is>
      </c>
      <c r="B1083" s="37" t="inlineStr">
        <is>
          <t>Salmonberry</t>
        </is>
      </c>
      <c r="C1083" s="37" t="inlineStr">
        <is>
          <t>OPEN</t>
        </is>
      </c>
      <c r="D1083" s="37" t="inlineStr">
        <is>
          <t>OCCUPIED</t>
        </is>
      </c>
      <c r="E1083" s="37" t="inlineStr">
        <is>
          <t>WL-02912</t>
        </is>
      </c>
      <c r="F1083" s="37" t="inlineStr">
        <is>
          <t>Alan Ortiz</t>
        </is>
      </c>
      <c r="G1083" s="37" t="n">
        <v>28</v>
      </c>
      <c r="H1083" s="39" t="n">
        <v>52.6</v>
      </c>
      <c r="I1083" s="40">
        <f>ROUNDUP(MAX(G1083,H1083),0)</f>
        <v/>
      </c>
      <c r="J1083" s="41">
        <f>IF(C1083="COVERED",'Methodology'!$B$9,'Methodology'!$B$10)</f>
        <v/>
      </c>
      <c r="K1083" s="41">
        <f>I1083*J1083</f>
        <v/>
      </c>
      <c r="L1083" s="41">
        <f>SUMIFS('Billing Aug'!$J$2:$J$770,'Billing Aug'!$D$2:$D$770,A1083)</f>
        <v/>
      </c>
      <c r="M1083" s="41">
        <f>L1083-K1083</f>
        <v/>
      </c>
      <c r="N1083" s="37">
        <f>COUNTIF('Billing Aug'!$D$2:$D$770,A1083)</f>
        <v/>
      </c>
      <c r="O1083" s="37">
        <f>SUMIFS('Billing Aug'!$F$2:$F$770,'Billing Aug'!$D$2:$D$770,A1083)</f>
        <v/>
      </c>
      <c r="P1083" s="41">
        <f>IF(N1083=0,0,L1083-SUMIFS('Billing Aug'!$H$2:$H$770,'Billing Aug'!$D$2:$D$770,A1083)*SUMIFS('Billing Aug'!$I$2:$I$770,'Billing Aug'!$D$2:$D$770,A1083))</f>
        <v/>
      </c>
      <c r="Q1083" s="37">
        <f>IF(N1083=0,"NO AUG TRANSACTION IN SUPPLIED EXTRACT",IF(ABS(P1083)&gt;0.004,"SUBLEDGER ARITHMETIC ERROR",IF(ABS(M1083)&gt;0.004,"BILLING VARIANCE","MATCH")))</f>
        <v/>
      </c>
    </row>
    <row r="1084">
      <c r="A1084" s="37" t="inlineStr">
        <is>
          <t>SB-0912</t>
        </is>
      </c>
      <c r="B1084" s="37" t="inlineStr">
        <is>
          <t>Salmonberry</t>
        </is>
      </c>
      <c r="C1084" s="37" t="inlineStr">
        <is>
          <t>OPEN</t>
        </is>
      </c>
      <c r="D1084" s="37" t="inlineStr">
        <is>
          <t>OCCUPIED</t>
        </is>
      </c>
      <c r="E1084" s="37" t="inlineStr">
        <is>
          <t>WL-02350</t>
        </is>
      </c>
      <c r="F1084" s="37" t="inlineStr">
        <is>
          <t>Christy Chambers</t>
        </is>
      </c>
      <c r="G1084" s="37" t="n">
        <v>32</v>
      </c>
      <c r="H1084" s="39" t="n">
        <v>58.2</v>
      </c>
      <c r="I1084" s="40">
        <f>ROUNDUP(MAX(G1084,H1084),0)</f>
        <v/>
      </c>
      <c r="J1084" s="41">
        <f>IF(C1084="COVERED",'Methodology'!$B$9,'Methodology'!$B$10)</f>
        <v/>
      </c>
      <c r="K1084" s="41">
        <f>I1084*J1084</f>
        <v/>
      </c>
      <c r="L1084" s="41">
        <f>SUMIFS('Billing Aug'!$J$2:$J$770,'Billing Aug'!$D$2:$D$770,A1084)</f>
        <v/>
      </c>
      <c r="M1084" s="41">
        <f>L1084-K1084</f>
        <v/>
      </c>
      <c r="N1084" s="37">
        <f>COUNTIF('Billing Aug'!$D$2:$D$770,A1084)</f>
        <v/>
      </c>
      <c r="O1084" s="37">
        <f>SUMIFS('Billing Aug'!$F$2:$F$770,'Billing Aug'!$D$2:$D$770,A1084)</f>
        <v/>
      </c>
      <c r="P1084" s="41">
        <f>IF(N1084=0,0,L1084-SUMIFS('Billing Aug'!$H$2:$H$770,'Billing Aug'!$D$2:$D$770,A1084)*SUMIFS('Billing Aug'!$I$2:$I$770,'Billing Aug'!$D$2:$D$770,A1084))</f>
        <v/>
      </c>
      <c r="Q1084" s="37">
        <f>IF(N1084=0,"NO AUG TRANSACTION IN SUPPLIED EXTRACT",IF(ABS(P1084)&gt;0.004,"SUBLEDGER ARITHMETIC ERROR",IF(ABS(M1084)&gt;0.004,"BILLING VARIANCE","MATCH")))</f>
        <v/>
      </c>
    </row>
    <row r="1085">
      <c r="A1085" s="37" t="inlineStr">
        <is>
          <t>SB-0913</t>
        </is>
      </c>
      <c r="B1085" s="37" t="inlineStr">
        <is>
          <t>Salmonberry</t>
        </is>
      </c>
      <c r="C1085" s="37" t="inlineStr">
        <is>
          <t>OPEN</t>
        </is>
      </c>
      <c r="D1085" s="37" t="inlineStr">
        <is>
          <t>OCCUPIED</t>
        </is>
      </c>
      <c r="E1085" s="37" t="inlineStr">
        <is>
          <t>WL-02119</t>
        </is>
      </c>
      <c r="F1085" s="37" t="inlineStr">
        <is>
          <t>Eric Forbes</t>
        </is>
      </c>
      <c r="G1085" s="37" t="n">
        <v>28</v>
      </c>
      <c r="H1085" s="39" t="n">
        <v>57.3</v>
      </c>
      <c r="I1085" s="40">
        <f>ROUNDUP(MAX(G1085,H1085),0)</f>
        <v/>
      </c>
      <c r="J1085" s="41">
        <f>IF(C1085="COVERED",'Methodology'!$B$9,'Methodology'!$B$10)</f>
        <v/>
      </c>
      <c r="K1085" s="41">
        <f>I1085*J1085</f>
        <v/>
      </c>
      <c r="L1085" s="41">
        <f>SUMIFS('Billing Aug'!$J$2:$J$770,'Billing Aug'!$D$2:$D$770,A1085)</f>
        <v/>
      </c>
      <c r="M1085" s="41">
        <f>L1085-K1085</f>
        <v/>
      </c>
      <c r="N1085" s="37">
        <f>COUNTIF('Billing Aug'!$D$2:$D$770,A1085)</f>
        <v/>
      </c>
      <c r="O1085" s="37">
        <f>SUMIFS('Billing Aug'!$F$2:$F$770,'Billing Aug'!$D$2:$D$770,A1085)</f>
        <v/>
      </c>
      <c r="P1085" s="41">
        <f>IF(N1085=0,0,L1085-SUMIFS('Billing Aug'!$H$2:$H$770,'Billing Aug'!$D$2:$D$770,A1085)*SUMIFS('Billing Aug'!$I$2:$I$770,'Billing Aug'!$D$2:$D$770,A1085))</f>
        <v/>
      </c>
      <c r="Q1085" s="37">
        <f>IF(N1085=0,"NO AUG TRANSACTION IN SUPPLIED EXTRACT",IF(ABS(P1085)&gt;0.004,"SUBLEDGER ARITHMETIC ERROR",IF(ABS(M1085)&gt;0.004,"BILLING VARIANCE","MATCH")))</f>
        <v/>
      </c>
    </row>
    <row r="1086">
      <c r="A1086" s="37" t="inlineStr">
        <is>
          <t>SB-0914</t>
        </is>
      </c>
      <c r="B1086" s="37" t="inlineStr">
        <is>
          <t>Salmonberry</t>
        </is>
      </c>
      <c r="C1086" s="37" t="inlineStr">
        <is>
          <t>OPEN</t>
        </is>
      </c>
      <c r="D1086" s="37" t="inlineStr">
        <is>
          <t>OCCUPIED</t>
        </is>
      </c>
      <c r="E1086" s="37" t="inlineStr">
        <is>
          <t>WL-02602</t>
        </is>
      </c>
      <c r="F1086" s="37" t="inlineStr">
        <is>
          <t>John Shah</t>
        </is>
      </c>
      <c r="G1086" s="37" t="n">
        <v>50</v>
      </c>
      <c r="H1086" s="39" t="n">
        <v>27.7</v>
      </c>
      <c r="I1086" s="40">
        <f>ROUNDUP(MAX(G1086,H1086),0)</f>
        <v/>
      </c>
      <c r="J1086" s="41">
        <f>IF(C1086="COVERED",'Methodology'!$B$9,'Methodology'!$B$10)</f>
        <v/>
      </c>
      <c r="K1086" s="41">
        <f>I1086*J1086</f>
        <v/>
      </c>
      <c r="L1086" s="41">
        <f>SUMIFS('Billing Aug'!$J$2:$J$770,'Billing Aug'!$D$2:$D$770,A1086)</f>
        <v/>
      </c>
      <c r="M1086" s="41">
        <f>L1086-K1086</f>
        <v/>
      </c>
      <c r="N1086" s="37">
        <f>COUNTIF('Billing Aug'!$D$2:$D$770,A1086)</f>
        <v/>
      </c>
      <c r="O1086" s="37">
        <f>SUMIFS('Billing Aug'!$F$2:$F$770,'Billing Aug'!$D$2:$D$770,A1086)</f>
        <v/>
      </c>
      <c r="P1086" s="41">
        <f>IF(N1086=0,0,L1086-SUMIFS('Billing Aug'!$H$2:$H$770,'Billing Aug'!$D$2:$D$770,A1086)*SUMIFS('Billing Aug'!$I$2:$I$770,'Billing Aug'!$D$2:$D$770,A1086))</f>
        <v/>
      </c>
      <c r="Q1086" s="37">
        <f>IF(N1086=0,"NO AUG TRANSACTION IN SUPPLIED EXTRACT",IF(ABS(P1086)&gt;0.004,"SUBLEDGER ARITHMETIC ERROR",IF(ABS(M1086)&gt;0.004,"BILLING VARIANCE","MATCH")))</f>
        <v/>
      </c>
    </row>
    <row r="1087">
      <c r="A1087" s="37" t="inlineStr">
        <is>
          <t>SB-0915</t>
        </is>
      </c>
      <c r="B1087" s="37" t="inlineStr">
        <is>
          <t>Salmonberry</t>
        </is>
      </c>
      <c r="C1087" s="37" t="inlineStr">
        <is>
          <t>OPEN</t>
        </is>
      </c>
      <c r="D1087" s="37" t="inlineStr">
        <is>
          <t>OCCUPIED</t>
        </is>
      </c>
      <c r="E1087" s="37" t="inlineStr">
        <is>
          <t>WL-03084</t>
        </is>
      </c>
      <c r="F1087" s="37" t="inlineStr">
        <is>
          <t>Timothy Johnson</t>
        </is>
      </c>
      <c r="G1087" s="37" t="n">
        <v>32</v>
      </c>
      <c r="H1087" s="39" t="n">
        <v>58.9</v>
      </c>
      <c r="I1087" s="40">
        <f>ROUNDUP(MAX(G1087,H1087),0)</f>
        <v/>
      </c>
      <c r="J1087" s="41">
        <f>IF(C1087="COVERED",'Methodology'!$B$9,'Methodology'!$B$10)</f>
        <v/>
      </c>
      <c r="K1087" s="41">
        <f>I1087*J1087</f>
        <v/>
      </c>
      <c r="L1087" s="41">
        <f>SUMIFS('Billing Aug'!$J$2:$J$770,'Billing Aug'!$D$2:$D$770,A1087)</f>
        <v/>
      </c>
      <c r="M1087" s="41">
        <f>L1087-K1087</f>
        <v/>
      </c>
      <c r="N1087" s="37">
        <f>COUNTIF('Billing Aug'!$D$2:$D$770,A1087)</f>
        <v/>
      </c>
      <c r="O1087" s="37">
        <f>SUMIFS('Billing Aug'!$F$2:$F$770,'Billing Aug'!$D$2:$D$770,A1087)</f>
        <v/>
      </c>
      <c r="P1087" s="41">
        <f>IF(N1087=0,0,L1087-SUMIFS('Billing Aug'!$H$2:$H$770,'Billing Aug'!$D$2:$D$770,A1087)*SUMIFS('Billing Aug'!$I$2:$I$770,'Billing Aug'!$D$2:$D$770,A1087))</f>
        <v/>
      </c>
      <c r="Q1087" s="37">
        <f>IF(N1087=0,"NO AUG TRANSACTION IN SUPPLIED EXTRACT",IF(ABS(P1087)&gt;0.004,"SUBLEDGER ARITHMETIC ERROR",IF(ABS(M1087)&gt;0.004,"BILLING VARIANCE","MATCH")))</f>
        <v/>
      </c>
    </row>
    <row r="1088">
      <c r="A1088" s="37" t="inlineStr">
        <is>
          <t>SB-0916</t>
        </is>
      </c>
      <c r="B1088" s="37" t="inlineStr">
        <is>
          <t>Salmonberry</t>
        </is>
      </c>
      <c r="C1088" s="37" t="inlineStr">
        <is>
          <t>OPEN</t>
        </is>
      </c>
      <c r="D1088" s="37" t="inlineStr">
        <is>
          <t>OCCUPIED</t>
        </is>
      </c>
      <c r="E1088" s="37" t="inlineStr">
        <is>
          <t>WL-03528</t>
        </is>
      </c>
      <c r="F1088" s="37" t="inlineStr">
        <is>
          <t>Gina Hudson</t>
        </is>
      </c>
      <c r="G1088" s="37" t="n">
        <v>60</v>
      </c>
      <c r="H1088" s="39" t="n">
        <v>43.1</v>
      </c>
      <c r="I1088" s="40">
        <f>ROUNDUP(MAX(G1088,H1088),0)</f>
        <v/>
      </c>
      <c r="J1088" s="41">
        <f>IF(C1088="COVERED",'Methodology'!$B$9,'Methodology'!$B$10)</f>
        <v/>
      </c>
      <c r="K1088" s="41">
        <f>I1088*J1088</f>
        <v/>
      </c>
      <c r="L1088" s="41">
        <f>SUMIFS('Billing Aug'!$J$2:$J$770,'Billing Aug'!$D$2:$D$770,A1088)</f>
        <v/>
      </c>
      <c r="M1088" s="41">
        <f>L1088-K1088</f>
        <v/>
      </c>
      <c r="N1088" s="37">
        <f>COUNTIF('Billing Aug'!$D$2:$D$770,A1088)</f>
        <v/>
      </c>
      <c r="O1088" s="37">
        <f>SUMIFS('Billing Aug'!$F$2:$F$770,'Billing Aug'!$D$2:$D$770,A1088)</f>
        <v/>
      </c>
      <c r="P1088" s="41">
        <f>IF(N1088=0,0,L1088-SUMIFS('Billing Aug'!$H$2:$H$770,'Billing Aug'!$D$2:$D$770,A1088)*SUMIFS('Billing Aug'!$I$2:$I$770,'Billing Aug'!$D$2:$D$770,A1088))</f>
        <v/>
      </c>
      <c r="Q1088" s="37">
        <f>IF(N1088=0,"NO AUG TRANSACTION IN SUPPLIED EXTRACT",IF(ABS(P1088)&gt;0.004,"SUBLEDGER ARITHMETIC ERROR",IF(ABS(M1088)&gt;0.004,"BILLING VARIANCE","MATCH")))</f>
        <v/>
      </c>
    </row>
    <row r="1089">
      <c r="A1089" s="37" t="inlineStr">
        <is>
          <t>SB-0917</t>
        </is>
      </c>
      <c r="B1089" s="37" t="inlineStr">
        <is>
          <t>Salmonberry</t>
        </is>
      </c>
      <c r="C1089" s="37" t="inlineStr">
        <is>
          <t>OPEN</t>
        </is>
      </c>
      <c r="D1089" s="37" t="inlineStr">
        <is>
          <t>OCCUPIED</t>
        </is>
      </c>
      <c r="E1089" s="37" t="inlineStr">
        <is>
          <t>WL-01294</t>
        </is>
      </c>
      <c r="F1089" s="37" t="inlineStr">
        <is>
          <t>Peter Jenkins</t>
        </is>
      </c>
      <c r="G1089" s="37" t="n">
        <v>45</v>
      </c>
      <c r="H1089" s="39" t="n">
        <v>48.2</v>
      </c>
      <c r="I1089" s="40">
        <f>ROUNDUP(MAX(G1089,H1089),0)</f>
        <v/>
      </c>
      <c r="J1089" s="41">
        <f>IF(C1089="COVERED",'Methodology'!$B$9,'Methodology'!$B$10)</f>
        <v/>
      </c>
      <c r="K1089" s="41">
        <f>I1089*J1089</f>
        <v/>
      </c>
      <c r="L1089" s="41">
        <f>SUMIFS('Billing Aug'!$J$2:$J$770,'Billing Aug'!$D$2:$D$770,A1089)</f>
        <v/>
      </c>
      <c r="M1089" s="41">
        <f>L1089-K1089</f>
        <v/>
      </c>
      <c r="N1089" s="37">
        <f>COUNTIF('Billing Aug'!$D$2:$D$770,A1089)</f>
        <v/>
      </c>
      <c r="O1089" s="37">
        <f>SUMIFS('Billing Aug'!$F$2:$F$770,'Billing Aug'!$D$2:$D$770,A1089)</f>
        <v/>
      </c>
      <c r="P1089" s="41">
        <f>IF(N1089=0,0,L1089-SUMIFS('Billing Aug'!$H$2:$H$770,'Billing Aug'!$D$2:$D$770,A1089)*SUMIFS('Billing Aug'!$I$2:$I$770,'Billing Aug'!$D$2:$D$770,A1089))</f>
        <v/>
      </c>
      <c r="Q1089" s="37">
        <f>IF(N1089=0,"NO AUG TRANSACTION IN SUPPLIED EXTRACT",IF(ABS(P1089)&gt;0.004,"SUBLEDGER ARITHMETIC ERROR",IF(ABS(M1089)&gt;0.004,"BILLING VARIANCE","MATCH")))</f>
        <v/>
      </c>
    </row>
    <row r="1090">
      <c r="A1090" s="37" t="inlineStr">
        <is>
          <t>SB-0918</t>
        </is>
      </c>
      <c r="B1090" s="37" t="inlineStr">
        <is>
          <t>Salmonberry</t>
        </is>
      </c>
      <c r="C1090" s="37" t="inlineStr">
        <is>
          <t>OPEN</t>
        </is>
      </c>
      <c r="D1090" s="37" t="inlineStr">
        <is>
          <t>OCCUPIED</t>
        </is>
      </c>
      <c r="E1090" s="37" t="inlineStr">
        <is>
          <t>WL-03420</t>
        </is>
      </c>
      <c r="F1090" s="37" t="inlineStr">
        <is>
          <t>Laura Franklin</t>
        </is>
      </c>
      <c r="G1090" s="37" t="n">
        <v>80</v>
      </c>
      <c r="H1090" s="39" t="n">
        <v>56.6</v>
      </c>
      <c r="I1090" s="40">
        <f>ROUNDUP(MAX(G1090,H1090),0)</f>
        <v/>
      </c>
      <c r="J1090" s="41">
        <f>IF(C1090="COVERED",'Methodology'!$B$9,'Methodology'!$B$10)</f>
        <v/>
      </c>
      <c r="K1090" s="41">
        <f>I1090*J1090</f>
        <v/>
      </c>
      <c r="L1090" s="41">
        <f>SUMIFS('Billing Aug'!$J$2:$J$770,'Billing Aug'!$D$2:$D$770,A1090)</f>
        <v/>
      </c>
      <c r="M1090" s="41">
        <f>L1090-K1090</f>
        <v/>
      </c>
      <c r="N1090" s="37">
        <f>COUNTIF('Billing Aug'!$D$2:$D$770,A1090)</f>
        <v/>
      </c>
      <c r="O1090" s="37">
        <f>SUMIFS('Billing Aug'!$F$2:$F$770,'Billing Aug'!$D$2:$D$770,A1090)</f>
        <v/>
      </c>
      <c r="P1090" s="41">
        <f>IF(N1090=0,0,L1090-SUMIFS('Billing Aug'!$H$2:$H$770,'Billing Aug'!$D$2:$D$770,A1090)*SUMIFS('Billing Aug'!$I$2:$I$770,'Billing Aug'!$D$2:$D$770,A1090))</f>
        <v/>
      </c>
      <c r="Q1090" s="37">
        <f>IF(N1090=0,"NO AUG TRANSACTION IN SUPPLIED EXTRACT",IF(ABS(P1090)&gt;0.004,"SUBLEDGER ARITHMETIC ERROR",IF(ABS(M1090)&gt;0.004,"BILLING VARIANCE","MATCH")))</f>
        <v/>
      </c>
    </row>
  </sheetData>
  <mergeCells count="2">
    <mergeCell ref="A1:Q1"/>
    <mergeCell ref="A2:Q2"/>
  </mergeCells>
  <conditionalFormatting sqref="M5:M1090">
    <cfRule type="cellIs" priority="1" operator="lessThan" dxfId="0">
      <formula>-0.004</formula>
    </cfRule>
  </conditionalFormatting>
  <conditionalFormatting sqref="Q5:Q1090">
    <cfRule type="cellIs" priority="2" operator="equal" dxfId="2">
      <formula>"MATCH"</formula>
    </cfRule>
  </conditionalFormatting>
  <pageMargins left="0.25" right="0.25" top="0.35" bottom="0.4" header="0.5" footer="0.5"/>
  <pageSetup orientation="landscape" paperSize="5" fitToHeight="0" fitToWidth="1"/>
  <headerFooter>
    <oddHeader/>
    <oddFooter>&amp;CChaldale Harbor Moorage Audit | August 7, 2026&amp;RPage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2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3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3" customWidth="1" min="12" max="12"/>
    <col width="16" customWidth="1" min="13" max="13"/>
    <col width="14" customWidth="1" min="14" max="14"/>
    <col width="12" customWidth="1" min="15" max="15"/>
    <col width="15" customWidth="1" min="16" max="16"/>
    <col width="17" customWidth="1" min="17" max="17"/>
    <col width="16" customWidth="1" min="18" max="18"/>
    <col width="14" customWidth="1" min="19" max="19"/>
    <col width="14" customWidth="1" min="20" max="20"/>
    <col width="16" customWidth="1" min="21" max="21"/>
    <col width="12" customWidth="1" min="22" max="22"/>
  </cols>
  <sheetData>
    <row r="1" ht="30" customHeight="1">
      <c r="A1" s="1" t="inlineStr">
        <is>
          <t>Aging and Collection Audit</t>
        </is>
      </c>
    </row>
    <row r="2" ht="28" customHeight="1">
      <c r="A2" s="2" t="inlineStr">
        <is>
          <t>Population: ar_aging_2026-07-31.xlsx, AR_Aging rows. Delinquency target is the stated 91-120 and 120+ buckets; account-to-slip join uses the account_id suffix, then verifies current occupancy.</t>
        </is>
      </c>
    </row>
    <row r="3"/>
    <row r="4" ht="30" customHeight="1">
      <c r="A4" s="36" t="inlineStr">
        <is>
          <t>Account ID</t>
        </is>
      </c>
      <c r="B4" s="36" t="inlineStr">
        <is>
          <t>Tenant</t>
        </is>
      </c>
      <c r="C4" s="36" t="inlineStr">
        <is>
          <t>Source Slip ID</t>
        </is>
      </c>
      <c r="D4" s="36" t="inlineStr">
        <is>
          <t>Basin</t>
        </is>
      </c>
      <c r="E4" s="36" t="inlineStr">
        <is>
          <t>Rate Class</t>
        </is>
      </c>
      <c r="F4" s="36" t="inlineStr">
        <is>
          <t>Current</t>
        </is>
      </c>
      <c r="G4" s="36" t="inlineStr">
        <is>
          <t>31-60</t>
        </is>
      </c>
      <c r="H4" s="36" t="inlineStr">
        <is>
          <t>61-90</t>
        </is>
      </c>
      <c r="I4" s="36" t="inlineStr">
        <is>
          <t>91-120</t>
        </is>
      </c>
      <c r="J4" s="36" t="inlineStr">
        <is>
          <t>120+</t>
        </is>
      </c>
      <c r="K4" s="36" t="inlineStr">
        <is>
          <t>Reported Total Due</t>
        </is>
      </c>
      <c r="L4" s="36" t="inlineStr">
        <is>
          <t>Last Payment</t>
        </is>
      </c>
      <c r="M4" s="36" t="inlineStr">
        <is>
          <t>Payment Status</t>
        </is>
      </c>
      <c r="N4" s="36" t="inlineStr">
        <is>
          <t>Embedded Slip ID</t>
        </is>
      </c>
      <c r="O4" s="36" t="inlineStr">
        <is>
          <t>Slip ID Match</t>
        </is>
      </c>
      <c r="P4" s="36" t="inlineStr">
        <is>
          <t>Inventory Status</t>
        </is>
      </c>
      <c r="Q4" s="36" t="inlineStr">
        <is>
          <t>Calculated Total Due</t>
        </is>
      </c>
      <c r="R4" s="36" t="inlineStr">
        <is>
          <t>Arithmetic Variance</t>
        </is>
      </c>
      <c r="S4" s="36" t="inlineStr">
        <is>
          <t>91+ Balance</t>
        </is>
      </c>
      <c r="T4" s="36" t="inlineStr">
        <is>
          <t>Target Delinquent</t>
        </is>
      </c>
      <c r="U4" s="36" t="inlineStr">
        <is>
          <t>Collection Candidate</t>
        </is>
      </c>
      <c r="V4" s="36" t="inlineStr">
        <is>
          <t>Priority</t>
        </is>
      </c>
    </row>
    <row r="5">
      <c r="A5" s="37" t="inlineStr">
        <is>
          <t>AC-LP-0101</t>
        </is>
      </c>
      <c r="B5" s="37" t="inlineStr">
        <is>
          <t>Elizabeth Burns</t>
        </is>
      </c>
      <c r="C5" s="37" t="inlineStr">
        <is>
          <t>LP-0101</t>
        </is>
      </c>
      <c r="D5" s="37" t="inlineStr">
        <is>
          <t>Ledgport</t>
        </is>
      </c>
      <c r="E5" s="37" t="inlineStr">
        <is>
          <t>NON_COMM_MONTHLY</t>
        </is>
      </c>
      <c r="F5" s="41" t="n">
        <v>530.4</v>
      </c>
      <c r="G5" s="41" t="n">
        <v>0</v>
      </c>
      <c r="H5" s="41" t="n">
        <v>0</v>
      </c>
      <c r="I5" s="41" t="n">
        <v>0</v>
      </c>
      <c r="J5" s="41" t="n">
        <v>0</v>
      </c>
      <c r="K5" s="41" t="n">
        <v>530.4</v>
      </c>
      <c r="L5" s="37" t="inlineStr">
        <is>
          <t>2026-05-16</t>
        </is>
      </c>
      <c r="M5" s="37" t="inlineStr">
        <is>
          <t>CURRENT</t>
        </is>
      </c>
      <c r="N5" s="37">
        <f>RIGHT(A5,LEN(A5)-3)</f>
        <v/>
      </c>
      <c r="O5" s="37">
        <f>IF(N5=C5,"YES","NO")</f>
        <v/>
      </c>
      <c r="P5" s="37">
        <f>IFERROR(INDEX(Inventory!$E$2:$E$1181,MATCH(N5,Inventory!$A$2:$A$1181,0)),"NOT FOUND")</f>
        <v/>
      </c>
      <c r="Q5" s="41">
        <f>SUM(F5:J5)</f>
        <v/>
      </c>
      <c r="R5" s="41">
        <f>K5-Q5</f>
        <v/>
      </c>
      <c r="S5" s="41">
        <f>I5+J5</f>
        <v/>
      </c>
      <c r="T5" s="37">
        <f>IF(S5&gt;0,"YES","NO")</f>
        <v/>
      </c>
      <c r="U5" s="37">
        <f>IF(AND(T5="YES",P5="OCCUPIED",O5="YES",ABS(R5)&lt;=0.004),"YES","NO")</f>
        <v/>
      </c>
      <c r="V5" s="37">
        <f>IF(ABS(R5)&gt;0.004,"Priority 3",IF(U5="YES","COLLECTION",""))</f>
        <v/>
      </c>
    </row>
    <row r="6">
      <c r="A6" s="37" t="inlineStr">
        <is>
          <t>AC-LP-0102</t>
        </is>
      </c>
      <c r="B6" s="37" t="inlineStr">
        <is>
          <t>Damon Phillips</t>
        </is>
      </c>
      <c r="C6" s="37" t="inlineStr">
        <is>
          <t>LP-0102</t>
        </is>
      </c>
      <c r="D6" s="37" t="inlineStr">
        <is>
          <t>Ledgport</t>
        </is>
      </c>
      <c r="E6" s="37" t="inlineStr">
        <is>
          <t>NON_COMM_MONTHLY</t>
        </is>
      </c>
      <c r="F6" s="41" t="n">
        <v>416</v>
      </c>
      <c r="G6" s="41" t="n">
        <v>0</v>
      </c>
      <c r="H6" s="41" t="n">
        <v>0</v>
      </c>
      <c r="I6" s="41" t="n">
        <v>0</v>
      </c>
      <c r="J6" s="41" t="n">
        <v>0</v>
      </c>
      <c r="K6" s="41" t="n">
        <v>0</v>
      </c>
      <c r="L6" s="37" t="inlineStr">
        <is>
          <t>2026-06-02</t>
        </is>
      </c>
      <c r="M6" s="37" t="inlineStr">
        <is>
          <t>CURRENT</t>
        </is>
      </c>
      <c r="N6" s="37">
        <f>RIGHT(A6,LEN(A6)-3)</f>
        <v/>
      </c>
      <c r="O6" s="37">
        <f>IF(N6=C6,"YES","NO")</f>
        <v/>
      </c>
      <c r="P6" s="37">
        <f>IFERROR(INDEX(Inventory!$E$2:$E$1181,MATCH(N6,Inventory!$A$2:$A$1181,0)),"NOT FOUND")</f>
        <v/>
      </c>
      <c r="Q6" s="41">
        <f>SUM(F6:J6)</f>
        <v/>
      </c>
      <c r="R6" s="41">
        <f>K6-Q6</f>
        <v/>
      </c>
      <c r="S6" s="41">
        <f>I6+J6</f>
        <v/>
      </c>
      <c r="T6" s="37">
        <f>IF(S6&gt;0,"YES","NO")</f>
        <v/>
      </c>
      <c r="U6" s="37">
        <f>IF(AND(T6="YES",P6="OCCUPIED",O6="YES",ABS(R6)&lt;=0.004),"YES","NO")</f>
        <v/>
      </c>
      <c r="V6" s="37">
        <f>IF(ABS(R6)&gt;0.004,"Priority 3",IF(U6="YES","COLLECTION",""))</f>
        <v/>
      </c>
    </row>
    <row r="7">
      <c r="A7" s="37" t="inlineStr">
        <is>
          <t>AC-LP-0103</t>
        </is>
      </c>
      <c r="B7" s="37" t="inlineStr">
        <is>
          <t>Charles Hudson</t>
        </is>
      </c>
      <c r="C7" s="37" t="inlineStr">
        <is>
          <t>LP-0103</t>
        </is>
      </c>
      <c r="D7" s="37" t="inlineStr">
        <is>
          <t>Ledgport</t>
        </is>
      </c>
      <c r="E7" s="37" t="inlineStr">
        <is>
          <t>NON_COMM_MONTHLY</t>
        </is>
      </c>
      <c r="F7" s="41" t="n">
        <v>343.2</v>
      </c>
      <c r="G7" s="41" t="n">
        <v>0</v>
      </c>
      <c r="H7" s="41" t="n">
        <v>0</v>
      </c>
      <c r="I7" s="41" t="n">
        <v>0</v>
      </c>
      <c r="J7" s="41" t="n">
        <v>0</v>
      </c>
      <c r="K7" s="41" t="n">
        <v>343.2</v>
      </c>
      <c r="L7" s="37" t="inlineStr">
        <is>
          <t>2026-06-09</t>
        </is>
      </c>
      <c r="M7" s="37" t="inlineStr">
        <is>
          <t>CURRENT</t>
        </is>
      </c>
      <c r="N7" s="37">
        <f>RIGHT(A7,LEN(A7)-3)</f>
        <v/>
      </c>
      <c r="O7" s="37">
        <f>IF(N7=C7,"YES","NO")</f>
        <v/>
      </c>
      <c r="P7" s="37">
        <f>IFERROR(INDEX(Inventory!$E$2:$E$1181,MATCH(N7,Inventory!$A$2:$A$1181,0)),"NOT FOUND")</f>
        <v/>
      </c>
      <c r="Q7" s="41">
        <f>SUM(F7:J7)</f>
        <v/>
      </c>
      <c r="R7" s="41">
        <f>K7-Q7</f>
        <v/>
      </c>
      <c r="S7" s="41">
        <f>I7+J7</f>
        <v/>
      </c>
      <c r="T7" s="37">
        <f>IF(S7&gt;0,"YES","NO")</f>
        <v/>
      </c>
      <c r="U7" s="37">
        <f>IF(AND(T7="YES",P7="OCCUPIED",O7="YES",ABS(R7)&lt;=0.004),"YES","NO")</f>
        <v/>
      </c>
      <c r="V7" s="37">
        <f>IF(ABS(R7)&gt;0.004,"Priority 3",IF(U7="YES","COLLECTION",""))</f>
        <v/>
      </c>
    </row>
    <row r="8">
      <c r="A8" s="37" t="inlineStr">
        <is>
          <t>AC-LP-0104</t>
        </is>
      </c>
      <c r="B8" s="37" t="inlineStr">
        <is>
          <t>Vincent Johnson</t>
        </is>
      </c>
      <c r="C8" s="37" t="inlineStr">
        <is>
          <t>LP-0104</t>
        </is>
      </c>
      <c r="D8" s="37" t="inlineStr">
        <is>
          <t>Ledgport</t>
        </is>
      </c>
      <c r="E8" s="37" t="inlineStr">
        <is>
          <t>NON_COMM_MONTHLY</t>
        </is>
      </c>
      <c r="F8" s="41" t="n">
        <v>447.2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447.2</v>
      </c>
      <c r="L8" s="37" t="inlineStr">
        <is>
          <t>2026-05-02</t>
        </is>
      </c>
      <c r="M8" s="37" t="inlineStr">
        <is>
          <t>CURRENT</t>
        </is>
      </c>
      <c r="N8" s="37">
        <f>RIGHT(A8,LEN(A8)-3)</f>
        <v/>
      </c>
      <c r="O8" s="37">
        <f>IF(N8=C8,"YES","NO")</f>
        <v/>
      </c>
      <c r="P8" s="37">
        <f>IFERROR(INDEX(Inventory!$E$2:$E$1181,MATCH(N8,Inventory!$A$2:$A$1181,0)),"NOT FOUND")</f>
        <v/>
      </c>
      <c r="Q8" s="41">
        <f>SUM(F8:J8)</f>
        <v/>
      </c>
      <c r="R8" s="41">
        <f>K8-Q8</f>
        <v/>
      </c>
      <c r="S8" s="41">
        <f>I8+J8</f>
        <v/>
      </c>
      <c r="T8" s="37">
        <f>IF(S8&gt;0,"YES","NO")</f>
        <v/>
      </c>
      <c r="U8" s="37">
        <f>IF(AND(T8="YES",P8="OCCUPIED",O8="YES",ABS(R8)&lt;=0.004),"YES","NO")</f>
        <v/>
      </c>
      <c r="V8" s="37">
        <f>IF(ABS(R8)&gt;0.004,"Priority 3",IF(U8="YES","COLLECTION",""))</f>
        <v/>
      </c>
    </row>
    <row r="9">
      <c r="A9" s="37" t="inlineStr">
        <is>
          <t>AC-LP-0105</t>
        </is>
      </c>
      <c r="B9" s="37" t="inlineStr">
        <is>
          <t>John Heath</t>
        </is>
      </c>
      <c r="C9" s="37" t="inlineStr">
        <is>
          <t>LP-0105</t>
        </is>
      </c>
      <c r="D9" s="37" t="inlineStr">
        <is>
          <t>Ledgport</t>
        </is>
      </c>
      <c r="E9" s="37" t="inlineStr">
        <is>
          <t>NON_COMM_MONTHLY</t>
        </is>
      </c>
      <c r="F9" s="41" t="n">
        <v>405.6</v>
      </c>
      <c r="G9" s="41" t="n">
        <v>0</v>
      </c>
      <c r="H9" s="41" t="n">
        <v>0</v>
      </c>
      <c r="I9" s="41" t="n">
        <v>0</v>
      </c>
      <c r="J9" s="41" t="n">
        <v>0</v>
      </c>
      <c r="K9" s="41" t="n">
        <v>405.6</v>
      </c>
      <c r="L9" s="37" t="inlineStr">
        <is>
          <t>2026-07-19</t>
        </is>
      </c>
      <c r="M9" s="37" t="inlineStr">
        <is>
          <t>CURRENT</t>
        </is>
      </c>
      <c r="N9" s="37">
        <f>RIGHT(A9,LEN(A9)-3)</f>
        <v/>
      </c>
      <c r="O9" s="37">
        <f>IF(N9=C9,"YES","NO")</f>
        <v/>
      </c>
      <c r="P9" s="37">
        <f>IFERROR(INDEX(Inventory!$E$2:$E$1181,MATCH(N9,Inventory!$A$2:$A$1181,0)),"NOT FOUND")</f>
        <v/>
      </c>
      <c r="Q9" s="41">
        <f>SUM(F9:J9)</f>
        <v/>
      </c>
      <c r="R9" s="41">
        <f>K9-Q9</f>
        <v/>
      </c>
      <c r="S9" s="41">
        <f>I9+J9</f>
        <v/>
      </c>
      <c r="T9" s="37">
        <f>IF(S9&gt;0,"YES","NO")</f>
        <v/>
      </c>
      <c r="U9" s="37">
        <f>IF(AND(T9="YES",P9="OCCUPIED",O9="YES",ABS(R9)&lt;=0.004),"YES","NO")</f>
        <v/>
      </c>
      <c r="V9" s="37">
        <f>IF(ABS(R9)&gt;0.004,"Priority 3",IF(U9="YES","COLLECTION",""))</f>
        <v/>
      </c>
    </row>
    <row r="10">
      <c r="A10" s="37" t="inlineStr">
        <is>
          <t>AC-LP-0106</t>
        </is>
      </c>
      <c r="B10" s="37" t="inlineStr">
        <is>
          <t>Cheryl Elliott</t>
        </is>
      </c>
      <c r="C10" s="37" t="inlineStr">
        <is>
          <t>LP-0106</t>
        </is>
      </c>
      <c r="D10" s="37" t="inlineStr">
        <is>
          <t>Ledgport</t>
        </is>
      </c>
      <c r="E10" s="37" t="inlineStr">
        <is>
          <t>NON_COMM_MONTHLY</t>
        </is>
      </c>
      <c r="F10" s="41" t="n">
        <v>405.6</v>
      </c>
      <c r="G10" s="41" t="n">
        <v>0</v>
      </c>
      <c r="H10" s="41" t="n">
        <v>0</v>
      </c>
      <c r="I10" s="41" t="n">
        <v>0</v>
      </c>
      <c r="J10" s="41" t="n">
        <v>0</v>
      </c>
      <c r="K10" s="41" t="n">
        <v>405.6</v>
      </c>
      <c r="L10" s="37" t="inlineStr">
        <is>
          <t>2026-07-26</t>
        </is>
      </c>
      <c r="M10" s="37" t="inlineStr">
        <is>
          <t>CURRENT</t>
        </is>
      </c>
      <c r="N10" s="37">
        <f>RIGHT(A10,LEN(A10)-3)</f>
        <v/>
      </c>
      <c r="O10" s="37">
        <f>IF(N10=C10,"YES","NO")</f>
        <v/>
      </c>
      <c r="P10" s="37">
        <f>IFERROR(INDEX(Inventory!$E$2:$E$1181,MATCH(N10,Inventory!$A$2:$A$1181,0)),"NOT FOUND")</f>
        <v/>
      </c>
      <c r="Q10" s="41">
        <f>SUM(F10:J10)</f>
        <v/>
      </c>
      <c r="R10" s="41">
        <f>K10-Q10</f>
        <v/>
      </c>
      <c r="S10" s="41">
        <f>I10+J10</f>
        <v/>
      </c>
      <c r="T10" s="37">
        <f>IF(S10&gt;0,"YES","NO")</f>
        <v/>
      </c>
      <c r="U10" s="37">
        <f>IF(AND(T10="YES",P10="OCCUPIED",O10="YES",ABS(R10)&lt;=0.004),"YES","NO")</f>
        <v/>
      </c>
      <c r="V10" s="37">
        <f>IF(ABS(R10)&gt;0.004,"Priority 3",IF(U10="YES","COLLECTION",""))</f>
        <v/>
      </c>
    </row>
    <row r="11">
      <c r="A11" s="37" t="inlineStr">
        <is>
          <t>AC-LP-0107</t>
        </is>
      </c>
      <c r="B11" s="37" t="inlineStr">
        <is>
          <t>Sean Charles</t>
        </is>
      </c>
      <c r="C11" s="37" t="inlineStr">
        <is>
          <t>LP-0107</t>
        </is>
      </c>
      <c r="D11" s="37" t="inlineStr">
        <is>
          <t>Ledgport</t>
        </is>
      </c>
      <c r="E11" s="37" t="inlineStr">
        <is>
          <t>NON_COMM_MONTHLY</t>
        </is>
      </c>
      <c r="F11" s="41" t="n">
        <v>322.4</v>
      </c>
      <c r="G11" s="41" t="n">
        <v>322.4</v>
      </c>
      <c r="H11" s="41" t="n">
        <v>0</v>
      </c>
      <c r="I11" s="41" t="n">
        <v>0</v>
      </c>
      <c r="J11" s="41" t="n">
        <v>0</v>
      </c>
      <c r="K11" s="41" t="n">
        <v>644.8</v>
      </c>
      <c r="L11" s="37" t="inlineStr">
        <is>
          <t>2026-06-27</t>
        </is>
      </c>
      <c r="M11" s="37" t="inlineStr">
        <is>
          <t>WATCH</t>
        </is>
      </c>
      <c r="N11" s="37">
        <f>RIGHT(A11,LEN(A11)-3)</f>
        <v/>
      </c>
      <c r="O11" s="37">
        <f>IF(N11=C11,"YES","NO")</f>
        <v/>
      </c>
      <c r="P11" s="37">
        <f>IFERROR(INDEX(Inventory!$E$2:$E$1181,MATCH(N11,Inventory!$A$2:$A$1181,0)),"NOT FOUND")</f>
        <v/>
      </c>
      <c r="Q11" s="41">
        <f>SUM(F11:J11)</f>
        <v/>
      </c>
      <c r="R11" s="41">
        <f>K11-Q11</f>
        <v/>
      </c>
      <c r="S11" s="41">
        <f>I11+J11</f>
        <v/>
      </c>
      <c r="T11" s="37">
        <f>IF(S11&gt;0,"YES","NO")</f>
        <v/>
      </c>
      <c r="U11" s="37">
        <f>IF(AND(T11="YES",P11="OCCUPIED",O11="YES",ABS(R11)&lt;=0.004),"YES","NO")</f>
        <v/>
      </c>
      <c r="V11" s="37">
        <f>IF(ABS(R11)&gt;0.004,"Priority 3",IF(U11="YES","COLLECTION",""))</f>
        <v/>
      </c>
    </row>
    <row r="12">
      <c r="A12" s="37" t="inlineStr">
        <is>
          <t>AC-LP-0108</t>
        </is>
      </c>
      <c r="B12" s="37" t="inlineStr">
        <is>
          <t>Alan Thomas</t>
        </is>
      </c>
      <c r="C12" s="37" t="inlineStr">
        <is>
          <t>LP-0108</t>
        </is>
      </c>
      <c r="D12" s="37" t="inlineStr">
        <is>
          <t>Ledgport</t>
        </is>
      </c>
      <c r="E12" s="37" t="inlineStr">
        <is>
          <t>NON_COMM_MONTHLY</t>
        </is>
      </c>
      <c r="F12" s="41" t="n">
        <v>332.8</v>
      </c>
      <c r="G12" s="41" t="n">
        <v>0</v>
      </c>
      <c r="H12" s="41" t="n">
        <v>0</v>
      </c>
      <c r="I12" s="41" t="n">
        <v>0</v>
      </c>
      <c r="J12" s="41" t="n">
        <v>0</v>
      </c>
      <c r="K12" s="41" t="n">
        <v>332.8</v>
      </c>
      <c r="L12" s="37" t="inlineStr">
        <is>
          <t>2026-06-08</t>
        </is>
      </c>
      <c r="M12" s="37" t="inlineStr">
        <is>
          <t>CURRENT</t>
        </is>
      </c>
      <c r="N12" s="37">
        <f>RIGHT(A12,LEN(A12)-3)</f>
        <v/>
      </c>
      <c r="O12" s="37">
        <f>IF(N12=C12,"YES","NO")</f>
        <v/>
      </c>
      <c r="P12" s="37">
        <f>IFERROR(INDEX(Inventory!$E$2:$E$1181,MATCH(N12,Inventory!$A$2:$A$1181,0)),"NOT FOUND")</f>
        <v/>
      </c>
      <c r="Q12" s="41">
        <f>SUM(F12:J12)</f>
        <v/>
      </c>
      <c r="R12" s="41">
        <f>K12-Q12</f>
        <v/>
      </c>
      <c r="S12" s="41">
        <f>I12+J12</f>
        <v/>
      </c>
      <c r="T12" s="37">
        <f>IF(S12&gt;0,"YES","NO")</f>
        <v/>
      </c>
      <c r="U12" s="37">
        <f>IF(AND(T12="YES",P12="OCCUPIED",O12="YES",ABS(R12)&lt;=0.004),"YES","NO")</f>
        <v/>
      </c>
      <c r="V12" s="37">
        <f>IF(ABS(R12)&gt;0.004,"Priority 3",IF(U12="YES","COLLECTION",""))</f>
        <v/>
      </c>
    </row>
    <row r="13">
      <c r="A13" s="37" t="inlineStr">
        <is>
          <t>AC-LP-0109</t>
        </is>
      </c>
      <c r="B13" s="37" t="inlineStr">
        <is>
          <t>Sandra Sweeney</t>
        </is>
      </c>
      <c r="C13" s="37" t="inlineStr">
        <is>
          <t>LP-0109</t>
        </is>
      </c>
      <c r="D13" s="37" t="inlineStr">
        <is>
          <t>Ledgport</t>
        </is>
      </c>
      <c r="E13" s="37" t="inlineStr">
        <is>
          <t>NON_COMM_MONTHLY</t>
        </is>
      </c>
      <c r="F13" s="41" t="n">
        <v>332.8</v>
      </c>
      <c r="G13" s="41" t="n">
        <v>332.8</v>
      </c>
      <c r="H13" s="41" t="n">
        <v>0</v>
      </c>
      <c r="I13" s="41" t="n">
        <v>0</v>
      </c>
      <c r="J13" s="41" t="n">
        <v>0</v>
      </c>
      <c r="K13" s="41" t="n">
        <v>665.6</v>
      </c>
      <c r="L13" s="37" t="inlineStr">
        <is>
          <t>2026-05-07</t>
        </is>
      </c>
      <c r="M13" s="37" t="inlineStr">
        <is>
          <t>WATCH</t>
        </is>
      </c>
      <c r="N13" s="37">
        <f>RIGHT(A13,LEN(A13)-3)</f>
        <v/>
      </c>
      <c r="O13" s="37">
        <f>IF(N13=C13,"YES","NO")</f>
        <v/>
      </c>
      <c r="P13" s="37">
        <f>IFERROR(INDEX(Inventory!$E$2:$E$1181,MATCH(N13,Inventory!$A$2:$A$1181,0)),"NOT FOUND")</f>
        <v/>
      </c>
      <c r="Q13" s="41">
        <f>SUM(F13:J13)</f>
        <v/>
      </c>
      <c r="R13" s="41">
        <f>K13-Q13</f>
        <v/>
      </c>
      <c r="S13" s="41">
        <f>I13+J13</f>
        <v/>
      </c>
      <c r="T13" s="37">
        <f>IF(S13&gt;0,"YES","NO")</f>
        <v/>
      </c>
      <c r="U13" s="37">
        <f>IF(AND(T13="YES",P13="OCCUPIED",O13="YES",ABS(R13)&lt;=0.004),"YES","NO")</f>
        <v/>
      </c>
      <c r="V13" s="37">
        <f>IF(ABS(R13)&gt;0.004,"Priority 3",IF(U13="YES","COLLECTION",""))</f>
        <v/>
      </c>
    </row>
    <row r="14">
      <c r="A14" s="37" t="inlineStr">
        <is>
          <t>AC-LP-0110</t>
        </is>
      </c>
      <c r="B14" s="37" t="inlineStr">
        <is>
          <t>Jason Martinez</t>
        </is>
      </c>
      <c r="C14" s="37" t="inlineStr">
        <is>
          <t>LP-0110</t>
        </is>
      </c>
      <c r="D14" s="37" t="inlineStr">
        <is>
          <t>Ledgport</t>
        </is>
      </c>
      <c r="E14" s="37" t="inlineStr">
        <is>
          <t>NON_COMM_MONTHLY</t>
        </is>
      </c>
      <c r="F14" s="41" t="n">
        <v>291.2</v>
      </c>
      <c r="G14" s="41" t="n">
        <v>0</v>
      </c>
      <c r="H14" s="41" t="n">
        <v>0</v>
      </c>
      <c r="I14" s="41" t="n">
        <v>0</v>
      </c>
      <c r="J14" s="41" t="n">
        <v>0</v>
      </c>
      <c r="K14" s="41" t="n">
        <v>291.2</v>
      </c>
      <c r="L14" s="37" t="inlineStr">
        <is>
          <t>2026-06-30</t>
        </is>
      </c>
      <c r="M14" s="37" t="inlineStr">
        <is>
          <t>CURRENT</t>
        </is>
      </c>
      <c r="N14" s="37">
        <f>RIGHT(A14,LEN(A14)-3)</f>
        <v/>
      </c>
      <c r="O14" s="37">
        <f>IF(N14=C14,"YES","NO")</f>
        <v/>
      </c>
      <c r="P14" s="37">
        <f>IFERROR(INDEX(Inventory!$E$2:$E$1181,MATCH(N14,Inventory!$A$2:$A$1181,0)),"NOT FOUND")</f>
        <v/>
      </c>
      <c r="Q14" s="41">
        <f>SUM(F14:J14)</f>
        <v/>
      </c>
      <c r="R14" s="41">
        <f>K14-Q14</f>
        <v/>
      </c>
      <c r="S14" s="41">
        <f>I14+J14</f>
        <v/>
      </c>
      <c r="T14" s="37">
        <f>IF(S14&gt;0,"YES","NO")</f>
        <v/>
      </c>
      <c r="U14" s="37">
        <f>IF(AND(T14="YES",P14="OCCUPIED",O14="YES",ABS(R14)&lt;=0.004),"YES","NO")</f>
        <v/>
      </c>
      <c r="V14" s="37">
        <f>IF(ABS(R14)&gt;0.004,"Priority 3",IF(U14="YES","COLLECTION",""))</f>
        <v/>
      </c>
    </row>
    <row r="15">
      <c r="A15" s="37" t="inlineStr">
        <is>
          <t>AC-LP-0111</t>
        </is>
      </c>
      <c r="B15" s="37" t="inlineStr">
        <is>
          <t>Denise Powers</t>
        </is>
      </c>
      <c r="C15" s="37" t="inlineStr">
        <is>
          <t>LP-0111</t>
        </is>
      </c>
      <c r="D15" s="37" t="inlineStr">
        <is>
          <t>Ledgport</t>
        </is>
      </c>
      <c r="E15" s="37" t="inlineStr">
        <is>
          <t>NON_COMM_MONTHLY</t>
        </is>
      </c>
      <c r="F15" s="41" t="n">
        <v>561.6</v>
      </c>
      <c r="G15" s="41" t="n">
        <v>561.6</v>
      </c>
      <c r="H15" s="41" t="n">
        <v>0</v>
      </c>
      <c r="I15" s="41" t="n">
        <v>0</v>
      </c>
      <c r="J15" s="41" t="n">
        <v>0</v>
      </c>
      <c r="K15" s="41" t="n">
        <v>1123.2</v>
      </c>
      <c r="L15" s="37" t="inlineStr">
        <is>
          <t>2026-07-27</t>
        </is>
      </c>
      <c r="M15" s="37" t="inlineStr">
        <is>
          <t>WATCH</t>
        </is>
      </c>
      <c r="N15" s="37">
        <f>RIGHT(A15,LEN(A15)-3)</f>
        <v/>
      </c>
      <c r="O15" s="37">
        <f>IF(N15=C15,"YES","NO")</f>
        <v/>
      </c>
      <c r="P15" s="37">
        <f>IFERROR(INDEX(Inventory!$E$2:$E$1181,MATCH(N15,Inventory!$A$2:$A$1181,0)),"NOT FOUND")</f>
        <v/>
      </c>
      <c r="Q15" s="41">
        <f>SUM(F15:J15)</f>
        <v/>
      </c>
      <c r="R15" s="41">
        <f>K15-Q15</f>
        <v/>
      </c>
      <c r="S15" s="41">
        <f>I15+J15</f>
        <v/>
      </c>
      <c r="T15" s="37">
        <f>IF(S15&gt;0,"YES","NO")</f>
        <v/>
      </c>
      <c r="U15" s="37">
        <f>IF(AND(T15="YES",P15="OCCUPIED",O15="YES",ABS(R15)&lt;=0.004),"YES","NO")</f>
        <v/>
      </c>
      <c r="V15" s="37">
        <f>IF(ABS(R15)&gt;0.004,"Priority 3",IF(U15="YES","COLLECTION",""))</f>
        <v/>
      </c>
    </row>
    <row r="16">
      <c r="A16" s="37" t="inlineStr">
        <is>
          <t>AC-LP-0113</t>
        </is>
      </c>
      <c r="B16" s="37" t="inlineStr">
        <is>
          <t>Elizabeth Williams</t>
        </is>
      </c>
      <c r="C16" s="37" t="inlineStr">
        <is>
          <t>LP-0113</t>
        </is>
      </c>
      <c r="D16" s="37" t="inlineStr">
        <is>
          <t>Ledgport</t>
        </is>
      </c>
      <c r="E16" s="37" t="inlineStr">
        <is>
          <t>NON_COMM_MONTHLY</t>
        </is>
      </c>
      <c r="F16" s="41" t="n">
        <v>374.4</v>
      </c>
      <c r="G16" s="41" t="n">
        <v>0</v>
      </c>
      <c r="H16" s="41" t="n">
        <v>0</v>
      </c>
      <c r="I16" s="41" t="n">
        <v>0</v>
      </c>
      <c r="J16" s="41" t="n">
        <v>0</v>
      </c>
      <c r="K16" s="41" t="n">
        <v>374.4</v>
      </c>
      <c r="L16" s="37" t="inlineStr">
        <is>
          <t>2026-06-19</t>
        </is>
      </c>
      <c r="M16" s="37" t="inlineStr">
        <is>
          <t>CURRENT</t>
        </is>
      </c>
      <c r="N16" s="37">
        <f>RIGHT(A16,LEN(A16)-3)</f>
        <v/>
      </c>
      <c r="O16" s="37">
        <f>IF(N16=C16,"YES","NO")</f>
        <v/>
      </c>
      <c r="P16" s="37">
        <f>IFERROR(INDEX(Inventory!$E$2:$E$1181,MATCH(N16,Inventory!$A$2:$A$1181,0)),"NOT FOUND")</f>
        <v/>
      </c>
      <c r="Q16" s="41">
        <f>SUM(F16:J16)</f>
        <v/>
      </c>
      <c r="R16" s="41">
        <f>K16-Q16</f>
        <v/>
      </c>
      <c r="S16" s="41">
        <f>I16+J16</f>
        <v/>
      </c>
      <c r="T16" s="37">
        <f>IF(S16&gt;0,"YES","NO")</f>
        <v/>
      </c>
      <c r="U16" s="37">
        <f>IF(AND(T16="YES",P16="OCCUPIED",O16="YES",ABS(R16)&lt;=0.004),"YES","NO")</f>
        <v/>
      </c>
      <c r="V16" s="37">
        <f>IF(ABS(R16)&gt;0.004,"Priority 3",IF(U16="YES","COLLECTION",""))</f>
        <v/>
      </c>
    </row>
    <row r="17">
      <c r="A17" s="37" t="inlineStr">
        <is>
          <t>AC-LP-0114</t>
        </is>
      </c>
      <c r="B17" s="37" t="inlineStr">
        <is>
          <t>William Powell</t>
        </is>
      </c>
      <c r="C17" s="37" t="inlineStr">
        <is>
          <t>LP-0114</t>
        </is>
      </c>
      <c r="D17" s="37" t="inlineStr">
        <is>
          <t>Ledgport</t>
        </is>
      </c>
      <c r="E17" s="37" t="inlineStr">
        <is>
          <t>NON_COMM_MONTHLY</t>
        </is>
      </c>
      <c r="F17" s="41" t="n">
        <v>301.6</v>
      </c>
      <c r="G17" s="41" t="n">
        <v>0</v>
      </c>
      <c r="H17" s="41" t="n">
        <v>0</v>
      </c>
      <c r="I17" s="41" t="n">
        <v>0</v>
      </c>
      <c r="J17" s="41" t="n">
        <v>0</v>
      </c>
      <c r="K17" s="41" t="n">
        <v>301.6</v>
      </c>
      <c r="L17" s="37" t="inlineStr">
        <is>
          <t>2026-06-07</t>
        </is>
      </c>
      <c r="M17" s="37" t="inlineStr">
        <is>
          <t>CURRENT</t>
        </is>
      </c>
      <c r="N17" s="37">
        <f>RIGHT(A17,LEN(A17)-3)</f>
        <v/>
      </c>
      <c r="O17" s="37">
        <f>IF(N17=C17,"YES","NO")</f>
        <v/>
      </c>
      <c r="P17" s="37">
        <f>IFERROR(INDEX(Inventory!$E$2:$E$1181,MATCH(N17,Inventory!$A$2:$A$1181,0)),"NOT FOUND")</f>
        <v/>
      </c>
      <c r="Q17" s="41">
        <f>SUM(F17:J17)</f>
        <v/>
      </c>
      <c r="R17" s="41">
        <f>K17-Q17</f>
        <v/>
      </c>
      <c r="S17" s="41">
        <f>I17+J17</f>
        <v/>
      </c>
      <c r="T17" s="37">
        <f>IF(S17&gt;0,"YES","NO")</f>
        <v/>
      </c>
      <c r="U17" s="37">
        <f>IF(AND(T17="YES",P17="OCCUPIED",O17="YES",ABS(R17)&lt;=0.004),"YES","NO")</f>
        <v/>
      </c>
      <c r="V17" s="37">
        <f>IF(ABS(R17)&gt;0.004,"Priority 3",IF(U17="YES","COLLECTION",""))</f>
        <v/>
      </c>
    </row>
    <row r="18">
      <c r="A18" s="37" t="inlineStr">
        <is>
          <t>AC-LP-0115</t>
        </is>
      </c>
      <c r="B18" s="37" t="inlineStr">
        <is>
          <t>Matthew Thomas</t>
        </is>
      </c>
      <c r="C18" s="37" t="inlineStr">
        <is>
          <t>LP-0115</t>
        </is>
      </c>
      <c r="D18" s="37" t="inlineStr">
        <is>
          <t>Ledgport</t>
        </is>
      </c>
      <c r="E18" s="37" t="inlineStr">
        <is>
          <t>NON_COMM_MONTHLY</t>
        </is>
      </c>
      <c r="F18" s="41" t="n">
        <v>291.2</v>
      </c>
      <c r="G18" s="41" t="n">
        <v>291.2</v>
      </c>
      <c r="H18" s="41" t="n">
        <v>0</v>
      </c>
      <c r="I18" s="41" t="n">
        <v>0</v>
      </c>
      <c r="J18" s="41" t="n">
        <v>0</v>
      </c>
      <c r="K18" s="41" t="n">
        <v>582.4</v>
      </c>
      <c r="L18" s="37" t="inlineStr">
        <is>
          <t>2026-06-08</t>
        </is>
      </c>
      <c r="M18" s="37" t="inlineStr">
        <is>
          <t>WATCH</t>
        </is>
      </c>
      <c r="N18" s="37">
        <f>RIGHT(A18,LEN(A18)-3)</f>
        <v/>
      </c>
      <c r="O18" s="37">
        <f>IF(N18=C18,"YES","NO")</f>
        <v/>
      </c>
      <c r="P18" s="37">
        <f>IFERROR(INDEX(Inventory!$E$2:$E$1181,MATCH(N18,Inventory!$A$2:$A$1181,0)),"NOT FOUND")</f>
        <v/>
      </c>
      <c r="Q18" s="41">
        <f>SUM(F18:J18)</f>
        <v/>
      </c>
      <c r="R18" s="41">
        <f>K18-Q18</f>
        <v/>
      </c>
      <c r="S18" s="41">
        <f>I18+J18</f>
        <v/>
      </c>
      <c r="T18" s="37">
        <f>IF(S18&gt;0,"YES","NO")</f>
        <v/>
      </c>
      <c r="U18" s="37">
        <f>IF(AND(T18="YES",P18="OCCUPIED",O18="YES",ABS(R18)&lt;=0.004),"YES","NO")</f>
        <v/>
      </c>
      <c r="V18" s="37">
        <f>IF(ABS(R18)&gt;0.004,"Priority 3",IF(U18="YES","COLLECTION",""))</f>
        <v/>
      </c>
    </row>
    <row r="19">
      <c r="A19" s="37" t="inlineStr">
        <is>
          <t>AC-LP-0116</t>
        </is>
      </c>
      <c r="B19" s="37" t="inlineStr">
        <is>
          <t>Joseph Bishop</t>
        </is>
      </c>
      <c r="C19" s="37" t="inlineStr">
        <is>
          <t>LP-0116</t>
        </is>
      </c>
      <c r="D19" s="37" t="inlineStr">
        <is>
          <t>Ledgport</t>
        </is>
      </c>
      <c r="E19" s="37" t="inlineStr">
        <is>
          <t>NON_COMM_MONTHLY</t>
        </is>
      </c>
      <c r="F19" s="41" t="n">
        <v>291.2</v>
      </c>
      <c r="G19" s="41" t="n">
        <v>0</v>
      </c>
      <c r="H19" s="41" t="n">
        <v>0</v>
      </c>
      <c r="I19" s="41" t="n">
        <v>0</v>
      </c>
      <c r="J19" s="41" t="n">
        <v>0</v>
      </c>
      <c r="K19" s="41" t="n">
        <v>291.2</v>
      </c>
      <c r="L19" s="37" t="inlineStr">
        <is>
          <t>2026-06-24</t>
        </is>
      </c>
      <c r="M19" s="37" t="inlineStr">
        <is>
          <t>CURRENT</t>
        </is>
      </c>
      <c r="N19" s="37">
        <f>RIGHT(A19,LEN(A19)-3)</f>
        <v/>
      </c>
      <c r="O19" s="37">
        <f>IF(N19=C19,"YES","NO")</f>
        <v/>
      </c>
      <c r="P19" s="37">
        <f>IFERROR(INDEX(Inventory!$E$2:$E$1181,MATCH(N19,Inventory!$A$2:$A$1181,0)),"NOT FOUND")</f>
        <v/>
      </c>
      <c r="Q19" s="41">
        <f>SUM(F19:J19)</f>
        <v/>
      </c>
      <c r="R19" s="41">
        <f>K19-Q19</f>
        <v/>
      </c>
      <c r="S19" s="41">
        <f>I19+J19</f>
        <v/>
      </c>
      <c r="T19" s="37">
        <f>IF(S19&gt;0,"YES","NO")</f>
        <v/>
      </c>
      <c r="U19" s="37">
        <f>IF(AND(T19="YES",P19="OCCUPIED",O19="YES",ABS(R19)&lt;=0.004),"YES","NO")</f>
        <v/>
      </c>
      <c r="V19" s="37">
        <f>IF(ABS(R19)&gt;0.004,"Priority 3",IF(U19="YES","COLLECTION",""))</f>
        <v/>
      </c>
    </row>
    <row r="20">
      <c r="A20" s="37" t="inlineStr">
        <is>
          <t>AC-LP-0117</t>
        </is>
      </c>
      <c r="B20" s="37" t="inlineStr">
        <is>
          <t>Benjamin Willis</t>
        </is>
      </c>
      <c r="C20" s="37" t="inlineStr">
        <is>
          <t>LP-0117</t>
        </is>
      </c>
      <c r="D20" s="37" t="inlineStr">
        <is>
          <t>Ledgport</t>
        </is>
      </c>
      <c r="E20" s="37" t="inlineStr">
        <is>
          <t>NON_COMM_MONTHLY</t>
        </is>
      </c>
      <c r="F20" s="41" t="n">
        <v>332.8</v>
      </c>
      <c r="G20" s="41" t="n">
        <v>0</v>
      </c>
      <c r="H20" s="41" t="n">
        <v>0</v>
      </c>
      <c r="I20" s="41" t="n">
        <v>0</v>
      </c>
      <c r="J20" s="41" t="n">
        <v>0</v>
      </c>
      <c r="K20" s="41" t="n">
        <v>332.8</v>
      </c>
      <c r="L20" s="37" t="inlineStr">
        <is>
          <t>2026-05-29</t>
        </is>
      </c>
      <c r="M20" s="37" t="inlineStr">
        <is>
          <t>CURRENT</t>
        </is>
      </c>
      <c r="N20" s="37">
        <f>RIGHT(A20,LEN(A20)-3)</f>
        <v/>
      </c>
      <c r="O20" s="37">
        <f>IF(N20=C20,"YES","NO")</f>
        <v/>
      </c>
      <c r="P20" s="37">
        <f>IFERROR(INDEX(Inventory!$E$2:$E$1181,MATCH(N20,Inventory!$A$2:$A$1181,0)),"NOT FOUND")</f>
        <v/>
      </c>
      <c r="Q20" s="41">
        <f>SUM(F20:J20)</f>
        <v/>
      </c>
      <c r="R20" s="41">
        <f>K20-Q20</f>
        <v/>
      </c>
      <c r="S20" s="41">
        <f>I20+J20</f>
        <v/>
      </c>
      <c r="T20" s="37">
        <f>IF(S20&gt;0,"YES","NO")</f>
        <v/>
      </c>
      <c r="U20" s="37">
        <f>IF(AND(T20="YES",P20="OCCUPIED",O20="YES",ABS(R20)&lt;=0.004),"YES","NO")</f>
        <v/>
      </c>
      <c r="V20" s="37">
        <f>IF(ABS(R20)&gt;0.004,"Priority 3",IF(U20="YES","COLLECTION",""))</f>
        <v/>
      </c>
    </row>
    <row r="21">
      <c r="A21" s="37" t="inlineStr">
        <is>
          <t>AC-LP-0118</t>
        </is>
      </c>
      <c r="B21" s="37" t="inlineStr">
        <is>
          <t>Keith Powell</t>
        </is>
      </c>
      <c r="C21" s="37" t="inlineStr">
        <is>
          <t>LP-0118</t>
        </is>
      </c>
      <c r="D21" s="37" t="inlineStr">
        <is>
          <t>Ledgport</t>
        </is>
      </c>
      <c r="E21" s="37" t="inlineStr">
        <is>
          <t>NON_COMM_MONTHLY</t>
        </is>
      </c>
      <c r="F21" s="41" t="n">
        <v>249.6</v>
      </c>
      <c r="G21" s="41" t="n">
        <v>0</v>
      </c>
      <c r="H21" s="41" t="n">
        <v>0</v>
      </c>
      <c r="I21" s="41" t="n">
        <v>0</v>
      </c>
      <c r="J21" s="41" t="n">
        <v>0</v>
      </c>
      <c r="K21" s="41" t="n">
        <v>249.6</v>
      </c>
      <c r="L21" s="37" t="inlineStr">
        <is>
          <t>2026-05-23</t>
        </is>
      </c>
      <c r="M21" s="37" t="inlineStr">
        <is>
          <t>CURRENT</t>
        </is>
      </c>
      <c r="N21" s="37">
        <f>RIGHT(A21,LEN(A21)-3)</f>
        <v/>
      </c>
      <c r="O21" s="37">
        <f>IF(N21=C21,"YES","NO")</f>
        <v/>
      </c>
      <c r="P21" s="37">
        <f>IFERROR(INDEX(Inventory!$E$2:$E$1181,MATCH(N21,Inventory!$A$2:$A$1181,0)),"NOT FOUND")</f>
        <v/>
      </c>
      <c r="Q21" s="41">
        <f>SUM(F21:J21)</f>
        <v/>
      </c>
      <c r="R21" s="41">
        <f>K21-Q21</f>
        <v/>
      </c>
      <c r="S21" s="41">
        <f>I21+J21</f>
        <v/>
      </c>
      <c r="T21" s="37">
        <f>IF(S21&gt;0,"YES","NO")</f>
        <v/>
      </c>
      <c r="U21" s="37">
        <f>IF(AND(T21="YES",P21="OCCUPIED",O21="YES",ABS(R21)&lt;=0.004),"YES","NO")</f>
        <v/>
      </c>
      <c r="V21" s="37">
        <f>IF(ABS(R21)&gt;0.004,"Priority 3",IF(U21="YES","COLLECTION",""))</f>
        <v/>
      </c>
    </row>
    <row r="22">
      <c r="A22" s="37" t="inlineStr">
        <is>
          <t>AC-LP-0119</t>
        </is>
      </c>
      <c r="B22" s="37" t="inlineStr">
        <is>
          <t>Walter Torres</t>
        </is>
      </c>
      <c r="C22" s="37" t="inlineStr">
        <is>
          <t>LP-0119</t>
        </is>
      </c>
      <c r="D22" s="37" t="inlineStr">
        <is>
          <t>Ledgport</t>
        </is>
      </c>
      <c r="E22" s="37" t="inlineStr">
        <is>
          <t>NON_COMM_MONTHLY</t>
        </is>
      </c>
      <c r="F22" s="41" t="n">
        <v>457.6</v>
      </c>
      <c r="G22" s="41" t="n">
        <v>0</v>
      </c>
      <c r="H22" s="41" t="n">
        <v>0</v>
      </c>
      <c r="I22" s="41" t="n">
        <v>0</v>
      </c>
      <c r="J22" s="41" t="n">
        <v>0</v>
      </c>
      <c r="K22" s="41" t="n">
        <v>457.6</v>
      </c>
      <c r="L22" s="37" t="inlineStr">
        <is>
          <t>2026-05-03</t>
        </is>
      </c>
      <c r="M22" s="37" t="inlineStr">
        <is>
          <t>CURRENT</t>
        </is>
      </c>
      <c r="N22" s="37">
        <f>RIGHT(A22,LEN(A22)-3)</f>
        <v/>
      </c>
      <c r="O22" s="37">
        <f>IF(N22=C22,"YES","NO")</f>
        <v/>
      </c>
      <c r="P22" s="37">
        <f>IFERROR(INDEX(Inventory!$E$2:$E$1181,MATCH(N22,Inventory!$A$2:$A$1181,0)),"NOT FOUND")</f>
        <v/>
      </c>
      <c r="Q22" s="41">
        <f>SUM(F22:J22)</f>
        <v/>
      </c>
      <c r="R22" s="41">
        <f>K22-Q22</f>
        <v/>
      </c>
      <c r="S22" s="41">
        <f>I22+J22</f>
        <v/>
      </c>
      <c r="T22" s="37">
        <f>IF(S22&gt;0,"YES","NO")</f>
        <v/>
      </c>
      <c r="U22" s="37">
        <f>IF(AND(T22="YES",P22="OCCUPIED",O22="YES",ABS(R22)&lt;=0.004),"YES","NO")</f>
        <v/>
      </c>
      <c r="V22" s="37">
        <f>IF(ABS(R22)&gt;0.004,"Priority 3",IF(U22="YES","COLLECTION",""))</f>
        <v/>
      </c>
    </row>
    <row r="23">
      <c r="A23" s="37" t="inlineStr">
        <is>
          <t>AC-LP-0120</t>
        </is>
      </c>
      <c r="B23" s="37" t="inlineStr">
        <is>
          <t>Kayla Johnson</t>
        </is>
      </c>
      <c r="C23" s="37" t="inlineStr">
        <is>
          <t>LP-0120</t>
        </is>
      </c>
      <c r="D23" s="37" t="inlineStr">
        <is>
          <t>Ledgport</t>
        </is>
      </c>
      <c r="E23" s="37" t="inlineStr">
        <is>
          <t>NON_COMM_MONTHLY</t>
        </is>
      </c>
      <c r="F23" s="41" t="n">
        <v>332.8</v>
      </c>
      <c r="G23" s="41" t="n">
        <v>0</v>
      </c>
      <c r="H23" s="41" t="n">
        <v>0</v>
      </c>
      <c r="I23" s="41" t="n">
        <v>0</v>
      </c>
      <c r="J23" s="41" t="n">
        <v>0</v>
      </c>
      <c r="K23" s="41" t="n">
        <v>332.8</v>
      </c>
      <c r="L23" s="37" t="inlineStr">
        <is>
          <t>2026-07-22</t>
        </is>
      </c>
      <c r="M23" s="37" t="inlineStr">
        <is>
          <t>CURRENT</t>
        </is>
      </c>
      <c r="N23" s="37">
        <f>RIGHT(A23,LEN(A23)-3)</f>
        <v/>
      </c>
      <c r="O23" s="37">
        <f>IF(N23=C23,"YES","NO")</f>
        <v/>
      </c>
      <c r="P23" s="37">
        <f>IFERROR(INDEX(Inventory!$E$2:$E$1181,MATCH(N23,Inventory!$A$2:$A$1181,0)),"NOT FOUND")</f>
        <v/>
      </c>
      <c r="Q23" s="41">
        <f>SUM(F23:J23)</f>
        <v/>
      </c>
      <c r="R23" s="41">
        <f>K23-Q23</f>
        <v/>
      </c>
      <c r="S23" s="41">
        <f>I23+J23</f>
        <v/>
      </c>
      <c r="T23" s="37">
        <f>IF(S23&gt;0,"YES","NO")</f>
        <v/>
      </c>
      <c r="U23" s="37">
        <f>IF(AND(T23="YES",P23="OCCUPIED",O23="YES",ABS(R23)&lt;=0.004),"YES","NO")</f>
        <v/>
      </c>
      <c r="V23" s="37">
        <f>IF(ABS(R23)&gt;0.004,"Priority 3",IF(U23="YES","COLLECTION",""))</f>
        <v/>
      </c>
    </row>
    <row r="24">
      <c r="A24" s="37" t="inlineStr">
        <is>
          <t>AC-LP-0121</t>
        </is>
      </c>
      <c r="B24" s="37" t="inlineStr">
        <is>
          <t>Darryl Garcia</t>
        </is>
      </c>
      <c r="C24" s="37" t="inlineStr">
        <is>
          <t>LP-0121</t>
        </is>
      </c>
      <c r="D24" s="37" t="inlineStr">
        <is>
          <t>Ledgport</t>
        </is>
      </c>
      <c r="E24" s="37" t="inlineStr">
        <is>
          <t>NON_COMM_MONTHLY</t>
        </is>
      </c>
      <c r="F24" s="41" t="n">
        <v>540.8</v>
      </c>
      <c r="G24" s="41" t="n">
        <v>0</v>
      </c>
      <c r="H24" s="41" t="n">
        <v>0</v>
      </c>
      <c r="I24" s="41" t="n">
        <v>0</v>
      </c>
      <c r="J24" s="41" t="n">
        <v>0</v>
      </c>
      <c r="K24" s="41" t="n">
        <v>540.8</v>
      </c>
      <c r="L24" s="37" t="inlineStr">
        <is>
          <t>2026-07-23</t>
        </is>
      </c>
      <c r="M24" s="37" t="inlineStr">
        <is>
          <t>CURRENT</t>
        </is>
      </c>
      <c r="N24" s="37">
        <f>RIGHT(A24,LEN(A24)-3)</f>
        <v/>
      </c>
      <c r="O24" s="37">
        <f>IF(N24=C24,"YES","NO")</f>
        <v/>
      </c>
      <c r="P24" s="37">
        <f>IFERROR(INDEX(Inventory!$E$2:$E$1181,MATCH(N24,Inventory!$A$2:$A$1181,0)),"NOT FOUND")</f>
        <v/>
      </c>
      <c r="Q24" s="41">
        <f>SUM(F24:J24)</f>
        <v/>
      </c>
      <c r="R24" s="41">
        <f>K24-Q24</f>
        <v/>
      </c>
      <c r="S24" s="41">
        <f>I24+J24</f>
        <v/>
      </c>
      <c r="T24" s="37">
        <f>IF(S24&gt;0,"YES","NO")</f>
        <v/>
      </c>
      <c r="U24" s="37">
        <f>IF(AND(T24="YES",P24="OCCUPIED",O24="YES",ABS(R24)&lt;=0.004),"YES","NO")</f>
        <v/>
      </c>
      <c r="V24" s="37">
        <f>IF(ABS(R24)&gt;0.004,"Priority 3",IF(U24="YES","COLLECTION",""))</f>
        <v/>
      </c>
    </row>
    <row r="25">
      <c r="A25" s="37" t="inlineStr">
        <is>
          <t>AC-LP-0122</t>
        </is>
      </c>
      <c r="B25" s="37" t="inlineStr">
        <is>
          <t>Paula Arroyo</t>
        </is>
      </c>
      <c r="C25" s="37" t="inlineStr">
        <is>
          <t>LP-0122</t>
        </is>
      </c>
      <c r="D25" s="37" t="inlineStr">
        <is>
          <t>Ledgport</t>
        </is>
      </c>
      <c r="E25" s="37" t="inlineStr">
        <is>
          <t>NON_COMM_MONTHLY</t>
        </is>
      </c>
      <c r="F25" s="41" t="n">
        <v>509.6</v>
      </c>
      <c r="G25" s="41" t="n">
        <v>509.6</v>
      </c>
      <c r="H25" s="41" t="n">
        <v>509.6</v>
      </c>
      <c r="I25" s="41" t="n">
        <v>509.6</v>
      </c>
      <c r="J25" s="41" t="n">
        <v>0</v>
      </c>
      <c r="K25" s="41" t="n">
        <v>2038.4</v>
      </c>
      <c r="L25" s="37" t="inlineStr">
        <is>
          <t>2026-05-29</t>
        </is>
      </c>
      <c r="M25" s="37" t="inlineStr">
        <is>
          <t>COLLECTIONS</t>
        </is>
      </c>
      <c r="N25" s="37">
        <f>RIGHT(A25,LEN(A25)-3)</f>
        <v/>
      </c>
      <c r="O25" s="37">
        <f>IF(N25=C25,"YES","NO")</f>
        <v/>
      </c>
      <c r="P25" s="37">
        <f>IFERROR(INDEX(Inventory!$E$2:$E$1181,MATCH(N25,Inventory!$A$2:$A$1181,0)),"NOT FOUND")</f>
        <v/>
      </c>
      <c r="Q25" s="41">
        <f>SUM(F25:J25)</f>
        <v/>
      </c>
      <c r="R25" s="41">
        <f>K25-Q25</f>
        <v/>
      </c>
      <c r="S25" s="41">
        <f>I25+J25</f>
        <v/>
      </c>
      <c r="T25" s="37">
        <f>IF(S25&gt;0,"YES","NO")</f>
        <v/>
      </c>
      <c r="U25" s="37">
        <f>IF(AND(T25="YES",P25="OCCUPIED",O25="YES",ABS(R25)&lt;=0.004),"YES","NO")</f>
        <v/>
      </c>
      <c r="V25" s="37">
        <f>IF(ABS(R25)&gt;0.004,"Priority 3",IF(U25="YES","COLLECTION",""))</f>
        <v/>
      </c>
    </row>
    <row r="26">
      <c r="A26" s="37" t="inlineStr">
        <is>
          <t>AC-LP-0123</t>
        </is>
      </c>
      <c r="B26" s="37" t="inlineStr">
        <is>
          <t>Brittney Daugherty</t>
        </is>
      </c>
      <c r="C26" s="37" t="inlineStr">
        <is>
          <t>LP-0123</t>
        </is>
      </c>
      <c r="D26" s="37" t="inlineStr">
        <is>
          <t>Ledgport</t>
        </is>
      </c>
      <c r="E26" s="37" t="inlineStr">
        <is>
          <t>NON_COMM_MONTHLY</t>
        </is>
      </c>
      <c r="F26" s="41" t="n">
        <v>332.8</v>
      </c>
      <c r="G26" s="41" t="n">
        <v>0</v>
      </c>
      <c r="H26" s="41" t="n">
        <v>0</v>
      </c>
      <c r="I26" s="41" t="n">
        <v>0</v>
      </c>
      <c r="J26" s="41" t="n">
        <v>0</v>
      </c>
      <c r="K26" s="41" t="n">
        <v>332.8</v>
      </c>
      <c r="L26" s="37" t="inlineStr">
        <is>
          <t>2026-06-01</t>
        </is>
      </c>
      <c r="M26" s="37" t="inlineStr">
        <is>
          <t>CURRENT</t>
        </is>
      </c>
      <c r="N26" s="37">
        <f>RIGHT(A26,LEN(A26)-3)</f>
        <v/>
      </c>
      <c r="O26" s="37">
        <f>IF(N26=C26,"YES","NO")</f>
        <v/>
      </c>
      <c r="P26" s="37">
        <f>IFERROR(INDEX(Inventory!$E$2:$E$1181,MATCH(N26,Inventory!$A$2:$A$1181,0)),"NOT FOUND")</f>
        <v/>
      </c>
      <c r="Q26" s="41">
        <f>SUM(F26:J26)</f>
        <v/>
      </c>
      <c r="R26" s="41">
        <f>K26-Q26</f>
        <v/>
      </c>
      <c r="S26" s="41">
        <f>I26+J26</f>
        <v/>
      </c>
      <c r="T26" s="37">
        <f>IF(S26&gt;0,"YES","NO")</f>
        <v/>
      </c>
      <c r="U26" s="37">
        <f>IF(AND(T26="YES",P26="OCCUPIED",O26="YES",ABS(R26)&lt;=0.004),"YES","NO")</f>
        <v/>
      </c>
      <c r="V26" s="37">
        <f>IF(ABS(R26)&gt;0.004,"Priority 3",IF(U26="YES","COLLECTION",""))</f>
        <v/>
      </c>
    </row>
    <row r="27">
      <c r="A27" s="37" t="inlineStr">
        <is>
          <t>AC-LP-0124</t>
        </is>
      </c>
      <c r="B27" s="37" t="inlineStr">
        <is>
          <t>Audrey Le</t>
        </is>
      </c>
      <c r="C27" s="37" t="inlineStr">
        <is>
          <t>LP-0124</t>
        </is>
      </c>
      <c r="D27" s="37" t="inlineStr">
        <is>
          <t>Ledgport</t>
        </is>
      </c>
      <c r="E27" s="37" t="inlineStr">
        <is>
          <t>NON_COMM_MONTHLY</t>
        </is>
      </c>
      <c r="F27" s="41" t="n">
        <v>405.6</v>
      </c>
      <c r="G27" s="41" t="n">
        <v>0</v>
      </c>
      <c r="H27" s="41" t="n">
        <v>0</v>
      </c>
      <c r="I27" s="41" t="n">
        <v>0</v>
      </c>
      <c r="J27" s="41" t="n">
        <v>0</v>
      </c>
      <c r="K27" s="41" t="n">
        <v>405.6</v>
      </c>
      <c r="L27" s="37" t="inlineStr">
        <is>
          <t>2026-06-27</t>
        </is>
      </c>
      <c r="M27" s="37" t="inlineStr">
        <is>
          <t>CURRENT</t>
        </is>
      </c>
      <c r="N27" s="37">
        <f>RIGHT(A27,LEN(A27)-3)</f>
        <v/>
      </c>
      <c r="O27" s="37">
        <f>IF(N27=C27,"YES","NO")</f>
        <v/>
      </c>
      <c r="P27" s="37">
        <f>IFERROR(INDEX(Inventory!$E$2:$E$1181,MATCH(N27,Inventory!$A$2:$A$1181,0)),"NOT FOUND")</f>
        <v/>
      </c>
      <c r="Q27" s="41">
        <f>SUM(F27:J27)</f>
        <v/>
      </c>
      <c r="R27" s="41">
        <f>K27-Q27</f>
        <v/>
      </c>
      <c r="S27" s="41">
        <f>I27+J27</f>
        <v/>
      </c>
      <c r="T27" s="37">
        <f>IF(S27&gt;0,"YES","NO")</f>
        <v/>
      </c>
      <c r="U27" s="37">
        <f>IF(AND(T27="YES",P27="OCCUPIED",O27="YES",ABS(R27)&lt;=0.004),"YES","NO")</f>
        <v/>
      </c>
      <c r="V27" s="37">
        <f>IF(ABS(R27)&gt;0.004,"Priority 3",IF(U27="YES","COLLECTION",""))</f>
        <v/>
      </c>
    </row>
    <row r="28">
      <c r="A28" s="37" t="inlineStr">
        <is>
          <t>AC-LP-0201</t>
        </is>
      </c>
      <c r="B28" s="37" t="inlineStr">
        <is>
          <t>Melissa Wagner</t>
        </is>
      </c>
      <c r="C28" s="37" t="inlineStr">
        <is>
          <t>LP-0201</t>
        </is>
      </c>
      <c r="D28" s="37" t="inlineStr">
        <is>
          <t>Ledgport</t>
        </is>
      </c>
      <c r="E28" s="37" t="inlineStr">
        <is>
          <t>NON_COMM_MONTHLY</t>
        </is>
      </c>
      <c r="F28" s="41" t="n">
        <v>540.8</v>
      </c>
      <c r="G28" s="41" t="n">
        <v>0</v>
      </c>
      <c r="H28" s="41" t="n">
        <v>0</v>
      </c>
      <c r="I28" s="41" t="n">
        <v>0</v>
      </c>
      <c r="J28" s="41" t="n">
        <v>0</v>
      </c>
      <c r="K28" s="41" t="n">
        <v>540.8</v>
      </c>
      <c r="L28" s="37" t="inlineStr">
        <is>
          <t>2026-07-01</t>
        </is>
      </c>
      <c r="M28" s="37" t="inlineStr">
        <is>
          <t>CURRENT</t>
        </is>
      </c>
      <c r="N28" s="37">
        <f>RIGHT(A28,LEN(A28)-3)</f>
        <v/>
      </c>
      <c r="O28" s="37">
        <f>IF(N28=C28,"YES","NO")</f>
        <v/>
      </c>
      <c r="P28" s="37">
        <f>IFERROR(INDEX(Inventory!$E$2:$E$1181,MATCH(N28,Inventory!$A$2:$A$1181,0)),"NOT FOUND")</f>
        <v/>
      </c>
      <c r="Q28" s="41">
        <f>SUM(F28:J28)</f>
        <v/>
      </c>
      <c r="R28" s="41">
        <f>K28-Q28</f>
        <v/>
      </c>
      <c r="S28" s="41">
        <f>I28+J28</f>
        <v/>
      </c>
      <c r="T28" s="37">
        <f>IF(S28&gt;0,"YES","NO")</f>
        <v/>
      </c>
      <c r="U28" s="37">
        <f>IF(AND(T28="YES",P28="OCCUPIED",O28="YES",ABS(R28)&lt;=0.004),"YES","NO")</f>
        <v/>
      </c>
      <c r="V28" s="37">
        <f>IF(ABS(R28)&gt;0.004,"Priority 3",IF(U28="YES","COLLECTION",""))</f>
        <v/>
      </c>
    </row>
    <row r="29">
      <c r="A29" s="37" t="inlineStr">
        <is>
          <t>AC-LP-0202</t>
        </is>
      </c>
      <c r="B29" s="37" t="inlineStr">
        <is>
          <t>Christopher Boyd</t>
        </is>
      </c>
      <c r="C29" s="37" t="inlineStr">
        <is>
          <t>LP-0202</t>
        </is>
      </c>
      <c r="D29" s="37" t="inlineStr">
        <is>
          <t>Ledgport</t>
        </is>
      </c>
      <c r="E29" s="37" t="inlineStr">
        <is>
          <t>NON_COMM_MONTHLY</t>
        </is>
      </c>
      <c r="F29" s="41" t="n">
        <v>395.2</v>
      </c>
      <c r="G29" s="41" t="n">
        <v>0</v>
      </c>
      <c r="H29" s="41" t="n">
        <v>0</v>
      </c>
      <c r="I29" s="41" t="n">
        <v>0</v>
      </c>
      <c r="J29" s="41" t="n">
        <v>0</v>
      </c>
      <c r="K29" s="41" t="n">
        <v>395.2</v>
      </c>
      <c r="L29" s="37" t="inlineStr">
        <is>
          <t>2026-06-13</t>
        </is>
      </c>
      <c r="M29" s="37" t="inlineStr">
        <is>
          <t>CURRENT</t>
        </is>
      </c>
      <c r="N29" s="37">
        <f>RIGHT(A29,LEN(A29)-3)</f>
        <v/>
      </c>
      <c r="O29" s="37">
        <f>IF(N29=C29,"YES","NO")</f>
        <v/>
      </c>
      <c r="P29" s="37">
        <f>IFERROR(INDEX(Inventory!$E$2:$E$1181,MATCH(N29,Inventory!$A$2:$A$1181,0)),"NOT FOUND")</f>
        <v/>
      </c>
      <c r="Q29" s="41">
        <f>SUM(F29:J29)</f>
        <v/>
      </c>
      <c r="R29" s="41">
        <f>K29-Q29</f>
        <v/>
      </c>
      <c r="S29" s="41">
        <f>I29+J29</f>
        <v/>
      </c>
      <c r="T29" s="37">
        <f>IF(S29&gt;0,"YES","NO")</f>
        <v/>
      </c>
      <c r="U29" s="37">
        <f>IF(AND(T29="YES",P29="OCCUPIED",O29="YES",ABS(R29)&lt;=0.004),"YES","NO")</f>
        <v/>
      </c>
      <c r="V29" s="37">
        <f>IF(ABS(R29)&gt;0.004,"Priority 3",IF(U29="YES","COLLECTION",""))</f>
        <v/>
      </c>
    </row>
    <row r="30">
      <c r="A30" s="37" t="inlineStr">
        <is>
          <t>AC-LP-0203</t>
        </is>
      </c>
      <c r="B30" s="37" t="inlineStr">
        <is>
          <t>Andrew Petty</t>
        </is>
      </c>
      <c r="C30" s="37" t="inlineStr">
        <is>
          <t>LP-0203</t>
        </is>
      </c>
      <c r="D30" s="37" t="inlineStr">
        <is>
          <t>Ledgport</t>
        </is>
      </c>
      <c r="E30" s="37" t="inlineStr">
        <is>
          <t>NON_COMM_MONTHLY</t>
        </is>
      </c>
      <c r="F30" s="41" t="n">
        <v>301.6</v>
      </c>
      <c r="G30" s="41" t="n">
        <v>301.6</v>
      </c>
      <c r="H30" s="41" t="n">
        <v>0</v>
      </c>
      <c r="I30" s="41" t="n">
        <v>0</v>
      </c>
      <c r="J30" s="41" t="n">
        <v>0</v>
      </c>
      <c r="K30" s="41" t="n">
        <v>603.2</v>
      </c>
      <c r="L30" s="37" t="inlineStr">
        <is>
          <t>2026-07-02</t>
        </is>
      </c>
      <c r="M30" s="37" t="inlineStr">
        <is>
          <t>WATCH</t>
        </is>
      </c>
      <c r="N30" s="37">
        <f>RIGHT(A30,LEN(A30)-3)</f>
        <v/>
      </c>
      <c r="O30" s="37">
        <f>IF(N30=C30,"YES","NO")</f>
        <v/>
      </c>
      <c r="P30" s="37">
        <f>IFERROR(INDEX(Inventory!$E$2:$E$1181,MATCH(N30,Inventory!$A$2:$A$1181,0)),"NOT FOUND")</f>
        <v/>
      </c>
      <c r="Q30" s="41">
        <f>SUM(F30:J30)</f>
        <v/>
      </c>
      <c r="R30" s="41">
        <f>K30-Q30</f>
        <v/>
      </c>
      <c r="S30" s="41">
        <f>I30+J30</f>
        <v/>
      </c>
      <c r="T30" s="37">
        <f>IF(S30&gt;0,"YES","NO")</f>
        <v/>
      </c>
      <c r="U30" s="37">
        <f>IF(AND(T30="YES",P30="OCCUPIED",O30="YES",ABS(R30)&lt;=0.004),"YES","NO")</f>
        <v/>
      </c>
      <c r="V30" s="37">
        <f>IF(ABS(R30)&gt;0.004,"Priority 3",IF(U30="YES","COLLECTION",""))</f>
        <v/>
      </c>
    </row>
    <row r="31">
      <c r="A31" s="37" t="inlineStr">
        <is>
          <t>AC-LP-0204</t>
        </is>
      </c>
      <c r="B31" s="37" t="inlineStr">
        <is>
          <t>Patrick Guzman</t>
        </is>
      </c>
      <c r="C31" s="37" t="inlineStr">
        <is>
          <t>LP-0204</t>
        </is>
      </c>
      <c r="D31" s="37" t="inlineStr">
        <is>
          <t>Ledgport</t>
        </is>
      </c>
      <c r="E31" s="37" t="inlineStr">
        <is>
          <t>NON_COMM_MONTHLY</t>
        </is>
      </c>
      <c r="F31" s="41" t="n">
        <v>374.4</v>
      </c>
      <c r="G31" s="41" t="n">
        <v>0</v>
      </c>
      <c r="H31" s="41" t="n">
        <v>0</v>
      </c>
      <c r="I31" s="41" t="n">
        <v>0</v>
      </c>
      <c r="J31" s="41" t="n">
        <v>0</v>
      </c>
      <c r="K31" s="41" t="n">
        <v>374.4</v>
      </c>
      <c r="L31" s="37" t="inlineStr">
        <is>
          <t>2026-06-09</t>
        </is>
      </c>
      <c r="M31" s="37" t="inlineStr">
        <is>
          <t>CURRENT</t>
        </is>
      </c>
      <c r="N31" s="37">
        <f>RIGHT(A31,LEN(A31)-3)</f>
        <v/>
      </c>
      <c r="O31" s="37">
        <f>IF(N31=C31,"YES","NO")</f>
        <v/>
      </c>
      <c r="P31" s="37">
        <f>IFERROR(INDEX(Inventory!$E$2:$E$1181,MATCH(N31,Inventory!$A$2:$A$1181,0)),"NOT FOUND")</f>
        <v/>
      </c>
      <c r="Q31" s="41">
        <f>SUM(F31:J31)</f>
        <v/>
      </c>
      <c r="R31" s="41">
        <f>K31-Q31</f>
        <v/>
      </c>
      <c r="S31" s="41">
        <f>I31+J31</f>
        <v/>
      </c>
      <c r="T31" s="37">
        <f>IF(S31&gt;0,"YES","NO")</f>
        <v/>
      </c>
      <c r="U31" s="37">
        <f>IF(AND(T31="YES",P31="OCCUPIED",O31="YES",ABS(R31)&lt;=0.004),"YES","NO")</f>
        <v/>
      </c>
      <c r="V31" s="37">
        <f>IF(ABS(R31)&gt;0.004,"Priority 3",IF(U31="YES","COLLECTION",""))</f>
        <v/>
      </c>
    </row>
    <row r="32">
      <c r="A32" s="37" t="inlineStr">
        <is>
          <t>AC-LP-0205</t>
        </is>
      </c>
      <c r="B32" s="37" t="inlineStr">
        <is>
          <t>Gary Young</t>
        </is>
      </c>
      <c r="C32" s="37" t="inlineStr">
        <is>
          <t>LP-0205</t>
        </is>
      </c>
      <c r="D32" s="37" t="inlineStr">
        <is>
          <t>Ledgport</t>
        </is>
      </c>
      <c r="E32" s="37" t="inlineStr">
        <is>
          <t>NON_COMM_MONTHLY</t>
        </is>
      </c>
      <c r="F32" s="41" t="n">
        <v>416</v>
      </c>
      <c r="G32" s="41" t="n">
        <v>0</v>
      </c>
      <c r="H32" s="41" t="n">
        <v>0</v>
      </c>
      <c r="I32" s="41" t="n">
        <v>0</v>
      </c>
      <c r="J32" s="41" t="n">
        <v>0</v>
      </c>
      <c r="K32" s="41" t="n">
        <v>416</v>
      </c>
      <c r="L32" s="37" t="inlineStr">
        <is>
          <t>2026-05-07</t>
        </is>
      </c>
      <c r="M32" s="37" t="inlineStr">
        <is>
          <t>CURRENT</t>
        </is>
      </c>
      <c r="N32" s="37">
        <f>RIGHT(A32,LEN(A32)-3)</f>
        <v/>
      </c>
      <c r="O32" s="37">
        <f>IF(N32=C32,"YES","NO")</f>
        <v/>
      </c>
      <c r="P32" s="37">
        <f>IFERROR(INDEX(Inventory!$E$2:$E$1181,MATCH(N32,Inventory!$A$2:$A$1181,0)),"NOT FOUND")</f>
        <v/>
      </c>
      <c r="Q32" s="41">
        <f>SUM(F32:J32)</f>
        <v/>
      </c>
      <c r="R32" s="41">
        <f>K32-Q32</f>
        <v/>
      </c>
      <c r="S32" s="41">
        <f>I32+J32</f>
        <v/>
      </c>
      <c r="T32" s="37">
        <f>IF(S32&gt;0,"YES","NO")</f>
        <v/>
      </c>
      <c r="U32" s="37">
        <f>IF(AND(T32="YES",P32="OCCUPIED",O32="YES",ABS(R32)&lt;=0.004),"YES","NO")</f>
        <v/>
      </c>
      <c r="V32" s="37">
        <f>IF(ABS(R32)&gt;0.004,"Priority 3",IF(U32="YES","COLLECTION",""))</f>
        <v/>
      </c>
    </row>
    <row r="33">
      <c r="A33" s="37" t="inlineStr">
        <is>
          <t>AC-LP-0206</t>
        </is>
      </c>
      <c r="B33" s="37" t="inlineStr">
        <is>
          <t>Crystal Glover</t>
        </is>
      </c>
      <c r="C33" s="37" t="inlineStr">
        <is>
          <t>LP-0206</t>
        </is>
      </c>
      <c r="D33" s="37" t="inlineStr">
        <is>
          <t>Ledgport</t>
        </is>
      </c>
      <c r="E33" s="37" t="inlineStr">
        <is>
          <t>NON_COMM_MONTHLY</t>
        </is>
      </c>
      <c r="F33" s="41" t="n">
        <v>436.8</v>
      </c>
      <c r="G33" s="41" t="n">
        <v>0</v>
      </c>
      <c r="H33" s="41" t="n">
        <v>0</v>
      </c>
      <c r="I33" s="41" t="n">
        <v>0</v>
      </c>
      <c r="J33" s="41" t="n">
        <v>0</v>
      </c>
      <c r="K33" s="41" t="n">
        <v>436.8</v>
      </c>
      <c r="L33" s="37" t="inlineStr">
        <is>
          <t>2026-07-21</t>
        </is>
      </c>
      <c r="M33" s="37" t="inlineStr">
        <is>
          <t>CURRENT</t>
        </is>
      </c>
      <c r="N33" s="37">
        <f>RIGHT(A33,LEN(A33)-3)</f>
        <v/>
      </c>
      <c r="O33" s="37">
        <f>IF(N33=C33,"YES","NO")</f>
        <v/>
      </c>
      <c r="P33" s="37">
        <f>IFERROR(INDEX(Inventory!$E$2:$E$1181,MATCH(N33,Inventory!$A$2:$A$1181,0)),"NOT FOUND")</f>
        <v/>
      </c>
      <c r="Q33" s="41">
        <f>SUM(F33:J33)</f>
        <v/>
      </c>
      <c r="R33" s="41">
        <f>K33-Q33</f>
        <v/>
      </c>
      <c r="S33" s="41">
        <f>I33+J33</f>
        <v/>
      </c>
      <c r="T33" s="37">
        <f>IF(S33&gt;0,"YES","NO")</f>
        <v/>
      </c>
      <c r="U33" s="37">
        <f>IF(AND(T33="YES",P33="OCCUPIED",O33="YES",ABS(R33)&lt;=0.004),"YES","NO")</f>
        <v/>
      </c>
      <c r="V33" s="37">
        <f>IF(ABS(R33)&gt;0.004,"Priority 3",IF(U33="YES","COLLECTION",""))</f>
        <v/>
      </c>
    </row>
    <row r="34">
      <c r="A34" s="37" t="inlineStr">
        <is>
          <t>AC-LP-0208</t>
        </is>
      </c>
      <c r="B34" s="37" t="inlineStr">
        <is>
          <t>James Olson</t>
        </is>
      </c>
      <c r="C34" s="37" t="inlineStr">
        <is>
          <t>LP-0208</t>
        </is>
      </c>
      <c r="D34" s="37" t="inlineStr">
        <is>
          <t>Ledgport</t>
        </is>
      </c>
      <c r="E34" s="37" t="inlineStr">
        <is>
          <t>NON_COMM_MONTHLY</t>
        </is>
      </c>
      <c r="F34" s="41" t="n">
        <v>374.4</v>
      </c>
      <c r="G34" s="41" t="n">
        <v>374.4</v>
      </c>
      <c r="H34" s="41" t="n">
        <v>374.4</v>
      </c>
      <c r="I34" s="41" t="n">
        <v>0</v>
      </c>
      <c r="J34" s="41" t="n">
        <v>0</v>
      </c>
      <c r="K34" s="41" t="n">
        <v>1123.2</v>
      </c>
      <c r="L34" s="37" t="inlineStr">
        <is>
          <t>2026-06-19</t>
        </is>
      </c>
      <c r="M34" s="37" t="inlineStr">
        <is>
          <t>COLLECTIONS</t>
        </is>
      </c>
      <c r="N34" s="37">
        <f>RIGHT(A34,LEN(A34)-3)</f>
        <v/>
      </c>
      <c r="O34" s="37">
        <f>IF(N34=C34,"YES","NO")</f>
        <v/>
      </c>
      <c r="P34" s="37">
        <f>IFERROR(INDEX(Inventory!$E$2:$E$1181,MATCH(N34,Inventory!$A$2:$A$1181,0)),"NOT FOUND")</f>
        <v/>
      </c>
      <c r="Q34" s="41">
        <f>SUM(F34:J34)</f>
        <v/>
      </c>
      <c r="R34" s="41">
        <f>K34-Q34</f>
        <v/>
      </c>
      <c r="S34" s="41">
        <f>I34+J34</f>
        <v/>
      </c>
      <c r="T34" s="37">
        <f>IF(S34&gt;0,"YES","NO")</f>
        <v/>
      </c>
      <c r="U34" s="37">
        <f>IF(AND(T34="YES",P34="OCCUPIED",O34="YES",ABS(R34)&lt;=0.004),"YES","NO")</f>
        <v/>
      </c>
      <c r="V34" s="37">
        <f>IF(ABS(R34)&gt;0.004,"Priority 3",IF(U34="YES","COLLECTION",""))</f>
        <v/>
      </c>
    </row>
    <row r="35">
      <c r="A35" s="37" t="inlineStr">
        <is>
          <t>AC-LP-0209</t>
        </is>
      </c>
      <c r="B35" s="37" t="inlineStr">
        <is>
          <t>Manuel Abbott</t>
        </is>
      </c>
      <c r="C35" s="37" t="inlineStr">
        <is>
          <t>LP-0209</t>
        </is>
      </c>
      <c r="D35" s="37" t="inlineStr">
        <is>
          <t>Ledgport</t>
        </is>
      </c>
      <c r="E35" s="37" t="inlineStr">
        <is>
          <t>NON_COMM_MONTHLY</t>
        </is>
      </c>
      <c r="F35" s="41" t="n">
        <v>332.8</v>
      </c>
      <c r="G35" s="41" t="n">
        <v>332.8</v>
      </c>
      <c r="H35" s="41" t="n">
        <v>0</v>
      </c>
      <c r="I35" s="41" t="n">
        <v>0</v>
      </c>
      <c r="J35" s="41" t="n">
        <v>0</v>
      </c>
      <c r="K35" s="41" t="n">
        <v>665.6</v>
      </c>
      <c r="L35" s="37" t="inlineStr">
        <is>
          <t>2026-05-31</t>
        </is>
      </c>
      <c r="M35" s="37" t="inlineStr">
        <is>
          <t>WATCH</t>
        </is>
      </c>
      <c r="N35" s="37">
        <f>RIGHT(A35,LEN(A35)-3)</f>
        <v/>
      </c>
      <c r="O35" s="37">
        <f>IF(N35=C35,"YES","NO")</f>
        <v/>
      </c>
      <c r="P35" s="37">
        <f>IFERROR(INDEX(Inventory!$E$2:$E$1181,MATCH(N35,Inventory!$A$2:$A$1181,0)),"NOT FOUND")</f>
        <v/>
      </c>
      <c r="Q35" s="41">
        <f>SUM(F35:J35)</f>
        <v/>
      </c>
      <c r="R35" s="41">
        <f>K35-Q35</f>
        <v/>
      </c>
      <c r="S35" s="41">
        <f>I35+J35</f>
        <v/>
      </c>
      <c r="T35" s="37">
        <f>IF(S35&gt;0,"YES","NO")</f>
        <v/>
      </c>
      <c r="U35" s="37">
        <f>IF(AND(T35="YES",P35="OCCUPIED",O35="YES",ABS(R35)&lt;=0.004),"YES","NO")</f>
        <v/>
      </c>
      <c r="V35" s="37">
        <f>IF(ABS(R35)&gt;0.004,"Priority 3",IF(U35="YES","COLLECTION",""))</f>
        <v/>
      </c>
    </row>
    <row r="36">
      <c r="A36" s="37" t="inlineStr">
        <is>
          <t>AC-LP-0210</t>
        </is>
      </c>
      <c r="B36" s="37" t="inlineStr">
        <is>
          <t>Thomas Stone</t>
        </is>
      </c>
      <c r="C36" s="37" t="inlineStr">
        <is>
          <t>LP-0210</t>
        </is>
      </c>
      <c r="D36" s="37" t="inlineStr">
        <is>
          <t>Ledgport</t>
        </is>
      </c>
      <c r="E36" s="37" t="inlineStr">
        <is>
          <t>NON_COMM_MONTHLY</t>
        </is>
      </c>
      <c r="F36" s="41" t="n">
        <v>416</v>
      </c>
      <c r="G36" s="41" t="n">
        <v>416</v>
      </c>
      <c r="H36" s="41" t="n">
        <v>416</v>
      </c>
      <c r="I36" s="41" t="n">
        <v>0</v>
      </c>
      <c r="J36" s="41" t="n">
        <v>0</v>
      </c>
      <c r="K36" s="41" t="n">
        <v>1248</v>
      </c>
      <c r="L36" s="37" t="inlineStr">
        <is>
          <t>2026-05-08</t>
        </is>
      </c>
      <c r="M36" s="37" t="inlineStr">
        <is>
          <t>COLLECTIONS</t>
        </is>
      </c>
      <c r="N36" s="37">
        <f>RIGHT(A36,LEN(A36)-3)</f>
        <v/>
      </c>
      <c r="O36" s="37">
        <f>IF(N36=C36,"YES","NO")</f>
        <v/>
      </c>
      <c r="P36" s="37">
        <f>IFERROR(INDEX(Inventory!$E$2:$E$1181,MATCH(N36,Inventory!$A$2:$A$1181,0)),"NOT FOUND")</f>
        <v/>
      </c>
      <c r="Q36" s="41">
        <f>SUM(F36:J36)</f>
        <v/>
      </c>
      <c r="R36" s="41">
        <f>K36-Q36</f>
        <v/>
      </c>
      <c r="S36" s="41">
        <f>I36+J36</f>
        <v/>
      </c>
      <c r="T36" s="37">
        <f>IF(S36&gt;0,"YES","NO")</f>
        <v/>
      </c>
      <c r="U36" s="37">
        <f>IF(AND(T36="YES",P36="OCCUPIED",O36="YES",ABS(R36)&lt;=0.004),"YES","NO")</f>
        <v/>
      </c>
      <c r="V36" s="37">
        <f>IF(ABS(R36)&gt;0.004,"Priority 3",IF(U36="YES","COLLECTION",""))</f>
        <v/>
      </c>
    </row>
    <row r="37">
      <c r="A37" s="37" t="inlineStr">
        <is>
          <t>AC-LP-0212</t>
        </is>
      </c>
      <c r="B37" s="37" t="inlineStr">
        <is>
          <t>Sandra Jackson</t>
        </is>
      </c>
      <c r="C37" s="37" t="inlineStr">
        <is>
          <t>LP-0212</t>
        </is>
      </c>
      <c r="D37" s="37" t="inlineStr">
        <is>
          <t>Ledgport</t>
        </is>
      </c>
      <c r="E37" s="37" t="inlineStr">
        <is>
          <t>NON_COMM_MONTHLY</t>
        </is>
      </c>
      <c r="F37" s="41" t="n">
        <v>603.2</v>
      </c>
      <c r="G37" s="41" t="n">
        <v>603.2</v>
      </c>
      <c r="H37" s="41" t="n">
        <v>0</v>
      </c>
      <c r="I37" s="41" t="n">
        <v>0</v>
      </c>
      <c r="J37" s="41" t="n">
        <v>0</v>
      </c>
      <c r="K37" s="41" t="n">
        <v>603.2</v>
      </c>
      <c r="L37" s="37" t="inlineStr">
        <is>
          <t>2026-05-23</t>
        </is>
      </c>
      <c r="M37" s="37" t="inlineStr">
        <is>
          <t>CURRENT</t>
        </is>
      </c>
      <c r="N37" s="37">
        <f>RIGHT(A37,LEN(A37)-3)</f>
        <v/>
      </c>
      <c r="O37" s="37">
        <f>IF(N37=C37,"YES","NO")</f>
        <v/>
      </c>
      <c r="P37" s="37">
        <f>IFERROR(INDEX(Inventory!$E$2:$E$1181,MATCH(N37,Inventory!$A$2:$A$1181,0)),"NOT FOUND")</f>
        <v/>
      </c>
      <c r="Q37" s="41">
        <f>SUM(F37:J37)</f>
        <v/>
      </c>
      <c r="R37" s="41">
        <f>K37-Q37</f>
        <v/>
      </c>
      <c r="S37" s="41">
        <f>I37+J37</f>
        <v/>
      </c>
      <c r="T37" s="37">
        <f>IF(S37&gt;0,"YES","NO")</f>
        <v/>
      </c>
      <c r="U37" s="37">
        <f>IF(AND(T37="YES",P37="OCCUPIED",O37="YES",ABS(R37)&lt;=0.004),"YES","NO")</f>
        <v/>
      </c>
      <c r="V37" s="37">
        <f>IF(ABS(R37)&gt;0.004,"Priority 3",IF(U37="YES","COLLECTION",""))</f>
        <v/>
      </c>
    </row>
    <row r="38">
      <c r="A38" s="37" t="inlineStr">
        <is>
          <t>AC-LP-0213</t>
        </is>
      </c>
      <c r="B38" s="37" t="inlineStr">
        <is>
          <t>Gregory Brady</t>
        </is>
      </c>
      <c r="C38" s="37" t="inlineStr">
        <is>
          <t>LP-0213</t>
        </is>
      </c>
      <c r="D38" s="37" t="inlineStr">
        <is>
          <t>Ledgport</t>
        </is>
      </c>
      <c r="E38" s="37" t="inlineStr">
        <is>
          <t>NON_COMM_MONTHLY</t>
        </is>
      </c>
      <c r="F38" s="41" t="n">
        <v>520</v>
      </c>
      <c r="G38" s="41" t="n">
        <v>0</v>
      </c>
      <c r="H38" s="41" t="n">
        <v>0</v>
      </c>
      <c r="I38" s="41" t="n">
        <v>0</v>
      </c>
      <c r="J38" s="41" t="n">
        <v>0</v>
      </c>
      <c r="K38" s="41" t="n">
        <v>0</v>
      </c>
      <c r="L38" s="37" t="inlineStr">
        <is>
          <t>2026-06-16</t>
        </is>
      </c>
      <c r="M38" s="37" t="inlineStr">
        <is>
          <t>CURRENT</t>
        </is>
      </c>
      <c r="N38" s="37">
        <f>RIGHT(A38,LEN(A38)-3)</f>
        <v/>
      </c>
      <c r="O38" s="37">
        <f>IF(N38=C38,"YES","NO")</f>
        <v/>
      </c>
      <c r="P38" s="37">
        <f>IFERROR(INDEX(Inventory!$E$2:$E$1181,MATCH(N38,Inventory!$A$2:$A$1181,0)),"NOT FOUND")</f>
        <v/>
      </c>
      <c r="Q38" s="41">
        <f>SUM(F38:J38)</f>
        <v/>
      </c>
      <c r="R38" s="41">
        <f>K38-Q38</f>
        <v/>
      </c>
      <c r="S38" s="41">
        <f>I38+J38</f>
        <v/>
      </c>
      <c r="T38" s="37">
        <f>IF(S38&gt;0,"YES","NO")</f>
        <v/>
      </c>
      <c r="U38" s="37">
        <f>IF(AND(T38="YES",P38="OCCUPIED",O38="YES",ABS(R38)&lt;=0.004),"YES","NO")</f>
        <v/>
      </c>
      <c r="V38" s="37">
        <f>IF(ABS(R38)&gt;0.004,"Priority 3",IF(U38="YES","COLLECTION",""))</f>
        <v/>
      </c>
    </row>
    <row r="39">
      <c r="A39" s="37" t="inlineStr">
        <is>
          <t>AC-LP-0214</t>
        </is>
      </c>
      <c r="B39" s="37" t="inlineStr">
        <is>
          <t>Jeanne Bennett</t>
        </is>
      </c>
      <c r="C39" s="37" t="inlineStr">
        <is>
          <t>LP-0214</t>
        </is>
      </c>
      <c r="D39" s="37" t="inlineStr">
        <is>
          <t>Ledgport</t>
        </is>
      </c>
      <c r="E39" s="37" t="inlineStr">
        <is>
          <t>NON_COMM_MONTHLY</t>
        </is>
      </c>
      <c r="F39" s="41" t="n">
        <v>322.4</v>
      </c>
      <c r="G39" s="41" t="n">
        <v>0</v>
      </c>
      <c r="H39" s="41" t="n">
        <v>0</v>
      </c>
      <c r="I39" s="41" t="n">
        <v>0</v>
      </c>
      <c r="J39" s="41" t="n">
        <v>0</v>
      </c>
      <c r="K39" s="41" t="n">
        <v>322.4</v>
      </c>
      <c r="L39" s="37" t="inlineStr">
        <is>
          <t>2026-07-10</t>
        </is>
      </c>
      <c r="M39" s="37" t="inlineStr">
        <is>
          <t>CURRENT</t>
        </is>
      </c>
      <c r="N39" s="37">
        <f>RIGHT(A39,LEN(A39)-3)</f>
        <v/>
      </c>
      <c r="O39" s="37">
        <f>IF(N39=C39,"YES","NO")</f>
        <v/>
      </c>
      <c r="P39" s="37">
        <f>IFERROR(INDEX(Inventory!$E$2:$E$1181,MATCH(N39,Inventory!$A$2:$A$1181,0)),"NOT FOUND")</f>
        <v/>
      </c>
      <c r="Q39" s="41">
        <f>SUM(F39:J39)</f>
        <v/>
      </c>
      <c r="R39" s="41">
        <f>K39-Q39</f>
        <v/>
      </c>
      <c r="S39" s="41">
        <f>I39+J39</f>
        <v/>
      </c>
      <c r="T39" s="37">
        <f>IF(S39&gt;0,"YES","NO")</f>
        <v/>
      </c>
      <c r="U39" s="37">
        <f>IF(AND(T39="YES",P39="OCCUPIED",O39="YES",ABS(R39)&lt;=0.004),"YES","NO")</f>
        <v/>
      </c>
      <c r="V39" s="37">
        <f>IF(ABS(R39)&gt;0.004,"Priority 3",IF(U39="YES","COLLECTION",""))</f>
        <v/>
      </c>
    </row>
    <row r="40">
      <c r="A40" s="37" t="inlineStr">
        <is>
          <t>AC-LP-0215</t>
        </is>
      </c>
      <c r="B40" s="37" t="inlineStr">
        <is>
          <t>Anna Wright</t>
        </is>
      </c>
      <c r="C40" s="37" t="inlineStr">
        <is>
          <t>LP-0215</t>
        </is>
      </c>
      <c r="D40" s="37" t="inlineStr">
        <is>
          <t>Ledgport</t>
        </is>
      </c>
      <c r="E40" s="37" t="inlineStr">
        <is>
          <t>NON_COMM_MONTHLY</t>
        </is>
      </c>
      <c r="F40" s="41" t="n">
        <v>291.2</v>
      </c>
      <c r="G40" s="41" t="n">
        <v>0</v>
      </c>
      <c r="H40" s="41" t="n">
        <v>0</v>
      </c>
      <c r="I40" s="41" t="n">
        <v>0</v>
      </c>
      <c r="J40" s="41" t="n">
        <v>0</v>
      </c>
      <c r="K40" s="41" t="n">
        <v>291.2</v>
      </c>
      <c r="L40" s="37" t="inlineStr">
        <is>
          <t>2026-05-22</t>
        </is>
      </c>
      <c r="M40" s="37" t="inlineStr">
        <is>
          <t>CURRENT</t>
        </is>
      </c>
      <c r="N40" s="37">
        <f>RIGHT(A40,LEN(A40)-3)</f>
        <v/>
      </c>
      <c r="O40" s="37">
        <f>IF(N40=C40,"YES","NO")</f>
        <v/>
      </c>
      <c r="P40" s="37">
        <f>IFERROR(INDEX(Inventory!$E$2:$E$1181,MATCH(N40,Inventory!$A$2:$A$1181,0)),"NOT FOUND")</f>
        <v/>
      </c>
      <c r="Q40" s="41">
        <f>SUM(F40:J40)</f>
        <v/>
      </c>
      <c r="R40" s="41">
        <f>K40-Q40</f>
        <v/>
      </c>
      <c r="S40" s="41">
        <f>I40+J40</f>
        <v/>
      </c>
      <c r="T40" s="37">
        <f>IF(S40&gt;0,"YES","NO")</f>
        <v/>
      </c>
      <c r="U40" s="37">
        <f>IF(AND(T40="YES",P40="OCCUPIED",O40="YES",ABS(R40)&lt;=0.004),"YES","NO")</f>
        <v/>
      </c>
      <c r="V40" s="37">
        <f>IF(ABS(R40)&gt;0.004,"Priority 3",IF(U40="YES","COLLECTION",""))</f>
        <v/>
      </c>
    </row>
    <row r="41">
      <c r="A41" s="37" t="inlineStr">
        <is>
          <t>AC-LP-0216</t>
        </is>
      </c>
      <c r="B41" s="37" t="inlineStr">
        <is>
          <t>Audrey Taylor</t>
        </is>
      </c>
      <c r="C41" s="37" t="inlineStr">
        <is>
          <t>LP-0216</t>
        </is>
      </c>
      <c r="D41" s="37" t="inlineStr">
        <is>
          <t>Ledgport</t>
        </is>
      </c>
      <c r="E41" s="37" t="inlineStr">
        <is>
          <t>NON_COMM_MONTHLY</t>
        </is>
      </c>
      <c r="F41" s="41" t="n">
        <v>592.8</v>
      </c>
      <c r="G41" s="41" t="n">
        <v>0</v>
      </c>
      <c r="H41" s="41" t="n">
        <v>0</v>
      </c>
      <c r="I41" s="41" t="n">
        <v>0</v>
      </c>
      <c r="J41" s="41" t="n">
        <v>0</v>
      </c>
      <c r="K41" s="41" t="n">
        <v>592.8</v>
      </c>
      <c r="L41" s="37" t="inlineStr">
        <is>
          <t>2026-07-19</t>
        </is>
      </c>
      <c r="M41" s="37" t="inlineStr">
        <is>
          <t>CURRENT</t>
        </is>
      </c>
      <c r="N41" s="37">
        <f>RIGHT(A41,LEN(A41)-3)</f>
        <v/>
      </c>
      <c r="O41" s="37">
        <f>IF(N41=C41,"YES","NO")</f>
        <v/>
      </c>
      <c r="P41" s="37">
        <f>IFERROR(INDEX(Inventory!$E$2:$E$1181,MATCH(N41,Inventory!$A$2:$A$1181,0)),"NOT FOUND")</f>
        <v/>
      </c>
      <c r="Q41" s="41">
        <f>SUM(F41:J41)</f>
        <v/>
      </c>
      <c r="R41" s="41">
        <f>K41-Q41</f>
        <v/>
      </c>
      <c r="S41" s="41">
        <f>I41+J41</f>
        <v/>
      </c>
      <c r="T41" s="37">
        <f>IF(S41&gt;0,"YES","NO")</f>
        <v/>
      </c>
      <c r="U41" s="37">
        <f>IF(AND(T41="YES",P41="OCCUPIED",O41="YES",ABS(R41)&lt;=0.004),"YES","NO")</f>
        <v/>
      </c>
      <c r="V41" s="37">
        <f>IF(ABS(R41)&gt;0.004,"Priority 3",IF(U41="YES","COLLECTION",""))</f>
        <v/>
      </c>
    </row>
    <row r="42">
      <c r="A42" s="37" t="inlineStr">
        <is>
          <t>AC-LP-0217</t>
        </is>
      </c>
      <c r="B42" s="37" t="inlineStr">
        <is>
          <t>Aaron Ellis</t>
        </is>
      </c>
      <c r="C42" s="37" t="inlineStr">
        <is>
          <t>LP-0217</t>
        </is>
      </c>
      <c r="D42" s="37" t="inlineStr">
        <is>
          <t>Ledgport</t>
        </is>
      </c>
      <c r="E42" s="37" t="inlineStr">
        <is>
          <t>NON_COMM_MONTHLY</t>
        </is>
      </c>
      <c r="F42" s="41" t="n">
        <v>613.6</v>
      </c>
      <c r="G42" s="41" t="n">
        <v>0</v>
      </c>
      <c r="H42" s="41" t="n">
        <v>0</v>
      </c>
      <c r="I42" s="41" t="n">
        <v>0</v>
      </c>
      <c r="J42" s="41" t="n">
        <v>0</v>
      </c>
      <c r="K42" s="41" t="n">
        <v>613.6</v>
      </c>
      <c r="L42" s="37" t="inlineStr">
        <is>
          <t>2026-05-03</t>
        </is>
      </c>
      <c r="M42" s="37" t="inlineStr">
        <is>
          <t>CURRENT</t>
        </is>
      </c>
      <c r="N42" s="37">
        <f>RIGHT(A42,LEN(A42)-3)</f>
        <v/>
      </c>
      <c r="O42" s="37">
        <f>IF(N42=C42,"YES","NO")</f>
        <v/>
      </c>
      <c r="P42" s="37">
        <f>IFERROR(INDEX(Inventory!$E$2:$E$1181,MATCH(N42,Inventory!$A$2:$A$1181,0)),"NOT FOUND")</f>
        <v/>
      </c>
      <c r="Q42" s="41">
        <f>SUM(F42:J42)</f>
        <v/>
      </c>
      <c r="R42" s="41">
        <f>K42-Q42</f>
        <v/>
      </c>
      <c r="S42" s="41">
        <f>I42+J42</f>
        <v/>
      </c>
      <c r="T42" s="37">
        <f>IF(S42&gt;0,"YES","NO")</f>
        <v/>
      </c>
      <c r="U42" s="37">
        <f>IF(AND(T42="YES",P42="OCCUPIED",O42="YES",ABS(R42)&lt;=0.004),"YES","NO")</f>
        <v/>
      </c>
      <c r="V42" s="37">
        <f>IF(ABS(R42)&gt;0.004,"Priority 3",IF(U42="YES","COLLECTION",""))</f>
        <v/>
      </c>
    </row>
    <row r="43">
      <c r="A43" s="37" t="inlineStr">
        <is>
          <t>AC-LP-0218</t>
        </is>
      </c>
      <c r="B43" s="37" t="inlineStr">
        <is>
          <t>Sydney Moore</t>
        </is>
      </c>
      <c r="C43" s="37" t="inlineStr">
        <is>
          <t>LP-0218</t>
        </is>
      </c>
      <c r="D43" s="37" t="inlineStr">
        <is>
          <t>Ledgport</t>
        </is>
      </c>
      <c r="E43" s="37" t="inlineStr">
        <is>
          <t>NON_COMM_MONTHLY</t>
        </is>
      </c>
      <c r="F43" s="41" t="n">
        <v>436.8</v>
      </c>
      <c r="G43" s="41" t="n">
        <v>0</v>
      </c>
      <c r="H43" s="41" t="n">
        <v>0</v>
      </c>
      <c r="I43" s="41" t="n">
        <v>0</v>
      </c>
      <c r="J43" s="41" t="n">
        <v>0</v>
      </c>
      <c r="K43" s="41" t="n">
        <v>436.8</v>
      </c>
      <c r="L43" s="37" t="inlineStr">
        <is>
          <t>2026-05-18</t>
        </is>
      </c>
      <c r="M43" s="37" t="inlineStr">
        <is>
          <t>CURRENT</t>
        </is>
      </c>
      <c r="N43" s="37">
        <f>RIGHT(A43,LEN(A43)-3)</f>
        <v/>
      </c>
      <c r="O43" s="37">
        <f>IF(N43=C43,"YES","NO")</f>
        <v/>
      </c>
      <c r="P43" s="37">
        <f>IFERROR(INDEX(Inventory!$E$2:$E$1181,MATCH(N43,Inventory!$A$2:$A$1181,0)),"NOT FOUND")</f>
        <v/>
      </c>
      <c r="Q43" s="41">
        <f>SUM(F43:J43)</f>
        <v/>
      </c>
      <c r="R43" s="41">
        <f>K43-Q43</f>
        <v/>
      </c>
      <c r="S43" s="41">
        <f>I43+J43</f>
        <v/>
      </c>
      <c r="T43" s="37">
        <f>IF(S43&gt;0,"YES","NO")</f>
        <v/>
      </c>
      <c r="U43" s="37">
        <f>IF(AND(T43="YES",P43="OCCUPIED",O43="YES",ABS(R43)&lt;=0.004),"YES","NO")</f>
        <v/>
      </c>
      <c r="V43" s="37">
        <f>IF(ABS(R43)&gt;0.004,"Priority 3",IF(U43="YES","COLLECTION",""))</f>
        <v/>
      </c>
    </row>
    <row r="44">
      <c r="A44" s="37" t="inlineStr">
        <is>
          <t>AC-LP-0219</t>
        </is>
      </c>
      <c r="B44" s="37" t="inlineStr">
        <is>
          <t>Bradley Baker</t>
        </is>
      </c>
      <c r="C44" s="37" t="inlineStr">
        <is>
          <t>LP-0219</t>
        </is>
      </c>
      <c r="D44" s="37" t="inlineStr">
        <is>
          <t>Ledgport</t>
        </is>
      </c>
      <c r="E44" s="37" t="inlineStr">
        <is>
          <t>NON_COMM_MONTHLY</t>
        </is>
      </c>
      <c r="F44" s="41" t="n">
        <v>488.8</v>
      </c>
      <c r="G44" s="41" t="n">
        <v>0</v>
      </c>
      <c r="H44" s="41" t="n">
        <v>0</v>
      </c>
      <c r="I44" s="41" t="n">
        <v>0</v>
      </c>
      <c r="J44" s="41" t="n">
        <v>0</v>
      </c>
      <c r="K44" s="41" t="n">
        <v>488.8</v>
      </c>
      <c r="L44" s="37" t="inlineStr">
        <is>
          <t>2026-07-16</t>
        </is>
      </c>
      <c r="M44" s="37" t="inlineStr">
        <is>
          <t>CURRENT</t>
        </is>
      </c>
      <c r="N44" s="37">
        <f>RIGHT(A44,LEN(A44)-3)</f>
        <v/>
      </c>
      <c r="O44" s="37">
        <f>IF(N44=C44,"YES","NO")</f>
        <v/>
      </c>
      <c r="P44" s="37">
        <f>IFERROR(INDEX(Inventory!$E$2:$E$1181,MATCH(N44,Inventory!$A$2:$A$1181,0)),"NOT FOUND")</f>
        <v/>
      </c>
      <c r="Q44" s="41">
        <f>SUM(F44:J44)</f>
        <v/>
      </c>
      <c r="R44" s="41">
        <f>K44-Q44</f>
        <v/>
      </c>
      <c r="S44" s="41">
        <f>I44+J44</f>
        <v/>
      </c>
      <c r="T44" s="37">
        <f>IF(S44&gt;0,"YES","NO")</f>
        <v/>
      </c>
      <c r="U44" s="37">
        <f>IF(AND(T44="YES",P44="OCCUPIED",O44="YES",ABS(R44)&lt;=0.004),"YES","NO")</f>
        <v/>
      </c>
      <c r="V44" s="37">
        <f>IF(ABS(R44)&gt;0.004,"Priority 3",IF(U44="YES","COLLECTION",""))</f>
        <v/>
      </c>
    </row>
    <row r="45">
      <c r="A45" s="37" t="inlineStr">
        <is>
          <t>AC-LP-0220</t>
        </is>
      </c>
      <c r="B45" s="37" t="inlineStr">
        <is>
          <t>Loretta Murillo</t>
        </is>
      </c>
      <c r="C45" s="37" t="inlineStr">
        <is>
          <t>LP-0220</t>
        </is>
      </c>
      <c r="D45" s="37" t="inlineStr">
        <is>
          <t>Ledgport</t>
        </is>
      </c>
      <c r="E45" s="37" t="inlineStr">
        <is>
          <t>NON_COMM_MONTHLY</t>
        </is>
      </c>
      <c r="F45" s="41" t="n">
        <v>478.4</v>
      </c>
      <c r="G45" s="41" t="n">
        <v>0</v>
      </c>
      <c r="H45" s="41" t="n">
        <v>0</v>
      </c>
      <c r="I45" s="41" t="n">
        <v>0</v>
      </c>
      <c r="J45" s="41" t="n">
        <v>0</v>
      </c>
      <c r="K45" s="41" t="n">
        <v>0</v>
      </c>
      <c r="L45" s="37" t="inlineStr">
        <is>
          <t>2026-05-11</t>
        </is>
      </c>
      <c r="M45" s="37" t="inlineStr">
        <is>
          <t>CURRENT</t>
        </is>
      </c>
      <c r="N45" s="37">
        <f>RIGHT(A45,LEN(A45)-3)</f>
        <v/>
      </c>
      <c r="O45" s="37">
        <f>IF(N45=C45,"YES","NO")</f>
        <v/>
      </c>
      <c r="P45" s="37">
        <f>IFERROR(INDEX(Inventory!$E$2:$E$1181,MATCH(N45,Inventory!$A$2:$A$1181,0)),"NOT FOUND")</f>
        <v/>
      </c>
      <c r="Q45" s="41">
        <f>SUM(F45:J45)</f>
        <v/>
      </c>
      <c r="R45" s="41">
        <f>K45-Q45</f>
        <v/>
      </c>
      <c r="S45" s="41">
        <f>I45+J45</f>
        <v/>
      </c>
      <c r="T45" s="37">
        <f>IF(S45&gt;0,"YES","NO")</f>
        <v/>
      </c>
      <c r="U45" s="37">
        <f>IF(AND(T45="YES",P45="OCCUPIED",O45="YES",ABS(R45)&lt;=0.004),"YES","NO")</f>
        <v/>
      </c>
      <c r="V45" s="37">
        <f>IF(ABS(R45)&gt;0.004,"Priority 3",IF(U45="YES","COLLECTION",""))</f>
        <v/>
      </c>
    </row>
    <row r="46">
      <c r="A46" s="37" t="inlineStr">
        <is>
          <t>AC-LP-0221</t>
        </is>
      </c>
      <c r="B46" s="37" t="inlineStr">
        <is>
          <t>Allison Anthony</t>
        </is>
      </c>
      <c r="C46" s="37" t="inlineStr">
        <is>
          <t>LP-0221</t>
        </is>
      </c>
      <c r="D46" s="37" t="inlineStr">
        <is>
          <t>Ledgport</t>
        </is>
      </c>
      <c r="E46" s="37" t="inlineStr">
        <is>
          <t>NON_COMM_MONTHLY</t>
        </is>
      </c>
      <c r="F46" s="41" t="n">
        <v>603.2</v>
      </c>
      <c r="G46" s="41" t="n">
        <v>0</v>
      </c>
      <c r="H46" s="41" t="n">
        <v>0</v>
      </c>
      <c r="I46" s="41" t="n">
        <v>0</v>
      </c>
      <c r="J46" s="41" t="n">
        <v>0</v>
      </c>
      <c r="K46" s="41" t="n">
        <v>603.2</v>
      </c>
      <c r="L46" s="37" t="inlineStr">
        <is>
          <t>2026-05-26</t>
        </is>
      </c>
      <c r="M46" s="37" t="inlineStr">
        <is>
          <t>CURRENT</t>
        </is>
      </c>
      <c r="N46" s="37">
        <f>RIGHT(A46,LEN(A46)-3)</f>
        <v/>
      </c>
      <c r="O46" s="37">
        <f>IF(N46=C46,"YES","NO")</f>
        <v/>
      </c>
      <c r="P46" s="37">
        <f>IFERROR(INDEX(Inventory!$E$2:$E$1181,MATCH(N46,Inventory!$A$2:$A$1181,0)),"NOT FOUND")</f>
        <v/>
      </c>
      <c r="Q46" s="41">
        <f>SUM(F46:J46)</f>
        <v/>
      </c>
      <c r="R46" s="41">
        <f>K46-Q46</f>
        <v/>
      </c>
      <c r="S46" s="41">
        <f>I46+J46</f>
        <v/>
      </c>
      <c r="T46" s="37">
        <f>IF(S46&gt;0,"YES","NO")</f>
        <v/>
      </c>
      <c r="U46" s="37">
        <f>IF(AND(T46="YES",P46="OCCUPIED",O46="YES",ABS(R46)&lt;=0.004),"YES","NO")</f>
        <v/>
      </c>
      <c r="V46" s="37">
        <f>IF(ABS(R46)&gt;0.004,"Priority 3",IF(U46="YES","COLLECTION",""))</f>
        <v/>
      </c>
    </row>
    <row r="47">
      <c r="A47" s="37" t="inlineStr">
        <is>
          <t>AC-LP-0222</t>
        </is>
      </c>
      <c r="B47" s="37" t="inlineStr">
        <is>
          <t>Stephen Burke</t>
        </is>
      </c>
      <c r="C47" s="37" t="inlineStr">
        <is>
          <t>LP-0222</t>
        </is>
      </c>
      <c r="D47" s="37" t="inlineStr">
        <is>
          <t>Ledgport</t>
        </is>
      </c>
      <c r="E47" s="37" t="inlineStr">
        <is>
          <t>NON_COMM_MONTHLY</t>
        </is>
      </c>
      <c r="F47" s="41" t="n">
        <v>374.4</v>
      </c>
      <c r="G47" s="41" t="n">
        <v>0</v>
      </c>
      <c r="H47" s="41" t="n">
        <v>0</v>
      </c>
      <c r="I47" s="41" t="n">
        <v>0</v>
      </c>
      <c r="J47" s="41" t="n">
        <v>0</v>
      </c>
      <c r="K47" s="41" t="n">
        <v>0</v>
      </c>
      <c r="L47" s="37" t="inlineStr">
        <is>
          <t>2026-06-19</t>
        </is>
      </c>
      <c r="M47" s="37" t="inlineStr">
        <is>
          <t>CURRENT</t>
        </is>
      </c>
      <c r="N47" s="37">
        <f>RIGHT(A47,LEN(A47)-3)</f>
        <v/>
      </c>
      <c r="O47" s="37">
        <f>IF(N47=C47,"YES","NO")</f>
        <v/>
      </c>
      <c r="P47" s="37">
        <f>IFERROR(INDEX(Inventory!$E$2:$E$1181,MATCH(N47,Inventory!$A$2:$A$1181,0)),"NOT FOUND")</f>
        <v/>
      </c>
      <c r="Q47" s="41">
        <f>SUM(F47:J47)</f>
        <v/>
      </c>
      <c r="R47" s="41">
        <f>K47-Q47</f>
        <v/>
      </c>
      <c r="S47" s="41">
        <f>I47+J47</f>
        <v/>
      </c>
      <c r="T47" s="37">
        <f>IF(S47&gt;0,"YES","NO")</f>
        <v/>
      </c>
      <c r="U47" s="37">
        <f>IF(AND(T47="YES",P47="OCCUPIED",O47="YES",ABS(R47)&lt;=0.004),"YES","NO")</f>
        <v/>
      </c>
      <c r="V47" s="37">
        <f>IF(ABS(R47)&gt;0.004,"Priority 3",IF(U47="YES","COLLECTION",""))</f>
        <v/>
      </c>
    </row>
    <row r="48">
      <c r="A48" s="37" t="inlineStr">
        <is>
          <t>AC-LP-0223</t>
        </is>
      </c>
      <c r="B48" s="37" t="inlineStr">
        <is>
          <t>Renee Dean</t>
        </is>
      </c>
      <c r="C48" s="37" t="inlineStr">
        <is>
          <t>LP-0223</t>
        </is>
      </c>
      <c r="D48" s="37" t="inlineStr">
        <is>
          <t>Ledgport</t>
        </is>
      </c>
      <c r="E48" s="37" t="inlineStr">
        <is>
          <t>NON_COMM_MONTHLY</t>
        </is>
      </c>
      <c r="F48" s="41" t="n">
        <v>520</v>
      </c>
      <c r="G48" s="41" t="n">
        <v>0</v>
      </c>
      <c r="H48" s="41" t="n">
        <v>0</v>
      </c>
      <c r="I48" s="41" t="n">
        <v>0</v>
      </c>
      <c r="J48" s="41" t="n">
        <v>0</v>
      </c>
      <c r="K48" s="41" t="n">
        <v>520</v>
      </c>
      <c r="L48" s="37" t="inlineStr">
        <is>
          <t>2026-07-21</t>
        </is>
      </c>
      <c r="M48" s="37" t="inlineStr">
        <is>
          <t>CURRENT</t>
        </is>
      </c>
      <c r="N48" s="37">
        <f>RIGHT(A48,LEN(A48)-3)</f>
        <v/>
      </c>
      <c r="O48" s="37">
        <f>IF(N48=C48,"YES","NO")</f>
        <v/>
      </c>
      <c r="P48" s="37">
        <f>IFERROR(INDEX(Inventory!$E$2:$E$1181,MATCH(N48,Inventory!$A$2:$A$1181,0)),"NOT FOUND")</f>
        <v/>
      </c>
      <c r="Q48" s="41">
        <f>SUM(F48:J48)</f>
        <v/>
      </c>
      <c r="R48" s="41">
        <f>K48-Q48</f>
        <v/>
      </c>
      <c r="S48" s="41">
        <f>I48+J48</f>
        <v/>
      </c>
      <c r="T48" s="37">
        <f>IF(S48&gt;0,"YES","NO")</f>
        <v/>
      </c>
      <c r="U48" s="37">
        <f>IF(AND(T48="YES",P48="OCCUPIED",O48="YES",ABS(R48)&lt;=0.004),"YES","NO")</f>
        <v/>
      </c>
      <c r="V48" s="37">
        <f>IF(ABS(R48)&gt;0.004,"Priority 3",IF(U48="YES","COLLECTION",""))</f>
        <v/>
      </c>
    </row>
    <row r="49">
      <c r="A49" s="37" t="inlineStr">
        <is>
          <t>AC-LP-0224</t>
        </is>
      </c>
      <c r="B49" s="37" t="inlineStr">
        <is>
          <t>Anita Rose</t>
        </is>
      </c>
      <c r="C49" s="37" t="inlineStr">
        <is>
          <t>LP-0224</t>
        </is>
      </c>
      <c r="D49" s="37" t="inlineStr">
        <is>
          <t>Ledgport</t>
        </is>
      </c>
      <c r="E49" s="37" t="inlineStr">
        <is>
          <t>NON_COMM_MONTHLY</t>
        </is>
      </c>
      <c r="F49" s="41" t="n">
        <v>416</v>
      </c>
      <c r="G49" s="41" t="n">
        <v>0</v>
      </c>
      <c r="H49" s="41" t="n">
        <v>0</v>
      </c>
      <c r="I49" s="41" t="n">
        <v>0</v>
      </c>
      <c r="J49" s="41" t="n">
        <v>0</v>
      </c>
      <c r="K49" s="41" t="n">
        <v>416</v>
      </c>
      <c r="L49" s="37" t="inlineStr">
        <is>
          <t>2026-07-29</t>
        </is>
      </c>
      <c r="M49" s="37" t="inlineStr">
        <is>
          <t>CURRENT</t>
        </is>
      </c>
      <c r="N49" s="37">
        <f>RIGHT(A49,LEN(A49)-3)</f>
        <v/>
      </c>
      <c r="O49" s="37">
        <f>IF(N49=C49,"YES","NO")</f>
        <v/>
      </c>
      <c r="P49" s="37">
        <f>IFERROR(INDEX(Inventory!$E$2:$E$1181,MATCH(N49,Inventory!$A$2:$A$1181,0)),"NOT FOUND")</f>
        <v/>
      </c>
      <c r="Q49" s="41">
        <f>SUM(F49:J49)</f>
        <v/>
      </c>
      <c r="R49" s="41">
        <f>K49-Q49</f>
        <v/>
      </c>
      <c r="S49" s="41">
        <f>I49+J49</f>
        <v/>
      </c>
      <c r="T49" s="37">
        <f>IF(S49&gt;0,"YES","NO")</f>
        <v/>
      </c>
      <c r="U49" s="37">
        <f>IF(AND(T49="YES",P49="OCCUPIED",O49="YES",ABS(R49)&lt;=0.004),"YES","NO")</f>
        <v/>
      </c>
      <c r="V49" s="37">
        <f>IF(ABS(R49)&gt;0.004,"Priority 3",IF(U49="YES","COLLECTION",""))</f>
        <v/>
      </c>
    </row>
    <row r="50">
      <c r="A50" s="37" t="inlineStr">
        <is>
          <t>AC-LP-0301</t>
        </is>
      </c>
      <c r="B50" s="37" t="inlineStr">
        <is>
          <t>Miranda Neal</t>
        </is>
      </c>
      <c r="C50" s="37" t="inlineStr">
        <is>
          <t>LP-0301</t>
        </is>
      </c>
      <c r="D50" s="37" t="inlineStr">
        <is>
          <t>Ledgport</t>
        </is>
      </c>
      <c r="E50" s="37" t="inlineStr">
        <is>
          <t>NON_COMM_MONTHLY</t>
        </is>
      </c>
      <c r="F50" s="41" t="n">
        <v>291.2</v>
      </c>
      <c r="G50" s="41" t="n">
        <v>0</v>
      </c>
      <c r="H50" s="41" t="n">
        <v>0</v>
      </c>
      <c r="I50" s="41" t="n">
        <v>0</v>
      </c>
      <c r="J50" s="41" t="n">
        <v>0</v>
      </c>
      <c r="K50" s="41" t="n">
        <v>0</v>
      </c>
      <c r="L50" s="37" t="inlineStr">
        <is>
          <t>2026-06-25</t>
        </is>
      </c>
      <c r="M50" s="37" t="inlineStr">
        <is>
          <t>CURRENT</t>
        </is>
      </c>
      <c r="N50" s="37">
        <f>RIGHT(A50,LEN(A50)-3)</f>
        <v/>
      </c>
      <c r="O50" s="37">
        <f>IF(N50=C50,"YES","NO")</f>
        <v/>
      </c>
      <c r="P50" s="37">
        <f>IFERROR(INDEX(Inventory!$E$2:$E$1181,MATCH(N50,Inventory!$A$2:$A$1181,0)),"NOT FOUND")</f>
        <v/>
      </c>
      <c r="Q50" s="41">
        <f>SUM(F50:J50)</f>
        <v/>
      </c>
      <c r="R50" s="41">
        <f>K50-Q50</f>
        <v/>
      </c>
      <c r="S50" s="41">
        <f>I50+J50</f>
        <v/>
      </c>
      <c r="T50" s="37">
        <f>IF(S50&gt;0,"YES","NO")</f>
        <v/>
      </c>
      <c r="U50" s="37">
        <f>IF(AND(T50="YES",P50="OCCUPIED",O50="YES",ABS(R50)&lt;=0.004),"YES","NO")</f>
        <v/>
      </c>
      <c r="V50" s="37">
        <f>IF(ABS(R50)&gt;0.004,"Priority 3",IF(U50="YES","COLLECTION",""))</f>
        <v/>
      </c>
    </row>
    <row r="51">
      <c r="A51" s="37" t="inlineStr">
        <is>
          <t>AC-LP-0302</t>
        </is>
      </c>
      <c r="B51" s="37" t="inlineStr">
        <is>
          <t>Brian Campbell</t>
        </is>
      </c>
      <c r="C51" s="37" t="inlineStr">
        <is>
          <t>LP-0302</t>
        </is>
      </c>
      <c r="D51" s="37" t="inlineStr">
        <is>
          <t>Ledgport</t>
        </is>
      </c>
      <c r="E51" s="37" t="inlineStr">
        <is>
          <t>NON_COMM_MONTHLY</t>
        </is>
      </c>
      <c r="F51" s="41" t="n">
        <v>395.2</v>
      </c>
      <c r="G51" s="41" t="n">
        <v>0</v>
      </c>
      <c r="H51" s="41" t="n">
        <v>0</v>
      </c>
      <c r="I51" s="41" t="n">
        <v>0</v>
      </c>
      <c r="J51" s="41" t="n">
        <v>0</v>
      </c>
      <c r="K51" s="41" t="n">
        <v>395.2</v>
      </c>
      <c r="L51" s="37" t="inlineStr">
        <is>
          <t>2026-05-24</t>
        </is>
      </c>
      <c r="M51" s="37" t="inlineStr">
        <is>
          <t>CURRENT</t>
        </is>
      </c>
      <c r="N51" s="37">
        <f>RIGHT(A51,LEN(A51)-3)</f>
        <v/>
      </c>
      <c r="O51" s="37">
        <f>IF(N51=C51,"YES","NO")</f>
        <v/>
      </c>
      <c r="P51" s="37">
        <f>IFERROR(INDEX(Inventory!$E$2:$E$1181,MATCH(N51,Inventory!$A$2:$A$1181,0)),"NOT FOUND")</f>
        <v/>
      </c>
      <c r="Q51" s="41">
        <f>SUM(F51:J51)</f>
        <v/>
      </c>
      <c r="R51" s="41">
        <f>K51-Q51</f>
        <v/>
      </c>
      <c r="S51" s="41">
        <f>I51+J51</f>
        <v/>
      </c>
      <c r="T51" s="37">
        <f>IF(S51&gt;0,"YES","NO")</f>
        <v/>
      </c>
      <c r="U51" s="37">
        <f>IF(AND(T51="YES",P51="OCCUPIED",O51="YES",ABS(R51)&lt;=0.004),"YES","NO")</f>
        <v/>
      </c>
      <c r="V51" s="37">
        <f>IF(ABS(R51)&gt;0.004,"Priority 3",IF(U51="YES","COLLECTION",""))</f>
        <v/>
      </c>
    </row>
    <row r="52">
      <c r="A52" s="37" t="inlineStr">
        <is>
          <t>AC-LP-0303</t>
        </is>
      </c>
      <c r="B52" s="37" t="inlineStr">
        <is>
          <t>Adam Stevens</t>
        </is>
      </c>
      <c r="C52" s="37" t="inlineStr">
        <is>
          <t>LP-0303</t>
        </is>
      </c>
      <c r="D52" s="37" t="inlineStr">
        <is>
          <t>Ledgport</t>
        </is>
      </c>
      <c r="E52" s="37" t="inlineStr">
        <is>
          <t>NON_COMM_MONTHLY</t>
        </is>
      </c>
      <c r="F52" s="41" t="n">
        <v>561.6</v>
      </c>
      <c r="G52" s="41" t="n">
        <v>0</v>
      </c>
      <c r="H52" s="41" t="n">
        <v>0</v>
      </c>
      <c r="I52" s="41" t="n">
        <v>0</v>
      </c>
      <c r="J52" s="41" t="n">
        <v>0</v>
      </c>
      <c r="K52" s="41" t="n">
        <v>561.6</v>
      </c>
      <c r="L52" s="37" t="inlineStr">
        <is>
          <t>2026-05-04</t>
        </is>
      </c>
      <c r="M52" s="37" t="inlineStr">
        <is>
          <t>CURRENT</t>
        </is>
      </c>
      <c r="N52" s="37">
        <f>RIGHT(A52,LEN(A52)-3)</f>
        <v/>
      </c>
      <c r="O52" s="37">
        <f>IF(N52=C52,"YES","NO")</f>
        <v/>
      </c>
      <c r="P52" s="37">
        <f>IFERROR(INDEX(Inventory!$E$2:$E$1181,MATCH(N52,Inventory!$A$2:$A$1181,0)),"NOT FOUND")</f>
        <v/>
      </c>
      <c r="Q52" s="41">
        <f>SUM(F52:J52)</f>
        <v/>
      </c>
      <c r="R52" s="41">
        <f>K52-Q52</f>
        <v/>
      </c>
      <c r="S52" s="41">
        <f>I52+J52</f>
        <v/>
      </c>
      <c r="T52" s="37">
        <f>IF(S52&gt;0,"YES","NO")</f>
        <v/>
      </c>
      <c r="U52" s="37">
        <f>IF(AND(T52="YES",P52="OCCUPIED",O52="YES",ABS(R52)&lt;=0.004),"YES","NO")</f>
        <v/>
      </c>
      <c r="V52" s="37">
        <f>IF(ABS(R52)&gt;0.004,"Priority 3",IF(U52="YES","COLLECTION",""))</f>
        <v/>
      </c>
    </row>
    <row r="53">
      <c r="A53" s="37" t="inlineStr">
        <is>
          <t>AC-LP-0305</t>
        </is>
      </c>
      <c r="B53" s="37" t="inlineStr">
        <is>
          <t>Nathan Huffman</t>
        </is>
      </c>
      <c r="C53" s="37" t="inlineStr">
        <is>
          <t>LP-0305</t>
        </is>
      </c>
      <c r="D53" s="37" t="inlineStr">
        <is>
          <t>Ledgport</t>
        </is>
      </c>
      <c r="E53" s="37" t="inlineStr">
        <is>
          <t>NON_COMM_MONTHLY</t>
        </is>
      </c>
      <c r="F53" s="41" t="n">
        <v>332.8</v>
      </c>
      <c r="G53" s="41" t="n">
        <v>0</v>
      </c>
      <c r="H53" s="41" t="n">
        <v>0</v>
      </c>
      <c r="I53" s="41" t="n">
        <v>0</v>
      </c>
      <c r="J53" s="41" t="n">
        <v>0</v>
      </c>
      <c r="K53" s="41" t="n">
        <v>0</v>
      </c>
      <c r="L53" s="37" t="inlineStr">
        <is>
          <t>2026-05-27</t>
        </is>
      </c>
      <c r="M53" s="37" t="inlineStr">
        <is>
          <t>CURRENT</t>
        </is>
      </c>
      <c r="N53" s="37">
        <f>RIGHT(A53,LEN(A53)-3)</f>
        <v/>
      </c>
      <c r="O53" s="37">
        <f>IF(N53=C53,"YES","NO")</f>
        <v/>
      </c>
      <c r="P53" s="37">
        <f>IFERROR(INDEX(Inventory!$E$2:$E$1181,MATCH(N53,Inventory!$A$2:$A$1181,0)),"NOT FOUND")</f>
        <v/>
      </c>
      <c r="Q53" s="41">
        <f>SUM(F53:J53)</f>
        <v/>
      </c>
      <c r="R53" s="41">
        <f>K53-Q53</f>
        <v/>
      </c>
      <c r="S53" s="41">
        <f>I53+J53</f>
        <v/>
      </c>
      <c r="T53" s="37">
        <f>IF(S53&gt;0,"YES","NO")</f>
        <v/>
      </c>
      <c r="U53" s="37">
        <f>IF(AND(T53="YES",P53="OCCUPIED",O53="YES",ABS(R53)&lt;=0.004),"YES","NO")</f>
        <v/>
      </c>
      <c r="V53" s="37">
        <f>IF(ABS(R53)&gt;0.004,"Priority 3",IF(U53="YES","COLLECTION",""))</f>
        <v/>
      </c>
    </row>
    <row r="54">
      <c r="A54" s="37" t="inlineStr">
        <is>
          <t>AC-LP-0306</t>
        </is>
      </c>
      <c r="B54" s="37" t="inlineStr">
        <is>
          <t>Brian Wade</t>
        </is>
      </c>
      <c r="C54" s="37" t="inlineStr">
        <is>
          <t>LP-0306</t>
        </is>
      </c>
      <c r="D54" s="37" t="inlineStr">
        <is>
          <t>Ledgport</t>
        </is>
      </c>
      <c r="E54" s="37" t="inlineStr">
        <is>
          <t>NON_COMM_MONTHLY</t>
        </is>
      </c>
      <c r="F54" s="41" t="n">
        <v>572</v>
      </c>
      <c r="G54" s="41" t="n">
        <v>0</v>
      </c>
      <c r="H54" s="41" t="n">
        <v>0</v>
      </c>
      <c r="I54" s="41" t="n">
        <v>0</v>
      </c>
      <c r="J54" s="41" t="n">
        <v>0</v>
      </c>
      <c r="K54" s="41" t="n">
        <v>572</v>
      </c>
      <c r="L54" s="37" t="inlineStr">
        <is>
          <t>2026-05-27</t>
        </is>
      </c>
      <c r="M54" s="37" t="inlineStr">
        <is>
          <t>CURRENT</t>
        </is>
      </c>
      <c r="N54" s="37">
        <f>RIGHT(A54,LEN(A54)-3)</f>
        <v/>
      </c>
      <c r="O54" s="37">
        <f>IF(N54=C54,"YES","NO")</f>
        <v/>
      </c>
      <c r="P54" s="37">
        <f>IFERROR(INDEX(Inventory!$E$2:$E$1181,MATCH(N54,Inventory!$A$2:$A$1181,0)),"NOT FOUND")</f>
        <v/>
      </c>
      <c r="Q54" s="41">
        <f>SUM(F54:J54)</f>
        <v/>
      </c>
      <c r="R54" s="41">
        <f>K54-Q54</f>
        <v/>
      </c>
      <c r="S54" s="41">
        <f>I54+J54</f>
        <v/>
      </c>
      <c r="T54" s="37">
        <f>IF(S54&gt;0,"YES","NO")</f>
        <v/>
      </c>
      <c r="U54" s="37">
        <f>IF(AND(T54="YES",P54="OCCUPIED",O54="YES",ABS(R54)&lt;=0.004),"YES","NO")</f>
        <v/>
      </c>
      <c r="V54" s="37">
        <f>IF(ABS(R54)&gt;0.004,"Priority 3",IF(U54="YES","COLLECTION",""))</f>
        <v/>
      </c>
    </row>
    <row r="55">
      <c r="A55" s="37" t="inlineStr">
        <is>
          <t>AC-LP-0307</t>
        </is>
      </c>
      <c r="B55" s="37" t="inlineStr">
        <is>
          <t>Cory Park</t>
        </is>
      </c>
      <c r="C55" s="37" t="inlineStr">
        <is>
          <t>LP-0307</t>
        </is>
      </c>
      <c r="D55" s="37" t="inlineStr">
        <is>
          <t>Ledgport</t>
        </is>
      </c>
      <c r="E55" s="37" t="inlineStr">
        <is>
          <t>NON_COMM_MONTHLY</t>
        </is>
      </c>
      <c r="F55" s="41" t="n">
        <v>634.4</v>
      </c>
      <c r="G55" s="41" t="n">
        <v>0</v>
      </c>
      <c r="H55" s="41" t="n">
        <v>0</v>
      </c>
      <c r="I55" s="41" t="n">
        <v>0</v>
      </c>
      <c r="J55" s="41" t="n">
        <v>0</v>
      </c>
      <c r="K55" s="41" t="n">
        <v>634.4</v>
      </c>
      <c r="L55" s="37" t="inlineStr">
        <is>
          <t>2026-07-16</t>
        </is>
      </c>
      <c r="M55" s="37" t="inlineStr">
        <is>
          <t>CURRENT</t>
        </is>
      </c>
      <c r="N55" s="37">
        <f>RIGHT(A55,LEN(A55)-3)</f>
        <v/>
      </c>
      <c r="O55" s="37">
        <f>IF(N55=C55,"YES","NO")</f>
        <v/>
      </c>
      <c r="P55" s="37">
        <f>IFERROR(INDEX(Inventory!$E$2:$E$1181,MATCH(N55,Inventory!$A$2:$A$1181,0)),"NOT FOUND")</f>
        <v/>
      </c>
      <c r="Q55" s="41">
        <f>SUM(F55:J55)</f>
        <v/>
      </c>
      <c r="R55" s="41">
        <f>K55-Q55</f>
        <v/>
      </c>
      <c r="S55" s="41">
        <f>I55+J55</f>
        <v/>
      </c>
      <c r="T55" s="37">
        <f>IF(S55&gt;0,"YES","NO")</f>
        <v/>
      </c>
      <c r="U55" s="37">
        <f>IF(AND(T55="YES",P55="OCCUPIED",O55="YES",ABS(R55)&lt;=0.004),"YES","NO")</f>
        <v/>
      </c>
      <c r="V55" s="37">
        <f>IF(ABS(R55)&gt;0.004,"Priority 3",IF(U55="YES","COLLECTION",""))</f>
        <v/>
      </c>
    </row>
    <row r="56">
      <c r="A56" s="37" t="inlineStr">
        <is>
          <t>AC-LP-0309</t>
        </is>
      </c>
      <c r="B56" s="37" t="inlineStr">
        <is>
          <t>James Rivera</t>
        </is>
      </c>
      <c r="C56" s="37" t="inlineStr">
        <is>
          <t>LP-0309</t>
        </is>
      </c>
      <c r="D56" s="37" t="inlineStr">
        <is>
          <t>Ledgport</t>
        </is>
      </c>
      <c r="E56" s="37" t="inlineStr">
        <is>
          <t>NON_COMM_MONTHLY</t>
        </is>
      </c>
      <c r="F56" s="41" t="n">
        <v>447.2</v>
      </c>
      <c r="G56" s="41" t="n">
        <v>447.2</v>
      </c>
      <c r="H56" s="41" t="n">
        <v>0</v>
      </c>
      <c r="I56" s="41" t="n">
        <v>0</v>
      </c>
      <c r="J56" s="41" t="n">
        <v>0</v>
      </c>
      <c r="K56" s="41" t="n">
        <v>894.4</v>
      </c>
      <c r="L56" s="37" t="inlineStr">
        <is>
          <t>2026-06-09</t>
        </is>
      </c>
      <c r="M56" s="37" t="inlineStr">
        <is>
          <t>WATCH</t>
        </is>
      </c>
      <c r="N56" s="37">
        <f>RIGHT(A56,LEN(A56)-3)</f>
        <v/>
      </c>
      <c r="O56" s="37">
        <f>IF(N56=C56,"YES","NO")</f>
        <v/>
      </c>
      <c r="P56" s="37">
        <f>IFERROR(INDEX(Inventory!$E$2:$E$1181,MATCH(N56,Inventory!$A$2:$A$1181,0)),"NOT FOUND")</f>
        <v/>
      </c>
      <c r="Q56" s="41">
        <f>SUM(F56:J56)</f>
        <v/>
      </c>
      <c r="R56" s="41">
        <f>K56-Q56</f>
        <v/>
      </c>
      <c r="S56" s="41">
        <f>I56+J56</f>
        <v/>
      </c>
      <c r="T56" s="37">
        <f>IF(S56&gt;0,"YES","NO")</f>
        <v/>
      </c>
      <c r="U56" s="37">
        <f>IF(AND(T56="YES",P56="OCCUPIED",O56="YES",ABS(R56)&lt;=0.004),"YES","NO")</f>
        <v/>
      </c>
      <c r="V56" s="37">
        <f>IF(ABS(R56)&gt;0.004,"Priority 3",IF(U56="YES","COLLECTION",""))</f>
        <v/>
      </c>
    </row>
    <row r="57">
      <c r="A57" s="37" t="inlineStr">
        <is>
          <t>AC-LP-0311</t>
        </is>
      </c>
      <c r="B57" s="37" t="inlineStr">
        <is>
          <t>Joel English</t>
        </is>
      </c>
      <c r="C57" s="37" t="inlineStr">
        <is>
          <t>LP-0311</t>
        </is>
      </c>
      <c r="D57" s="37" t="inlineStr">
        <is>
          <t>Ledgport</t>
        </is>
      </c>
      <c r="E57" s="37" t="inlineStr">
        <is>
          <t>NON_COMM_MONTHLY</t>
        </is>
      </c>
      <c r="F57" s="41" t="n">
        <v>249.6</v>
      </c>
      <c r="G57" s="41" t="n">
        <v>0</v>
      </c>
      <c r="H57" s="41" t="n">
        <v>0</v>
      </c>
      <c r="I57" s="41" t="n">
        <v>0</v>
      </c>
      <c r="J57" s="41" t="n">
        <v>0</v>
      </c>
      <c r="K57" s="41" t="n">
        <v>249.6</v>
      </c>
      <c r="L57" s="37" t="inlineStr">
        <is>
          <t>2026-07-08</t>
        </is>
      </c>
      <c r="M57" s="37" t="inlineStr">
        <is>
          <t>CURRENT</t>
        </is>
      </c>
      <c r="N57" s="37">
        <f>RIGHT(A57,LEN(A57)-3)</f>
        <v/>
      </c>
      <c r="O57" s="37">
        <f>IF(N57=C57,"YES","NO")</f>
        <v/>
      </c>
      <c r="P57" s="37">
        <f>IFERROR(INDEX(Inventory!$E$2:$E$1181,MATCH(N57,Inventory!$A$2:$A$1181,0)),"NOT FOUND")</f>
        <v/>
      </c>
      <c r="Q57" s="41">
        <f>SUM(F57:J57)</f>
        <v/>
      </c>
      <c r="R57" s="41">
        <f>K57-Q57</f>
        <v/>
      </c>
      <c r="S57" s="41">
        <f>I57+J57</f>
        <v/>
      </c>
      <c r="T57" s="37">
        <f>IF(S57&gt;0,"YES","NO")</f>
        <v/>
      </c>
      <c r="U57" s="37">
        <f>IF(AND(T57="YES",P57="OCCUPIED",O57="YES",ABS(R57)&lt;=0.004),"YES","NO")</f>
        <v/>
      </c>
      <c r="V57" s="37">
        <f>IF(ABS(R57)&gt;0.004,"Priority 3",IF(U57="YES","COLLECTION",""))</f>
        <v/>
      </c>
    </row>
    <row r="58">
      <c r="A58" s="37" t="inlineStr">
        <is>
          <t>AC-LP-0312</t>
        </is>
      </c>
      <c r="B58" s="37" t="inlineStr">
        <is>
          <t>Steven Greene</t>
        </is>
      </c>
      <c r="C58" s="37" t="inlineStr">
        <is>
          <t>LP-0312</t>
        </is>
      </c>
      <c r="D58" s="37" t="inlineStr">
        <is>
          <t>Ledgport</t>
        </is>
      </c>
      <c r="E58" s="37" t="inlineStr">
        <is>
          <t>NON_COMM_MONTHLY</t>
        </is>
      </c>
      <c r="F58" s="41" t="n">
        <v>332.8</v>
      </c>
      <c r="G58" s="41" t="n">
        <v>0</v>
      </c>
      <c r="H58" s="41" t="n">
        <v>0</v>
      </c>
      <c r="I58" s="41" t="n">
        <v>0</v>
      </c>
      <c r="J58" s="41" t="n">
        <v>0</v>
      </c>
      <c r="K58" s="41" t="n">
        <v>332.8</v>
      </c>
      <c r="L58" s="37" t="inlineStr">
        <is>
          <t>2026-05-09</t>
        </is>
      </c>
      <c r="M58" s="37" t="inlineStr">
        <is>
          <t>CURRENT</t>
        </is>
      </c>
      <c r="N58" s="37">
        <f>RIGHT(A58,LEN(A58)-3)</f>
        <v/>
      </c>
      <c r="O58" s="37">
        <f>IF(N58=C58,"YES","NO")</f>
        <v/>
      </c>
      <c r="P58" s="37">
        <f>IFERROR(INDEX(Inventory!$E$2:$E$1181,MATCH(N58,Inventory!$A$2:$A$1181,0)),"NOT FOUND")</f>
        <v/>
      </c>
      <c r="Q58" s="41">
        <f>SUM(F58:J58)</f>
        <v/>
      </c>
      <c r="R58" s="41">
        <f>K58-Q58</f>
        <v/>
      </c>
      <c r="S58" s="41">
        <f>I58+J58</f>
        <v/>
      </c>
      <c r="T58" s="37">
        <f>IF(S58&gt;0,"YES","NO")</f>
        <v/>
      </c>
      <c r="U58" s="37">
        <f>IF(AND(T58="YES",P58="OCCUPIED",O58="YES",ABS(R58)&lt;=0.004),"YES","NO")</f>
        <v/>
      </c>
      <c r="V58" s="37">
        <f>IF(ABS(R58)&gt;0.004,"Priority 3",IF(U58="YES","COLLECTION",""))</f>
        <v/>
      </c>
    </row>
    <row r="59">
      <c r="A59" s="37" t="inlineStr">
        <is>
          <t>AC-LP-0313</t>
        </is>
      </c>
      <c r="B59" s="37" t="inlineStr">
        <is>
          <t>Christopher Lopez</t>
        </is>
      </c>
      <c r="C59" s="37" t="inlineStr">
        <is>
          <t>LP-0313</t>
        </is>
      </c>
      <c r="D59" s="37" t="inlineStr">
        <is>
          <t>Ledgport</t>
        </is>
      </c>
      <c r="E59" s="37" t="inlineStr">
        <is>
          <t>NON_COMM_MONTHLY</t>
        </is>
      </c>
      <c r="F59" s="41" t="n">
        <v>332.8</v>
      </c>
      <c r="G59" s="41" t="n">
        <v>0</v>
      </c>
      <c r="H59" s="41" t="n">
        <v>0</v>
      </c>
      <c r="I59" s="41" t="n">
        <v>0</v>
      </c>
      <c r="J59" s="41" t="n">
        <v>0</v>
      </c>
      <c r="K59" s="41" t="n">
        <v>332.8</v>
      </c>
      <c r="L59" s="37" t="inlineStr">
        <is>
          <t>2026-05-25</t>
        </is>
      </c>
      <c r="M59" s="37" t="inlineStr">
        <is>
          <t>CURRENT</t>
        </is>
      </c>
      <c r="N59" s="37">
        <f>RIGHT(A59,LEN(A59)-3)</f>
        <v/>
      </c>
      <c r="O59" s="37">
        <f>IF(N59=C59,"YES","NO")</f>
        <v/>
      </c>
      <c r="P59" s="37">
        <f>IFERROR(INDEX(Inventory!$E$2:$E$1181,MATCH(N59,Inventory!$A$2:$A$1181,0)),"NOT FOUND")</f>
        <v/>
      </c>
      <c r="Q59" s="41">
        <f>SUM(F59:J59)</f>
        <v/>
      </c>
      <c r="R59" s="41">
        <f>K59-Q59</f>
        <v/>
      </c>
      <c r="S59" s="41">
        <f>I59+J59</f>
        <v/>
      </c>
      <c r="T59" s="37">
        <f>IF(S59&gt;0,"YES","NO")</f>
        <v/>
      </c>
      <c r="U59" s="37">
        <f>IF(AND(T59="YES",P59="OCCUPIED",O59="YES",ABS(R59)&lt;=0.004),"YES","NO")</f>
        <v/>
      </c>
      <c r="V59" s="37">
        <f>IF(ABS(R59)&gt;0.004,"Priority 3",IF(U59="YES","COLLECTION",""))</f>
        <v/>
      </c>
    </row>
    <row r="60">
      <c r="A60" s="37" t="inlineStr">
        <is>
          <t>AC-LP-0314</t>
        </is>
      </c>
      <c r="B60" s="37" t="inlineStr">
        <is>
          <t>Brenda Matthews</t>
        </is>
      </c>
      <c r="C60" s="37" t="inlineStr">
        <is>
          <t>LP-0314</t>
        </is>
      </c>
      <c r="D60" s="37" t="inlineStr">
        <is>
          <t>Ledgport</t>
        </is>
      </c>
      <c r="E60" s="37" t="inlineStr">
        <is>
          <t>NON_COMM_MONTHLY</t>
        </is>
      </c>
      <c r="F60" s="41" t="n">
        <v>332.8</v>
      </c>
      <c r="G60" s="41" t="n">
        <v>0</v>
      </c>
      <c r="H60" s="41" t="n">
        <v>0</v>
      </c>
      <c r="I60" s="41" t="n">
        <v>0</v>
      </c>
      <c r="J60" s="41" t="n">
        <v>0</v>
      </c>
      <c r="K60" s="41" t="n">
        <v>332.8</v>
      </c>
      <c r="L60" s="37" t="inlineStr">
        <is>
          <t>2026-05-22</t>
        </is>
      </c>
      <c r="M60" s="37" t="inlineStr">
        <is>
          <t>CURRENT</t>
        </is>
      </c>
      <c r="N60" s="37">
        <f>RIGHT(A60,LEN(A60)-3)</f>
        <v/>
      </c>
      <c r="O60" s="37">
        <f>IF(N60=C60,"YES","NO")</f>
        <v/>
      </c>
      <c r="P60" s="37">
        <f>IFERROR(INDEX(Inventory!$E$2:$E$1181,MATCH(N60,Inventory!$A$2:$A$1181,0)),"NOT FOUND")</f>
        <v/>
      </c>
      <c r="Q60" s="41">
        <f>SUM(F60:J60)</f>
        <v/>
      </c>
      <c r="R60" s="41">
        <f>K60-Q60</f>
        <v/>
      </c>
      <c r="S60" s="41">
        <f>I60+J60</f>
        <v/>
      </c>
      <c r="T60" s="37">
        <f>IF(S60&gt;0,"YES","NO")</f>
        <v/>
      </c>
      <c r="U60" s="37">
        <f>IF(AND(T60="YES",P60="OCCUPIED",O60="YES",ABS(R60)&lt;=0.004),"YES","NO")</f>
        <v/>
      </c>
      <c r="V60" s="37">
        <f>IF(ABS(R60)&gt;0.004,"Priority 3",IF(U60="YES","COLLECTION",""))</f>
        <v/>
      </c>
    </row>
    <row r="61">
      <c r="A61" s="37" t="inlineStr">
        <is>
          <t>AC-LP-0315</t>
        </is>
      </c>
      <c r="B61" s="37" t="inlineStr">
        <is>
          <t>Gregory Phillips</t>
        </is>
      </c>
      <c r="C61" s="37" t="inlineStr">
        <is>
          <t>LP-0315</t>
        </is>
      </c>
      <c r="D61" s="37" t="inlineStr">
        <is>
          <t>Ledgport</t>
        </is>
      </c>
      <c r="E61" s="37" t="inlineStr">
        <is>
          <t>NON_COMM_MONTHLY</t>
        </is>
      </c>
      <c r="F61" s="41" t="n">
        <v>332.8</v>
      </c>
      <c r="G61" s="41" t="n">
        <v>0</v>
      </c>
      <c r="H61" s="41" t="n">
        <v>0</v>
      </c>
      <c r="I61" s="41" t="n">
        <v>0</v>
      </c>
      <c r="J61" s="41" t="n">
        <v>0</v>
      </c>
      <c r="K61" s="41" t="n">
        <v>0</v>
      </c>
      <c r="L61" s="37" t="inlineStr">
        <is>
          <t>2026-05-20</t>
        </is>
      </c>
      <c r="M61" s="37" t="inlineStr">
        <is>
          <t>CURRENT</t>
        </is>
      </c>
      <c r="N61" s="37">
        <f>RIGHT(A61,LEN(A61)-3)</f>
        <v/>
      </c>
      <c r="O61" s="37">
        <f>IF(N61=C61,"YES","NO")</f>
        <v/>
      </c>
      <c r="P61" s="37">
        <f>IFERROR(INDEX(Inventory!$E$2:$E$1181,MATCH(N61,Inventory!$A$2:$A$1181,0)),"NOT FOUND")</f>
        <v/>
      </c>
      <c r="Q61" s="41">
        <f>SUM(F61:J61)</f>
        <v/>
      </c>
      <c r="R61" s="41">
        <f>K61-Q61</f>
        <v/>
      </c>
      <c r="S61" s="41">
        <f>I61+J61</f>
        <v/>
      </c>
      <c r="T61" s="37">
        <f>IF(S61&gt;0,"YES","NO")</f>
        <v/>
      </c>
      <c r="U61" s="37">
        <f>IF(AND(T61="YES",P61="OCCUPIED",O61="YES",ABS(R61)&lt;=0.004),"YES","NO")</f>
        <v/>
      </c>
      <c r="V61" s="37">
        <f>IF(ABS(R61)&gt;0.004,"Priority 3",IF(U61="YES","COLLECTION",""))</f>
        <v/>
      </c>
    </row>
    <row r="62">
      <c r="A62" s="37" t="inlineStr">
        <is>
          <t>AC-LP-0316</t>
        </is>
      </c>
      <c r="B62" s="37" t="inlineStr">
        <is>
          <t>Adam Webster</t>
        </is>
      </c>
      <c r="C62" s="37" t="inlineStr">
        <is>
          <t>LP-0316</t>
        </is>
      </c>
      <c r="D62" s="37" t="inlineStr">
        <is>
          <t>Ledgport</t>
        </is>
      </c>
      <c r="E62" s="37" t="inlineStr">
        <is>
          <t>NON_COMM_MONTHLY</t>
        </is>
      </c>
      <c r="F62" s="41" t="n">
        <v>561.6</v>
      </c>
      <c r="G62" s="41" t="n">
        <v>0</v>
      </c>
      <c r="H62" s="41" t="n">
        <v>0</v>
      </c>
      <c r="I62" s="41" t="n">
        <v>0</v>
      </c>
      <c r="J62" s="41" t="n">
        <v>0</v>
      </c>
      <c r="K62" s="41" t="n">
        <v>561.6</v>
      </c>
      <c r="L62" s="37" t="inlineStr">
        <is>
          <t>2026-06-30</t>
        </is>
      </c>
      <c r="M62" s="37" t="inlineStr">
        <is>
          <t>CURRENT</t>
        </is>
      </c>
      <c r="N62" s="37">
        <f>RIGHT(A62,LEN(A62)-3)</f>
        <v/>
      </c>
      <c r="O62" s="37">
        <f>IF(N62=C62,"YES","NO")</f>
        <v/>
      </c>
      <c r="P62" s="37">
        <f>IFERROR(INDEX(Inventory!$E$2:$E$1181,MATCH(N62,Inventory!$A$2:$A$1181,0)),"NOT FOUND")</f>
        <v/>
      </c>
      <c r="Q62" s="41">
        <f>SUM(F62:J62)</f>
        <v/>
      </c>
      <c r="R62" s="41">
        <f>K62-Q62</f>
        <v/>
      </c>
      <c r="S62" s="41">
        <f>I62+J62</f>
        <v/>
      </c>
      <c r="T62" s="37">
        <f>IF(S62&gt;0,"YES","NO")</f>
        <v/>
      </c>
      <c r="U62" s="37">
        <f>IF(AND(T62="YES",P62="OCCUPIED",O62="YES",ABS(R62)&lt;=0.004),"YES","NO")</f>
        <v/>
      </c>
      <c r="V62" s="37">
        <f>IF(ABS(R62)&gt;0.004,"Priority 3",IF(U62="YES","COLLECTION",""))</f>
        <v/>
      </c>
    </row>
    <row r="63">
      <c r="A63" s="37" t="inlineStr">
        <is>
          <t>AC-LP-0317</t>
        </is>
      </c>
      <c r="B63" s="37" t="inlineStr">
        <is>
          <t>Randall Cummings</t>
        </is>
      </c>
      <c r="C63" s="37" t="inlineStr">
        <is>
          <t>LP-0317</t>
        </is>
      </c>
      <c r="D63" s="37" t="inlineStr">
        <is>
          <t>Ledgport</t>
        </is>
      </c>
      <c r="E63" s="37" t="inlineStr">
        <is>
          <t>NON_COMM_MONTHLY</t>
        </is>
      </c>
      <c r="F63" s="41" t="n">
        <v>416</v>
      </c>
      <c r="G63" s="41" t="n">
        <v>0</v>
      </c>
      <c r="H63" s="41" t="n">
        <v>0</v>
      </c>
      <c r="I63" s="41" t="n">
        <v>0</v>
      </c>
      <c r="J63" s="41" t="n">
        <v>0</v>
      </c>
      <c r="K63" s="41" t="n">
        <v>416</v>
      </c>
      <c r="L63" s="37" t="inlineStr">
        <is>
          <t>2026-06-14</t>
        </is>
      </c>
      <c r="M63" s="37" t="inlineStr">
        <is>
          <t>CURRENT</t>
        </is>
      </c>
      <c r="N63" s="37">
        <f>RIGHT(A63,LEN(A63)-3)</f>
        <v/>
      </c>
      <c r="O63" s="37">
        <f>IF(N63=C63,"YES","NO")</f>
        <v/>
      </c>
      <c r="P63" s="37">
        <f>IFERROR(INDEX(Inventory!$E$2:$E$1181,MATCH(N63,Inventory!$A$2:$A$1181,0)),"NOT FOUND")</f>
        <v/>
      </c>
      <c r="Q63" s="41">
        <f>SUM(F63:J63)</f>
        <v/>
      </c>
      <c r="R63" s="41">
        <f>K63-Q63</f>
        <v/>
      </c>
      <c r="S63" s="41">
        <f>I63+J63</f>
        <v/>
      </c>
      <c r="T63" s="37">
        <f>IF(S63&gt;0,"YES","NO")</f>
        <v/>
      </c>
      <c r="U63" s="37">
        <f>IF(AND(T63="YES",P63="OCCUPIED",O63="YES",ABS(R63)&lt;=0.004),"YES","NO")</f>
        <v/>
      </c>
      <c r="V63" s="37">
        <f>IF(ABS(R63)&gt;0.004,"Priority 3",IF(U63="YES","COLLECTION",""))</f>
        <v/>
      </c>
    </row>
    <row r="64">
      <c r="A64" s="37" t="inlineStr">
        <is>
          <t>AC-LP-0318</t>
        </is>
      </c>
      <c r="B64" s="37" t="inlineStr">
        <is>
          <t>Albert Hill</t>
        </is>
      </c>
      <c r="C64" s="37" t="inlineStr">
        <is>
          <t>LP-0318</t>
        </is>
      </c>
      <c r="D64" s="37" t="inlineStr">
        <is>
          <t>Ledgport</t>
        </is>
      </c>
      <c r="E64" s="37" t="inlineStr">
        <is>
          <t>NON_COMM_MONTHLY</t>
        </is>
      </c>
      <c r="F64" s="41" t="n">
        <v>364</v>
      </c>
      <c r="G64" s="41" t="n">
        <v>0</v>
      </c>
      <c r="H64" s="41" t="n">
        <v>0</v>
      </c>
      <c r="I64" s="41" t="n">
        <v>0</v>
      </c>
      <c r="J64" s="41" t="n">
        <v>0</v>
      </c>
      <c r="K64" s="41" t="n">
        <v>364</v>
      </c>
      <c r="L64" s="37" t="inlineStr">
        <is>
          <t>2026-07-03</t>
        </is>
      </c>
      <c r="M64" s="37" t="inlineStr">
        <is>
          <t>CURRENT</t>
        </is>
      </c>
      <c r="N64" s="37">
        <f>RIGHT(A64,LEN(A64)-3)</f>
        <v/>
      </c>
      <c r="O64" s="37">
        <f>IF(N64=C64,"YES","NO")</f>
        <v/>
      </c>
      <c r="P64" s="37">
        <f>IFERROR(INDEX(Inventory!$E$2:$E$1181,MATCH(N64,Inventory!$A$2:$A$1181,0)),"NOT FOUND")</f>
        <v/>
      </c>
      <c r="Q64" s="41">
        <f>SUM(F64:J64)</f>
        <v/>
      </c>
      <c r="R64" s="41">
        <f>K64-Q64</f>
        <v/>
      </c>
      <c r="S64" s="41">
        <f>I64+J64</f>
        <v/>
      </c>
      <c r="T64" s="37">
        <f>IF(S64&gt;0,"YES","NO")</f>
        <v/>
      </c>
      <c r="U64" s="37">
        <f>IF(AND(T64="YES",P64="OCCUPIED",O64="YES",ABS(R64)&lt;=0.004),"YES","NO")</f>
        <v/>
      </c>
      <c r="V64" s="37">
        <f>IF(ABS(R64)&gt;0.004,"Priority 3",IF(U64="YES","COLLECTION",""))</f>
        <v/>
      </c>
    </row>
    <row r="65">
      <c r="A65" s="37" t="inlineStr">
        <is>
          <t>AC-LP-0320</t>
        </is>
      </c>
      <c r="B65" s="37" t="inlineStr">
        <is>
          <t>Douglas Herrera</t>
        </is>
      </c>
      <c r="C65" s="37" t="inlineStr">
        <is>
          <t>LP-0320</t>
        </is>
      </c>
      <c r="D65" s="37" t="inlineStr">
        <is>
          <t>Ledgport</t>
        </is>
      </c>
      <c r="E65" s="37" t="inlineStr">
        <is>
          <t>NON_COMM_MONTHLY</t>
        </is>
      </c>
      <c r="F65" s="41" t="n">
        <v>561.6</v>
      </c>
      <c r="G65" s="41" t="n">
        <v>0</v>
      </c>
      <c r="H65" s="41" t="n">
        <v>0</v>
      </c>
      <c r="I65" s="41" t="n">
        <v>0</v>
      </c>
      <c r="J65" s="41" t="n">
        <v>0</v>
      </c>
      <c r="K65" s="41" t="n">
        <v>561.6</v>
      </c>
      <c r="L65" s="37" t="inlineStr">
        <is>
          <t>2026-07-11</t>
        </is>
      </c>
      <c r="M65" s="37" t="inlineStr">
        <is>
          <t>CURRENT</t>
        </is>
      </c>
      <c r="N65" s="37">
        <f>RIGHT(A65,LEN(A65)-3)</f>
        <v/>
      </c>
      <c r="O65" s="37">
        <f>IF(N65=C65,"YES","NO")</f>
        <v/>
      </c>
      <c r="P65" s="37">
        <f>IFERROR(INDEX(Inventory!$E$2:$E$1181,MATCH(N65,Inventory!$A$2:$A$1181,0)),"NOT FOUND")</f>
        <v/>
      </c>
      <c r="Q65" s="41">
        <f>SUM(F65:J65)</f>
        <v/>
      </c>
      <c r="R65" s="41">
        <f>K65-Q65</f>
        <v/>
      </c>
      <c r="S65" s="41">
        <f>I65+J65</f>
        <v/>
      </c>
      <c r="T65" s="37">
        <f>IF(S65&gt;0,"YES","NO")</f>
        <v/>
      </c>
      <c r="U65" s="37">
        <f>IF(AND(T65="YES",P65="OCCUPIED",O65="YES",ABS(R65)&lt;=0.004),"YES","NO")</f>
        <v/>
      </c>
      <c r="V65" s="37">
        <f>IF(ABS(R65)&gt;0.004,"Priority 3",IF(U65="YES","COLLECTION",""))</f>
        <v/>
      </c>
    </row>
    <row r="66">
      <c r="A66" s="37" t="inlineStr">
        <is>
          <t>AC-LP-0321</t>
        </is>
      </c>
      <c r="B66" s="37" t="inlineStr">
        <is>
          <t>Jennifer Leonard</t>
        </is>
      </c>
      <c r="C66" s="37" t="inlineStr">
        <is>
          <t>LP-0321</t>
        </is>
      </c>
      <c r="D66" s="37" t="inlineStr">
        <is>
          <t>Ledgport</t>
        </is>
      </c>
      <c r="E66" s="37" t="inlineStr">
        <is>
          <t>NON_COMM_MONTHLY</t>
        </is>
      </c>
      <c r="F66" s="41" t="n">
        <v>364</v>
      </c>
      <c r="G66" s="41" t="n">
        <v>0</v>
      </c>
      <c r="H66" s="41" t="n">
        <v>0</v>
      </c>
      <c r="I66" s="41" t="n">
        <v>0</v>
      </c>
      <c r="J66" s="41" t="n">
        <v>0</v>
      </c>
      <c r="K66" s="41" t="n">
        <v>364</v>
      </c>
      <c r="L66" s="37" t="inlineStr">
        <is>
          <t>2026-06-01</t>
        </is>
      </c>
      <c r="M66" s="37" t="inlineStr">
        <is>
          <t>CURRENT</t>
        </is>
      </c>
      <c r="N66" s="37">
        <f>RIGHT(A66,LEN(A66)-3)</f>
        <v/>
      </c>
      <c r="O66" s="37">
        <f>IF(N66=C66,"YES","NO")</f>
        <v/>
      </c>
      <c r="P66" s="37">
        <f>IFERROR(INDEX(Inventory!$E$2:$E$1181,MATCH(N66,Inventory!$A$2:$A$1181,0)),"NOT FOUND")</f>
        <v/>
      </c>
      <c r="Q66" s="41">
        <f>SUM(F66:J66)</f>
        <v/>
      </c>
      <c r="R66" s="41">
        <f>K66-Q66</f>
        <v/>
      </c>
      <c r="S66" s="41">
        <f>I66+J66</f>
        <v/>
      </c>
      <c r="T66" s="37">
        <f>IF(S66&gt;0,"YES","NO")</f>
        <v/>
      </c>
      <c r="U66" s="37">
        <f>IF(AND(T66="YES",P66="OCCUPIED",O66="YES",ABS(R66)&lt;=0.004),"YES","NO")</f>
        <v/>
      </c>
      <c r="V66" s="37">
        <f>IF(ABS(R66)&gt;0.004,"Priority 3",IF(U66="YES","COLLECTION",""))</f>
        <v/>
      </c>
    </row>
    <row r="67">
      <c r="A67" s="37" t="inlineStr">
        <is>
          <t>AC-LP-0322</t>
        </is>
      </c>
      <c r="B67" s="37" t="inlineStr">
        <is>
          <t>Robert Nolan</t>
        </is>
      </c>
      <c r="C67" s="37" t="inlineStr">
        <is>
          <t>LP-0322</t>
        </is>
      </c>
      <c r="D67" s="37" t="inlineStr">
        <is>
          <t>Ledgport</t>
        </is>
      </c>
      <c r="E67" s="37" t="inlineStr">
        <is>
          <t>NON_COMM_MONTHLY</t>
        </is>
      </c>
      <c r="F67" s="41" t="n">
        <v>603.2</v>
      </c>
      <c r="G67" s="41" t="n">
        <v>603.2</v>
      </c>
      <c r="H67" s="41" t="n">
        <v>603.2</v>
      </c>
      <c r="I67" s="41" t="n">
        <v>0</v>
      </c>
      <c r="J67" s="41" t="n">
        <v>0</v>
      </c>
      <c r="K67" s="41" t="n">
        <v>1809.6</v>
      </c>
      <c r="L67" s="37" t="inlineStr">
        <is>
          <t>2026-06-29</t>
        </is>
      </c>
      <c r="M67" s="37" t="inlineStr">
        <is>
          <t>WATCH</t>
        </is>
      </c>
      <c r="N67" s="37">
        <f>RIGHT(A67,LEN(A67)-3)</f>
        <v/>
      </c>
      <c r="O67" s="37">
        <f>IF(N67=C67,"YES","NO")</f>
        <v/>
      </c>
      <c r="P67" s="37">
        <f>IFERROR(INDEX(Inventory!$E$2:$E$1181,MATCH(N67,Inventory!$A$2:$A$1181,0)),"NOT FOUND")</f>
        <v/>
      </c>
      <c r="Q67" s="41">
        <f>SUM(F67:J67)</f>
        <v/>
      </c>
      <c r="R67" s="41">
        <f>K67-Q67</f>
        <v/>
      </c>
      <c r="S67" s="41">
        <f>I67+J67</f>
        <v/>
      </c>
      <c r="T67" s="37">
        <f>IF(S67&gt;0,"YES","NO")</f>
        <v/>
      </c>
      <c r="U67" s="37">
        <f>IF(AND(T67="YES",P67="OCCUPIED",O67="YES",ABS(R67)&lt;=0.004),"YES","NO")</f>
        <v/>
      </c>
      <c r="V67" s="37">
        <f>IF(ABS(R67)&gt;0.004,"Priority 3",IF(U67="YES","COLLECTION",""))</f>
        <v/>
      </c>
    </row>
    <row r="68">
      <c r="A68" s="37" t="inlineStr">
        <is>
          <t>AC-LP-0323</t>
        </is>
      </c>
      <c r="B68" s="37" t="inlineStr">
        <is>
          <t>Robert Swanson</t>
        </is>
      </c>
      <c r="C68" s="37" t="inlineStr">
        <is>
          <t>LP-0323</t>
        </is>
      </c>
      <c r="D68" s="37" t="inlineStr">
        <is>
          <t>Ledgport</t>
        </is>
      </c>
      <c r="E68" s="37" t="inlineStr">
        <is>
          <t>NON_COMM_MONTHLY</t>
        </is>
      </c>
      <c r="F68" s="41" t="n">
        <v>509.6</v>
      </c>
      <c r="G68" s="41" t="n">
        <v>0</v>
      </c>
      <c r="H68" s="41" t="n">
        <v>0</v>
      </c>
      <c r="I68" s="41" t="n">
        <v>0</v>
      </c>
      <c r="J68" s="41" t="n">
        <v>0</v>
      </c>
      <c r="K68" s="41" t="n">
        <v>509.6</v>
      </c>
      <c r="L68" s="37" t="inlineStr">
        <is>
          <t>2026-06-17</t>
        </is>
      </c>
      <c r="M68" s="37" t="inlineStr">
        <is>
          <t>CURRENT</t>
        </is>
      </c>
      <c r="N68" s="37">
        <f>RIGHT(A68,LEN(A68)-3)</f>
        <v/>
      </c>
      <c r="O68" s="37">
        <f>IF(N68=C68,"YES","NO")</f>
        <v/>
      </c>
      <c r="P68" s="37">
        <f>IFERROR(INDEX(Inventory!$E$2:$E$1181,MATCH(N68,Inventory!$A$2:$A$1181,0)),"NOT FOUND")</f>
        <v/>
      </c>
      <c r="Q68" s="41">
        <f>SUM(F68:J68)</f>
        <v/>
      </c>
      <c r="R68" s="41">
        <f>K68-Q68</f>
        <v/>
      </c>
      <c r="S68" s="41">
        <f>I68+J68</f>
        <v/>
      </c>
      <c r="T68" s="37">
        <f>IF(S68&gt;0,"YES","NO")</f>
        <v/>
      </c>
      <c r="U68" s="37">
        <f>IF(AND(T68="YES",P68="OCCUPIED",O68="YES",ABS(R68)&lt;=0.004),"YES","NO")</f>
        <v/>
      </c>
      <c r="V68" s="37">
        <f>IF(ABS(R68)&gt;0.004,"Priority 3",IF(U68="YES","COLLECTION",""))</f>
        <v/>
      </c>
    </row>
    <row r="69">
      <c r="A69" s="37" t="inlineStr">
        <is>
          <t>AC-LP-0324</t>
        </is>
      </c>
      <c r="B69" s="37" t="inlineStr">
        <is>
          <t>Stephanie Hart</t>
        </is>
      </c>
      <c r="C69" s="37" t="inlineStr">
        <is>
          <t>LP-0324</t>
        </is>
      </c>
      <c r="D69" s="37" t="inlineStr">
        <is>
          <t>Ledgport</t>
        </is>
      </c>
      <c r="E69" s="37" t="inlineStr">
        <is>
          <t>NON_COMM_MONTHLY</t>
        </is>
      </c>
      <c r="F69" s="41" t="n">
        <v>468</v>
      </c>
      <c r="G69" s="41" t="n">
        <v>0</v>
      </c>
      <c r="H69" s="41" t="n">
        <v>0</v>
      </c>
      <c r="I69" s="41" t="n">
        <v>0</v>
      </c>
      <c r="J69" s="41" t="n">
        <v>0</v>
      </c>
      <c r="K69" s="41" t="n">
        <v>0</v>
      </c>
      <c r="L69" s="37" t="inlineStr">
        <is>
          <t>2026-07-17</t>
        </is>
      </c>
      <c r="M69" s="37" t="inlineStr">
        <is>
          <t>CURRENT</t>
        </is>
      </c>
      <c r="N69" s="37">
        <f>RIGHT(A69,LEN(A69)-3)</f>
        <v/>
      </c>
      <c r="O69" s="37">
        <f>IF(N69=C69,"YES","NO")</f>
        <v/>
      </c>
      <c r="P69" s="37">
        <f>IFERROR(INDEX(Inventory!$E$2:$E$1181,MATCH(N69,Inventory!$A$2:$A$1181,0)),"NOT FOUND")</f>
        <v/>
      </c>
      <c r="Q69" s="41">
        <f>SUM(F69:J69)</f>
        <v/>
      </c>
      <c r="R69" s="41">
        <f>K69-Q69</f>
        <v/>
      </c>
      <c r="S69" s="41">
        <f>I69+J69</f>
        <v/>
      </c>
      <c r="T69" s="37">
        <f>IF(S69&gt;0,"YES","NO")</f>
        <v/>
      </c>
      <c r="U69" s="37">
        <f>IF(AND(T69="YES",P69="OCCUPIED",O69="YES",ABS(R69)&lt;=0.004),"YES","NO")</f>
        <v/>
      </c>
      <c r="V69" s="37">
        <f>IF(ABS(R69)&gt;0.004,"Priority 3",IF(U69="YES","COLLECTION",""))</f>
        <v/>
      </c>
    </row>
    <row r="70">
      <c r="A70" s="37" t="inlineStr">
        <is>
          <t>AC-LP-0402</t>
        </is>
      </c>
      <c r="B70" s="37" t="inlineStr">
        <is>
          <t>Dawn Brown</t>
        </is>
      </c>
      <c r="C70" s="37" t="inlineStr">
        <is>
          <t>LP-0402</t>
        </is>
      </c>
      <c r="D70" s="37" t="inlineStr">
        <is>
          <t>Ledgport</t>
        </is>
      </c>
      <c r="E70" s="37" t="inlineStr">
        <is>
          <t>NON_COMM_MONTHLY</t>
        </is>
      </c>
      <c r="F70" s="41" t="n">
        <v>384.8</v>
      </c>
      <c r="G70" s="41" t="n">
        <v>384.8</v>
      </c>
      <c r="H70" s="41" t="n">
        <v>384.8</v>
      </c>
      <c r="I70" s="41" t="n">
        <v>384.8</v>
      </c>
      <c r="J70" s="41" t="n">
        <v>0</v>
      </c>
      <c r="K70" s="41" t="n">
        <v>1539.2</v>
      </c>
      <c r="L70" s="37" t="inlineStr">
        <is>
          <t>2026-07-11</t>
        </is>
      </c>
      <c r="M70" s="37" t="inlineStr">
        <is>
          <t>COLLECTIONS</t>
        </is>
      </c>
      <c r="N70" s="37">
        <f>RIGHT(A70,LEN(A70)-3)</f>
        <v/>
      </c>
      <c r="O70" s="37">
        <f>IF(N70=C70,"YES","NO")</f>
        <v/>
      </c>
      <c r="P70" s="37">
        <f>IFERROR(INDEX(Inventory!$E$2:$E$1181,MATCH(N70,Inventory!$A$2:$A$1181,0)),"NOT FOUND")</f>
        <v/>
      </c>
      <c r="Q70" s="41">
        <f>SUM(F70:J70)</f>
        <v/>
      </c>
      <c r="R70" s="41">
        <f>K70-Q70</f>
        <v/>
      </c>
      <c r="S70" s="41">
        <f>I70+J70</f>
        <v/>
      </c>
      <c r="T70" s="37">
        <f>IF(S70&gt;0,"YES","NO")</f>
        <v/>
      </c>
      <c r="U70" s="37">
        <f>IF(AND(T70="YES",P70="OCCUPIED",O70="YES",ABS(R70)&lt;=0.004),"YES","NO")</f>
        <v/>
      </c>
      <c r="V70" s="37">
        <f>IF(ABS(R70)&gt;0.004,"Priority 3",IF(U70="YES","COLLECTION",""))</f>
        <v/>
      </c>
    </row>
    <row r="71">
      <c r="A71" s="37" t="inlineStr">
        <is>
          <t>AC-LP-0403</t>
        </is>
      </c>
      <c r="B71" s="37" t="inlineStr">
        <is>
          <t>Donna Mitchell</t>
        </is>
      </c>
      <c r="C71" s="37" t="inlineStr">
        <is>
          <t>LP-0403</t>
        </is>
      </c>
      <c r="D71" s="37" t="inlineStr">
        <is>
          <t>Ledgport</t>
        </is>
      </c>
      <c r="E71" s="37" t="inlineStr">
        <is>
          <t>NON_COMM_MONTHLY</t>
        </is>
      </c>
      <c r="F71" s="41" t="n">
        <v>488.8</v>
      </c>
      <c r="G71" s="41" t="n">
        <v>0</v>
      </c>
      <c r="H71" s="41" t="n">
        <v>0</v>
      </c>
      <c r="I71" s="41" t="n">
        <v>0</v>
      </c>
      <c r="J71" s="41" t="n">
        <v>0</v>
      </c>
      <c r="K71" s="41" t="n">
        <v>488.8</v>
      </c>
      <c r="L71" s="37" t="inlineStr">
        <is>
          <t>2026-06-18</t>
        </is>
      </c>
      <c r="M71" s="37" t="inlineStr">
        <is>
          <t>CURRENT</t>
        </is>
      </c>
      <c r="N71" s="37">
        <f>RIGHT(A71,LEN(A71)-3)</f>
        <v/>
      </c>
      <c r="O71" s="37">
        <f>IF(N71=C71,"YES","NO")</f>
        <v/>
      </c>
      <c r="P71" s="37">
        <f>IFERROR(INDEX(Inventory!$E$2:$E$1181,MATCH(N71,Inventory!$A$2:$A$1181,0)),"NOT FOUND")</f>
        <v/>
      </c>
      <c r="Q71" s="41">
        <f>SUM(F71:J71)</f>
        <v/>
      </c>
      <c r="R71" s="41">
        <f>K71-Q71</f>
        <v/>
      </c>
      <c r="S71" s="41">
        <f>I71+J71</f>
        <v/>
      </c>
      <c r="T71" s="37">
        <f>IF(S71&gt;0,"YES","NO")</f>
        <v/>
      </c>
      <c r="U71" s="37">
        <f>IF(AND(T71="YES",P71="OCCUPIED",O71="YES",ABS(R71)&lt;=0.004),"YES","NO")</f>
        <v/>
      </c>
      <c r="V71" s="37">
        <f>IF(ABS(R71)&gt;0.004,"Priority 3",IF(U71="YES","COLLECTION",""))</f>
        <v/>
      </c>
    </row>
    <row r="72">
      <c r="A72" s="37" t="inlineStr">
        <is>
          <t>AC-LP-0404</t>
        </is>
      </c>
      <c r="B72" s="37" t="inlineStr">
        <is>
          <t>Rachel Flores</t>
        </is>
      </c>
      <c r="C72" s="37" t="inlineStr">
        <is>
          <t>LP-0404</t>
        </is>
      </c>
      <c r="D72" s="37" t="inlineStr">
        <is>
          <t>Ledgport</t>
        </is>
      </c>
      <c r="E72" s="37" t="inlineStr">
        <is>
          <t>NON_COMM_MONTHLY</t>
        </is>
      </c>
      <c r="F72" s="41" t="n">
        <v>291.2</v>
      </c>
      <c r="G72" s="41" t="n">
        <v>0</v>
      </c>
      <c r="H72" s="41" t="n">
        <v>0</v>
      </c>
      <c r="I72" s="41" t="n">
        <v>0</v>
      </c>
      <c r="J72" s="41" t="n">
        <v>0</v>
      </c>
      <c r="K72" s="41" t="n">
        <v>291.2</v>
      </c>
      <c r="L72" s="37" t="inlineStr">
        <is>
          <t>2026-07-16</t>
        </is>
      </c>
      <c r="M72" s="37" t="inlineStr">
        <is>
          <t>CURRENT</t>
        </is>
      </c>
      <c r="N72" s="37">
        <f>RIGHT(A72,LEN(A72)-3)</f>
        <v/>
      </c>
      <c r="O72" s="37">
        <f>IF(N72=C72,"YES","NO")</f>
        <v/>
      </c>
      <c r="P72" s="37">
        <f>IFERROR(INDEX(Inventory!$E$2:$E$1181,MATCH(N72,Inventory!$A$2:$A$1181,0)),"NOT FOUND")</f>
        <v/>
      </c>
      <c r="Q72" s="41">
        <f>SUM(F72:J72)</f>
        <v/>
      </c>
      <c r="R72" s="41">
        <f>K72-Q72</f>
        <v/>
      </c>
      <c r="S72" s="41">
        <f>I72+J72</f>
        <v/>
      </c>
      <c r="T72" s="37">
        <f>IF(S72&gt;0,"YES","NO")</f>
        <v/>
      </c>
      <c r="U72" s="37">
        <f>IF(AND(T72="YES",P72="OCCUPIED",O72="YES",ABS(R72)&lt;=0.004),"YES","NO")</f>
        <v/>
      </c>
      <c r="V72" s="37">
        <f>IF(ABS(R72)&gt;0.004,"Priority 3",IF(U72="YES","COLLECTION",""))</f>
        <v/>
      </c>
    </row>
    <row r="73">
      <c r="A73" s="37" t="inlineStr">
        <is>
          <t>AC-LP-0405</t>
        </is>
      </c>
      <c r="B73" s="37" t="inlineStr">
        <is>
          <t>David Lopez</t>
        </is>
      </c>
      <c r="C73" s="37" t="inlineStr">
        <is>
          <t>LP-0405</t>
        </is>
      </c>
      <c r="D73" s="37" t="inlineStr">
        <is>
          <t>Ledgport</t>
        </is>
      </c>
      <c r="E73" s="37" t="inlineStr">
        <is>
          <t>NON_COMM_MONTHLY</t>
        </is>
      </c>
      <c r="F73" s="41" t="n">
        <v>364</v>
      </c>
      <c r="G73" s="41" t="n">
        <v>0</v>
      </c>
      <c r="H73" s="41" t="n">
        <v>0</v>
      </c>
      <c r="I73" s="41" t="n">
        <v>0</v>
      </c>
      <c r="J73" s="41" t="n">
        <v>0</v>
      </c>
      <c r="K73" s="41" t="n">
        <v>364</v>
      </c>
      <c r="L73" s="37" t="inlineStr">
        <is>
          <t>2026-05-25</t>
        </is>
      </c>
      <c r="M73" s="37" t="inlineStr">
        <is>
          <t>CURRENT</t>
        </is>
      </c>
      <c r="N73" s="37">
        <f>RIGHT(A73,LEN(A73)-3)</f>
        <v/>
      </c>
      <c r="O73" s="37">
        <f>IF(N73=C73,"YES","NO")</f>
        <v/>
      </c>
      <c r="P73" s="37">
        <f>IFERROR(INDEX(Inventory!$E$2:$E$1181,MATCH(N73,Inventory!$A$2:$A$1181,0)),"NOT FOUND")</f>
        <v/>
      </c>
      <c r="Q73" s="41">
        <f>SUM(F73:J73)</f>
        <v/>
      </c>
      <c r="R73" s="41">
        <f>K73-Q73</f>
        <v/>
      </c>
      <c r="S73" s="41">
        <f>I73+J73</f>
        <v/>
      </c>
      <c r="T73" s="37">
        <f>IF(S73&gt;0,"YES","NO")</f>
        <v/>
      </c>
      <c r="U73" s="37">
        <f>IF(AND(T73="YES",P73="OCCUPIED",O73="YES",ABS(R73)&lt;=0.004),"YES","NO")</f>
        <v/>
      </c>
      <c r="V73" s="37">
        <f>IF(ABS(R73)&gt;0.004,"Priority 3",IF(U73="YES","COLLECTION",""))</f>
        <v/>
      </c>
    </row>
    <row r="74">
      <c r="A74" s="37" t="inlineStr">
        <is>
          <t>AC-LP-0406</t>
        </is>
      </c>
      <c r="B74" s="37" t="inlineStr">
        <is>
          <t>Michael King</t>
        </is>
      </c>
      <c r="C74" s="37" t="inlineStr">
        <is>
          <t>LP-0406</t>
        </is>
      </c>
      <c r="D74" s="37" t="inlineStr">
        <is>
          <t>Ledgport</t>
        </is>
      </c>
      <c r="E74" s="37" t="inlineStr">
        <is>
          <t>NON_COMM_MONTHLY</t>
        </is>
      </c>
      <c r="F74" s="41" t="n">
        <v>624</v>
      </c>
      <c r="G74" s="41" t="n">
        <v>0</v>
      </c>
      <c r="H74" s="41" t="n">
        <v>0</v>
      </c>
      <c r="I74" s="41" t="n">
        <v>0</v>
      </c>
      <c r="J74" s="41" t="n">
        <v>0</v>
      </c>
      <c r="K74" s="41" t="n">
        <v>624</v>
      </c>
      <c r="L74" s="37" t="inlineStr">
        <is>
          <t>2026-07-19</t>
        </is>
      </c>
      <c r="M74" s="37" t="inlineStr">
        <is>
          <t>CURRENT</t>
        </is>
      </c>
      <c r="N74" s="37">
        <f>RIGHT(A74,LEN(A74)-3)</f>
        <v/>
      </c>
      <c r="O74" s="37">
        <f>IF(N74=C74,"YES","NO")</f>
        <v/>
      </c>
      <c r="P74" s="37">
        <f>IFERROR(INDEX(Inventory!$E$2:$E$1181,MATCH(N74,Inventory!$A$2:$A$1181,0)),"NOT FOUND")</f>
        <v/>
      </c>
      <c r="Q74" s="41">
        <f>SUM(F74:J74)</f>
        <v/>
      </c>
      <c r="R74" s="41">
        <f>K74-Q74</f>
        <v/>
      </c>
      <c r="S74" s="41">
        <f>I74+J74</f>
        <v/>
      </c>
      <c r="T74" s="37">
        <f>IF(S74&gt;0,"YES","NO")</f>
        <v/>
      </c>
      <c r="U74" s="37">
        <f>IF(AND(T74="YES",P74="OCCUPIED",O74="YES",ABS(R74)&lt;=0.004),"YES","NO")</f>
        <v/>
      </c>
      <c r="V74" s="37">
        <f>IF(ABS(R74)&gt;0.004,"Priority 3",IF(U74="YES","COLLECTION",""))</f>
        <v/>
      </c>
    </row>
    <row r="75">
      <c r="A75" s="37" t="inlineStr">
        <is>
          <t>AC-LP-0407</t>
        </is>
      </c>
      <c r="B75" s="37" t="inlineStr">
        <is>
          <t>Karla Cross</t>
        </is>
      </c>
      <c r="C75" s="37" t="inlineStr">
        <is>
          <t>LP-0407</t>
        </is>
      </c>
      <c r="D75" s="37" t="inlineStr">
        <is>
          <t>Ledgport</t>
        </is>
      </c>
      <c r="E75" s="37" t="inlineStr">
        <is>
          <t>NON_COMM_MONTHLY</t>
        </is>
      </c>
      <c r="F75" s="41" t="n">
        <v>405.6</v>
      </c>
      <c r="G75" s="41" t="n">
        <v>0</v>
      </c>
      <c r="H75" s="41" t="n">
        <v>0</v>
      </c>
      <c r="I75" s="41" t="n">
        <v>0</v>
      </c>
      <c r="J75" s="41" t="n">
        <v>0</v>
      </c>
      <c r="K75" s="41" t="n">
        <v>405.6</v>
      </c>
      <c r="L75" s="37" t="inlineStr">
        <is>
          <t>2026-06-16</t>
        </is>
      </c>
      <c r="M75" s="37" t="inlineStr">
        <is>
          <t>CURRENT</t>
        </is>
      </c>
      <c r="N75" s="37">
        <f>RIGHT(A75,LEN(A75)-3)</f>
        <v/>
      </c>
      <c r="O75" s="37">
        <f>IF(N75=C75,"YES","NO")</f>
        <v/>
      </c>
      <c r="P75" s="37">
        <f>IFERROR(INDEX(Inventory!$E$2:$E$1181,MATCH(N75,Inventory!$A$2:$A$1181,0)),"NOT FOUND")</f>
        <v/>
      </c>
      <c r="Q75" s="41">
        <f>SUM(F75:J75)</f>
        <v/>
      </c>
      <c r="R75" s="41">
        <f>K75-Q75</f>
        <v/>
      </c>
      <c r="S75" s="41">
        <f>I75+J75</f>
        <v/>
      </c>
      <c r="T75" s="37">
        <f>IF(S75&gt;0,"YES","NO")</f>
        <v/>
      </c>
      <c r="U75" s="37">
        <f>IF(AND(T75="YES",P75="OCCUPIED",O75="YES",ABS(R75)&lt;=0.004),"YES","NO")</f>
        <v/>
      </c>
      <c r="V75" s="37">
        <f>IF(ABS(R75)&gt;0.004,"Priority 3",IF(U75="YES","COLLECTION",""))</f>
        <v/>
      </c>
    </row>
    <row r="76">
      <c r="A76" s="37" t="inlineStr">
        <is>
          <t>AC-LP-0408</t>
        </is>
      </c>
      <c r="B76" s="37" t="inlineStr">
        <is>
          <t>Kari Snow</t>
        </is>
      </c>
      <c r="C76" s="37" t="inlineStr">
        <is>
          <t>LP-0408</t>
        </is>
      </c>
      <c r="D76" s="37" t="inlineStr">
        <is>
          <t>Ledgport</t>
        </is>
      </c>
      <c r="E76" s="37" t="inlineStr">
        <is>
          <t>NON_COMM_MONTHLY</t>
        </is>
      </c>
      <c r="F76" s="41" t="n">
        <v>416</v>
      </c>
      <c r="G76" s="41" t="n">
        <v>0</v>
      </c>
      <c r="H76" s="41" t="n">
        <v>0</v>
      </c>
      <c r="I76" s="41" t="n">
        <v>0</v>
      </c>
      <c r="J76" s="41" t="n">
        <v>0</v>
      </c>
      <c r="K76" s="41" t="n">
        <v>416</v>
      </c>
      <c r="L76" s="37" t="inlineStr">
        <is>
          <t>2026-06-11</t>
        </is>
      </c>
      <c r="M76" s="37" t="inlineStr">
        <is>
          <t>CURRENT</t>
        </is>
      </c>
      <c r="N76" s="37">
        <f>RIGHT(A76,LEN(A76)-3)</f>
        <v/>
      </c>
      <c r="O76" s="37">
        <f>IF(N76=C76,"YES","NO")</f>
        <v/>
      </c>
      <c r="P76" s="37">
        <f>IFERROR(INDEX(Inventory!$E$2:$E$1181,MATCH(N76,Inventory!$A$2:$A$1181,0)),"NOT FOUND")</f>
        <v/>
      </c>
      <c r="Q76" s="41">
        <f>SUM(F76:J76)</f>
        <v/>
      </c>
      <c r="R76" s="41">
        <f>K76-Q76</f>
        <v/>
      </c>
      <c r="S76" s="41">
        <f>I76+J76</f>
        <v/>
      </c>
      <c r="T76" s="37">
        <f>IF(S76&gt;0,"YES","NO")</f>
        <v/>
      </c>
      <c r="U76" s="37">
        <f>IF(AND(T76="YES",P76="OCCUPIED",O76="YES",ABS(R76)&lt;=0.004),"YES","NO")</f>
        <v/>
      </c>
      <c r="V76" s="37">
        <f>IF(ABS(R76)&gt;0.004,"Priority 3",IF(U76="YES","COLLECTION",""))</f>
        <v/>
      </c>
    </row>
    <row r="77">
      <c r="A77" s="37" t="inlineStr">
        <is>
          <t>AC-LP-0409</t>
        </is>
      </c>
      <c r="B77" s="37" t="inlineStr">
        <is>
          <t>Joseph Cohen</t>
        </is>
      </c>
      <c r="C77" s="37" t="inlineStr">
        <is>
          <t>LP-0409</t>
        </is>
      </c>
      <c r="D77" s="37" t="inlineStr">
        <is>
          <t>Ledgport</t>
        </is>
      </c>
      <c r="E77" s="37" t="inlineStr">
        <is>
          <t>NON_COMM_MONTHLY</t>
        </is>
      </c>
      <c r="F77" s="41" t="n">
        <v>509.6</v>
      </c>
      <c r="G77" s="41" t="n">
        <v>0</v>
      </c>
      <c r="H77" s="41" t="n">
        <v>0</v>
      </c>
      <c r="I77" s="41" t="n">
        <v>0</v>
      </c>
      <c r="J77" s="41" t="n">
        <v>0</v>
      </c>
      <c r="K77" s="41" t="n">
        <v>0</v>
      </c>
      <c r="L77" s="37" t="inlineStr">
        <is>
          <t>2026-05-13</t>
        </is>
      </c>
      <c r="M77" s="37" t="inlineStr">
        <is>
          <t>CURRENT</t>
        </is>
      </c>
      <c r="N77" s="37">
        <f>RIGHT(A77,LEN(A77)-3)</f>
        <v/>
      </c>
      <c r="O77" s="37">
        <f>IF(N77=C77,"YES","NO")</f>
        <v/>
      </c>
      <c r="P77" s="37">
        <f>IFERROR(INDEX(Inventory!$E$2:$E$1181,MATCH(N77,Inventory!$A$2:$A$1181,0)),"NOT FOUND")</f>
        <v/>
      </c>
      <c r="Q77" s="41">
        <f>SUM(F77:J77)</f>
        <v/>
      </c>
      <c r="R77" s="41">
        <f>K77-Q77</f>
        <v/>
      </c>
      <c r="S77" s="41">
        <f>I77+J77</f>
        <v/>
      </c>
      <c r="T77" s="37">
        <f>IF(S77&gt;0,"YES","NO")</f>
        <v/>
      </c>
      <c r="U77" s="37">
        <f>IF(AND(T77="YES",P77="OCCUPIED",O77="YES",ABS(R77)&lt;=0.004),"YES","NO")</f>
        <v/>
      </c>
      <c r="V77" s="37">
        <f>IF(ABS(R77)&gt;0.004,"Priority 3",IF(U77="YES","COLLECTION",""))</f>
        <v/>
      </c>
    </row>
    <row r="78">
      <c r="A78" s="37" t="inlineStr">
        <is>
          <t>AC-LP-0410</t>
        </is>
      </c>
      <c r="B78" s="37" t="inlineStr">
        <is>
          <t>Kristina Savage</t>
        </is>
      </c>
      <c r="C78" s="37" t="inlineStr">
        <is>
          <t>LP-0410</t>
        </is>
      </c>
      <c r="D78" s="37" t="inlineStr">
        <is>
          <t>Ledgport</t>
        </is>
      </c>
      <c r="E78" s="37" t="inlineStr">
        <is>
          <t>NON_COMM_MONTHLY</t>
        </is>
      </c>
      <c r="F78" s="41" t="n">
        <v>416</v>
      </c>
      <c r="G78" s="41" t="n">
        <v>0</v>
      </c>
      <c r="H78" s="41" t="n">
        <v>0</v>
      </c>
      <c r="I78" s="41" t="n">
        <v>0</v>
      </c>
      <c r="J78" s="41" t="n">
        <v>0</v>
      </c>
      <c r="K78" s="41" t="n">
        <v>416</v>
      </c>
      <c r="L78" s="37" t="inlineStr">
        <is>
          <t>2026-06-27</t>
        </is>
      </c>
      <c r="M78" s="37" t="inlineStr">
        <is>
          <t>CURRENT</t>
        </is>
      </c>
      <c r="N78" s="37">
        <f>RIGHT(A78,LEN(A78)-3)</f>
        <v/>
      </c>
      <c r="O78" s="37">
        <f>IF(N78=C78,"YES","NO")</f>
        <v/>
      </c>
      <c r="P78" s="37">
        <f>IFERROR(INDEX(Inventory!$E$2:$E$1181,MATCH(N78,Inventory!$A$2:$A$1181,0)),"NOT FOUND")</f>
        <v/>
      </c>
      <c r="Q78" s="41">
        <f>SUM(F78:J78)</f>
        <v/>
      </c>
      <c r="R78" s="41">
        <f>K78-Q78</f>
        <v/>
      </c>
      <c r="S78" s="41">
        <f>I78+J78</f>
        <v/>
      </c>
      <c r="T78" s="37">
        <f>IF(S78&gt;0,"YES","NO")</f>
        <v/>
      </c>
      <c r="U78" s="37">
        <f>IF(AND(T78="YES",P78="OCCUPIED",O78="YES",ABS(R78)&lt;=0.004),"YES","NO")</f>
        <v/>
      </c>
      <c r="V78" s="37">
        <f>IF(ABS(R78)&gt;0.004,"Priority 3",IF(U78="YES","COLLECTION",""))</f>
        <v/>
      </c>
    </row>
    <row r="79">
      <c r="A79" s="37" t="inlineStr">
        <is>
          <t>AC-LP-0411</t>
        </is>
      </c>
      <c r="B79" s="37" t="inlineStr">
        <is>
          <t>Clayton Williams</t>
        </is>
      </c>
      <c r="C79" s="37" t="inlineStr">
        <is>
          <t>LP-0411</t>
        </is>
      </c>
      <c r="D79" s="37" t="inlineStr">
        <is>
          <t>Ledgport</t>
        </is>
      </c>
      <c r="E79" s="37" t="inlineStr">
        <is>
          <t>NON_COMM_MONTHLY</t>
        </is>
      </c>
      <c r="F79" s="41" t="n">
        <v>260</v>
      </c>
      <c r="G79" s="41" t="n">
        <v>0</v>
      </c>
      <c r="H79" s="41" t="n">
        <v>0</v>
      </c>
      <c r="I79" s="41" t="n">
        <v>0</v>
      </c>
      <c r="J79" s="41" t="n">
        <v>0</v>
      </c>
      <c r="K79" s="41" t="n">
        <v>260</v>
      </c>
      <c r="L79" s="37" t="inlineStr">
        <is>
          <t>2026-06-22</t>
        </is>
      </c>
      <c r="M79" s="37" t="inlineStr">
        <is>
          <t>CURRENT</t>
        </is>
      </c>
      <c r="N79" s="37">
        <f>RIGHT(A79,LEN(A79)-3)</f>
        <v/>
      </c>
      <c r="O79" s="37">
        <f>IF(N79=C79,"YES","NO")</f>
        <v/>
      </c>
      <c r="P79" s="37">
        <f>IFERROR(INDEX(Inventory!$E$2:$E$1181,MATCH(N79,Inventory!$A$2:$A$1181,0)),"NOT FOUND")</f>
        <v/>
      </c>
      <c r="Q79" s="41">
        <f>SUM(F79:J79)</f>
        <v/>
      </c>
      <c r="R79" s="41">
        <f>K79-Q79</f>
        <v/>
      </c>
      <c r="S79" s="41">
        <f>I79+J79</f>
        <v/>
      </c>
      <c r="T79" s="37">
        <f>IF(S79&gt;0,"YES","NO")</f>
        <v/>
      </c>
      <c r="U79" s="37">
        <f>IF(AND(T79="YES",P79="OCCUPIED",O79="YES",ABS(R79)&lt;=0.004),"YES","NO")</f>
        <v/>
      </c>
      <c r="V79" s="37">
        <f>IF(ABS(R79)&gt;0.004,"Priority 3",IF(U79="YES","COLLECTION",""))</f>
        <v/>
      </c>
    </row>
    <row r="80">
      <c r="A80" s="37" t="inlineStr">
        <is>
          <t>AC-LP-0412</t>
        </is>
      </c>
      <c r="B80" s="37" t="inlineStr">
        <is>
          <t>Edward Cook</t>
        </is>
      </c>
      <c r="C80" s="37" t="inlineStr">
        <is>
          <t>LP-0412</t>
        </is>
      </c>
      <c r="D80" s="37" t="inlineStr">
        <is>
          <t>Ledgport</t>
        </is>
      </c>
      <c r="E80" s="37" t="inlineStr">
        <is>
          <t>NON_COMM_MONTHLY</t>
        </is>
      </c>
      <c r="F80" s="41" t="n">
        <v>436.8</v>
      </c>
      <c r="G80" s="41" t="n">
        <v>0</v>
      </c>
      <c r="H80" s="41" t="n">
        <v>0</v>
      </c>
      <c r="I80" s="41" t="n">
        <v>0</v>
      </c>
      <c r="J80" s="41" t="n">
        <v>0</v>
      </c>
      <c r="K80" s="41" t="n">
        <v>436.8</v>
      </c>
      <c r="L80" s="37" t="inlineStr">
        <is>
          <t>2026-07-02</t>
        </is>
      </c>
      <c r="M80" s="37" t="inlineStr">
        <is>
          <t>CURRENT</t>
        </is>
      </c>
      <c r="N80" s="37">
        <f>RIGHT(A80,LEN(A80)-3)</f>
        <v/>
      </c>
      <c r="O80" s="37">
        <f>IF(N80=C80,"YES","NO")</f>
        <v/>
      </c>
      <c r="P80" s="37">
        <f>IFERROR(INDEX(Inventory!$E$2:$E$1181,MATCH(N80,Inventory!$A$2:$A$1181,0)),"NOT FOUND")</f>
        <v/>
      </c>
      <c r="Q80" s="41">
        <f>SUM(F80:J80)</f>
        <v/>
      </c>
      <c r="R80" s="41">
        <f>K80-Q80</f>
        <v/>
      </c>
      <c r="S80" s="41">
        <f>I80+J80</f>
        <v/>
      </c>
      <c r="T80" s="37">
        <f>IF(S80&gt;0,"YES","NO")</f>
        <v/>
      </c>
      <c r="U80" s="37">
        <f>IF(AND(T80="YES",P80="OCCUPIED",O80="YES",ABS(R80)&lt;=0.004),"YES","NO")</f>
        <v/>
      </c>
      <c r="V80" s="37">
        <f>IF(ABS(R80)&gt;0.004,"Priority 3",IF(U80="YES","COLLECTION",""))</f>
        <v/>
      </c>
    </row>
    <row r="81">
      <c r="A81" s="37" t="inlineStr">
        <is>
          <t>AC-LP-0413</t>
        </is>
      </c>
      <c r="B81" s="37" t="inlineStr">
        <is>
          <t>Tammie Johnson</t>
        </is>
      </c>
      <c r="C81" s="37" t="inlineStr">
        <is>
          <t>LP-0413</t>
        </is>
      </c>
      <c r="D81" s="37" t="inlineStr">
        <is>
          <t>Ledgport</t>
        </is>
      </c>
      <c r="E81" s="37" t="inlineStr">
        <is>
          <t>NON_COMM_MONTHLY</t>
        </is>
      </c>
      <c r="F81" s="41" t="n">
        <v>291.2</v>
      </c>
      <c r="G81" s="41" t="n">
        <v>0</v>
      </c>
      <c r="H81" s="41" t="n">
        <v>0</v>
      </c>
      <c r="I81" s="41" t="n">
        <v>0</v>
      </c>
      <c r="J81" s="41" t="n">
        <v>0</v>
      </c>
      <c r="K81" s="41" t="n">
        <v>291.2</v>
      </c>
      <c r="L81" s="37" t="inlineStr">
        <is>
          <t>2026-07-10</t>
        </is>
      </c>
      <c r="M81" s="37" t="inlineStr">
        <is>
          <t>CURRENT</t>
        </is>
      </c>
      <c r="N81" s="37">
        <f>RIGHT(A81,LEN(A81)-3)</f>
        <v/>
      </c>
      <c r="O81" s="37">
        <f>IF(N81=C81,"YES","NO")</f>
        <v/>
      </c>
      <c r="P81" s="37">
        <f>IFERROR(INDEX(Inventory!$E$2:$E$1181,MATCH(N81,Inventory!$A$2:$A$1181,0)),"NOT FOUND")</f>
        <v/>
      </c>
      <c r="Q81" s="41">
        <f>SUM(F81:J81)</f>
        <v/>
      </c>
      <c r="R81" s="41">
        <f>K81-Q81</f>
        <v/>
      </c>
      <c r="S81" s="41">
        <f>I81+J81</f>
        <v/>
      </c>
      <c r="T81" s="37">
        <f>IF(S81&gt;0,"YES","NO")</f>
        <v/>
      </c>
      <c r="U81" s="37">
        <f>IF(AND(T81="YES",P81="OCCUPIED",O81="YES",ABS(R81)&lt;=0.004),"YES","NO")</f>
        <v/>
      </c>
      <c r="V81" s="37">
        <f>IF(ABS(R81)&gt;0.004,"Priority 3",IF(U81="YES","COLLECTION",""))</f>
        <v/>
      </c>
    </row>
    <row r="82">
      <c r="A82" s="37" t="inlineStr">
        <is>
          <t>AC-LP-0415</t>
        </is>
      </c>
      <c r="B82" s="37" t="inlineStr">
        <is>
          <t>Ryan Collins</t>
        </is>
      </c>
      <c r="C82" s="37" t="inlineStr">
        <is>
          <t>LP-0415</t>
        </is>
      </c>
      <c r="D82" s="37" t="inlineStr">
        <is>
          <t>Ledgport</t>
        </is>
      </c>
      <c r="E82" s="37" t="inlineStr">
        <is>
          <t>NON_COMM_MONTHLY</t>
        </is>
      </c>
      <c r="F82" s="41" t="n">
        <v>374.4</v>
      </c>
      <c r="G82" s="41" t="n">
        <v>0</v>
      </c>
      <c r="H82" s="41" t="n">
        <v>0</v>
      </c>
      <c r="I82" s="41" t="n">
        <v>0</v>
      </c>
      <c r="J82" s="41" t="n">
        <v>0</v>
      </c>
      <c r="K82" s="41" t="n">
        <v>374.4</v>
      </c>
      <c r="L82" s="37" t="inlineStr">
        <is>
          <t>2026-05-11</t>
        </is>
      </c>
      <c r="M82" s="37" t="inlineStr">
        <is>
          <t>CURRENT</t>
        </is>
      </c>
      <c r="N82" s="37">
        <f>RIGHT(A82,LEN(A82)-3)</f>
        <v/>
      </c>
      <c r="O82" s="37">
        <f>IF(N82=C82,"YES","NO")</f>
        <v/>
      </c>
      <c r="P82" s="37">
        <f>IFERROR(INDEX(Inventory!$E$2:$E$1181,MATCH(N82,Inventory!$A$2:$A$1181,0)),"NOT FOUND")</f>
        <v/>
      </c>
      <c r="Q82" s="41">
        <f>SUM(F82:J82)</f>
        <v/>
      </c>
      <c r="R82" s="41">
        <f>K82-Q82</f>
        <v/>
      </c>
      <c r="S82" s="41">
        <f>I82+J82</f>
        <v/>
      </c>
      <c r="T82" s="37">
        <f>IF(S82&gt;0,"YES","NO")</f>
        <v/>
      </c>
      <c r="U82" s="37">
        <f>IF(AND(T82="YES",P82="OCCUPIED",O82="YES",ABS(R82)&lt;=0.004),"YES","NO")</f>
        <v/>
      </c>
      <c r="V82" s="37">
        <f>IF(ABS(R82)&gt;0.004,"Priority 3",IF(U82="YES","COLLECTION",""))</f>
        <v/>
      </c>
    </row>
    <row r="83">
      <c r="A83" s="37" t="inlineStr">
        <is>
          <t>AC-LP-0416</t>
        </is>
      </c>
      <c r="B83" s="37" t="inlineStr">
        <is>
          <t>Kevin Fuller</t>
        </is>
      </c>
      <c r="C83" s="37" t="inlineStr">
        <is>
          <t>LP-0416</t>
        </is>
      </c>
      <c r="D83" s="37" t="inlineStr">
        <is>
          <t>Ledgport</t>
        </is>
      </c>
      <c r="E83" s="37" t="inlineStr">
        <is>
          <t>NON_COMM_MONTHLY</t>
        </is>
      </c>
      <c r="F83" s="41" t="n">
        <v>499.2</v>
      </c>
      <c r="G83" s="41" t="n">
        <v>0</v>
      </c>
      <c r="H83" s="41" t="n">
        <v>0</v>
      </c>
      <c r="I83" s="41" t="n">
        <v>0</v>
      </c>
      <c r="J83" s="41" t="n">
        <v>0</v>
      </c>
      <c r="K83" s="41" t="n">
        <v>0</v>
      </c>
      <c r="L83" s="37" t="inlineStr">
        <is>
          <t>2026-06-11</t>
        </is>
      </c>
      <c r="M83" s="37" t="inlineStr">
        <is>
          <t>CURRENT</t>
        </is>
      </c>
      <c r="N83" s="37">
        <f>RIGHT(A83,LEN(A83)-3)</f>
        <v/>
      </c>
      <c r="O83" s="37">
        <f>IF(N83=C83,"YES","NO")</f>
        <v/>
      </c>
      <c r="P83" s="37">
        <f>IFERROR(INDEX(Inventory!$E$2:$E$1181,MATCH(N83,Inventory!$A$2:$A$1181,0)),"NOT FOUND")</f>
        <v/>
      </c>
      <c r="Q83" s="41">
        <f>SUM(F83:J83)</f>
        <v/>
      </c>
      <c r="R83" s="41">
        <f>K83-Q83</f>
        <v/>
      </c>
      <c r="S83" s="41">
        <f>I83+J83</f>
        <v/>
      </c>
      <c r="T83" s="37">
        <f>IF(S83&gt;0,"YES","NO")</f>
        <v/>
      </c>
      <c r="U83" s="37">
        <f>IF(AND(T83="YES",P83="OCCUPIED",O83="YES",ABS(R83)&lt;=0.004),"YES","NO")</f>
        <v/>
      </c>
      <c r="V83" s="37">
        <f>IF(ABS(R83)&gt;0.004,"Priority 3",IF(U83="YES","COLLECTION",""))</f>
        <v/>
      </c>
    </row>
    <row r="84">
      <c r="A84" s="37" t="inlineStr">
        <is>
          <t>AC-LP-0417</t>
        </is>
      </c>
      <c r="B84" s="37" t="inlineStr">
        <is>
          <t>Julie Silva</t>
        </is>
      </c>
      <c r="C84" s="37" t="inlineStr">
        <is>
          <t>LP-0417</t>
        </is>
      </c>
      <c r="D84" s="37" t="inlineStr">
        <is>
          <t>Ledgport</t>
        </is>
      </c>
      <c r="E84" s="37" t="inlineStr">
        <is>
          <t>NON_COMM_MONTHLY</t>
        </is>
      </c>
      <c r="F84" s="41" t="n">
        <v>634.4</v>
      </c>
      <c r="G84" s="41" t="n">
        <v>0</v>
      </c>
      <c r="H84" s="41" t="n">
        <v>0</v>
      </c>
      <c r="I84" s="41" t="n">
        <v>0</v>
      </c>
      <c r="J84" s="41" t="n">
        <v>0</v>
      </c>
      <c r="K84" s="41" t="n">
        <v>634.4</v>
      </c>
      <c r="L84" s="37" t="inlineStr">
        <is>
          <t>2026-07-27</t>
        </is>
      </c>
      <c r="M84" s="37" t="inlineStr">
        <is>
          <t>CURRENT</t>
        </is>
      </c>
      <c r="N84" s="37">
        <f>RIGHT(A84,LEN(A84)-3)</f>
        <v/>
      </c>
      <c r="O84" s="37">
        <f>IF(N84=C84,"YES","NO")</f>
        <v/>
      </c>
      <c r="P84" s="37">
        <f>IFERROR(INDEX(Inventory!$E$2:$E$1181,MATCH(N84,Inventory!$A$2:$A$1181,0)),"NOT FOUND")</f>
        <v/>
      </c>
      <c r="Q84" s="41">
        <f>SUM(F84:J84)</f>
        <v/>
      </c>
      <c r="R84" s="41">
        <f>K84-Q84</f>
        <v/>
      </c>
      <c r="S84" s="41">
        <f>I84+J84</f>
        <v/>
      </c>
      <c r="T84" s="37">
        <f>IF(S84&gt;0,"YES","NO")</f>
        <v/>
      </c>
      <c r="U84" s="37">
        <f>IF(AND(T84="YES",P84="OCCUPIED",O84="YES",ABS(R84)&lt;=0.004),"YES","NO")</f>
        <v/>
      </c>
      <c r="V84" s="37">
        <f>IF(ABS(R84)&gt;0.004,"Priority 3",IF(U84="YES","COLLECTION",""))</f>
        <v/>
      </c>
    </row>
    <row r="85">
      <c r="A85" s="37" t="inlineStr">
        <is>
          <t>AC-LP-0418</t>
        </is>
      </c>
      <c r="B85" s="37" t="inlineStr">
        <is>
          <t>Jorge Avery</t>
        </is>
      </c>
      <c r="C85" s="37" t="inlineStr">
        <is>
          <t>LP-0418</t>
        </is>
      </c>
      <c r="D85" s="37" t="inlineStr">
        <is>
          <t>Ledgport</t>
        </is>
      </c>
      <c r="E85" s="37" t="inlineStr">
        <is>
          <t>NON_COMM_MONTHLY</t>
        </is>
      </c>
      <c r="F85" s="41" t="n">
        <v>457.6</v>
      </c>
      <c r="G85" s="41" t="n">
        <v>0</v>
      </c>
      <c r="H85" s="41" t="n">
        <v>0</v>
      </c>
      <c r="I85" s="41" t="n">
        <v>0</v>
      </c>
      <c r="J85" s="41" t="n">
        <v>0</v>
      </c>
      <c r="K85" s="41" t="n">
        <v>457.6</v>
      </c>
      <c r="L85" s="37" t="inlineStr">
        <is>
          <t>2026-07-12</t>
        </is>
      </c>
      <c r="M85" s="37" t="inlineStr">
        <is>
          <t>CURRENT</t>
        </is>
      </c>
      <c r="N85" s="37">
        <f>RIGHT(A85,LEN(A85)-3)</f>
        <v/>
      </c>
      <c r="O85" s="37">
        <f>IF(N85=C85,"YES","NO")</f>
        <v/>
      </c>
      <c r="P85" s="37">
        <f>IFERROR(INDEX(Inventory!$E$2:$E$1181,MATCH(N85,Inventory!$A$2:$A$1181,0)),"NOT FOUND")</f>
        <v/>
      </c>
      <c r="Q85" s="41">
        <f>SUM(F85:J85)</f>
        <v/>
      </c>
      <c r="R85" s="41">
        <f>K85-Q85</f>
        <v/>
      </c>
      <c r="S85" s="41">
        <f>I85+J85</f>
        <v/>
      </c>
      <c r="T85" s="37">
        <f>IF(S85&gt;0,"YES","NO")</f>
        <v/>
      </c>
      <c r="U85" s="37">
        <f>IF(AND(T85="YES",P85="OCCUPIED",O85="YES",ABS(R85)&lt;=0.004),"YES","NO")</f>
        <v/>
      </c>
      <c r="V85" s="37">
        <f>IF(ABS(R85)&gt;0.004,"Priority 3",IF(U85="YES","COLLECTION",""))</f>
        <v/>
      </c>
    </row>
    <row r="86">
      <c r="A86" s="37" t="inlineStr">
        <is>
          <t>AC-LP-0419</t>
        </is>
      </c>
      <c r="B86" s="37" t="inlineStr">
        <is>
          <t>Pamela Harris</t>
        </is>
      </c>
      <c r="C86" s="37" t="inlineStr">
        <is>
          <t>LP-0419</t>
        </is>
      </c>
      <c r="D86" s="37" t="inlineStr">
        <is>
          <t>Ledgport</t>
        </is>
      </c>
      <c r="E86" s="37" t="inlineStr">
        <is>
          <t>NON_COMM_MONTHLY</t>
        </is>
      </c>
      <c r="F86" s="41" t="n">
        <v>468</v>
      </c>
      <c r="G86" s="41" t="n">
        <v>468</v>
      </c>
      <c r="H86" s="41" t="n">
        <v>0</v>
      </c>
      <c r="I86" s="41" t="n">
        <v>0</v>
      </c>
      <c r="J86" s="41" t="n">
        <v>0</v>
      </c>
      <c r="K86" s="41" t="n">
        <v>936</v>
      </c>
      <c r="L86" s="37" t="inlineStr">
        <is>
          <t>2026-06-30</t>
        </is>
      </c>
      <c r="M86" s="37" t="inlineStr">
        <is>
          <t>WATCH</t>
        </is>
      </c>
      <c r="N86" s="37">
        <f>RIGHT(A86,LEN(A86)-3)</f>
        <v/>
      </c>
      <c r="O86" s="37">
        <f>IF(N86=C86,"YES","NO")</f>
        <v/>
      </c>
      <c r="P86" s="37">
        <f>IFERROR(INDEX(Inventory!$E$2:$E$1181,MATCH(N86,Inventory!$A$2:$A$1181,0)),"NOT FOUND")</f>
        <v/>
      </c>
      <c r="Q86" s="41">
        <f>SUM(F86:J86)</f>
        <v/>
      </c>
      <c r="R86" s="41">
        <f>K86-Q86</f>
        <v/>
      </c>
      <c r="S86" s="41">
        <f>I86+J86</f>
        <v/>
      </c>
      <c r="T86" s="37">
        <f>IF(S86&gt;0,"YES","NO")</f>
        <v/>
      </c>
      <c r="U86" s="37">
        <f>IF(AND(T86="YES",P86="OCCUPIED",O86="YES",ABS(R86)&lt;=0.004),"YES","NO")</f>
        <v/>
      </c>
      <c r="V86" s="37">
        <f>IF(ABS(R86)&gt;0.004,"Priority 3",IF(U86="YES","COLLECTION",""))</f>
        <v/>
      </c>
    </row>
    <row r="87">
      <c r="A87" s="37" t="inlineStr">
        <is>
          <t>AC-LP-0420</t>
        </is>
      </c>
      <c r="B87" s="37" t="inlineStr">
        <is>
          <t>Megan Nguyen</t>
        </is>
      </c>
      <c r="C87" s="37" t="inlineStr">
        <is>
          <t>LP-0420</t>
        </is>
      </c>
      <c r="D87" s="37" t="inlineStr">
        <is>
          <t>Ledgport</t>
        </is>
      </c>
      <c r="E87" s="37" t="inlineStr">
        <is>
          <t>NON_COMM_MONTHLY</t>
        </is>
      </c>
      <c r="F87" s="41" t="n">
        <v>374.4</v>
      </c>
      <c r="G87" s="41" t="n">
        <v>0</v>
      </c>
      <c r="H87" s="41" t="n">
        <v>0</v>
      </c>
      <c r="I87" s="41" t="n">
        <v>0</v>
      </c>
      <c r="J87" s="41" t="n">
        <v>0</v>
      </c>
      <c r="K87" s="41" t="n">
        <v>374.4</v>
      </c>
      <c r="L87" s="37" t="inlineStr">
        <is>
          <t>2026-07-14</t>
        </is>
      </c>
      <c r="M87" s="37" t="inlineStr">
        <is>
          <t>CURRENT</t>
        </is>
      </c>
      <c r="N87" s="37">
        <f>RIGHT(A87,LEN(A87)-3)</f>
        <v/>
      </c>
      <c r="O87" s="37">
        <f>IF(N87=C87,"YES","NO")</f>
        <v/>
      </c>
      <c r="P87" s="37">
        <f>IFERROR(INDEX(Inventory!$E$2:$E$1181,MATCH(N87,Inventory!$A$2:$A$1181,0)),"NOT FOUND")</f>
        <v/>
      </c>
      <c r="Q87" s="41">
        <f>SUM(F87:J87)</f>
        <v/>
      </c>
      <c r="R87" s="41">
        <f>K87-Q87</f>
        <v/>
      </c>
      <c r="S87" s="41">
        <f>I87+J87</f>
        <v/>
      </c>
      <c r="T87" s="37">
        <f>IF(S87&gt;0,"YES","NO")</f>
        <v/>
      </c>
      <c r="U87" s="37">
        <f>IF(AND(T87="YES",P87="OCCUPIED",O87="YES",ABS(R87)&lt;=0.004),"YES","NO")</f>
        <v/>
      </c>
      <c r="V87" s="37">
        <f>IF(ABS(R87)&gt;0.004,"Priority 3",IF(U87="YES","COLLECTION",""))</f>
        <v/>
      </c>
    </row>
    <row r="88">
      <c r="A88" s="37" t="inlineStr">
        <is>
          <t>AC-LP-0421</t>
        </is>
      </c>
      <c r="B88" s="37" t="inlineStr">
        <is>
          <t>Mary Hicks</t>
        </is>
      </c>
      <c r="C88" s="37" t="inlineStr">
        <is>
          <t>LP-0421</t>
        </is>
      </c>
      <c r="D88" s="37" t="inlineStr">
        <is>
          <t>Ledgport</t>
        </is>
      </c>
      <c r="E88" s="37" t="inlineStr">
        <is>
          <t>NON_COMM_MONTHLY</t>
        </is>
      </c>
      <c r="F88" s="41" t="n">
        <v>291.2</v>
      </c>
      <c r="G88" s="41" t="n">
        <v>0</v>
      </c>
      <c r="H88" s="41" t="n">
        <v>0</v>
      </c>
      <c r="I88" s="41" t="n">
        <v>0</v>
      </c>
      <c r="J88" s="41" t="n">
        <v>0</v>
      </c>
      <c r="K88" s="41" t="n">
        <v>0</v>
      </c>
      <c r="L88" s="37" t="inlineStr">
        <is>
          <t>2026-06-29</t>
        </is>
      </c>
      <c r="M88" s="37" t="inlineStr">
        <is>
          <t>CURRENT</t>
        </is>
      </c>
      <c r="N88" s="37">
        <f>RIGHT(A88,LEN(A88)-3)</f>
        <v/>
      </c>
      <c r="O88" s="37">
        <f>IF(N88=C88,"YES","NO")</f>
        <v/>
      </c>
      <c r="P88" s="37">
        <f>IFERROR(INDEX(Inventory!$E$2:$E$1181,MATCH(N88,Inventory!$A$2:$A$1181,0)),"NOT FOUND")</f>
        <v/>
      </c>
      <c r="Q88" s="41">
        <f>SUM(F88:J88)</f>
        <v/>
      </c>
      <c r="R88" s="41">
        <f>K88-Q88</f>
        <v/>
      </c>
      <c r="S88" s="41">
        <f>I88+J88</f>
        <v/>
      </c>
      <c r="T88" s="37">
        <f>IF(S88&gt;0,"YES","NO")</f>
        <v/>
      </c>
      <c r="U88" s="37">
        <f>IF(AND(T88="YES",P88="OCCUPIED",O88="YES",ABS(R88)&lt;=0.004),"YES","NO")</f>
        <v/>
      </c>
      <c r="V88" s="37">
        <f>IF(ABS(R88)&gt;0.004,"Priority 3",IF(U88="YES","COLLECTION",""))</f>
        <v/>
      </c>
    </row>
    <row r="89">
      <c r="A89" s="37" t="inlineStr">
        <is>
          <t>AC-LP-0422</t>
        </is>
      </c>
      <c r="B89" s="37" t="inlineStr">
        <is>
          <t>Frank Beard</t>
        </is>
      </c>
      <c r="C89" s="37" t="inlineStr">
        <is>
          <t>LP-0422</t>
        </is>
      </c>
      <c r="D89" s="37" t="inlineStr">
        <is>
          <t>Ledgport</t>
        </is>
      </c>
      <c r="E89" s="37" t="inlineStr">
        <is>
          <t>NON_COMM_MONTHLY</t>
        </is>
      </c>
      <c r="F89" s="41" t="n">
        <v>353.6</v>
      </c>
      <c r="G89" s="41" t="n">
        <v>0</v>
      </c>
      <c r="H89" s="41" t="n">
        <v>0</v>
      </c>
      <c r="I89" s="41" t="n">
        <v>0</v>
      </c>
      <c r="J89" s="41" t="n">
        <v>0</v>
      </c>
      <c r="K89" s="41" t="n">
        <v>353.6</v>
      </c>
      <c r="L89" s="37" t="inlineStr">
        <is>
          <t>2026-07-05</t>
        </is>
      </c>
      <c r="M89" s="37" t="inlineStr">
        <is>
          <t>CURRENT</t>
        </is>
      </c>
      <c r="N89" s="37">
        <f>RIGHT(A89,LEN(A89)-3)</f>
        <v/>
      </c>
      <c r="O89" s="37">
        <f>IF(N89=C89,"YES","NO")</f>
        <v/>
      </c>
      <c r="P89" s="37">
        <f>IFERROR(INDEX(Inventory!$E$2:$E$1181,MATCH(N89,Inventory!$A$2:$A$1181,0)),"NOT FOUND")</f>
        <v/>
      </c>
      <c r="Q89" s="41">
        <f>SUM(F89:J89)</f>
        <v/>
      </c>
      <c r="R89" s="41">
        <f>K89-Q89</f>
        <v/>
      </c>
      <c r="S89" s="41">
        <f>I89+J89</f>
        <v/>
      </c>
      <c r="T89" s="37">
        <f>IF(S89&gt;0,"YES","NO")</f>
        <v/>
      </c>
      <c r="U89" s="37">
        <f>IF(AND(T89="YES",P89="OCCUPIED",O89="YES",ABS(R89)&lt;=0.004),"YES","NO")</f>
        <v/>
      </c>
      <c r="V89" s="37">
        <f>IF(ABS(R89)&gt;0.004,"Priority 3",IF(U89="YES","COLLECTION",""))</f>
        <v/>
      </c>
    </row>
    <row r="90">
      <c r="A90" s="37" t="inlineStr">
        <is>
          <t>AC-LP-0423</t>
        </is>
      </c>
      <c r="B90" s="37" t="inlineStr">
        <is>
          <t>Margaret Brown</t>
        </is>
      </c>
      <c r="C90" s="37" t="inlineStr">
        <is>
          <t>LP-0423</t>
        </is>
      </c>
      <c r="D90" s="37" t="inlineStr">
        <is>
          <t>Ledgport</t>
        </is>
      </c>
      <c r="E90" s="37" t="inlineStr">
        <is>
          <t>NON_COMM_MONTHLY</t>
        </is>
      </c>
      <c r="F90" s="41" t="n">
        <v>416</v>
      </c>
      <c r="G90" s="41" t="n">
        <v>0</v>
      </c>
      <c r="H90" s="41" t="n">
        <v>0</v>
      </c>
      <c r="I90" s="41" t="n">
        <v>0</v>
      </c>
      <c r="J90" s="41" t="n">
        <v>0</v>
      </c>
      <c r="K90" s="41" t="n">
        <v>416</v>
      </c>
      <c r="L90" s="37" t="inlineStr">
        <is>
          <t>2026-05-14</t>
        </is>
      </c>
      <c r="M90" s="37" t="inlineStr">
        <is>
          <t>CURRENT</t>
        </is>
      </c>
      <c r="N90" s="37">
        <f>RIGHT(A90,LEN(A90)-3)</f>
        <v/>
      </c>
      <c r="O90" s="37">
        <f>IF(N90=C90,"YES","NO")</f>
        <v/>
      </c>
      <c r="P90" s="37">
        <f>IFERROR(INDEX(Inventory!$E$2:$E$1181,MATCH(N90,Inventory!$A$2:$A$1181,0)),"NOT FOUND")</f>
        <v/>
      </c>
      <c r="Q90" s="41">
        <f>SUM(F90:J90)</f>
        <v/>
      </c>
      <c r="R90" s="41">
        <f>K90-Q90</f>
        <v/>
      </c>
      <c r="S90" s="41">
        <f>I90+J90</f>
        <v/>
      </c>
      <c r="T90" s="37">
        <f>IF(S90&gt;0,"YES","NO")</f>
        <v/>
      </c>
      <c r="U90" s="37">
        <f>IF(AND(T90="YES",P90="OCCUPIED",O90="YES",ABS(R90)&lt;=0.004),"YES","NO")</f>
        <v/>
      </c>
      <c r="V90" s="37">
        <f>IF(ABS(R90)&gt;0.004,"Priority 3",IF(U90="YES","COLLECTION",""))</f>
        <v/>
      </c>
    </row>
    <row r="91">
      <c r="A91" s="37" t="inlineStr">
        <is>
          <t>AC-LP-0424</t>
        </is>
      </c>
      <c r="B91" s="37" t="inlineStr">
        <is>
          <t>Michael Perez</t>
        </is>
      </c>
      <c r="C91" s="37" t="inlineStr">
        <is>
          <t>LP-0424</t>
        </is>
      </c>
      <c r="D91" s="37" t="inlineStr">
        <is>
          <t>Ledgport</t>
        </is>
      </c>
      <c r="E91" s="37" t="inlineStr">
        <is>
          <t>NON_COMM_MONTHLY</t>
        </is>
      </c>
      <c r="F91" s="41" t="n">
        <v>301.6</v>
      </c>
      <c r="G91" s="41" t="n">
        <v>0</v>
      </c>
      <c r="H91" s="41" t="n">
        <v>0</v>
      </c>
      <c r="I91" s="41" t="n">
        <v>0</v>
      </c>
      <c r="J91" s="41" t="n">
        <v>0</v>
      </c>
      <c r="K91" s="41" t="n">
        <v>301.6</v>
      </c>
      <c r="L91" s="37" t="inlineStr">
        <is>
          <t>2026-07-22</t>
        </is>
      </c>
      <c r="M91" s="37" t="inlineStr">
        <is>
          <t>CURRENT</t>
        </is>
      </c>
      <c r="N91" s="37">
        <f>RIGHT(A91,LEN(A91)-3)</f>
        <v/>
      </c>
      <c r="O91" s="37">
        <f>IF(N91=C91,"YES","NO")</f>
        <v/>
      </c>
      <c r="P91" s="37">
        <f>IFERROR(INDEX(Inventory!$E$2:$E$1181,MATCH(N91,Inventory!$A$2:$A$1181,0)),"NOT FOUND")</f>
        <v/>
      </c>
      <c r="Q91" s="41">
        <f>SUM(F91:J91)</f>
        <v/>
      </c>
      <c r="R91" s="41">
        <f>K91-Q91</f>
        <v/>
      </c>
      <c r="S91" s="41">
        <f>I91+J91</f>
        <v/>
      </c>
      <c r="T91" s="37">
        <f>IF(S91&gt;0,"YES","NO")</f>
        <v/>
      </c>
      <c r="U91" s="37">
        <f>IF(AND(T91="YES",P91="OCCUPIED",O91="YES",ABS(R91)&lt;=0.004),"YES","NO")</f>
        <v/>
      </c>
      <c r="V91" s="37">
        <f>IF(ABS(R91)&gt;0.004,"Priority 3",IF(U91="YES","COLLECTION",""))</f>
        <v/>
      </c>
    </row>
    <row r="92">
      <c r="A92" s="37" t="inlineStr">
        <is>
          <t>AC-LP-0502</t>
        </is>
      </c>
      <c r="B92" s="37" t="inlineStr">
        <is>
          <t>Michelle Cooper</t>
        </is>
      </c>
      <c r="C92" s="37" t="inlineStr">
        <is>
          <t>LP-0502</t>
        </is>
      </c>
      <c r="D92" s="37" t="inlineStr">
        <is>
          <t>Ledgport</t>
        </is>
      </c>
      <c r="E92" s="37" t="inlineStr">
        <is>
          <t>NON_COMM_MONTHLY</t>
        </is>
      </c>
      <c r="F92" s="41" t="n">
        <v>561.6</v>
      </c>
      <c r="G92" s="41" t="n">
        <v>0</v>
      </c>
      <c r="H92" s="41" t="n">
        <v>0</v>
      </c>
      <c r="I92" s="41" t="n">
        <v>0</v>
      </c>
      <c r="J92" s="41" t="n">
        <v>0</v>
      </c>
      <c r="K92" s="41" t="n">
        <v>561.6</v>
      </c>
      <c r="L92" s="37" t="inlineStr">
        <is>
          <t>2026-06-07</t>
        </is>
      </c>
      <c r="M92" s="37" t="inlineStr">
        <is>
          <t>CURRENT</t>
        </is>
      </c>
      <c r="N92" s="37">
        <f>RIGHT(A92,LEN(A92)-3)</f>
        <v/>
      </c>
      <c r="O92" s="37">
        <f>IF(N92=C92,"YES","NO")</f>
        <v/>
      </c>
      <c r="P92" s="37">
        <f>IFERROR(INDEX(Inventory!$E$2:$E$1181,MATCH(N92,Inventory!$A$2:$A$1181,0)),"NOT FOUND")</f>
        <v/>
      </c>
      <c r="Q92" s="41">
        <f>SUM(F92:J92)</f>
        <v/>
      </c>
      <c r="R92" s="41">
        <f>K92-Q92</f>
        <v/>
      </c>
      <c r="S92" s="41">
        <f>I92+J92</f>
        <v/>
      </c>
      <c r="T92" s="37">
        <f>IF(S92&gt;0,"YES","NO")</f>
        <v/>
      </c>
      <c r="U92" s="37">
        <f>IF(AND(T92="YES",P92="OCCUPIED",O92="YES",ABS(R92)&lt;=0.004),"YES","NO")</f>
        <v/>
      </c>
      <c r="V92" s="37">
        <f>IF(ABS(R92)&gt;0.004,"Priority 3",IF(U92="YES","COLLECTION",""))</f>
        <v/>
      </c>
    </row>
    <row r="93">
      <c r="A93" s="37" t="inlineStr">
        <is>
          <t>AC-LP-0503</t>
        </is>
      </c>
      <c r="B93" s="37" t="inlineStr">
        <is>
          <t>Steven Sanders</t>
        </is>
      </c>
      <c r="C93" s="37" t="inlineStr">
        <is>
          <t>LP-0503</t>
        </is>
      </c>
      <c r="D93" s="37" t="inlineStr">
        <is>
          <t>Ledgport</t>
        </is>
      </c>
      <c r="E93" s="37" t="inlineStr">
        <is>
          <t>NON_COMM_MONTHLY</t>
        </is>
      </c>
      <c r="F93" s="41" t="n">
        <v>353.6</v>
      </c>
      <c r="G93" s="41" t="n">
        <v>353.6</v>
      </c>
      <c r="H93" s="41" t="n">
        <v>353.6</v>
      </c>
      <c r="I93" s="41" t="n">
        <v>0</v>
      </c>
      <c r="J93" s="41" t="n">
        <v>0</v>
      </c>
      <c r="K93" s="41" t="n">
        <v>1060.8</v>
      </c>
      <c r="L93" s="37" t="inlineStr">
        <is>
          <t>2026-06-27</t>
        </is>
      </c>
      <c r="M93" s="37" t="inlineStr">
        <is>
          <t>WATCH</t>
        </is>
      </c>
      <c r="N93" s="37">
        <f>RIGHT(A93,LEN(A93)-3)</f>
        <v/>
      </c>
      <c r="O93" s="37">
        <f>IF(N93=C93,"YES","NO")</f>
        <v/>
      </c>
      <c r="P93" s="37">
        <f>IFERROR(INDEX(Inventory!$E$2:$E$1181,MATCH(N93,Inventory!$A$2:$A$1181,0)),"NOT FOUND")</f>
        <v/>
      </c>
      <c r="Q93" s="41">
        <f>SUM(F93:J93)</f>
        <v/>
      </c>
      <c r="R93" s="41">
        <f>K93-Q93</f>
        <v/>
      </c>
      <c r="S93" s="41">
        <f>I93+J93</f>
        <v/>
      </c>
      <c r="T93" s="37">
        <f>IF(S93&gt;0,"YES","NO")</f>
        <v/>
      </c>
      <c r="U93" s="37">
        <f>IF(AND(T93="YES",P93="OCCUPIED",O93="YES",ABS(R93)&lt;=0.004),"YES","NO")</f>
        <v/>
      </c>
      <c r="V93" s="37">
        <f>IF(ABS(R93)&gt;0.004,"Priority 3",IF(U93="YES","COLLECTION",""))</f>
        <v/>
      </c>
    </row>
    <row r="94">
      <c r="A94" s="37" t="inlineStr">
        <is>
          <t>AC-LP-0504</t>
        </is>
      </c>
      <c r="B94" s="37" t="inlineStr">
        <is>
          <t>Natasha Wilson</t>
        </is>
      </c>
      <c r="C94" s="37" t="inlineStr">
        <is>
          <t>LP-0504</t>
        </is>
      </c>
      <c r="D94" s="37" t="inlineStr">
        <is>
          <t>Ledgport</t>
        </is>
      </c>
      <c r="E94" s="37" t="inlineStr">
        <is>
          <t>NON_COMM_MONTHLY</t>
        </is>
      </c>
      <c r="F94" s="41" t="n">
        <v>603.2</v>
      </c>
      <c r="G94" s="41" t="n">
        <v>0</v>
      </c>
      <c r="H94" s="41" t="n">
        <v>0</v>
      </c>
      <c r="I94" s="41" t="n">
        <v>0</v>
      </c>
      <c r="J94" s="41" t="n">
        <v>0</v>
      </c>
      <c r="K94" s="41" t="n">
        <v>603.2</v>
      </c>
      <c r="L94" s="37" t="inlineStr">
        <is>
          <t>2026-07-08</t>
        </is>
      </c>
      <c r="M94" s="37" t="inlineStr">
        <is>
          <t>CURRENT</t>
        </is>
      </c>
      <c r="N94" s="37">
        <f>RIGHT(A94,LEN(A94)-3)</f>
        <v/>
      </c>
      <c r="O94" s="37">
        <f>IF(N94=C94,"YES","NO")</f>
        <v/>
      </c>
      <c r="P94" s="37">
        <f>IFERROR(INDEX(Inventory!$E$2:$E$1181,MATCH(N94,Inventory!$A$2:$A$1181,0)),"NOT FOUND")</f>
        <v/>
      </c>
      <c r="Q94" s="41">
        <f>SUM(F94:J94)</f>
        <v/>
      </c>
      <c r="R94" s="41">
        <f>K94-Q94</f>
        <v/>
      </c>
      <c r="S94" s="41">
        <f>I94+J94</f>
        <v/>
      </c>
      <c r="T94" s="37">
        <f>IF(S94&gt;0,"YES","NO")</f>
        <v/>
      </c>
      <c r="U94" s="37">
        <f>IF(AND(T94="YES",P94="OCCUPIED",O94="YES",ABS(R94)&lt;=0.004),"YES","NO")</f>
        <v/>
      </c>
      <c r="V94" s="37">
        <f>IF(ABS(R94)&gt;0.004,"Priority 3",IF(U94="YES","COLLECTION",""))</f>
        <v/>
      </c>
    </row>
    <row r="95">
      <c r="A95" s="37" t="inlineStr">
        <is>
          <t>AC-LP-0505</t>
        </is>
      </c>
      <c r="B95" s="37" t="inlineStr">
        <is>
          <t>Jordan Casey</t>
        </is>
      </c>
      <c r="C95" s="37" t="inlineStr">
        <is>
          <t>LP-0505</t>
        </is>
      </c>
      <c r="D95" s="37" t="inlineStr">
        <is>
          <t>Ledgport</t>
        </is>
      </c>
      <c r="E95" s="37" t="inlineStr">
        <is>
          <t>NON_COMM_MONTHLY</t>
        </is>
      </c>
      <c r="F95" s="41" t="n">
        <v>603.2</v>
      </c>
      <c r="G95" s="41" t="n">
        <v>603.2</v>
      </c>
      <c r="H95" s="41" t="n">
        <v>0</v>
      </c>
      <c r="I95" s="41" t="n">
        <v>0</v>
      </c>
      <c r="J95" s="41" t="n">
        <v>0</v>
      </c>
      <c r="K95" s="41" t="n">
        <v>1206.4</v>
      </c>
      <c r="L95" s="37" t="inlineStr">
        <is>
          <t>2026-07-12</t>
        </is>
      </c>
      <c r="M95" s="37" t="inlineStr">
        <is>
          <t>WATCH</t>
        </is>
      </c>
      <c r="N95" s="37">
        <f>RIGHT(A95,LEN(A95)-3)</f>
        <v/>
      </c>
      <c r="O95" s="37">
        <f>IF(N95=C95,"YES","NO")</f>
        <v/>
      </c>
      <c r="P95" s="37">
        <f>IFERROR(INDEX(Inventory!$E$2:$E$1181,MATCH(N95,Inventory!$A$2:$A$1181,0)),"NOT FOUND")</f>
        <v/>
      </c>
      <c r="Q95" s="41">
        <f>SUM(F95:J95)</f>
        <v/>
      </c>
      <c r="R95" s="41">
        <f>K95-Q95</f>
        <v/>
      </c>
      <c r="S95" s="41">
        <f>I95+J95</f>
        <v/>
      </c>
      <c r="T95" s="37">
        <f>IF(S95&gt;0,"YES","NO")</f>
        <v/>
      </c>
      <c r="U95" s="37">
        <f>IF(AND(T95="YES",P95="OCCUPIED",O95="YES",ABS(R95)&lt;=0.004),"YES","NO")</f>
        <v/>
      </c>
      <c r="V95" s="37">
        <f>IF(ABS(R95)&gt;0.004,"Priority 3",IF(U95="YES","COLLECTION",""))</f>
        <v/>
      </c>
    </row>
    <row r="96">
      <c r="A96" s="37" t="inlineStr">
        <is>
          <t>AC-LP-0506</t>
        </is>
      </c>
      <c r="B96" s="37" t="inlineStr">
        <is>
          <t>Julia Mills</t>
        </is>
      </c>
      <c r="C96" s="37" t="inlineStr">
        <is>
          <t>LP-0506</t>
        </is>
      </c>
      <c r="D96" s="37" t="inlineStr">
        <is>
          <t>Ledgport</t>
        </is>
      </c>
      <c r="E96" s="37" t="inlineStr">
        <is>
          <t>NON_COMM_MONTHLY</t>
        </is>
      </c>
      <c r="F96" s="41" t="n">
        <v>488.8</v>
      </c>
      <c r="G96" s="41" t="n">
        <v>0</v>
      </c>
      <c r="H96" s="41" t="n">
        <v>0</v>
      </c>
      <c r="I96" s="41" t="n">
        <v>0</v>
      </c>
      <c r="J96" s="41" t="n">
        <v>0</v>
      </c>
      <c r="K96" s="41" t="n">
        <v>488.8</v>
      </c>
      <c r="L96" s="37" t="inlineStr">
        <is>
          <t>2026-05-09</t>
        </is>
      </c>
      <c r="M96" s="37" t="inlineStr">
        <is>
          <t>CURRENT</t>
        </is>
      </c>
      <c r="N96" s="37">
        <f>RIGHT(A96,LEN(A96)-3)</f>
        <v/>
      </c>
      <c r="O96" s="37">
        <f>IF(N96=C96,"YES","NO")</f>
        <v/>
      </c>
      <c r="P96" s="37">
        <f>IFERROR(INDEX(Inventory!$E$2:$E$1181,MATCH(N96,Inventory!$A$2:$A$1181,0)),"NOT FOUND")</f>
        <v/>
      </c>
      <c r="Q96" s="41">
        <f>SUM(F96:J96)</f>
        <v/>
      </c>
      <c r="R96" s="41">
        <f>K96-Q96</f>
        <v/>
      </c>
      <c r="S96" s="41">
        <f>I96+J96</f>
        <v/>
      </c>
      <c r="T96" s="37">
        <f>IF(S96&gt;0,"YES","NO")</f>
        <v/>
      </c>
      <c r="U96" s="37">
        <f>IF(AND(T96="YES",P96="OCCUPIED",O96="YES",ABS(R96)&lt;=0.004),"YES","NO")</f>
        <v/>
      </c>
      <c r="V96" s="37">
        <f>IF(ABS(R96)&gt;0.004,"Priority 3",IF(U96="YES","COLLECTION",""))</f>
        <v/>
      </c>
    </row>
    <row r="97">
      <c r="A97" s="37" t="inlineStr">
        <is>
          <t>AC-LP-0507</t>
        </is>
      </c>
      <c r="B97" s="37" t="inlineStr">
        <is>
          <t>Shane Lee</t>
        </is>
      </c>
      <c r="C97" s="37" t="inlineStr">
        <is>
          <t>LP-0507</t>
        </is>
      </c>
      <c r="D97" s="37" t="inlineStr">
        <is>
          <t>Ledgport</t>
        </is>
      </c>
      <c r="E97" s="37" t="inlineStr">
        <is>
          <t>NON_COMM_MONTHLY</t>
        </is>
      </c>
      <c r="F97" s="41" t="n">
        <v>426.4</v>
      </c>
      <c r="G97" s="41" t="n">
        <v>0</v>
      </c>
      <c r="H97" s="41" t="n">
        <v>0</v>
      </c>
      <c r="I97" s="41" t="n">
        <v>0</v>
      </c>
      <c r="J97" s="41" t="n">
        <v>0</v>
      </c>
      <c r="K97" s="41" t="n">
        <v>426.4</v>
      </c>
      <c r="L97" s="37" t="inlineStr">
        <is>
          <t>2026-06-16</t>
        </is>
      </c>
      <c r="M97" s="37" t="inlineStr">
        <is>
          <t>CURRENT</t>
        </is>
      </c>
      <c r="N97" s="37">
        <f>RIGHT(A97,LEN(A97)-3)</f>
        <v/>
      </c>
      <c r="O97" s="37">
        <f>IF(N97=C97,"YES","NO")</f>
        <v/>
      </c>
      <c r="P97" s="37">
        <f>IFERROR(INDEX(Inventory!$E$2:$E$1181,MATCH(N97,Inventory!$A$2:$A$1181,0)),"NOT FOUND")</f>
        <v/>
      </c>
      <c r="Q97" s="41">
        <f>SUM(F97:J97)</f>
        <v/>
      </c>
      <c r="R97" s="41">
        <f>K97-Q97</f>
        <v/>
      </c>
      <c r="S97" s="41">
        <f>I97+J97</f>
        <v/>
      </c>
      <c r="T97" s="37">
        <f>IF(S97&gt;0,"YES","NO")</f>
        <v/>
      </c>
      <c r="U97" s="37">
        <f>IF(AND(T97="YES",P97="OCCUPIED",O97="YES",ABS(R97)&lt;=0.004),"YES","NO")</f>
        <v/>
      </c>
      <c r="V97" s="37">
        <f>IF(ABS(R97)&gt;0.004,"Priority 3",IF(U97="YES","COLLECTION",""))</f>
        <v/>
      </c>
    </row>
    <row r="98">
      <c r="A98" s="37" t="inlineStr">
        <is>
          <t>AC-LP-0508</t>
        </is>
      </c>
      <c r="B98" s="37" t="inlineStr">
        <is>
          <t>Maria Wright</t>
        </is>
      </c>
      <c r="C98" s="37" t="inlineStr">
        <is>
          <t>LP-0508</t>
        </is>
      </c>
      <c r="D98" s="37" t="inlineStr">
        <is>
          <t>Ledgport</t>
        </is>
      </c>
      <c r="E98" s="37" t="inlineStr">
        <is>
          <t>NON_COMM_MONTHLY</t>
        </is>
      </c>
      <c r="F98" s="41" t="n">
        <v>592.8</v>
      </c>
      <c r="G98" s="41" t="n">
        <v>0</v>
      </c>
      <c r="H98" s="41" t="n">
        <v>0</v>
      </c>
      <c r="I98" s="41" t="n">
        <v>0</v>
      </c>
      <c r="J98" s="41" t="n">
        <v>0</v>
      </c>
      <c r="K98" s="41" t="n">
        <v>592.8</v>
      </c>
      <c r="L98" s="37" t="inlineStr">
        <is>
          <t>2026-07-19</t>
        </is>
      </c>
      <c r="M98" s="37" t="inlineStr">
        <is>
          <t>CURRENT</t>
        </is>
      </c>
      <c r="N98" s="37">
        <f>RIGHT(A98,LEN(A98)-3)</f>
        <v/>
      </c>
      <c r="O98" s="37">
        <f>IF(N98=C98,"YES","NO")</f>
        <v/>
      </c>
      <c r="P98" s="37">
        <f>IFERROR(INDEX(Inventory!$E$2:$E$1181,MATCH(N98,Inventory!$A$2:$A$1181,0)),"NOT FOUND")</f>
        <v/>
      </c>
      <c r="Q98" s="41">
        <f>SUM(F98:J98)</f>
        <v/>
      </c>
      <c r="R98" s="41">
        <f>K98-Q98</f>
        <v/>
      </c>
      <c r="S98" s="41">
        <f>I98+J98</f>
        <v/>
      </c>
      <c r="T98" s="37">
        <f>IF(S98&gt;0,"YES","NO")</f>
        <v/>
      </c>
      <c r="U98" s="37">
        <f>IF(AND(T98="YES",P98="OCCUPIED",O98="YES",ABS(R98)&lt;=0.004),"YES","NO")</f>
        <v/>
      </c>
      <c r="V98" s="37">
        <f>IF(ABS(R98)&gt;0.004,"Priority 3",IF(U98="YES","COLLECTION",""))</f>
        <v/>
      </c>
    </row>
    <row r="99">
      <c r="A99" s="37" t="inlineStr">
        <is>
          <t>AC-LP-0509</t>
        </is>
      </c>
      <c r="B99" s="37" t="inlineStr">
        <is>
          <t>Cheryl Lewis</t>
        </is>
      </c>
      <c r="C99" s="37" t="inlineStr">
        <is>
          <t>LP-0509</t>
        </is>
      </c>
      <c r="D99" s="37" t="inlineStr">
        <is>
          <t>Ledgport</t>
        </is>
      </c>
      <c r="E99" s="37" t="inlineStr">
        <is>
          <t>NON_COMM_MONTHLY</t>
        </is>
      </c>
      <c r="F99" s="41" t="n">
        <v>520</v>
      </c>
      <c r="G99" s="41" t="n">
        <v>520</v>
      </c>
      <c r="H99" s="41" t="n">
        <v>0</v>
      </c>
      <c r="I99" s="41" t="n">
        <v>0</v>
      </c>
      <c r="J99" s="41" t="n">
        <v>0</v>
      </c>
      <c r="K99" s="41" t="n">
        <v>1040</v>
      </c>
      <c r="L99" s="37" t="inlineStr">
        <is>
          <t>2026-06-23</t>
        </is>
      </c>
      <c r="M99" s="37" t="inlineStr">
        <is>
          <t>WATCH</t>
        </is>
      </c>
      <c r="N99" s="37">
        <f>RIGHT(A99,LEN(A99)-3)</f>
        <v/>
      </c>
      <c r="O99" s="37">
        <f>IF(N99=C99,"YES","NO")</f>
        <v/>
      </c>
      <c r="P99" s="37">
        <f>IFERROR(INDEX(Inventory!$E$2:$E$1181,MATCH(N99,Inventory!$A$2:$A$1181,0)),"NOT FOUND")</f>
        <v/>
      </c>
      <c r="Q99" s="41">
        <f>SUM(F99:J99)</f>
        <v/>
      </c>
      <c r="R99" s="41">
        <f>K99-Q99</f>
        <v/>
      </c>
      <c r="S99" s="41">
        <f>I99+J99</f>
        <v/>
      </c>
      <c r="T99" s="37">
        <f>IF(S99&gt;0,"YES","NO")</f>
        <v/>
      </c>
      <c r="U99" s="37">
        <f>IF(AND(T99="YES",P99="OCCUPIED",O99="YES",ABS(R99)&lt;=0.004),"YES","NO")</f>
        <v/>
      </c>
      <c r="V99" s="37">
        <f>IF(ABS(R99)&gt;0.004,"Priority 3",IF(U99="YES","COLLECTION",""))</f>
        <v/>
      </c>
    </row>
    <row r="100">
      <c r="A100" s="37" t="inlineStr">
        <is>
          <t>AC-LP-0510</t>
        </is>
      </c>
      <c r="B100" s="37" t="inlineStr">
        <is>
          <t>Jaclyn Ingram</t>
        </is>
      </c>
      <c r="C100" s="37" t="inlineStr">
        <is>
          <t>LP-0510</t>
        </is>
      </c>
      <c r="D100" s="37" t="inlineStr">
        <is>
          <t>Ledgport</t>
        </is>
      </c>
      <c r="E100" s="37" t="inlineStr">
        <is>
          <t>NON_COMM_MONTHLY</t>
        </is>
      </c>
      <c r="F100" s="41" t="n">
        <v>613.6</v>
      </c>
      <c r="G100" s="41" t="n">
        <v>0</v>
      </c>
      <c r="H100" s="41" t="n">
        <v>0</v>
      </c>
      <c r="I100" s="41" t="n">
        <v>0</v>
      </c>
      <c r="J100" s="41" t="n">
        <v>0</v>
      </c>
      <c r="K100" s="41" t="n">
        <v>613.6</v>
      </c>
      <c r="L100" s="37" t="inlineStr">
        <is>
          <t>2026-07-25</t>
        </is>
      </c>
      <c r="M100" s="37" t="inlineStr">
        <is>
          <t>CURRENT</t>
        </is>
      </c>
      <c r="N100" s="37">
        <f>RIGHT(A100,LEN(A100)-3)</f>
        <v/>
      </c>
      <c r="O100" s="37">
        <f>IF(N100=C100,"YES","NO")</f>
        <v/>
      </c>
      <c r="P100" s="37">
        <f>IFERROR(INDEX(Inventory!$E$2:$E$1181,MATCH(N100,Inventory!$A$2:$A$1181,0)),"NOT FOUND")</f>
        <v/>
      </c>
      <c r="Q100" s="41">
        <f>SUM(F100:J100)</f>
        <v/>
      </c>
      <c r="R100" s="41">
        <f>K100-Q100</f>
        <v/>
      </c>
      <c r="S100" s="41">
        <f>I100+J100</f>
        <v/>
      </c>
      <c r="T100" s="37">
        <f>IF(S100&gt;0,"YES","NO")</f>
        <v/>
      </c>
      <c r="U100" s="37">
        <f>IF(AND(T100="YES",P100="OCCUPIED",O100="YES",ABS(R100)&lt;=0.004),"YES","NO")</f>
        <v/>
      </c>
      <c r="V100" s="37">
        <f>IF(ABS(R100)&gt;0.004,"Priority 3",IF(U100="YES","COLLECTION",""))</f>
        <v/>
      </c>
    </row>
    <row r="101">
      <c r="A101" s="37" t="inlineStr">
        <is>
          <t>AC-LP-0511</t>
        </is>
      </c>
      <c r="B101" s="37" t="inlineStr">
        <is>
          <t>Michael Cole</t>
        </is>
      </c>
      <c r="C101" s="37" t="inlineStr">
        <is>
          <t>LP-0511</t>
        </is>
      </c>
      <c r="D101" s="37" t="inlineStr">
        <is>
          <t>Ledgport</t>
        </is>
      </c>
      <c r="E101" s="37" t="inlineStr">
        <is>
          <t>NON_COMM_MONTHLY</t>
        </is>
      </c>
      <c r="F101" s="41" t="n">
        <v>416</v>
      </c>
      <c r="G101" s="41" t="n">
        <v>0</v>
      </c>
      <c r="H101" s="41" t="n">
        <v>0</v>
      </c>
      <c r="I101" s="41" t="n">
        <v>0</v>
      </c>
      <c r="J101" s="41" t="n">
        <v>0</v>
      </c>
      <c r="K101" s="41" t="n">
        <v>416</v>
      </c>
      <c r="L101" s="37" t="inlineStr">
        <is>
          <t>2026-07-17</t>
        </is>
      </c>
      <c r="M101" s="37" t="inlineStr">
        <is>
          <t>CURRENT</t>
        </is>
      </c>
      <c r="N101" s="37">
        <f>RIGHT(A101,LEN(A101)-3)</f>
        <v/>
      </c>
      <c r="O101" s="37">
        <f>IF(N101=C101,"YES","NO")</f>
        <v/>
      </c>
      <c r="P101" s="37">
        <f>IFERROR(INDEX(Inventory!$E$2:$E$1181,MATCH(N101,Inventory!$A$2:$A$1181,0)),"NOT FOUND")</f>
        <v/>
      </c>
      <c r="Q101" s="41">
        <f>SUM(F101:J101)</f>
        <v/>
      </c>
      <c r="R101" s="41">
        <f>K101-Q101</f>
        <v/>
      </c>
      <c r="S101" s="41">
        <f>I101+J101</f>
        <v/>
      </c>
      <c r="T101" s="37">
        <f>IF(S101&gt;0,"YES","NO")</f>
        <v/>
      </c>
      <c r="U101" s="37">
        <f>IF(AND(T101="YES",P101="OCCUPIED",O101="YES",ABS(R101)&lt;=0.004),"YES","NO")</f>
        <v/>
      </c>
      <c r="V101" s="37">
        <f>IF(ABS(R101)&gt;0.004,"Priority 3",IF(U101="YES","COLLECTION",""))</f>
        <v/>
      </c>
    </row>
    <row r="102">
      <c r="A102" s="37" t="inlineStr">
        <is>
          <t>AC-LP-0512</t>
        </is>
      </c>
      <c r="B102" s="37" t="inlineStr">
        <is>
          <t>Micheal Perez</t>
        </is>
      </c>
      <c r="C102" s="37" t="inlineStr">
        <is>
          <t>LP-0512</t>
        </is>
      </c>
      <c r="D102" s="37" t="inlineStr">
        <is>
          <t>Ledgport</t>
        </is>
      </c>
      <c r="E102" s="37" t="inlineStr">
        <is>
          <t>NON_COMM_MONTHLY</t>
        </is>
      </c>
      <c r="F102" s="41" t="n">
        <v>416</v>
      </c>
      <c r="G102" s="41" t="n">
        <v>0</v>
      </c>
      <c r="H102" s="41" t="n">
        <v>0</v>
      </c>
      <c r="I102" s="41" t="n">
        <v>0</v>
      </c>
      <c r="J102" s="41" t="n">
        <v>0</v>
      </c>
      <c r="K102" s="41" t="n">
        <v>416</v>
      </c>
      <c r="L102" s="37" t="inlineStr">
        <is>
          <t>2026-07-29</t>
        </is>
      </c>
      <c r="M102" s="37" t="inlineStr">
        <is>
          <t>CURRENT</t>
        </is>
      </c>
      <c r="N102" s="37">
        <f>RIGHT(A102,LEN(A102)-3)</f>
        <v/>
      </c>
      <c r="O102" s="37">
        <f>IF(N102=C102,"YES","NO")</f>
        <v/>
      </c>
      <c r="P102" s="37">
        <f>IFERROR(INDEX(Inventory!$E$2:$E$1181,MATCH(N102,Inventory!$A$2:$A$1181,0)),"NOT FOUND")</f>
        <v/>
      </c>
      <c r="Q102" s="41">
        <f>SUM(F102:J102)</f>
        <v/>
      </c>
      <c r="R102" s="41">
        <f>K102-Q102</f>
        <v/>
      </c>
      <c r="S102" s="41">
        <f>I102+J102</f>
        <v/>
      </c>
      <c r="T102" s="37">
        <f>IF(S102&gt;0,"YES","NO")</f>
        <v/>
      </c>
      <c r="U102" s="37">
        <f>IF(AND(T102="YES",P102="OCCUPIED",O102="YES",ABS(R102)&lt;=0.004),"YES","NO")</f>
        <v/>
      </c>
      <c r="V102" s="37">
        <f>IF(ABS(R102)&gt;0.004,"Priority 3",IF(U102="YES","COLLECTION",""))</f>
        <v/>
      </c>
    </row>
    <row r="103">
      <c r="A103" s="37" t="inlineStr">
        <is>
          <t>AC-LP-0513</t>
        </is>
      </c>
      <c r="B103" s="37" t="inlineStr">
        <is>
          <t>William Hatfield</t>
        </is>
      </c>
      <c r="C103" s="37" t="inlineStr">
        <is>
          <t>LP-0513</t>
        </is>
      </c>
      <c r="D103" s="37" t="inlineStr">
        <is>
          <t>Ledgport</t>
        </is>
      </c>
      <c r="E103" s="37" t="inlineStr">
        <is>
          <t>NON_COMM_MONTHLY</t>
        </is>
      </c>
      <c r="F103" s="41" t="n">
        <v>426.4</v>
      </c>
      <c r="G103" s="41" t="n">
        <v>0</v>
      </c>
      <c r="H103" s="41" t="n">
        <v>0</v>
      </c>
      <c r="I103" s="41" t="n">
        <v>0</v>
      </c>
      <c r="J103" s="41" t="n">
        <v>0</v>
      </c>
      <c r="K103" s="41" t="n">
        <v>426.4</v>
      </c>
      <c r="L103" s="37" t="inlineStr">
        <is>
          <t>2026-05-16</t>
        </is>
      </c>
      <c r="M103" s="37" t="inlineStr">
        <is>
          <t>CURRENT</t>
        </is>
      </c>
      <c r="N103" s="37">
        <f>RIGHT(A103,LEN(A103)-3)</f>
        <v/>
      </c>
      <c r="O103" s="37">
        <f>IF(N103=C103,"YES","NO")</f>
        <v/>
      </c>
      <c r="P103" s="37">
        <f>IFERROR(INDEX(Inventory!$E$2:$E$1181,MATCH(N103,Inventory!$A$2:$A$1181,0)),"NOT FOUND")</f>
        <v/>
      </c>
      <c r="Q103" s="41">
        <f>SUM(F103:J103)</f>
        <v/>
      </c>
      <c r="R103" s="41">
        <f>K103-Q103</f>
        <v/>
      </c>
      <c r="S103" s="41">
        <f>I103+J103</f>
        <v/>
      </c>
      <c r="T103" s="37">
        <f>IF(S103&gt;0,"YES","NO")</f>
        <v/>
      </c>
      <c r="U103" s="37">
        <f>IF(AND(T103="YES",P103="OCCUPIED",O103="YES",ABS(R103)&lt;=0.004),"YES","NO")</f>
        <v/>
      </c>
      <c r="V103" s="37">
        <f>IF(ABS(R103)&gt;0.004,"Priority 3",IF(U103="YES","COLLECTION",""))</f>
        <v/>
      </c>
    </row>
    <row r="104">
      <c r="A104" s="37" t="inlineStr">
        <is>
          <t>AC-LP-0514</t>
        </is>
      </c>
      <c r="B104" s="37" t="inlineStr">
        <is>
          <t>Brandy Rogers</t>
        </is>
      </c>
      <c r="C104" s="37" t="inlineStr">
        <is>
          <t>LP-0514</t>
        </is>
      </c>
      <c r="D104" s="37" t="inlineStr">
        <is>
          <t>Ledgport</t>
        </is>
      </c>
      <c r="E104" s="37" t="inlineStr">
        <is>
          <t>NON_COMM_MONTHLY</t>
        </is>
      </c>
      <c r="F104" s="41" t="n">
        <v>291.2</v>
      </c>
      <c r="G104" s="41" t="n">
        <v>291.2</v>
      </c>
      <c r="H104" s="41" t="n">
        <v>291.2</v>
      </c>
      <c r="I104" s="41" t="n">
        <v>0</v>
      </c>
      <c r="J104" s="41" t="n">
        <v>0</v>
      </c>
      <c r="K104" s="41" t="n">
        <v>873.6</v>
      </c>
      <c r="L104" s="37" t="inlineStr">
        <is>
          <t>2026-05-06</t>
        </is>
      </c>
      <c r="M104" s="37" t="inlineStr">
        <is>
          <t>COLLECTIONS</t>
        </is>
      </c>
      <c r="N104" s="37">
        <f>RIGHT(A104,LEN(A104)-3)</f>
        <v/>
      </c>
      <c r="O104" s="37">
        <f>IF(N104=C104,"YES","NO")</f>
        <v/>
      </c>
      <c r="P104" s="37">
        <f>IFERROR(INDEX(Inventory!$E$2:$E$1181,MATCH(N104,Inventory!$A$2:$A$1181,0)),"NOT FOUND")</f>
        <v/>
      </c>
      <c r="Q104" s="41">
        <f>SUM(F104:J104)</f>
        <v/>
      </c>
      <c r="R104" s="41">
        <f>K104-Q104</f>
        <v/>
      </c>
      <c r="S104" s="41">
        <f>I104+J104</f>
        <v/>
      </c>
      <c r="T104" s="37">
        <f>IF(S104&gt;0,"YES","NO")</f>
        <v/>
      </c>
      <c r="U104" s="37">
        <f>IF(AND(T104="YES",P104="OCCUPIED",O104="YES",ABS(R104)&lt;=0.004),"YES","NO")</f>
        <v/>
      </c>
      <c r="V104" s="37">
        <f>IF(ABS(R104)&gt;0.004,"Priority 3",IF(U104="YES","COLLECTION",""))</f>
        <v/>
      </c>
    </row>
    <row r="105">
      <c r="A105" s="37" t="inlineStr">
        <is>
          <t>AC-LP-0516</t>
        </is>
      </c>
      <c r="B105" s="37" t="inlineStr">
        <is>
          <t>Mallory Rodgers</t>
        </is>
      </c>
      <c r="C105" s="37" t="inlineStr">
        <is>
          <t>LP-0516</t>
        </is>
      </c>
      <c r="D105" s="37" t="inlineStr">
        <is>
          <t>Ledgport</t>
        </is>
      </c>
      <c r="E105" s="37" t="inlineStr">
        <is>
          <t>NON_COMM_MONTHLY</t>
        </is>
      </c>
      <c r="F105" s="41" t="n">
        <v>416</v>
      </c>
      <c r="G105" s="41" t="n">
        <v>416</v>
      </c>
      <c r="H105" s="41" t="n">
        <v>416</v>
      </c>
      <c r="I105" s="41" t="n">
        <v>0</v>
      </c>
      <c r="J105" s="41" t="n">
        <v>0</v>
      </c>
      <c r="K105" s="41" t="n">
        <v>1248</v>
      </c>
      <c r="L105" s="37" t="inlineStr">
        <is>
          <t>2026-07-16</t>
        </is>
      </c>
      <c r="M105" s="37" t="inlineStr">
        <is>
          <t>COLLECTIONS</t>
        </is>
      </c>
      <c r="N105" s="37">
        <f>RIGHT(A105,LEN(A105)-3)</f>
        <v/>
      </c>
      <c r="O105" s="37">
        <f>IF(N105=C105,"YES","NO")</f>
        <v/>
      </c>
      <c r="P105" s="37">
        <f>IFERROR(INDEX(Inventory!$E$2:$E$1181,MATCH(N105,Inventory!$A$2:$A$1181,0)),"NOT FOUND")</f>
        <v/>
      </c>
      <c r="Q105" s="41">
        <f>SUM(F105:J105)</f>
        <v/>
      </c>
      <c r="R105" s="41">
        <f>K105-Q105</f>
        <v/>
      </c>
      <c r="S105" s="41">
        <f>I105+J105</f>
        <v/>
      </c>
      <c r="T105" s="37">
        <f>IF(S105&gt;0,"YES","NO")</f>
        <v/>
      </c>
      <c r="U105" s="37">
        <f>IF(AND(T105="YES",P105="OCCUPIED",O105="YES",ABS(R105)&lt;=0.004),"YES","NO")</f>
        <v/>
      </c>
      <c r="V105" s="37">
        <f>IF(ABS(R105)&gt;0.004,"Priority 3",IF(U105="YES","COLLECTION",""))</f>
        <v/>
      </c>
    </row>
    <row r="106">
      <c r="A106" s="37" t="inlineStr">
        <is>
          <t>AC-LP-0517</t>
        </is>
      </c>
      <c r="B106" s="37" t="inlineStr">
        <is>
          <t>John Nguyen</t>
        </is>
      </c>
      <c r="C106" s="37" t="inlineStr">
        <is>
          <t>LP-0517</t>
        </is>
      </c>
      <c r="D106" s="37" t="inlineStr">
        <is>
          <t>Ledgport</t>
        </is>
      </c>
      <c r="E106" s="37" t="inlineStr">
        <is>
          <t>NON_COMM_MONTHLY</t>
        </is>
      </c>
      <c r="F106" s="41" t="n">
        <v>572</v>
      </c>
      <c r="G106" s="41" t="n">
        <v>0</v>
      </c>
      <c r="H106" s="41" t="n">
        <v>0</v>
      </c>
      <c r="I106" s="41" t="n">
        <v>0</v>
      </c>
      <c r="J106" s="41" t="n">
        <v>0</v>
      </c>
      <c r="K106" s="41" t="n">
        <v>0</v>
      </c>
      <c r="L106" s="37" t="inlineStr">
        <is>
          <t>2026-07-26</t>
        </is>
      </c>
      <c r="M106" s="37" t="inlineStr">
        <is>
          <t>CURRENT</t>
        </is>
      </c>
      <c r="N106" s="37">
        <f>RIGHT(A106,LEN(A106)-3)</f>
        <v/>
      </c>
      <c r="O106" s="37">
        <f>IF(N106=C106,"YES","NO")</f>
        <v/>
      </c>
      <c r="P106" s="37">
        <f>IFERROR(INDEX(Inventory!$E$2:$E$1181,MATCH(N106,Inventory!$A$2:$A$1181,0)),"NOT FOUND")</f>
        <v/>
      </c>
      <c r="Q106" s="41">
        <f>SUM(F106:J106)</f>
        <v/>
      </c>
      <c r="R106" s="41">
        <f>K106-Q106</f>
        <v/>
      </c>
      <c r="S106" s="41">
        <f>I106+J106</f>
        <v/>
      </c>
      <c r="T106" s="37">
        <f>IF(S106&gt;0,"YES","NO")</f>
        <v/>
      </c>
      <c r="U106" s="37">
        <f>IF(AND(T106="YES",P106="OCCUPIED",O106="YES",ABS(R106)&lt;=0.004),"YES","NO")</f>
        <v/>
      </c>
      <c r="V106" s="37">
        <f>IF(ABS(R106)&gt;0.004,"Priority 3",IF(U106="YES","COLLECTION",""))</f>
        <v/>
      </c>
    </row>
    <row r="107">
      <c r="A107" s="37" t="inlineStr">
        <is>
          <t>AC-LP-0518</t>
        </is>
      </c>
      <c r="B107" s="37" t="inlineStr">
        <is>
          <t>Jennifer Liu</t>
        </is>
      </c>
      <c r="C107" s="37" t="inlineStr">
        <is>
          <t>LP-0518</t>
        </is>
      </c>
      <c r="D107" s="37" t="inlineStr">
        <is>
          <t>Ledgport</t>
        </is>
      </c>
      <c r="E107" s="37" t="inlineStr">
        <is>
          <t>NON_COMM_MONTHLY</t>
        </is>
      </c>
      <c r="F107" s="41" t="n">
        <v>374.4</v>
      </c>
      <c r="G107" s="41" t="n">
        <v>0</v>
      </c>
      <c r="H107" s="41" t="n">
        <v>0</v>
      </c>
      <c r="I107" s="41" t="n">
        <v>0</v>
      </c>
      <c r="J107" s="41" t="n">
        <v>0</v>
      </c>
      <c r="K107" s="41" t="n">
        <v>374.4</v>
      </c>
      <c r="L107" s="37" t="inlineStr">
        <is>
          <t>2026-06-10</t>
        </is>
      </c>
      <c r="M107" s="37" t="inlineStr">
        <is>
          <t>CURRENT</t>
        </is>
      </c>
      <c r="N107" s="37">
        <f>RIGHT(A107,LEN(A107)-3)</f>
        <v/>
      </c>
      <c r="O107" s="37">
        <f>IF(N107=C107,"YES","NO")</f>
        <v/>
      </c>
      <c r="P107" s="37">
        <f>IFERROR(INDEX(Inventory!$E$2:$E$1181,MATCH(N107,Inventory!$A$2:$A$1181,0)),"NOT FOUND")</f>
        <v/>
      </c>
      <c r="Q107" s="41">
        <f>SUM(F107:J107)</f>
        <v/>
      </c>
      <c r="R107" s="41">
        <f>K107-Q107</f>
        <v/>
      </c>
      <c r="S107" s="41">
        <f>I107+J107</f>
        <v/>
      </c>
      <c r="T107" s="37">
        <f>IF(S107&gt;0,"YES","NO")</f>
        <v/>
      </c>
      <c r="U107" s="37">
        <f>IF(AND(T107="YES",P107="OCCUPIED",O107="YES",ABS(R107)&lt;=0.004),"YES","NO")</f>
        <v/>
      </c>
      <c r="V107" s="37">
        <f>IF(ABS(R107)&gt;0.004,"Priority 3",IF(U107="YES","COLLECTION",""))</f>
        <v/>
      </c>
    </row>
    <row r="108">
      <c r="A108" s="37" t="inlineStr">
        <is>
          <t>AC-LP-0519</t>
        </is>
      </c>
      <c r="B108" s="37" t="inlineStr">
        <is>
          <t>Annette Collins</t>
        </is>
      </c>
      <c r="C108" s="37" t="inlineStr">
        <is>
          <t>LP-0519</t>
        </is>
      </c>
      <c r="D108" s="37" t="inlineStr">
        <is>
          <t>Ledgport</t>
        </is>
      </c>
      <c r="E108" s="37" t="inlineStr">
        <is>
          <t>NON_COMM_MONTHLY</t>
        </is>
      </c>
      <c r="F108" s="41" t="n">
        <v>384.8</v>
      </c>
      <c r="G108" s="41" t="n">
        <v>384.8</v>
      </c>
      <c r="H108" s="41" t="n">
        <v>0</v>
      </c>
      <c r="I108" s="41" t="n">
        <v>0</v>
      </c>
      <c r="J108" s="41" t="n">
        <v>0</v>
      </c>
      <c r="K108" s="41" t="n">
        <v>769.6</v>
      </c>
      <c r="L108" s="37" t="inlineStr">
        <is>
          <t>2026-07-13</t>
        </is>
      </c>
      <c r="M108" s="37" t="inlineStr">
        <is>
          <t>WATCH</t>
        </is>
      </c>
      <c r="N108" s="37">
        <f>RIGHT(A108,LEN(A108)-3)</f>
        <v/>
      </c>
      <c r="O108" s="37">
        <f>IF(N108=C108,"YES","NO")</f>
        <v/>
      </c>
      <c r="P108" s="37">
        <f>IFERROR(INDEX(Inventory!$E$2:$E$1181,MATCH(N108,Inventory!$A$2:$A$1181,0)),"NOT FOUND")</f>
        <v/>
      </c>
      <c r="Q108" s="41">
        <f>SUM(F108:J108)</f>
        <v/>
      </c>
      <c r="R108" s="41">
        <f>K108-Q108</f>
        <v/>
      </c>
      <c r="S108" s="41">
        <f>I108+J108</f>
        <v/>
      </c>
      <c r="T108" s="37">
        <f>IF(S108&gt;0,"YES","NO")</f>
        <v/>
      </c>
      <c r="U108" s="37">
        <f>IF(AND(T108="YES",P108="OCCUPIED",O108="YES",ABS(R108)&lt;=0.004),"YES","NO")</f>
        <v/>
      </c>
      <c r="V108" s="37">
        <f>IF(ABS(R108)&gt;0.004,"Priority 3",IF(U108="YES","COLLECTION",""))</f>
        <v/>
      </c>
    </row>
    <row r="109">
      <c r="A109" s="37" t="inlineStr">
        <is>
          <t>AC-LP-0520</t>
        </is>
      </c>
      <c r="B109" s="37" t="inlineStr">
        <is>
          <t>Meredith Williams</t>
        </is>
      </c>
      <c r="C109" s="37" t="inlineStr">
        <is>
          <t>LP-0520</t>
        </is>
      </c>
      <c r="D109" s="37" t="inlineStr">
        <is>
          <t>Ledgport</t>
        </is>
      </c>
      <c r="E109" s="37" t="inlineStr">
        <is>
          <t>NON_COMM_MONTHLY</t>
        </is>
      </c>
      <c r="F109" s="41" t="n">
        <v>405.6</v>
      </c>
      <c r="G109" s="41" t="n">
        <v>0</v>
      </c>
      <c r="H109" s="41" t="n">
        <v>0</v>
      </c>
      <c r="I109" s="41" t="n">
        <v>0</v>
      </c>
      <c r="J109" s="41" t="n">
        <v>0</v>
      </c>
      <c r="K109" s="41" t="n">
        <v>0</v>
      </c>
      <c r="L109" s="37" t="inlineStr">
        <is>
          <t>2026-07-29</t>
        </is>
      </c>
      <c r="M109" s="37" t="inlineStr">
        <is>
          <t>CURRENT</t>
        </is>
      </c>
      <c r="N109" s="37">
        <f>RIGHT(A109,LEN(A109)-3)</f>
        <v/>
      </c>
      <c r="O109" s="37">
        <f>IF(N109=C109,"YES","NO")</f>
        <v/>
      </c>
      <c r="P109" s="37">
        <f>IFERROR(INDEX(Inventory!$E$2:$E$1181,MATCH(N109,Inventory!$A$2:$A$1181,0)),"NOT FOUND")</f>
        <v/>
      </c>
      <c r="Q109" s="41">
        <f>SUM(F109:J109)</f>
        <v/>
      </c>
      <c r="R109" s="41">
        <f>K109-Q109</f>
        <v/>
      </c>
      <c r="S109" s="41">
        <f>I109+J109</f>
        <v/>
      </c>
      <c r="T109" s="37">
        <f>IF(S109&gt;0,"YES","NO")</f>
        <v/>
      </c>
      <c r="U109" s="37">
        <f>IF(AND(T109="YES",P109="OCCUPIED",O109="YES",ABS(R109)&lt;=0.004),"YES","NO")</f>
        <v/>
      </c>
      <c r="V109" s="37">
        <f>IF(ABS(R109)&gt;0.004,"Priority 3",IF(U109="YES","COLLECTION",""))</f>
        <v/>
      </c>
    </row>
    <row r="110">
      <c r="A110" s="37" t="inlineStr">
        <is>
          <t>AC-LP-0521</t>
        </is>
      </c>
      <c r="B110" s="37" t="inlineStr">
        <is>
          <t>Ashley Hall</t>
        </is>
      </c>
      <c r="C110" s="37" t="inlineStr">
        <is>
          <t>LP-0521</t>
        </is>
      </c>
      <c r="D110" s="37" t="inlineStr">
        <is>
          <t>Ledgport</t>
        </is>
      </c>
      <c r="E110" s="37" t="inlineStr">
        <is>
          <t>NON_COMM_MONTHLY</t>
        </is>
      </c>
      <c r="F110" s="41" t="n">
        <v>416</v>
      </c>
      <c r="G110" s="41" t="n">
        <v>0</v>
      </c>
      <c r="H110" s="41" t="n">
        <v>0</v>
      </c>
      <c r="I110" s="41" t="n">
        <v>0</v>
      </c>
      <c r="J110" s="41" t="n">
        <v>0</v>
      </c>
      <c r="K110" s="41" t="n">
        <v>416</v>
      </c>
      <c r="L110" s="37" t="inlineStr">
        <is>
          <t>2026-06-04</t>
        </is>
      </c>
      <c r="M110" s="37" t="inlineStr">
        <is>
          <t>CURRENT</t>
        </is>
      </c>
      <c r="N110" s="37">
        <f>RIGHT(A110,LEN(A110)-3)</f>
        <v/>
      </c>
      <c r="O110" s="37">
        <f>IF(N110=C110,"YES","NO")</f>
        <v/>
      </c>
      <c r="P110" s="37">
        <f>IFERROR(INDEX(Inventory!$E$2:$E$1181,MATCH(N110,Inventory!$A$2:$A$1181,0)),"NOT FOUND")</f>
        <v/>
      </c>
      <c r="Q110" s="41">
        <f>SUM(F110:J110)</f>
        <v/>
      </c>
      <c r="R110" s="41">
        <f>K110-Q110</f>
        <v/>
      </c>
      <c r="S110" s="41">
        <f>I110+J110</f>
        <v/>
      </c>
      <c r="T110" s="37">
        <f>IF(S110&gt;0,"YES","NO")</f>
        <v/>
      </c>
      <c r="U110" s="37">
        <f>IF(AND(T110="YES",P110="OCCUPIED",O110="YES",ABS(R110)&lt;=0.004),"YES","NO")</f>
        <v/>
      </c>
      <c r="V110" s="37">
        <f>IF(ABS(R110)&gt;0.004,"Priority 3",IF(U110="YES","COLLECTION",""))</f>
        <v/>
      </c>
    </row>
    <row r="111">
      <c r="A111" s="37" t="inlineStr">
        <is>
          <t>AC-LP-0522</t>
        </is>
      </c>
      <c r="B111" s="37" t="inlineStr">
        <is>
          <t>Patrick Barnes</t>
        </is>
      </c>
      <c r="C111" s="37" t="inlineStr">
        <is>
          <t>LP-0522</t>
        </is>
      </c>
      <c r="D111" s="37" t="inlineStr">
        <is>
          <t>Ledgport</t>
        </is>
      </c>
      <c r="E111" s="37" t="inlineStr">
        <is>
          <t>NON_COMM_MONTHLY</t>
        </is>
      </c>
      <c r="F111" s="41" t="n">
        <v>634.4</v>
      </c>
      <c r="G111" s="41" t="n">
        <v>634.4</v>
      </c>
      <c r="H111" s="41" t="n">
        <v>0</v>
      </c>
      <c r="I111" s="41" t="n">
        <v>0</v>
      </c>
      <c r="J111" s="41" t="n">
        <v>0</v>
      </c>
      <c r="K111" s="41" t="n">
        <v>1268.8</v>
      </c>
      <c r="L111" s="37" t="inlineStr">
        <is>
          <t>2026-05-14</t>
        </is>
      </c>
      <c r="M111" s="37" t="inlineStr">
        <is>
          <t>WATCH</t>
        </is>
      </c>
      <c r="N111" s="37">
        <f>RIGHT(A111,LEN(A111)-3)</f>
        <v/>
      </c>
      <c r="O111" s="37">
        <f>IF(N111=C111,"YES","NO")</f>
        <v/>
      </c>
      <c r="P111" s="37">
        <f>IFERROR(INDEX(Inventory!$E$2:$E$1181,MATCH(N111,Inventory!$A$2:$A$1181,0)),"NOT FOUND")</f>
        <v/>
      </c>
      <c r="Q111" s="41">
        <f>SUM(F111:J111)</f>
        <v/>
      </c>
      <c r="R111" s="41">
        <f>K111-Q111</f>
        <v/>
      </c>
      <c r="S111" s="41">
        <f>I111+J111</f>
        <v/>
      </c>
      <c r="T111" s="37">
        <f>IF(S111&gt;0,"YES","NO")</f>
        <v/>
      </c>
      <c r="U111" s="37">
        <f>IF(AND(T111="YES",P111="OCCUPIED",O111="YES",ABS(R111)&lt;=0.004),"YES","NO")</f>
        <v/>
      </c>
      <c r="V111" s="37">
        <f>IF(ABS(R111)&gt;0.004,"Priority 3",IF(U111="YES","COLLECTION",""))</f>
        <v/>
      </c>
    </row>
    <row r="112">
      <c r="A112" s="37" t="inlineStr">
        <is>
          <t>AC-LP-0523</t>
        </is>
      </c>
      <c r="B112" s="37" t="inlineStr">
        <is>
          <t>Damon Garcia</t>
        </is>
      </c>
      <c r="C112" s="37" t="inlineStr">
        <is>
          <t>LP-0523</t>
        </is>
      </c>
      <c r="D112" s="37" t="inlineStr">
        <is>
          <t>Ledgport</t>
        </is>
      </c>
      <c r="E112" s="37" t="inlineStr">
        <is>
          <t>NON_COMM_MONTHLY</t>
        </is>
      </c>
      <c r="F112" s="41" t="n">
        <v>260</v>
      </c>
      <c r="G112" s="41" t="n">
        <v>0</v>
      </c>
      <c r="H112" s="41" t="n">
        <v>0</v>
      </c>
      <c r="I112" s="41" t="n">
        <v>0</v>
      </c>
      <c r="J112" s="41" t="n">
        <v>0</v>
      </c>
      <c r="K112" s="41" t="n">
        <v>260</v>
      </c>
      <c r="L112" s="37" t="inlineStr">
        <is>
          <t>2026-05-10</t>
        </is>
      </c>
      <c r="M112" s="37" t="inlineStr">
        <is>
          <t>CURRENT</t>
        </is>
      </c>
      <c r="N112" s="37">
        <f>RIGHT(A112,LEN(A112)-3)</f>
        <v/>
      </c>
      <c r="O112" s="37">
        <f>IF(N112=C112,"YES","NO")</f>
        <v/>
      </c>
      <c r="P112" s="37">
        <f>IFERROR(INDEX(Inventory!$E$2:$E$1181,MATCH(N112,Inventory!$A$2:$A$1181,0)),"NOT FOUND")</f>
        <v/>
      </c>
      <c r="Q112" s="41">
        <f>SUM(F112:J112)</f>
        <v/>
      </c>
      <c r="R112" s="41">
        <f>K112-Q112</f>
        <v/>
      </c>
      <c r="S112" s="41">
        <f>I112+J112</f>
        <v/>
      </c>
      <c r="T112" s="37">
        <f>IF(S112&gt;0,"YES","NO")</f>
        <v/>
      </c>
      <c r="U112" s="37">
        <f>IF(AND(T112="YES",P112="OCCUPIED",O112="YES",ABS(R112)&lt;=0.004),"YES","NO")</f>
        <v/>
      </c>
      <c r="V112" s="37">
        <f>IF(ABS(R112)&gt;0.004,"Priority 3",IF(U112="YES","COLLECTION",""))</f>
        <v/>
      </c>
    </row>
    <row r="113">
      <c r="A113" s="37" t="inlineStr">
        <is>
          <t>AC-LP-0524</t>
        </is>
      </c>
      <c r="B113" s="37" t="inlineStr">
        <is>
          <t>Anthony Hamilton</t>
        </is>
      </c>
      <c r="C113" s="37" t="inlineStr">
        <is>
          <t>LP-0524</t>
        </is>
      </c>
      <c r="D113" s="37" t="inlineStr">
        <is>
          <t>Ledgport</t>
        </is>
      </c>
      <c r="E113" s="37" t="inlineStr">
        <is>
          <t>NON_COMM_MONTHLY</t>
        </is>
      </c>
      <c r="F113" s="41" t="n">
        <v>291.2</v>
      </c>
      <c r="G113" s="41" t="n">
        <v>0</v>
      </c>
      <c r="H113" s="41" t="n">
        <v>0</v>
      </c>
      <c r="I113" s="41" t="n">
        <v>0</v>
      </c>
      <c r="J113" s="41" t="n">
        <v>0</v>
      </c>
      <c r="K113" s="41" t="n">
        <v>291.2</v>
      </c>
      <c r="L113" s="37" t="inlineStr">
        <is>
          <t>2026-06-30</t>
        </is>
      </c>
      <c r="M113" s="37" t="inlineStr">
        <is>
          <t>CURRENT</t>
        </is>
      </c>
      <c r="N113" s="37">
        <f>RIGHT(A113,LEN(A113)-3)</f>
        <v/>
      </c>
      <c r="O113" s="37">
        <f>IF(N113=C113,"YES","NO")</f>
        <v/>
      </c>
      <c r="P113" s="37">
        <f>IFERROR(INDEX(Inventory!$E$2:$E$1181,MATCH(N113,Inventory!$A$2:$A$1181,0)),"NOT FOUND")</f>
        <v/>
      </c>
      <c r="Q113" s="41">
        <f>SUM(F113:J113)</f>
        <v/>
      </c>
      <c r="R113" s="41">
        <f>K113-Q113</f>
        <v/>
      </c>
      <c r="S113" s="41">
        <f>I113+J113</f>
        <v/>
      </c>
      <c r="T113" s="37">
        <f>IF(S113&gt;0,"YES","NO")</f>
        <v/>
      </c>
      <c r="U113" s="37">
        <f>IF(AND(T113="YES",P113="OCCUPIED",O113="YES",ABS(R113)&lt;=0.004),"YES","NO")</f>
        <v/>
      </c>
      <c r="V113" s="37">
        <f>IF(ABS(R113)&gt;0.004,"Priority 3",IF(U113="YES","COLLECTION",""))</f>
        <v/>
      </c>
    </row>
    <row r="114">
      <c r="A114" s="37" t="inlineStr">
        <is>
          <t>AC-LP-0601</t>
        </is>
      </c>
      <c r="B114" s="37" t="inlineStr">
        <is>
          <t>Ronald Moore</t>
        </is>
      </c>
      <c r="C114" s="37" t="inlineStr">
        <is>
          <t>LP-0601</t>
        </is>
      </c>
      <c r="D114" s="37" t="inlineStr">
        <is>
          <t>Ledgport</t>
        </is>
      </c>
      <c r="E114" s="37" t="inlineStr">
        <is>
          <t>NON_COMM_MONTHLY</t>
        </is>
      </c>
      <c r="F114" s="41" t="n">
        <v>312</v>
      </c>
      <c r="G114" s="41" t="n">
        <v>0</v>
      </c>
      <c r="H114" s="41" t="n">
        <v>0</v>
      </c>
      <c r="I114" s="41" t="n">
        <v>0</v>
      </c>
      <c r="J114" s="41" t="n">
        <v>0</v>
      </c>
      <c r="K114" s="41" t="n">
        <v>0</v>
      </c>
      <c r="L114" s="37" t="inlineStr">
        <is>
          <t>2026-06-15</t>
        </is>
      </c>
      <c r="M114" s="37" t="inlineStr">
        <is>
          <t>CURRENT</t>
        </is>
      </c>
      <c r="N114" s="37">
        <f>RIGHT(A114,LEN(A114)-3)</f>
        <v/>
      </c>
      <c r="O114" s="37">
        <f>IF(N114=C114,"YES","NO")</f>
        <v/>
      </c>
      <c r="P114" s="37">
        <f>IFERROR(INDEX(Inventory!$E$2:$E$1181,MATCH(N114,Inventory!$A$2:$A$1181,0)),"NOT FOUND")</f>
        <v/>
      </c>
      <c r="Q114" s="41">
        <f>SUM(F114:J114)</f>
        <v/>
      </c>
      <c r="R114" s="41">
        <f>K114-Q114</f>
        <v/>
      </c>
      <c r="S114" s="41">
        <f>I114+J114</f>
        <v/>
      </c>
      <c r="T114" s="37">
        <f>IF(S114&gt;0,"YES","NO")</f>
        <v/>
      </c>
      <c r="U114" s="37">
        <f>IF(AND(T114="YES",P114="OCCUPIED",O114="YES",ABS(R114)&lt;=0.004),"YES","NO")</f>
        <v/>
      </c>
      <c r="V114" s="37">
        <f>IF(ABS(R114)&gt;0.004,"Priority 3",IF(U114="YES","COLLECTION",""))</f>
        <v/>
      </c>
    </row>
    <row r="115">
      <c r="A115" s="37" t="inlineStr">
        <is>
          <t>AC-LP-0602</t>
        </is>
      </c>
      <c r="B115" s="37" t="inlineStr">
        <is>
          <t>Lee Maldonado</t>
        </is>
      </c>
      <c r="C115" s="37" t="inlineStr">
        <is>
          <t>LP-0602</t>
        </is>
      </c>
      <c r="D115" s="37" t="inlineStr">
        <is>
          <t>Ledgport</t>
        </is>
      </c>
      <c r="E115" s="37" t="inlineStr">
        <is>
          <t>NON_COMM_MONTHLY</t>
        </is>
      </c>
      <c r="F115" s="41" t="n">
        <v>603.2</v>
      </c>
      <c r="G115" s="41" t="n">
        <v>603.2</v>
      </c>
      <c r="H115" s="41" t="n">
        <v>603.2</v>
      </c>
      <c r="I115" s="41" t="n">
        <v>603.2</v>
      </c>
      <c r="J115" s="41" t="n">
        <v>603.2</v>
      </c>
      <c r="K115" s="41" t="n">
        <v>3016</v>
      </c>
      <c r="L115" s="37" t="inlineStr">
        <is>
          <t>2026-07-18</t>
        </is>
      </c>
      <c r="M115" s="37" t="inlineStr">
        <is>
          <t>COLLECTIONS</t>
        </is>
      </c>
      <c r="N115" s="37">
        <f>RIGHT(A115,LEN(A115)-3)</f>
        <v/>
      </c>
      <c r="O115" s="37">
        <f>IF(N115=C115,"YES","NO")</f>
        <v/>
      </c>
      <c r="P115" s="37">
        <f>IFERROR(INDEX(Inventory!$E$2:$E$1181,MATCH(N115,Inventory!$A$2:$A$1181,0)),"NOT FOUND")</f>
        <v/>
      </c>
      <c r="Q115" s="41">
        <f>SUM(F115:J115)</f>
        <v/>
      </c>
      <c r="R115" s="41">
        <f>K115-Q115</f>
        <v/>
      </c>
      <c r="S115" s="41">
        <f>I115+J115</f>
        <v/>
      </c>
      <c r="T115" s="37">
        <f>IF(S115&gt;0,"YES","NO")</f>
        <v/>
      </c>
      <c r="U115" s="37">
        <f>IF(AND(T115="YES",P115="OCCUPIED",O115="YES",ABS(R115)&lt;=0.004),"YES","NO")</f>
        <v/>
      </c>
      <c r="V115" s="37">
        <f>IF(ABS(R115)&gt;0.004,"Priority 3",IF(U115="YES","COLLECTION",""))</f>
        <v/>
      </c>
    </row>
    <row r="116">
      <c r="A116" s="37" t="inlineStr">
        <is>
          <t>AC-LP-0603</t>
        </is>
      </c>
      <c r="B116" s="37" t="inlineStr">
        <is>
          <t>Marissa Hatfield</t>
        </is>
      </c>
      <c r="C116" s="37" t="inlineStr">
        <is>
          <t>LP-0603</t>
        </is>
      </c>
      <c r="D116" s="37" t="inlineStr">
        <is>
          <t>Ledgport</t>
        </is>
      </c>
      <c r="E116" s="37" t="inlineStr">
        <is>
          <t>NON_COMM_MONTHLY</t>
        </is>
      </c>
      <c r="F116" s="41" t="n">
        <v>343.2</v>
      </c>
      <c r="G116" s="41" t="n">
        <v>0</v>
      </c>
      <c r="H116" s="41" t="n">
        <v>0</v>
      </c>
      <c r="I116" s="41" t="n">
        <v>0</v>
      </c>
      <c r="J116" s="41" t="n">
        <v>0</v>
      </c>
      <c r="K116" s="41" t="n">
        <v>343.2</v>
      </c>
      <c r="L116" s="37" t="inlineStr">
        <is>
          <t>2026-05-02</t>
        </is>
      </c>
      <c r="M116" s="37" t="inlineStr">
        <is>
          <t>CURRENT</t>
        </is>
      </c>
      <c r="N116" s="37">
        <f>RIGHT(A116,LEN(A116)-3)</f>
        <v/>
      </c>
      <c r="O116" s="37">
        <f>IF(N116=C116,"YES","NO")</f>
        <v/>
      </c>
      <c r="P116" s="37">
        <f>IFERROR(INDEX(Inventory!$E$2:$E$1181,MATCH(N116,Inventory!$A$2:$A$1181,0)),"NOT FOUND")</f>
        <v/>
      </c>
      <c r="Q116" s="41">
        <f>SUM(F116:J116)</f>
        <v/>
      </c>
      <c r="R116" s="41">
        <f>K116-Q116</f>
        <v/>
      </c>
      <c r="S116" s="41">
        <f>I116+J116</f>
        <v/>
      </c>
      <c r="T116" s="37">
        <f>IF(S116&gt;0,"YES","NO")</f>
        <v/>
      </c>
      <c r="U116" s="37">
        <f>IF(AND(T116="YES",P116="OCCUPIED",O116="YES",ABS(R116)&lt;=0.004),"YES","NO")</f>
        <v/>
      </c>
      <c r="V116" s="37">
        <f>IF(ABS(R116)&gt;0.004,"Priority 3",IF(U116="YES","COLLECTION",""))</f>
        <v/>
      </c>
    </row>
    <row r="117">
      <c r="A117" s="37" t="inlineStr">
        <is>
          <t>AC-LP-0604</t>
        </is>
      </c>
      <c r="B117" s="37" t="inlineStr">
        <is>
          <t>Timothy Porter</t>
        </is>
      </c>
      <c r="C117" s="37" t="inlineStr">
        <is>
          <t>LP-0604</t>
        </is>
      </c>
      <c r="D117" s="37" t="inlineStr">
        <is>
          <t>Ledgport</t>
        </is>
      </c>
      <c r="E117" s="37" t="inlineStr">
        <is>
          <t>NON_COMM_MONTHLY</t>
        </is>
      </c>
      <c r="F117" s="41" t="n">
        <v>530.4</v>
      </c>
      <c r="G117" s="41" t="n">
        <v>0</v>
      </c>
      <c r="H117" s="41" t="n">
        <v>0</v>
      </c>
      <c r="I117" s="41" t="n">
        <v>0</v>
      </c>
      <c r="J117" s="41" t="n">
        <v>0</v>
      </c>
      <c r="K117" s="41" t="n">
        <v>530.4</v>
      </c>
      <c r="L117" s="37" t="inlineStr">
        <is>
          <t>2026-05-24</t>
        </is>
      </c>
      <c r="M117" s="37" t="inlineStr">
        <is>
          <t>CURRENT</t>
        </is>
      </c>
      <c r="N117" s="37">
        <f>RIGHT(A117,LEN(A117)-3)</f>
        <v/>
      </c>
      <c r="O117" s="37">
        <f>IF(N117=C117,"YES","NO")</f>
        <v/>
      </c>
      <c r="P117" s="37">
        <f>IFERROR(INDEX(Inventory!$E$2:$E$1181,MATCH(N117,Inventory!$A$2:$A$1181,0)),"NOT FOUND")</f>
        <v/>
      </c>
      <c r="Q117" s="41">
        <f>SUM(F117:J117)</f>
        <v/>
      </c>
      <c r="R117" s="41">
        <f>K117-Q117</f>
        <v/>
      </c>
      <c r="S117" s="41">
        <f>I117+J117</f>
        <v/>
      </c>
      <c r="T117" s="37">
        <f>IF(S117&gt;0,"YES","NO")</f>
        <v/>
      </c>
      <c r="U117" s="37">
        <f>IF(AND(T117="YES",P117="OCCUPIED",O117="YES",ABS(R117)&lt;=0.004),"YES","NO")</f>
        <v/>
      </c>
      <c r="V117" s="37">
        <f>IF(ABS(R117)&gt;0.004,"Priority 3",IF(U117="YES","COLLECTION",""))</f>
        <v/>
      </c>
    </row>
    <row r="118">
      <c r="A118" s="37" t="inlineStr">
        <is>
          <t>AC-LP-0605</t>
        </is>
      </c>
      <c r="B118" s="37" t="inlineStr">
        <is>
          <t>Andrew Anderson</t>
        </is>
      </c>
      <c r="C118" s="37" t="inlineStr">
        <is>
          <t>LP-0605</t>
        </is>
      </c>
      <c r="D118" s="37" t="inlineStr">
        <is>
          <t>Ledgport</t>
        </is>
      </c>
      <c r="E118" s="37" t="inlineStr">
        <is>
          <t>NON_COMM_MONTHLY</t>
        </is>
      </c>
      <c r="F118" s="41" t="n">
        <v>530.4</v>
      </c>
      <c r="G118" s="41" t="n">
        <v>530.4</v>
      </c>
      <c r="H118" s="41" t="n">
        <v>530.4</v>
      </c>
      <c r="I118" s="41" t="n">
        <v>530.4</v>
      </c>
      <c r="J118" s="41" t="n">
        <v>0</v>
      </c>
      <c r="K118" s="41" t="n">
        <v>2121.6</v>
      </c>
      <c r="L118" s="37" t="inlineStr">
        <is>
          <t>2026-05-06</t>
        </is>
      </c>
      <c r="M118" s="37" t="inlineStr">
        <is>
          <t>COLLECTIONS</t>
        </is>
      </c>
      <c r="N118" s="37">
        <f>RIGHT(A118,LEN(A118)-3)</f>
        <v/>
      </c>
      <c r="O118" s="37">
        <f>IF(N118=C118,"YES","NO")</f>
        <v/>
      </c>
      <c r="P118" s="37">
        <f>IFERROR(INDEX(Inventory!$E$2:$E$1181,MATCH(N118,Inventory!$A$2:$A$1181,0)),"NOT FOUND")</f>
        <v/>
      </c>
      <c r="Q118" s="41">
        <f>SUM(F118:J118)</f>
        <v/>
      </c>
      <c r="R118" s="41">
        <f>K118-Q118</f>
        <v/>
      </c>
      <c r="S118" s="41">
        <f>I118+J118</f>
        <v/>
      </c>
      <c r="T118" s="37">
        <f>IF(S118&gt;0,"YES","NO")</f>
        <v/>
      </c>
      <c r="U118" s="37">
        <f>IF(AND(T118="YES",P118="OCCUPIED",O118="YES",ABS(R118)&lt;=0.004),"YES","NO")</f>
        <v/>
      </c>
      <c r="V118" s="37">
        <f>IF(ABS(R118)&gt;0.004,"Priority 3",IF(U118="YES","COLLECTION",""))</f>
        <v/>
      </c>
    </row>
    <row r="119">
      <c r="A119" s="37" t="inlineStr">
        <is>
          <t>AC-LP-0606</t>
        </is>
      </c>
      <c r="B119" s="37" t="inlineStr">
        <is>
          <t>Kyle Foster</t>
        </is>
      </c>
      <c r="C119" s="37" t="inlineStr">
        <is>
          <t>LP-0606</t>
        </is>
      </c>
      <c r="D119" s="37" t="inlineStr">
        <is>
          <t>Ledgport</t>
        </is>
      </c>
      <c r="E119" s="37" t="inlineStr">
        <is>
          <t>NON_COMM_MONTHLY</t>
        </is>
      </c>
      <c r="F119" s="41" t="n">
        <v>644.8</v>
      </c>
      <c r="G119" s="41" t="n">
        <v>0</v>
      </c>
      <c r="H119" s="41" t="n">
        <v>0</v>
      </c>
      <c r="I119" s="41" t="n">
        <v>0</v>
      </c>
      <c r="J119" s="41" t="n">
        <v>0</v>
      </c>
      <c r="K119" s="41" t="n">
        <v>644.8</v>
      </c>
      <c r="L119" s="37" t="inlineStr">
        <is>
          <t>2026-05-01</t>
        </is>
      </c>
      <c r="M119" s="37" t="inlineStr">
        <is>
          <t>CURRENT</t>
        </is>
      </c>
      <c r="N119" s="37">
        <f>RIGHT(A119,LEN(A119)-3)</f>
        <v/>
      </c>
      <c r="O119" s="37">
        <f>IF(N119=C119,"YES","NO")</f>
        <v/>
      </c>
      <c r="P119" s="37">
        <f>IFERROR(INDEX(Inventory!$E$2:$E$1181,MATCH(N119,Inventory!$A$2:$A$1181,0)),"NOT FOUND")</f>
        <v/>
      </c>
      <c r="Q119" s="41">
        <f>SUM(F119:J119)</f>
        <v/>
      </c>
      <c r="R119" s="41">
        <f>K119-Q119</f>
        <v/>
      </c>
      <c r="S119" s="41">
        <f>I119+J119</f>
        <v/>
      </c>
      <c r="T119" s="37">
        <f>IF(S119&gt;0,"YES","NO")</f>
        <v/>
      </c>
      <c r="U119" s="37">
        <f>IF(AND(T119="YES",P119="OCCUPIED",O119="YES",ABS(R119)&lt;=0.004),"YES","NO")</f>
        <v/>
      </c>
      <c r="V119" s="37">
        <f>IF(ABS(R119)&gt;0.004,"Priority 3",IF(U119="YES","COLLECTION",""))</f>
        <v/>
      </c>
    </row>
    <row r="120">
      <c r="A120" s="37" t="inlineStr">
        <is>
          <t>AC-LP-0607</t>
        </is>
      </c>
      <c r="B120" s="37" t="inlineStr">
        <is>
          <t>Morgan Clark</t>
        </is>
      </c>
      <c r="C120" s="37" t="inlineStr">
        <is>
          <t>LP-0607</t>
        </is>
      </c>
      <c r="D120" s="37" t="inlineStr">
        <is>
          <t>Ledgport</t>
        </is>
      </c>
      <c r="E120" s="37" t="inlineStr">
        <is>
          <t>NON_COMM_MONTHLY</t>
        </is>
      </c>
      <c r="F120" s="41" t="n">
        <v>416</v>
      </c>
      <c r="G120" s="41" t="n">
        <v>0</v>
      </c>
      <c r="H120" s="41" t="n">
        <v>0</v>
      </c>
      <c r="I120" s="41" t="n">
        <v>0</v>
      </c>
      <c r="J120" s="41" t="n">
        <v>0</v>
      </c>
      <c r="K120" s="41" t="n">
        <v>0</v>
      </c>
      <c r="L120" s="37" t="inlineStr">
        <is>
          <t>2026-05-22</t>
        </is>
      </c>
      <c r="M120" s="37" t="inlineStr">
        <is>
          <t>CURRENT</t>
        </is>
      </c>
      <c r="N120" s="37">
        <f>RIGHT(A120,LEN(A120)-3)</f>
        <v/>
      </c>
      <c r="O120" s="37">
        <f>IF(N120=C120,"YES","NO")</f>
        <v/>
      </c>
      <c r="P120" s="37">
        <f>IFERROR(INDEX(Inventory!$E$2:$E$1181,MATCH(N120,Inventory!$A$2:$A$1181,0)),"NOT FOUND")</f>
        <v/>
      </c>
      <c r="Q120" s="41">
        <f>SUM(F120:J120)</f>
        <v/>
      </c>
      <c r="R120" s="41">
        <f>K120-Q120</f>
        <v/>
      </c>
      <c r="S120" s="41">
        <f>I120+J120</f>
        <v/>
      </c>
      <c r="T120" s="37">
        <f>IF(S120&gt;0,"YES","NO")</f>
        <v/>
      </c>
      <c r="U120" s="37">
        <f>IF(AND(T120="YES",P120="OCCUPIED",O120="YES",ABS(R120)&lt;=0.004),"YES","NO")</f>
        <v/>
      </c>
      <c r="V120" s="37">
        <f>IF(ABS(R120)&gt;0.004,"Priority 3",IF(U120="YES","COLLECTION",""))</f>
        <v/>
      </c>
    </row>
    <row r="121">
      <c r="A121" s="37" t="inlineStr">
        <is>
          <t>AC-LP-0608</t>
        </is>
      </c>
      <c r="B121" s="37" t="inlineStr">
        <is>
          <t>Jamie Carpenter</t>
        </is>
      </c>
      <c r="C121" s="37" t="inlineStr">
        <is>
          <t>LP-0608</t>
        </is>
      </c>
      <c r="D121" s="37" t="inlineStr">
        <is>
          <t>Ledgport</t>
        </is>
      </c>
      <c r="E121" s="37" t="inlineStr">
        <is>
          <t>NON_COMM_MONTHLY</t>
        </is>
      </c>
      <c r="F121" s="41" t="n">
        <v>291.2</v>
      </c>
      <c r="G121" s="41" t="n">
        <v>0</v>
      </c>
      <c r="H121" s="41" t="n">
        <v>0</v>
      </c>
      <c r="I121" s="41" t="n">
        <v>0</v>
      </c>
      <c r="J121" s="41" t="n">
        <v>0</v>
      </c>
      <c r="K121" s="41" t="n">
        <v>291.2</v>
      </c>
      <c r="L121" s="37" t="inlineStr">
        <is>
          <t>2026-07-10</t>
        </is>
      </c>
      <c r="M121" s="37" t="inlineStr">
        <is>
          <t>CURRENT</t>
        </is>
      </c>
      <c r="N121" s="37">
        <f>RIGHT(A121,LEN(A121)-3)</f>
        <v/>
      </c>
      <c r="O121" s="37">
        <f>IF(N121=C121,"YES","NO")</f>
        <v/>
      </c>
      <c r="P121" s="37">
        <f>IFERROR(INDEX(Inventory!$E$2:$E$1181,MATCH(N121,Inventory!$A$2:$A$1181,0)),"NOT FOUND")</f>
        <v/>
      </c>
      <c r="Q121" s="41">
        <f>SUM(F121:J121)</f>
        <v/>
      </c>
      <c r="R121" s="41">
        <f>K121-Q121</f>
        <v/>
      </c>
      <c r="S121" s="41">
        <f>I121+J121</f>
        <v/>
      </c>
      <c r="T121" s="37">
        <f>IF(S121&gt;0,"YES","NO")</f>
        <v/>
      </c>
      <c r="U121" s="37">
        <f>IF(AND(T121="YES",P121="OCCUPIED",O121="YES",ABS(R121)&lt;=0.004),"YES","NO")</f>
        <v/>
      </c>
      <c r="V121" s="37">
        <f>IF(ABS(R121)&gt;0.004,"Priority 3",IF(U121="YES","COLLECTION",""))</f>
        <v/>
      </c>
    </row>
    <row r="122">
      <c r="A122" s="37" t="inlineStr">
        <is>
          <t>AC-LP-0609</t>
        </is>
      </c>
      <c r="B122" s="37" t="inlineStr">
        <is>
          <t>Micheal Martinez</t>
        </is>
      </c>
      <c r="C122" s="37" t="inlineStr">
        <is>
          <t>LP-0609</t>
        </is>
      </c>
      <c r="D122" s="37" t="inlineStr">
        <is>
          <t>Ledgport</t>
        </is>
      </c>
      <c r="E122" s="37" t="inlineStr">
        <is>
          <t>NON_COMM_MONTHLY</t>
        </is>
      </c>
      <c r="F122" s="41" t="n">
        <v>395.2</v>
      </c>
      <c r="G122" s="41" t="n">
        <v>0</v>
      </c>
      <c r="H122" s="41" t="n">
        <v>0</v>
      </c>
      <c r="I122" s="41" t="n">
        <v>0</v>
      </c>
      <c r="J122" s="41" t="n">
        <v>0</v>
      </c>
      <c r="K122" s="41" t="n">
        <v>395.2</v>
      </c>
      <c r="L122" s="37" t="inlineStr">
        <is>
          <t>2026-06-11</t>
        </is>
      </c>
      <c r="M122" s="37" t="inlineStr">
        <is>
          <t>CURRENT</t>
        </is>
      </c>
      <c r="N122" s="37">
        <f>RIGHT(A122,LEN(A122)-3)</f>
        <v/>
      </c>
      <c r="O122" s="37">
        <f>IF(N122=C122,"YES","NO")</f>
        <v/>
      </c>
      <c r="P122" s="37">
        <f>IFERROR(INDEX(Inventory!$E$2:$E$1181,MATCH(N122,Inventory!$A$2:$A$1181,0)),"NOT FOUND")</f>
        <v/>
      </c>
      <c r="Q122" s="41">
        <f>SUM(F122:J122)</f>
        <v/>
      </c>
      <c r="R122" s="41">
        <f>K122-Q122</f>
        <v/>
      </c>
      <c r="S122" s="41">
        <f>I122+J122</f>
        <v/>
      </c>
      <c r="T122" s="37">
        <f>IF(S122&gt;0,"YES","NO")</f>
        <v/>
      </c>
      <c r="U122" s="37">
        <f>IF(AND(T122="YES",P122="OCCUPIED",O122="YES",ABS(R122)&lt;=0.004),"YES","NO")</f>
        <v/>
      </c>
      <c r="V122" s="37">
        <f>IF(ABS(R122)&gt;0.004,"Priority 3",IF(U122="YES","COLLECTION",""))</f>
        <v/>
      </c>
    </row>
    <row r="123">
      <c r="A123" s="37" t="inlineStr">
        <is>
          <t>AC-LP-0610</t>
        </is>
      </c>
      <c r="B123" s="37" t="inlineStr">
        <is>
          <t>James Williams</t>
        </is>
      </c>
      <c r="C123" s="37" t="inlineStr">
        <is>
          <t>LP-0610</t>
        </is>
      </c>
      <c r="D123" s="37" t="inlineStr">
        <is>
          <t>Ledgport</t>
        </is>
      </c>
      <c r="E123" s="37" t="inlineStr">
        <is>
          <t>NON_COMM_MONTHLY</t>
        </is>
      </c>
      <c r="F123" s="41" t="n">
        <v>364</v>
      </c>
      <c r="G123" s="41" t="n">
        <v>0</v>
      </c>
      <c r="H123" s="41" t="n">
        <v>0</v>
      </c>
      <c r="I123" s="41" t="n">
        <v>0</v>
      </c>
      <c r="J123" s="41" t="n">
        <v>0</v>
      </c>
      <c r="K123" s="41" t="n">
        <v>364</v>
      </c>
      <c r="L123" s="37" t="inlineStr">
        <is>
          <t>2026-05-25</t>
        </is>
      </c>
      <c r="M123" s="37" t="inlineStr">
        <is>
          <t>CURRENT</t>
        </is>
      </c>
      <c r="N123" s="37">
        <f>RIGHT(A123,LEN(A123)-3)</f>
        <v/>
      </c>
      <c r="O123" s="37">
        <f>IF(N123=C123,"YES","NO")</f>
        <v/>
      </c>
      <c r="P123" s="37">
        <f>IFERROR(INDEX(Inventory!$E$2:$E$1181,MATCH(N123,Inventory!$A$2:$A$1181,0)),"NOT FOUND")</f>
        <v/>
      </c>
      <c r="Q123" s="41">
        <f>SUM(F123:J123)</f>
        <v/>
      </c>
      <c r="R123" s="41">
        <f>K123-Q123</f>
        <v/>
      </c>
      <c r="S123" s="41">
        <f>I123+J123</f>
        <v/>
      </c>
      <c r="T123" s="37">
        <f>IF(S123&gt;0,"YES","NO")</f>
        <v/>
      </c>
      <c r="U123" s="37">
        <f>IF(AND(T123="YES",P123="OCCUPIED",O123="YES",ABS(R123)&lt;=0.004),"YES","NO")</f>
        <v/>
      </c>
      <c r="V123" s="37">
        <f>IF(ABS(R123)&gt;0.004,"Priority 3",IF(U123="YES","COLLECTION",""))</f>
        <v/>
      </c>
    </row>
    <row r="124">
      <c r="A124" s="37" t="inlineStr">
        <is>
          <t>AC-LP-0611</t>
        </is>
      </c>
      <c r="B124" s="37" t="inlineStr">
        <is>
          <t>Scott Bird</t>
        </is>
      </c>
      <c r="C124" s="37" t="inlineStr">
        <is>
          <t>LP-0611</t>
        </is>
      </c>
      <c r="D124" s="37" t="inlineStr">
        <is>
          <t>Ledgport</t>
        </is>
      </c>
      <c r="E124" s="37" t="inlineStr">
        <is>
          <t>NON_COMM_MONTHLY</t>
        </is>
      </c>
      <c r="F124" s="41" t="n">
        <v>634.4</v>
      </c>
      <c r="G124" s="41" t="n">
        <v>0</v>
      </c>
      <c r="H124" s="41" t="n">
        <v>0</v>
      </c>
      <c r="I124" s="41" t="n">
        <v>0</v>
      </c>
      <c r="J124" s="41" t="n">
        <v>0</v>
      </c>
      <c r="K124" s="41" t="n">
        <v>634.4</v>
      </c>
      <c r="L124" s="37" t="inlineStr">
        <is>
          <t>2026-07-20</t>
        </is>
      </c>
      <c r="M124" s="37" t="inlineStr">
        <is>
          <t>CURRENT</t>
        </is>
      </c>
      <c r="N124" s="37">
        <f>RIGHT(A124,LEN(A124)-3)</f>
        <v/>
      </c>
      <c r="O124" s="37">
        <f>IF(N124=C124,"YES","NO")</f>
        <v/>
      </c>
      <c r="P124" s="37">
        <f>IFERROR(INDEX(Inventory!$E$2:$E$1181,MATCH(N124,Inventory!$A$2:$A$1181,0)),"NOT FOUND")</f>
        <v/>
      </c>
      <c r="Q124" s="41">
        <f>SUM(F124:J124)</f>
        <v/>
      </c>
      <c r="R124" s="41">
        <f>K124-Q124</f>
        <v/>
      </c>
      <c r="S124" s="41">
        <f>I124+J124</f>
        <v/>
      </c>
      <c r="T124" s="37">
        <f>IF(S124&gt;0,"YES","NO")</f>
        <v/>
      </c>
      <c r="U124" s="37">
        <f>IF(AND(T124="YES",P124="OCCUPIED",O124="YES",ABS(R124)&lt;=0.004),"YES","NO")</f>
        <v/>
      </c>
      <c r="V124" s="37">
        <f>IF(ABS(R124)&gt;0.004,"Priority 3",IF(U124="YES","COLLECTION",""))</f>
        <v/>
      </c>
    </row>
    <row r="125">
      <c r="A125" s="37" t="inlineStr">
        <is>
          <t>AC-LP-0612</t>
        </is>
      </c>
      <c r="B125" s="37" t="inlineStr">
        <is>
          <t>Albert Rowland</t>
        </is>
      </c>
      <c r="C125" s="37" t="inlineStr">
        <is>
          <t>LP-0612</t>
        </is>
      </c>
      <c r="D125" s="37" t="inlineStr">
        <is>
          <t>Ledgport</t>
        </is>
      </c>
      <c r="E125" s="37" t="inlineStr">
        <is>
          <t>NON_COMM_MONTHLY</t>
        </is>
      </c>
      <c r="F125" s="41" t="n">
        <v>332.8</v>
      </c>
      <c r="G125" s="41" t="n">
        <v>0</v>
      </c>
      <c r="H125" s="41" t="n">
        <v>0</v>
      </c>
      <c r="I125" s="41" t="n">
        <v>0</v>
      </c>
      <c r="J125" s="41" t="n">
        <v>0</v>
      </c>
      <c r="K125" s="41" t="n">
        <v>0</v>
      </c>
      <c r="L125" s="37" t="inlineStr">
        <is>
          <t>2026-06-18</t>
        </is>
      </c>
      <c r="M125" s="37" t="inlineStr">
        <is>
          <t>CURRENT</t>
        </is>
      </c>
      <c r="N125" s="37">
        <f>RIGHT(A125,LEN(A125)-3)</f>
        <v/>
      </c>
      <c r="O125" s="37">
        <f>IF(N125=C125,"YES","NO")</f>
        <v/>
      </c>
      <c r="P125" s="37">
        <f>IFERROR(INDEX(Inventory!$E$2:$E$1181,MATCH(N125,Inventory!$A$2:$A$1181,0)),"NOT FOUND")</f>
        <v/>
      </c>
      <c r="Q125" s="41">
        <f>SUM(F125:J125)</f>
        <v/>
      </c>
      <c r="R125" s="41">
        <f>K125-Q125</f>
        <v/>
      </c>
      <c r="S125" s="41">
        <f>I125+J125</f>
        <v/>
      </c>
      <c r="T125" s="37">
        <f>IF(S125&gt;0,"YES","NO")</f>
        <v/>
      </c>
      <c r="U125" s="37">
        <f>IF(AND(T125="YES",P125="OCCUPIED",O125="YES",ABS(R125)&lt;=0.004),"YES","NO")</f>
        <v/>
      </c>
      <c r="V125" s="37">
        <f>IF(ABS(R125)&gt;0.004,"Priority 3",IF(U125="YES","COLLECTION",""))</f>
        <v/>
      </c>
    </row>
    <row r="126">
      <c r="A126" s="37" t="inlineStr">
        <is>
          <t>AC-LP-0613</t>
        </is>
      </c>
      <c r="B126" s="37" t="inlineStr">
        <is>
          <t>Matthew Mcdonald</t>
        </is>
      </c>
      <c r="C126" s="37" t="inlineStr">
        <is>
          <t>LP-0613</t>
        </is>
      </c>
      <c r="D126" s="37" t="inlineStr">
        <is>
          <t>Ledgport</t>
        </is>
      </c>
      <c r="E126" s="37" t="inlineStr">
        <is>
          <t>NON_COMM_MONTHLY</t>
        </is>
      </c>
      <c r="F126" s="41" t="n">
        <v>551.2</v>
      </c>
      <c r="G126" s="41" t="n">
        <v>0</v>
      </c>
      <c r="H126" s="41" t="n">
        <v>0</v>
      </c>
      <c r="I126" s="41" t="n">
        <v>0</v>
      </c>
      <c r="J126" s="41" t="n">
        <v>0</v>
      </c>
      <c r="K126" s="41" t="n">
        <v>0</v>
      </c>
      <c r="L126" s="37" t="inlineStr">
        <is>
          <t>2026-06-20</t>
        </is>
      </c>
      <c r="M126" s="37" t="inlineStr">
        <is>
          <t>CURRENT</t>
        </is>
      </c>
      <c r="N126" s="37">
        <f>RIGHT(A126,LEN(A126)-3)</f>
        <v/>
      </c>
      <c r="O126" s="37">
        <f>IF(N126=C126,"YES","NO")</f>
        <v/>
      </c>
      <c r="P126" s="37">
        <f>IFERROR(INDEX(Inventory!$E$2:$E$1181,MATCH(N126,Inventory!$A$2:$A$1181,0)),"NOT FOUND")</f>
        <v/>
      </c>
      <c r="Q126" s="41">
        <f>SUM(F126:J126)</f>
        <v/>
      </c>
      <c r="R126" s="41">
        <f>K126-Q126</f>
        <v/>
      </c>
      <c r="S126" s="41">
        <f>I126+J126</f>
        <v/>
      </c>
      <c r="T126" s="37">
        <f>IF(S126&gt;0,"YES","NO")</f>
        <v/>
      </c>
      <c r="U126" s="37">
        <f>IF(AND(T126="YES",P126="OCCUPIED",O126="YES",ABS(R126)&lt;=0.004),"YES","NO")</f>
        <v/>
      </c>
      <c r="V126" s="37">
        <f>IF(ABS(R126)&gt;0.004,"Priority 3",IF(U126="YES","COLLECTION",""))</f>
        <v/>
      </c>
    </row>
    <row r="127">
      <c r="A127" s="37" t="inlineStr">
        <is>
          <t>AC-LP-0614</t>
        </is>
      </c>
      <c r="B127" s="37" t="inlineStr">
        <is>
          <t>Dean Gonzalez</t>
        </is>
      </c>
      <c r="C127" s="37" t="inlineStr">
        <is>
          <t>LP-0614</t>
        </is>
      </c>
      <c r="D127" s="37" t="inlineStr">
        <is>
          <t>Ledgport</t>
        </is>
      </c>
      <c r="E127" s="37" t="inlineStr">
        <is>
          <t>NON_COMM_MONTHLY</t>
        </is>
      </c>
      <c r="F127" s="41" t="n">
        <v>291.2</v>
      </c>
      <c r="G127" s="41" t="n">
        <v>0</v>
      </c>
      <c r="H127" s="41" t="n">
        <v>0</v>
      </c>
      <c r="I127" s="41" t="n">
        <v>0</v>
      </c>
      <c r="J127" s="41" t="n">
        <v>0</v>
      </c>
      <c r="K127" s="41" t="n">
        <v>291.2</v>
      </c>
      <c r="L127" s="37" t="inlineStr">
        <is>
          <t>2026-07-25</t>
        </is>
      </c>
      <c r="M127" s="37" t="inlineStr">
        <is>
          <t>CURRENT</t>
        </is>
      </c>
      <c r="N127" s="37">
        <f>RIGHT(A127,LEN(A127)-3)</f>
        <v/>
      </c>
      <c r="O127" s="37">
        <f>IF(N127=C127,"YES","NO")</f>
        <v/>
      </c>
      <c r="P127" s="37">
        <f>IFERROR(INDEX(Inventory!$E$2:$E$1181,MATCH(N127,Inventory!$A$2:$A$1181,0)),"NOT FOUND")</f>
        <v/>
      </c>
      <c r="Q127" s="41">
        <f>SUM(F127:J127)</f>
        <v/>
      </c>
      <c r="R127" s="41">
        <f>K127-Q127</f>
        <v/>
      </c>
      <c r="S127" s="41">
        <f>I127+J127</f>
        <v/>
      </c>
      <c r="T127" s="37">
        <f>IF(S127&gt;0,"YES","NO")</f>
        <v/>
      </c>
      <c r="U127" s="37">
        <f>IF(AND(T127="YES",P127="OCCUPIED",O127="YES",ABS(R127)&lt;=0.004),"YES","NO")</f>
        <v/>
      </c>
      <c r="V127" s="37">
        <f>IF(ABS(R127)&gt;0.004,"Priority 3",IF(U127="YES","COLLECTION",""))</f>
        <v/>
      </c>
    </row>
    <row r="128">
      <c r="A128" s="37" t="inlineStr">
        <is>
          <t>AC-LP-0615</t>
        </is>
      </c>
      <c r="B128" s="37" t="inlineStr">
        <is>
          <t>Abigail Brooks</t>
        </is>
      </c>
      <c r="C128" s="37" t="inlineStr">
        <is>
          <t>LP-0615</t>
        </is>
      </c>
      <c r="D128" s="37" t="inlineStr">
        <is>
          <t>Ledgport</t>
        </is>
      </c>
      <c r="E128" s="37" t="inlineStr">
        <is>
          <t>NON_COMM_MONTHLY</t>
        </is>
      </c>
      <c r="F128" s="41" t="n">
        <v>395.2</v>
      </c>
      <c r="G128" s="41" t="n">
        <v>0</v>
      </c>
      <c r="H128" s="41" t="n">
        <v>0</v>
      </c>
      <c r="I128" s="41" t="n">
        <v>0</v>
      </c>
      <c r="J128" s="41" t="n">
        <v>0</v>
      </c>
      <c r="K128" s="41" t="n">
        <v>395.2</v>
      </c>
      <c r="L128" s="37" t="inlineStr">
        <is>
          <t>2026-06-16</t>
        </is>
      </c>
      <c r="M128" s="37" t="inlineStr">
        <is>
          <t>CURRENT</t>
        </is>
      </c>
      <c r="N128" s="37">
        <f>RIGHT(A128,LEN(A128)-3)</f>
        <v/>
      </c>
      <c r="O128" s="37">
        <f>IF(N128=C128,"YES","NO")</f>
        <v/>
      </c>
      <c r="P128" s="37">
        <f>IFERROR(INDEX(Inventory!$E$2:$E$1181,MATCH(N128,Inventory!$A$2:$A$1181,0)),"NOT FOUND")</f>
        <v/>
      </c>
      <c r="Q128" s="41">
        <f>SUM(F128:J128)</f>
        <v/>
      </c>
      <c r="R128" s="41">
        <f>K128-Q128</f>
        <v/>
      </c>
      <c r="S128" s="41">
        <f>I128+J128</f>
        <v/>
      </c>
      <c r="T128" s="37">
        <f>IF(S128&gt;0,"YES","NO")</f>
        <v/>
      </c>
      <c r="U128" s="37">
        <f>IF(AND(T128="YES",P128="OCCUPIED",O128="YES",ABS(R128)&lt;=0.004),"YES","NO")</f>
        <v/>
      </c>
      <c r="V128" s="37">
        <f>IF(ABS(R128)&gt;0.004,"Priority 3",IF(U128="YES","COLLECTION",""))</f>
        <v/>
      </c>
    </row>
    <row r="129">
      <c r="A129" s="37" t="inlineStr">
        <is>
          <t>AC-LP-0616</t>
        </is>
      </c>
      <c r="B129" s="37" t="inlineStr">
        <is>
          <t>Brandon Jackson</t>
        </is>
      </c>
      <c r="C129" s="37" t="inlineStr">
        <is>
          <t>LP-0616</t>
        </is>
      </c>
      <c r="D129" s="37" t="inlineStr">
        <is>
          <t>Ledgport</t>
        </is>
      </c>
      <c r="E129" s="37" t="inlineStr">
        <is>
          <t>NON_COMM_MONTHLY</t>
        </is>
      </c>
      <c r="F129" s="41" t="n">
        <v>540.8</v>
      </c>
      <c r="G129" s="41" t="n">
        <v>540.8</v>
      </c>
      <c r="H129" s="41" t="n">
        <v>0</v>
      </c>
      <c r="I129" s="41" t="n">
        <v>0</v>
      </c>
      <c r="J129" s="41" t="n">
        <v>0</v>
      </c>
      <c r="K129" s="41" t="n">
        <v>540.8</v>
      </c>
      <c r="L129" s="37" t="inlineStr">
        <is>
          <t>2026-05-11</t>
        </is>
      </c>
      <c r="M129" s="37" t="inlineStr">
        <is>
          <t>CURRENT</t>
        </is>
      </c>
      <c r="N129" s="37">
        <f>RIGHT(A129,LEN(A129)-3)</f>
        <v/>
      </c>
      <c r="O129" s="37">
        <f>IF(N129=C129,"YES","NO")</f>
        <v/>
      </c>
      <c r="P129" s="37">
        <f>IFERROR(INDEX(Inventory!$E$2:$E$1181,MATCH(N129,Inventory!$A$2:$A$1181,0)),"NOT FOUND")</f>
        <v/>
      </c>
      <c r="Q129" s="41">
        <f>SUM(F129:J129)</f>
        <v/>
      </c>
      <c r="R129" s="41">
        <f>K129-Q129</f>
        <v/>
      </c>
      <c r="S129" s="41">
        <f>I129+J129</f>
        <v/>
      </c>
      <c r="T129" s="37">
        <f>IF(S129&gt;0,"YES","NO")</f>
        <v/>
      </c>
      <c r="U129" s="37">
        <f>IF(AND(T129="YES",P129="OCCUPIED",O129="YES",ABS(R129)&lt;=0.004),"YES","NO")</f>
        <v/>
      </c>
      <c r="V129" s="37">
        <f>IF(ABS(R129)&gt;0.004,"Priority 3",IF(U129="YES","COLLECTION",""))</f>
        <v/>
      </c>
    </row>
    <row r="130">
      <c r="A130" s="37" t="inlineStr">
        <is>
          <t>AC-LP-0617</t>
        </is>
      </c>
      <c r="B130" s="37" t="inlineStr">
        <is>
          <t>Susan Jordan</t>
        </is>
      </c>
      <c r="C130" s="37" t="inlineStr">
        <is>
          <t>LP-0617</t>
        </is>
      </c>
      <c r="D130" s="37" t="inlineStr">
        <is>
          <t>Ledgport</t>
        </is>
      </c>
      <c r="E130" s="37" t="inlineStr">
        <is>
          <t>NON_COMM_MONTHLY</t>
        </is>
      </c>
      <c r="F130" s="41" t="n">
        <v>374.4</v>
      </c>
      <c r="G130" s="41" t="n">
        <v>0</v>
      </c>
      <c r="H130" s="41" t="n">
        <v>0</v>
      </c>
      <c r="I130" s="41" t="n">
        <v>0</v>
      </c>
      <c r="J130" s="41" t="n">
        <v>0</v>
      </c>
      <c r="K130" s="41" t="n">
        <v>374.4</v>
      </c>
      <c r="L130" s="37" t="inlineStr">
        <is>
          <t>2026-05-20</t>
        </is>
      </c>
      <c r="M130" s="37" t="inlineStr">
        <is>
          <t>CURRENT</t>
        </is>
      </c>
      <c r="N130" s="37">
        <f>RIGHT(A130,LEN(A130)-3)</f>
        <v/>
      </c>
      <c r="O130" s="37">
        <f>IF(N130=C130,"YES","NO")</f>
        <v/>
      </c>
      <c r="P130" s="37">
        <f>IFERROR(INDEX(Inventory!$E$2:$E$1181,MATCH(N130,Inventory!$A$2:$A$1181,0)),"NOT FOUND")</f>
        <v/>
      </c>
      <c r="Q130" s="41">
        <f>SUM(F130:J130)</f>
        <v/>
      </c>
      <c r="R130" s="41">
        <f>K130-Q130</f>
        <v/>
      </c>
      <c r="S130" s="41">
        <f>I130+J130</f>
        <v/>
      </c>
      <c r="T130" s="37">
        <f>IF(S130&gt;0,"YES","NO")</f>
        <v/>
      </c>
      <c r="U130" s="37">
        <f>IF(AND(T130="YES",P130="OCCUPIED",O130="YES",ABS(R130)&lt;=0.004),"YES","NO")</f>
        <v/>
      </c>
      <c r="V130" s="37">
        <f>IF(ABS(R130)&gt;0.004,"Priority 3",IF(U130="YES","COLLECTION",""))</f>
        <v/>
      </c>
    </row>
    <row r="131">
      <c r="A131" s="37" t="inlineStr">
        <is>
          <t>AC-LP-0618</t>
        </is>
      </c>
      <c r="B131" s="37" t="inlineStr">
        <is>
          <t>Natalie Tyler</t>
        </is>
      </c>
      <c r="C131" s="37" t="inlineStr">
        <is>
          <t>LP-0618</t>
        </is>
      </c>
      <c r="D131" s="37" t="inlineStr">
        <is>
          <t>Ledgport</t>
        </is>
      </c>
      <c r="E131" s="37" t="inlineStr">
        <is>
          <t>NON_COMM_MONTHLY</t>
        </is>
      </c>
      <c r="F131" s="41" t="n">
        <v>332.8</v>
      </c>
      <c r="G131" s="41" t="n">
        <v>0</v>
      </c>
      <c r="H131" s="41" t="n">
        <v>0</v>
      </c>
      <c r="I131" s="41" t="n">
        <v>0</v>
      </c>
      <c r="J131" s="41" t="n">
        <v>0</v>
      </c>
      <c r="K131" s="41" t="n">
        <v>332.8</v>
      </c>
      <c r="L131" s="37" t="inlineStr">
        <is>
          <t>2026-07-15</t>
        </is>
      </c>
      <c r="M131" s="37" t="inlineStr">
        <is>
          <t>CURRENT</t>
        </is>
      </c>
      <c r="N131" s="37">
        <f>RIGHT(A131,LEN(A131)-3)</f>
        <v/>
      </c>
      <c r="O131" s="37">
        <f>IF(N131=C131,"YES","NO")</f>
        <v/>
      </c>
      <c r="P131" s="37">
        <f>IFERROR(INDEX(Inventory!$E$2:$E$1181,MATCH(N131,Inventory!$A$2:$A$1181,0)),"NOT FOUND")</f>
        <v/>
      </c>
      <c r="Q131" s="41">
        <f>SUM(F131:J131)</f>
        <v/>
      </c>
      <c r="R131" s="41">
        <f>K131-Q131</f>
        <v/>
      </c>
      <c r="S131" s="41">
        <f>I131+J131</f>
        <v/>
      </c>
      <c r="T131" s="37">
        <f>IF(S131&gt;0,"YES","NO")</f>
        <v/>
      </c>
      <c r="U131" s="37">
        <f>IF(AND(T131="YES",P131="OCCUPIED",O131="YES",ABS(R131)&lt;=0.004),"YES","NO")</f>
        <v/>
      </c>
      <c r="V131" s="37">
        <f>IF(ABS(R131)&gt;0.004,"Priority 3",IF(U131="YES","COLLECTION",""))</f>
        <v/>
      </c>
    </row>
    <row r="132">
      <c r="A132" s="37" t="inlineStr">
        <is>
          <t>AC-LP-0620</t>
        </is>
      </c>
      <c r="B132" s="37" t="inlineStr">
        <is>
          <t>Juan Martin</t>
        </is>
      </c>
      <c r="C132" s="37" t="inlineStr">
        <is>
          <t>LP-0620</t>
        </is>
      </c>
      <c r="D132" s="37" t="inlineStr">
        <is>
          <t>Ledgport</t>
        </is>
      </c>
      <c r="E132" s="37" t="inlineStr">
        <is>
          <t>NON_COMM_MONTHLY</t>
        </is>
      </c>
      <c r="F132" s="41" t="n">
        <v>426.4</v>
      </c>
      <c r="G132" s="41" t="n">
        <v>0</v>
      </c>
      <c r="H132" s="41" t="n">
        <v>0</v>
      </c>
      <c r="I132" s="41" t="n">
        <v>0</v>
      </c>
      <c r="J132" s="41" t="n">
        <v>0</v>
      </c>
      <c r="K132" s="41" t="n">
        <v>0</v>
      </c>
      <c r="L132" s="37" t="inlineStr">
        <is>
          <t>2026-06-16</t>
        </is>
      </c>
      <c r="M132" s="37" t="inlineStr">
        <is>
          <t>CURRENT</t>
        </is>
      </c>
      <c r="N132" s="37">
        <f>RIGHT(A132,LEN(A132)-3)</f>
        <v/>
      </c>
      <c r="O132" s="37">
        <f>IF(N132=C132,"YES","NO")</f>
        <v/>
      </c>
      <c r="P132" s="37">
        <f>IFERROR(INDEX(Inventory!$E$2:$E$1181,MATCH(N132,Inventory!$A$2:$A$1181,0)),"NOT FOUND")</f>
        <v/>
      </c>
      <c r="Q132" s="41">
        <f>SUM(F132:J132)</f>
        <v/>
      </c>
      <c r="R132" s="41">
        <f>K132-Q132</f>
        <v/>
      </c>
      <c r="S132" s="41">
        <f>I132+J132</f>
        <v/>
      </c>
      <c r="T132" s="37">
        <f>IF(S132&gt;0,"YES","NO")</f>
        <v/>
      </c>
      <c r="U132" s="37">
        <f>IF(AND(T132="YES",P132="OCCUPIED",O132="YES",ABS(R132)&lt;=0.004),"YES","NO")</f>
        <v/>
      </c>
      <c r="V132" s="37">
        <f>IF(ABS(R132)&gt;0.004,"Priority 3",IF(U132="YES","COLLECTION",""))</f>
        <v/>
      </c>
    </row>
    <row r="133">
      <c r="A133" s="37" t="inlineStr">
        <is>
          <t>AC-LP-0621</t>
        </is>
      </c>
      <c r="B133" s="37" t="inlineStr">
        <is>
          <t>Victoria Williamson</t>
        </is>
      </c>
      <c r="C133" s="37" t="inlineStr">
        <is>
          <t>LP-0621</t>
        </is>
      </c>
      <c r="D133" s="37" t="inlineStr">
        <is>
          <t>Ledgport</t>
        </is>
      </c>
      <c r="E133" s="37" t="inlineStr">
        <is>
          <t>NON_COMM_MONTHLY</t>
        </is>
      </c>
      <c r="F133" s="41" t="n">
        <v>416</v>
      </c>
      <c r="G133" s="41" t="n">
        <v>0</v>
      </c>
      <c r="H133" s="41" t="n">
        <v>0</v>
      </c>
      <c r="I133" s="41" t="n">
        <v>0</v>
      </c>
      <c r="J133" s="41" t="n">
        <v>0</v>
      </c>
      <c r="K133" s="41" t="n">
        <v>416</v>
      </c>
      <c r="L133" s="37" t="inlineStr">
        <is>
          <t>2026-07-05</t>
        </is>
      </c>
      <c r="M133" s="37" t="inlineStr">
        <is>
          <t>CURRENT</t>
        </is>
      </c>
      <c r="N133" s="37">
        <f>RIGHT(A133,LEN(A133)-3)</f>
        <v/>
      </c>
      <c r="O133" s="37">
        <f>IF(N133=C133,"YES","NO")</f>
        <v/>
      </c>
      <c r="P133" s="37">
        <f>IFERROR(INDEX(Inventory!$E$2:$E$1181,MATCH(N133,Inventory!$A$2:$A$1181,0)),"NOT FOUND")</f>
        <v/>
      </c>
      <c r="Q133" s="41">
        <f>SUM(F133:J133)</f>
        <v/>
      </c>
      <c r="R133" s="41">
        <f>K133-Q133</f>
        <v/>
      </c>
      <c r="S133" s="41">
        <f>I133+J133</f>
        <v/>
      </c>
      <c r="T133" s="37">
        <f>IF(S133&gt;0,"YES","NO")</f>
        <v/>
      </c>
      <c r="U133" s="37">
        <f>IF(AND(T133="YES",P133="OCCUPIED",O133="YES",ABS(R133)&lt;=0.004),"YES","NO")</f>
        <v/>
      </c>
      <c r="V133" s="37">
        <f>IF(ABS(R133)&gt;0.004,"Priority 3",IF(U133="YES","COLLECTION",""))</f>
        <v/>
      </c>
    </row>
    <row r="134">
      <c r="A134" s="37" t="inlineStr">
        <is>
          <t>AC-LP-0622</t>
        </is>
      </c>
      <c r="B134" s="37" t="inlineStr">
        <is>
          <t>Ross Green</t>
        </is>
      </c>
      <c r="C134" s="37" t="inlineStr">
        <is>
          <t>LP-0622</t>
        </is>
      </c>
      <c r="D134" s="37" t="inlineStr">
        <is>
          <t>Ledgport</t>
        </is>
      </c>
      <c r="E134" s="37" t="inlineStr">
        <is>
          <t>NON_COMM_MONTHLY</t>
        </is>
      </c>
      <c r="F134" s="41" t="n">
        <v>416</v>
      </c>
      <c r="G134" s="41" t="n">
        <v>0</v>
      </c>
      <c r="H134" s="41" t="n">
        <v>0</v>
      </c>
      <c r="I134" s="41" t="n">
        <v>0</v>
      </c>
      <c r="J134" s="41" t="n">
        <v>0</v>
      </c>
      <c r="K134" s="41" t="n">
        <v>416</v>
      </c>
      <c r="L134" s="37" t="inlineStr">
        <is>
          <t>2026-05-02</t>
        </is>
      </c>
      <c r="M134" s="37" t="inlineStr">
        <is>
          <t>CURRENT</t>
        </is>
      </c>
      <c r="N134" s="37">
        <f>RIGHT(A134,LEN(A134)-3)</f>
        <v/>
      </c>
      <c r="O134" s="37">
        <f>IF(N134=C134,"YES","NO")</f>
        <v/>
      </c>
      <c r="P134" s="37">
        <f>IFERROR(INDEX(Inventory!$E$2:$E$1181,MATCH(N134,Inventory!$A$2:$A$1181,0)),"NOT FOUND")</f>
        <v/>
      </c>
      <c r="Q134" s="41">
        <f>SUM(F134:J134)</f>
        <v/>
      </c>
      <c r="R134" s="41">
        <f>K134-Q134</f>
        <v/>
      </c>
      <c r="S134" s="41">
        <f>I134+J134</f>
        <v/>
      </c>
      <c r="T134" s="37">
        <f>IF(S134&gt;0,"YES","NO")</f>
        <v/>
      </c>
      <c r="U134" s="37">
        <f>IF(AND(T134="YES",P134="OCCUPIED",O134="YES",ABS(R134)&lt;=0.004),"YES","NO")</f>
        <v/>
      </c>
      <c r="V134" s="37">
        <f>IF(ABS(R134)&gt;0.004,"Priority 3",IF(U134="YES","COLLECTION",""))</f>
        <v/>
      </c>
    </row>
    <row r="135">
      <c r="A135" s="37" t="inlineStr">
        <is>
          <t>AC-LP-0623</t>
        </is>
      </c>
      <c r="B135" s="37" t="inlineStr">
        <is>
          <t>Craig Kelley</t>
        </is>
      </c>
      <c r="C135" s="37" t="inlineStr">
        <is>
          <t>LP-0623</t>
        </is>
      </c>
      <c r="D135" s="37" t="inlineStr">
        <is>
          <t>Ledgport</t>
        </is>
      </c>
      <c r="E135" s="37" t="inlineStr">
        <is>
          <t>NON_COMM_MONTHLY</t>
        </is>
      </c>
      <c r="F135" s="41" t="n">
        <v>561.6</v>
      </c>
      <c r="G135" s="41" t="n">
        <v>0</v>
      </c>
      <c r="H135" s="41" t="n">
        <v>0</v>
      </c>
      <c r="I135" s="41" t="n">
        <v>0</v>
      </c>
      <c r="J135" s="41" t="n">
        <v>0</v>
      </c>
      <c r="K135" s="41" t="n">
        <v>561.6</v>
      </c>
      <c r="L135" s="37" t="inlineStr">
        <is>
          <t>2026-05-21</t>
        </is>
      </c>
      <c r="M135" s="37" t="inlineStr">
        <is>
          <t>CURRENT</t>
        </is>
      </c>
      <c r="N135" s="37">
        <f>RIGHT(A135,LEN(A135)-3)</f>
        <v/>
      </c>
      <c r="O135" s="37">
        <f>IF(N135=C135,"YES","NO")</f>
        <v/>
      </c>
      <c r="P135" s="37">
        <f>IFERROR(INDEX(Inventory!$E$2:$E$1181,MATCH(N135,Inventory!$A$2:$A$1181,0)),"NOT FOUND")</f>
        <v/>
      </c>
      <c r="Q135" s="41">
        <f>SUM(F135:J135)</f>
        <v/>
      </c>
      <c r="R135" s="41">
        <f>K135-Q135</f>
        <v/>
      </c>
      <c r="S135" s="41">
        <f>I135+J135</f>
        <v/>
      </c>
      <c r="T135" s="37">
        <f>IF(S135&gt;0,"YES","NO")</f>
        <v/>
      </c>
      <c r="U135" s="37">
        <f>IF(AND(T135="YES",P135="OCCUPIED",O135="YES",ABS(R135)&lt;=0.004),"YES","NO")</f>
        <v/>
      </c>
      <c r="V135" s="37">
        <f>IF(ABS(R135)&gt;0.004,"Priority 3",IF(U135="YES","COLLECTION",""))</f>
        <v/>
      </c>
    </row>
    <row r="136">
      <c r="A136" s="37" t="inlineStr">
        <is>
          <t>AC-LP-0624</t>
        </is>
      </c>
      <c r="B136" s="37" t="inlineStr">
        <is>
          <t>Evelyn Thompson</t>
        </is>
      </c>
      <c r="C136" s="37" t="inlineStr">
        <is>
          <t>LP-0624</t>
        </is>
      </c>
      <c r="D136" s="37" t="inlineStr">
        <is>
          <t>Ledgport</t>
        </is>
      </c>
      <c r="E136" s="37" t="inlineStr">
        <is>
          <t>NON_COMM_MONTHLY</t>
        </is>
      </c>
      <c r="F136" s="41" t="n">
        <v>520</v>
      </c>
      <c r="G136" s="41" t="n">
        <v>0</v>
      </c>
      <c r="H136" s="41" t="n">
        <v>0</v>
      </c>
      <c r="I136" s="41" t="n">
        <v>0</v>
      </c>
      <c r="J136" s="41" t="n">
        <v>0</v>
      </c>
      <c r="K136" s="41" t="n">
        <v>520</v>
      </c>
      <c r="L136" s="37" t="inlineStr">
        <is>
          <t>2026-05-28</t>
        </is>
      </c>
      <c r="M136" s="37" t="inlineStr">
        <is>
          <t>CURRENT</t>
        </is>
      </c>
      <c r="N136" s="37">
        <f>RIGHT(A136,LEN(A136)-3)</f>
        <v/>
      </c>
      <c r="O136" s="37">
        <f>IF(N136=C136,"YES","NO")</f>
        <v/>
      </c>
      <c r="P136" s="37">
        <f>IFERROR(INDEX(Inventory!$E$2:$E$1181,MATCH(N136,Inventory!$A$2:$A$1181,0)),"NOT FOUND")</f>
        <v/>
      </c>
      <c r="Q136" s="41">
        <f>SUM(F136:J136)</f>
        <v/>
      </c>
      <c r="R136" s="41">
        <f>K136-Q136</f>
        <v/>
      </c>
      <c r="S136" s="41">
        <f>I136+J136</f>
        <v/>
      </c>
      <c r="T136" s="37">
        <f>IF(S136&gt;0,"YES","NO")</f>
        <v/>
      </c>
      <c r="U136" s="37">
        <f>IF(AND(T136="YES",P136="OCCUPIED",O136="YES",ABS(R136)&lt;=0.004),"YES","NO")</f>
        <v/>
      </c>
      <c r="V136" s="37">
        <f>IF(ABS(R136)&gt;0.004,"Priority 3",IF(U136="YES","COLLECTION",""))</f>
        <v/>
      </c>
    </row>
    <row r="137">
      <c r="A137" s="37" t="inlineStr">
        <is>
          <t>AC-LP-0701</t>
        </is>
      </c>
      <c r="B137" s="37" t="inlineStr">
        <is>
          <t>Michael Combs</t>
        </is>
      </c>
      <c r="C137" s="37" t="inlineStr">
        <is>
          <t>LP-0701</t>
        </is>
      </c>
      <c r="D137" s="37" t="inlineStr">
        <is>
          <t>Ledgport</t>
        </is>
      </c>
      <c r="E137" s="37" t="inlineStr">
        <is>
          <t>NON_COMM_MONTHLY</t>
        </is>
      </c>
      <c r="F137" s="41" t="n">
        <v>457.6</v>
      </c>
      <c r="G137" s="41" t="n">
        <v>0</v>
      </c>
      <c r="H137" s="41" t="n">
        <v>0</v>
      </c>
      <c r="I137" s="41" t="n">
        <v>0</v>
      </c>
      <c r="J137" s="41" t="n">
        <v>0</v>
      </c>
      <c r="K137" s="41" t="n">
        <v>457.6</v>
      </c>
      <c r="L137" s="37" t="inlineStr">
        <is>
          <t>2026-07-15</t>
        </is>
      </c>
      <c r="M137" s="37" t="inlineStr">
        <is>
          <t>CURRENT</t>
        </is>
      </c>
      <c r="N137" s="37">
        <f>RIGHT(A137,LEN(A137)-3)</f>
        <v/>
      </c>
      <c r="O137" s="37">
        <f>IF(N137=C137,"YES","NO")</f>
        <v/>
      </c>
      <c r="P137" s="37">
        <f>IFERROR(INDEX(Inventory!$E$2:$E$1181,MATCH(N137,Inventory!$A$2:$A$1181,0)),"NOT FOUND")</f>
        <v/>
      </c>
      <c r="Q137" s="41">
        <f>SUM(F137:J137)</f>
        <v/>
      </c>
      <c r="R137" s="41">
        <f>K137-Q137</f>
        <v/>
      </c>
      <c r="S137" s="41">
        <f>I137+J137</f>
        <v/>
      </c>
      <c r="T137" s="37">
        <f>IF(S137&gt;0,"YES","NO")</f>
        <v/>
      </c>
      <c r="U137" s="37">
        <f>IF(AND(T137="YES",P137="OCCUPIED",O137="YES",ABS(R137)&lt;=0.004),"YES","NO")</f>
        <v/>
      </c>
      <c r="V137" s="37">
        <f>IF(ABS(R137)&gt;0.004,"Priority 3",IF(U137="YES","COLLECTION",""))</f>
        <v/>
      </c>
    </row>
    <row r="138">
      <c r="A138" s="37" t="inlineStr">
        <is>
          <t>AC-LP-0702</t>
        </is>
      </c>
      <c r="B138" s="37" t="inlineStr">
        <is>
          <t>Julie Peterson</t>
        </is>
      </c>
      <c r="C138" s="37" t="inlineStr">
        <is>
          <t>LP-0702</t>
        </is>
      </c>
      <c r="D138" s="37" t="inlineStr">
        <is>
          <t>Ledgport</t>
        </is>
      </c>
      <c r="E138" s="37" t="inlineStr">
        <is>
          <t>NON_COMM_MONTHLY</t>
        </is>
      </c>
      <c r="F138" s="41" t="n">
        <v>540.8</v>
      </c>
      <c r="G138" s="41" t="n">
        <v>540.8</v>
      </c>
      <c r="H138" s="41" t="n">
        <v>0</v>
      </c>
      <c r="I138" s="41" t="n">
        <v>0</v>
      </c>
      <c r="J138" s="41" t="n">
        <v>0</v>
      </c>
      <c r="K138" s="41" t="n">
        <v>540.8</v>
      </c>
      <c r="L138" s="37" t="inlineStr">
        <is>
          <t>2026-07-05</t>
        </is>
      </c>
      <c r="M138" s="37" t="inlineStr">
        <is>
          <t>CURRENT</t>
        </is>
      </c>
      <c r="N138" s="37">
        <f>RIGHT(A138,LEN(A138)-3)</f>
        <v/>
      </c>
      <c r="O138" s="37">
        <f>IF(N138=C138,"YES","NO")</f>
        <v/>
      </c>
      <c r="P138" s="37">
        <f>IFERROR(INDEX(Inventory!$E$2:$E$1181,MATCH(N138,Inventory!$A$2:$A$1181,0)),"NOT FOUND")</f>
        <v/>
      </c>
      <c r="Q138" s="41">
        <f>SUM(F138:J138)</f>
        <v/>
      </c>
      <c r="R138" s="41">
        <f>K138-Q138</f>
        <v/>
      </c>
      <c r="S138" s="41">
        <f>I138+J138</f>
        <v/>
      </c>
      <c r="T138" s="37">
        <f>IF(S138&gt;0,"YES","NO")</f>
        <v/>
      </c>
      <c r="U138" s="37">
        <f>IF(AND(T138="YES",P138="OCCUPIED",O138="YES",ABS(R138)&lt;=0.004),"YES","NO")</f>
        <v/>
      </c>
      <c r="V138" s="37">
        <f>IF(ABS(R138)&gt;0.004,"Priority 3",IF(U138="YES","COLLECTION",""))</f>
        <v/>
      </c>
    </row>
    <row r="139">
      <c r="A139" s="37" t="inlineStr">
        <is>
          <t>AC-LP-0703</t>
        </is>
      </c>
      <c r="B139" s="37" t="inlineStr">
        <is>
          <t>Ruth Peters</t>
        </is>
      </c>
      <c r="C139" s="37" t="inlineStr">
        <is>
          <t>LP-0703</t>
        </is>
      </c>
      <c r="D139" s="37" t="inlineStr">
        <is>
          <t>Ledgport</t>
        </is>
      </c>
      <c r="E139" s="37" t="inlineStr">
        <is>
          <t>NON_COMM_MONTHLY</t>
        </is>
      </c>
      <c r="F139" s="41" t="n">
        <v>613.6</v>
      </c>
      <c r="G139" s="41" t="n">
        <v>0</v>
      </c>
      <c r="H139" s="41" t="n">
        <v>0</v>
      </c>
      <c r="I139" s="41" t="n">
        <v>0</v>
      </c>
      <c r="J139" s="41" t="n">
        <v>0</v>
      </c>
      <c r="K139" s="41" t="n">
        <v>613.6</v>
      </c>
      <c r="L139" s="37" t="inlineStr">
        <is>
          <t>2026-05-12</t>
        </is>
      </c>
      <c r="M139" s="37" t="inlineStr">
        <is>
          <t>CURRENT</t>
        </is>
      </c>
      <c r="N139" s="37">
        <f>RIGHT(A139,LEN(A139)-3)</f>
        <v/>
      </c>
      <c r="O139" s="37">
        <f>IF(N139=C139,"YES","NO")</f>
        <v/>
      </c>
      <c r="P139" s="37">
        <f>IFERROR(INDEX(Inventory!$E$2:$E$1181,MATCH(N139,Inventory!$A$2:$A$1181,0)),"NOT FOUND")</f>
        <v/>
      </c>
      <c r="Q139" s="41">
        <f>SUM(F139:J139)</f>
        <v/>
      </c>
      <c r="R139" s="41">
        <f>K139-Q139</f>
        <v/>
      </c>
      <c r="S139" s="41">
        <f>I139+J139</f>
        <v/>
      </c>
      <c r="T139" s="37">
        <f>IF(S139&gt;0,"YES","NO")</f>
        <v/>
      </c>
      <c r="U139" s="37">
        <f>IF(AND(T139="YES",P139="OCCUPIED",O139="YES",ABS(R139)&lt;=0.004),"YES","NO")</f>
        <v/>
      </c>
      <c r="V139" s="37">
        <f>IF(ABS(R139)&gt;0.004,"Priority 3",IF(U139="YES","COLLECTION",""))</f>
        <v/>
      </c>
    </row>
    <row r="140">
      <c r="A140" s="37" t="inlineStr">
        <is>
          <t>AC-LP-0704</t>
        </is>
      </c>
      <c r="B140" s="37" t="inlineStr">
        <is>
          <t>Jason Brooks</t>
        </is>
      </c>
      <c r="C140" s="37" t="inlineStr">
        <is>
          <t>LP-0704</t>
        </is>
      </c>
      <c r="D140" s="37" t="inlineStr">
        <is>
          <t>Ledgport</t>
        </is>
      </c>
      <c r="E140" s="37" t="inlineStr">
        <is>
          <t>NON_COMM_MONTHLY</t>
        </is>
      </c>
      <c r="F140" s="41" t="n">
        <v>551.2</v>
      </c>
      <c r="G140" s="41" t="n">
        <v>0</v>
      </c>
      <c r="H140" s="41" t="n">
        <v>0</v>
      </c>
      <c r="I140" s="41" t="n">
        <v>0</v>
      </c>
      <c r="J140" s="41" t="n">
        <v>0</v>
      </c>
      <c r="K140" s="41" t="n">
        <v>551.2</v>
      </c>
      <c r="L140" s="37" t="inlineStr">
        <is>
          <t>2026-05-23</t>
        </is>
      </c>
      <c r="M140" s="37" t="inlineStr">
        <is>
          <t>CURRENT</t>
        </is>
      </c>
      <c r="N140" s="37">
        <f>RIGHT(A140,LEN(A140)-3)</f>
        <v/>
      </c>
      <c r="O140" s="37">
        <f>IF(N140=C140,"YES","NO")</f>
        <v/>
      </c>
      <c r="P140" s="37">
        <f>IFERROR(INDEX(Inventory!$E$2:$E$1181,MATCH(N140,Inventory!$A$2:$A$1181,0)),"NOT FOUND")</f>
        <v/>
      </c>
      <c r="Q140" s="41">
        <f>SUM(F140:J140)</f>
        <v/>
      </c>
      <c r="R140" s="41">
        <f>K140-Q140</f>
        <v/>
      </c>
      <c r="S140" s="41">
        <f>I140+J140</f>
        <v/>
      </c>
      <c r="T140" s="37">
        <f>IF(S140&gt;0,"YES","NO")</f>
        <v/>
      </c>
      <c r="U140" s="37">
        <f>IF(AND(T140="YES",P140="OCCUPIED",O140="YES",ABS(R140)&lt;=0.004),"YES","NO")</f>
        <v/>
      </c>
      <c r="V140" s="37">
        <f>IF(ABS(R140)&gt;0.004,"Priority 3",IF(U140="YES","COLLECTION",""))</f>
        <v/>
      </c>
    </row>
    <row r="141">
      <c r="A141" s="37" t="inlineStr">
        <is>
          <t>AC-LP-0705</t>
        </is>
      </c>
      <c r="B141" s="37" t="inlineStr">
        <is>
          <t>Sarah Hogan</t>
        </is>
      </c>
      <c r="C141" s="37" t="inlineStr">
        <is>
          <t>LP-0705</t>
        </is>
      </c>
      <c r="D141" s="37" t="inlineStr">
        <is>
          <t>Ledgport</t>
        </is>
      </c>
      <c r="E141" s="37" t="inlineStr">
        <is>
          <t>NON_COMM_MONTHLY</t>
        </is>
      </c>
      <c r="F141" s="41" t="n">
        <v>457.6</v>
      </c>
      <c r="G141" s="41" t="n">
        <v>0</v>
      </c>
      <c r="H141" s="41" t="n">
        <v>0</v>
      </c>
      <c r="I141" s="41" t="n">
        <v>0</v>
      </c>
      <c r="J141" s="41" t="n">
        <v>0</v>
      </c>
      <c r="K141" s="41" t="n">
        <v>0</v>
      </c>
      <c r="L141" s="37" t="inlineStr">
        <is>
          <t>2026-05-19</t>
        </is>
      </c>
      <c r="M141" s="37" t="inlineStr">
        <is>
          <t>CURRENT</t>
        </is>
      </c>
      <c r="N141" s="37">
        <f>RIGHT(A141,LEN(A141)-3)</f>
        <v/>
      </c>
      <c r="O141" s="37">
        <f>IF(N141=C141,"YES","NO")</f>
        <v/>
      </c>
      <c r="P141" s="37">
        <f>IFERROR(INDEX(Inventory!$E$2:$E$1181,MATCH(N141,Inventory!$A$2:$A$1181,0)),"NOT FOUND")</f>
        <v/>
      </c>
      <c r="Q141" s="41">
        <f>SUM(F141:J141)</f>
        <v/>
      </c>
      <c r="R141" s="41">
        <f>K141-Q141</f>
        <v/>
      </c>
      <c r="S141" s="41">
        <f>I141+J141</f>
        <v/>
      </c>
      <c r="T141" s="37">
        <f>IF(S141&gt;0,"YES","NO")</f>
        <v/>
      </c>
      <c r="U141" s="37">
        <f>IF(AND(T141="YES",P141="OCCUPIED",O141="YES",ABS(R141)&lt;=0.004),"YES","NO")</f>
        <v/>
      </c>
      <c r="V141" s="37">
        <f>IF(ABS(R141)&gt;0.004,"Priority 3",IF(U141="YES","COLLECTION",""))</f>
        <v/>
      </c>
    </row>
    <row r="142">
      <c r="A142" s="37" t="inlineStr">
        <is>
          <t>AC-LP-0706</t>
        </is>
      </c>
      <c r="B142" s="37" t="inlineStr">
        <is>
          <t>Anthony Morales</t>
        </is>
      </c>
      <c r="C142" s="37" t="inlineStr">
        <is>
          <t>LP-0706</t>
        </is>
      </c>
      <c r="D142" s="37" t="inlineStr">
        <is>
          <t>Ledgport</t>
        </is>
      </c>
      <c r="E142" s="37" t="inlineStr">
        <is>
          <t>NON_COMM_MONTHLY</t>
        </is>
      </c>
      <c r="F142" s="41" t="n">
        <v>457.6</v>
      </c>
      <c r="G142" s="41" t="n">
        <v>0</v>
      </c>
      <c r="H142" s="41" t="n">
        <v>0</v>
      </c>
      <c r="I142" s="41" t="n">
        <v>0</v>
      </c>
      <c r="J142" s="41" t="n">
        <v>0</v>
      </c>
      <c r="K142" s="41" t="n">
        <v>457.6</v>
      </c>
      <c r="L142" s="37" t="inlineStr">
        <is>
          <t>2026-06-19</t>
        </is>
      </c>
      <c r="M142" s="37" t="inlineStr">
        <is>
          <t>CURRENT</t>
        </is>
      </c>
      <c r="N142" s="37">
        <f>RIGHT(A142,LEN(A142)-3)</f>
        <v/>
      </c>
      <c r="O142" s="37">
        <f>IF(N142=C142,"YES","NO")</f>
        <v/>
      </c>
      <c r="P142" s="37">
        <f>IFERROR(INDEX(Inventory!$E$2:$E$1181,MATCH(N142,Inventory!$A$2:$A$1181,0)),"NOT FOUND")</f>
        <v/>
      </c>
      <c r="Q142" s="41">
        <f>SUM(F142:J142)</f>
        <v/>
      </c>
      <c r="R142" s="41">
        <f>K142-Q142</f>
        <v/>
      </c>
      <c r="S142" s="41">
        <f>I142+J142</f>
        <v/>
      </c>
      <c r="T142" s="37">
        <f>IF(S142&gt;0,"YES","NO")</f>
        <v/>
      </c>
      <c r="U142" s="37">
        <f>IF(AND(T142="YES",P142="OCCUPIED",O142="YES",ABS(R142)&lt;=0.004),"YES","NO")</f>
        <v/>
      </c>
      <c r="V142" s="37">
        <f>IF(ABS(R142)&gt;0.004,"Priority 3",IF(U142="YES","COLLECTION",""))</f>
        <v/>
      </c>
    </row>
    <row r="143">
      <c r="A143" s="37" t="inlineStr">
        <is>
          <t>AC-LP-0707</t>
        </is>
      </c>
      <c r="B143" s="37" t="inlineStr">
        <is>
          <t>Laurie Smith</t>
        </is>
      </c>
      <c r="C143" s="37" t="inlineStr">
        <is>
          <t>LP-0707</t>
        </is>
      </c>
      <c r="D143" s="37" t="inlineStr">
        <is>
          <t>Ledgport</t>
        </is>
      </c>
      <c r="E143" s="37" t="inlineStr">
        <is>
          <t>NON_COMM_MONTHLY</t>
        </is>
      </c>
      <c r="F143" s="41" t="n">
        <v>478.4</v>
      </c>
      <c r="G143" s="41" t="n">
        <v>0</v>
      </c>
      <c r="H143" s="41" t="n">
        <v>0</v>
      </c>
      <c r="I143" s="41" t="n">
        <v>0</v>
      </c>
      <c r="J143" s="41" t="n">
        <v>0</v>
      </c>
      <c r="K143" s="41" t="n">
        <v>478.4</v>
      </c>
      <c r="L143" s="37" t="inlineStr">
        <is>
          <t>2026-06-19</t>
        </is>
      </c>
      <c r="M143" s="37" t="inlineStr">
        <is>
          <t>CURRENT</t>
        </is>
      </c>
      <c r="N143" s="37">
        <f>RIGHT(A143,LEN(A143)-3)</f>
        <v/>
      </c>
      <c r="O143" s="37">
        <f>IF(N143=C143,"YES","NO")</f>
        <v/>
      </c>
      <c r="P143" s="37">
        <f>IFERROR(INDEX(Inventory!$E$2:$E$1181,MATCH(N143,Inventory!$A$2:$A$1181,0)),"NOT FOUND")</f>
        <v/>
      </c>
      <c r="Q143" s="41">
        <f>SUM(F143:J143)</f>
        <v/>
      </c>
      <c r="R143" s="41">
        <f>K143-Q143</f>
        <v/>
      </c>
      <c r="S143" s="41">
        <f>I143+J143</f>
        <v/>
      </c>
      <c r="T143" s="37">
        <f>IF(S143&gt;0,"YES","NO")</f>
        <v/>
      </c>
      <c r="U143" s="37">
        <f>IF(AND(T143="YES",P143="OCCUPIED",O143="YES",ABS(R143)&lt;=0.004),"YES","NO")</f>
        <v/>
      </c>
      <c r="V143" s="37">
        <f>IF(ABS(R143)&gt;0.004,"Priority 3",IF(U143="YES","COLLECTION",""))</f>
        <v/>
      </c>
    </row>
    <row r="144">
      <c r="A144" s="37" t="inlineStr">
        <is>
          <t>AC-LP-0708</t>
        </is>
      </c>
      <c r="B144" s="37" t="inlineStr">
        <is>
          <t>Elizabeth Mathews</t>
        </is>
      </c>
      <c r="C144" s="37" t="inlineStr">
        <is>
          <t>LP-0708</t>
        </is>
      </c>
      <c r="D144" s="37" t="inlineStr">
        <is>
          <t>Ledgport</t>
        </is>
      </c>
      <c r="E144" s="37" t="inlineStr">
        <is>
          <t>NON_COMM_MONTHLY</t>
        </is>
      </c>
      <c r="F144" s="41" t="n">
        <v>457.6</v>
      </c>
      <c r="G144" s="41" t="n">
        <v>0</v>
      </c>
      <c r="H144" s="41" t="n">
        <v>0</v>
      </c>
      <c r="I144" s="41" t="n">
        <v>0</v>
      </c>
      <c r="J144" s="41" t="n">
        <v>0</v>
      </c>
      <c r="K144" s="41" t="n">
        <v>457.6</v>
      </c>
      <c r="L144" s="37" t="inlineStr">
        <is>
          <t>2026-07-01</t>
        </is>
      </c>
      <c r="M144" s="37" t="inlineStr">
        <is>
          <t>CURRENT</t>
        </is>
      </c>
      <c r="N144" s="37">
        <f>RIGHT(A144,LEN(A144)-3)</f>
        <v/>
      </c>
      <c r="O144" s="37">
        <f>IF(N144=C144,"YES","NO")</f>
        <v/>
      </c>
      <c r="P144" s="37">
        <f>IFERROR(INDEX(Inventory!$E$2:$E$1181,MATCH(N144,Inventory!$A$2:$A$1181,0)),"NOT FOUND")</f>
        <v/>
      </c>
      <c r="Q144" s="41">
        <f>SUM(F144:J144)</f>
        <v/>
      </c>
      <c r="R144" s="41">
        <f>K144-Q144</f>
        <v/>
      </c>
      <c r="S144" s="41">
        <f>I144+J144</f>
        <v/>
      </c>
      <c r="T144" s="37">
        <f>IF(S144&gt;0,"YES","NO")</f>
        <v/>
      </c>
      <c r="U144" s="37">
        <f>IF(AND(T144="YES",P144="OCCUPIED",O144="YES",ABS(R144)&lt;=0.004),"YES","NO")</f>
        <v/>
      </c>
      <c r="V144" s="37">
        <f>IF(ABS(R144)&gt;0.004,"Priority 3",IF(U144="YES","COLLECTION",""))</f>
        <v/>
      </c>
    </row>
    <row r="145">
      <c r="A145" s="37" t="inlineStr">
        <is>
          <t>AC-LP-0709</t>
        </is>
      </c>
      <c r="B145" s="37" t="inlineStr">
        <is>
          <t>Patrick Allen</t>
        </is>
      </c>
      <c r="C145" s="37" t="inlineStr">
        <is>
          <t>LP-0709</t>
        </is>
      </c>
      <c r="D145" s="37" t="inlineStr">
        <is>
          <t>Ledgport</t>
        </is>
      </c>
      <c r="E145" s="37" t="inlineStr">
        <is>
          <t>NON_COMM_MONTHLY</t>
        </is>
      </c>
      <c r="F145" s="41" t="n">
        <v>478.4</v>
      </c>
      <c r="G145" s="41" t="n">
        <v>478.4</v>
      </c>
      <c r="H145" s="41" t="n">
        <v>0</v>
      </c>
      <c r="I145" s="41" t="n">
        <v>0</v>
      </c>
      <c r="J145" s="41" t="n">
        <v>0</v>
      </c>
      <c r="K145" s="41" t="n">
        <v>478.4</v>
      </c>
      <c r="L145" s="37" t="inlineStr">
        <is>
          <t>2026-07-11</t>
        </is>
      </c>
      <c r="M145" s="37" t="inlineStr">
        <is>
          <t>CURRENT</t>
        </is>
      </c>
      <c r="N145" s="37">
        <f>RIGHT(A145,LEN(A145)-3)</f>
        <v/>
      </c>
      <c r="O145" s="37">
        <f>IF(N145=C145,"YES","NO")</f>
        <v/>
      </c>
      <c r="P145" s="37">
        <f>IFERROR(INDEX(Inventory!$E$2:$E$1181,MATCH(N145,Inventory!$A$2:$A$1181,0)),"NOT FOUND")</f>
        <v/>
      </c>
      <c r="Q145" s="41">
        <f>SUM(F145:J145)</f>
        <v/>
      </c>
      <c r="R145" s="41">
        <f>K145-Q145</f>
        <v/>
      </c>
      <c r="S145" s="41">
        <f>I145+J145</f>
        <v/>
      </c>
      <c r="T145" s="37">
        <f>IF(S145&gt;0,"YES","NO")</f>
        <v/>
      </c>
      <c r="U145" s="37">
        <f>IF(AND(T145="YES",P145="OCCUPIED",O145="YES",ABS(R145)&lt;=0.004),"YES","NO")</f>
        <v/>
      </c>
      <c r="V145" s="37">
        <f>IF(ABS(R145)&gt;0.004,"Priority 3",IF(U145="YES","COLLECTION",""))</f>
        <v/>
      </c>
    </row>
    <row r="146">
      <c r="A146" s="37" t="inlineStr">
        <is>
          <t>AC-LP-0710</t>
        </is>
      </c>
      <c r="B146" s="37" t="inlineStr">
        <is>
          <t>Peggy Trevino</t>
        </is>
      </c>
      <c r="C146" s="37" t="inlineStr">
        <is>
          <t>LP-0710</t>
        </is>
      </c>
      <c r="D146" s="37" t="inlineStr">
        <is>
          <t>Ledgport</t>
        </is>
      </c>
      <c r="E146" s="37" t="inlineStr">
        <is>
          <t>NON_COMM_MONTHLY</t>
        </is>
      </c>
      <c r="F146" s="41" t="n">
        <v>353.6</v>
      </c>
      <c r="G146" s="41" t="n">
        <v>0</v>
      </c>
      <c r="H146" s="41" t="n">
        <v>0</v>
      </c>
      <c r="I146" s="41" t="n">
        <v>0</v>
      </c>
      <c r="J146" s="41" t="n">
        <v>0</v>
      </c>
      <c r="K146" s="41" t="n">
        <v>353.6</v>
      </c>
      <c r="L146" s="37" t="inlineStr">
        <is>
          <t>2026-06-09</t>
        </is>
      </c>
      <c r="M146" s="37" t="inlineStr">
        <is>
          <t>CURRENT</t>
        </is>
      </c>
      <c r="N146" s="37">
        <f>RIGHT(A146,LEN(A146)-3)</f>
        <v/>
      </c>
      <c r="O146" s="37">
        <f>IF(N146=C146,"YES","NO")</f>
        <v/>
      </c>
      <c r="P146" s="37">
        <f>IFERROR(INDEX(Inventory!$E$2:$E$1181,MATCH(N146,Inventory!$A$2:$A$1181,0)),"NOT FOUND")</f>
        <v/>
      </c>
      <c r="Q146" s="41">
        <f>SUM(F146:J146)</f>
        <v/>
      </c>
      <c r="R146" s="41">
        <f>K146-Q146</f>
        <v/>
      </c>
      <c r="S146" s="41">
        <f>I146+J146</f>
        <v/>
      </c>
      <c r="T146" s="37">
        <f>IF(S146&gt;0,"YES","NO")</f>
        <v/>
      </c>
      <c r="U146" s="37">
        <f>IF(AND(T146="YES",P146="OCCUPIED",O146="YES",ABS(R146)&lt;=0.004),"YES","NO")</f>
        <v/>
      </c>
      <c r="V146" s="37">
        <f>IF(ABS(R146)&gt;0.004,"Priority 3",IF(U146="YES","COLLECTION",""))</f>
        <v/>
      </c>
    </row>
    <row r="147">
      <c r="A147" s="37" t="inlineStr">
        <is>
          <t>AC-LP-0711</t>
        </is>
      </c>
      <c r="B147" s="37" t="inlineStr">
        <is>
          <t>Lisa Wyatt</t>
        </is>
      </c>
      <c r="C147" s="37" t="inlineStr">
        <is>
          <t>LP-0711</t>
        </is>
      </c>
      <c r="D147" s="37" t="inlineStr">
        <is>
          <t>Ledgport</t>
        </is>
      </c>
      <c r="E147" s="37" t="inlineStr">
        <is>
          <t>NON_COMM_MONTHLY</t>
        </is>
      </c>
      <c r="F147" s="41" t="n">
        <v>457.6</v>
      </c>
      <c r="G147" s="41" t="n">
        <v>0</v>
      </c>
      <c r="H147" s="41" t="n">
        <v>0</v>
      </c>
      <c r="I147" s="41" t="n">
        <v>0</v>
      </c>
      <c r="J147" s="41" t="n">
        <v>0</v>
      </c>
      <c r="K147" s="41" t="n">
        <v>457.6</v>
      </c>
      <c r="L147" s="37" t="inlineStr">
        <is>
          <t>2026-07-29</t>
        </is>
      </c>
      <c r="M147" s="37" t="inlineStr">
        <is>
          <t>CURRENT</t>
        </is>
      </c>
      <c r="N147" s="37">
        <f>RIGHT(A147,LEN(A147)-3)</f>
        <v/>
      </c>
      <c r="O147" s="37">
        <f>IF(N147=C147,"YES","NO")</f>
        <v/>
      </c>
      <c r="P147" s="37">
        <f>IFERROR(INDEX(Inventory!$E$2:$E$1181,MATCH(N147,Inventory!$A$2:$A$1181,0)),"NOT FOUND")</f>
        <v/>
      </c>
      <c r="Q147" s="41">
        <f>SUM(F147:J147)</f>
        <v/>
      </c>
      <c r="R147" s="41">
        <f>K147-Q147</f>
        <v/>
      </c>
      <c r="S147" s="41">
        <f>I147+J147</f>
        <v/>
      </c>
      <c r="T147" s="37">
        <f>IF(S147&gt;0,"YES","NO")</f>
        <v/>
      </c>
      <c r="U147" s="37">
        <f>IF(AND(T147="YES",P147="OCCUPIED",O147="YES",ABS(R147)&lt;=0.004),"YES","NO")</f>
        <v/>
      </c>
      <c r="V147" s="37">
        <f>IF(ABS(R147)&gt;0.004,"Priority 3",IF(U147="YES","COLLECTION",""))</f>
        <v/>
      </c>
    </row>
    <row r="148">
      <c r="A148" s="37" t="inlineStr">
        <is>
          <t>AC-LP-0712</t>
        </is>
      </c>
      <c r="B148" s="37" t="inlineStr">
        <is>
          <t>Matthew Spencer</t>
        </is>
      </c>
      <c r="C148" s="37" t="inlineStr">
        <is>
          <t>LP-0712</t>
        </is>
      </c>
      <c r="D148" s="37" t="inlineStr">
        <is>
          <t>Ledgport</t>
        </is>
      </c>
      <c r="E148" s="37" t="inlineStr">
        <is>
          <t>NON_COMM_MONTHLY</t>
        </is>
      </c>
      <c r="F148" s="41" t="n">
        <v>384.8</v>
      </c>
      <c r="G148" s="41" t="n">
        <v>384.8</v>
      </c>
      <c r="H148" s="41" t="n">
        <v>0</v>
      </c>
      <c r="I148" s="41" t="n">
        <v>0</v>
      </c>
      <c r="J148" s="41" t="n">
        <v>0</v>
      </c>
      <c r="K148" s="41" t="n">
        <v>384.8</v>
      </c>
      <c r="L148" s="37" t="inlineStr">
        <is>
          <t>2026-06-21</t>
        </is>
      </c>
      <c r="M148" s="37" t="inlineStr">
        <is>
          <t>CURRENT</t>
        </is>
      </c>
      <c r="N148" s="37">
        <f>RIGHT(A148,LEN(A148)-3)</f>
        <v/>
      </c>
      <c r="O148" s="37">
        <f>IF(N148=C148,"YES","NO")</f>
        <v/>
      </c>
      <c r="P148" s="37">
        <f>IFERROR(INDEX(Inventory!$E$2:$E$1181,MATCH(N148,Inventory!$A$2:$A$1181,0)),"NOT FOUND")</f>
        <v/>
      </c>
      <c r="Q148" s="41">
        <f>SUM(F148:J148)</f>
        <v/>
      </c>
      <c r="R148" s="41">
        <f>K148-Q148</f>
        <v/>
      </c>
      <c r="S148" s="41">
        <f>I148+J148</f>
        <v/>
      </c>
      <c r="T148" s="37">
        <f>IF(S148&gt;0,"YES","NO")</f>
        <v/>
      </c>
      <c r="U148" s="37">
        <f>IF(AND(T148="YES",P148="OCCUPIED",O148="YES",ABS(R148)&lt;=0.004),"YES","NO")</f>
        <v/>
      </c>
      <c r="V148" s="37">
        <f>IF(ABS(R148)&gt;0.004,"Priority 3",IF(U148="YES","COLLECTION",""))</f>
        <v/>
      </c>
    </row>
    <row r="149">
      <c r="A149" s="37" t="inlineStr">
        <is>
          <t>AC-LP-0713</t>
        </is>
      </c>
      <c r="B149" s="37" t="inlineStr">
        <is>
          <t>Stacey Mitchell</t>
        </is>
      </c>
      <c r="C149" s="37" t="inlineStr">
        <is>
          <t>LP-0713</t>
        </is>
      </c>
      <c r="D149" s="37" t="inlineStr">
        <is>
          <t>Ledgport</t>
        </is>
      </c>
      <c r="E149" s="37" t="inlineStr">
        <is>
          <t>NON_COMM_MONTHLY</t>
        </is>
      </c>
      <c r="F149" s="41" t="n">
        <v>416</v>
      </c>
      <c r="G149" s="41" t="n">
        <v>416</v>
      </c>
      <c r="H149" s="41" t="n">
        <v>416</v>
      </c>
      <c r="I149" s="41" t="n">
        <v>416</v>
      </c>
      <c r="J149" s="41" t="n">
        <v>832</v>
      </c>
      <c r="K149" s="41" t="n">
        <v>2496</v>
      </c>
      <c r="L149" s="37" t="inlineStr">
        <is>
          <t>2026-05-15</t>
        </is>
      </c>
      <c r="M149" s="37" t="inlineStr">
        <is>
          <t>COLLECTIONS</t>
        </is>
      </c>
      <c r="N149" s="37">
        <f>RIGHT(A149,LEN(A149)-3)</f>
        <v/>
      </c>
      <c r="O149" s="37">
        <f>IF(N149=C149,"YES","NO")</f>
        <v/>
      </c>
      <c r="P149" s="37">
        <f>IFERROR(INDEX(Inventory!$E$2:$E$1181,MATCH(N149,Inventory!$A$2:$A$1181,0)),"NOT FOUND")</f>
        <v/>
      </c>
      <c r="Q149" s="41">
        <f>SUM(F149:J149)</f>
        <v/>
      </c>
      <c r="R149" s="41">
        <f>K149-Q149</f>
        <v/>
      </c>
      <c r="S149" s="41">
        <f>I149+J149</f>
        <v/>
      </c>
      <c r="T149" s="37">
        <f>IF(S149&gt;0,"YES","NO")</f>
        <v/>
      </c>
      <c r="U149" s="37">
        <f>IF(AND(T149="YES",P149="OCCUPIED",O149="YES",ABS(R149)&lt;=0.004),"YES","NO")</f>
        <v/>
      </c>
      <c r="V149" s="37">
        <f>IF(ABS(R149)&gt;0.004,"Priority 3",IF(U149="YES","COLLECTION",""))</f>
        <v/>
      </c>
    </row>
    <row r="150">
      <c r="A150" s="37" t="inlineStr">
        <is>
          <t>AC-LP-0714</t>
        </is>
      </c>
      <c r="B150" s="37" t="inlineStr">
        <is>
          <t>Nicholas Woodward</t>
        </is>
      </c>
      <c r="C150" s="37" t="inlineStr">
        <is>
          <t>LP-0714</t>
        </is>
      </c>
      <c r="D150" s="37" t="inlineStr">
        <is>
          <t>Ledgport</t>
        </is>
      </c>
      <c r="E150" s="37" t="inlineStr">
        <is>
          <t>NON_COMM_MONTHLY</t>
        </is>
      </c>
      <c r="F150" s="41" t="n">
        <v>332.8</v>
      </c>
      <c r="G150" s="41" t="n">
        <v>332.8</v>
      </c>
      <c r="H150" s="41" t="n">
        <v>0</v>
      </c>
      <c r="I150" s="41" t="n">
        <v>0</v>
      </c>
      <c r="J150" s="41" t="n">
        <v>0</v>
      </c>
      <c r="K150" s="41" t="n">
        <v>665.6</v>
      </c>
      <c r="L150" s="37" t="inlineStr">
        <is>
          <t>2026-07-26</t>
        </is>
      </c>
      <c r="M150" s="37" t="inlineStr">
        <is>
          <t>WATCH</t>
        </is>
      </c>
      <c r="N150" s="37">
        <f>RIGHT(A150,LEN(A150)-3)</f>
        <v/>
      </c>
      <c r="O150" s="37">
        <f>IF(N150=C150,"YES","NO")</f>
        <v/>
      </c>
      <c r="P150" s="37">
        <f>IFERROR(INDEX(Inventory!$E$2:$E$1181,MATCH(N150,Inventory!$A$2:$A$1181,0)),"NOT FOUND")</f>
        <v/>
      </c>
      <c r="Q150" s="41">
        <f>SUM(F150:J150)</f>
        <v/>
      </c>
      <c r="R150" s="41">
        <f>K150-Q150</f>
        <v/>
      </c>
      <c r="S150" s="41">
        <f>I150+J150</f>
        <v/>
      </c>
      <c r="T150" s="37">
        <f>IF(S150&gt;0,"YES","NO")</f>
        <v/>
      </c>
      <c r="U150" s="37">
        <f>IF(AND(T150="YES",P150="OCCUPIED",O150="YES",ABS(R150)&lt;=0.004),"YES","NO")</f>
        <v/>
      </c>
      <c r="V150" s="37">
        <f>IF(ABS(R150)&gt;0.004,"Priority 3",IF(U150="YES","COLLECTION",""))</f>
        <v/>
      </c>
    </row>
    <row r="151">
      <c r="A151" s="37" t="inlineStr">
        <is>
          <t>AC-LP-0715</t>
        </is>
      </c>
      <c r="B151" s="37" t="inlineStr">
        <is>
          <t>Jason Ramirez</t>
        </is>
      </c>
      <c r="C151" s="37" t="inlineStr">
        <is>
          <t>LP-0715</t>
        </is>
      </c>
      <c r="D151" s="37" t="inlineStr">
        <is>
          <t>Ledgport</t>
        </is>
      </c>
      <c r="E151" s="37" t="inlineStr">
        <is>
          <t>NON_COMM_MONTHLY</t>
        </is>
      </c>
      <c r="F151" s="41" t="n">
        <v>582.4</v>
      </c>
      <c r="G151" s="41" t="n">
        <v>0</v>
      </c>
      <c r="H151" s="41" t="n">
        <v>0</v>
      </c>
      <c r="I151" s="41" t="n">
        <v>0</v>
      </c>
      <c r="J151" s="41" t="n">
        <v>0</v>
      </c>
      <c r="K151" s="41" t="n">
        <v>0</v>
      </c>
      <c r="L151" s="37" t="inlineStr">
        <is>
          <t>2026-05-23</t>
        </is>
      </c>
      <c r="M151" s="37" t="inlineStr">
        <is>
          <t>CURRENT</t>
        </is>
      </c>
      <c r="N151" s="37">
        <f>RIGHT(A151,LEN(A151)-3)</f>
        <v/>
      </c>
      <c r="O151" s="37">
        <f>IF(N151=C151,"YES","NO")</f>
        <v/>
      </c>
      <c r="P151" s="37">
        <f>IFERROR(INDEX(Inventory!$E$2:$E$1181,MATCH(N151,Inventory!$A$2:$A$1181,0)),"NOT FOUND")</f>
        <v/>
      </c>
      <c r="Q151" s="41">
        <f>SUM(F151:J151)</f>
        <v/>
      </c>
      <c r="R151" s="41">
        <f>K151-Q151</f>
        <v/>
      </c>
      <c r="S151" s="41">
        <f>I151+J151</f>
        <v/>
      </c>
      <c r="T151" s="37">
        <f>IF(S151&gt;0,"YES","NO")</f>
        <v/>
      </c>
      <c r="U151" s="37">
        <f>IF(AND(T151="YES",P151="OCCUPIED",O151="YES",ABS(R151)&lt;=0.004),"YES","NO")</f>
        <v/>
      </c>
      <c r="V151" s="37">
        <f>IF(ABS(R151)&gt;0.004,"Priority 3",IF(U151="YES","COLLECTION",""))</f>
        <v/>
      </c>
    </row>
    <row r="152">
      <c r="A152" s="37" t="inlineStr">
        <is>
          <t>AC-LP-0716</t>
        </is>
      </c>
      <c r="B152" s="37" t="inlineStr">
        <is>
          <t>Teresa Smith</t>
        </is>
      </c>
      <c r="C152" s="37" t="inlineStr">
        <is>
          <t>LP-0716</t>
        </is>
      </c>
      <c r="D152" s="37" t="inlineStr">
        <is>
          <t>Ledgport</t>
        </is>
      </c>
      <c r="E152" s="37" t="inlineStr">
        <is>
          <t>NON_COMM_MONTHLY</t>
        </is>
      </c>
      <c r="F152" s="41" t="n">
        <v>426.4</v>
      </c>
      <c r="G152" s="41" t="n">
        <v>0</v>
      </c>
      <c r="H152" s="41" t="n">
        <v>0</v>
      </c>
      <c r="I152" s="41" t="n">
        <v>0</v>
      </c>
      <c r="J152" s="41" t="n">
        <v>0</v>
      </c>
      <c r="K152" s="41" t="n">
        <v>426.4</v>
      </c>
      <c r="L152" s="37" t="inlineStr">
        <is>
          <t>2026-06-19</t>
        </is>
      </c>
      <c r="M152" s="37" t="inlineStr">
        <is>
          <t>CURRENT</t>
        </is>
      </c>
      <c r="N152" s="37">
        <f>RIGHT(A152,LEN(A152)-3)</f>
        <v/>
      </c>
      <c r="O152" s="37">
        <f>IF(N152=C152,"YES","NO")</f>
        <v/>
      </c>
      <c r="P152" s="37">
        <f>IFERROR(INDEX(Inventory!$E$2:$E$1181,MATCH(N152,Inventory!$A$2:$A$1181,0)),"NOT FOUND")</f>
        <v/>
      </c>
      <c r="Q152" s="41">
        <f>SUM(F152:J152)</f>
        <v/>
      </c>
      <c r="R152" s="41">
        <f>K152-Q152</f>
        <v/>
      </c>
      <c r="S152" s="41">
        <f>I152+J152</f>
        <v/>
      </c>
      <c r="T152" s="37">
        <f>IF(S152&gt;0,"YES","NO")</f>
        <v/>
      </c>
      <c r="U152" s="37">
        <f>IF(AND(T152="YES",P152="OCCUPIED",O152="YES",ABS(R152)&lt;=0.004),"YES","NO")</f>
        <v/>
      </c>
      <c r="V152" s="37">
        <f>IF(ABS(R152)&gt;0.004,"Priority 3",IF(U152="YES","COLLECTION",""))</f>
        <v/>
      </c>
    </row>
    <row r="153">
      <c r="A153" s="37" t="inlineStr">
        <is>
          <t>AC-LP-0717</t>
        </is>
      </c>
      <c r="B153" s="37" t="inlineStr">
        <is>
          <t>Justin Richardson</t>
        </is>
      </c>
      <c r="C153" s="37" t="inlineStr">
        <is>
          <t>LP-0717</t>
        </is>
      </c>
      <c r="D153" s="37" t="inlineStr">
        <is>
          <t>Ledgport</t>
        </is>
      </c>
      <c r="E153" s="37" t="inlineStr">
        <is>
          <t>NON_COMM_MONTHLY</t>
        </is>
      </c>
      <c r="F153" s="41" t="n">
        <v>582.4</v>
      </c>
      <c r="G153" s="41" t="n">
        <v>582.4</v>
      </c>
      <c r="H153" s="41" t="n">
        <v>582.4</v>
      </c>
      <c r="I153" s="41" t="n">
        <v>0</v>
      </c>
      <c r="J153" s="41" t="n">
        <v>0</v>
      </c>
      <c r="K153" s="41" t="n">
        <v>1164.8</v>
      </c>
      <c r="L153" s="37" t="inlineStr">
        <is>
          <t>2026-07-26</t>
        </is>
      </c>
      <c r="M153" s="37" t="inlineStr">
        <is>
          <t>WATCH</t>
        </is>
      </c>
      <c r="N153" s="37">
        <f>RIGHT(A153,LEN(A153)-3)</f>
        <v/>
      </c>
      <c r="O153" s="37">
        <f>IF(N153=C153,"YES","NO")</f>
        <v/>
      </c>
      <c r="P153" s="37">
        <f>IFERROR(INDEX(Inventory!$E$2:$E$1181,MATCH(N153,Inventory!$A$2:$A$1181,0)),"NOT FOUND")</f>
        <v/>
      </c>
      <c r="Q153" s="41">
        <f>SUM(F153:J153)</f>
        <v/>
      </c>
      <c r="R153" s="41">
        <f>K153-Q153</f>
        <v/>
      </c>
      <c r="S153" s="41">
        <f>I153+J153</f>
        <v/>
      </c>
      <c r="T153" s="37">
        <f>IF(S153&gt;0,"YES","NO")</f>
        <v/>
      </c>
      <c r="U153" s="37">
        <f>IF(AND(T153="YES",P153="OCCUPIED",O153="YES",ABS(R153)&lt;=0.004),"YES","NO")</f>
        <v/>
      </c>
      <c r="V153" s="37">
        <f>IF(ABS(R153)&gt;0.004,"Priority 3",IF(U153="YES","COLLECTION",""))</f>
        <v/>
      </c>
    </row>
    <row r="154">
      <c r="A154" s="37" t="inlineStr">
        <is>
          <t>AC-LP-0718</t>
        </is>
      </c>
      <c r="B154" s="37" t="inlineStr">
        <is>
          <t>Charles Case</t>
        </is>
      </c>
      <c r="C154" s="37" t="inlineStr">
        <is>
          <t>LP-0718</t>
        </is>
      </c>
      <c r="D154" s="37" t="inlineStr">
        <is>
          <t>Ledgport</t>
        </is>
      </c>
      <c r="E154" s="37" t="inlineStr">
        <is>
          <t>NON_COMM_MONTHLY</t>
        </is>
      </c>
      <c r="F154" s="41" t="n">
        <v>332.8</v>
      </c>
      <c r="G154" s="41" t="n">
        <v>332.8</v>
      </c>
      <c r="H154" s="41" t="n">
        <v>0</v>
      </c>
      <c r="I154" s="41" t="n">
        <v>0</v>
      </c>
      <c r="J154" s="41" t="n">
        <v>0</v>
      </c>
      <c r="K154" s="41" t="n">
        <v>665.6</v>
      </c>
      <c r="L154" s="37" t="inlineStr">
        <is>
          <t>2026-07-09</t>
        </is>
      </c>
      <c r="M154" s="37" t="inlineStr">
        <is>
          <t>WATCH</t>
        </is>
      </c>
      <c r="N154" s="37">
        <f>RIGHT(A154,LEN(A154)-3)</f>
        <v/>
      </c>
      <c r="O154" s="37">
        <f>IF(N154=C154,"YES","NO")</f>
        <v/>
      </c>
      <c r="P154" s="37">
        <f>IFERROR(INDEX(Inventory!$E$2:$E$1181,MATCH(N154,Inventory!$A$2:$A$1181,0)),"NOT FOUND")</f>
        <v/>
      </c>
      <c r="Q154" s="41">
        <f>SUM(F154:J154)</f>
        <v/>
      </c>
      <c r="R154" s="41">
        <f>K154-Q154</f>
        <v/>
      </c>
      <c r="S154" s="41">
        <f>I154+J154</f>
        <v/>
      </c>
      <c r="T154" s="37">
        <f>IF(S154&gt;0,"YES","NO")</f>
        <v/>
      </c>
      <c r="U154" s="37">
        <f>IF(AND(T154="YES",P154="OCCUPIED",O154="YES",ABS(R154)&lt;=0.004),"YES","NO")</f>
        <v/>
      </c>
      <c r="V154" s="37">
        <f>IF(ABS(R154)&gt;0.004,"Priority 3",IF(U154="YES","COLLECTION",""))</f>
        <v/>
      </c>
    </row>
    <row r="155">
      <c r="A155" s="37" t="inlineStr">
        <is>
          <t>AC-LP-0719</t>
        </is>
      </c>
      <c r="B155" s="37" t="inlineStr">
        <is>
          <t>Natalie Olsen</t>
        </is>
      </c>
      <c r="C155" s="37" t="inlineStr">
        <is>
          <t>LP-0719</t>
        </is>
      </c>
      <c r="D155" s="37" t="inlineStr">
        <is>
          <t>Ledgport</t>
        </is>
      </c>
      <c r="E155" s="37" t="inlineStr">
        <is>
          <t>NON_COMM_MONTHLY</t>
        </is>
      </c>
      <c r="F155" s="41" t="n">
        <v>343.2</v>
      </c>
      <c r="G155" s="41" t="n">
        <v>343.2</v>
      </c>
      <c r="H155" s="41" t="n">
        <v>343.2</v>
      </c>
      <c r="I155" s="41" t="n">
        <v>0</v>
      </c>
      <c r="J155" s="41" t="n">
        <v>0</v>
      </c>
      <c r="K155" s="41" t="n">
        <v>1029.6</v>
      </c>
      <c r="L155" s="37" t="inlineStr">
        <is>
          <t>2026-06-16</t>
        </is>
      </c>
      <c r="M155" s="37" t="inlineStr">
        <is>
          <t>COLLECTIONS</t>
        </is>
      </c>
      <c r="N155" s="37">
        <f>RIGHT(A155,LEN(A155)-3)</f>
        <v/>
      </c>
      <c r="O155" s="37">
        <f>IF(N155=C155,"YES","NO")</f>
        <v/>
      </c>
      <c r="P155" s="37">
        <f>IFERROR(INDEX(Inventory!$E$2:$E$1181,MATCH(N155,Inventory!$A$2:$A$1181,0)),"NOT FOUND")</f>
        <v/>
      </c>
      <c r="Q155" s="41">
        <f>SUM(F155:J155)</f>
        <v/>
      </c>
      <c r="R155" s="41">
        <f>K155-Q155</f>
        <v/>
      </c>
      <c r="S155" s="41">
        <f>I155+J155</f>
        <v/>
      </c>
      <c r="T155" s="37">
        <f>IF(S155&gt;0,"YES","NO")</f>
        <v/>
      </c>
      <c r="U155" s="37">
        <f>IF(AND(T155="YES",P155="OCCUPIED",O155="YES",ABS(R155)&lt;=0.004),"YES","NO")</f>
        <v/>
      </c>
      <c r="V155" s="37">
        <f>IF(ABS(R155)&gt;0.004,"Priority 3",IF(U155="YES","COLLECTION",""))</f>
        <v/>
      </c>
    </row>
    <row r="156">
      <c r="A156" s="37" t="inlineStr">
        <is>
          <t>AC-LP-0720</t>
        </is>
      </c>
      <c r="B156" s="37" t="inlineStr">
        <is>
          <t>Alexander Stephens</t>
        </is>
      </c>
      <c r="C156" s="37" t="inlineStr">
        <is>
          <t>LP-0720</t>
        </is>
      </c>
      <c r="D156" s="37" t="inlineStr">
        <is>
          <t>Ledgport</t>
        </is>
      </c>
      <c r="E156" s="37" t="inlineStr">
        <is>
          <t>NON_COMM_MONTHLY</t>
        </is>
      </c>
      <c r="F156" s="41" t="n">
        <v>561.6</v>
      </c>
      <c r="G156" s="41" t="n">
        <v>0</v>
      </c>
      <c r="H156" s="41" t="n">
        <v>0</v>
      </c>
      <c r="I156" s="41" t="n">
        <v>0</v>
      </c>
      <c r="J156" s="41" t="n">
        <v>0</v>
      </c>
      <c r="K156" s="41" t="n">
        <v>561.6</v>
      </c>
      <c r="L156" s="37" t="inlineStr">
        <is>
          <t>2026-07-16</t>
        </is>
      </c>
      <c r="M156" s="37" t="inlineStr">
        <is>
          <t>CURRENT</t>
        </is>
      </c>
      <c r="N156" s="37">
        <f>RIGHT(A156,LEN(A156)-3)</f>
        <v/>
      </c>
      <c r="O156" s="37">
        <f>IF(N156=C156,"YES","NO")</f>
        <v/>
      </c>
      <c r="P156" s="37">
        <f>IFERROR(INDEX(Inventory!$E$2:$E$1181,MATCH(N156,Inventory!$A$2:$A$1181,0)),"NOT FOUND")</f>
        <v/>
      </c>
      <c r="Q156" s="41">
        <f>SUM(F156:J156)</f>
        <v/>
      </c>
      <c r="R156" s="41">
        <f>K156-Q156</f>
        <v/>
      </c>
      <c r="S156" s="41">
        <f>I156+J156</f>
        <v/>
      </c>
      <c r="T156" s="37">
        <f>IF(S156&gt;0,"YES","NO")</f>
        <v/>
      </c>
      <c r="U156" s="37">
        <f>IF(AND(T156="YES",P156="OCCUPIED",O156="YES",ABS(R156)&lt;=0.004),"YES","NO")</f>
        <v/>
      </c>
      <c r="V156" s="37">
        <f>IF(ABS(R156)&gt;0.004,"Priority 3",IF(U156="YES","COLLECTION",""))</f>
        <v/>
      </c>
    </row>
    <row r="157">
      <c r="A157" s="37" t="inlineStr">
        <is>
          <t>AC-LP-0722</t>
        </is>
      </c>
      <c r="B157" s="37" t="inlineStr">
        <is>
          <t>Matthew Wright</t>
        </is>
      </c>
      <c r="C157" s="37" t="inlineStr">
        <is>
          <t>LP-0722</t>
        </is>
      </c>
      <c r="D157" s="37" t="inlineStr">
        <is>
          <t>Ledgport</t>
        </is>
      </c>
      <c r="E157" s="37" t="inlineStr">
        <is>
          <t>NON_COMM_MONTHLY</t>
        </is>
      </c>
      <c r="F157" s="41" t="n">
        <v>624</v>
      </c>
      <c r="G157" s="41" t="n">
        <v>0</v>
      </c>
      <c r="H157" s="41" t="n">
        <v>0</v>
      </c>
      <c r="I157" s="41" t="n">
        <v>0</v>
      </c>
      <c r="J157" s="41" t="n">
        <v>0</v>
      </c>
      <c r="K157" s="41" t="n">
        <v>0</v>
      </c>
      <c r="L157" s="37" t="inlineStr">
        <is>
          <t>2026-06-23</t>
        </is>
      </c>
      <c r="M157" s="37" t="inlineStr">
        <is>
          <t>CURRENT</t>
        </is>
      </c>
      <c r="N157" s="37">
        <f>RIGHT(A157,LEN(A157)-3)</f>
        <v/>
      </c>
      <c r="O157" s="37">
        <f>IF(N157=C157,"YES","NO")</f>
        <v/>
      </c>
      <c r="P157" s="37">
        <f>IFERROR(INDEX(Inventory!$E$2:$E$1181,MATCH(N157,Inventory!$A$2:$A$1181,0)),"NOT FOUND")</f>
        <v/>
      </c>
      <c r="Q157" s="41">
        <f>SUM(F157:J157)</f>
        <v/>
      </c>
      <c r="R157" s="41">
        <f>K157-Q157</f>
        <v/>
      </c>
      <c r="S157" s="41">
        <f>I157+J157</f>
        <v/>
      </c>
      <c r="T157" s="37">
        <f>IF(S157&gt;0,"YES","NO")</f>
        <v/>
      </c>
      <c r="U157" s="37">
        <f>IF(AND(T157="YES",P157="OCCUPIED",O157="YES",ABS(R157)&lt;=0.004),"YES","NO")</f>
        <v/>
      </c>
      <c r="V157" s="37">
        <f>IF(ABS(R157)&gt;0.004,"Priority 3",IF(U157="YES","COLLECTION",""))</f>
        <v/>
      </c>
    </row>
    <row r="158">
      <c r="A158" s="37" t="inlineStr">
        <is>
          <t>AC-LP-0723</t>
        </is>
      </c>
      <c r="B158" s="37" t="inlineStr">
        <is>
          <t>Michael Perez</t>
        </is>
      </c>
      <c r="C158" s="37" t="inlineStr">
        <is>
          <t>LP-0723</t>
        </is>
      </c>
      <c r="D158" s="37" t="inlineStr">
        <is>
          <t>Ledgport</t>
        </is>
      </c>
      <c r="E158" s="37" t="inlineStr">
        <is>
          <t>NON_COMM_MONTHLY</t>
        </is>
      </c>
      <c r="F158" s="41" t="n">
        <v>395.2</v>
      </c>
      <c r="G158" s="41" t="n">
        <v>395.2</v>
      </c>
      <c r="H158" s="41" t="n">
        <v>0</v>
      </c>
      <c r="I158" s="41" t="n">
        <v>0</v>
      </c>
      <c r="J158" s="41" t="n">
        <v>0</v>
      </c>
      <c r="K158" s="41" t="n">
        <v>790.4</v>
      </c>
      <c r="L158" s="37" t="inlineStr">
        <is>
          <t>2026-06-04</t>
        </is>
      </c>
      <c r="M158" s="37" t="inlineStr">
        <is>
          <t>WATCH</t>
        </is>
      </c>
      <c r="N158" s="37">
        <f>RIGHT(A158,LEN(A158)-3)</f>
        <v/>
      </c>
      <c r="O158" s="37">
        <f>IF(N158=C158,"YES","NO")</f>
        <v/>
      </c>
      <c r="P158" s="37">
        <f>IFERROR(INDEX(Inventory!$E$2:$E$1181,MATCH(N158,Inventory!$A$2:$A$1181,0)),"NOT FOUND")</f>
        <v/>
      </c>
      <c r="Q158" s="41">
        <f>SUM(F158:J158)</f>
        <v/>
      </c>
      <c r="R158" s="41">
        <f>K158-Q158</f>
        <v/>
      </c>
      <c r="S158" s="41">
        <f>I158+J158</f>
        <v/>
      </c>
      <c r="T158" s="37">
        <f>IF(S158&gt;0,"YES","NO")</f>
        <v/>
      </c>
      <c r="U158" s="37">
        <f>IF(AND(T158="YES",P158="OCCUPIED",O158="YES",ABS(R158)&lt;=0.004),"YES","NO")</f>
        <v/>
      </c>
      <c r="V158" s="37">
        <f>IF(ABS(R158)&gt;0.004,"Priority 3",IF(U158="YES","COLLECTION",""))</f>
        <v/>
      </c>
    </row>
    <row r="159">
      <c r="A159" s="37" t="inlineStr">
        <is>
          <t>AC-LP-0724</t>
        </is>
      </c>
      <c r="B159" s="37" t="inlineStr">
        <is>
          <t>Zachary Kramer</t>
        </is>
      </c>
      <c r="C159" s="37" t="inlineStr">
        <is>
          <t>LP-0724</t>
        </is>
      </c>
      <c r="D159" s="37" t="inlineStr">
        <is>
          <t>Ledgport</t>
        </is>
      </c>
      <c r="E159" s="37" t="inlineStr">
        <is>
          <t>NON_COMM_MONTHLY</t>
        </is>
      </c>
      <c r="F159" s="41" t="n">
        <v>592.8</v>
      </c>
      <c r="G159" s="41" t="n">
        <v>0</v>
      </c>
      <c r="H159" s="41" t="n">
        <v>0</v>
      </c>
      <c r="I159" s="41" t="n">
        <v>0</v>
      </c>
      <c r="J159" s="41" t="n">
        <v>0</v>
      </c>
      <c r="K159" s="41" t="n">
        <v>592.8</v>
      </c>
      <c r="L159" s="37" t="inlineStr">
        <is>
          <t>2026-07-21</t>
        </is>
      </c>
      <c r="M159" s="37" t="inlineStr">
        <is>
          <t>CURRENT</t>
        </is>
      </c>
      <c r="N159" s="37">
        <f>RIGHT(A159,LEN(A159)-3)</f>
        <v/>
      </c>
      <c r="O159" s="37">
        <f>IF(N159=C159,"YES","NO")</f>
        <v/>
      </c>
      <c r="P159" s="37">
        <f>IFERROR(INDEX(Inventory!$E$2:$E$1181,MATCH(N159,Inventory!$A$2:$A$1181,0)),"NOT FOUND")</f>
        <v/>
      </c>
      <c r="Q159" s="41">
        <f>SUM(F159:J159)</f>
        <v/>
      </c>
      <c r="R159" s="41">
        <f>K159-Q159</f>
        <v/>
      </c>
      <c r="S159" s="41">
        <f>I159+J159</f>
        <v/>
      </c>
      <c r="T159" s="37">
        <f>IF(S159&gt;0,"YES","NO")</f>
        <v/>
      </c>
      <c r="U159" s="37">
        <f>IF(AND(T159="YES",P159="OCCUPIED",O159="YES",ABS(R159)&lt;=0.004),"YES","NO")</f>
        <v/>
      </c>
      <c r="V159" s="37">
        <f>IF(ABS(R159)&gt;0.004,"Priority 3",IF(U159="YES","COLLECTION",""))</f>
        <v/>
      </c>
    </row>
    <row r="160">
      <c r="A160" s="37" t="inlineStr">
        <is>
          <t>AC-LP-0801</t>
        </is>
      </c>
      <c r="B160" s="37" t="inlineStr">
        <is>
          <t>Allison Nguyen</t>
        </is>
      </c>
      <c r="C160" s="37" t="inlineStr">
        <is>
          <t>LP-0801</t>
        </is>
      </c>
      <c r="D160" s="37" t="inlineStr">
        <is>
          <t>Ledgport</t>
        </is>
      </c>
      <c r="E160" s="37" t="inlineStr">
        <is>
          <t>NON_COMM_MONTHLY</t>
        </is>
      </c>
      <c r="F160" s="41" t="n">
        <v>488.8</v>
      </c>
      <c r="G160" s="41" t="n">
        <v>488.8</v>
      </c>
      <c r="H160" s="41" t="n">
        <v>488.8</v>
      </c>
      <c r="I160" s="41" t="n">
        <v>488.8</v>
      </c>
      <c r="J160" s="41" t="n">
        <v>0</v>
      </c>
      <c r="K160" s="41" t="n">
        <v>1955.2</v>
      </c>
      <c r="L160" s="37" t="inlineStr">
        <is>
          <t>2026-07-08</t>
        </is>
      </c>
      <c r="M160" s="37" t="inlineStr">
        <is>
          <t>COLLECTIONS</t>
        </is>
      </c>
      <c r="N160" s="37">
        <f>RIGHT(A160,LEN(A160)-3)</f>
        <v/>
      </c>
      <c r="O160" s="37">
        <f>IF(N160=C160,"YES","NO")</f>
        <v/>
      </c>
      <c r="P160" s="37">
        <f>IFERROR(INDEX(Inventory!$E$2:$E$1181,MATCH(N160,Inventory!$A$2:$A$1181,0)),"NOT FOUND")</f>
        <v/>
      </c>
      <c r="Q160" s="41">
        <f>SUM(F160:J160)</f>
        <v/>
      </c>
      <c r="R160" s="41">
        <f>K160-Q160</f>
        <v/>
      </c>
      <c r="S160" s="41">
        <f>I160+J160</f>
        <v/>
      </c>
      <c r="T160" s="37">
        <f>IF(S160&gt;0,"YES","NO")</f>
        <v/>
      </c>
      <c r="U160" s="37">
        <f>IF(AND(T160="YES",P160="OCCUPIED",O160="YES",ABS(R160)&lt;=0.004),"YES","NO")</f>
        <v/>
      </c>
      <c r="V160" s="37">
        <f>IF(ABS(R160)&gt;0.004,"Priority 3",IF(U160="YES","COLLECTION",""))</f>
        <v/>
      </c>
    </row>
    <row r="161">
      <c r="A161" s="37" t="inlineStr">
        <is>
          <t>AC-LP-0802</t>
        </is>
      </c>
      <c r="B161" s="37" t="inlineStr">
        <is>
          <t>Michael West</t>
        </is>
      </c>
      <c r="C161" s="37" t="inlineStr">
        <is>
          <t>LP-0802</t>
        </is>
      </c>
      <c r="D161" s="37" t="inlineStr">
        <is>
          <t>Ledgport</t>
        </is>
      </c>
      <c r="E161" s="37" t="inlineStr">
        <is>
          <t>NON_COMM_MONTHLY</t>
        </is>
      </c>
      <c r="F161" s="41" t="n">
        <v>416</v>
      </c>
      <c r="G161" s="41" t="n">
        <v>0</v>
      </c>
      <c r="H161" s="41" t="n">
        <v>0</v>
      </c>
      <c r="I161" s="41" t="n">
        <v>0</v>
      </c>
      <c r="J161" s="41" t="n">
        <v>0</v>
      </c>
      <c r="K161" s="41" t="n">
        <v>416</v>
      </c>
      <c r="L161" s="37" t="inlineStr">
        <is>
          <t>2026-07-09</t>
        </is>
      </c>
      <c r="M161" s="37" t="inlineStr">
        <is>
          <t>CURRENT</t>
        </is>
      </c>
      <c r="N161" s="37">
        <f>RIGHT(A161,LEN(A161)-3)</f>
        <v/>
      </c>
      <c r="O161" s="37">
        <f>IF(N161=C161,"YES","NO")</f>
        <v/>
      </c>
      <c r="P161" s="37">
        <f>IFERROR(INDEX(Inventory!$E$2:$E$1181,MATCH(N161,Inventory!$A$2:$A$1181,0)),"NOT FOUND")</f>
        <v/>
      </c>
      <c r="Q161" s="41">
        <f>SUM(F161:J161)</f>
        <v/>
      </c>
      <c r="R161" s="41">
        <f>K161-Q161</f>
        <v/>
      </c>
      <c r="S161" s="41">
        <f>I161+J161</f>
        <v/>
      </c>
      <c r="T161" s="37">
        <f>IF(S161&gt;0,"YES","NO")</f>
        <v/>
      </c>
      <c r="U161" s="37">
        <f>IF(AND(T161="YES",P161="OCCUPIED",O161="YES",ABS(R161)&lt;=0.004),"YES","NO")</f>
        <v/>
      </c>
      <c r="V161" s="37">
        <f>IF(ABS(R161)&gt;0.004,"Priority 3",IF(U161="YES","COLLECTION",""))</f>
        <v/>
      </c>
    </row>
    <row r="162">
      <c r="A162" s="37" t="inlineStr">
        <is>
          <t>AC-LP-0803</t>
        </is>
      </c>
      <c r="B162" s="37" t="inlineStr">
        <is>
          <t>Jill Stevenson</t>
        </is>
      </c>
      <c r="C162" s="37" t="inlineStr">
        <is>
          <t>LP-0803</t>
        </is>
      </c>
      <c r="D162" s="37" t="inlineStr">
        <is>
          <t>Ledgport</t>
        </is>
      </c>
      <c r="E162" s="37" t="inlineStr">
        <is>
          <t>NON_COMM_MONTHLY</t>
        </is>
      </c>
      <c r="F162" s="41" t="n">
        <v>499.2</v>
      </c>
      <c r="G162" s="41" t="n">
        <v>0</v>
      </c>
      <c r="H162" s="41" t="n">
        <v>0</v>
      </c>
      <c r="I162" s="41" t="n">
        <v>0</v>
      </c>
      <c r="J162" s="41" t="n">
        <v>0</v>
      </c>
      <c r="K162" s="41" t="n">
        <v>499.2</v>
      </c>
      <c r="L162" s="37" t="inlineStr">
        <is>
          <t>2026-05-03</t>
        </is>
      </c>
      <c r="M162" s="37" t="inlineStr">
        <is>
          <t>CURRENT</t>
        </is>
      </c>
      <c r="N162" s="37">
        <f>RIGHT(A162,LEN(A162)-3)</f>
        <v/>
      </c>
      <c r="O162" s="37">
        <f>IF(N162=C162,"YES","NO")</f>
        <v/>
      </c>
      <c r="P162" s="37">
        <f>IFERROR(INDEX(Inventory!$E$2:$E$1181,MATCH(N162,Inventory!$A$2:$A$1181,0)),"NOT FOUND")</f>
        <v/>
      </c>
      <c r="Q162" s="41">
        <f>SUM(F162:J162)</f>
        <v/>
      </c>
      <c r="R162" s="41">
        <f>K162-Q162</f>
        <v/>
      </c>
      <c r="S162" s="41">
        <f>I162+J162</f>
        <v/>
      </c>
      <c r="T162" s="37">
        <f>IF(S162&gt;0,"YES","NO")</f>
        <v/>
      </c>
      <c r="U162" s="37">
        <f>IF(AND(T162="YES",P162="OCCUPIED",O162="YES",ABS(R162)&lt;=0.004),"YES","NO")</f>
        <v/>
      </c>
      <c r="V162" s="37">
        <f>IF(ABS(R162)&gt;0.004,"Priority 3",IF(U162="YES","COLLECTION",""))</f>
        <v/>
      </c>
    </row>
    <row r="163">
      <c r="A163" s="37" t="inlineStr">
        <is>
          <t>AC-LP-0805</t>
        </is>
      </c>
      <c r="B163" s="37" t="inlineStr">
        <is>
          <t>Victoria Nash</t>
        </is>
      </c>
      <c r="C163" s="37" t="inlineStr">
        <is>
          <t>LP-0805</t>
        </is>
      </c>
      <c r="D163" s="37" t="inlineStr">
        <is>
          <t>Ledgport</t>
        </is>
      </c>
      <c r="E163" s="37" t="inlineStr">
        <is>
          <t>NON_COMM_MONTHLY</t>
        </is>
      </c>
      <c r="F163" s="41" t="n">
        <v>416</v>
      </c>
      <c r="G163" s="41" t="n">
        <v>416</v>
      </c>
      <c r="H163" s="41" t="n">
        <v>0</v>
      </c>
      <c r="I163" s="41" t="n">
        <v>0</v>
      </c>
      <c r="J163" s="41" t="n">
        <v>0</v>
      </c>
      <c r="K163" s="41" t="n">
        <v>416</v>
      </c>
      <c r="L163" s="37" t="inlineStr">
        <is>
          <t>2026-07-07</t>
        </is>
      </c>
      <c r="M163" s="37" t="inlineStr">
        <is>
          <t>CURRENT</t>
        </is>
      </c>
      <c r="N163" s="37">
        <f>RIGHT(A163,LEN(A163)-3)</f>
        <v/>
      </c>
      <c r="O163" s="37">
        <f>IF(N163=C163,"YES","NO")</f>
        <v/>
      </c>
      <c r="P163" s="37">
        <f>IFERROR(INDEX(Inventory!$E$2:$E$1181,MATCH(N163,Inventory!$A$2:$A$1181,0)),"NOT FOUND")</f>
        <v/>
      </c>
      <c r="Q163" s="41">
        <f>SUM(F163:J163)</f>
        <v/>
      </c>
      <c r="R163" s="41">
        <f>K163-Q163</f>
        <v/>
      </c>
      <c r="S163" s="41">
        <f>I163+J163</f>
        <v/>
      </c>
      <c r="T163" s="37">
        <f>IF(S163&gt;0,"YES","NO")</f>
        <v/>
      </c>
      <c r="U163" s="37">
        <f>IF(AND(T163="YES",P163="OCCUPIED",O163="YES",ABS(R163)&lt;=0.004),"YES","NO")</f>
        <v/>
      </c>
      <c r="V163" s="37">
        <f>IF(ABS(R163)&gt;0.004,"Priority 3",IF(U163="YES","COLLECTION",""))</f>
        <v/>
      </c>
    </row>
    <row r="164">
      <c r="A164" s="37" t="inlineStr">
        <is>
          <t>AC-LP-0806</t>
        </is>
      </c>
      <c r="B164" s="37" t="inlineStr">
        <is>
          <t>Lisa Garcia</t>
        </is>
      </c>
      <c r="C164" s="37" t="inlineStr">
        <is>
          <t>LP-0806</t>
        </is>
      </c>
      <c r="D164" s="37" t="inlineStr">
        <is>
          <t>Ledgport</t>
        </is>
      </c>
      <c r="E164" s="37" t="inlineStr">
        <is>
          <t>NON_COMM_MONTHLY</t>
        </is>
      </c>
      <c r="F164" s="41" t="n">
        <v>582.4</v>
      </c>
      <c r="G164" s="41" t="n">
        <v>0</v>
      </c>
      <c r="H164" s="41" t="n">
        <v>0</v>
      </c>
      <c r="I164" s="41" t="n">
        <v>0</v>
      </c>
      <c r="J164" s="41" t="n">
        <v>0</v>
      </c>
      <c r="K164" s="41" t="n">
        <v>582.4</v>
      </c>
      <c r="L164" s="37" t="inlineStr">
        <is>
          <t>2026-05-17</t>
        </is>
      </c>
      <c r="M164" s="37" t="inlineStr">
        <is>
          <t>CURRENT</t>
        </is>
      </c>
      <c r="N164" s="37">
        <f>RIGHT(A164,LEN(A164)-3)</f>
        <v/>
      </c>
      <c r="O164" s="37">
        <f>IF(N164=C164,"YES","NO")</f>
        <v/>
      </c>
      <c r="P164" s="37">
        <f>IFERROR(INDEX(Inventory!$E$2:$E$1181,MATCH(N164,Inventory!$A$2:$A$1181,0)),"NOT FOUND")</f>
        <v/>
      </c>
      <c r="Q164" s="41">
        <f>SUM(F164:J164)</f>
        <v/>
      </c>
      <c r="R164" s="41">
        <f>K164-Q164</f>
        <v/>
      </c>
      <c r="S164" s="41">
        <f>I164+J164</f>
        <v/>
      </c>
      <c r="T164" s="37">
        <f>IF(S164&gt;0,"YES","NO")</f>
        <v/>
      </c>
      <c r="U164" s="37">
        <f>IF(AND(T164="YES",P164="OCCUPIED",O164="YES",ABS(R164)&lt;=0.004),"YES","NO")</f>
        <v/>
      </c>
      <c r="V164" s="37">
        <f>IF(ABS(R164)&gt;0.004,"Priority 3",IF(U164="YES","COLLECTION",""))</f>
        <v/>
      </c>
    </row>
    <row r="165">
      <c r="A165" s="37" t="inlineStr">
        <is>
          <t>AC-LP-0807</t>
        </is>
      </c>
      <c r="B165" s="37" t="inlineStr">
        <is>
          <t>Seth Perez</t>
        </is>
      </c>
      <c r="C165" s="37" t="inlineStr">
        <is>
          <t>LP-0807</t>
        </is>
      </c>
      <c r="D165" s="37" t="inlineStr">
        <is>
          <t>Ledgport</t>
        </is>
      </c>
      <c r="E165" s="37" t="inlineStr">
        <is>
          <t>NON_COMM_MONTHLY</t>
        </is>
      </c>
      <c r="F165" s="41" t="n">
        <v>426.4</v>
      </c>
      <c r="G165" s="41" t="n">
        <v>0</v>
      </c>
      <c r="H165" s="41" t="n">
        <v>0</v>
      </c>
      <c r="I165" s="41" t="n">
        <v>0</v>
      </c>
      <c r="J165" s="41" t="n">
        <v>0</v>
      </c>
      <c r="K165" s="41" t="n">
        <v>426.4</v>
      </c>
      <c r="L165" s="37" t="inlineStr">
        <is>
          <t>2026-05-30</t>
        </is>
      </c>
      <c r="M165" s="37" t="inlineStr">
        <is>
          <t>CURRENT</t>
        </is>
      </c>
      <c r="N165" s="37">
        <f>RIGHT(A165,LEN(A165)-3)</f>
        <v/>
      </c>
      <c r="O165" s="37">
        <f>IF(N165=C165,"YES","NO")</f>
        <v/>
      </c>
      <c r="P165" s="37">
        <f>IFERROR(INDEX(Inventory!$E$2:$E$1181,MATCH(N165,Inventory!$A$2:$A$1181,0)),"NOT FOUND")</f>
        <v/>
      </c>
      <c r="Q165" s="41">
        <f>SUM(F165:J165)</f>
        <v/>
      </c>
      <c r="R165" s="41">
        <f>K165-Q165</f>
        <v/>
      </c>
      <c r="S165" s="41">
        <f>I165+J165</f>
        <v/>
      </c>
      <c r="T165" s="37">
        <f>IF(S165&gt;0,"YES","NO")</f>
        <v/>
      </c>
      <c r="U165" s="37">
        <f>IF(AND(T165="YES",P165="OCCUPIED",O165="YES",ABS(R165)&lt;=0.004),"YES","NO")</f>
        <v/>
      </c>
      <c r="V165" s="37">
        <f>IF(ABS(R165)&gt;0.004,"Priority 3",IF(U165="YES","COLLECTION",""))</f>
        <v/>
      </c>
    </row>
    <row r="166">
      <c r="A166" s="37" t="inlineStr">
        <is>
          <t>AC-LP-0808</t>
        </is>
      </c>
      <c r="B166" s="37" t="inlineStr">
        <is>
          <t>Denise Jordan</t>
        </is>
      </c>
      <c r="C166" s="37" t="inlineStr">
        <is>
          <t>LP-0808</t>
        </is>
      </c>
      <c r="D166" s="37" t="inlineStr">
        <is>
          <t>Ledgport</t>
        </is>
      </c>
      <c r="E166" s="37" t="inlineStr">
        <is>
          <t>NON_COMM_MONTHLY</t>
        </is>
      </c>
      <c r="F166" s="41" t="n">
        <v>447.2</v>
      </c>
      <c r="G166" s="41" t="n">
        <v>0</v>
      </c>
      <c r="H166" s="41" t="n">
        <v>0</v>
      </c>
      <c r="I166" s="41" t="n">
        <v>0</v>
      </c>
      <c r="J166" s="41" t="n">
        <v>0</v>
      </c>
      <c r="K166" s="41" t="n">
        <v>447.2</v>
      </c>
      <c r="L166" s="37" t="inlineStr">
        <is>
          <t>2026-05-06</t>
        </is>
      </c>
      <c r="M166" s="37" t="inlineStr">
        <is>
          <t>CURRENT</t>
        </is>
      </c>
      <c r="N166" s="37">
        <f>RIGHT(A166,LEN(A166)-3)</f>
        <v/>
      </c>
      <c r="O166" s="37">
        <f>IF(N166=C166,"YES","NO")</f>
        <v/>
      </c>
      <c r="P166" s="37">
        <f>IFERROR(INDEX(Inventory!$E$2:$E$1181,MATCH(N166,Inventory!$A$2:$A$1181,0)),"NOT FOUND")</f>
        <v/>
      </c>
      <c r="Q166" s="41">
        <f>SUM(F166:J166)</f>
        <v/>
      </c>
      <c r="R166" s="41">
        <f>K166-Q166</f>
        <v/>
      </c>
      <c r="S166" s="41">
        <f>I166+J166</f>
        <v/>
      </c>
      <c r="T166" s="37">
        <f>IF(S166&gt;0,"YES","NO")</f>
        <v/>
      </c>
      <c r="U166" s="37">
        <f>IF(AND(T166="YES",P166="OCCUPIED",O166="YES",ABS(R166)&lt;=0.004),"YES","NO")</f>
        <v/>
      </c>
      <c r="V166" s="37">
        <f>IF(ABS(R166)&gt;0.004,"Priority 3",IF(U166="YES","COLLECTION",""))</f>
        <v/>
      </c>
    </row>
    <row r="167">
      <c r="A167" s="37" t="inlineStr">
        <is>
          <t>AC-LP-0809</t>
        </is>
      </c>
      <c r="B167" s="37" t="inlineStr">
        <is>
          <t>Robert Rivas</t>
        </is>
      </c>
      <c r="C167" s="37" t="inlineStr">
        <is>
          <t>LP-0809</t>
        </is>
      </c>
      <c r="D167" s="37" t="inlineStr">
        <is>
          <t>Ledgport</t>
        </is>
      </c>
      <c r="E167" s="37" t="inlineStr">
        <is>
          <t>NON_COMM_MONTHLY</t>
        </is>
      </c>
      <c r="F167" s="41" t="n">
        <v>364</v>
      </c>
      <c r="G167" s="41" t="n">
        <v>0</v>
      </c>
      <c r="H167" s="41" t="n">
        <v>0</v>
      </c>
      <c r="I167" s="41" t="n">
        <v>0</v>
      </c>
      <c r="J167" s="41" t="n">
        <v>0</v>
      </c>
      <c r="K167" s="41" t="n">
        <v>364</v>
      </c>
      <c r="L167" s="37" t="inlineStr">
        <is>
          <t>2026-05-30</t>
        </is>
      </c>
      <c r="M167" s="37" t="inlineStr">
        <is>
          <t>CURRENT</t>
        </is>
      </c>
      <c r="N167" s="37">
        <f>RIGHT(A167,LEN(A167)-3)</f>
        <v/>
      </c>
      <c r="O167" s="37">
        <f>IF(N167=C167,"YES","NO")</f>
        <v/>
      </c>
      <c r="P167" s="37">
        <f>IFERROR(INDEX(Inventory!$E$2:$E$1181,MATCH(N167,Inventory!$A$2:$A$1181,0)),"NOT FOUND")</f>
        <v/>
      </c>
      <c r="Q167" s="41">
        <f>SUM(F167:J167)</f>
        <v/>
      </c>
      <c r="R167" s="41">
        <f>K167-Q167</f>
        <v/>
      </c>
      <c r="S167" s="41">
        <f>I167+J167</f>
        <v/>
      </c>
      <c r="T167" s="37">
        <f>IF(S167&gt;0,"YES","NO")</f>
        <v/>
      </c>
      <c r="U167" s="37">
        <f>IF(AND(T167="YES",P167="OCCUPIED",O167="YES",ABS(R167)&lt;=0.004),"YES","NO")</f>
        <v/>
      </c>
      <c r="V167" s="37">
        <f>IF(ABS(R167)&gt;0.004,"Priority 3",IF(U167="YES","COLLECTION",""))</f>
        <v/>
      </c>
    </row>
    <row r="168">
      <c r="A168" s="37" t="inlineStr">
        <is>
          <t>AC-LP-0811</t>
        </is>
      </c>
      <c r="B168" s="37" t="inlineStr">
        <is>
          <t>Scott Brooks</t>
        </is>
      </c>
      <c r="C168" s="37" t="inlineStr">
        <is>
          <t>LP-0811</t>
        </is>
      </c>
      <c r="D168" s="37" t="inlineStr">
        <is>
          <t>Ledgport</t>
        </is>
      </c>
      <c r="E168" s="37" t="inlineStr">
        <is>
          <t>NON_COMM_MONTHLY</t>
        </is>
      </c>
      <c r="F168" s="41" t="n">
        <v>540.8</v>
      </c>
      <c r="G168" s="41" t="n">
        <v>0</v>
      </c>
      <c r="H168" s="41" t="n">
        <v>0</v>
      </c>
      <c r="I168" s="41" t="n">
        <v>0</v>
      </c>
      <c r="J168" s="41" t="n">
        <v>0</v>
      </c>
      <c r="K168" s="41" t="n">
        <v>0</v>
      </c>
      <c r="L168" s="37" t="inlineStr">
        <is>
          <t>2026-05-13</t>
        </is>
      </c>
      <c r="M168" s="37" t="inlineStr">
        <is>
          <t>CURRENT</t>
        </is>
      </c>
      <c r="N168" s="37">
        <f>RIGHT(A168,LEN(A168)-3)</f>
        <v/>
      </c>
      <c r="O168" s="37">
        <f>IF(N168=C168,"YES","NO")</f>
        <v/>
      </c>
      <c r="P168" s="37">
        <f>IFERROR(INDEX(Inventory!$E$2:$E$1181,MATCH(N168,Inventory!$A$2:$A$1181,0)),"NOT FOUND")</f>
        <v/>
      </c>
      <c r="Q168" s="41">
        <f>SUM(F168:J168)</f>
        <v/>
      </c>
      <c r="R168" s="41">
        <f>K168-Q168</f>
        <v/>
      </c>
      <c r="S168" s="41">
        <f>I168+J168</f>
        <v/>
      </c>
      <c r="T168" s="37">
        <f>IF(S168&gt;0,"YES","NO")</f>
        <v/>
      </c>
      <c r="U168" s="37">
        <f>IF(AND(T168="YES",P168="OCCUPIED",O168="YES",ABS(R168)&lt;=0.004),"YES","NO")</f>
        <v/>
      </c>
      <c r="V168" s="37">
        <f>IF(ABS(R168)&gt;0.004,"Priority 3",IF(U168="YES","COLLECTION",""))</f>
        <v/>
      </c>
    </row>
    <row r="169">
      <c r="A169" s="37" t="inlineStr">
        <is>
          <t>AC-LP-0812</t>
        </is>
      </c>
      <c r="B169" s="37" t="inlineStr">
        <is>
          <t>Brett Lee</t>
        </is>
      </c>
      <c r="C169" s="37" t="inlineStr">
        <is>
          <t>LP-0812</t>
        </is>
      </c>
      <c r="D169" s="37" t="inlineStr">
        <is>
          <t>Ledgport</t>
        </is>
      </c>
      <c r="E169" s="37" t="inlineStr">
        <is>
          <t>NON_COMM_MONTHLY</t>
        </is>
      </c>
      <c r="F169" s="41" t="n">
        <v>291.2</v>
      </c>
      <c r="G169" s="41" t="n">
        <v>0</v>
      </c>
      <c r="H169" s="41" t="n">
        <v>0</v>
      </c>
      <c r="I169" s="41" t="n">
        <v>0</v>
      </c>
      <c r="J169" s="41" t="n">
        <v>0</v>
      </c>
      <c r="K169" s="41" t="n">
        <v>291.2</v>
      </c>
      <c r="L169" s="37" t="inlineStr">
        <is>
          <t>2026-05-25</t>
        </is>
      </c>
      <c r="M169" s="37" t="inlineStr">
        <is>
          <t>CURRENT</t>
        </is>
      </c>
      <c r="N169" s="37">
        <f>RIGHT(A169,LEN(A169)-3)</f>
        <v/>
      </c>
      <c r="O169" s="37">
        <f>IF(N169=C169,"YES","NO")</f>
        <v/>
      </c>
      <c r="P169" s="37">
        <f>IFERROR(INDEX(Inventory!$E$2:$E$1181,MATCH(N169,Inventory!$A$2:$A$1181,0)),"NOT FOUND")</f>
        <v/>
      </c>
      <c r="Q169" s="41">
        <f>SUM(F169:J169)</f>
        <v/>
      </c>
      <c r="R169" s="41">
        <f>K169-Q169</f>
        <v/>
      </c>
      <c r="S169" s="41">
        <f>I169+J169</f>
        <v/>
      </c>
      <c r="T169" s="37">
        <f>IF(S169&gt;0,"YES","NO")</f>
        <v/>
      </c>
      <c r="U169" s="37">
        <f>IF(AND(T169="YES",P169="OCCUPIED",O169="YES",ABS(R169)&lt;=0.004),"YES","NO")</f>
        <v/>
      </c>
      <c r="V169" s="37">
        <f>IF(ABS(R169)&gt;0.004,"Priority 3",IF(U169="YES","COLLECTION",""))</f>
        <v/>
      </c>
    </row>
    <row r="170">
      <c r="A170" s="37" t="inlineStr">
        <is>
          <t>AC-LP-0813</t>
        </is>
      </c>
      <c r="B170" s="37" t="inlineStr">
        <is>
          <t>Emily Parker</t>
        </is>
      </c>
      <c r="C170" s="37" t="inlineStr">
        <is>
          <t>LP-0813</t>
        </is>
      </c>
      <c r="D170" s="37" t="inlineStr">
        <is>
          <t>Ledgport</t>
        </is>
      </c>
      <c r="E170" s="37" t="inlineStr">
        <is>
          <t>NON_COMM_MONTHLY</t>
        </is>
      </c>
      <c r="F170" s="41" t="n">
        <v>395.2</v>
      </c>
      <c r="G170" s="41" t="n">
        <v>0</v>
      </c>
      <c r="H170" s="41" t="n">
        <v>0</v>
      </c>
      <c r="I170" s="41" t="n">
        <v>0</v>
      </c>
      <c r="J170" s="41" t="n">
        <v>0</v>
      </c>
      <c r="K170" s="41" t="n">
        <v>395.2</v>
      </c>
      <c r="L170" s="37" t="inlineStr">
        <is>
          <t>2026-05-10</t>
        </is>
      </c>
      <c r="M170" s="37" t="inlineStr">
        <is>
          <t>CURRENT</t>
        </is>
      </c>
      <c r="N170" s="37">
        <f>RIGHT(A170,LEN(A170)-3)</f>
        <v/>
      </c>
      <c r="O170" s="37">
        <f>IF(N170=C170,"YES","NO")</f>
        <v/>
      </c>
      <c r="P170" s="37">
        <f>IFERROR(INDEX(Inventory!$E$2:$E$1181,MATCH(N170,Inventory!$A$2:$A$1181,0)),"NOT FOUND")</f>
        <v/>
      </c>
      <c r="Q170" s="41">
        <f>SUM(F170:J170)</f>
        <v/>
      </c>
      <c r="R170" s="41">
        <f>K170-Q170</f>
        <v/>
      </c>
      <c r="S170" s="41">
        <f>I170+J170</f>
        <v/>
      </c>
      <c r="T170" s="37">
        <f>IF(S170&gt;0,"YES","NO")</f>
        <v/>
      </c>
      <c r="U170" s="37">
        <f>IF(AND(T170="YES",P170="OCCUPIED",O170="YES",ABS(R170)&lt;=0.004),"YES","NO")</f>
        <v/>
      </c>
      <c r="V170" s="37">
        <f>IF(ABS(R170)&gt;0.004,"Priority 3",IF(U170="YES","COLLECTION",""))</f>
        <v/>
      </c>
    </row>
    <row r="171">
      <c r="A171" s="37" t="inlineStr">
        <is>
          <t>AC-LP-0814</t>
        </is>
      </c>
      <c r="B171" s="37" t="inlineStr">
        <is>
          <t>Danny Sexton</t>
        </is>
      </c>
      <c r="C171" s="37" t="inlineStr">
        <is>
          <t>LP-0814</t>
        </is>
      </c>
      <c r="D171" s="37" t="inlineStr">
        <is>
          <t>Ledgport</t>
        </is>
      </c>
      <c r="E171" s="37" t="inlineStr">
        <is>
          <t>NON_COMM_MONTHLY</t>
        </is>
      </c>
      <c r="F171" s="41" t="n">
        <v>364</v>
      </c>
      <c r="G171" s="41" t="n">
        <v>0</v>
      </c>
      <c r="H171" s="41" t="n">
        <v>0</v>
      </c>
      <c r="I171" s="41" t="n">
        <v>0</v>
      </c>
      <c r="J171" s="41" t="n">
        <v>0</v>
      </c>
      <c r="K171" s="41" t="n">
        <v>0</v>
      </c>
      <c r="L171" s="37" t="inlineStr">
        <is>
          <t>2026-06-30</t>
        </is>
      </c>
      <c r="M171" s="37" t="inlineStr">
        <is>
          <t>CURRENT</t>
        </is>
      </c>
      <c r="N171" s="37">
        <f>RIGHT(A171,LEN(A171)-3)</f>
        <v/>
      </c>
      <c r="O171" s="37">
        <f>IF(N171=C171,"YES","NO")</f>
        <v/>
      </c>
      <c r="P171" s="37">
        <f>IFERROR(INDEX(Inventory!$E$2:$E$1181,MATCH(N171,Inventory!$A$2:$A$1181,0)),"NOT FOUND")</f>
        <v/>
      </c>
      <c r="Q171" s="41">
        <f>SUM(F171:J171)</f>
        <v/>
      </c>
      <c r="R171" s="41">
        <f>K171-Q171</f>
        <v/>
      </c>
      <c r="S171" s="41">
        <f>I171+J171</f>
        <v/>
      </c>
      <c r="T171" s="37">
        <f>IF(S171&gt;0,"YES","NO")</f>
        <v/>
      </c>
      <c r="U171" s="37">
        <f>IF(AND(T171="YES",P171="OCCUPIED",O171="YES",ABS(R171)&lt;=0.004),"YES","NO")</f>
        <v/>
      </c>
      <c r="V171" s="37">
        <f>IF(ABS(R171)&gt;0.004,"Priority 3",IF(U171="YES","COLLECTION",""))</f>
        <v/>
      </c>
    </row>
    <row r="172">
      <c r="A172" s="37" t="inlineStr">
        <is>
          <t>AC-LP-0815</t>
        </is>
      </c>
      <c r="B172" s="37" t="inlineStr">
        <is>
          <t>Teresa Mcdowell</t>
        </is>
      </c>
      <c r="C172" s="37" t="inlineStr">
        <is>
          <t>LP-0815</t>
        </is>
      </c>
      <c r="D172" s="37" t="inlineStr">
        <is>
          <t>Ledgport</t>
        </is>
      </c>
      <c r="E172" s="37" t="inlineStr">
        <is>
          <t>NON_COMM_MONTHLY</t>
        </is>
      </c>
      <c r="F172" s="41" t="n">
        <v>520</v>
      </c>
      <c r="G172" s="41" t="n">
        <v>0</v>
      </c>
      <c r="H172" s="41" t="n">
        <v>0</v>
      </c>
      <c r="I172" s="41" t="n">
        <v>0</v>
      </c>
      <c r="J172" s="41" t="n">
        <v>0</v>
      </c>
      <c r="K172" s="41" t="n">
        <v>520</v>
      </c>
      <c r="L172" s="37" t="inlineStr">
        <is>
          <t>2026-07-25</t>
        </is>
      </c>
      <c r="M172" s="37" t="inlineStr">
        <is>
          <t>CURRENT</t>
        </is>
      </c>
      <c r="N172" s="37">
        <f>RIGHT(A172,LEN(A172)-3)</f>
        <v/>
      </c>
      <c r="O172" s="37">
        <f>IF(N172=C172,"YES","NO")</f>
        <v/>
      </c>
      <c r="P172" s="37">
        <f>IFERROR(INDEX(Inventory!$E$2:$E$1181,MATCH(N172,Inventory!$A$2:$A$1181,0)),"NOT FOUND")</f>
        <v/>
      </c>
      <c r="Q172" s="41">
        <f>SUM(F172:J172)</f>
        <v/>
      </c>
      <c r="R172" s="41">
        <f>K172-Q172</f>
        <v/>
      </c>
      <c r="S172" s="41">
        <f>I172+J172</f>
        <v/>
      </c>
      <c r="T172" s="37">
        <f>IF(S172&gt;0,"YES","NO")</f>
        <v/>
      </c>
      <c r="U172" s="37">
        <f>IF(AND(T172="YES",P172="OCCUPIED",O172="YES",ABS(R172)&lt;=0.004),"YES","NO")</f>
        <v/>
      </c>
      <c r="V172" s="37">
        <f>IF(ABS(R172)&gt;0.004,"Priority 3",IF(U172="YES","COLLECTION",""))</f>
        <v/>
      </c>
    </row>
    <row r="173">
      <c r="A173" s="37" t="inlineStr">
        <is>
          <t>AC-LP-0816</t>
        </is>
      </c>
      <c r="B173" s="37" t="inlineStr">
        <is>
          <t>Jessica Long</t>
        </is>
      </c>
      <c r="C173" s="37" t="inlineStr">
        <is>
          <t>LP-0816</t>
        </is>
      </c>
      <c r="D173" s="37" t="inlineStr">
        <is>
          <t>Ledgport</t>
        </is>
      </c>
      <c r="E173" s="37" t="inlineStr">
        <is>
          <t>NON_COMM_MONTHLY</t>
        </is>
      </c>
      <c r="F173" s="41" t="n">
        <v>499.2</v>
      </c>
      <c r="G173" s="41" t="n">
        <v>0</v>
      </c>
      <c r="H173" s="41" t="n">
        <v>0</v>
      </c>
      <c r="I173" s="41" t="n">
        <v>0</v>
      </c>
      <c r="J173" s="41" t="n">
        <v>0</v>
      </c>
      <c r="K173" s="41" t="n">
        <v>499.2</v>
      </c>
      <c r="L173" s="37" t="inlineStr">
        <is>
          <t>2026-06-22</t>
        </is>
      </c>
      <c r="M173" s="37" t="inlineStr">
        <is>
          <t>CURRENT</t>
        </is>
      </c>
      <c r="N173" s="37">
        <f>RIGHT(A173,LEN(A173)-3)</f>
        <v/>
      </c>
      <c r="O173" s="37">
        <f>IF(N173=C173,"YES","NO")</f>
        <v/>
      </c>
      <c r="P173" s="37">
        <f>IFERROR(INDEX(Inventory!$E$2:$E$1181,MATCH(N173,Inventory!$A$2:$A$1181,0)),"NOT FOUND")</f>
        <v/>
      </c>
      <c r="Q173" s="41">
        <f>SUM(F173:J173)</f>
        <v/>
      </c>
      <c r="R173" s="41">
        <f>K173-Q173</f>
        <v/>
      </c>
      <c r="S173" s="41">
        <f>I173+J173</f>
        <v/>
      </c>
      <c r="T173" s="37">
        <f>IF(S173&gt;0,"YES","NO")</f>
        <v/>
      </c>
      <c r="U173" s="37">
        <f>IF(AND(T173="YES",P173="OCCUPIED",O173="YES",ABS(R173)&lt;=0.004),"YES","NO")</f>
        <v/>
      </c>
      <c r="V173" s="37">
        <f>IF(ABS(R173)&gt;0.004,"Priority 3",IF(U173="YES","COLLECTION",""))</f>
        <v/>
      </c>
    </row>
    <row r="174">
      <c r="A174" s="37" t="inlineStr">
        <is>
          <t>AC-LP-0817</t>
        </is>
      </c>
      <c r="B174" s="37" t="inlineStr">
        <is>
          <t>Tiffany Torres</t>
        </is>
      </c>
      <c r="C174" s="37" t="inlineStr">
        <is>
          <t>LP-0817</t>
        </is>
      </c>
      <c r="D174" s="37" t="inlineStr">
        <is>
          <t>Ledgport</t>
        </is>
      </c>
      <c r="E174" s="37" t="inlineStr">
        <is>
          <t>NON_COMM_MONTHLY</t>
        </is>
      </c>
      <c r="F174" s="41" t="n">
        <v>332.8</v>
      </c>
      <c r="G174" s="41" t="n">
        <v>0</v>
      </c>
      <c r="H174" s="41" t="n">
        <v>0</v>
      </c>
      <c r="I174" s="41" t="n">
        <v>0</v>
      </c>
      <c r="J174" s="41" t="n">
        <v>0</v>
      </c>
      <c r="K174" s="41" t="n">
        <v>332.8</v>
      </c>
      <c r="L174" s="37" t="inlineStr">
        <is>
          <t>2026-06-20</t>
        </is>
      </c>
      <c r="M174" s="37" t="inlineStr">
        <is>
          <t>CURRENT</t>
        </is>
      </c>
      <c r="N174" s="37">
        <f>RIGHT(A174,LEN(A174)-3)</f>
        <v/>
      </c>
      <c r="O174" s="37">
        <f>IF(N174=C174,"YES","NO")</f>
        <v/>
      </c>
      <c r="P174" s="37">
        <f>IFERROR(INDEX(Inventory!$E$2:$E$1181,MATCH(N174,Inventory!$A$2:$A$1181,0)),"NOT FOUND")</f>
        <v/>
      </c>
      <c r="Q174" s="41">
        <f>SUM(F174:J174)</f>
        <v/>
      </c>
      <c r="R174" s="41">
        <f>K174-Q174</f>
        <v/>
      </c>
      <c r="S174" s="41">
        <f>I174+J174</f>
        <v/>
      </c>
      <c r="T174" s="37">
        <f>IF(S174&gt;0,"YES","NO")</f>
        <v/>
      </c>
      <c r="U174" s="37">
        <f>IF(AND(T174="YES",P174="OCCUPIED",O174="YES",ABS(R174)&lt;=0.004),"YES","NO")</f>
        <v/>
      </c>
      <c r="V174" s="37">
        <f>IF(ABS(R174)&gt;0.004,"Priority 3",IF(U174="YES","COLLECTION",""))</f>
        <v/>
      </c>
    </row>
    <row r="175">
      <c r="A175" s="37" t="inlineStr">
        <is>
          <t>AC-LP-0818</t>
        </is>
      </c>
      <c r="B175" s="37" t="inlineStr">
        <is>
          <t>Victor Turner</t>
        </is>
      </c>
      <c r="C175" s="37" t="inlineStr">
        <is>
          <t>LP-0818</t>
        </is>
      </c>
      <c r="D175" s="37" t="inlineStr">
        <is>
          <t>Ledgport</t>
        </is>
      </c>
      <c r="E175" s="37" t="inlineStr">
        <is>
          <t>NON_COMM_MONTHLY</t>
        </is>
      </c>
      <c r="F175" s="41" t="n">
        <v>634.4</v>
      </c>
      <c r="G175" s="41" t="n">
        <v>0</v>
      </c>
      <c r="H175" s="41" t="n">
        <v>0</v>
      </c>
      <c r="I175" s="41" t="n">
        <v>0</v>
      </c>
      <c r="J175" s="41" t="n">
        <v>0</v>
      </c>
      <c r="K175" s="41" t="n">
        <v>634.4</v>
      </c>
      <c r="L175" s="37" t="inlineStr">
        <is>
          <t>2026-05-17</t>
        </is>
      </c>
      <c r="M175" s="37" t="inlineStr">
        <is>
          <t>CURRENT</t>
        </is>
      </c>
      <c r="N175" s="37">
        <f>RIGHT(A175,LEN(A175)-3)</f>
        <v/>
      </c>
      <c r="O175" s="37">
        <f>IF(N175=C175,"YES","NO")</f>
        <v/>
      </c>
      <c r="P175" s="37">
        <f>IFERROR(INDEX(Inventory!$E$2:$E$1181,MATCH(N175,Inventory!$A$2:$A$1181,0)),"NOT FOUND")</f>
        <v/>
      </c>
      <c r="Q175" s="41">
        <f>SUM(F175:J175)</f>
        <v/>
      </c>
      <c r="R175" s="41">
        <f>K175-Q175</f>
        <v/>
      </c>
      <c r="S175" s="41">
        <f>I175+J175</f>
        <v/>
      </c>
      <c r="T175" s="37">
        <f>IF(S175&gt;0,"YES","NO")</f>
        <v/>
      </c>
      <c r="U175" s="37">
        <f>IF(AND(T175="YES",P175="OCCUPIED",O175="YES",ABS(R175)&lt;=0.004),"YES","NO")</f>
        <v/>
      </c>
      <c r="V175" s="37">
        <f>IF(ABS(R175)&gt;0.004,"Priority 3",IF(U175="YES","COLLECTION",""))</f>
        <v/>
      </c>
    </row>
    <row r="176">
      <c r="A176" s="37" t="inlineStr">
        <is>
          <t>AC-LP-0819</t>
        </is>
      </c>
      <c r="B176" s="37" t="inlineStr">
        <is>
          <t>Adrienne Thompson</t>
        </is>
      </c>
      <c r="C176" s="37" t="inlineStr">
        <is>
          <t>LP-0819</t>
        </is>
      </c>
      <c r="D176" s="37" t="inlineStr">
        <is>
          <t>Ledgport</t>
        </is>
      </c>
      <c r="E176" s="37" t="inlineStr">
        <is>
          <t>NON_COMM_MONTHLY</t>
        </is>
      </c>
      <c r="F176" s="41" t="n">
        <v>332.8</v>
      </c>
      <c r="G176" s="41" t="n">
        <v>0</v>
      </c>
      <c r="H176" s="41" t="n">
        <v>0</v>
      </c>
      <c r="I176" s="41" t="n">
        <v>0</v>
      </c>
      <c r="J176" s="41" t="n">
        <v>0</v>
      </c>
      <c r="K176" s="41" t="n">
        <v>332.8</v>
      </c>
      <c r="L176" s="37" t="inlineStr">
        <is>
          <t>2026-05-04</t>
        </is>
      </c>
      <c r="M176" s="37" t="inlineStr">
        <is>
          <t>CURRENT</t>
        </is>
      </c>
      <c r="N176" s="37">
        <f>RIGHT(A176,LEN(A176)-3)</f>
        <v/>
      </c>
      <c r="O176" s="37">
        <f>IF(N176=C176,"YES","NO")</f>
        <v/>
      </c>
      <c r="P176" s="37">
        <f>IFERROR(INDEX(Inventory!$E$2:$E$1181,MATCH(N176,Inventory!$A$2:$A$1181,0)),"NOT FOUND")</f>
        <v/>
      </c>
      <c r="Q176" s="41">
        <f>SUM(F176:J176)</f>
        <v/>
      </c>
      <c r="R176" s="41">
        <f>K176-Q176</f>
        <v/>
      </c>
      <c r="S176" s="41">
        <f>I176+J176</f>
        <v/>
      </c>
      <c r="T176" s="37">
        <f>IF(S176&gt;0,"YES","NO")</f>
        <v/>
      </c>
      <c r="U176" s="37">
        <f>IF(AND(T176="YES",P176="OCCUPIED",O176="YES",ABS(R176)&lt;=0.004),"YES","NO")</f>
        <v/>
      </c>
      <c r="V176" s="37">
        <f>IF(ABS(R176)&gt;0.004,"Priority 3",IF(U176="YES","COLLECTION",""))</f>
        <v/>
      </c>
    </row>
    <row r="177">
      <c r="A177" s="37" t="inlineStr">
        <is>
          <t>AC-LP-0820</t>
        </is>
      </c>
      <c r="B177" s="37" t="inlineStr">
        <is>
          <t>Patrick Sanchez</t>
        </is>
      </c>
      <c r="C177" s="37" t="inlineStr">
        <is>
          <t>LP-0820</t>
        </is>
      </c>
      <c r="D177" s="37" t="inlineStr">
        <is>
          <t>Ledgport</t>
        </is>
      </c>
      <c r="E177" s="37" t="inlineStr">
        <is>
          <t>NON_COMM_MONTHLY</t>
        </is>
      </c>
      <c r="F177" s="41" t="n">
        <v>457.6</v>
      </c>
      <c r="G177" s="41" t="n">
        <v>0</v>
      </c>
      <c r="H177" s="41" t="n">
        <v>0</v>
      </c>
      <c r="I177" s="41" t="n">
        <v>0</v>
      </c>
      <c r="J177" s="41" t="n">
        <v>0</v>
      </c>
      <c r="K177" s="41" t="n">
        <v>0</v>
      </c>
      <c r="L177" s="37" t="inlineStr">
        <is>
          <t>2026-05-22</t>
        </is>
      </c>
      <c r="M177" s="37" t="inlineStr">
        <is>
          <t>CURRENT</t>
        </is>
      </c>
      <c r="N177" s="37">
        <f>RIGHT(A177,LEN(A177)-3)</f>
        <v/>
      </c>
      <c r="O177" s="37">
        <f>IF(N177=C177,"YES","NO")</f>
        <v/>
      </c>
      <c r="P177" s="37">
        <f>IFERROR(INDEX(Inventory!$E$2:$E$1181,MATCH(N177,Inventory!$A$2:$A$1181,0)),"NOT FOUND")</f>
        <v/>
      </c>
      <c r="Q177" s="41">
        <f>SUM(F177:J177)</f>
        <v/>
      </c>
      <c r="R177" s="41">
        <f>K177-Q177</f>
        <v/>
      </c>
      <c r="S177" s="41">
        <f>I177+J177</f>
        <v/>
      </c>
      <c r="T177" s="37">
        <f>IF(S177&gt;0,"YES","NO")</f>
        <v/>
      </c>
      <c r="U177" s="37">
        <f>IF(AND(T177="YES",P177="OCCUPIED",O177="YES",ABS(R177)&lt;=0.004),"YES","NO")</f>
        <v/>
      </c>
      <c r="V177" s="37">
        <f>IF(ABS(R177)&gt;0.004,"Priority 3",IF(U177="YES","COLLECTION",""))</f>
        <v/>
      </c>
    </row>
    <row r="178">
      <c r="A178" s="37" t="inlineStr">
        <is>
          <t>AC-LP-0821</t>
        </is>
      </c>
      <c r="B178" s="37" t="inlineStr">
        <is>
          <t>Debra Rogers</t>
        </is>
      </c>
      <c r="C178" s="37" t="inlineStr">
        <is>
          <t>LP-0821</t>
        </is>
      </c>
      <c r="D178" s="37" t="inlineStr">
        <is>
          <t>Ledgport</t>
        </is>
      </c>
      <c r="E178" s="37" t="inlineStr">
        <is>
          <t>NON_COMM_MONTHLY</t>
        </is>
      </c>
      <c r="F178" s="41" t="n">
        <v>561.6</v>
      </c>
      <c r="G178" s="41" t="n">
        <v>0</v>
      </c>
      <c r="H178" s="41" t="n">
        <v>0</v>
      </c>
      <c r="I178" s="41" t="n">
        <v>0</v>
      </c>
      <c r="J178" s="41" t="n">
        <v>0</v>
      </c>
      <c r="K178" s="41" t="n">
        <v>561.6</v>
      </c>
      <c r="L178" s="37" t="inlineStr">
        <is>
          <t>2026-07-28</t>
        </is>
      </c>
      <c r="M178" s="37" t="inlineStr">
        <is>
          <t>CURRENT</t>
        </is>
      </c>
      <c r="N178" s="37">
        <f>RIGHT(A178,LEN(A178)-3)</f>
        <v/>
      </c>
      <c r="O178" s="37">
        <f>IF(N178=C178,"YES","NO")</f>
        <v/>
      </c>
      <c r="P178" s="37">
        <f>IFERROR(INDEX(Inventory!$E$2:$E$1181,MATCH(N178,Inventory!$A$2:$A$1181,0)),"NOT FOUND")</f>
        <v/>
      </c>
      <c r="Q178" s="41">
        <f>SUM(F178:J178)</f>
        <v/>
      </c>
      <c r="R178" s="41">
        <f>K178-Q178</f>
        <v/>
      </c>
      <c r="S178" s="41">
        <f>I178+J178</f>
        <v/>
      </c>
      <c r="T178" s="37">
        <f>IF(S178&gt;0,"YES","NO")</f>
        <v/>
      </c>
      <c r="U178" s="37">
        <f>IF(AND(T178="YES",P178="OCCUPIED",O178="YES",ABS(R178)&lt;=0.004),"YES","NO")</f>
        <v/>
      </c>
      <c r="V178" s="37">
        <f>IF(ABS(R178)&gt;0.004,"Priority 3",IF(U178="YES","COLLECTION",""))</f>
        <v/>
      </c>
    </row>
    <row r="179">
      <c r="A179" s="37" t="inlineStr">
        <is>
          <t>AC-LP-0822</t>
        </is>
      </c>
      <c r="B179" s="37" t="inlineStr">
        <is>
          <t>Ralph Archer</t>
        </is>
      </c>
      <c r="C179" s="37" t="inlineStr">
        <is>
          <t>LP-0822</t>
        </is>
      </c>
      <c r="D179" s="37" t="inlineStr">
        <is>
          <t>Ledgport</t>
        </is>
      </c>
      <c r="E179" s="37" t="inlineStr">
        <is>
          <t>NON_COMM_MONTHLY</t>
        </is>
      </c>
      <c r="F179" s="41" t="n">
        <v>634.4</v>
      </c>
      <c r="G179" s="41" t="n">
        <v>634.4</v>
      </c>
      <c r="H179" s="41" t="n">
        <v>0</v>
      </c>
      <c r="I179" s="41" t="n">
        <v>0</v>
      </c>
      <c r="J179" s="41" t="n">
        <v>0</v>
      </c>
      <c r="K179" s="41" t="n">
        <v>1268.8</v>
      </c>
      <c r="L179" s="37" t="inlineStr">
        <is>
          <t>2026-06-15</t>
        </is>
      </c>
      <c r="M179" s="37" t="inlineStr">
        <is>
          <t>WATCH</t>
        </is>
      </c>
      <c r="N179" s="37">
        <f>RIGHT(A179,LEN(A179)-3)</f>
        <v/>
      </c>
      <c r="O179" s="37">
        <f>IF(N179=C179,"YES","NO")</f>
        <v/>
      </c>
      <c r="P179" s="37">
        <f>IFERROR(INDEX(Inventory!$E$2:$E$1181,MATCH(N179,Inventory!$A$2:$A$1181,0)),"NOT FOUND")</f>
        <v/>
      </c>
      <c r="Q179" s="41">
        <f>SUM(F179:J179)</f>
        <v/>
      </c>
      <c r="R179" s="41">
        <f>K179-Q179</f>
        <v/>
      </c>
      <c r="S179" s="41">
        <f>I179+J179</f>
        <v/>
      </c>
      <c r="T179" s="37">
        <f>IF(S179&gt;0,"YES","NO")</f>
        <v/>
      </c>
      <c r="U179" s="37">
        <f>IF(AND(T179="YES",P179="OCCUPIED",O179="YES",ABS(R179)&lt;=0.004),"YES","NO")</f>
        <v/>
      </c>
      <c r="V179" s="37">
        <f>IF(ABS(R179)&gt;0.004,"Priority 3",IF(U179="YES","COLLECTION",""))</f>
        <v/>
      </c>
    </row>
    <row r="180">
      <c r="A180" s="37" t="inlineStr">
        <is>
          <t>AC-LP-0823</t>
        </is>
      </c>
      <c r="B180" s="37" t="inlineStr">
        <is>
          <t>Maria Robinson</t>
        </is>
      </c>
      <c r="C180" s="37" t="inlineStr">
        <is>
          <t>LP-0823</t>
        </is>
      </c>
      <c r="D180" s="37" t="inlineStr">
        <is>
          <t>Ledgport</t>
        </is>
      </c>
      <c r="E180" s="37" t="inlineStr">
        <is>
          <t>NON_COMM_MONTHLY</t>
        </is>
      </c>
      <c r="F180" s="41" t="n">
        <v>447.2</v>
      </c>
      <c r="G180" s="41" t="n">
        <v>0</v>
      </c>
      <c r="H180" s="41" t="n">
        <v>0</v>
      </c>
      <c r="I180" s="41" t="n">
        <v>0</v>
      </c>
      <c r="J180" s="41" t="n">
        <v>0</v>
      </c>
      <c r="K180" s="41" t="n">
        <v>447.2</v>
      </c>
      <c r="L180" s="37" t="inlineStr">
        <is>
          <t>2026-06-14</t>
        </is>
      </c>
      <c r="M180" s="37" t="inlineStr">
        <is>
          <t>CURRENT</t>
        </is>
      </c>
      <c r="N180" s="37">
        <f>RIGHT(A180,LEN(A180)-3)</f>
        <v/>
      </c>
      <c r="O180" s="37">
        <f>IF(N180=C180,"YES","NO")</f>
        <v/>
      </c>
      <c r="P180" s="37">
        <f>IFERROR(INDEX(Inventory!$E$2:$E$1181,MATCH(N180,Inventory!$A$2:$A$1181,0)),"NOT FOUND")</f>
        <v/>
      </c>
      <c r="Q180" s="41">
        <f>SUM(F180:J180)</f>
        <v/>
      </c>
      <c r="R180" s="41">
        <f>K180-Q180</f>
        <v/>
      </c>
      <c r="S180" s="41">
        <f>I180+J180</f>
        <v/>
      </c>
      <c r="T180" s="37">
        <f>IF(S180&gt;0,"YES","NO")</f>
        <v/>
      </c>
      <c r="U180" s="37">
        <f>IF(AND(T180="YES",P180="OCCUPIED",O180="YES",ABS(R180)&lt;=0.004),"YES","NO")</f>
        <v/>
      </c>
      <c r="V180" s="37">
        <f>IF(ABS(R180)&gt;0.004,"Priority 3",IF(U180="YES","COLLECTION",""))</f>
        <v/>
      </c>
    </row>
    <row r="181">
      <c r="A181" s="37" t="inlineStr">
        <is>
          <t>AC-LP-0824</t>
        </is>
      </c>
      <c r="B181" s="37" t="inlineStr">
        <is>
          <t>Jennifer Henson</t>
        </is>
      </c>
      <c r="C181" s="37" t="inlineStr">
        <is>
          <t>LP-0824</t>
        </is>
      </c>
      <c r="D181" s="37" t="inlineStr">
        <is>
          <t>Ledgport</t>
        </is>
      </c>
      <c r="E181" s="37" t="inlineStr">
        <is>
          <t>NON_COMM_MONTHLY</t>
        </is>
      </c>
      <c r="F181" s="41" t="n">
        <v>509.6</v>
      </c>
      <c r="G181" s="41" t="n">
        <v>0</v>
      </c>
      <c r="H181" s="41" t="n">
        <v>0</v>
      </c>
      <c r="I181" s="41" t="n">
        <v>0</v>
      </c>
      <c r="J181" s="41" t="n">
        <v>0</v>
      </c>
      <c r="K181" s="41" t="n">
        <v>509.6</v>
      </c>
      <c r="L181" s="37" t="inlineStr">
        <is>
          <t>2026-05-01</t>
        </is>
      </c>
      <c r="M181" s="37" t="inlineStr">
        <is>
          <t>CURRENT</t>
        </is>
      </c>
      <c r="N181" s="37">
        <f>RIGHT(A181,LEN(A181)-3)</f>
        <v/>
      </c>
      <c r="O181" s="37">
        <f>IF(N181=C181,"YES","NO")</f>
        <v/>
      </c>
      <c r="P181" s="37">
        <f>IFERROR(INDEX(Inventory!$E$2:$E$1181,MATCH(N181,Inventory!$A$2:$A$1181,0)),"NOT FOUND")</f>
        <v/>
      </c>
      <c r="Q181" s="41">
        <f>SUM(F181:J181)</f>
        <v/>
      </c>
      <c r="R181" s="41">
        <f>K181-Q181</f>
        <v/>
      </c>
      <c r="S181" s="41">
        <f>I181+J181</f>
        <v/>
      </c>
      <c r="T181" s="37">
        <f>IF(S181&gt;0,"YES","NO")</f>
        <v/>
      </c>
      <c r="U181" s="37">
        <f>IF(AND(T181="YES",P181="OCCUPIED",O181="YES",ABS(R181)&lt;=0.004),"YES","NO")</f>
        <v/>
      </c>
      <c r="V181" s="37">
        <f>IF(ABS(R181)&gt;0.004,"Priority 3",IF(U181="YES","COLLECTION",""))</f>
        <v/>
      </c>
    </row>
    <row r="182">
      <c r="A182" s="37" t="inlineStr">
        <is>
          <t>AC-LP-0901</t>
        </is>
      </c>
      <c r="B182" s="37" t="inlineStr">
        <is>
          <t>Angela Poole</t>
        </is>
      </c>
      <c r="C182" s="37" t="inlineStr">
        <is>
          <t>LP-0901</t>
        </is>
      </c>
      <c r="D182" s="37" t="inlineStr">
        <is>
          <t>Ledgport</t>
        </is>
      </c>
      <c r="E182" s="37" t="inlineStr">
        <is>
          <t>NON_COMM_MONTHLY</t>
        </is>
      </c>
      <c r="F182" s="41" t="n">
        <v>416</v>
      </c>
      <c r="G182" s="41" t="n">
        <v>0</v>
      </c>
      <c r="H182" s="41" t="n">
        <v>0</v>
      </c>
      <c r="I182" s="41" t="n">
        <v>0</v>
      </c>
      <c r="J182" s="41" t="n">
        <v>0</v>
      </c>
      <c r="K182" s="41" t="n">
        <v>416</v>
      </c>
      <c r="L182" s="37" t="inlineStr">
        <is>
          <t>2026-06-15</t>
        </is>
      </c>
      <c r="M182" s="37" t="inlineStr">
        <is>
          <t>CURRENT</t>
        </is>
      </c>
      <c r="N182" s="37">
        <f>RIGHT(A182,LEN(A182)-3)</f>
        <v/>
      </c>
      <c r="O182" s="37">
        <f>IF(N182=C182,"YES","NO")</f>
        <v/>
      </c>
      <c r="P182" s="37">
        <f>IFERROR(INDEX(Inventory!$E$2:$E$1181,MATCH(N182,Inventory!$A$2:$A$1181,0)),"NOT FOUND")</f>
        <v/>
      </c>
      <c r="Q182" s="41">
        <f>SUM(F182:J182)</f>
        <v/>
      </c>
      <c r="R182" s="41">
        <f>K182-Q182</f>
        <v/>
      </c>
      <c r="S182" s="41">
        <f>I182+J182</f>
        <v/>
      </c>
      <c r="T182" s="37">
        <f>IF(S182&gt;0,"YES","NO")</f>
        <v/>
      </c>
      <c r="U182" s="37">
        <f>IF(AND(T182="YES",P182="OCCUPIED",O182="YES",ABS(R182)&lt;=0.004),"YES","NO")</f>
        <v/>
      </c>
      <c r="V182" s="37">
        <f>IF(ABS(R182)&gt;0.004,"Priority 3",IF(U182="YES","COLLECTION",""))</f>
        <v/>
      </c>
    </row>
    <row r="183">
      <c r="A183" s="37" t="inlineStr">
        <is>
          <t>AC-LP-0902</t>
        </is>
      </c>
      <c r="B183" s="37" t="inlineStr">
        <is>
          <t>Neil Adkins</t>
        </is>
      </c>
      <c r="C183" s="37" t="inlineStr">
        <is>
          <t>LP-0902</t>
        </is>
      </c>
      <c r="D183" s="37" t="inlineStr">
        <is>
          <t>Ledgport</t>
        </is>
      </c>
      <c r="E183" s="37" t="inlineStr">
        <is>
          <t>NON_COMM_MONTHLY</t>
        </is>
      </c>
      <c r="F183" s="41" t="n">
        <v>603.2</v>
      </c>
      <c r="G183" s="41" t="n">
        <v>0</v>
      </c>
      <c r="H183" s="41" t="n">
        <v>0</v>
      </c>
      <c r="I183" s="41" t="n">
        <v>0</v>
      </c>
      <c r="J183" s="41" t="n">
        <v>0</v>
      </c>
      <c r="K183" s="41" t="n">
        <v>603.2</v>
      </c>
      <c r="L183" s="37" t="inlineStr">
        <is>
          <t>2026-06-14</t>
        </is>
      </c>
      <c r="M183" s="37" t="inlineStr">
        <is>
          <t>CURRENT</t>
        </is>
      </c>
      <c r="N183" s="37">
        <f>RIGHT(A183,LEN(A183)-3)</f>
        <v/>
      </c>
      <c r="O183" s="37">
        <f>IF(N183=C183,"YES","NO")</f>
        <v/>
      </c>
      <c r="P183" s="37">
        <f>IFERROR(INDEX(Inventory!$E$2:$E$1181,MATCH(N183,Inventory!$A$2:$A$1181,0)),"NOT FOUND")</f>
        <v/>
      </c>
      <c r="Q183" s="41">
        <f>SUM(F183:J183)</f>
        <v/>
      </c>
      <c r="R183" s="41">
        <f>K183-Q183</f>
        <v/>
      </c>
      <c r="S183" s="41">
        <f>I183+J183</f>
        <v/>
      </c>
      <c r="T183" s="37">
        <f>IF(S183&gt;0,"YES","NO")</f>
        <v/>
      </c>
      <c r="U183" s="37">
        <f>IF(AND(T183="YES",P183="OCCUPIED",O183="YES",ABS(R183)&lt;=0.004),"YES","NO")</f>
        <v/>
      </c>
      <c r="V183" s="37">
        <f>IF(ABS(R183)&gt;0.004,"Priority 3",IF(U183="YES","COLLECTION",""))</f>
        <v/>
      </c>
    </row>
    <row r="184">
      <c r="A184" s="37" t="inlineStr">
        <is>
          <t>AC-LP-0903</t>
        </is>
      </c>
      <c r="B184" s="37" t="inlineStr">
        <is>
          <t>Mindy Medina</t>
        </is>
      </c>
      <c r="C184" s="37" t="inlineStr">
        <is>
          <t>LP-0903</t>
        </is>
      </c>
      <c r="D184" s="37" t="inlineStr">
        <is>
          <t>Ledgport</t>
        </is>
      </c>
      <c r="E184" s="37" t="inlineStr">
        <is>
          <t>NON_COMM_MONTHLY</t>
        </is>
      </c>
      <c r="F184" s="41" t="n">
        <v>374.4</v>
      </c>
      <c r="G184" s="41" t="n">
        <v>0</v>
      </c>
      <c r="H184" s="41" t="n">
        <v>0</v>
      </c>
      <c r="I184" s="41" t="n">
        <v>0</v>
      </c>
      <c r="J184" s="41" t="n">
        <v>0</v>
      </c>
      <c r="K184" s="41" t="n">
        <v>374.4</v>
      </c>
      <c r="L184" s="37" t="inlineStr">
        <is>
          <t>2026-06-27</t>
        </is>
      </c>
      <c r="M184" s="37" t="inlineStr">
        <is>
          <t>CURRENT</t>
        </is>
      </c>
      <c r="N184" s="37">
        <f>RIGHT(A184,LEN(A184)-3)</f>
        <v/>
      </c>
      <c r="O184" s="37">
        <f>IF(N184=C184,"YES","NO")</f>
        <v/>
      </c>
      <c r="P184" s="37">
        <f>IFERROR(INDEX(Inventory!$E$2:$E$1181,MATCH(N184,Inventory!$A$2:$A$1181,0)),"NOT FOUND")</f>
        <v/>
      </c>
      <c r="Q184" s="41">
        <f>SUM(F184:J184)</f>
        <v/>
      </c>
      <c r="R184" s="41">
        <f>K184-Q184</f>
        <v/>
      </c>
      <c r="S184" s="41">
        <f>I184+J184</f>
        <v/>
      </c>
      <c r="T184" s="37">
        <f>IF(S184&gt;0,"YES","NO")</f>
        <v/>
      </c>
      <c r="U184" s="37">
        <f>IF(AND(T184="YES",P184="OCCUPIED",O184="YES",ABS(R184)&lt;=0.004),"YES","NO")</f>
        <v/>
      </c>
      <c r="V184" s="37">
        <f>IF(ABS(R184)&gt;0.004,"Priority 3",IF(U184="YES","COLLECTION",""))</f>
        <v/>
      </c>
    </row>
    <row r="185">
      <c r="A185" s="37" t="inlineStr">
        <is>
          <t>AC-LP-0904</t>
        </is>
      </c>
      <c r="B185" s="37" t="inlineStr">
        <is>
          <t>Alexander Cross</t>
        </is>
      </c>
      <c r="C185" s="37" t="inlineStr">
        <is>
          <t>LP-0904</t>
        </is>
      </c>
      <c r="D185" s="37" t="inlineStr">
        <is>
          <t>Ledgport</t>
        </is>
      </c>
      <c r="E185" s="37" t="inlineStr">
        <is>
          <t>NON_COMM_MONTHLY</t>
        </is>
      </c>
      <c r="F185" s="41" t="n">
        <v>644.8</v>
      </c>
      <c r="G185" s="41" t="n">
        <v>0</v>
      </c>
      <c r="H185" s="41" t="n">
        <v>0</v>
      </c>
      <c r="I185" s="41" t="n">
        <v>0</v>
      </c>
      <c r="J185" s="41" t="n">
        <v>0</v>
      </c>
      <c r="K185" s="41" t="n">
        <v>644.8</v>
      </c>
      <c r="L185" s="37" t="inlineStr">
        <is>
          <t>2026-06-24</t>
        </is>
      </c>
      <c r="M185" s="37" t="inlineStr">
        <is>
          <t>CURRENT</t>
        </is>
      </c>
      <c r="N185" s="37">
        <f>RIGHT(A185,LEN(A185)-3)</f>
        <v/>
      </c>
      <c r="O185" s="37">
        <f>IF(N185=C185,"YES","NO")</f>
        <v/>
      </c>
      <c r="P185" s="37">
        <f>IFERROR(INDEX(Inventory!$E$2:$E$1181,MATCH(N185,Inventory!$A$2:$A$1181,0)),"NOT FOUND")</f>
        <v/>
      </c>
      <c r="Q185" s="41">
        <f>SUM(F185:J185)</f>
        <v/>
      </c>
      <c r="R185" s="41">
        <f>K185-Q185</f>
        <v/>
      </c>
      <c r="S185" s="41">
        <f>I185+J185</f>
        <v/>
      </c>
      <c r="T185" s="37">
        <f>IF(S185&gt;0,"YES","NO")</f>
        <v/>
      </c>
      <c r="U185" s="37">
        <f>IF(AND(T185="YES",P185="OCCUPIED",O185="YES",ABS(R185)&lt;=0.004),"YES","NO")</f>
        <v/>
      </c>
      <c r="V185" s="37">
        <f>IF(ABS(R185)&gt;0.004,"Priority 3",IF(U185="YES","COLLECTION",""))</f>
        <v/>
      </c>
    </row>
    <row r="186">
      <c r="A186" s="37" t="inlineStr">
        <is>
          <t>AC-LP-0905</t>
        </is>
      </c>
      <c r="B186" s="37" t="inlineStr">
        <is>
          <t>Emily Alexander</t>
        </is>
      </c>
      <c r="C186" s="37" t="inlineStr">
        <is>
          <t>LP-0905</t>
        </is>
      </c>
      <c r="D186" s="37" t="inlineStr">
        <is>
          <t>Ledgport</t>
        </is>
      </c>
      <c r="E186" s="37" t="inlineStr">
        <is>
          <t>NON_COMM_MONTHLY</t>
        </is>
      </c>
      <c r="F186" s="41" t="n">
        <v>561.6</v>
      </c>
      <c r="G186" s="41" t="n">
        <v>0</v>
      </c>
      <c r="H186" s="41" t="n">
        <v>0</v>
      </c>
      <c r="I186" s="41" t="n">
        <v>0</v>
      </c>
      <c r="J186" s="41" t="n">
        <v>0</v>
      </c>
      <c r="K186" s="41" t="n">
        <v>561.6</v>
      </c>
      <c r="L186" s="37" t="inlineStr">
        <is>
          <t>2026-05-12</t>
        </is>
      </c>
      <c r="M186" s="37" t="inlineStr">
        <is>
          <t>CURRENT</t>
        </is>
      </c>
      <c r="N186" s="37">
        <f>RIGHT(A186,LEN(A186)-3)</f>
        <v/>
      </c>
      <c r="O186" s="37">
        <f>IF(N186=C186,"YES","NO")</f>
        <v/>
      </c>
      <c r="P186" s="37">
        <f>IFERROR(INDEX(Inventory!$E$2:$E$1181,MATCH(N186,Inventory!$A$2:$A$1181,0)),"NOT FOUND")</f>
        <v/>
      </c>
      <c r="Q186" s="41">
        <f>SUM(F186:J186)</f>
        <v/>
      </c>
      <c r="R186" s="41">
        <f>K186-Q186</f>
        <v/>
      </c>
      <c r="S186" s="41">
        <f>I186+J186</f>
        <v/>
      </c>
      <c r="T186" s="37">
        <f>IF(S186&gt;0,"YES","NO")</f>
        <v/>
      </c>
      <c r="U186" s="37">
        <f>IF(AND(T186="YES",P186="OCCUPIED",O186="YES",ABS(R186)&lt;=0.004),"YES","NO")</f>
        <v/>
      </c>
      <c r="V186" s="37">
        <f>IF(ABS(R186)&gt;0.004,"Priority 3",IF(U186="YES","COLLECTION",""))</f>
        <v/>
      </c>
    </row>
    <row r="187">
      <c r="A187" s="37" t="inlineStr">
        <is>
          <t>AC-LP-0906</t>
        </is>
      </c>
      <c r="B187" s="37" t="inlineStr">
        <is>
          <t>Denise Bonilla</t>
        </is>
      </c>
      <c r="C187" s="37" t="inlineStr">
        <is>
          <t>LP-0906</t>
        </is>
      </c>
      <c r="D187" s="37" t="inlineStr">
        <is>
          <t>Ledgport</t>
        </is>
      </c>
      <c r="E187" s="37" t="inlineStr">
        <is>
          <t>NON_COMM_MONTHLY</t>
        </is>
      </c>
      <c r="F187" s="41" t="n">
        <v>603.2</v>
      </c>
      <c r="G187" s="41" t="n">
        <v>0</v>
      </c>
      <c r="H187" s="41" t="n">
        <v>0</v>
      </c>
      <c r="I187" s="41" t="n">
        <v>0</v>
      </c>
      <c r="J187" s="41" t="n">
        <v>0</v>
      </c>
      <c r="K187" s="41" t="n">
        <v>603.2</v>
      </c>
      <c r="L187" s="37" t="inlineStr">
        <is>
          <t>2026-05-26</t>
        </is>
      </c>
      <c r="M187" s="37" t="inlineStr">
        <is>
          <t>CURRENT</t>
        </is>
      </c>
      <c r="N187" s="37">
        <f>RIGHT(A187,LEN(A187)-3)</f>
        <v/>
      </c>
      <c r="O187" s="37">
        <f>IF(N187=C187,"YES","NO")</f>
        <v/>
      </c>
      <c r="P187" s="37">
        <f>IFERROR(INDEX(Inventory!$E$2:$E$1181,MATCH(N187,Inventory!$A$2:$A$1181,0)),"NOT FOUND")</f>
        <v/>
      </c>
      <c r="Q187" s="41">
        <f>SUM(F187:J187)</f>
        <v/>
      </c>
      <c r="R187" s="41">
        <f>K187-Q187</f>
        <v/>
      </c>
      <c r="S187" s="41">
        <f>I187+J187</f>
        <v/>
      </c>
      <c r="T187" s="37">
        <f>IF(S187&gt;0,"YES","NO")</f>
        <v/>
      </c>
      <c r="U187" s="37">
        <f>IF(AND(T187="YES",P187="OCCUPIED",O187="YES",ABS(R187)&lt;=0.004),"YES","NO")</f>
        <v/>
      </c>
      <c r="V187" s="37">
        <f>IF(ABS(R187)&gt;0.004,"Priority 3",IF(U187="YES","COLLECTION",""))</f>
        <v/>
      </c>
    </row>
    <row r="188">
      <c r="A188" s="37" t="inlineStr">
        <is>
          <t>AC-LP-0907</t>
        </is>
      </c>
      <c r="B188" s="37" t="inlineStr">
        <is>
          <t>Brittany Wilkerson</t>
        </is>
      </c>
      <c r="C188" s="37" t="inlineStr">
        <is>
          <t>LP-0907</t>
        </is>
      </c>
      <c r="D188" s="37" t="inlineStr">
        <is>
          <t>Ledgport</t>
        </is>
      </c>
      <c r="E188" s="37" t="inlineStr">
        <is>
          <t>NON_COMM_MONTHLY</t>
        </is>
      </c>
      <c r="F188" s="41" t="n">
        <v>478.4</v>
      </c>
      <c r="G188" s="41" t="n">
        <v>478.4</v>
      </c>
      <c r="H188" s="41" t="n">
        <v>0</v>
      </c>
      <c r="I188" s="41" t="n">
        <v>0</v>
      </c>
      <c r="J188" s="41" t="n">
        <v>0</v>
      </c>
      <c r="K188" s="41" t="n">
        <v>956.8</v>
      </c>
      <c r="L188" s="37" t="inlineStr">
        <is>
          <t>2026-06-04</t>
        </is>
      </c>
      <c r="M188" s="37" t="inlineStr">
        <is>
          <t>WATCH</t>
        </is>
      </c>
      <c r="N188" s="37">
        <f>RIGHT(A188,LEN(A188)-3)</f>
        <v/>
      </c>
      <c r="O188" s="37">
        <f>IF(N188=C188,"YES","NO")</f>
        <v/>
      </c>
      <c r="P188" s="37">
        <f>IFERROR(INDEX(Inventory!$E$2:$E$1181,MATCH(N188,Inventory!$A$2:$A$1181,0)),"NOT FOUND")</f>
        <v/>
      </c>
      <c r="Q188" s="41">
        <f>SUM(F188:J188)</f>
        <v/>
      </c>
      <c r="R188" s="41">
        <f>K188-Q188</f>
        <v/>
      </c>
      <c r="S188" s="41">
        <f>I188+J188</f>
        <v/>
      </c>
      <c r="T188" s="37">
        <f>IF(S188&gt;0,"YES","NO")</f>
        <v/>
      </c>
      <c r="U188" s="37">
        <f>IF(AND(T188="YES",P188="OCCUPIED",O188="YES",ABS(R188)&lt;=0.004),"YES","NO")</f>
        <v/>
      </c>
      <c r="V188" s="37">
        <f>IF(ABS(R188)&gt;0.004,"Priority 3",IF(U188="YES","COLLECTION",""))</f>
        <v/>
      </c>
    </row>
    <row r="189">
      <c r="A189" s="37" t="inlineStr">
        <is>
          <t>AC-LP-0908</t>
        </is>
      </c>
      <c r="B189" s="37" t="inlineStr">
        <is>
          <t>Joseph Sharp</t>
        </is>
      </c>
      <c r="C189" s="37" t="inlineStr">
        <is>
          <t>LP-0908</t>
        </is>
      </c>
      <c r="D189" s="37" t="inlineStr">
        <is>
          <t>Ledgport</t>
        </is>
      </c>
      <c r="E189" s="37" t="inlineStr">
        <is>
          <t>NON_COMM_MONTHLY</t>
        </is>
      </c>
      <c r="F189" s="41" t="n">
        <v>520</v>
      </c>
      <c r="G189" s="41" t="n">
        <v>0</v>
      </c>
      <c r="H189" s="41" t="n">
        <v>0</v>
      </c>
      <c r="I189" s="41" t="n">
        <v>0</v>
      </c>
      <c r="J189" s="41" t="n">
        <v>0</v>
      </c>
      <c r="K189" s="41" t="n">
        <v>520</v>
      </c>
      <c r="L189" s="37" t="inlineStr">
        <is>
          <t>2026-05-27</t>
        </is>
      </c>
      <c r="M189" s="37" t="inlineStr">
        <is>
          <t>CURRENT</t>
        </is>
      </c>
      <c r="N189" s="37">
        <f>RIGHT(A189,LEN(A189)-3)</f>
        <v/>
      </c>
      <c r="O189" s="37">
        <f>IF(N189=C189,"YES","NO")</f>
        <v/>
      </c>
      <c r="P189" s="37">
        <f>IFERROR(INDEX(Inventory!$E$2:$E$1181,MATCH(N189,Inventory!$A$2:$A$1181,0)),"NOT FOUND")</f>
        <v/>
      </c>
      <c r="Q189" s="41">
        <f>SUM(F189:J189)</f>
        <v/>
      </c>
      <c r="R189" s="41">
        <f>K189-Q189</f>
        <v/>
      </c>
      <c r="S189" s="41">
        <f>I189+J189</f>
        <v/>
      </c>
      <c r="T189" s="37">
        <f>IF(S189&gt;0,"YES","NO")</f>
        <v/>
      </c>
      <c r="U189" s="37">
        <f>IF(AND(T189="YES",P189="OCCUPIED",O189="YES",ABS(R189)&lt;=0.004),"YES","NO")</f>
        <v/>
      </c>
      <c r="V189" s="37">
        <f>IF(ABS(R189)&gt;0.004,"Priority 3",IF(U189="YES","COLLECTION",""))</f>
        <v/>
      </c>
    </row>
    <row r="190">
      <c r="A190" s="37" t="inlineStr">
        <is>
          <t>AC-LP-0909</t>
        </is>
      </c>
      <c r="B190" s="37" t="inlineStr">
        <is>
          <t>Jason Shepard</t>
        </is>
      </c>
      <c r="C190" s="37" t="inlineStr">
        <is>
          <t>LP-0909</t>
        </is>
      </c>
      <c r="D190" s="37" t="inlineStr">
        <is>
          <t>Ledgport</t>
        </is>
      </c>
      <c r="E190" s="37" t="inlineStr">
        <is>
          <t>NON_COMM_MONTHLY</t>
        </is>
      </c>
      <c r="F190" s="41" t="n">
        <v>488.8</v>
      </c>
      <c r="G190" s="41" t="n">
        <v>0</v>
      </c>
      <c r="H190" s="41" t="n">
        <v>0</v>
      </c>
      <c r="I190" s="41" t="n">
        <v>0</v>
      </c>
      <c r="J190" s="41" t="n">
        <v>0</v>
      </c>
      <c r="K190" s="41" t="n">
        <v>488.8</v>
      </c>
      <c r="L190" s="37" t="inlineStr">
        <is>
          <t>2026-06-21</t>
        </is>
      </c>
      <c r="M190" s="37" t="inlineStr">
        <is>
          <t>CURRENT</t>
        </is>
      </c>
      <c r="N190" s="37">
        <f>RIGHT(A190,LEN(A190)-3)</f>
        <v/>
      </c>
      <c r="O190" s="37">
        <f>IF(N190=C190,"YES","NO")</f>
        <v/>
      </c>
      <c r="P190" s="37">
        <f>IFERROR(INDEX(Inventory!$E$2:$E$1181,MATCH(N190,Inventory!$A$2:$A$1181,0)),"NOT FOUND")</f>
        <v/>
      </c>
      <c r="Q190" s="41">
        <f>SUM(F190:J190)</f>
        <v/>
      </c>
      <c r="R190" s="41">
        <f>K190-Q190</f>
        <v/>
      </c>
      <c r="S190" s="41">
        <f>I190+J190</f>
        <v/>
      </c>
      <c r="T190" s="37">
        <f>IF(S190&gt;0,"YES","NO")</f>
        <v/>
      </c>
      <c r="U190" s="37">
        <f>IF(AND(T190="YES",P190="OCCUPIED",O190="YES",ABS(R190)&lt;=0.004),"YES","NO")</f>
        <v/>
      </c>
      <c r="V190" s="37">
        <f>IF(ABS(R190)&gt;0.004,"Priority 3",IF(U190="YES","COLLECTION",""))</f>
        <v/>
      </c>
    </row>
    <row r="191">
      <c r="A191" s="37" t="inlineStr">
        <is>
          <t>AC-LP-0910</t>
        </is>
      </c>
      <c r="B191" s="37" t="inlineStr">
        <is>
          <t>John Davis</t>
        </is>
      </c>
      <c r="C191" s="37" t="inlineStr">
        <is>
          <t>LP-0910</t>
        </is>
      </c>
      <c r="D191" s="37" t="inlineStr">
        <is>
          <t>Ledgport</t>
        </is>
      </c>
      <c r="E191" s="37" t="inlineStr">
        <is>
          <t>NON_COMM_MONTHLY</t>
        </is>
      </c>
      <c r="F191" s="41" t="n">
        <v>395.2</v>
      </c>
      <c r="G191" s="41" t="n">
        <v>0</v>
      </c>
      <c r="H191" s="41" t="n">
        <v>0</v>
      </c>
      <c r="I191" s="41" t="n">
        <v>0</v>
      </c>
      <c r="J191" s="41" t="n">
        <v>0</v>
      </c>
      <c r="K191" s="41" t="n">
        <v>0</v>
      </c>
      <c r="L191" s="37" t="inlineStr">
        <is>
          <t>2026-07-20</t>
        </is>
      </c>
      <c r="M191" s="37" t="inlineStr">
        <is>
          <t>CURRENT</t>
        </is>
      </c>
      <c r="N191" s="37">
        <f>RIGHT(A191,LEN(A191)-3)</f>
        <v/>
      </c>
      <c r="O191" s="37">
        <f>IF(N191=C191,"YES","NO")</f>
        <v/>
      </c>
      <c r="P191" s="37">
        <f>IFERROR(INDEX(Inventory!$E$2:$E$1181,MATCH(N191,Inventory!$A$2:$A$1181,0)),"NOT FOUND")</f>
        <v/>
      </c>
      <c r="Q191" s="41">
        <f>SUM(F191:J191)</f>
        <v/>
      </c>
      <c r="R191" s="41">
        <f>K191-Q191</f>
        <v/>
      </c>
      <c r="S191" s="41">
        <f>I191+J191</f>
        <v/>
      </c>
      <c r="T191" s="37">
        <f>IF(S191&gt;0,"YES","NO")</f>
        <v/>
      </c>
      <c r="U191" s="37">
        <f>IF(AND(T191="YES",P191="OCCUPIED",O191="YES",ABS(R191)&lt;=0.004),"YES","NO")</f>
        <v/>
      </c>
      <c r="V191" s="37">
        <f>IF(ABS(R191)&gt;0.004,"Priority 3",IF(U191="YES","COLLECTION",""))</f>
        <v/>
      </c>
    </row>
    <row r="192">
      <c r="A192" s="37" t="inlineStr">
        <is>
          <t>AC-LP-0911</t>
        </is>
      </c>
      <c r="B192" s="37" t="inlineStr">
        <is>
          <t>Katherine Johnson</t>
        </is>
      </c>
      <c r="C192" s="37" t="inlineStr">
        <is>
          <t>LP-0911</t>
        </is>
      </c>
      <c r="D192" s="37" t="inlineStr">
        <is>
          <t>Ledgport</t>
        </is>
      </c>
      <c r="E192" s="37" t="inlineStr">
        <is>
          <t>NON_COMM_MONTHLY</t>
        </is>
      </c>
      <c r="F192" s="41" t="n">
        <v>457.6</v>
      </c>
      <c r="G192" s="41" t="n">
        <v>457.6</v>
      </c>
      <c r="H192" s="41" t="n">
        <v>0</v>
      </c>
      <c r="I192" s="41" t="n">
        <v>0</v>
      </c>
      <c r="J192" s="41" t="n">
        <v>0</v>
      </c>
      <c r="K192" s="41" t="n">
        <v>915.2</v>
      </c>
      <c r="L192" s="37" t="inlineStr">
        <is>
          <t>2026-07-17</t>
        </is>
      </c>
      <c r="M192" s="37" t="inlineStr">
        <is>
          <t>WATCH</t>
        </is>
      </c>
      <c r="N192" s="37">
        <f>RIGHT(A192,LEN(A192)-3)</f>
        <v/>
      </c>
      <c r="O192" s="37">
        <f>IF(N192=C192,"YES","NO")</f>
        <v/>
      </c>
      <c r="P192" s="37">
        <f>IFERROR(INDEX(Inventory!$E$2:$E$1181,MATCH(N192,Inventory!$A$2:$A$1181,0)),"NOT FOUND")</f>
        <v/>
      </c>
      <c r="Q192" s="41">
        <f>SUM(F192:J192)</f>
        <v/>
      </c>
      <c r="R192" s="41">
        <f>K192-Q192</f>
        <v/>
      </c>
      <c r="S192" s="41">
        <f>I192+J192</f>
        <v/>
      </c>
      <c r="T192" s="37">
        <f>IF(S192&gt;0,"YES","NO")</f>
        <v/>
      </c>
      <c r="U192" s="37">
        <f>IF(AND(T192="YES",P192="OCCUPIED",O192="YES",ABS(R192)&lt;=0.004),"YES","NO")</f>
        <v/>
      </c>
      <c r="V192" s="37">
        <f>IF(ABS(R192)&gt;0.004,"Priority 3",IF(U192="YES","COLLECTION",""))</f>
        <v/>
      </c>
    </row>
    <row r="193">
      <c r="A193" s="37" t="inlineStr">
        <is>
          <t>AC-LP-0912</t>
        </is>
      </c>
      <c r="B193" s="37" t="inlineStr">
        <is>
          <t>Harry Koch</t>
        </is>
      </c>
      <c r="C193" s="37" t="inlineStr">
        <is>
          <t>LP-0912</t>
        </is>
      </c>
      <c r="D193" s="37" t="inlineStr">
        <is>
          <t>Ledgport</t>
        </is>
      </c>
      <c r="E193" s="37" t="inlineStr">
        <is>
          <t>NON_COMM_MONTHLY</t>
        </is>
      </c>
      <c r="F193" s="41" t="n">
        <v>343.2</v>
      </c>
      <c r="G193" s="41" t="n">
        <v>0</v>
      </c>
      <c r="H193" s="41" t="n">
        <v>0</v>
      </c>
      <c r="I193" s="41" t="n">
        <v>0</v>
      </c>
      <c r="J193" s="41" t="n">
        <v>0</v>
      </c>
      <c r="K193" s="41" t="n">
        <v>343.2</v>
      </c>
      <c r="L193" s="37" t="inlineStr">
        <is>
          <t>2026-06-21</t>
        </is>
      </c>
      <c r="M193" s="37" t="inlineStr">
        <is>
          <t>CURRENT</t>
        </is>
      </c>
      <c r="N193" s="37">
        <f>RIGHT(A193,LEN(A193)-3)</f>
        <v/>
      </c>
      <c r="O193" s="37">
        <f>IF(N193=C193,"YES","NO")</f>
        <v/>
      </c>
      <c r="P193" s="37">
        <f>IFERROR(INDEX(Inventory!$E$2:$E$1181,MATCH(N193,Inventory!$A$2:$A$1181,0)),"NOT FOUND")</f>
        <v/>
      </c>
      <c r="Q193" s="41">
        <f>SUM(F193:J193)</f>
        <v/>
      </c>
      <c r="R193" s="41">
        <f>K193-Q193</f>
        <v/>
      </c>
      <c r="S193" s="41">
        <f>I193+J193</f>
        <v/>
      </c>
      <c r="T193" s="37">
        <f>IF(S193&gt;0,"YES","NO")</f>
        <v/>
      </c>
      <c r="U193" s="37">
        <f>IF(AND(T193="YES",P193="OCCUPIED",O193="YES",ABS(R193)&lt;=0.004),"YES","NO")</f>
        <v/>
      </c>
      <c r="V193" s="37">
        <f>IF(ABS(R193)&gt;0.004,"Priority 3",IF(U193="YES","COLLECTION",""))</f>
        <v/>
      </c>
    </row>
    <row r="194">
      <c r="A194" s="37" t="inlineStr">
        <is>
          <t>AC-LP-0913</t>
        </is>
      </c>
      <c r="B194" s="37" t="inlineStr">
        <is>
          <t>Christina Hernandez</t>
        </is>
      </c>
      <c r="C194" s="37" t="inlineStr">
        <is>
          <t>LP-0913</t>
        </is>
      </c>
      <c r="D194" s="37" t="inlineStr">
        <is>
          <t>Ledgport</t>
        </is>
      </c>
      <c r="E194" s="37" t="inlineStr">
        <is>
          <t>NON_COMM_MONTHLY</t>
        </is>
      </c>
      <c r="F194" s="41" t="n">
        <v>457.6</v>
      </c>
      <c r="G194" s="41" t="n">
        <v>457.6</v>
      </c>
      <c r="H194" s="41" t="n">
        <v>0</v>
      </c>
      <c r="I194" s="41" t="n">
        <v>0</v>
      </c>
      <c r="J194" s="41" t="n">
        <v>0</v>
      </c>
      <c r="K194" s="41" t="n">
        <v>915.2</v>
      </c>
      <c r="L194" s="37" t="inlineStr">
        <is>
          <t>2026-07-05</t>
        </is>
      </c>
      <c r="M194" s="37" t="inlineStr">
        <is>
          <t>WATCH</t>
        </is>
      </c>
      <c r="N194" s="37">
        <f>RIGHT(A194,LEN(A194)-3)</f>
        <v/>
      </c>
      <c r="O194" s="37">
        <f>IF(N194=C194,"YES","NO")</f>
        <v/>
      </c>
      <c r="P194" s="37">
        <f>IFERROR(INDEX(Inventory!$E$2:$E$1181,MATCH(N194,Inventory!$A$2:$A$1181,0)),"NOT FOUND")</f>
        <v/>
      </c>
      <c r="Q194" s="41">
        <f>SUM(F194:J194)</f>
        <v/>
      </c>
      <c r="R194" s="41">
        <f>K194-Q194</f>
        <v/>
      </c>
      <c r="S194" s="41">
        <f>I194+J194</f>
        <v/>
      </c>
      <c r="T194" s="37">
        <f>IF(S194&gt;0,"YES","NO")</f>
        <v/>
      </c>
      <c r="U194" s="37">
        <f>IF(AND(T194="YES",P194="OCCUPIED",O194="YES",ABS(R194)&lt;=0.004),"YES","NO")</f>
        <v/>
      </c>
      <c r="V194" s="37">
        <f>IF(ABS(R194)&gt;0.004,"Priority 3",IF(U194="YES","COLLECTION",""))</f>
        <v/>
      </c>
    </row>
    <row r="195">
      <c r="A195" s="37" t="inlineStr">
        <is>
          <t>AC-LP-0914</t>
        </is>
      </c>
      <c r="B195" s="37" t="inlineStr">
        <is>
          <t>Paige Brown</t>
        </is>
      </c>
      <c r="C195" s="37" t="inlineStr">
        <is>
          <t>LP-0914</t>
        </is>
      </c>
      <c r="D195" s="37" t="inlineStr">
        <is>
          <t>Ledgport</t>
        </is>
      </c>
      <c r="E195" s="37" t="inlineStr">
        <is>
          <t>NON_COMM_MONTHLY</t>
        </is>
      </c>
      <c r="F195" s="41" t="n">
        <v>416</v>
      </c>
      <c r="G195" s="41" t="n">
        <v>0</v>
      </c>
      <c r="H195" s="41" t="n">
        <v>0</v>
      </c>
      <c r="I195" s="41" t="n">
        <v>0</v>
      </c>
      <c r="J195" s="41" t="n">
        <v>0</v>
      </c>
      <c r="K195" s="41" t="n">
        <v>416</v>
      </c>
      <c r="L195" s="37" t="inlineStr">
        <is>
          <t>2026-05-14</t>
        </is>
      </c>
      <c r="M195" s="37" t="inlineStr">
        <is>
          <t>CURRENT</t>
        </is>
      </c>
      <c r="N195" s="37">
        <f>RIGHT(A195,LEN(A195)-3)</f>
        <v/>
      </c>
      <c r="O195" s="37">
        <f>IF(N195=C195,"YES","NO")</f>
        <v/>
      </c>
      <c r="P195" s="37">
        <f>IFERROR(INDEX(Inventory!$E$2:$E$1181,MATCH(N195,Inventory!$A$2:$A$1181,0)),"NOT FOUND")</f>
        <v/>
      </c>
      <c r="Q195" s="41">
        <f>SUM(F195:J195)</f>
        <v/>
      </c>
      <c r="R195" s="41">
        <f>K195-Q195</f>
        <v/>
      </c>
      <c r="S195" s="41">
        <f>I195+J195</f>
        <v/>
      </c>
      <c r="T195" s="37">
        <f>IF(S195&gt;0,"YES","NO")</f>
        <v/>
      </c>
      <c r="U195" s="37">
        <f>IF(AND(T195="YES",P195="OCCUPIED",O195="YES",ABS(R195)&lt;=0.004),"YES","NO")</f>
        <v/>
      </c>
      <c r="V195" s="37">
        <f>IF(ABS(R195)&gt;0.004,"Priority 3",IF(U195="YES","COLLECTION",""))</f>
        <v/>
      </c>
    </row>
    <row r="196">
      <c r="A196" s="37" t="inlineStr">
        <is>
          <t>AC-LP-0915</t>
        </is>
      </c>
      <c r="B196" s="37" t="inlineStr">
        <is>
          <t>Carmen Hernandez</t>
        </is>
      </c>
      <c r="C196" s="37" t="inlineStr">
        <is>
          <t>LP-0915</t>
        </is>
      </c>
      <c r="D196" s="37" t="inlineStr">
        <is>
          <t>Ledgport</t>
        </is>
      </c>
      <c r="E196" s="37" t="inlineStr">
        <is>
          <t>NON_COMM_MONTHLY</t>
        </is>
      </c>
      <c r="F196" s="41" t="n">
        <v>374.4</v>
      </c>
      <c r="G196" s="41" t="n">
        <v>0</v>
      </c>
      <c r="H196" s="41" t="n">
        <v>0</v>
      </c>
      <c r="I196" s="41" t="n">
        <v>0</v>
      </c>
      <c r="J196" s="41" t="n">
        <v>0</v>
      </c>
      <c r="K196" s="41" t="n">
        <v>374.4</v>
      </c>
      <c r="L196" s="37" t="inlineStr">
        <is>
          <t>2026-06-12</t>
        </is>
      </c>
      <c r="M196" s="37" t="inlineStr">
        <is>
          <t>CURRENT</t>
        </is>
      </c>
      <c r="N196" s="37">
        <f>RIGHT(A196,LEN(A196)-3)</f>
        <v/>
      </c>
      <c r="O196" s="37">
        <f>IF(N196=C196,"YES","NO")</f>
        <v/>
      </c>
      <c r="P196" s="37">
        <f>IFERROR(INDEX(Inventory!$E$2:$E$1181,MATCH(N196,Inventory!$A$2:$A$1181,0)),"NOT FOUND")</f>
        <v/>
      </c>
      <c r="Q196" s="41">
        <f>SUM(F196:J196)</f>
        <v/>
      </c>
      <c r="R196" s="41">
        <f>K196-Q196</f>
        <v/>
      </c>
      <c r="S196" s="41">
        <f>I196+J196</f>
        <v/>
      </c>
      <c r="T196" s="37">
        <f>IF(S196&gt;0,"YES","NO")</f>
        <v/>
      </c>
      <c r="U196" s="37">
        <f>IF(AND(T196="YES",P196="OCCUPIED",O196="YES",ABS(R196)&lt;=0.004),"YES","NO")</f>
        <v/>
      </c>
      <c r="V196" s="37">
        <f>IF(ABS(R196)&gt;0.004,"Priority 3",IF(U196="YES","COLLECTION",""))</f>
        <v/>
      </c>
    </row>
    <row r="197">
      <c r="A197" s="37" t="inlineStr">
        <is>
          <t>AC-LP-0917</t>
        </is>
      </c>
      <c r="B197" s="37" t="inlineStr">
        <is>
          <t>Ryan Carr</t>
        </is>
      </c>
      <c r="C197" s="37" t="inlineStr">
        <is>
          <t>LP-0917</t>
        </is>
      </c>
      <c r="D197" s="37" t="inlineStr">
        <is>
          <t>Ledgport</t>
        </is>
      </c>
      <c r="E197" s="37" t="inlineStr">
        <is>
          <t>NON_COMM_MONTHLY</t>
        </is>
      </c>
      <c r="F197" s="41" t="n">
        <v>374.4</v>
      </c>
      <c r="G197" s="41" t="n">
        <v>374.4</v>
      </c>
      <c r="H197" s="41" t="n">
        <v>0</v>
      </c>
      <c r="I197" s="41" t="n">
        <v>0</v>
      </c>
      <c r="J197" s="41" t="n">
        <v>0</v>
      </c>
      <c r="K197" s="41" t="n">
        <v>748.8</v>
      </c>
      <c r="L197" s="37" t="inlineStr">
        <is>
          <t>2026-07-02</t>
        </is>
      </c>
      <c r="M197" s="37" t="inlineStr">
        <is>
          <t>WATCH</t>
        </is>
      </c>
      <c r="N197" s="37">
        <f>RIGHT(A197,LEN(A197)-3)</f>
        <v/>
      </c>
      <c r="O197" s="37">
        <f>IF(N197=C197,"YES","NO")</f>
        <v/>
      </c>
      <c r="P197" s="37">
        <f>IFERROR(INDEX(Inventory!$E$2:$E$1181,MATCH(N197,Inventory!$A$2:$A$1181,0)),"NOT FOUND")</f>
        <v/>
      </c>
      <c r="Q197" s="41">
        <f>SUM(F197:J197)</f>
        <v/>
      </c>
      <c r="R197" s="41">
        <f>K197-Q197</f>
        <v/>
      </c>
      <c r="S197" s="41">
        <f>I197+J197</f>
        <v/>
      </c>
      <c r="T197" s="37">
        <f>IF(S197&gt;0,"YES","NO")</f>
        <v/>
      </c>
      <c r="U197" s="37">
        <f>IF(AND(T197="YES",P197="OCCUPIED",O197="YES",ABS(R197)&lt;=0.004),"YES","NO")</f>
        <v/>
      </c>
      <c r="V197" s="37">
        <f>IF(ABS(R197)&gt;0.004,"Priority 3",IF(U197="YES","COLLECTION",""))</f>
        <v/>
      </c>
    </row>
    <row r="198">
      <c r="A198" s="37" t="inlineStr">
        <is>
          <t>AC-LP-0918</t>
        </is>
      </c>
      <c r="B198" s="37" t="inlineStr">
        <is>
          <t>Jennifer Campbell</t>
        </is>
      </c>
      <c r="C198" s="37" t="inlineStr">
        <is>
          <t>LP-0918</t>
        </is>
      </c>
      <c r="D198" s="37" t="inlineStr">
        <is>
          <t>Ledgport</t>
        </is>
      </c>
      <c r="E198" s="37" t="inlineStr">
        <is>
          <t>NON_COMM_MONTHLY</t>
        </is>
      </c>
      <c r="F198" s="41" t="n">
        <v>613.6</v>
      </c>
      <c r="G198" s="41" t="n">
        <v>0</v>
      </c>
      <c r="H198" s="41" t="n">
        <v>0</v>
      </c>
      <c r="I198" s="41" t="n">
        <v>0</v>
      </c>
      <c r="J198" s="41" t="n">
        <v>0</v>
      </c>
      <c r="K198" s="41" t="n">
        <v>613.6</v>
      </c>
      <c r="L198" s="37" t="inlineStr">
        <is>
          <t>2026-06-30</t>
        </is>
      </c>
      <c r="M198" s="37" t="inlineStr">
        <is>
          <t>CURRENT</t>
        </is>
      </c>
      <c r="N198" s="37">
        <f>RIGHT(A198,LEN(A198)-3)</f>
        <v/>
      </c>
      <c r="O198" s="37">
        <f>IF(N198=C198,"YES","NO")</f>
        <v/>
      </c>
      <c r="P198" s="37">
        <f>IFERROR(INDEX(Inventory!$E$2:$E$1181,MATCH(N198,Inventory!$A$2:$A$1181,0)),"NOT FOUND")</f>
        <v/>
      </c>
      <c r="Q198" s="41">
        <f>SUM(F198:J198)</f>
        <v/>
      </c>
      <c r="R198" s="41">
        <f>K198-Q198</f>
        <v/>
      </c>
      <c r="S198" s="41">
        <f>I198+J198</f>
        <v/>
      </c>
      <c r="T198" s="37">
        <f>IF(S198&gt;0,"YES","NO")</f>
        <v/>
      </c>
      <c r="U198" s="37">
        <f>IF(AND(T198="YES",P198="OCCUPIED",O198="YES",ABS(R198)&lt;=0.004),"YES","NO")</f>
        <v/>
      </c>
      <c r="V198" s="37">
        <f>IF(ABS(R198)&gt;0.004,"Priority 3",IF(U198="YES","COLLECTION",""))</f>
        <v/>
      </c>
    </row>
    <row r="199">
      <c r="A199" s="37" t="inlineStr">
        <is>
          <t>AC-LP-0919</t>
        </is>
      </c>
      <c r="B199" s="37" t="inlineStr">
        <is>
          <t>Pamela Wright</t>
        </is>
      </c>
      <c r="C199" s="37" t="inlineStr">
        <is>
          <t>LP-0919</t>
        </is>
      </c>
      <c r="D199" s="37" t="inlineStr">
        <is>
          <t>Ledgport</t>
        </is>
      </c>
      <c r="E199" s="37" t="inlineStr">
        <is>
          <t>NON_COMM_MONTHLY</t>
        </is>
      </c>
      <c r="F199" s="41" t="n">
        <v>332.8</v>
      </c>
      <c r="G199" s="41" t="n">
        <v>0</v>
      </c>
      <c r="H199" s="41" t="n">
        <v>0</v>
      </c>
      <c r="I199" s="41" t="n">
        <v>0</v>
      </c>
      <c r="J199" s="41" t="n">
        <v>0</v>
      </c>
      <c r="K199" s="41" t="n">
        <v>332.8</v>
      </c>
      <c r="L199" s="37" t="inlineStr">
        <is>
          <t>2026-07-11</t>
        </is>
      </c>
      <c r="M199" s="37" t="inlineStr">
        <is>
          <t>CURRENT</t>
        </is>
      </c>
      <c r="N199" s="37">
        <f>RIGHT(A199,LEN(A199)-3)</f>
        <v/>
      </c>
      <c r="O199" s="37">
        <f>IF(N199=C199,"YES","NO")</f>
        <v/>
      </c>
      <c r="P199" s="37">
        <f>IFERROR(INDEX(Inventory!$E$2:$E$1181,MATCH(N199,Inventory!$A$2:$A$1181,0)),"NOT FOUND")</f>
        <v/>
      </c>
      <c r="Q199" s="41">
        <f>SUM(F199:J199)</f>
        <v/>
      </c>
      <c r="R199" s="41">
        <f>K199-Q199</f>
        <v/>
      </c>
      <c r="S199" s="41">
        <f>I199+J199</f>
        <v/>
      </c>
      <c r="T199" s="37">
        <f>IF(S199&gt;0,"YES","NO")</f>
        <v/>
      </c>
      <c r="U199" s="37">
        <f>IF(AND(T199="YES",P199="OCCUPIED",O199="YES",ABS(R199)&lt;=0.004),"YES","NO")</f>
        <v/>
      </c>
      <c r="V199" s="37">
        <f>IF(ABS(R199)&gt;0.004,"Priority 3",IF(U199="YES","COLLECTION",""))</f>
        <v/>
      </c>
    </row>
    <row r="200">
      <c r="A200" s="37" t="inlineStr">
        <is>
          <t>AC-LP-0920</t>
        </is>
      </c>
      <c r="B200" s="37" t="inlineStr">
        <is>
          <t>Jason Kim</t>
        </is>
      </c>
      <c r="C200" s="37" t="inlineStr">
        <is>
          <t>LP-0920</t>
        </is>
      </c>
      <c r="D200" s="37" t="inlineStr">
        <is>
          <t>Ledgport</t>
        </is>
      </c>
      <c r="E200" s="37" t="inlineStr">
        <is>
          <t>NON_COMM_MONTHLY</t>
        </is>
      </c>
      <c r="F200" s="41" t="n">
        <v>405.6</v>
      </c>
      <c r="G200" s="41" t="n">
        <v>0</v>
      </c>
      <c r="H200" s="41" t="n">
        <v>0</v>
      </c>
      <c r="I200" s="41" t="n">
        <v>0</v>
      </c>
      <c r="J200" s="41" t="n">
        <v>0</v>
      </c>
      <c r="K200" s="41" t="n">
        <v>405.6</v>
      </c>
      <c r="L200" s="37" t="inlineStr">
        <is>
          <t>2026-05-22</t>
        </is>
      </c>
      <c r="M200" s="37" t="inlineStr">
        <is>
          <t>CURRENT</t>
        </is>
      </c>
      <c r="N200" s="37">
        <f>RIGHT(A200,LEN(A200)-3)</f>
        <v/>
      </c>
      <c r="O200" s="37">
        <f>IF(N200=C200,"YES","NO")</f>
        <v/>
      </c>
      <c r="P200" s="37">
        <f>IFERROR(INDEX(Inventory!$E$2:$E$1181,MATCH(N200,Inventory!$A$2:$A$1181,0)),"NOT FOUND")</f>
        <v/>
      </c>
      <c r="Q200" s="41">
        <f>SUM(F200:J200)</f>
        <v/>
      </c>
      <c r="R200" s="41">
        <f>K200-Q200</f>
        <v/>
      </c>
      <c r="S200" s="41">
        <f>I200+J200</f>
        <v/>
      </c>
      <c r="T200" s="37">
        <f>IF(S200&gt;0,"YES","NO")</f>
        <v/>
      </c>
      <c r="U200" s="37">
        <f>IF(AND(T200="YES",P200="OCCUPIED",O200="YES",ABS(R200)&lt;=0.004),"YES","NO")</f>
        <v/>
      </c>
      <c r="V200" s="37">
        <f>IF(ABS(R200)&gt;0.004,"Priority 3",IF(U200="YES","COLLECTION",""))</f>
        <v/>
      </c>
    </row>
    <row r="201">
      <c r="A201" s="37" t="inlineStr">
        <is>
          <t>AC-LP-0921</t>
        </is>
      </c>
      <c r="B201" s="37" t="inlineStr">
        <is>
          <t>Chris Chavez</t>
        </is>
      </c>
      <c r="C201" s="37" t="inlineStr">
        <is>
          <t>LP-0921</t>
        </is>
      </c>
      <c r="D201" s="37" t="inlineStr">
        <is>
          <t>Ledgport</t>
        </is>
      </c>
      <c r="E201" s="37" t="inlineStr">
        <is>
          <t>NON_COMM_MONTHLY</t>
        </is>
      </c>
      <c r="F201" s="41" t="n">
        <v>291.2</v>
      </c>
      <c r="G201" s="41" t="n">
        <v>0</v>
      </c>
      <c r="H201" s="41" t="n">
        <v>0</v>
      </c>
      <c r="I201" s="41" t="n">
        <v>0</v>
      </c>
      <c r="J201" s="41" t="n">
        <v>0</v>
      </c>
      <c r="K201" s="41" t="n">
        <v>291.2</v>
      </c>
      <c r="L201" s="37" t="inlineStr">
        <is>
          <t>2026-07-01</t>
        </is>
      </c>
      <c r="M201" s="37" t="inlineStr">
        <is>
          <t>CURRENT</t>
        </is>
      </c>
      <c r="N201" s="37">
        <f>RIGHT(A201,LEN(A201)-3)</f>
        <v/>
      </c>
      <c r="O201" s="37">
        <f>IF(N201=C201,"YES","NO")</f>
        <v/>
      </c>
      <c r="P201" s="37">
        <f>IFERROR(INDEX(Inventory!$E$2:$E$1181,MATCH(N201,Inventory!$A$2:$A$1181,0)),"NOT FOUND")</f>
        <v/>
      </c>
      <c r="Q201" s="41">
        <f>SUM(F201:J201)</f>
        <v/>
      </c>
      <c r="R201" s="41">
        <f>K201-Q201</f>
        <v/>
      </c>
      <c r="S201" s="41">
        <f>I201+J201</f>
        <v/>
      </c>
      <c r="T201" s="37">
        <f>IF(S201&gt;0,"YES","NO")</f>
        <v/>
      </c>
      <c r="U201" s="37">
        <f>IF(AND(T201="YES",P201="OCCUPIED",O201="YES",ABS(R201)&lt;=0.004),"YES","NO")</f>
        <v/>
      </c>
      <c r="V201" s="37">
        <f>IF(ABS(R201)&gt;0.004,"Priority 3",IF(U201="YES","COLLECTION",""))</f>
        <v/>
      </c>
    </row>
    <row r="202">
      <c r="A202" s="37" t="inlineStr">
        <is>
          <t>AC-LP-0922</t>
        </is>
      </c>
      <c r="B202" s="37" t="inlineStr">
        <is>
          <t>Joel Thomas</t>
        </is>
      </c>
      <c r="C202" s="37" t="inlineStr">
        <is>
          <t>LP-0922</t>
        </is>
      </c>
      <c r="D202" s="37" t="inlineStr">
        <is>
          <t>Ledgport</t>
        </is>
      </c>
      <c r="E202" s="37" t="inlineStr">
        <is>
          <t>NON_COMM_MONTHLY</t>
        </is>
      </c>
      <c r="F202" s="41" t="n">
        <v>603.2</v>
      </c>
      <c r="G202" s="41" t="n">
        <v>0</v>
      </c>
      <c r="H202" s="41" t="n">
        <v>0</v>
      </c>
      <c r="I202" s="41" t="n">
        <v>0</v>
      </c>
      <c r="J202" s="41" t="n">
        <v>0</v>
      </c>
      <c r="K202" s="41" t="n">
        <v>603.2</v>
      </c>
      <c r="L202" s="37" t="inlineStr">
        <is>
          <t>2026-06-15</t>
        </is>
      </c>
      <c r="M202" s="37" t="inlineStr">
        <is>
          <t>CURRENT</t>
        </is>
      </c>
      <c r="N202" s="37">
        <f>RIGHT(A202,LEN(A202)-3)</f>
        <v/>
      </c>
      <c r="O202" s="37">
        <f>IF(N202=C202,"YES","NO")</f>
        <v/>
      </c>
      <c r="P202" s="37">
        <f>IFERROR(INDEX(Inventory!$E$2:$E$1181,MATCH(N202,Inventory!$A$2:$A$1181,0)),"NOT FOUND")</f>
        <v/>
      </c>
      <c r="Q202" s="41">
        <f>SUM(F202:J202)</f>
        <v/>
      </c>
      <c r="R202" s="41">
        <f>K202-Q202</f>
        <v/>
      </c>
      <c r="S202" s="41">
        <f>I202+J202</f>
        <v/>
      </c>
      <c r="T202" s="37">
        <f>IF(S202&gt;0,"YES","NO")</f>
        <v/>
      </c>
      <c r="U202" s="37">
        <f>IF(AND(T202="YES",P202="OCCUPIED",O202="YES",ABS(R202)&lt;=0.004),"YES","NO")</f>
        <v/>
      </c>
      <c r="V202" s="37">
        <f>IF(ABS(R202)&gt;0.004,"Priority 3",IF(U202="YES","COLLECTION",""))</f>
        <v/>
      </c>
    </row>
    <row r="203">
      <c r="A203" s="37" t="inlineStr">
        <is>
          <t>AC-LP-0923</t>
        </is>
      </c>
      <c r="B203" s="37" t="inlineStr">
        <is>
          <t>Russell Barnes</t>
        </is>
      </c>
      <c r="C203" s="37" t="inlineStr">
        <is>
          <t>LP-0923</t>
        </is>
      </c>
      <c r="D203" s="37" t="inlineStr">
        <is>
          <t>Ledgport</t>
        </is>
      </c>
      <c r="E203" s="37" t="inlineStr">
        <is>
          <t>NON_COMM_MONTHLY</t>
        </is>
      </c>
      <c r="F203" s="41" t="n">
        <v>249.6</v>
      </c>
      <c r="G203" s="41" t="n">
        <v>0</v>
      </c>
      <c r="H203" s="41" t="n">
        <v>0</v>
      </c>
      <c r="I203" s="41" t="n">
        <v>0</v>
      </c>
      <c r="J203" s="41" t="n">
        <v>0</v>
      </c>
      <c r="K203" s="41" t="n">
        <v>249.6</v>
      </c>
      <c r="L203" s="37" t="inlineStr">
        <is>
          <t>2026-06-11</t>
        </is>
      </c>
      <c r="M203" s="37" t="inlineStr">
        <is>
          <t>CURRENT</t>
        </is>
      </c>
      <c r="N203" s="37">
        <f>RIGHT(A203,LEN(A203)-3)</f>
        <v/>
      </c>
      <c r="O203" s="37">
        <f>IF(N203=C203,"YES","NO")</f>
        <v/>
      </c>
      <c r="P203" s="37">
        <f>IFERROR(INDEX(Inventory!$E$2:$E$1181,MATCH(N203,Inventory!$A$2:$A$1181,0)),"NOT FOUND")</f>
        <v/>
      </c>
      <c r="Q203" s="41">
        <f>SUM(F203:J203)</f>
        <v/>
      </c>
      <c r="R203" s="41">
        <f>K203-Q203</f>
        <v/>
      </c>
      <c r="S203" s="41">
        <f>I203+J203</f>
        <v/>
      </c>
      <c r="T203" s="37">
        <f>IF(S203&gt;0,"YES","NO")</f>
        <v/>
      </c>
      <c r="U203" s="37">
        <f>IF(AND(T203="YES",P203="OCCUPIED",O203="YES",ABS(R203)&lt;=0.004),"YES","NO")</f>
        <v/>
      </c>
      <c r="V203" s="37">
        <f>IF(ABS(R203)&gt;0.004,"Priority 3",IF(U203="YES","COLLECTION",""))</f>
        <v/>
      </c>
    </row>
    <row r="204">
      <c r="A204" s="37" t="inlineStr">
        <is>
          <t>AC-LP-0924</t>
        </is>
      </c>
      <c r="B204" s="37" t="inlineStr">
        <is>
          <t>Matthew King</t>
        </is>
      </c>
      <c r="C204" s="37" t="inlineStr">
        <is>
          <t>LP-0924</t>
        </is>
      </c>
      <c r="D204" s="37" t="inlineStr">
        <is>
          <t>Ledgport</t>
        </is>
      </c>
      <c r="E204" s="37" t="inlineStr">
        <is>
          <t>NON_COMM_MONTHLY</t>
        </is>
      </c>
      <c r="F204" s="41" t="n">
        <v>624</v>
      </c>
      <c r="G204" s="41" t="n">
        <v>0</v>
      </c>
      <c r="H204" s="41" t="n">
        <v>0</v>
      </c>
      <c r="I204" s="41" t="n">
        <v>0</v>
      </c>
      <c r="J204" s="41" t="n">
        <v>0</v>
      </c>
      <c r="K204" s="41" t="n">
        <v>624</v>
      </c>
      <c r="L204" s="37" t="inlineStr">
        <is>
          <t>2026-07-24</t>
        </is>
      </c>
      <c r="M204" s="37" t="inlineStr">
        <is>
          <t>CURRENT</t>
        </is>
      </c>
      <c r="N204" s="37">
        <f>RIGHT(A204,LEN(A204)-3)</f>
        <v/>
      </c>
      <c r="O204" s="37">
        <f>IF(N204=C204,"YES","NO")</f>
        <v/>
      </c>
      <c r="P204" s="37">
        <f>IFERROR(INDEX(Inventory!$E$2:$E$1181,MATCH(N204,Inventory!$A$2:$A$1181,0)),"NOT FOUND")</f>
        <v/>
      </c>
      <c r="Q204" s="41">
        <f>SUM(F204:J204)</f>
        <v/>
      </c>
      <c r="R204" s="41">
        <f>K204-Q204</f>
        <v/>
      </c>
      <c r="S204" s="41">
        <f>I204+J204</f>
        <v/>
      </c>
      <c r="T204" s="37">
        <f>IF(S204&gt;0,"YES","NO")</f>
        <v/>
      </c>
      <c r="U204" s="37">
        <f>IF(AND(T204="YES",P204="OCCUPIED",O204="YES",ABS(R204)&lt;=0.004),"YES","NO")</f>
        <v/>
      </c>
      <c r="V204" s="37">
        <f>IF(ABS(R204)&gt;0.004,"Priority 3",IF(U204="YES","COLLECTION",""))</f>
        <v/>
      </c>
    </row>
    <row r="205">
      <c r="A205" s="37" t="inlineStr">
        <is>
          <t>AC-LP-1001</t>
        </is>
      </c>
      <c r="B205" s="37" t="inlineStr">
        <is>
          <t>Lindsay Alexander</t>
        </is>
      </c>
      <c r="C205" s="37" t="inlineStr">
        <is>
          <t>LP-1001</t>
        </is>
      </c>
      <c r="D205" s="37" t="inlineStr">
        <is>
          <t>Ledgport</t>
        </is>
      </c>
      <c r="E205" s="37" t="inlineStr">
        <is>
          <t>NON_COMM_MONTHLY</t>
        </is>
      </c>
      <c r="F205" s="41" t="n">
        <v>572</v>
      </c>
      <c r="G205" s="41" t="n">
        <v>0</v>
      </c>
      <c r="H205" s="41" t="n">
        <v>0</v>
      </c>
      <c r="I205" s="41" t="n">
        <v>0</v>
      </c>
      <c r="J205" s="41" t="n">
        <v>0</v>
      </c>
      <c r="K205" s="41" t="n">
        <v>572</v>
      </c>
      <c r="L205" s="37" t="inlineStr">
        <is>
          <t>2026-06-12</t>
        </is>
      </c>
      <c r="M205" s="37" t="inlineStr">
        <is>
          <t>CURRENT</t>
        </is>
      </c>
      <c r="N205" s="37">
        <f>RIGHT(A205,LEN(A205)-3)</f>
        <v/>
      </c>
      <c r="O205" s="37">
        <f>IF(N205=C205,"YES","NO")</f>
        <v/>
      </c>
      <c r="P205" s="37">
        <f>IFERROR(INDEX(Inventory!$E$2:$E$1181,MATCH(N205,Inventory!$A$2:$A$1181,0)),"NOT FOUND")</f>
        <v/>
      </c>
      <c r="Q205" s="41">
        <f>SUM(F205:J205)</f>
        <v/>
      </c>
      <c r="R205" s="41">
        <f>K205-Q205</f>
        <v/>
      </c>
      <c r="S205" s="41">
        <f>I205+J205</f>
        <v/>
      </c>
      <c r="T205" s="37">
        <f>IF(S205&gt;0,"YES","NO")</f>
        <v/>
      </c>
      <c r="U205" s="37">
        <f>IF(AND(T205="YES",P205="OCCUPIED",O205="YES",ABS(R205)&lt;=0.004),"YES","NO")</f>
        <v/>
      </c>
      <c r="V205" s="37">
        <f>IF(ABS(R205)&gt;0.004,"Priority 3",IF(U205="YES","COLLECTION",""))</f>
        <v/>
      </c>
    </row>
    <row r="206">
      <c r="A206" s="37" t="inlineStr">
        <is>
          <t>AC-LP-1002</t>
        </is>
      </c>
      <c r="B206" s="37" t="inlineStr">
        <is>
          <t>Richard Norris</t>
        </is>
      </c>
      <c r="C206" s="37" t="inlineStr">
        <is>
          <t>LP-1002</t>
        </is>
      </c>
      <c r="D206" s="37" t="inlineStr">
        <is>
          <t>Ledgport</t>
        </is>
      </c>
      <c r="E206" s="37" t="inlineStr">
        <is>
          <t>NON_COMM_MONTHLY</t>
        </is>
      </c>
      <c r="F206" s="41" t="n">
        <v>644.8</v>
      </c>
      <c r="G206" s="41" t="n">
        <v>0</v>
      </c>
      <c r="H206" s="41" t="n">
        <v>0</v>
      </c>
      <c r="I206" s="41" t="n">
        <v>0</v>
      </c>
      <c r="J206" s="41" t="n">
        <v>0</v>
      </c>
      <c r="K206" s="41" t="n">
        <v>644.8</v>
      </c>
      <c r="L206" s="37" t="inlineStr">
        <is>
          <t>2026-06-21</t>
        </is>
      </c>
      <c r="M206" s="37" t="inlineStr">
        <is>
          <t>CURRENT</t>
        </is>
      </c>
      <c r="N206" s="37">
        <f>RIGHT(A206,LEN(A206)-3)</f>
        <v/>
      </c>
      <c r="O206" s="37">
        <f>IF(N206=C206,"YES","NO")</f>
        <v/>
      </c>
      <c r="P206" s="37">
        <f>IFERROR(INDEX(Inventory!$E$2:$E$1181,MATCH(N206,Inventory!$A$2:$A$1181,0)),"NOT FOUND")</f>
        <v/>
      </c>
      <c r="Q206" s="41">
        <f>SUM(F206:J206)</f>
        <v/>
      </c>
      <c r="R206" s="41">
        <f>K206-Q206</f>
        <v/>
      </c>
      <c r="S206" s="41">
        <f>I206+J206</f>
        <v/>
      </c>
      <c r="T206" s="37">
        <f>IF(S206&gt;0,"YES","NO")</f>
        <v/>
      </c>
      <c r="U206" s="37">
        <f>IF(AND(T206="YES",P206="OCCUPIED",O206="YES",ABS(R206)&lt;=0.004),"YES","NO")</f>
        <v/>
      </c>
      <c r="V206" s="37">
        <f>IF(ABS(R206)&gt;0.004,"Priority 3",IF(U206="YES","COLLECTION",""))</f>
        <v/>
      </c>
    </row>
    <row r="207">
      <c r="A207" s="37" t="inlineStr">
        <is>
          <t>AC-LP-1003</t>
        </is>
      </c>
      <c r="B207" s="37" t="inlineStr">
        <is>
          <t>Donna Weber</t>
        </is>
      </c>
      <c r="C207" s="37" t="inlineStr">
        <is>
          <t>LP-1003</t>
        </is>
      </c>
      <c r="D207" s="37" t="inlineStr">
        <is>
          <t>Ledgport</t>
        </is>
      </c>
      <c r="E207" s="37" t="inlineStr">
        <is>
          <t>NON_COMM_MONTHLY</t>
        </is>
      </c>
      <c r="F207" s="41" t="n">
        <v>592.8</v>
      </c>
      <c r="G207" s="41" t="n">
        <v>592.8</v>
      </c>
      <c r="H207" s="41" t="n">
        <v>592.8</v>
      </c>
      <c r="I207" s="41" t="n">
        <v>0</v>
      </c>
      <c r="J207" s="41" t="n">
        <v>0</v>
      </c>
      <c r="K207" s="41" t="n">
        <v>1778.4</v>
      </c>
      <c r="L207" s="37" t="inlineStr">
        <is>
          <t>2026-06-22</t>
        </is>
      </c>
      <c r="M207" s="37" t="inlineStr">
        <is>
          <t>COLLECTIONS</t>
        </is>
      </c>
      <c r="N207" s="37">
        <f>RIGHT(A207,LEN(A207)-3)</f>
        <v/>
      </c>
      <c r="O207" s="37">
        <f>IF(N207=C207,"YES","NO")</f>
        <v/>
      </c>
      <c r="P207" s="37">
        <f>IFERROR(INDEX(Inventory!$E$2:$E$1181,MATCH(N207,Inventory!$A$2:$A$1181,0)),"NOT FOUND")</f>
        <v/>
      </c>
      <c r="Q207" s="41">
        <f>SUM(F207:J207)</f>
        <v/>
      </c>
      <c r="R207" s="41">
        <f>K207-Q207</f>
        <v/>
      </c>
      <c r="S207" s="41">
        <f>I207+J207</f>
        <v/>
      </c>
      <c r="T207" s="37">
        <f>IF(S207&gt;0,"YES","NO")</f>
        <v/>
      </c>
      <c r="U207" s="37">
        <f>IF(AND(T207="YES",P207="OCCUPIED",O207="YES",ABS(R207)&lt;=0.004),"YES","NO")</f>
        <v/>
      </c>
      <c r="V207" s="37">
        <f>IF(ABS(R207)&gt;0.004,"Priority 3",IF(U207="YES","COLLECTION",""))</f>
        <v/>
      </c>
    </row>
    <row r="208">
      <c r="A208" s="37" t="inlineStr">
        <is>
          <t>AC-LP-1004</t>
        </is>
      </c>
      <c r="B208" s="37" t="inlineStr">
        <is>
          <t>Mary Ford</t>
        </is>
      </c>
      <c r="C208" s="37" t="inlineStr">
        <is>
          <t>LP-1004</t>
        </is>
      </c>
      <c r="D208" s="37" t="inlineStr">
        <is>
          <t>Ledgport</t>
        </is>
      </c>
      <c r="E208" s="37" t="inlineStr">
        <is>
          <t>NON_COMM_MONTHLY</t>
        </is>
      </c>
      <c r="F208" s="41" t="n">
        <v>353.6</v>
      </c>
      <c r="G208" s="41" t="n">
        <v>0</v>
      </c>
      <c r="H208" s="41" t="n">
        <v>0</v>
      </c>
      <c r="I208" s="41" t="n">
        <v>0</v>
      </c>
      <c r="J208" s="41" t="n">
        <v>0</v>
      </c>
      <c r="K208" s="41" t="n">
        <v>353.6</v>
      </c>
      <c r="L208" s="37" t="inlineStr">
        <is>
          <t>2026-07-23</t>
        </is>
      </c>
      <c r="M208" s="37" t="inlineStr">
        <is>
          <t>CURRENT</t>
        </is>
      </c>
      <c r="N208" s="37">
        <f>RIGHT(A208,LEN(A208)-3)</f>
        <v/>
      </c>
      <c r="O208" s="37">
        <f>IF(N208=C208,"YES","NO")</f>
        <v/>
      </c>
      <c r="P208" s="37">
        <f>IFERROR(INDEX(Inventory!$E$2:$E$1181,MATCH(N208,Inventory!$A$2:$A$1181,0)),"NOT FOUND")</f>
        <v/>
      </c>
      <c r="Q208" s="41">
        <f>SUM(F208:J208)</f>
        <v/>
      </c>
      <c r="R208" s="41">
        <f>K208-Q208</f>
        <v/>
      </c>
      <c r="S208" s="41">
        <f>I208+J208</f>
        <v/>
      </c>
      <c r="T208" s="37">
        <f>IF(S208&gt;0,"YES","NO")</f>
        <v/>
      </c>
      <c r="U208" s="37">
        <f>IF(AND(T208="YES",P208="OCCUPIED",O208="YES",ABS(R208)&lt;=0.004),"YES","NO")</f>
        <v/>
      </c>
      <c r="V208" s="37">
        <f>IF(ABS(R208)&gt;0.004,"Priority 3",IF(U208="YES","COLLECTION",""))</f>
        <v/>
      </c>
    </row>
    <row r="209">
      <c r="A209" s="37" t="inlineStr">
        <is>
          <t>AC-LP-1005</t>
        </is>
      </c>
      <c r="B209" s="37" t="inlineStr">
        <is>
          <t>Gary Wade</t>
        </is>
      </c>
      <c r="C209" s="37" t="inlineStr">
        <is>
          <t>LP-1005</t>
        </is>
      </c>
      <c r="D209" s="37" t="inlineStr">
        <is>
          <t>Ledgport</t>
        </is>
      </c>
      <c r="E209" s="37" t="inlineStr">
        <is>
          <t>NON_COMM_MONTHLY</t>
        </is>
      </c>
      <c r="F209" s="41" t="n">
        <v>395.2</v>
      </c>
      <c r="G209" s="41" t="n">
        <v>0</v>
      </c>
      <c r="H209" s="41" t="n">
        <v>0</v>
      </c>
      <c r="I209" s="41" t="n">
        <v>0</v>
      </c>
      <c r="J209" s="41" t="n">
        <v>0</v>
      </c>
      <c r="K209" s="41" t="n">
        <v>395.2</v>
      </c>
      <c r="L209" s="37" t="inlineStr">
        <is>
          <t>2026-07-07</t>
        </is>
      </c>
      <c r="M209" s="37" t="inlineStr">
        <is>
          <t>CURRENT</t>
        </is>
      </c>
      <c r="N209" s="37">
        <f>RIGHT(A209,LEN(A209)-3)</f>
        <v/>
      </c>
      <c r="O209" s="37">
        <f>IF(N209=C209,"YES","NO")</f>
        <v/>
      </c>
      <c r="P209" s="37">
        <f>IFERROR(INDEX(Inventory!$E$2:$E$1181,MATCH(N209,Inventory!$A$2:$A$1181,0)),"NOT FOUND")</f>
        <v/>
      </c>
      <c r="Q209" s="41">
        <f>SUM(F209:J209)</f>
        <v/>
      </c>
      <c r="R209" s="41">
        <f>K209-Q209</f>
        <v/>
      </c>
      <c r="S209" s="41">
        <f>I209+J209</f>
        <v/>
      </c>
      <c r="T209" s="37">
        <f>IF(S209&gt;0,"YES","NO")</f>
        <v/>
      </c>
      <c r="U209" s="37">
        <f>IF(AND(T209="YES",P209="OCCUPIED",O209="YES",ABS(R209)&lt;=0.004),"YES","NO")</f>
        <v/>
      </c>
      <c r="V209" s="37">
        <f>IF(ABS(R209)&gt;0.004,"Priority 3",IF(U209="YES","COLLECTION",""))</f>
        <v/>
      </c>
    </row>
    <row r="210">
      <c r="A210" s="37" t="inlineStr">
        <is>
          <t>AC-LP-1006</t>
        </is>
      </c>
      <c r="B210" s="37" t="inlineStr">
        <is>
          <t>Carol Scott</t>
        </is>
      </c>
      <c r="C210" s="37" t="inlineStr">
        <is>
          <t>LP-1006</t>
        </is>
      </c>
      <c r="D210" s="37" t="inlineStr">
        <is>
          <t>Ledgport</t>
        </is>
      </c>
      <c r="E210" s="37" t="inlineStr">
        <is>
          <t>NON_COMM_MONTHLY</t>
        </is>
      </c>
      <c r="F210" s="41" t="n">
        <v>374.4</v>
      </c>
      <c r="G210" s="41" t="n">
        <v>0</v>
      </c>
      <c r="H210" s="41" t="n">
        <v>0</v>
      </c>
      <c r="I210" s="41" t="n">
        <v>0</v>
      </c>
      <c r="J210" s="41" t="n">
        <v>0</v>
      </c>
      <c r="K210" s="41" t="n">
        <v>374.4</v>
      </c>
      <c r="L210" s="37" t="inlineStr">
        <is>
          <t>2026-06-16</t>
        </is>
      </c>
      <c r="M210" s="37" t="inlineStr">
        <is>
          <t>CURRENT</t>
        </is>
      </c>
      <c r="N210" s="37">
        <f>RIGHT(A210,LEN(A210)-3)</f>
        <v/>
      </c>
      <c r="O210" s="37">
        <f>IF(N210=C210,"YES","NO")</f>
        <v/>
      </c>
      <c r="P210" s="37">
        <f>IFERROR(INDEX(Inventory!$E$2:$E$1181,MATCH(N210,Inventory!$A$2:$A$1181,0)),"NOT FOUND")</f>
        <v/>
      </c>
      <c r="Q210" s="41">
        <f>SUM(F210:J210)</f>
        <v/>
      </c>
      <c r="R210" s="41">
        <f>K210-Q210</f>
        <v/>
      </c>
      <c r="S210" s="41">
        <f>I210+J210</f>
        <v/>
      </c>
      <c r="T210" s="37">
        <f>IF(S210&gt;0,"YES","NO")</f>
        <v/>
      </c>
      <c r="U210" s="37">
        <f>IF(AND(T210="YES",P210="OCCUPIED",O210="YES",ABS(R210)&lt;=0.004),"YES","NO")</f>
        <v/>
      </c>
      <c r="V210" s="37">
        <f>IF(ABS(R210)&gt;0.004,"Priority 3",IF(U210="YES","COLLECTION",""))</f>
        <v/>
      </c>
    </row>
    <row r="211">
      <c r="A211" s="37" t="inlineStr">
        <is>
          <t>AC-LP-1007</t>
        </is>
      </c>
      <c r="B211" s="37" t="inlineStr">
        <is>
          <t>Shawn Carter</t>
        </is>
      </c>
      <c r="C211" s="37" t="inlineStr">
        <is>
          <t>LP-1007</t>
        </is>
      </c>
      <c r="D211" s="37" t="inlineStr">
        <is>
          <t>Ledgport</t>
        </is>
      </c>
      <c r="E211" s="37" t="inlineStr">
        <is>
          <t>NON_COMM_MONTHLY</t>
        </is>
      </c>
      <c r="F211" s="41" t="n">
        <v>603.2</v>
      </c>
      <c r="G211" s="41" t="n">
        <v>0</v>
      </c>
      <c r="H211" s="41" t="n">
        <v>0</v>
      </c>
      <c r="I211" s="41" t="n">
        <v>0</v>
      </c>
      <c r="J211" s="41" t="n">
        <v>0</v>
      </c>
      <c r="K211" s="41" t="n">
        <v>603.2</v>
      </c>
      <c r="L211" s="37" t="inlineStr">
        <is>
          <t>2026-06-04</t>
        </is>
      </c>
      <c r="M211" s="37" t="inlineStr">
        <is>
          <t>CURRENT</t>
        </is>
      </c>
      <c r="N211" s="37">
        <f>RIGHT(A211,LEN(A211)-3)</f>
        <v/>
      </c>
      <c r="O211" s="37">
        <f>IF(N211=C211,"YES","NO")</f>
        <v/>
      </c>
      <c r="P211" s="37">
        <f>IFERROR(INDEX(Inventory!$E$2:$E$1181,MATCH(N211,Inventory!$A$2:$A$1181,0)),"NOT FOUND")</f>
        <v/>
      </c>
      <c r="Q211" s="41">
        <f>SUM(F211:J211)</f>
        <v/>
      </c>
      <c r="R211" s="41">
        <f>K211-Q211</f>
        <v/>
      </c>
      <c r="S211" s="41">
        <f>I211+J211</f>
        <v/>
      </c>
      <c r="T211" s="37">
        <f>IF(S211&gt;0,"YES","NO")</f>
        <v/>
      </c>
      <c r="U211" s="37">
        <f>IF(AND(T211="YES",P211="OCCUPIED",O211="YES",ABS(R211)&lt;=0.004),"YES","NO")</f>
        <v/>
      </c>
      <c r="V211" s="37">
        <f>IF(ABS(R211)&gt;0.004,"Priority 3",IF(U211="YES","COLLECTION",""))</f>
        <v/>
      </c>
    </row>
    <row r="212">
      <c r="A212" s="37" t="inlineStr">
        <is>
          <t>AC-LP-1008</t>
        </is>
      </c>
      <c r="B212" s="37" t="inlineStr">
        <is>
          <t>Travis Sexton</t>
        </is>
      </c>
      <c r="C212" s="37" t="inlineStr">
        <is>
          <t>LP-1008</t>
        </is>
      </c>
      <c r="D212" s="37" t="inlineStr">
        <is>
          <t>Ledgport</t>
        </is>
      </c>
      <c r="E212" s="37" t="inlineStr">
        <is>
          <t>NON_COMM_MONTHLY</t>
        </is>
      </c>
      <c r="F212" s="41" t="n">
        <v>613.6</v>
      </c>
      <c r="G212" s="41" t="n">
        <v>0</v>
      </c>
      <c r="H212" s="41" t="n">
        <v>0</v>
      </c>
      <c r="I212" s="41" t="n">
        <v>0</v>
      </c>
      <c r="J212" s="41" t="n">
        <v>0</v>
      </c>
      <c r="K212" s="41" t="n">
        <v>613.6</v>
      </c>
      <c r="L212" s="37" t="inlineStr">
        <is>
          <t>2026-05-03</t>
        </is>
      </c>
      <c r="M212" s="37" t="inlineStr">
        <is>
          <t>CURRENT</t>
        </is>
      </c>
      <c r="N212" s="37">
        <f>RIGHT(A212,LEN(A212)-3)</f>
        <v/>
      </c>
      <c r="O212" s="37">
        <f>IF(N212=C212,"YES","NO")</f>
        <v/>
      </c>
      <c r="P212" s="37">
        <f>IFERROR(INDEX(Inventory!$E$2:$E$1181,MATCH(N212,Inventory!$A$2:$A$1181,0)),"NOT FOUND")</f>
        <v/>
      </c>
      <c r="Q212" s="41">
        <f>SUM(F212:J212)</f>
        <v/>
      </c>
      <c r="R212" s="41">
        <f>K212-Q212</f>
        <v/>
      </c>
      <c r="S212" s="41">
        <f>I212+J212</f>
        <v/>
      </c>
      <c r="T212" s="37">
        <f>IF(S212&gt;0,"YES","NO")</f>
        <v/>
      </c>
      <c r="U212" s="37">
        <f>IF(AND(T212="YES",P212="OCCUPIED",O212="YES",ABS(R212)&lt;=0.004),"YES","NO")</f>
        <v/>
      </c>
      <c r="V212" s="37">
        <f>IF(ABS(R212)&gt;0.004,"Priority 3",IF(U212="YES","COLLECTION",""))</f>
        <v/>
      </c>
    </row>
    <row r="213">
      <c r="A213" s="37" t="inlineStr">
        <is>
          <t>AC-LP-1009</t>
        </is>
      </c>
      <c r="B213" s="37" t="inlineStr">
        <is>
          <t>Bradley Franklin</t>
        </is>
      </c>
      <c r="C213" s="37" t="inlineStr">
        <is>
          <t>LP-1009</t>
        </is>
      </c>
      <c r="D213" s="37" t="inlineStr">
        <is>
          <t>Ledgport</t>
        </is>
      </c>
      <c r="E213" s="37" t="inlineStr">
        <is>
          <t>NON_COMM_MONTHLY</t>
        </is>
      </c>
      <c r="F213" s="41" t="n">
        <v>332.8</v>
      </c>
      <c r="G213" s="41" t="n">
        <v>0</v>
      </c>
      <c r="H213" s="41" t="n">
        <v>0</v>
      </c>
      <c r="I213" s="41" t="n">
        <v>0</v>
      </c>
      <c r="J213" s="41" t="n">
        <v>0</v>
      </c>
      <c r="K213" s="41" t="n">
        <v>332.8</v>
      </c>
      <c r="L213" s="37" t="inlineStr">
        <is>
          <t>2026-07-29</t>
        </is>
      </c>
      <c r="M213" s="37" t="inlineStr">
        <is>
          <t>CURRENT</t>
        </is>
      </c>
      <c r="N213" s="37">
        <f>RIGHT(A213,LEN(A213)-3)</f>
        <v/>
      </c>
      <c r="O213" s="37">
        <f>IF(N213=C213,"YES","NO")</f>
        <v/>
      </c>
      <c r="P213" s="37">
        <f>IFERROR(INDEX(Inventory!$E$2:$E$1181,MATCH(N213,Inventory!$A$2:$A$1181,0)),"NOT FOUND")</f>
        <v/>
      </c>
      <c r="Q213" s="41">
        <f>SUM(F213:J213)</f>
        <v/>
      </c>
      <c r="R213" s="41">
        <f>K213-Q213</f>
        <v/>
      </c>
      <c r="S213" s="41">
        <f>I213+J213</f>
        <v/>
      </c>
      <c r="T213" s="37">
        <f>IF(S213&gt;0,"YES","NO")</f>
        <v/>
      </c>
      <c r="U213" s="37">
        <f>IF(AND(T213="YES",P213="OCCUPIED",O213="YES",ABS(R213)&lt;=0.004),"YES","NO")</f>
        <v/>
      </c>
      <c r="V213" s="37">
        <f>IF(ABS(R213)&gt;0.004,"Priority 3",IF(U213="YES","COLLECTION",""))</f>
        <v/>
      </c>
    </row>
    <row r="214">
      <c r="A214" s="37" t="inlineStr">
        <is>
          <t>AC-LP-1010</t>
        </is>
      </c>
      <c r="B214" s="37" t="inlineStr">
        <is>
          <t>Sherry Fletcher</t>
        </is>
      </c>
      <c r="C214" s="37" t="inlineStr">
        <is>
          <t>LP-1010</t>
        </is>
      </c>
      <c r="D214" s="37" t="inlineStr">
        <is>
          <t>Ledgport</t>
        </is>
      </c>
      <c r="E214" s="37" t="inlineStr">
        <is>
          <t>NON_COMM_MONTHLY</t>
        </is>
      </c>
      <c r="F214" s="41" t="n">
        <v>644.8</v>
      </c>
      <c r="G214" s="41" t="n">
        <v>0</v>
      </c>
      <c r="H214" s="41" t="n">
        <v>0</v>
      </c>
      <c r="I214" s="41" t="n">
        <v>0</v>
      </c>
      <c r="J214" s="41" t="n">
        <v>0</v>
      </c>
      <c r="K214" s="41" t="n">
        <v>644.8</v>
      </c>
      <c r="L214" s="37" t="inlineStr">
        <is>
          <t>2026-07-24</t>
        </is>
      </c>
      <c r="M214" s="37" t="inlineStr">
        <is>
          <t>CURRENT</t>
        </is>
      </c>
      <c r="N214" s="37">
        <f>RIGHT(A214,LEN(A214)-3)</f>
        <v/>
      </c>
      <c r="O214" s="37">
        <f>IF(N214=C214,"YES","NO")</f>
        <v/>
      </c>
      <c r="P214" s="37">
        <f>IFERROR(INDEX(Inventory!$E$2:$E$1181,MATCH(N214,Inventory!$A$2:$A$1181,0)),"NOT FOUND")</f>
        <v/>
      </c>
      <c r="Q214" s="41">
        <f>SUM(F214:J214)</f>
        <v/>
      </c>
      <c r="R214" s="41">
        <f>K214-Q214</f>
        <v/>
      </c>
      <c r="S214" s="41">
        <f>I214+J214</f>
        <v/>
      </c>
      <c r="T214" s="37">
        <f>IF(S214&gt;0,"YES","NO")</f>
        <v/>
      </c>
      <c r="U214" s="37">
        <f>IF(AND(T214="YES",P214="OCCUPIED",O214="YES",ABS(R214)&lt;=0.004),"YES","NO")</f>
        <v/>
      </c>
      <c r="V214" s="37">
        <f>IF(ABS(R214)&gt;0.004,"Priority 3",IF(U214="YES","COLLECTION",""))</f>
        <v/>
      </c>
    </row>
    <row r="215">
      <c r="A215" s="37" t="inlineStr">
        <is>
          <t>AC-LP-1011</t>
        </is>
      </c>
      <c r="B215" s="37" t="inlineStr">
        <is>
          <t>Leslie Marsh</t>
        </is>
      </c>
      <c r="C215" s="37" t="inlineStr">
        <is>
          <t>LP-1011</t>
        </is>
      </c>
      <c r="D215" s="37" t="inlineStr">
        <is>
          <t>Ledgport</t>
        </is>
      </c>
      <c r="E215" s="37" t="inlineStr">
        <is>
          <t>NON_COMM_MONTHLY</t>
        </is>
      </c>
      <c r="F215" s="41" t="n">
        <v>426.4</v>
      </c>
      <c r="G215" s="41" t="n">
        <v>0</v>
      </c>
      <c r="H215" s="41" t="n">
        <v>0</v>
      </c>
      <c r="I215" s="41" t="n">
        <v>0</v>
      </c>
      <c r="J215" s="41" t="n">
        <v>0</v>
      </c>
      <c r="K215" s="41" t="n">
        <v>426.4</v>
      </c>
      <c r="L215" s="37" t="inlineStr">
        <is>
          <t>2026-07-28</t>
        </is>
      </c>
      <c r="M215" s="37" t="inlineStr">
        <is>
          <t>CURRENT</t>
        </is>
      </c>
      <c r="N215" s="37">
        <f>RIGHT(A215,LEN(A215)-3)</f>
        <v/>
      </c>
      <c r="O215" s="37">
        <f>IF(N215=C215,"YES","NO")</f>
        <v/>
      </c>
      <c r="P215" s="37">
        <f>IFERROR(INDEX(Inventory!$E$2:$E$1181,MATCH(N215,Inventory!$A$2:$A$1181,0)),"NOT FOUND")</f>
        <v/>
      </c>
      <c r="Q215" s="41">
        <f>SUM(F215:J215)</f>
        <v/>
      </c>
      <c r="R215" s="41">
        <f>K215-Q215</f>
        <v/>
      </c>
      <c r="S215" s="41">
        <f>I215+J215</f>
        <v/>
      </c>
      <c r="T215" s="37">
        <f>IF(S215&gt;0,"YES","NO")</f>
        <v/>
      </c>
      <c r="U215" s="37">
        <f>IF(AND(T215="YES",P215="OCCUPIED",O215="YES",ABS(R215)&lt;=0.004),"YES","NO")</f>
        <v/>
      </c>
      <c r="V215" s="37">
        <f>IF(ABS(R215)&gt;0.004,"Priority 3",IF(U215="YES","COLLECTION",""))</f>
        <v/>
      </c>
    </row>
    <row r="216">
      <c r="A216" s="37" t="inlineStr">
        <is>
          <t>AC-LP-1012</t>
        </is>
      </c>
      <c r="B216" s="37" t="inlineStr">
        <is>
          <t>Yvonne Collins</t>
        </is>
      </c>
      <c r="C216" s="37" t="inlineStr">
        <is>
          <t>LP-1012</t>
        </is>
      </c>
      <c r="D216" s="37" t="inlineStr">
        <is>
          <t>Ledgport</t>
        </is>
      </c>
      <c r="E216" s="37" t="inlineStr">
        <is>
          <t>NON_COMM_MONTHLY</t>
        </is>
      </c>
      <c r="F216" s="41" t="n">
        <v>301.6</v>
      </c>
      <c r="G216" s="41" t="n">
        <v>301.6</v>
      </c>
      <c r="H216" s="41" t="n">
        <v>0</v>
      </c>
      <c r="I216" s="41" t="n">
        <v>0</v>
      </c>
      <c r="J216" s="41" t="n">
        <v>0</v>
      </c>
      <c r="K216" s="41" t="n">
        <v>603.2</v>
      </c>
      <c r="L216" s="37" t="inlineStr">
        <is>
          <t>2026-05-06</t>
        </is>
      </c>
      <c r="M216" s="37" t="inlineStr">
        <is>
          <t>WATCH</t>
        </is>
      </c>
      <c r="N216" s="37">
        <f>RIGHT(A216,LEN(A216)-3)</f>
        <v/>
      </c>
      <c r="O216" s="37">
        <f>IF(N216=C216,"YES","NO")</f>
        <v/>
      </c>
      <c r="P216" s="37">
        <f>IFERROR(INDEX(Inventory!$E$2:$E$1181,MATCH(N216,Inventory!$A$2:$A$1181,0)),"NOT FOUND")</f>
        <v/>
      </c>
      <c r="Q216" s="41">
        <f>SUM(F216:J216)</f>
        <v/>
      </c>
      <c r="R216" s="41">
        <f>K216-Q216</f>
        <v/>
      </c>
      <c r="S216" s="41">
        <f>I216+J216</f>
        <v/>
      </c>
      <c r="T216" s="37">
        <f>IF(S216&gt;0,"YES","NO")</f>
        <v/>
      </c>
      <c r="U216" s="37">
        <f>IF(AND(T216="YES",P216="OCCUPIED",O216="YES",ABS(R216)&lt;=0.004),"YES","NO")</f>
        <v/>
      </c>
      <c r="V216" s="37">
        <f>IF(ABS(R216)&gt;0.004,"Priority 3",IF(U216="YES","COLLECTION",""))</f>
        <v/>
      </c>
    </row>
    <row r="217">
      <c r="A217" s="37" t="inlineStr">
        <is>
          <t>AC-LP-1013</t>
        </is>
      </c>
      <c r="B217" s="37" t="inlineStr">
        <is>
          <t>Melissa Villanueva</t>
        </is>
      </c>
      <c r="C217" s="37" t="inlineStr">
        <is>
          <t>LP-1013</t>
        </is>
      </c>
      <c r="D217" s="37" t="inlineStr">
        <is>
          <t>Ledgport</t>
        </is>
      </c>
      <c r="E217" s="37" t="inlineStr">
        <is>
          <t>NON_COMM_MONTHLY</t>
        </is>
      </c>
      <c r="F217" s="41" t="n">
        <v>291.2</v>
      </c>
      <c r="G217" s="41" t="n">
        <v>0</v>
      </c>
      <c r="H217" s="41" t="n">
        <v>0</v>
      </c>
      <c r="I217" s="41" t="n">
        <v>0</v>
      </c>
      <c r="J217" s="41" t="n">
        <v>0</v>
      </c>
      <c r="K217" s="41" t="n">
        <v>0</v>
      </c>
      <c r="L217" s="37" t="inlineStr">
        <is>
          <t>2026-07-15</t>
        </is>
      </c>
      <c r="M217" s="37" t="inlineStr">
        <is>
          <t>CURRENT</t>
        </is>
      </c>
      <c r="N217" s="37">
        <f>RIGHT(A217,LEN(A217)-3)</f>
        <v/>
      </c>
      <c r="O217" s="37">
        <f>IF(N217=C217,"YES","NO")</f>
        <v/>
      </c>
      <c r="P217" s="37">
        <f>IFERROR(INDEX(Inventory!$E$2:$E$1181,MATCH(N217,Inventory!$A$2:$A$1181,0)),"NOT FOUND")</f>
        <v/>
      </c>
      <c r="Q217" s="41">
        <f>SUM(F217:J217)</f>
        <v/>
      </c>
      <c r="R217" s="41">
        <f>K217-Q217</f>
        <v/>
      </c>
      <c r="S217" s="41">
        <f>I217+J217</f>
        <v/>
      </c>
      <c r="T217" s="37">
        <f>IF(S217&gt;0,"YES","NO")</f>
        <v/>
      </c>
      <c r="U217" s="37">
        <f>IF(AND(T217="YES",P217="OCCUPIED",O217="YES",ABS(R217)&lt;=0.004),"YES","NO")</f>
        <v/>
      </c>
      <c r="V217" s="37">
        <f>IF(ABS(R217)&gt;0.004,"Priority 3",IF(U217="YES","COLLECTION",""))</f>
        <v/>
      </c>
    </row>
    <row r="218">
      <c r="A218" s="37" t="inlineStr">
        <is>
          <t>AC-LP-1014</t>
        </is>
      </c>
      <c r="B218" s="37" t="inlineStr">
        <is>
          <t>Shari Hess</t>
        </is>
      </c>
      <c r="C218" s="37" t="inlineStr">
        <is>
          <t>LP-1014</t>
        </is>
      </c>
      <c r="D218" s="37" t="inlineStr">
        <is>
          <t>Ledgport</t>
        </is>
      </c>
      <c r="E218" s="37" t="inlineStr">
        <is>
          <t>NON_COMM_MONTHLY</t>
        </is>
      </c>
      <c r="F218" s="41" t="n">
        <v>249.6</v>
      </c>
      <c r="G218" s="41" t="n">
        <v>0</v>
      </c>
      <c r="H218" s="41" t="n">
        <v>0</v>
      </c>
      <c r="I218" s="41" t="n">
        <v>0</v>
      </c>
      <c r="J218" s="41" t="n">
        <v>0</v>
      </c>
      <c r="K218" s="41" t="n">
        <v>249.6</v>
      </c>
      <c r="L218" s="37" t="inlineStr">
        <is>
          <t>2026-07-28</t>
        </is>
      </c>
      <c r="M218" s="37" t="inlineStr">
        <is>
          <t>CURRENT</t>
        </is>
      </c>
      <c r="N218" s="37">
        <f>RIGHT(A218,LEN(A218)-3)</f>
        <v/>
      </c>
      <c r="O218" s="37">
        <f>IF(N218=C218,"YES","NO")</f>
        <v/>
      </c>
      <c r="P218" s="37">
        <f>IFERROR(INDEX(Inventory!$E$2:$E$1181,MATCH(N218,Inventory!$A$2:$A$1181,0)),"NOT FOUND")</f>
        <v/>
      </c>
      <c r="Q218" s="41">
        <f>SUM(F218:J218)</f>
        <v/>
      </c>
      <c r="R218" s="41">
        <f>K218-Q218</f>
        <v/>
      </c>
      <c r="S218" s="41">
        <f>I218+J218</f>
        <v/>
      </c>
      <c r="T218" s="37">
        <f>IF(S218&gt;0,"YES","NO")</f>
        <v/>
      </c>
      <c r="U218" s="37">
        <f>IF(AND(T218="YES",P218="OCCUPIED",O218="YES",ABS(R218)&lt;=0.004),"YES","NO")</f>
        <v/>
      </c>
      <c r="V218" s="37">
        <f>IF(ABS(R218)&gt;0.004,"Priority 3",IF(U218="YES","COLLECTION",""))</f>
        <v/>
      </c>
    </row>
    <row r="219">
      <c r="A219" s="37" t="inlineStr">
        <is>
          <t>AC-LP-1016</t>
        </is>
      </c>
      <c r="B219" s="37" t="inlineStr">
        <is>
          <t>Joshua Rivera</t>
        </is>
      </c>
      <c r="C219" s="37" t="inlineStr">
        <is>
          <t>LP-1016</t>
        </is>
      </c>
      <c r="D219" s="37" t="inlineStr">
        <is>
          <t>Ledgport</t>
        </is>
      </c>
      <c r="E219" s="37" t="inlineStr">
        <is>
          <t>NON_COMM_MONTHLY</t>
        </is>
      </c>
      <c r="F219" s="41" t="n">
        <v>291.2</v>
      </c>
      <c r="G219" s="41" t="n">
        <v>0</v>
      </c>
      <c r="H219" s="41" t="n">
        <v>0</v>
      </c>
      <c r="I219" s="41" t="n">
        <v>0</v>
      </c>
      <c r="J219" s="41" t="n">
        <v>0</v>
      </c>
      <c r="K219" s="41" t="n">
        <v>291.2</v>
      </c>
      <c r="L219" s="37" t="inlineStr">
        <is>
          <t>2026-07-09</t>
        </is>
      </c>
      <c r="M219" s="37" t="inlineStr">
        <is>
          <t>CURRENT</t>
        </is>
      </c>
      <c r="N219" s="37">
        <f>RIGHT(A219,LEN(A219)-3)</f>
        <v/>
      </c>
      <c r="O219" s="37">
        <f>IF(N219=C219,"YES","NO")</f>
        <v/>
      </c>
      <c r="P219" s="37">
        <f>IFERROR(INDEX(Inventory!$E$2:$E$1181,MATCH(N219,Inventory!$A$2:$A$1181,0)),"NOT FOUND")</f>
        <v/>
      </c>
      <c r="Q219" s="41">
        <f>SUM(F219:J219)</f>
        <v/>
      </c>
      <c r="R219" s="41">
        <f>K219-Q219</f>
        <v/>
      </c>
      <c r="S219" s="41">
        <f>I219+J219</f>
        <v/>
      </c>
      <c r="T219" s="37">
        <f>IF(S219&gt;0,"YES","NO")</f>
        <v/>
      </c>
      <c r="U219" s="37">
        <f>IF(AND(T219="YES",P219="OCCUPIED",O219="YES",ABS(R219)&lt;=0.004),"YES","NO")</f>
        <v/>
      </c>
      <c r="V219" s="37">
        <f>IF(ABS(R219)&gt;0.004,"Priority 3",IF(U219="YES","COLLECTION",""))</f>
        <v/>
      </c>
    </row>
    <row r="220">
      <c r="A220" s="37" t="inlineStr">
        <is>
          <t>AC-LP-1017</t>
        </is>
      </c>
      <c r="B220" s="37" t="inlineStr">
        <is>
          <t>James Gregory</t>
        </is>
      </c>
      <c r="C220" s="37" t="inlineStr">
        <is>
          <t>LP-1017</t>
        </is>
      </c>
      <c r="D220" s="37" t="inlineStr">
        <is>
          <t>Ledgport</t>
        </is>
      </c>
      <c r="E220" s="37" t="inlineStr">
        <is>
          <t>NON_COMM_MONTHLY</t>
        </is>
      </c>
      <c r="F220" s="41" t="n">
        <v>582.4</v>
      </c>
      <c r="G220" s="41" t="n">
        <v>0</v>
      </c>
      <c r="H220" s="41" t="n">
        <v>0</v>
      </c>
      <c r="I220" s="41" t="n">
        <v>0</v>
      </c>
      <c r="J220" s="41" t="n">
        <v>0</v>
      </c>
      <c r="K220" s="41" t="n">
        <v>582.4</v>
      </c>
      <c r="L220" s="37" t="inlineStr">
        <is>
          <t>2026-05-26</t>
        </is>
      </c>
      <c r="M220" s="37" t="inlineStr">
        <is>
          <t>CURRENT</t>
        </is>
      </c>
      <c r="N220" s="37">
        <f>RIGHT(A220,LEN(A220)-3)</f>
        <v/>
      </c>
      <c r="O220" s="37">
        <f>IF(N220=C220,"YES","NO")</f>
        <v/>
      </c>
      <c r="P220" s="37">
        <f>IFERROR(INDEX(Inventory!$E$2:$E$1181,MATCH(N220,Inventory!$A$2:$A$1181,0)),"NOT FOUND")</f>
        <v/>
      </c>
      <c r="Q220" s="41">
        <f>SUM(F220:J220)</f>
        <v/>
      </c>
      <c r="R220" s="41">
        <f>K220-Q220</f>
        <v/>
      </c>
      <c r="S220" s="41">
        <f>I220+J220</f>
        <v/>
      </c>
      <c r="T220" s="37">
        <f>IF(S220&gt;0,"YES","NO")</f>
        <v/>
      </c>
      <c r="U220" s="37">
        <f>IF(AND(T220="YES",P220="OCCUPIED",O220="YES",ABS(R220)&lt;=0.004),"YES","NO")</f>
        <v/>
      </c>
      <c r="V220" s="37">
        <f>IF(ABS(R220)&gt;0.004,"Priority 3",IF(U220="YES","COLLECTION",""))</f>
        <v/>
      </c>
    </row>
    <row r="221">
      <c r="A221" s="37" t="inlineStr">
        <is>
          <t>AC-LP-1018</t>
        </is>
      </c>
      <c r="B221" s="37" t="inlineStr">
        <is>
          <t>Christina Rivera</t>
        </is>
      </c>
      <c r="C221" s="37" t="inlineStr">
        <is>
          <t>LP-1018</t>
        </is>
      </c>
      <c r="D221" s="37" t="inlineStr">
        <is>
          <t>Ledgport</t>
        </is>
      </c>
      <c r="E221" s="37" t="inlineStr">
        <is>
          <t>NON_COMM_MONTHLY</t>
        </is>
      </c>
      <c r="F221" s="41" t="n">
        <v>561.6</v>
      </c>
      <c r="G221" s="41" t="n">
        <v>0</v>
      </c>
      <c r="H221" s="41" t="n">
        <v>0</v>
      </c>
      <c r="I221" s="41" t="n">
        <v>0</v>
      </c>
      <c r="J221" s="41" t="n">
        <v>0</v>
      </c>
      <c r="K221" s="41" t="n">
        <v>561.6</v>
      </c>
      <c r="L221" s="37" t="inlineStr">
        <is>
          <t>2026-06-24</t>
        </is>
      </c>
      <c r="M221" s="37" t="inlineStr">
        <is>
          <t>CURRENT</t>
        </is>
      </c>
      <c r="N221" s="37">
        <f>RIGHT(A221,LEN(A221)-3)</f>
        <v/>
      </c>
      <c r="O221" s="37">
        <f>IF(N221=C221,"YES","NO")</f>
        <v/>
      </c>
      <c r="P221" s="37">
        <f>IFERROR(INDEX(Inventory!$E$2:$E$1181,MATCH(N221,Inventory!$A$2:$A$1181,0)),"NOT FOUND")</f>
        <v/>
      </c>
      <c r="Q221" s="41">
        <f>SUM(F221:J221)</f>
        <v/>
      </c>
      <c r="R221" s="41">
        <f>K221-Q221</f>
        <v/>
      </c>
      <c r="S221" s="41">
        <f>I221+J221</f>
        <v/>
      </c>
      <c r="T221" s="37">
        <f>IF(S221&gt;0,"YES","NO")</f>
        <v/>
      </c>
      <c r="U221" s="37">
        <f>IF(AND(T221="YES",P221="OCCUPIED",O221="YES",ABS(R221)&lt;=0.004),"YES","NO")</f>
        <v/>
      </c>
      <c r="V221" s="37">
        <f>IF(ABS(R221)&gt;0.004,"Priority 3",IF(U221="YES","COLLECTION",""))</f>
        <v/>
      </c>
    </row>
    <row r="222">
      <c r="A222" s="37" t="inlineStr">
        <is>
          <t>AC-LP-1020</t>
        </is>
      </c>
      <c r="B222" s="37" t="inlineStr">
        <is>
          <t>Michael Taylor</t>
        </is>
      </c>
      <c r="C222" s="37" t="inlineStr">
        <is>
          <t>LP-1020</t>
        </is>
      </c>
      <c r="D222" s="37" t="inlineStr">
        <is>
          <t>Ledgport</t>
        </is>
      </c>
      <c r="E222" s="37" t="inlineStr">
        <is>
          <t>NON_COMM_MONTHLY</t>
        </is>
      </c>
      <c r="F222" s="41" t="n">
        <v>332.8</v>
      </c>
      <c r="G222" s="41" t="n">
        <v>0</v>
      </c>
      <c r="H222" s="41" t="n">
        <v>0</v>
      </c>
      <c r="I222" s="41" t="n">
        <v>0</v>
      </c>
      <c r="J222" s="41" t="n">
        <v>0</v>
      </c>
      <c r="K222" s="41" t="n">
        <v>332.8</v>
      </c>
      <c r="L222" s="37" t="inlineStr">
        <is>
          <t>2026-05-30</t>
        </is>
      </c>
      <c r="M222" s="37" t="inlineStr">
        <is>
          <t>CURRENT</t>
        </is>
      </c>
      <c r="N222" s="37">
        <f>RIGHT(A222,LEN(A222)-3)</f>
        <v/>
      </c>
      <c r="O222" s="37">
        <f>IF(N222=C222,"YES","NO")</f>
        <v/>
      </c>
      <c r="P222" s="37">
        <f>IFERROR(INDEX(Inventory!$E$2:$E$1181,MATCH(N222,Inventory!$A$2:$A$1181,0)),"NOT FOUND")</f>
        <v/>
      </c>
      <c r="Q222" s="41">
        <f>SUM(F222:J222)</f>
        <v/>
      </c>
      <c r="R222" s="41">
        <f>K222-Q222</f>
        <v/>
      </c>
      <c r="S222" s="41">
        <f>I222+J222</f>
        <v/>
      </c>
      <c r="T222" s="37">
        <f>IF(S222&gt;0,"YES","NO")</f>
        <v/>
      </c>
      <c r="U222" s="37">
        <f>IF(AND(T222="YES",P222="OCCUPIED",O222="YES",ABS(R222)&lt;=0.004),"YES","NO")</f>
        <v/>
      </c>
      <c r="V222" s="37">
        <f>IF(ABS(R222)&gt;0.004,"Priority 3",IF(U222="YES","COLLECTION",""))</f>
        <v/>
      </c>
    </row>
    <row r="223">
      <c r="A223" s="37" t="inlineStr">
        <is>
          <t>AC-LP-1021</t>
        </is>
      </c>
      <c r="B223" s="37" t="inlineStr">
        <is>
          <t>Kimberly Wilson</t>
        </is>
      </c>
      <c r="C223" s="37" t="inlineStr">
        <is>
          <t>LP-1021</t>
        </is>
      </c>
      <c r="D223" s="37" t="inlineStr">
        <is>
          <t>Ledgport</t>
        </is>
      </c>
      <c r="E223" s="37" t="inlineStr">
        <is>
          <t>NON_COMM_MONTHLY</t>
        </is>
      </c>
      <c r="F223" s="41" t="n">
        <v>384.8</v>
      </c>
      <c r="G223" s="41" t="n">
        <v>0</v>
      </c>
      <c r="H223" s="41" t="n">
        <v>0</v>
      </c>
      <c r="I223" s="41" t="n">
        <v>0</v>
      </c>
      <c r="J223" s="41" t="n">
        <v>0</v>
      </c>
      <c r="K223" s="41" t="n">
        <v>0</v>
      </c>
      <c r="L223" s="37" t="inlineStr">
        <is>
          <t>2026-05-02</t>
        </is>
      </c>
      <c r="M223" s="37" t="inlineStr">
        <is>
          <t>CURRENT</t>
        </is>
      </c>
      <c r="N223" s="37">
        <f>RIGHT(A223,LEN(A223)-3)</f>
        <v/>
      </c>
      <c r="O223" s="37">
        <f>IF(N223=C223,"YES","NO")</f>
        <v/>
      </c>
      <c r="P223" s="37">
        <f>IFERROR(INDEX(Inventory!$E$2:$E$1181,MATCH(N223,Inventory!$A$2:$A$1181,0)),"NOT FOUND")</f>
        <v/>
      </c>
      <c r="Q223" s="41">
        <f>SUM(F223:J223)</f>
        <v/>
      </c>
      <c r="R223" s="41">
        <f>K223-Q223</f>
        <v/>
      </c>
      <c r="S223" s="41">
        <f>I223+J223</f>
        <v/>
      </c>
      <c r="T223" s="37">
        <f>IF(S223&gt;0,"YES","NO")</f>
        <v/>
      </c>
      <c r="U223" s="37">
        <f>IF(AND(T223="YES",P223="OCCUPIED",O223="YES",ABS(R223)&lt;=0.004),"YES","NO")</f>
        <v/>
      </c>
      <c r="V223" s="37">
        <f>IF(ABS(R223)&gt;0.004,"Priority 3",IF(U223="YES","COLLECTION",""))</f>
        <v/>
      </c>
    </row>
    <row r="224">
      <c r="A224" s="37" t="inlineStr">
        <is>
          <t>AC-LP-1022</t>
        </is>
      </c>
      <c r="B224" s="37" t="inlineStr">
        <is>
          <t>Kathleen Mcdonald</t>
        </is>
      </c>
      <c r="C224" s="37" t="inlineStr">
        <is>
          <t>LP-1022</t>
        </is>
      </c>
      <c r="D224" s="37" t="inlineStr">
        <is>
          <t>Ledgport</t>
        </is>
      </c>
      <c r="E224" s="37" t="inlineStr">
        <is>
          <t>NON_COMM_MONTHLY</t>
        </is>
      </c>
      <c r="F224" s="41" t="n">
        <v>301.6</v>
      </c>
      <c r="G224" s="41" t="n">
        <v>0</v>
      </c>
      <c r="H224" s="41" t="n">
        <v>0</v>
      </c>
      <c r="I224" s="41" t="n">
        <v>0</v>
      </c>
      <c r="J224" s="41" t="n">
        <v>0</v>
      </c>
      <c r="K224" s="41" t="n">
        <v>301.6</v>
      </c>
      <c r="L224" s="37" t="inlineStr">
        <is>
          <t>2026-06-14</t>
        </is>
      </c>
      <c r="M224" s="37" t="inlineStr">
        <is>
          <t>CURRENT</t>
        </is>
      </c>
      <c r="N224" s="37">
        <f>RIGHT(A224,LEN(A224)-3)</f>
        <v/>
      </c>
      <c r="O224" s="37">
        <f>IF(N224=C224,"YES","NO")</f>
        <v/>
      </c>
      <c r="P224" s="37">
        <f>IFERROR(INDEX(Inventory!$E$2:$E$1181,MATCH(N224,Inventory!$A$2:$A$1181,0)),"NOT FOUND")</f>
        <v/>
      </c>
      <c r="Q224" s="41">
        <f>SUM(F224:J224)</f>
        <v/>
      </c>
      <c r="R224" s="41">
        <f>K224-Q224</f>
        <v/>
      </c>
      <c r="S224" s="41">
        <f>I224+J224</f>
        <v/>
      </c>
      <c r="T224" s="37">
        <f>IF(S224&gt;0,"YES","NO")</f>
        <v/>
      </c>
      <c r="U224" s="37">
        <f>IF(AND(T224="YES",P224="OCCUPIED",O224="YES",ABS(R224)&lt;=0.004),"YES","NO")</f>
        <v/>
      </c>
      <c r="V224" s="37">
        <f>IF(ABS(R224)&gt;0.004,"Priority 3",IF(U224="YES","COLLECTION",""))</f>
        <v/>
      </c>
    </row>
    <row r="225">
      <c r="A225" s="37" t="inlineStr">
        <is>
          <t>AC-LP-1023</t>
        </is>
      </c>
      <c r="B225" s="37" t="inlineStr">
        <is>
          <t>Patrick Richmond</t>
        </is>
      </c>
      <c r="C225" s="37" t="inlineStr">
        <is>
          <t>LP-1023</t>
        </is>
      </c>
      <c r="D225" s="37" t="inlineStr">
        <is>
          <t>Ledgport</t>
        </is>
      </c>
      <c r="E225" s="37" t="inlineStr">
        <is>
          <t>NON_COMM_MONTHLY</t>
        </is>
      </c>
      <c r="F225" s="41" t="n">
        <v>249.6</v>
      </c>
      <c r="G225" s="41" t="n">
        <v>0</v>
      </c>
      <c r="H225" s="41" t="n">
        <v>0</v>
      </c>
      <c r="I225" s="41" t="n">
        <v>0</v>
      </c>
      <c r="J225" s="41" t="n">
        <v>0</v>
      </c>
      <c r="K225" s="41" t="n">
        <v>249.6</v>
      </c>
      <c r="L225" s="37" t="inlineStr">
        <is>
          <t>2026-05-04</t>
        </is>
      </c>
      <c r="M225" s="37" t="inlineStr">
        <is>
          <t>CURRENT</t>
        </is>
      </c>
      <c r="N225" s="37">
        <f>RIGHT(A225,LEN(A225)-3)</f>
        <v/>
      </c>
      <c r="O225" s="37">
        <f>IF(N225=C225,"YES","NO")</f>
        <v/>
      </c>
      <c r="P225" s="37">
        <f>IFERROR(INDEX(Inventory!$E$2:$E$1181,MATCH(N225,Inventory!$A$2:$A$1181,0)),"NOT FOUND")</f>
        <v/>
      </c>
      <c r="Q225" s="41">
        <f>SUM(F225:J225)</f>
        <v/>
      </c>
      <c r="R225" s="41">
        <f>K225-Q225</f>
        <v/>
      </c>
      <c r="S225" s="41">
        <f>I225+J225</f>
        <v/>
      </c>
      <c r="T225" s="37">
        <f>IF(S225&gt;0,"YES","NO")</f>
        <v/>
      </c>
      <c r="U225" s="37">
        <f>IF(AND(T225="YES",P225="OCCUPIED",O225="YES",ABS(R225)&lt;=0.004),"YES","NO")</f>
        <v/>
      </c>
      <c r="V225" s="37">
        <f>IF(ABS(R225)&gt;0.004,"Priority 3",IF(U225="YES","COLLECTION",""))</f>
        <v/>
      </c>
    </row>
    <row r="226">
      <c r="A226" s="37" t="inlineStr">
        <is>
          <t>AC-LP-1024</t>
        </is>
      </c>
      <c r="B226" s="37" t="inlineStr">
        <is>
          <t>Brittany Benson</t>
        </is>
      </c>
      <c r="C226" s="37" t="inlineStr">
        <is>
          <t>LP-1024</t>
        </is>
      </c>
      <c r="D226" s="37" t="inlineStr">
        <is>
          <t>Ledgport</t>
        </is>
      </c>
      <c r="E226" s="37" t="inlineStr">
        <is>
          <t>NON_COMM_MONTHLY</t>
        </is>
      </c>
      <c r="F226" s="41" t="n">
        <v>561.6</v>
      </c>
      <c r="G226" s="41" t="n">
        <v>0</v>
      </c>
      <c r="H226" s="41" t="n">
        <v>0</v>
      </c>
      <c r="I226" s="41" t="n">
        <v>0</v>
      </c>
      <c r="J226" s="41" t="n">
        <v>0</v>
      </c>
      <c r="K226" s="41" t="n">
        <v>561.6</v>
      </c>
      <c r="L226" s="37" t="inlineStr">
        <is>
          <t>2026-06-11</t>
        </is>
      </c>
      <c r="M226" s="37" t="inlineStr">
        <is>
          <t>CURRENT</t>
        </is>
      </c>
      <c r="N226" s="37">
        <f>RIGHT(A226,LEN(A226)-3)</f>
        <v/>
      </c>
      <c r="O226" s="37">
        <f>IF(N226=C226,"YES","NO")</f>
        <v/>
      </c>
      <c r="P226" s="37">
        <f>IFERROR(INDEX(Inventory!$E$2:$E$1181,MATCH(N226,Inventory!$A$2:$A$1181,0)),"NOT FOUND")</f>
        <v/>
      </c>
      <c r="Q226" s="41">
        <f>SUM(F226:J226)</f>
        <v/>
      </c>
      <c r="R226" s="41">
        <f>K226-Q226</f>
        <v/>
      </c>
      <c r="S226" s="41">
        <f>I226+J226</f>
        <v/>
      </c>
      <c r="T226" s="37">
        <f>IF(S226&gt;0,"YES","NO")</f>
        <v/>
      </c>
      <c r="U226" s="37">
        <f>IF(AND(T226="YES",P226="OCCUPIED",O226="YES",ABS(R226)&lt;=0.004),"YES","NO")</f>
        <v/>
      </c>
      <c r="V226" s="37">
        <f>IF(ABS(R226)&gt;0.004,"Priority 3",IF(U226="YES","COLLECTION",""))</f>
        <v/>
      </c>
    </row>
    <row r="227">
      <c r="A227" s="37" t="inlineStr">
        <is>
          <t>AC-LP-1102</t>
        </is>
      </c>
      <c r="B227" s="37" t="inlineStr">
        <is>
          <t>Rodney Morris</t>
        </is>
      </c>
      <c r="C227" s="37" t="inlineStr">
        <is>
          <t>LP-1102</t>
        </is>
      </c>
      <c r="D227" s="37" t="inlineStr">
        <is>
          <t>Ledgport</t>
        </is>
      </c>
      <c r="E227" s="37" t="inlineStr">
        <is>
          <t>NON_COMM_MONTHLY</t>
        </is>
      </c>
      <c r="F227" s="41" t="n">
        <v>572</v>
      </c>
      <c r="G227" s="41" t="n">
        <v>0</v>
      </c>
      <c r="H227" s="41" t="n">
        <v>0</v>
      </c>
      <c r="I227" s="41" t="n">
        <v>0</v>
      </c>
      <c r="J227" s="41" t="n">
        <v>0</v>
      </c>
      <c r="K227" s="41" t="n">
        <v>572</v>
      </c>
      <c r="L227" s="37" t="inlineStr">
        <is>
          <t>2026-06-07</t>
        </is>
      </c>
      <c r="M227" s="37" t="inlineStr">
        <is>
          <t>CURRENT</t>
        </is>
      </c>
      <c r="N227" s="37">
        <f>RIGHT(A227,LEN(A227)-3)</f>
        <v/>
      </c>
      <c r="O227" s="37">
        <f>IF(N227=C227,"YES","NO")</f>
        <v/>
      </c>
      <c r="P227" s="37">
        <f>IFERROR(INDEX(Inventory!$E$2:$E$1181,MATCH(N227,Inventory!$A$2:$A$1181,0)),"NOT FOUND")</f>
        <v/>
      </c>
      <c r="Q227" s="41">
        <f>SUM(F227:J227)</f>
        <v/>
      </c>
      <c r="R227" s="41">
        <f>K227-Q227</f>
        <v/>
      </c>
      <c r="S227" s="41">
        <f>I227+J227</f>
        <v/>
      </c>
      <c r="T227" s="37">
        <f>IF(S227&gt;0,"YES","NO")</f>
        <v/>
      </c>
      <c r="U227" s="37">
        <f>IF(AND(T227="YES",P227="OCCUPIED",O227="YES",ABS(R227)&lt;=0.004),"YES","NO")</f>
        <v/>
      </c>
      <c r="V227" s="37">
        <f>IF(ABS(R227)&gt;0.004,"Priority 3",IF(U227="YES","COLLECTION",""))</f>
        <v/>
      </c>
    </row>
    <row r="228">
      <c r="A228" s="37" t="inlineStr">
        <is>
          <t>AC-LP-1103</t>
        </is>
      </c>
      <c r="B228" s="37" t="inlineStr">
        <is>
          <t>Amanda Clayton</t>
        </is>
      </c>
      <c r="C228" s="37" t="inlineStr">
        <is>
          <t>LP-1103</t>
        </is>
      </c>
      <c r="D228" s="37" t="inlineStr">
        <is>
          <t>Ledgport</t>
        </is>
      </c>
      <c r="E228" s="37" t="inlineStr">
        <is>
          <t>NON_COMM_MONTHLY</t>
        </is>
      </c>
      <c r="F228" s="41" t="n">
        <v>332.8</v>
      </c>
      <c r="G228" s="41" t="n">
        <v>0</v>
      </c>
      <c r="H228" s="41" t="n">
        <v>0</v>
      </c>
      <c r="I228" s="41" t="n">
        <v>0</v>
      </c>
      <c r="J228" s="41" t="n">
        <v>0</v>
      </c>
      <c r="K228" s="41" t="n">
        <v>332.8</v>
      </c>
      <c r="L228" s="37" t="inlineStr">
        <is>
          <t>2026-07-02</t>
        </is>
      </c>
      <c r="M228" s="37" t="inlineStr">
        <is>
          <t>CURRENT</t>
        </is>
      </c>
      <c r="N228" s="37">
        <f>RIGHT(A228,LEN(A228)-3)</f>
        <v/>
      </c>
      <c r="O228" s="37">
        <f>IF(N228=C228,"YES","NO")</f>
        <v/>
      </c>
      <c r="P228" s="37">
        <f>IFERROR(INDEX(Inventory!$E$2:$E$1181,MATCH(N228,Inventory!$A$2:$A$1181,0)),"NOT FOUND")</f>
        <v/>
      </c>
      <c r="Q228" s="41">
        <f>SUM(F228:J228)</f>
        <v/>
      </c>
      <c r="R228" s="41">
        <f>K228-Q228</f>
        <v/>
      </c>
      <c r="S228" s="41">
        <f>I228+J228</f>
        <v/>
      </c>
      <c r="T228" s="37">
        <f>IF(S228&gt;0,"YES","NO")</f>
        <v/>
      </c>
      <c r="U228" s="37">
        <f>IF(AND(T228="YES",P228="OCCUPIED",O228="YES",ABS(R228)&lt;=0.004),"YES","NO")</f>
        <v/>
      </c>
      <c r="V228" s="37">
        <f>IF(ABS(R228)&gt;0.004,"Priority 3",IF(U228="YES","COLLECTION",""))</f>
        <v/>
      </c>
    </row>
    <row r="229">
      <c r="A229" s="37" t="inlineStr">
        <is>
          <t>AC-LP-1104</t>
        </is>
      </c>
      <c r="B229" s="37" t="inlineStr">
        <is>
          <t>Trevor Turner</t>
        </is>
      </c>
      <c r="C229" s="37" t="inlineStr">
        <is>
          <t>LP-1104</t>
        </is>
      </c>
      <c r="D229" s="37" t="inlineStr">
        <is>
          <t>Ledgport</t>
        </is>
      </c>
      <c r="E229" s="37" t="inlineStr">
        <is>
          <t>NON_COMM_MONTHLY</t>
        </is>
      </c>
      <c r="F229" s="41" t="n">
        <v>561.6</v>
      </c>
      <c r="G229" s="41" t="n">
        <v>0</v>
      </c>
      <c r="H229" s="41" t="n">
        <v>0</v>
      </c>
      <c r="I229" s="41" t="n">
        <v>0</v>
      </c>
      <c r="J229" s="41" t="n">
        <v>0</v>
      </c>
      <c r="K229" s="41" t="n">
        <v>561.6</v>
      </c>
      <c r="L229" s="37" t="inlineStr">
        <is>
          <t>2026-05-03</t>
        </is>
      </c>
      <c r="M229" s="37" t="inlineStr">
        <is>
          <t>CURRENT</t>
        </is>
      </c>
      <c r="N229" s="37">
        <f>RIGHT(A229,LEN(A229)-3)</f>
        <v/>
      </c>
      <c r="O229" s="37">
        <f>IF(N229=C229,"YES","NO")</f>
        <v/>
      </c>
      <c r="P229" s="37">
        <f>IFERROR(INDEX(Inventory!$E$2:$E$1181,MATCH(N229,Inventory!$A$2:$A$1181,0)),"NOT FOUND")</f>
        <v/>
      </c>
      <c r="Q229" s="41">
        <f>SUM(F229:J229)</f>
        <v/>
      </c>
      <c r="R229" s="41">
        <f>K229-Q229</f>
        <v/>
      </c>
      <c r="S229" s="41">
        <f>I229+J229</f>
        <v/>
      </c>
      <c r="T229" s="37">
        <f>IF(S229&gt;0,"YES","NO")</f>
        <v/>
      </c>
      <c r="U229" s="37">
        <f>IF(AND(T229="YES",P229="OCCUPIED",O229="YES",ABS(R229)&lt;=0.004),"YES","NO")</f>
        <v/>
      </c>
      <c r="V229" s="37">
        <f>IF(ABS(R229)&gt;0.004,"Priority 3",IF(U229="YES","COLLECTION",""))</f>
        <v/>
      </c>
    </row>
    <row r="230">
      <c r="A230" s="37" t="inlineStr">
        <is>
          <t>AC-LP-1105</t>
        </is>
      </c>
      <c r="B230" s="37" t="inlineStr">
        <is>
          <t>Kenneth Frazier</t>
        </is>
      </c>
      <c r="C230" s="37" t="inlineStr">
        <is>
          <t>LP-1105</t>
        </is>
      </c>
      <c r="D230" s="37" t="inlineStr">
        <is>
          <t>Ledgport</t>
        </is>
      </c>
      <c r="E230" s="37" t="inlineStr">
        <is>
          <t>NON_COMM_MONTHLY</t>
        </is>
      </c>
      <c r="F230" s="41" t="n">
        <v>509.6</v>
      </c>
      <c r="G230" s="41" t="n">
        <v>0</v>
      </c>
      <c r="H230" s="41" t="n">
        <v>0</v>
      </c>
      <c r="I230" s="41" t="n">
        <v>0</v>
      </c>
      <c r="J230" s="41" t="n">
        <v>0</v>
      </c>
      <c r="K230" s="41" t="n">
        <v>509.6</v>
      </c>
      <c r="L230" s="37" t="inlineStr">
        <is>
          <t>2026-05-16</t>
        </is>
      </c>
      <c r="M230" s="37" t="inlineStr">
        <is>
          <t>CURRENT</t>
        </is>
      </c>
      <c r="N230" s="37">
        <f>RIGHT(A230,LEN(A230)-3)</f>
        <v/>
      </c>
      <c r="O230" s="37">
        <f>IF(N230=C230,"YES","NO")</f>
        <v/>
      </c>
      <c r="P230" s="37">
        <f>IFERROR(INDEX(Inventory!$E$2:$E$1181,MATCH(N230,Inventory!$A$2:$A$1181,0)),"NOT FOUND")</f>
        <v/>
      </c>
      <c r="Q230" s="41">
        <f>SUM(F230:J230)</f>
        <v/>
      </c>
      <c r="R230" s="41">
        <f>K230-Q230</f>
        <v/>
      </c>
      <c r="S230" s="41">
        <f>I230+J230</f>
        <v/>
      </c>
      <c r="T230" s="37">
        <f>IF(S230&gt;0,"YES","NO")</f>
        <v/>
      </c>
      <c r="U230" s="37">
        <f>IF(AND(T230="YES",P230="OCCUPIED",O230="YES",ABS(R230)&lt;=0.004),"YES","NO")</f>
        <v/>
      </c>
      <c r="V230" s="37">
        <f>IF(ABS(R230)&gt;0.004,"Priority 3",IF(U230="YES","COLLECTION",""))</f>
        <v/>
      </c>
    </row>
    <row r="231">
      <c r="A231" s="37" t="inlineStr">
        <is>
          <t>AC-LP-1106</t>
        </is>
      </c>
      <c r="B231" s="37" t="inlineStr">
        <is>
          <t>Marisa Alexander</t>
        </is>
      </c>
      <c r="C231" s="37" t="inlineStr">
        <is>
          <t>LP-1106</t>
        </is>
      </c>
      <c r="D231" s="37" t="inlineStr">
        <is>
          <t>Ledgport</t>
        </is>
      </c>
      <c r="E231" s="37" t="inlineStr">
        <is>
          <t>NON_COMM_MONTHLY</t>
        </is>
      </c>
      <c r="F231" s="41" t="n">
        <v>249.6</v>
      </c>
      <c r="G231" s="41" t="n">
        <v>0</v>
      </c>
      <c r="H231" s="41" t="n">
        <v>0</v>
      </c>
      <c r="I231" s="41" t="n">
        <v>0</v>
      </c>
      <c r="J231" s="41" t="n">
        <v>0</v>
      </c>
      <c r="K231" s="41" t="n">
        <v>249.6</v>
      </c>
      <c r="L231" s="37" t="inlineStr">
        <is>
          <t>2026-06-16</t>
        </is>
      </c>
      <c r="M231" s="37" t="inlineStr">
        <is>
          <t>CURRENT</t>
        </is>
      </c>
      <c r="N231" s="37">
        <f>RIGHT(A231,LEN(A231)-3)</f>
        <v/>
      </c>
      <c r="O231" s="37">
        <f>IF(N231=C231,"YES","NO")</f>
        <v/>
      </c>
      <c r="P231" s="37">
        <f>IFERROR(INDEX(Inventory!$E$2:$E$1181,MATCH(N231,Inventory!$A$2:$A$1181,0)),"NOT FOUND")</f>
        <v/>
      </c>
      <c r="Q231" s="41">
        <f>SUM(F231:J231)</f>
        <v/>
      </c>
      <c r="R231" s="41">
        <f>K231-Q231</f>
        <v/>
      </c>
      <c r="S231" s="41">
        <f>I231+J231</f>
        <v/>
      </c>
      <c r="T231" s="37">
        <f>IF(S231&gt;0,"YES","NO")</f>
        <v/>
      </c>
      <c r="U231" s="37">
        <f>IF(AND(T231="YES",P231="OCCUPIED",O231="YES",ABS(R231)&lt;=0.004),"YES","NO")</f>
        <v/>
      </c>
      <c r="V231" s="37">
        <f>IF(ABS(R231)&gt;0.004,"Priority 3",IF(U231="YES","COLLECTION",""))</f>
        <v/>
      </c>
    </row>
    <row r="232">
      <c r="A232" s="37" t="inlineStr">
        <is>
          <t>AC-LP-1107</t>
        </is>
      </c>
      <c r="B232" s="37" t="inlineStr">
        <is>
          <t>Michael Ramirez</t>
        </is>
      </c>
      <c r="C232" s="37" t="inlineStr">
        <is>
          <t>LP-1107</t>
        </is>
      </c>
      <c r="D232" s="37" t="inlineStr">
        <is>
          <t>Ledgport</t>
        </is>
      </c>
      <c r="E232" s="37" t="inlineStr">
        <is>
          <t>NON_COMM_MONTHLY</t>
        </is>
      </c>
      <c r="F232" s="41" t="n">
        <v>499.2</v>
      </c>
      <c r="G232" s="41" t="n">
        <v>0</v>
      </c>
      <c r="H232" s="41" t="n">
        <v>0</v>
      </c>
      <c r="I232" s="41" t="n">
        <v>0</v>
      </c>
      <c r="J232" s="41" t="n">
        <v>0</v>
      </c>
      <c r="K232" s="41" t="n">
        <v>499.2</v>
      </c>
      <c r="L232" s="37" t="inlineStr">
        <is>
          <t>2026-07-26</t>
        </is>
      </c>
      <c r="M232" s="37" t="inlineStr">
        <is>
          <t>CURRENT</t>
        </is>
      </c>
      <c r="N232" s="37">
        <f>RIGHT(A232,LEN(A232)-3)</f>
        <v/>
      </c>
      <c r="O232" s="37">
        <f>IF(N232=C232,"YES","NO")</f>
        <v/>
      </c>
      <c r="P232" s="37">
        <f>IFERROR(INDEX(Inventory!$E$2:$E$1181,MATCH(N232,Inventory!$A$2:$A$1181,0)),"NOT FOUND")</f>
        <v/>
      </c>
      <c r="Q232" s="41">
        <f>SUM(F232:J232)</f>
        <v/>
      </c>
      <c r="R232" s="41">
        <f>K232-Q232</f>
        <v/>
      </c>
      <c r="S232" s="41">
        <f>I232+J232</f>
        <v/>
      </c>
      <c r="T232" s="37">
        <f>IF(S232&gt;0,"YES","NO")</f>
        <v/>
      </c>
      <c r="U232" s="37">
        <f>IF(AND(T232="YES",P232="OCCUPIED",O232="YES",ABS(R232)&lt;=0.004),"YES","NO")</f>
        <v/>
      </c>
      <c r="V232" s="37">
        <f>IF(ABS(R232)&gt;0.004,"Priority 3",IF(U232="YES","COLLECTION",""))</f>
        <v/>
      </c>
    </row>
    <row r="233">
      <c r="A233" s="37" t="inlineStr">
        <is>
          <t>AC-LP-1108</t>
        </is>
      </c>
      <c r="B233" s="37" t="inlineStr">
        <is>
          <t>Victoria Aguirre</t>
        </is>
      </c>
      <c r="C233" s="37" t="inlineStr">
        <is>
          <t>LP-1108</t>
        </is>
      </c>
      <c r="D233" s="37" t="inlineStr">
        <is>
          <t>Ledgport</t>
        </is>
      </c>
      <c r="E233" s="37" t="inlineStr">
        <is>
          <t>NON_COMM_MONTHLY</t>
        </is>
      </c>
      <c r="F233" s="41" t="n">
        <v>332.8</v>
      </c>
      <c r="G233" s="41" t="n">
        <v>332.8</v>
      </c>
      <c r="H233" s="41" t="n">
        <v>0</v>
      </c>
      <c r="I233" s="41" t="n">
        <v>0</v>
      </c>
      <c r="J233" s="41" t="n">
        <v>0</v>
      </c>
      <c r="K233" s="41" t="n">
        <v>665.6</v>
      </c>
      <c r="L233" s="37" t="inlineStr">
        <is>
          <t>2026-07-04</t>
        </is>
      </c>
      <c r="M233" s="37" t="inlineStr">
        <is>
          <t>WATCH</t>
        </is>
      </c>
      <c r="N233" s="37">
        <f>RIGHT(A233,LEN(A233)-3)</f>
        <v/>
      </c>
      <c r="O233" s="37">
        <f>IF(N233=C233,"YES","NO")</f>
        <v/>
      </c>
      <c r="P233" s="37">
        <f>IFERROR(INDEX(Inventory!$E$2:$E$1181,MATCH(N233,Inventory!$A$2:$A$1181,0)),"NOT FOUND")</f>
        <v/>
      </c>
      <c r="Q233" s="41">
        <f>SUM(F233:J233)</f>
        <v/>
      </c>
      <c r="R233" s="41">
        <f>K233-Q233</f>
        <v/>
      </c>
      <c r="S233" s="41">
        <f>I233+J233</f>
        <v/>
      </c>
      <c r="T233" s="37">
        <f>IF(S233&gt;0,"YES","NO")</f>
        <v/>
      </c>
      <c r="U233" s="37">
        <f>IF(AND(T233="YES",P233="OCCUPIED",O233="YES",ABS(R233)&lt;=0.004),"YES","NO")</f>
        <v/>
      </c>
      <c r="V233" s="37">
        <f>IF(ABS(R233)&gt;0.004,"Priority 3",IF(U233="YES","COLLECTION",""))</f>
        <v/>
      </c>
    </row>
    <row r="234">
      <c r="A234" s="37" t="inlineStr">
        <is>
          <t>AC-LP-1109</t>
        </is>
      </c>
      <c r="B234" s="37" t="inlineStr">
        <is>
          <t>Pamela Le</t>
        </is>
      </c>
      <c r="C234" s="37" t="inlineStr">
        <is>
          <t>LP-1109</t>
        </is>
      </c>
      <c r="D234" s="37" t="inlineStr">
        <is>
          <t>Ledgport</t>
        </is>
      </c>
      <c r="E234" s="37" t="inlineStr">
        <is>
          <t>NON_COMM_MONTHLY</t>
        </is>
      </c>
      <c r="F234" s="41" t="n">
        <v>312</v>
      </c>
      <c r="G234" s="41" t="n">
        <v>312</v>
      </c>
      <c r="H234" s="41" t="n">
        <v>312</v>
      </c>
      <c r="I234" s="41" t="n">
        <v>0</v>
      </c>
      <c r="J234" s="41" t="n">
        <v>0</v>
      </c>
      <c r="K234" s="41" t="n">
        <v>936</v>
      </c>
      <c r="L234" s="37" t="inlineStr">
        <is>
          <t>2026-05-02</t>
        </is>
      </c>
      <c r="M234" s="37" t="inlineStr">
        <is>
          <t>COLLECTIONS</t>
        </is>
      </c>
      <c r="N234" s="37">
        <f>RIGHT(A234,LEN(A234)-3)</f>
        <v/>
      </c>
      <c r="O234" s="37">
        <f>IF(N234=C234,"YES","NO")</f>
        <v/>
      </c>
      <c r="P234" s="37">
        <f>IFERROR(INDEX(Inventory!$E$2:$E$1181,MATCH(N234,Inventory!$A$2:$A$1181,0)),"NOT FOUND")</f>
        <v/>
      </c>
      <c r="Q234" s="41">
        <f>SUM(F234:J234)</f>
        <v/>
      </c>
      <c r="R234" s="41">
        <f>K234-Q234</f>
        <v/>
      </c>
      <c r="S234" s="41">
        <f>I234+J234</f>
        <v/>
      </c>
      <c r="T234" s="37">
        <f>IF(S234&gt;0,"YES","NO")</f>
        <v/>
      </c>
      <c r="U234" s="37">
        <f>IF(AND(T234="YES",P234="OCCUPIED",O234="YES",ABS(R234)&lt;=0.004),"YES","NO")</f>
        <v/>
      </c>
      <c r="V234" s="37">
        <f>IF(ABS(R234)&gt;0.004,"Priority 3",IF(U234="YES","COLLECTION",""))</f>
        <v/>
      </c>
    </row>
    <row r="235">
      <c r="A235" s="37" t="inlineStr">
        <is>
          <t>AC-LP-1110</t>
        </is>
      </c>
      <c r="B235" s="37" t="inlineStr">
        <is>
          <t>John Garcia</t>
        </is>
      </c>
      <c r="C235" s="37" t="inlineStr">
        <is>
          <t>LP-1110</t>
        </is>
      </c>
      <c r="D235" s="37" t="inlineStr">
        <is>
          <t>Ledgport</t>
        </is>
      </c>
      <c r="E235" s="37" t="inlineStr">
        <is>
          <t>NON_COMM_MONTHLY</t>
        </is>
      </c>
      <c r="F235" s="41" t="n">
        <v>364</v>
      </c>
      <c r="G235" s="41" t="n">
        <v>364</v>
      </c>
      <c r="H235" s="41" t="n">
        <v>0</v>
      </c>
      <c r="I235" s="41" t="n">
        <v>0</v>
      </c>
      <c r="J235" s="41" t="n">
        <v>0</v>
      </c>
      <c r="K235" s="41" t="n">
        <v>364</v>
      </c>
      <c r="L235" s="37" t="inlineStr">
        <is>
          <t>2026-05-08</t>
        </is>
      </c>
      <c r="M235" s="37" t="inlineStr">
        <is>
          <t>CURRENT</t>
        </is>
      </c>
      <c r="N235" s="37">
        <f>RIGHT(A235,LEN(A235)-3)</f>
        <v/>
      </c>
      <c r="O235" s="37">
        <f>IF(N235=C235,"YES","NO")</f>
        <v/>
      </c>
      <c r="P235" s="37">
        <f>IFERROR(INDEX(Inventory!$E$2:$E$1181,MATCH(N235,Inventory!$A$2:$A$1181,0)),"NOT FOUND")</f>
        <v/>
      </c>
      <c r="Q235" s="41">
        <f>SUM(F235:J235)</f>
        <v/>
      </c>
      <c r="R235" s="41">
        <f>K235-Q235</f>
        <v/>
      </c>
      <c r="S235" s="41">
        <f>I235+J235</f>
        <v/>
      </c>
      <c r="T235" s="37">
        <f>IF(S235&gt;0,"YES","NO")</f>
        <v/>
      </c>
      <c r="U235" s="37">
        <f>IF(AND(T235="YES",P235="OCCUPIED",O235="YES",ABS(R235)&lt;=0.004),"YES","NO")</f>
        <v/>
      </c>
      <c r="V235" s="37">
        <f>IF(ABS(R235)&gt;0.004,"Priority 3",IF(U235="YES","COLLECTION",""))</f>
        <v/>
      </c>
    </row>
    <row r="236">
      <c r="A236" s="37" t="inlineStr">
        <is>
          <t>AC-LP-1111</t>
        </is>
      </c>
      <c r="B236" s="37" t="inlineStr">
        <is>
          <t>Valerie Macias</t>
        </is>
      </c>
      <c r="C236" s="37" t="inlineStr">
        <is>
          <t>LP-1111</t>
        </is>
      </c>
      <c r="D236" s="37" t="inlineStr">
        <is>
          <t>Ledgport</t>
        </is>
      </c>
      <c r="E236" s="37" t="inlineStr">
        <is>
          <t>NON_COMM_MONTHLY</t>
        </is>
      </c>
      <c r="F236" s="41" t="n">
        <v>572</v>
      </c>
      <c r="G236" s="41" t="n">
        <v>0</v>
      </c>
      <c r="H236" s="41" t="n">
        <v>0</v>
      </c>
      <c r="I236" s="41" t="n">
        <v>0</v>
      </c>
      <c r="J236" s="41" t="n">
        <v>0</v>
      </c>
      <c r="K236" s="41" t="n">
        <v>572</v>
      </c>
      <c r="L236" s="37" t="inlineStr">
        <is>
          <t>2026-06-05</t>
        </is>
      </c>
      <c r="M236" s="37" t="inlineStr">
        <is>
          <t>CURRENT</t>
        </is>
      </c>
      <c r="N236" s="37">
        <f>RIGHT(A236,LEN(A236)-3)</f>
        <v/>
      </c>
      <c r="O236" s="37">
        <f>IF(N236=C236,"YES","NO")</f>
        <v/>
      </c>
      <c r="P236" s="37">
        <f>IFERROR(INDEX(Inventory!$E$2:$E$1181,MATCH(N236,Inventory!$A$2:$A$1181,0)),"NOT FOUND")</f>
        <v/>
      </c>
      <c r="Q236" s="41">
        <f>SUM(F236:J236)</f>
        <v/>
      </c>
      <c r="R236" s="41">
        <f>K236-Q236</f>
        <v/>
      </c>
      <c r="S236" s="41">
        <f>I236+J236</f>
        <v/>
      </c>
      <c r="T236" s="37">
        <f>IF(S236&gt;0,"YES","NO")</f>
        <v/>
      </c>
      <c r="U236" s="37">
        <f>IF(AND(T236="YES",P236="OCCUPIED",O236="YES",ABS(R236)&lt;=0.004),"YES","NO")</f>
        <v/>
      </c>
      <c r="V236" s="37">
        <f>IF(ABS(R236)&gt;0.004,"Priority 3",IF(U236="YES","COLLECTION",""))</f>
        <v/>
      </c>
    </row>
    <row r="237">
      <c r="A237" s="37" t="inlineStr">
        <is>
          <t>AC-LP-1112</t>
        </is>
      </c>
      <c r="B237" s="37" t="inlineStr">
        <is>
          <t>Nicole Richmond</t>
        </is>
      </c>
      <c r="C237" s="37" t="inlineStr">
        <is>
          <t>LP-1112</t>
        </is>
      </c>
      <c r="D237" s="37" t="inlineStr">
        <is>
          <t>Ledgport</t>
        </is>
      </c>
      <c r="E237" s="37" t="inlineStr">
        <is>
          <t>NON_COMM_MONTHLY</t>
        </is>
      </c>
      <c r="F237" s="41" t="n">
        <v>416</v>
      </c>
      <c r="G237" s="41" t="n">
        <v>0</v>
      </c>
      <c r="H237" s="41" t="n">
        <v>0</v>
      </c>
      <c r="I237" s="41" t="n">
        <v>0</v>
      </c>
      <c r="J237" s="41" t="n">
        <v>0</v>
      </c>
      <c r="K237" s="41" t="n">
        <v>416</v>
      </c>
      <c r="L237" s="37" t="inlineStr">
        <is>
          <t>2026-05-30</t>
        </is>
      </c>
      <c r="M237" s="37" t="inlineStr">
        <is>
          <t>CURRENT</t>
        </is>
      </c>
      <c r="N237" s="37">
        <f>RIGHT(A237,LEN(A237)-3)</f>
        <v/>
      </c>
      <c r="O237" s="37">
        <f>IF(N237=C237,"YES","NO")</f>
        <v/>
      </c>
      <c r="P237" s="37">
        <f>IFERROR(INDEX(Inventory!$E$2:$E$1181,MATCH(N237,Inventory!$A$2:$A$1181,0)),"NOT FOUND")</f>
        <v/>
      </c>
      <c r="Q237" s="41">
        <f>SUM(F237:J237)</f>
        <v/>
      </c>
      <c r="R237" s="41">
        <f>K237-Q237</f>
        <v/>
      </c>
      <c r="S237" s="41">
        <f>I237+J237</f>
        <v/>
      </c>
      <c r="T237" s="37">
        <f>IF(S237&gt;0,"YES","NO")</f>
        <v/>
      </c>
      <c r="U237" s="37">
        <f>IF(AND(T237="YES",P237="OCCUPIED",O237="YES",ABS(R237)&lt;=0.004),"YES","NO")</f>
        <v/>
      </c>
      <c r="V237" s="37">
        <f>IF(ABS(R237)&gt;0.004,"Priority 3",IF(U237="YES","COLLECTION",""))</f>
        <v/>
      </c>
    </row>
    <row r="238">
      <c r="A238" s="37" t="inlineStr">
        <is>
          <t>AC-LP-1113</t>
        </is>
      </c>
      <c r="B238" s="37" t="inlineStr">
        <is>
          <t>Whitney Jackson</t>
        </is>
      </c>
      <c r="C238" s="37" t="inlineStr">
        <is>
          <t>LP-1113</t>
        </is>
      </c>
      <c r="D238" s="37" t="inlineStr">
        <is>
          <t>Ledgport</t>
        </is>
      </c>
      <c r="E238" s="37" t="inlineStr">
        <is>
          <t>NON_COMM_MONTHLY</t>
        </is>
      </c>
      <c r="F238" s="41" t="n">
        <v>249.6</v>
      </c>
      <c r="G238" s="41" t="n">
        <v>0</v>
      </c>
      <c r="H238" s="41" t="n">
        <v>0</v>
      </c>
      <c r="I238" s="41" t="n">
        <v>0</v>
      </c>
      <c r="J238" s="41" t="n">
        <v>0</v>
      </c>
      <c r="K238" s="41" t="n">
        <v>249.6</v>
      </c>
      <c r="L238" s="37" t="inlineStr">
        <is>
          <t>2026-05-20</t>
        </is>
      </c>
      <c r="M238" s="37" t="inlineStr">
        <is>
          <t>CURRENT</t>
        </is>
      </c>
      <c r="N238" s="37">
        <f>RIGHT(A238,LEN(A238)-3)</f>
        <v/>
      </c>
      <c r="O238" s="37">
        <f>IF(N238=C238,"YES","NO")</f>
        <v/>
      </c>
      <c r="P238" s="37">
        <f>IFERROR(INDEX(Inventory!$E$2:$E$1181,MATCH(N238,Inventory!$A$2:$A$1181,0)),"NOT FOUND")</f>
        <v/>
      </c>
      <c r="Q238" s="41">
        <f>SUM(F238:J238)</f>
        <v/>
      </c>
      <c r="R238" s="41">
        <f>K238-Q238</f>
        <v/>
      </c>
      <c r="S238" s="41">
        <f>I238+J238</f>
        <v/>
      </c>
      <c r="T238" s="37">
        <f>IF(S238&gt;0,"YES","NO")</f>
        <v/>
      </c>
      <c r="U238" s="37">
        <f>IF(AND(T238="YES",P238="OCCUPIED",O238="YES",ABS(R238)&lt;=0.004),"YES","NO")</f>
        <v/>
      </c>
      <c r="V238" s="37">
        <f>IF(ABS(R238)&gt;0.004,"Priority 3",IF(U238="YES","COLLECTION",""))</f>
        <v/>
      </c>
    </row>
    <row r="239">
      <c r="A239" s="37" t="inlineStr">
        <is>
          <t>AC-LP-1114</t>
        </is>
      </c>
      <c r="B239" s="37" t="inlineStr">
        <is>
          <t>Sara Nelson</t>
        </is>
      </c>
      <c r="C239" s="37" t="inlineStr">
        <is>
          <t>LP-1114</t>
        </is>
      </c>
      <c r="D239" s="37" t="inlineStr">
        <is>
          <t>Ledgport</t>
        </is>
      </c>
      <c r="E239" s="37" t="inlineStr">
        <is>
          <t>NON_COMM_MONTHLY</t>
        </is>
      </c>
      <c r="F239" s="41" t="n">
        <v>332.8</v>
      </c>
      <c r="G239" s="41" t="n">
        <v>0</v>
      </c>
      <c r="H239" s="41" t="n">
        <v>0</v>
      </c>
      <c r="I239" s="41" t="n">
        <v>0</v>
      </c>
      <c r="J239" s="41" t="n">
        <v>0</v>
      </c>
      <c r="K239" s="41" t="n">
        <v>0</v>
      </c>
      <c r="L239" s="37" t="inlineStr">
        <is>
          <t>2026-05-29</t>
        </is>
      </c>
      <c r="M239" s="37" t="inlineStr">
        <is>
          <t>CURRENT</t>
        </is>
      </c>
      <c r="N239" s="37">
        <f>RIGHT(A239,LEN(A239)-3)</f>
        <v/>
      </c>
      <c r="O239" s="37">
        <f>IF(N239=C239,"YES","NO")</f>
        <v/>
      </c>
      <c r="P239" s="37">
        <f>IFERROR(INDEX(Inventory!$E$2:$E$1181,MATCH(N239,Inventory!$A$2:$A$1181,0)),"NOT FOUND")</f>
        <v/>
      </c>
      <c r="Q239" s="41">
        <f>SUM(F239:J239)</f>
        <v/>
      </c>
      <c r="R239" s="41">
        <f>K239-Q239</f>
        <v/>
      </c>
      <c r="S239" s="41">
        <f>I239+J239</f>
        <v/>
      </c>
      <c r="T239" s="37">
        <f>IF(S239&gt;0,"YES","NO")</f>
        <v/>
      </c>
      <c r="U239" s="37">
        <f>IF(AND(T239="YES",P239="OCCUPIED",O239="YES",ABS(R239)&lt;=0.004),"YES","NO")</f>
        <v/>
      </c>
      <c r="V239" s="37">
        <f>IF(ABS(R239)&gt;0.004,"Priority 3",IF(U239="YES","COLLECTION",""))</f>
        <v/>
      </c>
    </row>
    <row r="240">
      <c r="A240" s="37" t="inlineStr">
        <is>
          <t>AC-LP-1115</t>
        </is>
      </c>
      <c r="B240" s="37" t="inlineStr">
        <is>
          <t>Michelle Marsh</t>
        </is>
      </c>
      <c r="C240" s="37" t="inlineStr">
        <is>
          <t>LP-1115</t>
        </is>
      </c>
      <c r="D240" s="37" t="inlineStr">
        <is>
          <t>Ledgport</t>
        </is>
      </c>
      <c r="E240" s="37" t="inlineStr">
        <is>
          <t>NON_COMM_MONTHLY</t>
        </is>
      </c>
      <c r="F240" s="41" t="n">
        <v>613.6</v>
      </c>
      <c r="G240" s="41" t="n">
        <v>0</v>
      </c>
      <c r="H240" s="41" t="n">
        <v>0</v>
      </c>
      <c r="I240" s="41" t="n">
        <v>0</v>
      </c>
      <c r="J240" s="41" t="n">
        <v>0</v>
      </c>
      <c r="K240" s="41" t="n">
        <v>613.6</v>
      </c>
      <c r="L240" s="37" t="inlineStr">
        <is>
          <t>2026-05-14</t>
        </is>
      </c>
      <c r="M240" s="37" t="inlineStr">
        <is>
          <t>CURRENT</t>
        </is>
      </c>
      <c r="N240" s="37">
        <f>RIGHT(A240,LEN(A240)-3)</f>
        <v/>
      </c>
      <c r="O240" s="37">
        <f>IF(N240=C240,"YES","NO")</f>
        <v/>
      </c>
      <c r="P240" s="37">
        <f>IFERROR(INDEX(Inventory!$E$2:$E$1181,MATCH(N240,Inventory!$A$2:$A$1181,0)),"NOT FOUND")</f>
        <v/>
      </c>
      <c r="Q240" s="41">
        <f>SUM(F240:J240)</f>
        <v/>
      </c>
      <c r="R240" s="41">
        <f>K240-Q240</f>
        <v/>
      </c>
      <c r="S240" s="41">
        <f>I240+J240</f>
        <v/>
      </c>
      <c r="T240" s="37">
        <f>IF(S240&gt;0,"YES","NO")</f>
        <v/>
      </c>
      <c r="U240" s="37">
        <f>IF(AND(T240="YES",P240="OCCUPIED",O240="YES",ABS(R240)&lt;=0.004),"YES","NO")</f>
        <v/>
      </c>
      <c r="V240" s="37">
        <f>IF(ABS(R240)&gt;0.004,"Priority 3",IF(U240="YES","COLLECTION",""))</f>
        <v/>
      </c>
    </row>
    <row r="241">
      <c r="A241" s="37" t="inlineStr">
        <is>
          <t>AC-LP-1116</t>
        </is>
      </c>
      <c r="B241" s="37" t="inlineStr">
        <is>
          <t>Kelly Johnson</t>
        </is>
      </c>
      <c r="C241" s="37" t="inlineStr">
        <is>
          <t>LP-1116</t>
        </is>
      </c>
      <c r="D241" s="37" t="inlineStr">
        <is>
          <t>Ledgport</t>
        </is>
      </c>
      <c r="E241" s="37" t="inlineStr">
        <is>
          <t>NON_COMM_MONTHLY</t>
        </is>
      </c>
      <c r="F241" s="41" t="n">
        <v>384.8</v>
      </c>
      <c r="G241" s="41" t="n">
        <v>0</v>
      </c>
      <c r="H241" s="41" t="n">
        <v>0</v>
      </c>
      <c r="I241" s="41" t="n">
        <v>0</v>
      </c>
      <c r="J241" s="41" t="n">
        <v>0</v>
      </c>
      <c r="K241" s="41" t="n">
        <v>384.8</v>
      </c>
      <c r="L241" s="37" t="inlineStr">
        <is>
          <t>2026-06-06</t>
        </is>
      </c>
      <c r="M241" s="37" t="inlineStr">
        <is>
          <t>CURRENT</t>
        </is>
      </c>
      <c r="N241" s="37">
        <f>RIGHT(A241,LEN(A241)-3)</f>
        <v/>
      </c>
      <c r="O241" s="37">
        <f>IF(N241=C241,"YES","NO")</f>
        <v/>
      </c>
      <c r="P241" s="37">
        <f>IFERROR(INDEX(Inventory!$E$2:$E$1181,MATCH(N241,Inventory!$A$2:$A$1181,0)),"NOT FOUND")</f>
        <v/>
      </c>
      <c r="Q241" s="41">
        <f>SUM(F241:J241)</f>
        <v/>
      </c>
      <c r="R241" s="41">
        <f>K241-Q241</f>
        <v/>
      </c>
      <c r="S241" s="41">
        <f>I241+J241</f>
        <v/>
      </c>
      <c r="T241" s="37">
        <f>IF(S241&gt;0,"YES","NO")</f>
        <v/>
      </c>
      <c r="U241" s="37">
        <f>IF(AND(T241="YES",P241="OCCUPIED",O241="YES",ABS(R241)&lt;=0.004),"YES","NO")</f>
        <v/>
      </c>
      <c r="V241" s="37">
        <f>IF(ABS(R241)&gt;0.004,"Priority 3",IF(U241="YES","COLLECTION",""))</f>
        <v/>
      </c>
    </row>
    <row r="242">
      <c r="A242" s="37" t="inlineStr">
        <is>
          <t>AC-LP-1117</t>
        </is>
      </c>
      <c r="B242" s="37" t="inlineStr">
        <is>
          <t>Tina Wells</t>
        </is>
      </c>
      <c r="C242" s="37" t="inlineStr">
        <is>
          <t>LP-1117</t>
        </is>
      </c>
      <c r="D242" s="37" t="inlineStr">
        <is>
          <t>Ledgport</t>
        </is>
      </c>
      <c r="E242" s="37" t="inlineStr">
        <is>
          <t>NON_COMM_MONTHLY</t>
        </is>
      </c>
      <c r="F242" s="41" t="n">
        <v>644.8</v>
      </c>
      <c r="G242" s="41" t="n">
        <v>0</v>
      </c>
      <c r="H242" s="41" t="n">
        <v>0</v>
      </c>
      <c r="I242" s="41" t="n">
        <v>0</v>
      </c>
      <c r="J242" s="41" t="n">
        <v>0</v>
      </c>
      <c r="K242" s="41" t="n">
        <v>644.8</v>
      </c>
      <c r="L242" s="37" t="inlineStr">
        <is>
          <t>2026-07-03</t>
        </is>
      </c>
      <c r="M242" s="37" t="inlineStr">
        <is>
          <t>CURRENT</t>
        </is>
      </c>
      <c r="N242" s="37">
        <f>RIGHT(A242,LEN(A242)-3)</f>
        <v/>
      </c>
      <c r="O242" s="37">
        <f>IF(N242=C242,"YES","NO")</f>
        <v/>
      </c>
      <c r="P242" s="37">
        <f>IFERROR(INDEX(Inventory!$E$2:$E$1181,MATCH(N242,Inventory!$A$2:$A$1181,0)),"NOT FOUND")</f>
        <v/>
      </c>
      <c r="Q242" s="41">
        <f>SUM(F242:J242)</f>
        <v/>
      </c>
      <c r="R242" s="41">
        <f>K242-Q242</f>
        <v/>
      </c>
      <c r="S242" s="41">
        <f>I242+J242</f>
        <v/>
      </c>
      <c r="T242" s="37">
        <f>IF(S242&gt;0,"YES","NO")</f>
        <v/>
      </c>
      <c r="U242" s="37">
        <f>IF(AND(T242="YES",P242="OCCUPIED",O242="YES",ABS(R242)&lt;=0.004),"YES","NO")</f>
        <v/>
      </c>
      <c r="V242" s="37">
        <f>IF(ABS(R242)&gt;0.004,"Priority 3",IF(U242="YES","COLLECTION",""))</f>
        <v/>
      </c>
    </row>
    <row r="243">
      <c r="A243" s="37" t="inlineStr">
        <is>
          <t>AC-LP-1118</t>
        </is>
      </c>
      <c r="B243" s="37" t="inlineStr">
        <is>
          <t>Caitlin Burgess</t>
        </is>
      </c>
      <c r="C243" s="37" t="inlineStr">
        <is>
          <t>LP-1118</t>
        </is>
      </c>
      <c r="D243" s="37" t="inlineStr">
        <is>
          <t>Ledgport</t>
        </is>
      </c>
      <c r="E243" s="37" t="inlineStr">
        <is>
          <t>NON_COMM_MONTHLY</t>
        </is>
      </c>
      <c r="F243" s="41" t="n">
        <v>624</v>
      </c>
      <c r="G243" s="41" t="n">
        <v>624</v>
      </c>
      <c r="H243" s="41" t="n">
        <v>0</v>
      </c>
      <c r="I243" s="41" t="n">
        <v>0</v>
      </c>
      <c r="J243" s="41" t="n">
        <v>0</v>
      </c>
      <c r="K243" s="41" t="n">
        <v>1248</v>
      </c>
      <c r="L243" s="37" t="inlineStr">
        <is>
          <t>2026-05-19</t>
        </is>
      </c>
      <c r="M243" s="37" t="inlineStr">
        <is>
          <t>WATCH</t>
        </is>
      </c>
      <c r="N243" s="37">
        <f>RIGHT(A243,LEN(A243)-3)</f>
        <v/>
      </c>
      <c r="O243" s="37">
        <f>IF(N243=C243,"YES","NO")</f>
        <v/>
      </c>
      <c r="P243" s="37">
        <f>IFERROR(INDEX(Inventory!$E$2:$E$1181,MATCH(N243,Inventory!$A$2:$A$1181,0)),"NOT FOUND")</f>
        <v/>
      </c>
      <c r="Q243" s="41">
        <f>SUM(F243:J243)</f>
        <v/>
      </c>
      <c r="R243" s="41">
        <f>K243-Q243</f>
        <v/>
      </c>
      <c r="S243" s="41">
        <f>I243+J243</f>
        <v/>
      </c>
      <c r="T243" s="37">
        <f>IF(S243&gt;0,"YES","NO")</f>
        <v/>
      </c>
      <c r="U243" s="37">
        <f>IF(AND(T243="YES",P243="OCCUPIED",O243="YES",ABS(R243)&lt;=0.004),"YES","NO")</f>
        <v/>
      </c>
      <c r="V243" s="37">
        <f>IF(ABS(R243)&gt;0.004,"Priority 3",IF(U243="YES","COLLECTION",""))</f>
        <v/>
      </c>
    </row>
    <row r="244">
      <c r="A244" s="37" t="inlineStr">
        <is>
          <t>AC-LP-1119</t>
        </is>
      </c>
      <c r="B244" s="37" t="inlineStr">
        <is>
          <t>John Gregory</t>
        </is>
      </c>
      <c r="C244" s="37" t="inlineStr">
        <is>
          <t>LP-1119</t>
        </is>
      </c>
      <c r="D244" s="37" t="inlineStr">
        <is>
          <t>Ledgport</t>
        </is>
      </c>
      <c r="E244" s="37" t="inlineStr">
        <is>
          <t>NON_COMM_MONTHLY</t>
        </is>
      </c>
      <c r="F244" s="41" t="n">
        <v>436.8</v>
      </c>
      <c r="G244" s="41" t="n">
        <v>0</v>
      </c>
      <c r="H244" s="41" t="n">
        <v>0</v>
      </c>
      <c r="I244" s="41" t="n">
        <v>0</v>
      </c>
      <c r="J244" s="41" t="n">
        <v>0</v>
      </c>
      <c r="K244" s="41" t="n">
        <v>436.8</v>
      </c>
      <c r="L244" s="37" t="inlineStr">
        <is>
          <t>2026-07-28</t>
        </is>
      </c>
      <c r="M244" s="37" t="inlineStr">
        <is>
          <t>CURRENT</t>
        </is>
      </c>
      <c r="N244" s="37">
        <f>RIGHT(A244,LEN(A244)-3)</f>
        <v/>
      </c>
      <c r="O244" s="37">
        <f>IF(N244=C244,"YES","NO")</f>
        <v/>
      </c>
      <c r="P244" s="37">
        <f>IFERROR(INDEX(Inventory!$E$2:$E$1181,MATCH(N244,Inventory!$A$2:$A$1181,0)),"NOT FOUND")</f>
        <v/>
      </c>
      <c r="Q244" s="41">
        <f>SUM(F244:J244)</f>
        <v/>
      </c>
      <c r="R244" s="41">
        <f>K244-Q244</f>
        <v/>
      </c>
      <c r="S244" s="41">
        <f>I244+J244</f>
        <v/>
      </c>
      <c r="T244" s="37">
        <f>IF(S244&gt;0,"YES","NO")</f>
        <v/>
      </c>
      <c r="U244" s="37">
        <f>IF(AND(T244="YES",P244="OCCUPIED",O244="YES",ABS(R244)&lt;=0.004),"YES","NO")</f>
        <v/>
      </c>
      <c r="V244" s="37">
        <f>IF(ABS(R244)&gt;0.004,"Priority 3",IF(U244="YES","COLLECTION",""))</f>
        <v/>
      </c>
    </row>
    <row r="245">
      <c r="A245" s="37" t="inlineStr">
        <is>
          <t>AC-LP-1120</t>
        </is>
      </c>
      <c r="B245" s="37" t="inlineStr">
        <is>
          <t>Deborah Freeman</t>
        </is>
      </c>
      <c r="C245" s="37" t="inlineStr">
        <is>
          <t>LP-1120</t>
        </is>
      </c>
      <c r="D245" s="37" t="inlineStr">
        <is>
          <t>Ledgport</t>
        </is>
      </c>
      <c r="E245" s="37" t="inlineStr">
        <is>
          <t>NON_COMM_MONTHLY</t>
        </is>
      </c>
      <c r="F245" s="41" t="n">
        <v>332.8</v>
      </c>
      <c r="G245" s="41" t="n">
        <v>0</v>
      </c>
      <c r="H245" s="41" t="n">
        <v>0</v>
      </c>
      <c r="I245" s="41" t="n">
        <v>0</v>
      </c>
      <c r="J245" s="41" t="n">
        <v>0</v>
      </c>
      <c r="K245" s="41" t="n">
        <v>332.8</v>
      </c>
      <c r="L245" s="37" t="inlineStr">
        <is>
          <t>2026-07-15</t>
        </is>
      </c>
      <c r="M245" s="37" t="inlineStr">
        <is>
          <t>CURRENT</t>
        </is>
      </c>
      <c r="N245" s="37">
        <f>RIGHT(A245,LEN(A245)-3)</f>
        <v/>
      </c>
      <c r="O245" s="37">
        <f>IF(N245=C245,"YES","NO")</f>
        <v/>
      </c>
      <c r="P245" s="37">
        <f>IFERROR(INDEX(Inventory!$E$2:$E$1181,MATCH(N245,Inventory!$A$2:$A$1181,0)),"NOT FOUND")</f>
        <v/>
      </c>
      <c r="Q245" s="41">
        <f>SUM(F245:J245)</f>
        <v/>
      </c>
      <c r="R245" s="41">
        <f>K245-Q245</f>
        <v/>
      </c>
      <c r="S245" s="41">
        <f>I245+J245</f>
        <v/>
      </c>
      <c r="T245" s="37">
        <f>IF(S245&gt;0,"YES","NO")</f>
        <v/>
      </c>
      <c r="U245" s="37">
        <f>IF(AND(T245="YES",P245="OCCUPIED",O245="YES",ABS(R245)&lt;=0.004),"YES","NO")</f>
        <v/>
      </c>
      <c r="V245" s="37">
        <f>IF(ABS(R245)&gt;0.004,"Priority 3",IF(U245="YES","COLLECTION",""))</f>
        <v/>
      </c>
    </row>
    <row r="246">
      <c r="A246" s="37" t="inlineStr">
        <is>
          <t>AC-VB-0101</t>
        </is>
      </c>
      <c r="B246" s="37" t="inlineStr">
        <is>
          <t>Sarah Walker</t>
        </is>
      </c>
      <c r="C246" s="37" t="inlineStr">
        <is>
          <t>VB-0101</t>
        </is>
      </c>
      <c r="D246" s="37" t="inlineStr">
        <is>
          <t>Vessbank</t>
        </is>
      </c>
      <c r="E246" s="37" t="inlineStr">
        <is>
          <t>NON_COMM_MONTHLY</t>
        </is>
      </c>
      <c r="F246" s="41" t="n">
        <v>634.4</v>
      </c>
      <c r="G246" s="41" t="n">
        <v>0</v>
      </c>
      <c r="H246" s="41" t="n">
        <v>0</v>
      </c>
      <c r="I246" s="41" t="n">
        <v>0</v>
      </c>
      <c r="J246" s="41" t="n">
        <v>0</v>
      </c>
      <c r="K246" s="41" t="n">
        <v>634.4</v>
      </c>
      <c r="L246" s="37" t="inlineStr">
        <is>
          <t>2026-07-04</t>
        </is>
      </c>
      <c r="M246" s="37" t="inlineStr">
        <is>
          <t>CURRENT</t>
        </is>
      </c>
      <c r="N246" s="37">
        <f>RIGHT(A246,LEN(A246)-3)</f>
        <v/>
      </c>
      <c r="O246" s="37">
        <f>IF(N246=C246,"YES","NO")</f>
        <v/>
      </c>
      <c r="P246" s="37">
        <f>IFERROR(INDEX(Inventory!$E$2:$E$1181,MATCH(N246,Inventory!$A$2:$A$1181,0)),"NOT FOUND")</f>
        <v/>
      </c>
      <c r="Q246" s="41">
        <f>SUM(F246:J246)</f>
        <v/>
      </c>
      <c r="R246" s="41">
        <f>K246-Q246</f>
        <v/>
      </c>
      <c r="S246" s="41">
        <f>I246+J246</f>
        <v/>
      </c>
      <c r="T246" s="37">
        <f>IF(S246&gt;0,"YES","NO")</f>
        <v/>
      </c>
      <c r="U246" s="37">
        <f>IF(AND(T246="YES",P246="OCCUPIED",O246="YES",ABS(R246)&lt;=0.004),"YES","NO")</f>
        <v/>
      </c>
      <c r="V246" s="37">
        <f>IF(ABS(R246)&gt;0.004,"Priority 3",IF(U246="YES","COLLECTION",""))</f>
        <v/>
      </c>
    </row>
    <row r="247">
      <c r="A247" s="37" t="inlineStr">
        <is>
          <t>AC-VB-0102</t>
        </is>
      </c>
      <c r="B247" s="37" t="inlineStr">
        <is>
          <t>Nathaniel Flores</t>
        </is>
      </c>
      <c r="C247" s="37" t="inlineStr">
        <is>
          <t>VB-0102</t>
        </is>
      </c>
      <c r="D247" s="37" t="inlineStr">
        <is>
          <t>Vessbank</t>
        </is>
      </c>
      <c r="E247" s="37" t="inlineStr">
        <is>
          <t>NON_COMM_MONTHLY</t>
        </is>
      </c>
      <c r="F247" s="41" t="n">
        <v>353.6</v>
      </c>
      <c r="G247" s="41" t="n">
        <v>0</v>
      </c>
      <c r="H247" s="41" t="n">
        <v>0</v>
      </c>
      <c r="I247" s="41" t="n">
        <v>0</v>
      </c>
      <c r="J247" s="41" t="n">
        <v>0</v>
      </c>
      <c r="K247" s="41" t="n">
        <v>353.6</v>
      </c>
      <c r="L247" s="37" t="inlineStr">
        <is>
          <t>2026-05-04</t>
        </is>
      </c>
      <c r="M247" s="37" t="inlineStr">
        <is>
          <t>CURRENT</t>
        </is>
      </c>
      <c r="N247" s="37">
        <f>RIGHT(A247,LEN(A247)-3)</f>
        <v/>
      </c>
      <c r="O247" s="37">
        <f>IF(N247=C247,"YES","NO")</f>
        <v/>
      </c>
      <c r="P247" s="37">
        <f>IFERROR(INDEX(Inventory!$E$2:$E$1181,MATCH(N247,Inventory!$A$2:$A$1181,0)),"NOT FOUND")</f>
        <v/>
      </c>
      <c r="Q247" s="41">
        <f>SUM(F247:J247)</f>
        <v/>
      </c>
      <c r="R247" s="41">
        <f>K247-Q247</f>
        <v/>
      </c>
      <c r="S247" s="41">
        <f>I247+J247</f>
        <v/>
      </c>
      <c r="T247" s="37">
        <f>IF(S247&gt;0,"YES","NO")</f>
        <v/>
      </c>
      <c r="U247" s="37">
        <f>IF(AND(T247="YES",P247="OCCUPIED",O247="YES",ABS(R247)&lt;=0.004),"YES","NO")</f>
        <v/>
      </c>
      <c r="V247" s="37">
        <f>IF(ABS(R247)&gt;0.004,"Priority 3",IF(U247="YES","COLLECTION",""))</f>
        <v/>
      </c>
    </row>
    <row r="248">
      <c r="A248" s="37" t="inlineStr">
        <is>
          <t>AC-VB-0103</t>
        </is>
      </c>
      <c r="B248" s="37" t="inlineStr">
        <is>
          <t>Kenneth Simmons</t>
        </is>
      </c>
      <c r="C248" s="37" t="inlineStr">
        <is>
          <t>VB-0103</t>
        </is>
      </c>
      <c r="D248" s="37" t="inlineStr">
        <is>
          <t>Vessbank</t>
        </is>
      </c>
      <c r="E248" s="37" t="inlineStr">
        <is>
          <t>NON_COMM_MONTHLY</t>
        </is>
      </c>
      <c r="F248" s="41" t="n">
        <v>405.6</v>
      </c>
      <c r="G248" s="41" t="n">
        <v>0</v>
      </c>
      <c r="H248" s="41" t="n">
        <v>0</v>
      </c>
      <c r="I248" s="41" t="n">
        <v>0</v>
      </c>
      <c r="J248" s="41" t="n">
        <v>0</v>
      </c>
      <c r="K248" s="41" t="n">
        <v>405.6</v>
      </c>
      <c r="L248" s="37" t="inlineStr">
        <is>
          <t>2026-06-21</t>
        </is>
      </c>
      <c r="M248" s="37" t="inlineStr">
        <is>
          <t>CURRENT</t>
        </is>
      </c>
      <c r="N248" s="37">
        <f>RIGHT(A248,LEN(A248)-3)</f>
        <v/>
      </c>
      <c r="O248" s="37">
        <f>IF(N248=C248,"YES","NO")</f>
        <v/>
      </c>
      <c r="P248" s="37">
        <f>IFERROR(INDEX(Inventory!$E$2:$E$1181,MATCH(N248,Inventory!$A$2:$A$1181,0)),"NOT FOUND")</f>
        <v/>
      </c>
      <c r="Q248" s="41">
        <f>SUM(F248:J248)</f>
        <v/>
      </c>
      <c r="R248" s="41">
        <f>K248-Q248</f>
        <v/>
      </c>
      <c r="S248" s="41">
        <f>I248+J248</f>
        <v/>
      </c>
      <c r="T248" s="37">
        <f>IF(S248&gt;0,"YES","NO")</f>
        <v/>
      </c>
      <c r="U248" s="37">
        <f>IF(AND(T248="YES",P248="OCCUPIED",O248="YES",ABS(R248)&lt;=0.004),"YES","NO")</f>
        <v/>
      </c>
      <c r="V248" s="37">
        <f>IF(ABS(R248)&gt;0.004,"Priority 3",IF(U248="YES","COLLECTION",""))</f>
        <v/>
      </c>
    </row>
    <row r="249">
      <c r="A249" s="37" t="inlineStr">
        <is>
          <t>AC-VB-0105</t>
        </is>
      </c>
      <c r="B249" s="37" t="inlineStr">
        <is>
          <t>Tricia Davila</t>
        </is>
      </c>
      <c r="C249" s="37" t="inlineStr">
        <is>
          <t>VB-0105</t>
        </is>
      </c>
      <c r="D249" s="37" t="inlineStr">
        <is>
          <t>Vessbank</t>
        </is>
      </c>
      <c r="E249" s="37" t="inlineStr">
        <is>
          <t>NON_COMM_MONTHLY</t>
        </is>
      </c>
      <c r="F249" s="41" t="n">
        <v>561.6</v>
      </c>
      <c r="G249" s="41" t="n">
        <v>0</v>
      </c>
      <c r="H249" s="41" t="n">
        <v>0</v>
      </c>
      <c r="I249" s="41" t="n">
        <v>0</v>
      </c>
      <c r="J249" s="41" t="n">
        <v>0</v>
      </c>
      <c r="K249" s="41" t="n">
        <v>561.6</v>
      </c>
      <c r="L249" s="37" t="inlineStr">
        <is>
          <t>2026-06-25</t>
        </is>
      </c>
      <c r="M249" s="37" t="inlineStr">
        <is>
          <t>CURRENT</t>
        </is>
      </c>
      <c r="N249" s="37">
        <f>RIGHT(A249,LEN(A249)-3)</f>
        <v/>
      </c>
      <c r="O249" s="37">
        <f>IF(N249=C249,"YES","NO")</f>
        <v/>
      </c>
      <c r="P249" s="37">
        <f>IFERROR(INDEX(Inventory!$E$2:$E$1181,MATCH(N249,Inventory!$A$2:$A$1181,0)),"NOT FOUND")</f>
        <v/>
      </c>
      <c r="Q249" s="41">
        <f>SUM(F249:J249)</f>
        <v/>
      </c>
      <c r="R249" s="41">
        <f>K249-Q249</f>
        <v/>
      </c>
      <c r="S249" s="41">
        <f>I249+J249</f>
        <v/>
      </c>
      <c r="T249" s="37">
        <f>IF(S249&gt;0,"YES","NO")</f>
        <v/>
      </c>
      <c r="U249" s="37">
        <f>IF(AND(T249="YES",P249="OCCUPIED",O249="YES",ABS(R249)&lt;=0.004),"YES","NO")</f>
        <v/>
      </c>
      <c r="V249" s="37">
        <f>IF(ABS(R249)&gt;0.004,"Priority 3",IF(U249="YES","COLLECTION",""))</f>
        <v/>
      </c>
    </row>
    <row r="250">
      <c r="A250" s="37" t="inlineStr">
        <is>
          <t>AC-VB-0106</t>
        </is>
      </c>
      <c r="B250" s="37" t="inlineStr">
        <is>
          <t>Regina Brown</t>
        </is>
      </c>
      <c r="C250" s="37" t="inlineStr">
        <is>
          <t>VB-0106</t>
        </is>
      </c>
      <c r="D250" s="37" t="inlineStr">
        <is>
          <t>Vessbank</t>
        </is>
      </c>
      <c r="E250" s="37" t="inlineStr">
        <is>
          <t>NON_COMM_MONTHLY</t>
        </is>
      </c>
      <c r="F250" s="41" t="n">
        <v>509.6</v>
      </c>
      <c r="G250" s="41" t="n">
        <v>0</v>
      </c>
      <c r="H250" s="41" t="n">
        <v>0</v>
      </c>
      <c r="I250" s="41" t="n">
        <v>0</v>
      </c>
      <c r="J250" s="41" t="n">
        <v>0</v>
      </c>
      <c r="K250" s="41" t="n">
        <v>509.6</v>
      </c>
      <c r="L250" s="37" t="inlineStr">
        <is>
          <t>2026-07-02</t>
        </is>
      </c>
      <c r="M250" s="37" t="inlineStr">
        <is>
          <t>CURRENT</t>
        </is>
      </c>
      <c r="N250" s="37">
        <f>RIGHT(A250,LEN(A250)-3)</f>
        <v/>
      </c>
      <c r="O250" s="37">
        <f>IF(N250=C250,"YES","NO")</f>
        <v/>
      </c>
      <c r="P250" s="37">
        <f>IFERROR(INDEX(Inventory!$E$2:$E$1181,MATCH(N250,Inventory!$A$2:$A$1181,0)),"NOT FOUND")</f>
        <v/>
      </c>
      <c r="Q250" s="41">
        <f>SUM(F250:J250)</f>
        <v/>
      </c>
      <c r="R250" s="41">
        <f>K250-Q250</f>
        <v/>
      </c>
      <c r="S250" s="41">
        <f>I250+J250</f>
        <v/>
      </c>
      <c r="T250" s="37">
        <f>IF(S250&gt;0,"YES","NO")</f>
        <v/>
      </c>
      <c r="U250" s="37">
        <f>IF(AND(T250="YES",P250="OCCUPIED",O250="YES",ABS(R250)&lt;=0.004),"YES","NO")</f>
        <v/>
      </c>
      <c r="V250" s="37">
        <f>IF(ABS(R250)&gt;0.004,"Priority 3",IF(U250="YES","COLLECTION",""))</f>
        <v/>
      </c>
    </row>
    <row r="251">
      <c r="A251" s="37" t="inlineStr">
        <is>
          <t>AC-VB-0107</t>
        </is>
      </c>
      <c r="B251" s="37" t="inlineStr">
        <is>
          <t>Joshua Ortiz</t>
        </is>
      </c>
      <c r="C251" s="37" t="inlineStr">
        <is>
          <t>VB-0107</t>
        </is>
      </c>
      <c r="D251" s="37" t="inlineStr">
        <is>
          <t>Vessbank</t>
        </is>
      </c>
      <c r="E251" s="37" t="inlineStr">
        <is>
          <t>NON_COMM_MONTHLY</t>
        </is>
      </c>
      <c r="F251" s="41" t="n">
        <v>374.4</v>
      </c>
      <c r="G251" s="41" t="n">
        <v>0</v>
      </c>
      <c r="H251" s="41" t="n">
        <v>0</v>
      </c>
      <c r="I251" s="41" t="n">
        <v>0</v>
      </c>
      <c r="J251" s="41" t="n">
        <v>0</v>
      </c>
      <c r="K251" s="41" t="n">
        <v>374.4</v>
      </c>
      <c r="L251" s="37" t="inlineStr">
        <is>
          <t>2026-07-28</t>
        </is>
      </c>
      <c r="M251" s="37" t="inlineStr">
        <is>
          <t>CURRENT</t>
        </is>
      </c>
      <c r="N251" s="37">
        <f>RIGHT(A251,LEN(A251)-3)</f>
        <v/>
      </c>
      <c r="O251" s="37">
        <f>IF(N251=C251,"YES","NO")</f>
        <v/>
      </c>
      <c r="P251" s="37">
        <f>IFERROR(INDEX(Inventory!$E$2:$E$1181,MATCH(N251,Inventory!$A$2:$A$1181,0)),"NOT FOUND")</f>
        <v/>
      </c>
      <c r="Q251" s="41">
        <f>SUM(F251:J251)</f>
        <v/>
      </c>
      <c r="R251" s="41">
        <f>K251-Q251</f>
        <v/>
      </c>
      <c r="S251" s="41">
        <f>I251+J251</f>
        <v/>
      </c>
      <c r="T251" s="37">
        <f>IF(S251&gt;0,"YES","NO")</f>
        <v/>
      </c>
      <c r="U251" s="37">
        <f>IF(AND(T251="YES",P251="OCCUPIED",O251="YES",ABS(R251)&lt;=0.004),"YES","NO")</f>
        <v/>
      </c>
      <c r="V251" s="37">
        <f>IF(ABS(R251)&gt;0.004,"Priority 3",IF(U251="YES","COLLECTION",""))</f>
        <v/>
      </c>
    </row>
    <row r="252">
      <c r="A252" s="37" t="inlineStr">
        <is>
          <t>AC-VB-0108</t>
        </is>
      </c>
      <c r="B252" s="37" t="inlineStr">
        <is>
          <t>Jerry Davis</t>
        </is>
      </c>
      <c r="C252" s="37" t="inlineStr">
        <is>
          <t>VB-0108</t>
        </is>
      </c>
      <c r="D252" s="37" t="inlineStr">
        <is>
          <t>Vessbank</t>
        </is>
      </c>
      <c r="E252" s="37" t="inlineStr">
        <is>
          <t>NON_COMM_MONTHLY</t>
        </is>
      </c>
      <c r="F252" s="41" t="n">
        <v>332.8</v>
      </c>
      <c r="G252" s="41" t="n">
        <v>332.8</v>
      </c>
      <c r="H252" s="41" t="n">
        <v>0</v>
      </c>
      <c r="I252" s="41" t="n">
        <v>0</v>
      </c>
      <c r="J252" s="41" t="n">
        <v>0</v>
      </c>
      <c r="K252" s="41" t="n">
        <v>665.6</v>
      </c>
      <c r="L252" s="37" t="inlineStr">
        <is>
          <t>2026-07-03</t>
        </is>
      </c>
      <c r="M252" s="37" t="inlineStr">
        <is>
          <t>WATCH</t>
        </is>
      </c>
      <c r="N252" s="37">
        <f>RIGHT(A252,LEN(A252)-3)</f>
        <v/>
      </c>
      <c r="O252" s="37">
        <f>IF(N252=C252,"YES","NO")</f>
        <v/>
      </c>
      <c r="P252" s="37">
        <f>IFERROR(INDEX(Inventory!$E$2:$E$1181,MATCH(N252,Inventory!$A$2:$A$1181,0)),"NOT FOUND")</f>
        <v/>
      </c>
      <c r="Q252" s="41">
        <f>SUM(F252:J252)</f>
        <v/>
      </c>
      <c r="R252" s="41">
        <f>K252-Q252</f>
        <v/>
      </c>
      <c r="S252" s="41">
        <f>I252+J252</f>
        <v/>
      </c>
      <c r="T252" s="37">
        <f>IF(S252&gt;0,"YES","NO")</f>
        <v/>
      </c>
      <c r="U252" s="37">
        <f>IF(AND(T252="YES",P252="OCCUPIED",O252="YES",ABS(R252)&lt;=0.004),"YES","NO")</f>
        <v/>
      </c>
      <c r="V252" s="37">
        <f>IF(ABS(R252)&gt;0.004,"Priority 3",IF(U252="YES","COLLECTION",""))</f>
        <v/>
      </c>
    </row>
    <row r="253">
      <c r="A253" s="37" t="inlineStr">
        <is>
          <t>AC-VB-0109</t>
        </is>
      </c>
      <c r="B253" s="37" t="inlineStr">
        <is>
          <t>Nicole Brown</t>
        </is>
      </c>
      <c r="C253" s="37" t="inlineStr">
        <is>
          <t>VB-0109</t>
        </is>
      </c>
      <c r="D253" s="37" t="inlineStr">
        <is>
          <t>Vessbank</t>
        </is>
      </c>
      <c r="E253" s="37" t="inlineStr">
        <is>
          <t>NON_COMM_MONTHLY</t>
        </is>
      </c>
      <c r="F253" s="41" t="n">
        <v>322.4</v>
      </c>
      <c r="G253" s="41" t="n">
        <v>0</v>
      </c>
      <c r="H253" s="41" t="n">
        <v>0</v>
      </c>
      <c r="I253" s="41" t="n">
        <v>0</v>
      </c>
      <c r="J253" s="41" t="n">
        <v>0</v>
      </c>
      <c r="K253" s="41" t="n">
        <v>322.4</v>
      </c>
      <c r="L253" s="37" t="inlineStr">
        <is>
          <t>2026-06-28</t>
        </is>
      </c>
      <c r="M253" s="37" t="inlineStr">
        <is>
          <t>CURRENT</t>
        </is>
      </c>
      <c r="N253" s="37">
        <f>RIGHT(A253,LEN(A253)-3)</f>
        <v/>
      </c>
      <c r="O253" s="37">
        <f>IF(N253=C253,"YES","NO")</f>
        <v/>
      </c>
      <c r="P253" s="37">
        <f>IFERROR(INDEX(Inventory!$E$2:$E$1181,MATCH(N253,Inventory!$A$2:$A$1181,0)),"NOT FOUND")</f>
        <v/>
      </c>
      <c r="Q253" s="41">
        <f>SUM(F253:J253)</f>
        <v/>
      </c>
      <c r="R253" s="41">
        <f>K253-Q253</f>
        <v/>
      </c>
      <c r="S253" s="41">
        <f>I253+J253</f>
        <v/>
      </c>
      <c r="T253" s="37">
        <f>IF(S253&gt;0,"YES","NO")</f>
        <v/>
      </c>
      <c r="U253" s="37">
        <f>IF(AND(T253="YES",P253="OCCUPIED",O253="YES",ABS(R253)&lt;=0.004),"YES","NO")</f>
        <v/>
      </c>
      <c r="V253" s="37">
        <f>IF(ABS(R253)&gt;0.004,"Priority 3",IF(U253="YES","COLLECTION",""))</f>
        <v/>
      </c>
    </row>
    <row r="254">
      <c r="A254" s="37" t="inlineStr">
        <is>
          <t>AC-VB-0110</t>
        </is>
      </c>
      <c r="B254" s="37" t="inlineStr">
        <is>
          <t>Lisa Brown</t>
        </is>
      </c>
      <c r="C254" s="37" t="inlineStr">
        <is>
          <t>VB-0110</t>
        </is>
      </c>
      <c r="D254" s="37" t="inlineStr">
        <is>
          <t>Vessbank</t>
        </is>
      </c>
      <c r="E254" s="37" t="inlineStr">
        <is>
          <t>NON_COMM_MONTHLY</t>
        </is>
      </c>
      <c r="F254" s="41" t="n">
        <v>540.8</v>
      </c>
      <c r="G254" s="41" t="n">
        <v>0</v>
      </c>
      <c r="H254" s="41" t="n">
        <v>0</v>
      </c>
      <c r="I254" s="41" t="n">
        <v>0</v>
      </c>
      <c r="J254" s="41" t="n">
        <v>0</v>
      </c>
      <c r="K254" s="41" t="n">
        <v>540.8</v>
      </c>
      <c r="L254" s="37" t="inlineStr">
        <is>
          <t>2026-05-23</t>
        </is>
      </c>
      <c r="M254" s="37" t="inlineStr">
        <is>
          <t>CURRENT</t>
        </is>
      </c>
      <c r="N254" s="37">
        <f>RIGHT(A254,LEN(A254)-3)</f>
        <v/>
      </c>
      <c r="O254" s="37">
        <f>IF(N254=C254,"YES","NO")</f>
        <v/>
      </c>
      <c r="P254" s="37">
        <f>IFERROR(INDEX(Inventory!$E$2:$E$1181,MATCH(N254,Inventory!$A$2:$A$1181,0)),"NOT FOUND")</f>
        <v/>
      </c>
      <c r="Q254" s="41">
        <f>SUM(F254:J254)</f>
        <v/>
      </c>
      <c r="R254" s="41">
        <f>K254-Q254</f>
        <v/>
      </c>
      <c r="S254" s="41">
        <f>I254+J254</f>
        <v/>
      </c>
      <c r="T254" s="37">
        <f>IF(S254&gt;0,"YES","NO")</f>
        <v/>
      </c>
      <c r="U254" s="37">
        <f>IF(AND(T254="YES",P254="OCCUPIED",O254="YES",ABS(R254)&lt;=0.004),"YES","NO")</f>
        <v/>
      </c>
      <c r="V254" s="37">
        <f>IF(ABS(R254)&gt;0.004,"Priority 3",IF(U254="YES","COLLECTION",""))</f>
        <v/>
      </c>
    </row>
    <row r="255">
      <c r="A255" s="37" t="inlineStr">
        <is>
          <t>AC-VB-0111</t>
        </is>
      </c>
      <c r="B255" s="37" t="inlineStr">
        <is>
          <t>Toni Graves</t>
        </is>
      </c>
      <c r="C255" s="37" t="inlineStr">
        <is>
          <t>VB-0111</t>
        </is>
      </c>
      <c r="D255" s="37" t="inlineStr">
        <is>
          <t>Vessbank</t>
        </is>
      </c>
      <c r="E255" s="37" t="inlineStr">
        <is>
          <t>NON_COMM_MONTHLY</t>
        </is>
      </c>
      <c r="F255" s="41" t="n">
        <v>405.6</v>
      </c>
      <c r="G255" s="41" t="n">
        <v>0</v>
      </c>
      <c r="H255" s="41" t="n">
        <v>0</v>
      </c>
      <c r="I255" s="41" t="n">
        <v>0</v>
      </c>
      <c r="J255" s="41" t="n">
        <v>0</v>
      </c>
      <c r="K255" s="41" t="n">
        <v>0</v>
      </c>
      <c r="L255" s="37" t="inlineStr">
        <is>
          <t>2026-06-04</t>
        </is>
      </c>
      <c r="M255" s="37" t="inlineStr">
        <is>
          <t>CURRENT</t>
        </is>
      </c>
      <c r="N255" s="37">
        <f>RIGHT(A255,LEN(A255)-3)</f>
        <v/>
      </c>
      <c r="O255" s="37">
        <f>IF(N255=C255,"YES","NO")</f>
        <v/>
      </c>
      <c r="P255" s="37">
        <f>IFERROR(INDEX(Inventory!$E$2:$E$1181,MATCH(N255,Inventory!$A$2:$A$1181,0)),"NOT FOUND")</f>
        <v/>
      </c>
      <c r="Q255" s="41">
        <f>SUM(F255:J255)</f>
        <v/>
      </c>
      <c r="R255" s="41">
        <f>K255-Q255</f>
        <v/>
      </c>
      <c r="S255" s="41">
        <f>I255+J255</f>
        <v/>
      </c>
      <c r="T255" s="37">
        <f>IF(S255&gt;0,"YES","NO")</f>
        <v/>
      </c>
      <c r="U255" s="37">
        <f>IF(AND(T255="YES",P255="OCCUPIED",O255="YES",ABS(R255)&lt;=0.004),"YES","NO")</f>
        <v/>
      </c>
      <c r="V255" s="37">
        <f>IF(ABS(R255)&gt;0.004,"Priority 3",IF(U255="YES","COLLECTION",""))</f>
        <v/>
      </c>
    </row>
    <row r="256">
      <c r="A256" s="37" t="inlineStr">
        <is>
          <t>AC-VB-0112</t>
        </is>
      </c>
      <c r="B256" s="37" t="inlineStr">
        <is>
          <t>Valerie Montgomery</t>
        </is>
      </c>
      <c r="C256" s="37" t="inlineStr">
        <is>
          <t>VB-0112</t>
        </is>
      </c>
      <c r="D256" s="37" t="inlineStr">
        <is>
          <t>Vessbank</t>
        </is>
      </c>
      <c r="E256" s="37" t="inlineStr">
        <is>
          <t>NON_COMM_MONTHLY</t>
        </is>
      </c>
      <c r="F256" s="41" t="n">
        <v>551.2</v>
      </c>
      <c r="G256" s="41" t="n">
        <v>0</v>
      </c>
      <c r="H256" s="41" t="n">
        <v>0</v>
      </c>
      <c r="I256" s="41" t="n">
        <v>0</v>
      </c>
      <c r="J256" s="41" t="n">
        <v>0</v>
      </c>
      <c r="K256" s="41" t="n">
        <v>551.2</v>
      </c>
      <c r="L256" s="37" t="inlineStr">
        <is>
          <t>2026-05-11</t>
        </is>
      </c>
      <c r="M256" s="37" t="inlineStr">
        <is>
          <t>CURRENT</t>
        </is>
      </c>
      <c r="N256" s="37">
        <f>RIGHT(A256,LEN(A256)-3)</f>
        <v/>
      </c>
      <c r="O256" s="37">
        <f>IF(N256=C256,"YES","NO")</f>
        <v/>
      </c>
      <c r="P256" s="37">
        <f>IFERROR(INDEX(Inventory!$E$2:$E$1181,MATCH(N256,Inventory!$A$2:$A$1181,0)),"NOT FOUND")</f>
        <v/>
      </c>
      <c r="Q256" s="41">
        <f>SUM(F256:J256)</f>
        <v/>
      </c>
      <c r="R256" s="41">
        <f>K256-Q256</f>
        <v/>
      </c>
      <c r="S256" s="41">
        <f>I256+J256</f>
        <v/>
      </c>
      <c r="T256" s="37">
        <f>IF(S256&gt;0,"YES","NO")</f>
        <v/>
      </c>
      <c r="U256" s="37">
        <f>IF(AND(T256="YES",P256="OCCUPIED",O256="YES",ABS(R256)&lt;=0.004),"YES","NO")</f>
        <v/>
      </c>
      <c r="V256" s="37">
        <f>IF(ABS(R256)&gt;0.004,"Priority 3",IF(U256="YES","COLLECTION",""))</f>
        <v/>
      </c>
    </row>
    <row r="257">
      <c r="A257" s="37" t="inlineStr">
        <is>
          <t>AC-VB-0113</t>
        </is>
      </c>
      <c r="B257" s="37" t="inlineStr">
        <is>
          <t>Kimberly Solomon</t>
        </is>
      </c>
      <c r="C257" s="37" t="inlineStr">
        <is>
          <t>VB-0113</t>
        </is>
      </c>
      <c r="D257" s="37" t="inlineStr">
        <is>
          <t>Vessbank</t>
        </is>
      </c>
      <c r="E257" s="37" t="inlineStr">
        <is>
          <t>NON_COMM_MONTHLY</t>
        </is>
      </c>
      <c r="F257" s="41" t="n">
        <v>291.2</v>
      </c>
      <c r="G257" s="41" t="n">
        <v>0</v>
      </c>
      <c r="H257" s="41" t="n">
        <v>0</v>
      </c>
      <c r="I257" s="41" t="n">
        <v>0</v>
      </c>
      <c r="J257" s="41" t="n">
        <v>0</v>
      </c>
      <c r="K257" s="41" t="n">
        <v>291.2</v>
      </c>
      <c r="L257" s="37" t="inlineStr">
        <is>
          <t>2026-07-06</t>
        </is>
      </c>
      <c r="M257" s="37" t="inlineStr">
        <is>
          <t>CURRENT</t>
        </is>
      </c>
      <c r="N257" s="37">
        <f>RIGHT(A257,LEN(A257)-3)</f>
        <v/>
      </c>
      <c r="O257" s="37">
        <f>IF(N257=C257,"YES","NO")</f>
        <v/>
      </c>
      <c r="P257" s="37">
        <f>IFERROR(INDEX(Inventory!$E$2:$E$1181,MATCH(N257,Inventory!$A$2:$A$1181,0)),"NOT FOUND")</f>
        <v/>
      </c>
      <c r="Q257" s="41">
        <f>SUM(F257:J257)</f>
        <v/>
      </c>
      <c r="R257" s="41">
        <f>K257-Q257</f>
        <v/>
      </c>
      <c r="S257" s="41">
        <f>I257+J257</f>
        <v/>
      </c>
      <c r="T257" s="37">
        <f>IF(S257&gt;0,"YES","NO")</f>
        <v/>
      </c>
      <c r="U257" s="37">
        <f>IF(AND(T257="YES",P257="OCCUPIED",O257="YES",ABS(R257)&lt;=0.004),"YES","NO")</f>
        <v/>
      </c>
      <c r="V257" s="37">
        <f>IF(ABS(R257)&gt;0.004,"Priority 3",IF(U257="YES","COLLECTION",""))</f>
        <v/>
      </c>
    </row>
    <row r="258">
      <c r="A258" s="37" t="inlineStr">
        <is>
          <t>AC-VB-0114</t>
        </is>
      </c>
      <c r="B258" s="37" t="inlineStr">
        <is>
          <t>Ariana Jenkins</t>
        </is>
      </c>
      <c r="C258" s="37" t="inlineStr">
        <is>
          <t>VB-0114</t>
        </is>
      </c>
      <c r="D258" s="37" t="inlineStr">
        <is>
          <t>Vessbank</t>
        </is>
      </c>
      <c r="E258" s="37" t="inlineStr">
        <is>
          <t>NON_COMM_MONTHLY</t>
        </is>
      </c>
      <c r="F258" s="41" t="n">
        <v>426.4</v>
      </c>
      <c r="G258" s="41" t="n">
        <v>0</v>
      </c>
      <c r="H258" s="41" t="n">
        <v>0</v>
      </c>
      <c r="I258" s="41" t="n">
        <v>0</v>
      </c>
      <c r="J258" s="41" t="n">
        <v>0</v>
      </c>
      <c r="K258" s="41" t="n">
        <v>426.4</v>
      </c>
      <c r="L258" s="37" t="inlineStr">
        <is>
          <t>2026-06-25</t>
        </is>
      </c>
      <c r="M258" s="37" t="inlineStr">
        <is>
          <t>CURRENT</t>
        </is>
      </c>
      <c r="N258" s="37">
        <f>RIGHT(A258,LEN(A258)-3)</f>
        <v/>
      </c>
      <c r="O258" s="37">
        <f>IF(N258=C258,"YES","NO")</f>
        <v/>
      </c>
      <c r="P258" s="37">
        <f>IFERROR(INDEX(Inventory!$E$2:$E$1181,MATCH(N258,Inventory!$A$2:$A$1181,0)),"NOT FOUND")</f>
        <v/>
      </c>
      <c r="Q258" s="41">
        <f>SUM(F258:J258)</f>
        <v/>
      </c>
      <c r="R258" s="41">
        <f>K258-Q258</f>
        <v/>
      </c>
      <c r="S258" s="41">
        <f>I258+J258</f>
        <v/>
      </c>
      <c r="T258" s="37">
        <f>IF(S258&gt;0,"YES","NO")</f>
        <v/>
      </c>
      <c r="U258" s="37">
        <f>IF(AND(T258="YES",P258="OCCUPIED",O258="YES",ABS(R258)&lt;=0.004),"YES","NO")</f>
        <v/>
      </c>
      <c r="V258" s="37">
        <f>IF(ABS(R258)&gt;0.004,"Priority 3",IF(U258="YES","COLLECTION",""))</f>
        <v/>
      </c>
    </row>
    <row r="259">
      <c r="A259" s="37" t="inlineStr">
        <is>
          <t>AC-VB-0115</t>
        </is>
      </c>
      <c r="B259" s="37" t="inlineStr">
        <is>
          <t>Anne Thomas</t>
        </is>
      </c>
      <c r="C259" s="37" t="inlineStr">
        <is>
          <t>VB-0115</t>
        </is>
      </c>
      <c r="D259" s="37" t="inlineStr">
        <is>
          <t>Vessbank</t>
        </is>
      </c>
      <c r="E259" s="37" t="inlineStr">
        <is>
          <t>NON_COMM_MONTHLY</t>
        </is>
      </c>
      <c r="F259" s="41" t="n">
        <v>332.8</v>
      </c>
      <c r="G259" s="41" t="n">
        <v>332.8</v>
      </c>
      <c r="H259" s="41" t="n">
        <v>0</v>
      </c>
      <c r="I259" s="41" t="n">
        <v>0</v>
      </c>
      <c r="J259" s="41" t="n">
        <v>0</v>
      </c>
      <c r="K259" s="41" t="n">
        <v>332.8</v>
      </c>
      <c r="L259" s="37" t="inlineStr">
        <is>
          <t>2026-06-23</t>
        </is>
      </c>
      <c r="M259" s="37" t="inlineStr">
        <is>
          <t>CURRENT</t>
        </is>
      </c>
      <c r="N259" s="37">
        <f>RIGHT(A259,LEN(A259)-3)</f>
        <v/>
      </c>
      <c r="O259" s="37">
        <f>IF(N259=C259,"YES","NO")</f>
        <v/>
      </c>
      <c r="P259" s="37">
        <f>IFERROR(INDEX(Inventory!$E$2:$E$1181,MATCH(N259,Inventory!$A$2:$A$1181,0)),"NOT FOUND")</f>
        <v/>
      </c>
      <c r="Q259" s="41">
        <f>SUM(F259:J259)</f>
        <v/>
      </c>
      <c r="R259" s="41">
        <f>K259-Q259</f>
        <v/>
      </c>
      <c r="S259" s="41">
        <f>I259+J259</f>
        <v/>
      </c>
      <c r="T259" s="37">
        <f>IF(S259&gt;0,"YES","NO")</f>
        <v/>
      </c>
      <c r="U259" s="37">
        <f>IF(AND(T259="YES",P259="OCCUPIED",O259="YES",ABS(R259)&lt;=0.004),"YES","NO")</f>
        <v/>
      </c>
      <c r="V259" s="37">
        <f>IF(ABS(R259)&gt;0.004,"Priority 3",IF(U259="YES","COLLECTION",""))</f>
        <v/>
      </c>
    </row>
    <row r="260">
      <c r="A260" s="37" t="inlineStr">
        <is>
          <t>AC-VB-0116</t>
        </is>
      </c>
      <c r="B260" s="37" t="inlineStr">
        <is>
          <t>Amanda Jackson</t>
        </is>
      </c>
      <c r="C260" s="37" t="inlineStr">
        <is>
          <t>VB-0116</t>
        </is>
      </c>
      <c r="D260" s="37" t="inlineStr">
        <is>
          <t>Vessbank</t>
        </is>
      </c>
      <c r="E260" s="37" t="inlineStr">
        <is>
          <t>NON_COMM_MONTHLY</t>
        </is>
      </c>
      <c r="F260" s="41" t="n">
        <v>572</v>
      </c>
      <c r="G260" s="41" t="n">
        <v>0</v>
      </c>
      <c r="H260" s="41" t="n">
        <v>0</v>
      </c>
      <c r="I260" s="41" t="n">
        <v>0</v>
      </c>
      <c r="J260" s="41" t="n">
        <v>0</v>
      </c>
      <c r="K260" s="41" t="n">
        <v>572</v>
      </c>
      <c r="L260" s="37" t="inlineStr">
        <is>
          <t>2026-05-03</t>
        </is>
      </c>
      <c r="M260" s="37" t="inlineStr">
        <is>
          <t>CURRENT</t>
        </is>
      </c>
      <c r="N260" s="37">
        <f>RIGHT(A260,LEN(A260)-3)</f>
        <v/>
      </c>
      <c r="O260" s="37">
        <f>IF(N260=C260,"YES","NO")</f>
        <v/>
      </c>
      <c r="P260" s="37">
        <f>IFERROR(INDEX(Inventory!$E$2:$E$1181,MATCH(N260,Inventory!$A$2:$A$1181,0)),"NOT FOUND")</f>
        <v/>
      </c>
      <c r="Q260" s="41">
        <f>SUM(F260:J260)</f>
        <v/>
      </c>
      <c r="R260" s="41">
        <f>K260-Q260</f>
        <v/>
      </c>
      <c r="S260" s="41">
        <f>I260+J260</f>
        <v/>
      </c>
      <c r="T260" s="37">
        <f>IF(S260&gt;0,"YES","NO")</f>
        <v/>
      </c>
      <c r="U260" s="37">
        <f>IF(AND(T260="YES",P260="OCCUPIED",O260="YES",ABS(R260)&lt;=0.004),"YES","NO")</f>
        <v/>
      </c>
      <c r="V260" s="37">
        <f>IF(ABS(R260)&gt;0.004,"Priority 3",IF(U260="YES","COLLECTION",""))</f>
        <v/>
      </c>
    </row>
    <row r="261">
      <c r="A261" s="37" t="inlineStr">
        <is>
          <t>AC-VB-0117</t>
        </is>
      </c>
      <c r="B261" s="37" t="inlineStr">
        <is>
          <t>Michael Lee</t>
        </is>
      </c>
      <c r="C261" s="37" t="inlineStr">
        <is>
          <t>VB-0117</t>
        </is>
      </c>
      <c r="D261" s="37" t="inlineStr">
        <is>
          <t>Vessbank</t>
        </is>
      </c>
      <c r="E261" s="37" t="inlineStr">
        <is>
          <t>NON_COMM_MONTHLY</t>
        </is>
      </c>
      <c r="F261" s="41" t="n">
        <v>561.6</v>
      </c>
      <c r="G261" s="41" t="n">
        <v>0</v>
      </c>
      <c r="H261" s="41" t="n">
        <v>0</v>
      </c>
      <c r="I261" s="41" t="n">
        <v>0</v>
      </c>
      <c r="J261" s="41" t="n">
        <v>0</v>
      </c>
      <c r="K261" s="41" t="n">
        <v>561.6</v>
      </c>
      <c r="L261" s="37" t="inlineStr">
        <is>
          <t>2026-06-01</t>
        </is>
      </c>
      <c r="M261" s="37" t="inlineStr">
        <is>
          <t>CURRENT</t>
        </is>
      </c>
      <c r="N261" s="37">
        <f>RIGHT(A261,LEN(A261)-3)</f>
        <v/>
      </c>
      <c r="O261" s="37">
        <f>IF(N261=C261,"YES","NO")</f>
        <v/>
      </c>
      <c r="P261" s="37">
        <f>IFERROR(INDEX(Inventory!$E$2:$E$1181,MATCH(N261,Inventory!$A$2:$A$1181,0)),"NOT FOUND")</f>
        <v/>
      </c>
      <c r="Q261" s="41">
        <f>SUM(F261:J261)</f>
        <v/>
      </c>
      <c r="R261" s="41">
        <f>K261-Q261</f>
        <v/>
      </c>
      <c r="S261" s="41">
        <f>I261+J261</f>
        <v/>
      </c>
      <c r="T261" s="37">
        <f>IF(S261&gt;0,"YES","NO")</f>
        <v/>
      </c>
      <c r="U261" s="37">
        <f>IF(AND(T261="YES",P261="OCCUPIED",O261="YES",ABS(R261)&lt;=0.004),"YES","NO")</f>
        <v/>
      </c>
      <c r="V261" s="37">
        <f>IF(ABS(R261)&gt;0.004,"Priority 3",IF(U261="YES","COLLECTION",""))</f>
        <v/>
      </c>
    </row>
    <row r="262">
      <c r="A262" s="37" t="inlineStr">
        <is>
          <t>AC-VB-0118</t>
        </is>
      </c>
      <c r="B262" s="37" t="inlineStr">
        <is>
          <t>Alan Harris</t>
        </is>
      </c>
      <c r="C262" s="37" t="inlineStr">
        <is>
          <t>VB-0118</t>
        </is>
      </c>
      <c r="D262" s="37" t="inlineStr">
        <is>
          <t>Vessbank</t>
        </is>
      </c>
      <c r="E262" s="37" t="inlineStr">
        <is>
          <t>NON_COMM_MONTHLY</t>
        </is>
      </c>
      <c r="F262" s="41" t="n">
        <v>457.6</v>
      </c>
      <c r="G262" s="41" t="n">
        <v>0</v>
      </c>
      <c r="H262" s="41" t="n">
        <v>0</v>
      </c>
      <c r="I262" s="41" t="n">
        <v>0</v>
      </c>
      <c r="J262" s="41" t="n">
        <v>0</v>
      </c>
      <c r="K262" s="41" t="n">
        <v>457.6</v>
      </c>
      <c r="L262" s="37" t="inlineStr">
        <is>
          <t>2026-06-20</t>
        </is>
      </c>
      <c r="M262" s="37" t="inlineStr">
        <is>
          <t>CURRENT</t>
        </is>
      </c>
      <c r="N262" s="37">
        <f>RIGHT(A262,LEN(A262)-3)</f>
        <v/>
      </c>
      <c r="O262" s="37">
        <f>IF(N262=C262,"YES","NO")</f>
        <v/>
      </c>
      <c r="P262" s="37">
        <f>IFERROR(INDEX(Inventory!$E$2:$E$1181,MATCH(N262,Inventory!$A$2:$A$1181,0)),"NOT FOUND")</f>
        <v/>
      </c>
      <c r="Q262" s="41">
        <f>SUM(F262:J262)</f>
        <v/>
      </c>
      <c r="R262" s="41">
        <f>K262-Q262</f>
        <v/>
      </c>
      <c r="S262" s="41">
        <f>I262+J262</f>
        <v/>
      </c>
      <c r="T262" s="37">
        <f>IF(S262&gt;0,"YES","NO")</f>
        <v/>
      </c>
      <c r="U262" s="37">
        <f>IF(AND(T262="YES",P262="OCCUPIED",O262="YES",ABS(R262)&lt;=0.004),"YES","NO")</f>
        <v/>
      </c>
      <c r="V262" s="37">
        <f>IF(ABS(R262)&gt;0.004,"Priority 3",IF(U262="YES","COLLECTION",""))</f>
        <v/>
      </c>
    </row>
    <row r="263">
      <c r="A263" s="37" t="inlineStr">
        <is>
          <t>AC-VB-0119</t>
        </is>
      </c>
      <c r="B263" s="37" t="inlineStr">
        <is>
          <t>Tammy Stone</t>
        </is>
      </c>
      <c r="C263" s="37" t="inlineStr">
        <is>
          <t>VB-0119</t>
        </is>
      </c>
      <c r="D263" s="37" t="inlineStr">
        <is>
          <t>Vessbank</t>
        </is>
      </c>
      <c r="E263" s="37" t="inlineStr">
        <is>
          <t>NON_COMM_MONTHLY</t>
        </is>
      </c>
      <c r="F263" s="41" t="n">
        <v>644.8</v>
      </c>
      <c r="G263" s="41" t="n">
        <v>0</v>
      </c>
      <c r="H263" s="41" t="n">
        <v>0</v>
      </c>
      <c r="I263" s="41" t="n">
        <v>0</v>
      </c>
      <c r="J263" s="41" t="n">
        <v>0</v>
      </c>
      <c r="K263" s="41" t="n">
        <v>644.8</v>
      </c>
      <c r="L263" s="37" t="inlineStr">
        <is>
          <t>2026-05-29</t>
        </is>
      </c>
      <c r="M263" s="37" t="inlineStr">
        <is>
          <t>CURRENT</t>
        </is>
      </c>
      <c r="N263" s="37">
        <f>RIGHT(A263,LEN(A263)-3)</f>
        <v/>
      </c>
      <c r="O263" s="37">
        <f>IF(N263=C263,"YES","NO")</f>
        <v/>
      </c>
      <c r="P263" s="37">
        <f>IFERROR(INDEX(Inventory!$E$2:$E$1181,MATCH(N263,Inventory!$A$2:$A$1181,0)),"NOT FOUND")</f>
        <v/>
      </c>
      <c r="Q263" s="41">
        <f>SUM(F263:J263)</f>
        <v/>
      </c>
      <c r="R263" s="41">
        <f>K263-Q263</f>
        <v/>
      </c>
      <c r="S263" s="41">
        <f>I263+J263</f>
        <v/>
      </c>
      <c r="T263" s="37">
        <f>IF(S263&gt;0,"YES","NO")</f>
        <v/>
      </c>
      <c r="U263" s="37">
        <f>IF(AND(T263="YES",P263="OCCUPIED",O263="YES",ABS(R263)&lt;=0.004),"YES","NO")</f>
        <v/>
      </c>
      <c r="V263" s="37">
        <f>IF(ABS(R263)&gt;0.004,"Priority 3",IF(U263="YES","COLLECTION",""))</f>
        <v/>
      </c>
    </row>
    <row r="264">
      <c r="A264" s="37" t="inlineStr">
        <is>
          <t>AC-VB-0120</t>
        </is>
      </c>
      <c r="B264" s="37" t="inlineStr">
        <is>
          <t>Adam Carr</t>
        </is>
      </c>
      <c r="C264" s="37" t="inlineStr">
        <is>
          <t>VB-0120</t>
        </is>
      </c>
      <c r="D264" s="37" t="inlineStr">
        <is>
          <t>Vessbank</t>
        </is>
      </c>
      <c r="E264" s="37" t="inlineStr">
        <is>
          <t>NON_COMM_MONTHLY</t>
        </is>
      </c>
      <c r="F264" s="41" t="n">
        <v>499.2</v>
      </c>
      <c r="G264" s="41" t="n">
        <v>0</v>
      </c>
      <c r="H264" s="41" t="n">
        <v>0</v>
      </c>
      <c r="I264" s="41" t="n">
        <v>0</v>
      </c>
      <c r="J264" s="41" t="n">
        <v>0</v>
      </c>
      <c r="K264" s="41" t="n">
        <v>0</v>
      </c>
      <c r="L264" s="37" t="inlineStr">
        <is>
          <t>2026-06-27</t>
        </is>
      </c>
      <c r="M264" s="37" t="inlineStr">
        <is>
          <t>CURRENT</t>
        </is>
      </c>
      <c r="N264" s="37">
        <f>RIGHT(A264,LEN(A264)-3)</f>
        <v/>
      </c>
      <c r="O264" s="37">
        <f>IF(N264=C264,"YES","NO")</f>
        <v/>
      </c>
      <c r="P264" s="37">
        <f>IFERROR(INDEX(Inventory!$E$2:$E$1181,MATCH(N264,Inventory!$A$2:$A$1181,0)),"NOT FOUND")</f>
        <v/>
      </c>
      <c r="Q264" s="41">
        <f>SUM(F264:J264)</f>
        <v/>
      </c>
      <c r="R264" s="41">
        <f>K264-Q264</f>
        <v/>
      </c>
      <c r="S264" s="41">
        <f>I264+J264</f>
        <v/>
      </c>
      <c r="T264" s="37">
        <f>IF(S264&gt;0,"YES","NO")</f>
        <v/>
      </c>
      <c r="U264" s="37">
        <f>IF(AND(T264="YES",P264="OCCUPIED",O264="YES",ABS(R264)&lt;=0.004),"YES","NO")</f>
        <v/>
      </c>
      <c r="V264" s="37">
        <f>IF(ABS(R264)&gt;0.004,"Priority 3",IF(U264="YES","COLLECTION",""))</f>
        <v/>
      </c>
    </row>
  </sheetData>
  <mergeCells count="2">
    <mergeCell ref="A1:V1"/>
    <mergeCell ref="A2:V2"/>
  </mergeCells>
  <conditionalFormatting sqref="R5:R264">
    <cfRule type="expression" priority="1" dxfId="0">
      <formula>ABS(R5)&gt;0.004</formula>
    </cfRule>
  </conditionalFormatting>
  <conditionalFormatting sqref="U5:U264">
    <cfRule type="cellIs" priority="2" operator="equal" dxfId="1">
      <formula>"YES"</formula>
    </cfRule>
  </conditionalFormatting>
  <pageMargins left="0.25" right="0.25" top="0.35" bottom="0.4" header="0.5" footer="0.5"/>
  <pageSetup orientation="landscape" paperSize="5" fitToHeight="0" fitToWidth="1"/>
  <headerFooter>
    <oddHeader/>
    <oddFooter>&amp;CChaldale Harbor Moorage Audit | August 7, 2026&amp;RPage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6" customWidth="1" min="3" max="3"/>
    <col width="30" customWidth="1" min="4" max="4"/>
    <col width="45" customWidth="1" min="5" max="5"/>
  </cols>
  <sheetData>
    <row r="1" ht="30" customHeight="1">
      <c r="A1" s="1" t="inlineStr">
        <is>
          <t>Methodology, Scope, and Sources</t>
        </is>
      </c>
    </row>
    <row r="2" ht="28" customHeight="1">
      <c r="A2" s="2" t="inlineStr">
        <is>
          <t>The listed values are source inputs. All totals, classifications, and dollar variances elsewhere in the workbook are formulas.</t>
        </is>
      </c>
    </row>
    <row r="3"/>
    <row r="4" ht="30" customHeight="1">
      <c r="A4" s="36" t="inlineStr">
        <is>
          <t>Parameter</t>
        </is>
      </c>
      <c r="B4" s="36" t="inlineStr">
        <is>
          <t>Value</t>
        </is>
      </c>
      <c r="C4" s="36" t="inlineStr">
        <is>
          <t>Authority / basis</t>
        </is>
      </c>
      <c r="D4" s="36" t="inlineStr">
        <is>
          <t>Use</t>
        </is>
      </c>
      <c r="E4" s="36" t="inlineStr">
        <is>
          <t>Caveat</t>
        </is>
      </c>
    </row>
    <row r="5">
      <c r="A5" s="23" t="inlineStr">
        <is>
          <t>Audit as-of date</t>
        </is>
      </c>
      <c r="B5" s="28" t="n">
        <v>46241</v>
      </c>
      <c r="C5" s="23" t="inlineStr">
        <is>
          <t>User instruction</t>
        </is>
      </c>
      <c r="D5" s="23" t="inlineStr">
        <is>
          <t>Cutoff for account-state audit</t>
        </is>
      </c>
      <c r="E5" s="23" t="inlineStr">
        <is>
          <t>Future-dated source rows after this date excluded from amendment scope.</t>
        </is>
      </c>
    </row>
    <row r="6">
      <c r="A6" s="23" t="inlineStr">
        <is>
          <t>Skip start</t>
        </is>
      </c>
      <c r="B6" s="28" t="n">
        <v>44927</v>
      </c>
      <c r="C6" s="23" t="inlineStr">
        <is>
          <t>User instruction</t>
        </is>
      </c>
      <c r="D6" s="23" t="inlineStr">
        <is>
          <t>Skip Audit lower bound</t>
        </is>
      </c>
      <c r="E6" s="25" t="n"/>
    </row>
    <row r="7">
      <c r="A7" s="23" t="inlineStr">
        <is>
          <t>Skip end</t>
        </is>
      </c>
      <c r="B7" s="28" t="n">
        <v>46234</v>
      </c>
      <c r="C7" s="23" t="inlineStr">
        <is>
          <t>User instruction</t>
        </is>
      </c>
      <c r="D7" s="23" t="inlineStr">
        <is>
          <t>Skip Audit upper bound</t>
        </is>
      </c>
      <c r="E7" s="25" t="n"/>
    </row>
    <row r="8">
      <c r="A8" s="23" t="inlineStr">
        <is>
          <t>LOA amendment start</t>
        </is>
      </c>
      <c r="B8" s="28" t="n">
        <v>44774</v>
      </c>
      <c r="C8" s="23" t="inlineStr">
        <is>
          <t>Resolution 2022-06 ss.4.3, 8.1</t>
        </is>
      </c>
      <c r="D8" s="23" t="inlineStr">
        <is>
          <t>Amendment Audit lower bound</t>
        </is>
      </c>
      <c r="E8" s="23" t="inlineStr">
        <is>
          <t>Resolution takes effect on adoption date specified by the Board.</t>
        </is>
      </c>
    </row>
    <row r="9">
      <c r="A9" s="23" t="inlineStr">
        <is>
          <t>Covered rate</t>
        </is>
      </c>
      <c r="B9" s="42" t="n">
        <v>10.4</v>
      </c>
      <c r="C9" s="23" t="inlineStr">
        <is>
          <t>Resolution 2022-06 s.1.1</t>
        </is>
      </c>
      <c r="D9" s="23" t="inlineStr">
        <is>
          <t>Expected base moorage per foot-month</t>
        </is>
      </c>
      <c r="E9" s="23" t="inlineStr">
        <is>
          <t>Controls over Tariff Resolution 2019-14 under Resolution 2022-06 s.7.2.</t>
        </is>
      </c>
    </row>
    <row r="10">
      <c r="A10" s="23" t="inlineStr">
        <is>
          <t>Open rate</t>
        </is>
      </c>
      <c r="B10" s="42" t="n">
        <v>7.55</v>
      </c>
      <c r="C10" s="23" t="inlineStr">
        <is>
          <t>Resolution 2022-06 s.1.2</t>
        </is>
      </c>
      <c r="D10" s="23" t="inlineStr">
        <is>
          <t>Expected base moorage per foot-month</t>
        </is>
      </c>
      <c r="E10" s="23" t="inlineStr">
        <is>
          <t>Controls over Tariff Resolution 2019-14 under Resolution 2022-06 s.7.2.</t>
        </is>
      </c>
    </row>
    <row r="11">
      <c r="A11" s="23" t="inlineStr">
        <is>
          <t>Billable length</t>
        </is>
      </c>
      <c r="B11" s="23" t="inlineStr">
        <is>
          <t>MAX(rounded-up vessel LOA, nominal slip length)</t>
        </is>
      </c>
      <c r="C11" s="23" t="inlineStr">
        <is>
          <t>Tariff Resolution 2019-14 s.1(4), ss.2.4, 7.3; unchanged by Resolution 2022-06 s.1.3</t>
        </is>
      </c>
      <c r="D11" s="23" t="inlineStr">
        <is>
          <t>Billing Reconciliation</t>
        </is>
      </c>
      <c r="E11" s="23" t="inlineStr">
        <is>
          <t>Base moorage only; taxes, electricity, and surcharges excluded.</t>
        </is>
      </c>
    </row>
    <row r="12">
      <c r="A12" s="23" t="inlineStr">
        <is>
          <t>Strict skip proof</t>
        </is>
      </c>
      <c r="B12" s="23" t="inlineStr">
        <is>
          <t>PDF exists + supporting record + review_date &lt;= skip_date</t>
        </is>
      </c>
      <c r="C12" s="23" t="inlineStr">
        <is>
          <t>User instruction; Standing Order 15-3 ss.3.2-3.3; Appeal 2018-3, IV-A</t>
        </is>
      </c>
      <c r="D12" s="23" t="inlineStr">
        <is>
          <t>Skip Audit</t>
        </is>
      </c>
      <c r="E12" s="23" t="inlineStr">
        <is>
          <t>A cover sheet is not support. Document/event and offer/event matches are tested separately.</t>
        </is>
      </c>
    </row>
    <row r="13">
      <c r="A13" s="23" t="inlineStr">
        <is>
          <t>LOA support</t>
        </is>
      </c>
      <c r="B13" s="23" t="inlineStr">
        <is>
          <t>Signed certificate or yard haul-out measurement sheet on file at entry</t>
        </is>
      </c>
      <c r="C13" s="23" t="inlineStr">
        <is>
          <t>Resolution 2022-06 ss.3.4, 4.3, 6.1-6.2</t>
        </is>
      </c>
      <c r="D13" s="23" t="inlineStr">
        <is>
          <t>Amendment Audit</t>
        </is>
      </c>
      <c r="E13" s="23" t="inlineStr">
        <is>
          <t>A source_document string without the underlying file is not verification.</t>
        </is>
      </c>
    </row>
    <row r="14">
      <c r="A14" s="23" t="inlineStr">
        <is>
          <t>Aging target</t>
        </is>
      </c>
      <c r="B14" s="23" t="inlineStr">
        <is>
          <t>91-120 plus 120+ buckets</t>
        </is>
      </c>
      <c r="C14" s="23" t="inlineStr">
        <is>
          <t>User instruction; ar_aging_2026-07-31.xlsx</t>
        </is>
      </c>
      <c r="D14" s="23" t="inlineStr">
        <is>
          <t>Aging &amp; Collections</t>
        </is>
      </c>
      <c r="E14" s="23" t="inlineStr">
        <is>
          <t>Snapshot buckets retained at July 31; no invoice-level due dates were supplied to re-age by seven days.</t>
        </is>
      </c>
    </row>
    <row r="15">
      <c r="A15" s="25" t="n"/>
      <c r="B15" s="25" t="n"/>
      <c r="C15" s="25" t="n"/>
      <c r="D15" s="25" t="n"/>
      <c r="E15" s="25" t="n"/>
    </row>
    <row r="16">
      <c r="A16" s="25" t="n"/>
      <c r="B16" s="25" t="n"/>
      <c r="C16" s="25" t="n"/>
      <c r="D16" s="25" t="n"/>
      <c r="E16" s="25" t="n"/>
    </row>
    <row r="17" ht="22" customHeight="1">
      <c r="A17" s="32" t="inlineStr">
        <is>
          <t>Source Register</t>
        </is>
      </c>
      <c r="B17" s="25" t="n"/>
      <c r="C17" s="25" t="n"/>
      <c r="D17" s="25" t="n"/>
      <c r="E17" s="25" t="n"/>
    </row>
    <row r="18" ht="30" customHeight="1">
      <c r="A18" s="33" t="inlineStr">
        <is>
          <t>Source class</t>
        </is>
      </c>
      <c r="B18" s="33" t="inlineStr">
        <is>
          <t>Named file / section</t>
        </is>
      </c>
      <c r="C18" s="33" t="inlineStr">
        <is>
          <t>Audit use</t>
        </is>
      </c>
      <c r="D18" s="25" t="n"/>
      <c r="E18" s="25" t="n"/>
    </row>
    <row r="19">
      <c r="A19" s="23" t="inlineStr">
        <is>
          <t>Queue register</t>
        </is>
      </c>
      <c r="B19" s="23" t="inlineStr">
        <is>
          <t>applicant_register_2026-08.csv</t>
        </is>
      </c>
      <c r="C19" s="23" t="inlineStr">
        <is>
          <t>Applicant identifiers, names, current register status and LOA.</t>
        </is>
      </c>
      <c r="D19" s="25" t="n"/>
      <c r="E19" s="25" t="n"/>
    </row>
    <row r="20">
      <c r="A20" s="23" t="inlineStr">
        <is>
          <t>Offer ledger</t>
        </is>
      </c>
      <c r="B20" s="23" t="inlineStr">
        <is>
          <t>offer_events_2022_2026.csv</t>
        </is>
      </c>
      <c r="C20" s="23" t="inlineStr">
        <is>
          <t>Offer-event reconciliation.</t>
        </is>
      </c>
      <c r="D20" s="25" t="n"/>
      <c r="E20" s="25" t="n"/>
    </row>
    <row r="21">
      <c r="A21" s="23" t="inlineStr">
        <is>
          <t>Skip ledger</t>
        </is>
      </c>
      <c r="B21" s="23" t="inlineStr">
        <is>
          <t>skip_events_2022_2026.csv</t>
        </is>
      </c>
      <c r="C21" s="23" t="inlineStr">
        <is>
          <t>309 skips from 2023-01-01 through 2026-07-31.</t>
        </is>
      </c>
      <c r="D21" s="25" t="n"/>
      <c r="E21" s="25" t="n"/>
    </row>
    <row r="22">
      <c r="A22" s="23" t="inlineStr">
        <is>
          <t>Amendment ledger</t>
        </is>
      </c>
      <c r="B22" s="23" t="inlineStr">
        <is>
          <t>amendment_log_2022_2026.csv</t>
        </is>
      </c>
      <c r="C22" s="23" t="inlineStr">
        <is>
          <t>LOA amendments from 2022-08-01 through 2026-08-07.</t>
        </is>
      </c>
      <c r="D22" s="25" t="n"/>
      <c r="E22" s="25" t="n"/>
    </row>
    <row r="23">
      <c r="A23" s="23" t="inlineStr">
        <is>
          <t>Slip inventory</t>
        </is>
      </c>
      <c r="B23" s="23" t="inlineStr">
        <is>
          <t>slip_inventory_2026-08.csv</t>
        </is>
      </c>
      <c r="C23" s="23" t="inlineStr">
        <is>
          <t>Occupied population, covered/open class, nominal slip length and current vessel LOA.</t>
        </is>
      </c>
      <c r="D23" s="25" t="n"/>
      <c r="E23" s="25" t="n"/>
    </row>
    <row r="24">
      <c r="A24" s="23" t="inlineStr">
        <is>
          <t>Billing ledger</t>
        </is>
      </c>
      <c r="B24" s="23" t="inlineStr">
        <is>
          <t>billing_transactions_2022_2026.csv</t>
        </is>
      </c>
      <c r="C24" s="23" t="inlineStr">
        <is>
          <t>August 1, 2026 monthly-moorage transactions used as actual charges.</t>
        </is>
      </c>
      <c r="D24" s="25" t="n"/>
      <c r="E24" s="25" t="n"/>
    </row>
    <row r="25">
      <c r="A25" s="23" t="inlineStr">
        <is>
          <t>Aging subledger</t>
        </is>
      </c>
      <c r="B25" s="23" t="inlineStr">
        <is>
          <t>ar_aging_2026-07-31.xlsx, AR_Aging and Summary</t>
        </is>
      </c>
      <c r="C25" s="23" t="inlineStr">
        <is>
          <t>Buckets, reported total_due, account status and account-to-slip join.</t>
        </is>
      </c>
      <c r="D25" s="25" t="n"/>
      <c r="E25" s="25" t="n"/>
    </row>
    <row r="26">
      <c r="A26" s="23" t="inlineStr">
        <is>
          <t>Skip packets</t>
        </is>
      </c>
      <c r="B26" s="23" t="inlineStr">
        <is>
          <t>Six WL-xxxxx_skip_justification.pdf files</t>
        </is>
      </c>
      <c r="C26" s="23" t="inlineStr">
        <is>
          <t>Packet content, work date, slip, reason and support presence.</t>
        </is>
      </c>
      <c r="D26" s="25" t="n"/>
      <c r="E26" s="25" t="n"/>
    </row>
    <row r="27">
      <c r="A27" s="23" t="inlineStr">
        <is>
          <t>Measurement records</t>
        </is>
      </c>
      <c r="B27" s="23" t="inlineStr">
        <is>
          <t>2024-06-03...WL-01893.pdf; 2024-09-03...WL-02401.pdf</t>
        </is>
      </c>
      <c r="C27" s="23" t="inlineStr">
        <is>
          <t>Certificate identity, date, measured LOA, signature and stated purpose.</t>
        </is>
      </c>
      <c r="D27" s="25" t="n"/>
      <c r="E27" s="25" t="n"/>
    </row>
    <row r="28">
      <c r="A28" s="23" t="inlineStr">
        <is>
          <t>Governing records</t>
        </is>
      </c>
      <c r="B28" s="23" t="inlineStr">
        <is>
          <t>standing_order_15-3.pdf; resolution_2022-06.pdf; tariff_resolution_2019-14.pdf; appeal_2018-3_decision.pdf</t>
        </is>
      </c>
      <c r="C28" s="23" t="inlineStr">
        <is>
          <t>Documentation, billing and authority rules.</t>
        </is>
      </c>
      <c r="D28" s="25" t="n"/>
      <c r="E28" s="25" t="n"/>
    </row>
  </sheetData>
  <mergeCells count="3">
    <mergeCell ref="A1:E1"/>
    <mergeCell ref="A2:E2"/>
    <mergeCell ref="A17:E17"/>
  </mergeCells>
  <pageMargins left="0.25" right="0.25" top="0.35" bottom="0.4" header="0.5" footer="0.5"/>
  <pageSetup orientation="landscape" paperSize="5" fitToHeight="0" fitToWidth="1"/>
  <headerFooter>
    <oddHeader/>
    <oddFooter>&amp;CChaldale Harbor Moorage Audit | August 7, 2026&amp;RPage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36" t="inlineStr">
        <is>
          <t>applicant_id</t>
        </is>
      </c>
      <c r="B1" s="36" t="inlineStr">
        <is>
          <t>last_name</t>
        </is>
      </c>
      <c r="C1" s="36" t="inlineStr">
        <is>
          <t>first_name</t>
        </is>
      </c>
      <c r="D1" s="36" t="inlineStr">
        <is>
          <t>status</t>
        </is>
      </c>
      <c r="E1" s="36" t="inlineStr">
        <is>
          <t>loa_ft</t>
        </is>
      </c>
      <c r="F1" s="36" t="inlineStr">
        <is>
          <t>beam_ft</t>
        </is>
      </c>
    </row>
    <row r="2">
      <c r="A2" s="37" t="inlineStr">
        <is>
          <t>WL-01001</t>
        </is>
      </c>
      <c r="B2" s="37" t="inlineStr">
        <is>
          <t>Jones</t>
        </is>
      </c>
      <c r="C2" s="37" t="inlineStr">
        <is>
          <t>Valerie</t>
        </is>
      </c>
      <c r="D2" s="37" t="inlineStr">
        <is>
          <t>EXPIRED</t>
        </is>
      </c>
      <c r="E2" s="37" t="n">
        <v>51.6</v>
      </c>
      <c r="F2" s="37" t="n">
        <v>17.7</v>
      </c>
    </row>
    <row r="3">
      <c r="A3" s="37" t="inlineStr">
        <is>
          <t>WL-01002</t>
        </is>
      </c>
      <c r="B3" s="37" t="inlineStr">
        <is>
          <t>Ramirez</t>
        </is>
      </c>
      <c r="C3" s="37" t="inlineStr">
        <is>
          <t>Virginia</t>
        </is>
      </c>
      <c r="D3" s="37" t="inlineStr">
        <is>
          <t>ACTIVE_WAITLIST</t>
        </is>
      </c>
      <c r="E3" s="37" t="n">
        <v>38.2</v>
      </c>
      <c r="F3" s="37" t="n">
        <v>12.1</v>
      </c>
    </row>
    <row r="4">
      <c r="A4" s="37" t="inlineStr">
        <is>
          <t>WL-01003</t>
        </is>
      </c>
      <c r="B4" s="37" t="inlineStr">
        <is>
          <t>Phillips</t>
        </is>
      </c>
      <c r="C4" s="37" t="inlineStr">
        <is>
          <t>Shannon</t>
        </is>
      </c>
      <c r="D4" s="37" t="inlineStr">
        <is>
          <t>ACTIVE_WAITLIST</t>
        </is>
      </c>
      <c r="E4" s="37" t="n">
        <v>55</v>
      </c>
      <c r="F4" s="37" t="n">
        <v>19.6</v>
      </c>
    </row>
    <row r="5">
      <c r="A5" s="37" t="inlineStr">
        <is>
          <t>WL-01004</t>
        </is>
      </c>
      <c r="B5" s="37" t="inlineStr">
        <is>
          <t>Lopez</t>
        </is>
      </c>
      <c r="C5" s="37" t="inlineStr">
        <is>
          <t>Joseph</t>
        </is>
      </c>
      <c r="D5" s="37" t="inlineStr">
        <is>
          <t>ACTIVE_WAITLIST</t>
        </is>
      </c>
      <c r="E5" s="37" t="n">
        <v>61.6</v>
      </c>
      <c r="F5" s="37" t="n">
        <v>20</v>
      </c>
    </row>
    <row r="6">
      <c r="A6" s="37" t="inlineStr">
        <is>
          <t>WL-01005</t>
        </is>
      </c>
      <c r="B6" s="37" t="inlineStr">
        <is>
          <t>Sharp</t>
        </is>
      </c>
      <c r="C6" s="37" t="inlineStr">
        <is>
          <t>Joseph</t>
        </is>
      </c>
      <c r="D6" s="37" t="inlineStr">
        <is>
          <t>ACTIVE_WAITLIST</t>
        </is>
      </c>
      <c r="E6" s="37" t="n">
        <v>49.9</v>
      </c>
      <c r="F6" s="37" t="n">
        <v>17.3</v>
      </c>
    </row>
    <row r="7">
      <c r="A7" s="37" t="inlineStr">
        <is>
          <t>WL-01006</t>
        </is>
      </c>
      <c r="B7" s="37" t="inlineStr">
        <is>
          <t>Hammond</t>
        </is>
      </c>
      <c r="C7" s="37" t="inlineStr">
        <is>
          <t>Gregory</t>
        </is>
      </c>
      <c r="D7" s="37" t="inlineStr">
        <is>
          <t>ACTIVE_WAITLIST</t>
        </is>
      </c>
      <c r="E7" s="37" t="n">
        <v>34.4</v>
      </c>
      <c r="F7" s="37" t="n">
        <v>9.9</v>
      </c>
    </row>
    <row r="8">
      <c r="A8" s="37" t="inlineStr">
        <is>
          <t>WL-01007</t>
        </is>
      </c>
      <c r="B8" s="37" t="inlineStr">
        <is>
          <t>Henderson</t>
        </is>
      </c>
      <c r="C8" s="37" t="inlineStr">
        <is>
          <t>Victoria</t>
        </is>
      </c>
      <c r="D8" s="37" t="inlineStr">
        <is>
          <t>ACTIVE_WAITLIST</t>
        </is>
      </c>
      <c r="E8" s="37" t="n">
        <v>47.6</v>
      </c>
      <c r="F8" s="37" t="n">
        <v>14.3</v>
      </c>
    </row>
    <row r="9">
      <c r="A9" s="37" t="inlineStr">
        <is>
          <t>WL-01008</t>
        </is>
      </c>
      <c r="B9" s="37" t="inlineStr">
        <is>
          <t>Houston</t>
        </is>
      </c>
      <c r="C9" s="37" t="inlineStr">
        <is>
          <t>Thomas</t>
        </is>
      </c>
      <c r="D9" s="37" t="inlineStr">
        <is>
          <t>ACTIVE_WAITLIST</t>
        </is>
      </c>
      <c r="E9" s="37" t="n">
        <v>52.8</v>
      </c>
      <c r="F9" s="37" t="n">
        <v>16</v>
      </c>
    </row>
    <row r="10">
      <c r="A10" s="37" t="inlineStr">
        <is>
          <t>WL-01009</t>
        </is>
      </c>
      <c r="B10" s="37" t="inlineStr">
        <is>
          <t>Moon</t>
        </is>
      </c>
      <c r="C10" s="37" t="inlineStr">
        <is>
          <t>Mark</t>
        </is>
      </c>
      <c r="D10" s="37" t="inlineStr">
        <is>
          <t>ACTIVE_WAITLIST</t>
        </is>
      </c>
      <c r="E10" s="37" t="n">
        <v>22.2</v>
      </c>
      <c r="F10" s="37" t="n">
        <v>7.4</v>
      </c>
    </row>
    <row r="11">
      <c r="A11" s="37" t="inlineStr">
        <is>
          <t>WL-01010</t>
        </is>
      </c>
      <c r="B11" s="37" t="inlineStr">
        <is>
          <t>Hanson</t>
        </is>
      </c>
      <c r="C11" s="37" t="inlineStr">
        <is>
          <t>Steven</t>
        </is>
      </c>
      <c r="D11" s="37" t="inlineStr">
        <is>
          <t>ACTIVE_WAITLIST</t>
        </is>
      </c>
      <c r="E11" s="37" t="n">
        <v>26.5</v>
      </c>
      <c r="F11" s="37" t="n">
        <v>8.699999999999999</v>
      </c>
    </row>
    <row r="12">
      <c r="A12" s="37" t="inlineStr">
        <is>
          <t>WL-01011</t>
        </is>
      </c>
      <c r="B12" s="37" t="inlineStr">
        <is>
          <t>Hughes</t>
        </is>
      </c>
      <c r="C12" s="37" t="inlineStr">
        <is>
          <t>Kristen</t>
        </is>
      </c>
      <c r="D12" s="37" t="inlineStr">
        <is>
          <t>ACTIVE_WAITLIST</t>
        </is>
      </c>
      <c r="E12" s="37" t="n">
        <v>60.3</v>
      </c>
      <c r="F12" s="37" t="n">
        <v>17.5</v>
      </c>
    </row>
    <row r="13">
      <c r="A13" s="37" t="inlineStr">
        <is>
          <t>WL-01012</t>
        </is>
      </c>
      <c r="B13" s="37" t="inlineStr">
        <is>
          <t>Jones</t>
        </is>
      </c>
      <c r="C13" s="37" t="inlineStr">
        <is>
          <t>Janet</t>
        </is>
      </c>
      <c r="D13" s="37" t="inlineStr">
        <is>
          <t>ACTIVE_WAITLIST</t>
        </is>
      </c>
      <c r="E13" s="37" t="n">
        <v>23</v>
      </c>
      <c r="F13" s="37" t="n">
        <v>6.6</v>
      </c>
    </row>
    <row r="14">
      <c r="A14" s="37" t="inlineStr">
        <is>
          <t>WL-01013</t>
        </is>
      </c>
      <c r="B14" s="37" t="inlineStr">
        <is>
          <t>Booker</t>
        </is>
      </c>
      <c r="C14" s="37" t="inlineStr">
        <is>
          <t>Brian</t>
        </is>
      </c>
      <c r="D14" s="37" t="inlineStr">
        <is>
          <t>ACTIVE_WAITLIST</t>
        </is>
      </c>
      <c r="E14" s="37" t="n">
        <v>52.5</v>
      </c>
      <c r="F14" s="37" t="n">
        <v>18</v>
      </c>
    </row>
    <row r="15">
      <c r="A15" s="37" t="inlineStr">
        <is>
          <t>WL-01014</t>
        </is>
      </c>
      <c r="B15" s="37" t="inlineStr">
        <is>
          <t>Johnson</t>
        </is>
      </c>
      <c r="C15" s="37" t="inlineStr">
        <is>
          <t>Maria</t>
        </is>
      </c>
      <c r="D15" s="37" t="inlineStr">
        <is>
          <t>ACTIVE_WAITLIST</t>
        </is>
      </c>
      <c r="E15" s="37" t="n">
        <v>43.6</v>
      </c>
      <c r="F15" s="37" t="n">
        <v>13.6</v>
      </c>
    </row>
    <row r="16">
      <c r="A16" s="37" t="inlineStr">
        <is>
          <t>WL-01015</t>
        </is>
      </c>
      <c r="B16" s="37" t="inlineStr">
        <is>
          <t>Miller</t>
        </is>
      </c>
      <c r="C16" s="37" t="inlineStr">
        <is>
          <t>Danielle</t>
        </is>
      </c>
      <c r="D16" s="37" t="inlineStr">
        <is>
          <t>RETAINER</t>
        </is>
      </c>
      <c r="E16" s="37" t="n">
        <v>18.2</v>
      </c>
      <c r="F16" s="37" t="n">
        <v>6.4</v>
      </c>
    </row>
    <row r="17">
      <c r="A17" s="37" t="inlineStr">
        <is>
          <t>WL-01016</t>
        </is>
      </c>
      <c r="B17" s="37" t="inlineStr">
        <is>
          <t>Mosley</t>
        </is>
      </c>
      <c r="C17" s="37" t="inlineStr">
        <is>
          <t>Jared</t>
        </is>
      </c>
      <c r="D17" s="37" t="inlineStr">
        <is>
          <t>ACTIVE_WAITLIST</t>
        </is>
      </c>
      <c r="E17" s="37" t="n">
        <v>43.6</v>
      </c>
      <c r="F17" s="37" t="n">
        <v>13.2</v>
      </c>
    </row>
    <row r="18">
      <c r="A18" s="37" t="inlineStr">
        <is>
          <t>WL-01017</t>
        </is>
      </c>
      <c r="B18" s="37" t="inlineStr">
        <is>
          <t>Sawyer</t>
        </is>
      </c>
      <c r="C18" s="37" t="inlineStr">
        <is>
          <t>Darren</t>
        </is>
      </c>
      <c r="D18" s="37" t="inlineStr">
        <is>
          <t>RETAINER</t>
        </is>
      </c>
      <c r="E18" s="37" t="n">
        <v>44.5</v>
      </c>
      <c r="F18" s="37" t="n">
        <v>14.7</v>
      </c>
    </row>
    <row r="19">
      <c r="A19" s="37" t="inlineStr">
        <is>
          <t>WL-01018</t>
        </is>
      </c>
      <c r="B19" s="37" t="inlineStr">
        <is>
          <t>Gutierrez</t>
        </is>
      </c>
      <c r="C19" s="37" t="inlineStr">
        <is>
          <t>Hector</t>
        </is>
      </c>
      <c r="D19" s="37" t="inlineStr">
        <is>
          <t>ACTIVE_WAITLIST</t>
        </is>
      </c>
      <c r="E19" s="37" t="n">
        <v>53</v>
      </c>
      <c r="F19" s="37" t="n">
        <v>18.3</v>
      </c>
    </row>
    <row r="20">
      <c r="A20" s="37" t="inlineStr">
        <is>
          <t>WL-01019</t>
        </is>
      </c>
      <c r="B20" s="37" t="inlineStr">
        <is>
          <t>Charles</t>
        </is>
      </c>
      <c r="C20" s="37" t="inlineStr">
        <is>
          <t>Danielle</t>
        </is>
      </c>
      <c r="D20" s="37" t="inlineStr">
        <is>
          <t>ACTIVE_WAITLIST</t>
        </is>
      </c>
      <c r="E20" s="37" t="n">
        <v>48.2</v>
      </c>
      <c r="F20" s="37" t="n">
        <v>13.9</v>
      </c>
    </row>
    <row r="21">
      <c r="A21" s="37" t="inlineStr">
        <is>
          <t>WL-01020</t>
        </is>
      </c>
      <c r="B21" s="37" t="inlineStr">
        <is>
          <t>Williams</t>
        </is>
      </c>
      <c r="C21" s="37" t="inlineStr">
        <is>
          <t>Patricia</t>
        </is>
      </c>
      <c r="D21" s="37" t="inlineStr">
        <is>
          <t>EXPIRED</t>
        </is>
      </c>
      <c r="E21" s="37" t="n">
        <v>22.2</v>
      </c>
      <c r="F21" s="37" t="n">
        <v>7.1</v>
      </c>
    </row>
    <row r="22">
      <c r="A22" s="37" t="inlineStr">
        <is>
          <t>WL-01021</t>
        </is>
      </c>
      <c r="B22" s="37" t="inlineStr">
        <is>
          <t>Freeman</t>
        </is>
      </c>
      <c r="C22" s="37" t="inlineStr">
        <is>
          <t>Deborah</t>
        </is>
      </c>
      <c r="D22" s="37" t="inlineStr">
        <is>
          <t>ACTIVE_WAITLIST</t>
        </is>
      </c>
      <c r="E22" s="37" t="n">
        <v>24.1</v>
      </c>
      <c r="F22" s="37" t="n">
        <v>7.5</v>
      </c>
    </row>
    <row r="23">
      <c r="A23" s="37" t="inlineStr">
        <is>
          <t>WL-01022</t>
        </is>
      </c>
      <c r="B23" s="37" t="inlineStr">
        <is>
          <t>Cooley</t>
        </is>
      </c>
      <c r="C23" s="37" t="inlineStr">
        <is>
          <t>Brett</t>
        </is>
      </c>
      <c r="D23" s="37" t="inlineStr">
        <is>
          <t>ACTIVE_WAITLIST</t>
        </is>
      </c>
      <c r="E23" s="37" t="n">
        <v>43.9</v>
      </c>
      <c r="F23" s="37" t="n">
        <v>14.7</v>
      </c>
    </row>
    <row r="24">
      <c r="A24" s="37" t="inlineStr">
        <is>
          <t>WL-01023</t>
        </is>
      </c>
      <c r="B24" s="37" t="inlineStr">
        <is>
          <t>Stone</t>
        </is>
      </c>
      <c r="C24" s="37" t="inlineStr">
        <is>
          <t>Emily</t>
        </is>
      </c>
      <c r="D24" s="37" t="inlineStr">
        <is>
          <t>ACTIVE_WAITLIST</t>
        </is>
      </c>
      <c r="E24" s="37" t="n">
        <v>33.9</v>
      </c>
      <c r="F24" s="37" t="n">
        <v>11.7</v>
      </c>
    </row>
    <row r="25">
      <c r="A25" s="37" t="inlineStr">
        <is>
          <t>WL-01024</t>
        </is>
      </c>
      <c r="B25" s="37" t="inlineStr">
        <is>
          <t>Henson</t>
        </is>
      </c>
      <c r="C25" s="37" t="inlineStr">
        <is>
          <t>Jennifer</t>
        </is>
      </c>
      <c r="D25" s="37" t="inlineStr">
        <is>
          <t>ACTIVE_WAITLIST</t>
        </is>
      </c>
      <c r="E25" s="37" t="n">
        <v>48.1</v>
      </c>
      <c r="F25" s="37" t="n">
        <v>13.9</v>
      </c>
    </row>
    <row r="26">
      <c r="A26" s="37" t="inlineStr">
        <is>
          <t>WL-01025</t>
        </is>
      </c>
      <c r="B26" s="37" t="inlineStr">
        <is>
          <t>Peters</t>
        </is>
      </c>
      <c r="C26" s="37" t="inlineStr">
        <is>
          <t>Joanna</t>
        </is>
      </c>
      <c r="D26" s="37" t="inlineStr">
        <is>
          <t>ACTIVE_WAITLIST</t>
        </is>
      </c>
      <c r="E26" s="37" t="n">
        <v>48.6</v>
      </c>
      <c r="F26" s="37" t="n">
        <v>16.4</v>
      </c>
    </row>
    <row r="27">
      <c r="A27" s="37" t="inlineStr">
        <is>
          <t>WL-01026</t>
        </is>
      </c>
      <c r="B27" s="37" t="inlineStr">
        <is>
          <t>Jacobs</t>
        </is>
      </c>
      <c r="C27" s="37" t="inlineStr">
        <is>
          <t>Dawn</t>
        </is>
      </c>
      <c r="D27" s="37" t="inlineStr">
        <is>
          <t>ACTIVE_WAITLIST</t>
        </is>
      </c>
      <c r="E27" s="37" t="n">
        <v>53.1</v>
      </c>
      <c r="F27" s="37" t="n">
        <v>15.1</v>
      </c>
    </row>
    <row r="28">
      <c r="A28" s="37" t="inlineStr">
        <is>
          <t>WL-01027</t>
        </is>
      </c>
      <c r="B28" s="37" t="inlineStr">
        <is>
          <t>Jones</t>
        </is>
      </c>
      <c r="C28" s="37" t="inlineStr">
        <is>
          <t>Rachel</t>
        </is>
      </c>
      <c r="D28" s="37" t="inlineStr">
        <is>
          <t>ACTIVE_WAITLIST</t>
        </is>
      </c>
      <c r="E28" s="37" t="n">
        <v>53.9</v>
      </c>
      <c r="F28" s="37" t="n">
        <v>15.5</v>
      </c>
    </row>
    <row r="29">
      <c r="A29" s="37" t="inlineStr">
        <is>
          <t>WL-01028</t>
        </is>
      </c>
      <c r="B29" s="37" t="inlineStr">
        <is>
          <t>Benson</t>
        </is>
      </c>
      <c r="C29" s="37" t="inlineStr">
        <is>
          <t>Brittany</t>
        </is>
      </c>
      <c r="D29" s="37" t="inlineStr">
        <is>
          <t>ACTIVE_WAITLIST</t>
        </is>
      </c>
      <c r="E29" s="37" t="n">
        <v>53.7</v>
      </c>
      <c r="F29" s="37" t="n">
        <v>17.9</v>
      </c>
    </row>
    <row r="30">
      <c r="A30" s="37" t="inlineStr">
        <is>
          <t>WL-01029</t>
        </is>
      </c>
      <c r="B30" s="37" t="inlineStr">
        <is>
          <t>Wang</t>
        </is>
      </c>
      <c r="C30" s="37" t="inlineStr">
        <is>
          <t>John</t>
        </is>
      </c>
      <c r="D30" s="37" t="inlineStr">
        <is>
          <t>ACTIVE_WAITLIST</t>
        </is>
      </c>
      <c r="E30" s="37" t="n">
        <v>44.6</v>
      </c>
      <c r="F30" s="37" t="n">
        <v>13.4</v>
      </c>
    </row>
    <row r="31">
      <c r="A31" s="37" t="inlineStr">
        <is>
          <t>WL-01030</t>
        </is>
      </c>
      <c r="B31" s="37" t="inlineStr">
        <is>
          <t>Carr</t>
        </is>
      </c>
      <c r="C31" s="37" t="inlineStr">
        <is>
          <t>Elizabeth</t>
        </is>
      </c>
      <c r="D31" s="37" t="inlineStr">
        <is>
          <t>ACTIVE_WAITLIST</t>
        </is>
      </c>
      <c r="E31" s="37" t="n">
        <v>37</v>
      </c>
      <c r="F31" s="37" t="n">
        <v>12.6</v>
      </c>
    </row>
    <row r="32">
      <c r="A32" s="37" t="inlineStr">
        <is>
          <t>WL-01031</t>
        </is>
      </c>
      <c r="B32" s="37" t="inlineStr">
        <is>
          <t>Garza</t>
        </is>
      </c>
      <c r="C32" s="37" t="inlineStr">
        <is>
          <t>John</t>
        </is>
      </c>
      <c r="D32" s="37" t="inlineStr">
        <is>
          <t>ACTIVE_WAITLIST</t>
        </is>
      </c>
      <c r="E32" s="37" t="n">
        <v>21.9</v>
      </c>
      <c r="F32" s="37" t="n">
        <v>7.7</v>
      </c>
    </row>
    <row r="33">
      <c r="A33" s="37" t="inlineStr">
        <is>
          <t>WL-01032</t>
        </is>
      </c>
      <c r="B33" s="37" t="inlineStr">
        <is>
          <t>Yoder</t>
        </is>
      </c>
      <c r="C33" s="37" t="inlineStr">
        <is>
          <t>Ryan</t>
        </is>
      </c>
      <c r="D33" s="37" t="inlineStr">
        <is>
          <t>RETAINER</t>
        </is>
      </c>
      <c r="E33" s="37" t="n">
        <v>41.4</v>
      </c>
      <c r="F33" s="37" t="n">
        <v>11.9</v>
      </c>
    </row>
    <row r="34">
      <c r="A34" s="37" t="inlineStr">
        <is>
          <t>WL-01033</t>
        </is>
      </c>
      <c r="B34" s="37" t="inlineStr">
        <is>
          <t>Gonzalez</t>
        </is>
      </c>
      <c r="C34" s="37" t="inlineStr">
        <is>
          <t>Jodi</t>
        </is>
      </c>
      <c r="D34" s="37" t="inlineStr">
        <is>
          <t>ACTIVE_WAITLIST</t>
        </is>
      </c>
      <c r="E34" s="37" t="n">
        <v>29</v>
      </c>
      <c r="F34" s="37" t="n">
        <v>9.199999999999999</v>
      </c>
    </row>
    <row r="35">
      <c r="A35" s="37" t="inlineStr">
        <is>
          <t>WL-01034</t>
        </is>
      </c>
      <c r="B35" s="37" t="inlineStr">
        <is>
          <t>Gill</t>
        </is>
      </c>
      <c r="C35" s="37" t="inlineStr">
        <is>
          <t>Keith</t>
        </is>
      </c>
      <c r="D35" s="37" t="inlineStr">
        <is>
          <t>ACTIVE_WAITLIST</t>
        </is>
      </c>
      <c r="E35" s="37" t="n">
        <v>47.4</v>
      </c>
      <c r="F35" s="37" t="n">
        <v>14.7</v>
      </c>
    </row>
    <row r="36">
      <c r="A36" s="37" t="inlineStr">
        <is>
          <t>WL-01035</t>
        </is>
      </c>
      <c r="B36" s="37" t="inlineStr">
        <is>
          <t>Webster</t>
        </is>
      </c>
      <c r="C36" s="37" t="inlineStr">
        <is>
          <t>Ivan</t>
        </is>
      </c>
      <c r="D36" s="37" t="inlineStr">
        <is>
          <t>ACTIVE_WAITLIST</t>
        </is>
      </c>
      <c r="E36" s="37" t="n">
        <v>58.9</v>
      </c>
      <c r="F36" s="37" t="n">
        <v>17.8</v>
      </c>
    </row>
    <row r="37">
      <c r="A37" s="37" t="inlineStr">
        <is>
          <t>WL-01036</t>
        </is>
      </c>
      <c r="B37" s="37" t="inlineStr">
        <is>
          <t>Rogers</t>
        </is>
      </c>
      <c r="C37" s="37" t="inlineStr">
        <is>
          <t>Brandy</t>
        </is>
      </c>
      <c r="D37" s="37" t="inlineStr">
        <is>
          <t>ACTIVE_WAITLIST</t>
        </is>
      </c>
      <c r="E37" s="37" t="n">
        <v>23.3</v>
      </c>
      <c r="F37" s="37" t="n">
        <v>7.1</v>
      </c>
    </row>
    <row r="38">
      <c r="A38" s="37" t="inlineStr">
        <is>
          <t>WL-01037</t>
        </is>
      </c>
      <c r="B38" s="37" t="inlineStr">
        <is>
          <t>Hunter</t>
        </is>
      </c>
      <c r="C38" s="37" t="inlineStr">
        <is>
          <t>Karen</t>
        </is>
      </c>
      <c r="D38" s="37" t="inlineStr">
        <is>
          <t>EXPIRED</t>
        </is>
      </c>
      <c r="E38" s="37" t="n">
        <v>19.1</v>
      </c>
      <c r="F38" s="37" t="n">
        <v>5.8</v>
      </c>
    </row>
    <row r="39">
      <c r="A39" s="37" t="inlineStr">
        <is>
          <t>WL-01038</t>
        </is>
      </c>
      <c r="B39" s="37" t="inlineStr">
        <is>
          <t>Collins</t>
        </is>
      </c>
      <c r="C39" s="37" t="inlineStr">
        <is>
          <t>Laura</t>
        </is>
      </c>
      <c r="D39" s="37" t="inlineStr">
        <is>
          <t>EXPIRED</t>
        </is>
      </c>
      <c r="E39" s="37" t="n">
        <v>48.4</v>
      </c>
      <c r="F39" s="37" t="n">
        <v>16.3</v>
      </c>
    </row>
    <row r="40">
      <c r="A40" s="37" t="inlineStr">
        <is>
          <t>WL-01039</t>
        </is>
      </c>
      <c r="B40" s="37" t="inlineStr">
        <is>
          <t>Morris</t>
        </is>
      </c>
      <c r="C40" s="37" t="inlineStr">
        <is>
          <t>Steven</t>
        </is>
      </c>
      <c r="D40" s="37" t="inlineStr">
        <is>
          <t>ACTIVE_WAITLIST</t>
        </is>
      </c>
      <c r="E40" s="37" t="n">
        <v>24.1</v>
      </c>
      <c r="F40" s="37" t="n">
        <v>8.199999999999999</v>
      </c>
    </row>
    <row r="41">
      <c r="A41" s="37" t="inlineStr">
        <is>
          <t>WL-01040</t>
        </is>
      </c>
      <c r="B41" s="37" t="inlineStr">
        <is>
          <t>Collins</t>
        </is>
      </c>
      <c r="C41" s="37" t="inlineStr">
        <is>
          <t>Bradley</t>
        </is>
      </c>
      <c r="D41" s="37" t="inlineStr">
        <is>
          <t>ACTIVE_WAITLIST</t>
        </is>
      </c>
      <c r="E41" s="37" t="n">
        <v>35.3</v>
      </c>
      <c r="F41" s="37" t="n">
        <v>12.3</v>
      </c>
    </row>
    <row r="42">
      <c r="A42" s="37" t="inlineStr">
        <is>
          <t>WL-01041</t>
        </is>
      </c>
      <c r="B42" s="37" t="inlineStr">
        <is>
          <t>Sheppard</t>
        </is>
      </c>
      <c r="C42" s="37" t="inlineStr">
        <is>
          <t>Ethan</t>
        </is>
      </c>
      <c r="D42" s="37" t="inlineStr">
        <is>
          <t>EXPIRED</t>
        </is>
      </c>
      <c r="E42" s="37" t="n">
        <v>20.5</v>
      </c>
      <c r="F42" s="37" t="n">
        <v>7</v>
      </c>
    </row>
    <row r="43">
      <c r="A43" s="37" t="inlineStr">
        <is>
          <t>WL-01042</t>
        </is>
      </c>
      <c r="B43" s="37" t="inlineStr">
        <is>
          <t>Sanchez</t>
        </is>
      </c>
      <c r="C43" s="37" t="inlineStr">
        <is>
          <t>Albert</t>
        </is>
      </c>
      <c r="D43" s="37" t="inlineStr">
        <is>
          <t>ACTIVE_WAITLIST</t>
        </is>
      </c>
      <c r="E43" s="37" t="n">
        <v>22.9</v>
      </c>
      <c r="F43" s="37" t="n">
        <v>6.9</v>
      </c>
    </row>
    <row r="44">
      <c r="A44" s="37" t="inlineStr">
        <is>
          <t>WL-01043</t>
        </is>
      </c>
      <c r="B44" s="37" t="inlineStr">
        <is>
          <t>James</t>
        </is>
      </c>
      <c r="C44" s="37" t="inlineStr">
        <is>
          <t>Diane</t>
        </is>
      </c>
      <c r="D44" s="37" t="inlineStr">
        <is>
          <t>ACTIVE_WAITLIST</t>
        </is>
      </c>
      <c r="E44" s="37" t="n">
        <v>61.5</v>
      </c>
      <c r="F44" s="37" t="n">
        <v>17.9</v>
      </c>
    </row>
    <row r="45">
      <c r="A45" s="37" t="inlineStr">
        <is>
          <t>WL-01044</t>
        </is>
      </c>
      <c r="B45" s="37" t="inlineStr">
        <is>
          <t>Mason</t>
        </is>
      </c>
      <c r="C45" s="37" t="inlineStr">
        <is>
          <t>Craig</t>
        </is>
      </c>
      <c r="D45" s="37" t="inlineStr">
        <is>
          <t>ACTIVE_WAITLIST</t>
        </is>
      </c>
      <c r="E45" s="37" t="n">
        <v>55.9</v>
      </c>
      <c r="F45" s="37" t="n">
        <v>17.6</v>
      </c>
    </row>
    <row r="46">
      <c r="A46" s="37" t="inlineStr">
        <is>
          <t>WL-01045</t>
        </is>
      </c>
      <c r="B46" s="37" t="inlineStr">
        <is>
          <t>Brown</t>
        </is>
      </c>
      <c r="C46" s="37" t="inlineStr">
        <is>
          <t>Chad</t>
        </is>
      </c>
      <c r="D46" s="37" t="inlineStr">
        <is>
          <t>ACTIVE_WAITLIST</t>
        </is>
      </c>
      <c r="E46" s="37" t="n">
        <v>47</v>
      </c>
      <c r="F46" s="37" t="n">
        <v>15.6</v>
      </c>
    </row>
    <row r="47">
      <c r="A47" s="37" t="inlineStr">
        <is>
          <t>WL-01046</t>
        </is>
      </c>
      <c r="B47" s="37" t="inlineStr">
        <is>
          <t>Thomas</t>
        </is>
      </c>
      <c r="C47" s="37" t="inlineStr">
        <is>
          <t>Emily</t>
        </is>
      </c>
      <c r="D47" s="37" t="inlineStr">
        <is>
          <t>ACTIVE_WAITLIST</t>
        </is>
      </c>
      <c r="E47" s="37" t="n">
        <v>48.1</v>
      </c>
      <c r="F47" s="37" t="n">
        <v>14.5</v>
      </c>
    </row>
    <row r="48">
      <c r="A48" s="37" t="inlineStr">
        <is>
          <t>WL-01047</t>
        </is>
      </c>
      <c r="B48" s="37" t="inlineStr">
        <is>
          <t>Bishop</t>
        </is>
      </c>
      <c r="C48" s="37" t="inlineStr">
        <is>
          <t>Alex</t>
        </is>
      </c>
      <c r="D48" s="37" t="inlineStr">
        <is>
          <t>ACTIVE_WAITLIST</t>
        </is>
      </c>
      <c r="E48" s="37" t="n">
        <v>24.6</v>
      </c>
      <c r="F48" s="37" t="n">
        <v>6.9</v>
      </c>
    </row>
    <row r="49">
      <c r="A49" s="37" t="inlineStr">
        <is>
          <t>WL-01048</t>
        </is>
      </c>
      <c r="B49" s="37" t="inlineStr">
        <is>
          <t>Nielsen</t>
        </is>
      </c>
      <c r="C49" s="37" t="inlineStr">
        <is>
          <t>Lisa</t>
        </is>
      </c>
      <c r="D49" s="37" t="inlineStr">
        <is>
          <t>ACTIVE_WAITLIST</t>
        </is>
      </c>
      <c r="E49" s="37" t="n">
        <v>33.7</v>
      </c>
      <c r="F49" s="37" t="n">
        <v>9.800000000000001</v>
      </c>
    </row>
    <row r="50">
      <c r="A50" s="37" t="inlineStr">
        <is>
          <t>WL-01049</t>
        </is>
      </c>
      <c r="B50" s="37" t="inlineStr">
        <is>
          <t>James</t>
        </is>
      </c>
      <c r="C50" s="37" t="inlineStr">
        <is>
          <t>Victoria</t>
        </is>
      </c>
      <c r="D50" s="37" t="inlineStr">
        <is>
          <t>ACTIVE_WAITLIST</t>
        </is>
      </c>
      <c r="E50" s="37" t="n">
        <v>35.7</v>
      </c>
      <c r="F50" s="37" t="n">
        <v>11</v>
      </c>
    </row>
    <row r="51">
      <c r="A51" s="37" t="inlineStr">
        <is>
          <t>WL-01050</t>
        </is>
      </c>
      <c r="B51" s="37" t="inlineStr">
        <is>
          <t>Martinez</t>
        </is>
      </c>
      <c r="C51" s="37" t="inlineStr">
        <is>
          <t>Rachel</t>
        </is>
      </c>
      <c r="D51" s="37" t="inlineStr">
        <is>
          <t>ACTIVE_WAITLIST</t>
        </is>
      </c>
      <c r="E51" s="37" t="n">
        <v>31.5</v>
      </c>
      <c r="F51" s="37" t="n">
        <v>9.4</v>
      </c>
    </row>
    <row r="52">
      <c r="A52" s="37" t="inlineStr">
        <is>
          <t>WL-01051</t>
        </is>
      </c>
      <c r="B52" s="37" t="inlineStr">
        <is>
          <t>Johnson</t>
        </is>
      </c>
      <c r="C52" s="37" t="inlineStr">
        <is>
          <t>Megan</t>
        </is>
      </c>
      <c r="D52" s="37" t="inlineStr">
        <is>
          <t>ACTIVE_WAITLIST</t>
        </is>
      </c>
      <c r="E52" s="37" t="n">
        <v>48.5</v>
      </c>
      <c r="F52" s="37" t="n">
        <v>14.8</v>
      </c>
    </row>
    <row r="53">
      <c r="A53" s="37" t="inlineStr">
        <is>
          <t>WL-01052</t>
        </is>
      </c>
      <c r="B53" s="37" t="inlineStr">
        <is>
          <t>Guerrero</t>
        </is>
      </c>
      <c r="C53" s="37" t="inlineStr">
        <is>
          <t>Alicia</t>
        </is>
      </c>
      <c r="D53" s="37" t="inlineStr">
        <is>
          <t>ACTIVE_WAITLIST</t>
        </is>
      </c>
      <c r="E53" s="37" t="n">
        <v>45.5</v>
      </c>
      <c r="F53" s="37" t="n">
        <v>16.1</v>
      </c>
    </row>
    <row r="54">
      <c r="A54" s="37" t="inlineStr">
        <is>
          <t>WL-01053</t>
        </is>
      </c>
      <c r="B54" s="37" t="inlineStr">
        <is>
          <t>Washington</t>
        </is>
      </c>
      <c r="C54" s="37" t="inlineStr">
        <is>
          <t>Lisa</t>
        </is>
      </c>
      <c r="D54" s="37" t="inlineStr">
        <is>
          <t>ACTIVE_WAITLIST</t>
        </is>
      </c>
      <c r="E54" s="37" t="n">
        <v>45.1</v>
      </c>
      <c r="F54" s="37" t="n">
        <v>12.8</v>
      </c>
    </row>
    <row r="55">
      <c r="A55" s="37" t="inlineStr">
        <is>
          <t>WL-01054</t>
        </is>
      </c>
      <c r="B55" s="37" t="inlineStr">
        <is>
          <t>Smith</t>
        </is>
      </c>
      <c r="C55" s="37" t="inlineStr">
        <is>
          <t>Cynthia</t>
        </is>
      </c>
      <c r="D55" s="37" t="inlineStr">
        <is>
          <t>ACTIVE_WAITLIST</t>
        </is>
      </c>
      <c r="E55" s="37" t="n">
        <v>20.7</v>
      </c>
      <c r="F55" s="37" t="n">
        <v>6.8</v>
      </c>
    </row>
    <row r="56">
      <c r="A56" s="37" t="inlineStr">
        <is>
          <t>WL-01055</t>
        </is>
      </c>
      <c r="B56" s="37" t="inlineStr">
        <is>
          <t>Hodges</t>
        </is>
      </c>
      <c r="C56" s="37" t="inlineStr">
        <is>
          <t>Kimberly</t>
        </is>
      </c>
      <c r="D56" s="37" t="inlineStr">
        <is>
          <t>ACTIVE_WAITLIST</t>
        </is>
      </c>
      <c r="E56" s="37" t="n">
        <v>32</v>
      </c>
      <c r="F56" s="37" t="n">
        <v>9.4</v>
      </c>
    </row>
    <row r="57">
      <c r="A57" s="37" t="inlineStr">
        <is>
          <t>WL-01056</t>
        </is>
      </c>
      <c r="B57" s="37" t="inlineStr">
        <is>
          <t>Zamora</t>
        </is>
      </c>
      <c r="C57" s="37" t="inlineStr">
        <is>
          <t>Raymond</t>
        </is>
      </c>
      <c r="D57" s="37" t="inlineStr">
        <is>
          <t>RETAINER</t>
        </is>
      </c>
      <c r="E57" s="37" t="n">
        <v>26.3</v>
      </c>
      <c r="F57" s="37" t="n">
        <v>9.4</v>
      </c>
    </row>
    <row r="58">
      <c r="A58" s="37" t="inlineStr">
        <is>
          <t>WL-01057</t>
        </is>
      </c>
      <c r="B58" s="37" t="inlineStr">
        <is>
          <t>Ross</t>
        </is>
      </c>
      <c r="C58" s="37" t="inlineStr">
        <is>
          <t>Eric</t>
        </is>
      </c>
      <c r="D58" s="37" t="inlineStr">
        <is>
          <t>ACTIVE_WAITLIST</t>
        </is>
      </c>
      <c r="E58" s="37" t="n">
        <v>56.5</v>
      </c>
      <c r="F58" s="37" t="n">
        <v>19.1</v>
      </c>
    </row>
    <row r="59">
      <c r="A59" s="37" t="inlineStr">
        <is>
          <t>WL-01058</t>
        </is>
      </c>
      <c r="B59" s="37" t="inlineStr">
        <is>
          <t>Brown</t>
        </is>
      </c>
      <c r="C59" s="37" t="inlineStr">
        <is>
          <t>Austin</t>
        </is>
      </c>
      <c r="D59" s="37" t="inlineStr">
        <is>
          <t>ACTIVE_WAITLIST</t>
        </is>
      </c>
      <c r="E59" s="37" t="n">
        <v>19</v>
      </c>
      <c r="F59" s="37" t="n">
        <v>6.7</v>
      </c>
    </row>
    <row r="60">
      <c r="A60" s="37" t="inlineStr">
        <is>
          <t>WL-01059</t>
        </is>
      </c>
      <c r="B60" s="37" t="inlineStr">
        <is>
          <t>Bailey</t>
        </is>
      </c>
      <c r="C60" s="37" t="inlineStr">
        <is>
          <t>Chelsea</t>
        </is>
      </c>
      <c r="D60" s="37" t="inlineStr">
        <is>
          <t>EXPIRED</t>
        </is>
      </c>
      <c r="E60" s="37" t="n">
        <v>40.3</v>
      </c>
      <c r="F60" s="37" t="n">
        <v>12.5</v>
      </c>
    </row>
    <row r="61">
      <c r="A61" s="37" t="inlineStr">
        <is>
          <t>WL-01060</t>
        </is>
      </c>
      <c r="B61" s="37" t="inlineStr">
        <is>
          <t>Cole</t>
        </is>
      </c>
      <c r="C61" s="37" t="inlineStr">
        <is>
          <t>Michael</t>
        </is>
      </c>
      <c r="D61" s="37" t="inlineStr">
        <is>
          <t>ACTIVE_WAITLIST</t>
        </is>
      </c>
      <c r="E61" s="37" t="n">
        <v>23.7</v>
      </c>
      <c r="F61" s="37" t="n">
        <v>7.7</v>
      </c>
    </row>
    <row r="62">
      <c r="A62" s="37" t="inlineStr">
        <is>
          <t>WL-01061</t>
        </is>
      </c>
      <c r="B62" s="37" t="inlineStr">
        <is>
          <t>Smith</t>
        </is>
      </c>
      <c r="C62" s="37" t="inlineStr">
        <is>
          <t>Casey</t>
        </is>
      </c>
      <c r="D62" s="37" t="inlineStr">
        <is>
          <t>ACTIVE_WAITLIST</t>
        </is>
      </c>
      <c r="E62" s="37" t="n">
        <v>52.4</v>
      </c>
      <c r="F62" s="37" t="n">
        <v>18</v>
      </c>
    </row>
    <row r="63">
      <c r="A63" s="37" t="inlineStr">
        <is>
          <t>WL-01062</t>
        </is>
      </c>
      <c r="B63" s="37" t="inlineStr">
        <is>
          <t>Lawrence</t>
        </is>
      </c>
      <c r="C63" s="37" t="inlineStr">
        <is>
          <t>Christian</t>
        </is>
      </c>
      <c r="D63" s="37" t="inlineStr">
        <is>
          <t>ACTIVE_WAITLIST</t>
        </is>
      </c>
      <c r="E63" s="37" t="n">
        <v>44.7</v>
      </c>
      <c r="F63" s="37" t="n">
        <v>12.7</v>
      </c>
    </row>
    <row r="64">
      <c r="A64" s="37" t="inlineStr">
        <is>
          <t>WL-01063</t>
        </is>
      </c>
      <c r="B64" s="37" t="inlineStr">
        <is>
          <t>Mitchell</t>
        </is>
      </c>
      <c r="C64" s="37" t="inlineStr">
        <is>
          <t>Donna</t>
        </is>
      </c>
      <c r="D64" s="37" t="inlineStr">
        <is>
          <t>ACTIVE_WAITLIST</t>
        </is>
      </c>
      <c r="E64" s="37" t="n">
        <v>46.9</v>
      </c>
      <c r="F64" s="37" t="n">
        <v>14.9</v>
      </c>
    </row>
    <row r="65">
      <c r="A65" s="37" t="inlineStr">
        <is>
          <t>WL-01064</t>
        </is>
      </c>
      <c r="B65" s="37" t="inlineStr">
        <is>
          <t>Smith</t>
        </is>
      </c>
      <c r="C65" s="37" t="inlineStr">
        <is>
          <t>Mike</t>
        </is>
      </c>
      <c r="D65" s="37" t="inlineStr">
        <is>
          <t>RETAINER</t>
        </is>
      </c>
      <c r="E65" s="37" t="n">
        <v>20.9</v>
      </c>
      <c r="F65" s="37" t="n">
        <v>6.4</v>
      </c>
    </row>
    <row r="66">
      <c r="A66" s="37" t="inlineStr">
        <is>
          <t>WL-01065</t>
        </is>
      </c>
      <c r="B66" s="37" t="inlineStr">
        <is>
          <t>Barnes</t>
        </is>
      </c>
      <c r="C66" s="37" t="inlineStr">
        <is>
          <t>Tina</t>
        </is>
      </c>
      <c r="D66" s="37" t="inlineStr">
        <is>
          <t>ACTIVE_WAITLIST</t>
        </is>
      </c>
      <c r="E66" s="37" t="n">
        <v>27.6</v>
      </c>
      <c r="F66" s="37" t="n">
        <v>7.8</v>
      </c>
    </row>
    <row r="67">
      <c r="A67" s="37" t="inlineStr">
        <is>
          <t>WL-01066</t>
        </is>
      </c>
      <c r="B67" s="37" t="inlineStr">
        <is>
          <t>Benton</t>
        </is>
      </c>
      <c r="C67" s="37" t="inlineStr">
        <is>
          <t>Alexis</t>
        </is>
      </c>
      <c r="D67" s="37" t="inlineStr">
        <is>
          <t>ACTIVE_WAITLIST</t>
        </is>
      </c>
      <c r="E67" s="37" t="n">
        <v>19.5</v>
      </c>
      <c r="F67" s="37" t="n">
        <v>5.6</v>
      </c>
    </row>
    <row r="68">
      <c r="A68" s="37" t="inlineStr">
        <is>
          <t>WL-01067</t>
        </is>
      </c>
      <c r="B68" s="37" t="inlineStr">
        <is>
          <t>Barber</t>
        </is>
      </c>
      <c r="C68" s="37" t="inlineStr">
        <is>
          <t>John</t>
        </is>
      </c>
      <c r="D68" s="37" t="inlineStr">
        <is>
          <t>EXPIRED</t>
        </is>
      </c>
      <c r="E68" s="37" t="n">
        <v>45.5</v>
      </c>
      <c r="F68" s="37" t="n">
        <v>15.1</v>
      </c>
    </row>
    <row r="69">
      <c r="A69" s="37" t="inlineStr">
        <is>
          <t>WL-01068</t>
        </is>
      </c>
      <c r="B69" s="37" t="inlineStr">
        <is>
          <t>Thomas</t>
        </is>
      </c>
      <c r="C69" s="37" t="inlineStr">
        <is>
          <t>Charles</t>
        </is>
      </c>
      <c r="D69" s="37" t="inlineStr">
        <is>
          <t>ACTIVE_WAITLIST</t>
        </is>
      </c>
      <c r="E69" s="37" t="n">
        <v>20.7</v>
      </c>
      <c r="F69" s="37" t="n">
        <v>7.4</v>
      </c>
    </row>
    <row r="70">
      <c r="A70" s="37" t="inlineStr">
        <is>
          <t>WL-01069</t>
        </is>
      </c>
      <c r="B70" s="37" t="inlineStr">
        <is>
          <t>Neal</t>
        </is>
      </c>
      <c r="C70" s="37" t="inlineStr">
        <is>
          <t>Kellie</t>
        </is>
      </c>
      <c r="D70" s="37" t="inlineStr">
        <is>
          <t>ACTIVE_WAITLIST</t>
        </is>
      </c>
      <c r="E70" s="37" t="n">
        <v>56.8</v>
      </c>
      <c r="F70" s="37" t="n">
        <v>18.2</v>
      </c>
    </row>
    <row r="71">
      <c r="A71" s="37" t="inlineStr">
        <is>
          <t>WL-01070</t>
        </is>
      </c>
      <c r="B71" s="37" t="inlineStr">
        <is>
          <t>Chan</t>
        </is>
      </c>
      <c r="C71" s="37" t="inlineStr">
        <is>
          <t>Laura</t>
        </is>
      </c>
      <c r="D71" s="37" t="inlineStr">
        <is>
          <t>ACTIVE_WAITLIST</t>
        </is>
      </c>
      <c r="E71" s="37" t="n">
        <v>29.7</v>
      </c>
      <c r="F71" s="37" t="n">
        <v>10.6</v>
      </c>
    </row>
    <row r="72">
      <c r="A72" s="37" t="inlineStr">
        <is>
          <t>WL-01071</t>
        </is>
      </c>
      <c r="B72" s="37" t="inlineStr">
        <is>
          <t>Anderson</t>
        </is>
      </c>
      <c r="C72" s="37" t="inlineStr">
        <is>
          <t>Melissa</t>
        </is>
      </c>
      <c r="D72" s="37" t="inlineStr">
        <is>
          <t>ACTIVE_WAITLIST</t>
        </is>
      </c>
      <c r="E72" s="37" t="n">
        <v>41.1</v>
      </c>
      <c r="F72" s="37" t="n">
        <v>14</v>
      </c>
    </row>
    <row r="73">
      <c r="A73" s="37" t="inlineStr">
        <is>
          <t>WL-01072</t>
        </is>
      </c>
      <c r="B73" s="37" t="inlineStr">
        <is>
          <t>Johnson</t>
        </is>
      </c>
      <c r="C73" s="37" t="inlineStr">
        <is>
          <t>Sabrina</t>
        </is>
      </c>
      <c r="D73" s="37" t="inlineStr">
        <is>
          <t>ACTIVE_WAITLIST</t>
        </is>
      </c>
      <c r="E73" s="37" t="n">
        <v>52.3</v>
      </c>
      <c r="F73" s="37" t="n">
        <v>17</v>
      </c>
    </row>
    <row r="74">
      <c r="A74" s="37" t="inlineStr">
        <is>
          <t>WL-01073</t>
        </is>
      </c>
      <c r="B74" s="37" t="inlineStr">
        <is>
          <t>Scott</t>
        </is>
      </c>
      <c r="C74" s="37" t="inlineStr">
        <is>
          <t>Tammy</t>
        </is>
      </c>
      <c r="D74" s="37" t="inlineStr">
        <is>
          <t>ACTIVE_WAITLIST</t>
        </is>
      </c>
      <c r="E74" s="37" t="n">
        <v>38.5</v>
      </c>
      <c r="F74" s="37" t="n">
        <v>13.8</v>
      </c>
    </row>
    <row r="75">
      <c r="A75" s="37" t="inlineStr">
        <is>
          <t>WL-01074</t>
        </is>
      </c>
      <c r="B75" s="37" t="inlineStr">
        <is>
          <t>Edwards</t>
        </is>
      </c>
      <c r="C75" s="37" t="inlineStr">
        <is>
          <t>Darius</t>
        </is>
      </c>
      <c r="D75" s="37" t="inlineStr">
        <is>
          <t>RETAINER</t>
        </is>
      </c>
      <c r="E75" s="37" t="n">
        <v>28.7</v>
      </c>
      <c r="F75" s="37" t="n">
        <v>10.2</v>
      </c>
    </row>
    <row r="76">
      <c r="A76" s="37" t="inlineStr">
        <is>
          <t>WL-01075</t>
        </is>
      </c>
      <c r="B76" s="37" t="inlineStr">
        <is>
          <t>Gilmore</t>
        </is>
      </c>
      <c r="C76" s="37" t="inlineStr">
        <is>
          <t>Ryan</t>
        </is>
      </c>
      <c r="D76" s="37" t="inlineStr">
        <is>
          <t>ACTIVE_WAITLIST</t>
        </is>
      </c>
      <c r="E76" s="37" t="n">
        <v>53.2</v>
      </c>
      <c r="F76" s="37" t="n">
        <v>16.9</v>
      </c>
    </row>
    <row r="77">
      <c r="A77" s="37" t="inlineStr">
        <is>
          <t>WL-01076</t>
        </is>
      </c>
      <c r="B77" s="37" t="inlineStr">
        <is>
          <t>Robinson</t>
        </is>
      </c>
      <c r="C77" s="37" t="inlineStr">
        <is>
          <t>Timothy</t>
        </is>
      </c>
      <c r="D77" s="37" t="inlineStr">
        <is>
          <t>ACTIVE_WAITLIST</t>
        </is>
      </c>
      <c r="E77" s="37" t="n">
        <v>49.9</v>
      </c>
      <c r="F77" s="37" t="n">
        <v>17.9</v>
      </c>
    </row>
    <row r="78">
      <c r="A78" s="37" t="inlineStr">
        <is>
          <t>WL-01077</t>
        </is>
      </c>
      <c r="B78" s="37" t="inlineStr">
        <is>
          <t>Hess</t>
        </is>
      </c>
      <c r="C78" s="37" t="inlineStr">
        <is>
          <t>Stephanie</t>
        </is>
      </c>
      <c r="D78" s="37" t="inlineStr">
        <is>
          <t>ACTIVE_WAITLIST</t>
        </is>
      </c>
      <c r="E78" s="37" t="n">
        <v>59.5</v>
      </c>
      <c r="F78" s="37" t="n">
        <v>17.9</v>
      </c>
    </row>
    <row r="79">
      <c r="A79" s="37" t="inlineStr">
        <is>
          <t>WL-01078</t>
        </is>
      </c>
      <c r="B79" s="37" t="inlineStr">
        <is>
          <t>Davidson</t>
        </is>
      </c>
      <c r="C79" s="37" t="inlineStr">
        <is>
          <t>Eric</t>
        </is>
      </c>
      <c r="D79" s="37" t="inlineStr">
        <is>
          <t>RETAINER</t>
        </is>
      </c>
      <c r="E79" s="37" t="n">
        <v>28.3</v>
      </c>
      <c r="F79" s="37" t="n">
        <v>8.6</v>
      </c>
    </row>
    <row r="80">
      <c r="A80" s="37" t="inlineStr">
        <is>
          <t>WL-01079</t>
        </is>
      </c>
      <c r="B80" s="37" t="inlineStr">
        <is>
          <t>Simon</t>
        </is>
      </c>
      <c r="C80" s="37" t="inlineStr">
        <is>
          <t>Bailey</t>
        </is>
      </c>
      <c r="D80" s="37" t="inlineStr">
        <is>
          <t>ACTIVE_WAITLIST</t>
        </is>
      </c>
      <c r="E80" s="37" t="n">
        <v>48.4</v>
      </c>
      <c r="F80" s="37" t="n">
        <v>15.8</v>
      </c>
    </row>
    <row r="81">
      <c r="A81" s="37" t="inlineStr">
        <is>
          <t>WL-01080</t>
        </is>
      </c>
      <c r="B81" s="37" t="inlineStr">
        <is>
          <t>Lopez</t>
        </is>
      </c>
      <c r="C81" s="37" t="inlineStr">
        <is>
          <t>Jessica</t>
        </is>
      </c>
      <c r="D81" s="37" t="inlineStr">
        <is>
          <t>ACTIVE_WAITLIST</t>
        </is>
      </c>
      <c r="E81" s="37" t="n">
        <v>54</v>
      </c>
      <c r="F81" s="37" t="n">
        <v>17.5</v>
      </c>
    </row>
    <row r="82">
      <c r="A82" s="37" t="inlineStr">
        <is>
          <t>WL-01081</t>
        </is>
      </c>
      <c r="B82" s="37" t="inlineStr">
        <is>
          <t>Long</t>
        </is>
      </c>
      <c r="C82" s="37" t="inlineStr">
        <is>
          <t>Brian</t>
        </is>
      </c>
      <c r="D82" s="37" t="inlineStr">
        <is>
          <t>ACTIVE_WAITLIST</t>
        </is>
      </c>
      <c r="E82" s="37" t="n">
        <v>50.5</v>
      </c>
      <c r="F82" s="37" t="n">
        <v>17.1</v>
      </c>
    </row>
    <row r="83">
      <c r="A83" s="37" t="inlineStr">
        <is>
          <t>WL-01082</t>
        </is>
      </c>
      <c r="B83" s="37" t="inlineStr">
        <is>
          <t>Baker</t>
        </is>
      </c>
      <c r="C83" s="37" t="inlineStr">
        <is>
          <t>Aaron</t>
        </is>
      </c>
      <c r="D83" s="37" t="inlineStr">
        <is>
          <t>ACTIVE_WAITLIST</t>
        </is>
      </c>
      <c r="E83" s="37" t="n">
        <v>19.6</v>
      </c>
      <c r="F83" s="37" t="n">
        <v>6.4</v>
      </c>
    </row>
    <row r="84">
      <c r="A84" s="37" t="inlineStr">
        <is>
          <t>WL-01083</t>
        </is>
      </c>
      <c r="B84" s="37" t="inlineStr">
        <is>
          <t>Schmidt</t>
        </is>
      </c>
      <c r="C84" s="37" t="inlineStr">
        <is>
          <t>Dennis</t>
        </is>
      </c>
      <c r="D84" s="37" t="inlineStr">
        <is>
          <t>ACTIVE_WAITLIST</t>
        </is>
      </c>
      <c r="E84" s="37" t="n">
        <v>19.6</v>
      </c>
      <c r="F84" s="37" t="n">
        <v>5.6</v>
      </c>
    </row>
    <row r="85">
      <c r="A85" s="37" t="inlineStr">
        <is>
          <t>WL-01084</t>
        </is>
      </c>
      <c r="B85" s="37" t="inlineStr">
        <is>
          <t>Adams</t>
        </is>
      </c>
      <c r="C85" s="37" t="inlineStr">
        <is>
          <t>Lisa</t>
        </is>
      </c>
      <c r="D85" s="37" t="inlineStr">
        <is>
          <t>ACTIVE_WAITLIST</t>
        </is>
      </c>
      <c r="E85" s="37" t="n">
        <v>24.4</v>
      </c>
      <c r="F85" s="37" t="n">
        <v>7.9</v>
      </c>
    </row>
    <row r="86">
      <c r="A86" s="37" t="inlineStr">
        <is>
          <t>WL-01085</t>
        </is>
      </c>
      <c r="B86" s="37" t="inlineStr">
        <is>
          <t>Norton</t>
        </is>
      </c>
      <c r="C86" s="37" t="inlineStr">
        <is>
          <t>Jennifer</t>
        </is>
      </c>
      <c r="D86" s="37" t="inlineStr">
        <is>
          <t>ACTIVE_WAITLIST</t>
        </is>
      </c>
      <c r="E86" s="37" t="n">
        <v>48.8</v>
      </c>
      <c r="F86" s="37" t="n">
        <v>13.8</v>
      </c>
    </row>
    <row r="87">
      <c r="A87" s="37" t="inlineStr">
        <is>
          <t>WL-01086</t>
        </is>
      </c>
      <c r="B87" s="37" t="inlineStr">
        <is>
          <t>Frazier</t>
        </is>
      </c>
      <c r="C87" s="37" t="inlineStr">
        <is>
          <t>Lisa</t>
        </is>
      </c>
      <c r="D87" s="37" t="inlineStr">
        <is>
          <t>ACTIVE_WAITLIST</t>
        </is>
      </c>
      <c r="E87" s="37" t="n">
        <v>46</v>
      </c>
      <c r="F87" s="37" t="n">
        <v>14.8</v>
      </c>
    </row>
    <row r="88">
      <c r="A88" s="37" t="inlineStr">
        <is>
          <t>WL-01087</t>
        </is>
      </c>
      <c r="B88" s="37" t="inlineStr">
        <is>
          <t>Barker</t>
        </is>
      </c>
      <c r="C88" s="37" t="inlineStr">
        <is>
          <t>Cheryl</t>
        </is>
      </c>
      <c r="D88" s="37" t="inlineStr">
        <is>
          <t>ACTIVE_WAITLIST</t>
        </is>
      </c>
      <c r="E88" s="37" t="n">
        <v>48.5</v>
      </c>
      <c r="F88" s="37" t="n">
        <v>15.9</v>
      </c>
    </row>
    <row r="89">
      <c r="A89" s="37" t="inlineStr">
        <is>
          <t>WL-01088</t>
        </is>
      </c>
      <c r="B89" s="37" t="inlineStr">
        <is>
          <t>Jacobson</t>
        </is>
      </c>
      <c r="C89" s="37" t="inlineStr">
        <is>
          <t>Connie</t>
        </is>
      </c>
      <c r="D89" s="37" t="inlineStr">
        <is>
          <t>RETAINER</t>
        </is>
      </c>
      <c r="E89" s="37" t="n">
        <v>47.7</v>
      </c>
      <c r="F89" s="37" t="n">
        <v>16.8</v>
      </c>
    </row>
    <row r="90">
      <c r="A90" s="37" t="inlineStr">
        <is>
          <t>WL-01089</t>
        </is>
      </c>
      <c r="B90" s="37" t="inlineStr">
        <is>
          <t>Holmes</t>
        </is>
      </c>
      <c r="C90" s="37" t="inlineStr">
        <is>
          <t>Erin</t>
        </is>
      </c>
      <c r="D90" s="37" t="inlineStr">
        <is>
          <t>ACTIVE_WAITLIST</t>
        </is>
      </c>
      <c r="E90" s="37" t="n">
        <v>54.3</v>
      </c>
      <c r="F90" s="37" t="n">
        <v>17.6</v>
      </c>
    </row>
    <row r="91">
      <c r="A91" s="37" t="inlineStr">
        <is>
          <t>WL-01090</t>
        </is>
      </c>
      <c r="B91" s="37" t="inlineStr">
        <is>
          <t>Lucero</t>
        </is>
      </c>
      <c r="C91" s="37" t="inlineStr">
        <is>
          <t>Jessica</t>
        </is>
      </c>
      <c r="D91" s="37" t="inlineStr">
        <is>
          <t>RETAINER</t>
        </is>
      </c>
      <c r="E91" s="37" t="n">
        <v>29.3</v>
      </c>
      <c r="F91" s="37" t="n">
        <v>9.300000000000001</v>
      </c>
    </row>
    <row r="92">
      <c r="A92" s="37" t="inlineStr">
        <is>
          <t>WL-01091</t>
        </is>
      </c>
      <c r="B92" s="37" t="inlineStr">
        <is>
          <t>Hess</t>
        </is>
      </c>
      <c r="C92" s="37" t="inlineStr">
        <is>
          <t>Lacey</t>
        </is>
      </c>
      <c r="D92" s="37" t="inlineStr">
        <is>
          <t>EXPIRED</t>
        </is>
      </c>
      <c r="E92" s="37" t="n">
        <v>59.3</v>
      </c>
      <c r="F92" s="37" t="n">
        <v>20.1</v>
      </c>
    </row>
    <row r="93">
      <c r="A93" s="37" t="inlineStr">
        <is>
          <t>WL-01092</t>
        </is>
      </c>
      <c r="B93" s="37" t="inlineStr">
        <is>
          <t>Heath</t>
        </is>
      </c>
      <c r="C93" s="37" t="inlineStr">
        <is>
          <t>Ethan</t>
        </is>
      </c>
      <c r="D93" s="37" t="inlineStr">
        <is>
          <t>ACTIVE_WAITLIST</t>
        </is>
      </c>
      <c r="E93" s="37" t="n">
        <v>34.6</v>
      </c>
      <c r="F93" s="37" t="n">
        <v>10</v>
      </c>
    </row>
    <row r="94">
      <c r="A94" s="37" t="inlineStr">
        <is>
          <t>WL-01093</t>
        </is>
      </c>
      <c r="B94" s="37" t="inlineStr">
        <is>
          <t>Garcia</t>
        </is>
      </c>
      <c r="C94" s="37" t="inlineStr">
        <is>
          <t>John</t>
        </is>
      </c>
      <c r="D94" s="37" t="inlineStr">
        <is>
          <t>ACTIVE_WAITLIST</t>
        </is>
      </c>
      <c r="E94" s="37" t="n">
        <v>34.1</v>
      </c>
      <c r="F94" s="37" t="n">
        <v>10.1</v>
      </c>
    </row>
    <row r="95">
      <c r="A95" s="37" t="inlineStr">
        <is>
          <t>WL-01094</t>
        </is>
      </c>
      <c r="B95" s="37" t="inlineStr">
        <is>
          <t>Jenkins</t>
        </is>
      </c>
      <c r="C95" s="37" t="inlineStr">
        <is>
          <t>Denise</t>
        </is>
      </c>
      <c r="D95" s="37" t="inlineStr">
        <is>
          <t>ACTIVE_WAITLIST</t>
        </is>
      </c>
      <c r="E95" s="37" t="n">
        <v>29.4</v>
      </c>
      <c r="F95" s="37" t="n">
        <v>10.4</v>
      </c>
    </row>
    <row r="96">
      <c r="A96" s="37" t="inlineStr">
        <is>
          <t>WL-01095</t>
        </is>
      </c>
      <c r="B96" s="37" t="inlineStr">
        <is>
          <t>Hughes</t>
        </is>
      </c>
      <c r="C96" s="37" t="inlineStr">
        <is>
          <t>Emily</t>
        </is>
      </c>
      <c r="D96" s="37" t="inlineStr">
        <is>
          <t>EXPIRED</t>
        </is>
      </c>
      <c r="E96" s="37" t="n">
        <v>38.3</v>
      </c>
      <c r="F96" s="37" t="n">
        <v>12</v>
      </c>
    </row>
    <row r="97">
      <c r="A97" s="37" t="inlineStr">
        <is>
          <t>WL-01096</t>
        </is>
      </c>
      <c r="B97" s="37" t="inlineStr">
        <is>
          <t>Duarte</t>
        </is>
      </c>
      <c r="C97" s="37" t="inlineStr">
        <is>
          <t>Alexandria</t>
        </is>
      </c>
      <c r="D97" s="37" t="inlineStr">
        <is>
          <t>ACTIVE_WAITLIST</t>
        </is>
      </c>
      <c r="E97" s="37" t="n">
        <v>23.2</v>
      </c>
      <c r="F97" s="37" t="n">
        <v>7.8</v>
      </c>
    </row>
    <row r="98">
      <c r="A98" s="37" t="inlineStr">
        <is>
          <t>WL-01097</t>
        </is>
      </c>
      <c r="B98" s="37" t="inlineStr">
        <is>
          <t>Walters</t>
        </is>
      </c>
      <c r="C98" s="37" t="inlineStr">
        <is>
          <t>Alexis</t>
        </is>
      </c>
      <c r="D98" s="37" t="inlineStr">
        <is>
          <t>ACTIVE_WAITLIST</t>
        </is>
      </c>
      <c r="E98" s="37" t="n">
        <v>19.1</v>
      </c>
      <c r="F98" s="37" t="n">
        <v>6.2</v>
      </c>
    </row>
    <row r="99">
      <c r="A99" s="37" t="inlineStr">
        <is>
          <t>WL-01098</t>
        </is>
      </c>
      <c r="B99" s="37" t="inlineStr">
        <is>
          <t>Ayers</t>
        </is>
      </c>
      <c r="C99" s="37" t="inlineStr">
        <is>
          <t>Matthew</t>
        </is>
      </c>
      <c r="D99" s="37" t="inlineStr">
        <is>
          <t>RETAINER</t>
        </is>
      </c>
      <c r="E99" s="37" t="n">
        <v>43.8</v>
      </c>
      <c r="F99" s="37" t="n">
        <v>12.7</v>
      </c>
    </row>
    <row r="100">
      <c r="A100" s="37" t="inlineStr">
        <is>
          <t>WL-01099</t>
        </is>
      </c>
      <c r="B100" s="37" t="inlineStr">
        <is>
          <t>Cooper</t>
        </is>
      </c>
      <c r="C100" s="37" t="inlineStr">
        <is>
          <t>Joseph</t>
        </is>
      </c>
      <c r="D100" s="37" t="inlineStr">
        <is>
          <t>ACTIVE_WAITLIST</t>
        </is>
      </c>
      <c r="E100" s="37" t="n">
        <v>37.8</v>
      </c>
      <c r="F100" s="37" t="n">
        <v>10.8</v>
      </c>
    </row>
    <row r="101">
      <c r="A101" s="37" t="inlineStr">
        <is>
          <t>WL-01100</t>
        </is>
      </c>
      <c r="B101" s="37" t="inlineStr">
        <is>
          <t>Arnold</t>
        </is>
      </c>
      <c r="C101" s="37" t="inlineStr">
        <is>
          <t>Christopher</t>
        </is>
      </c>
      <c r="D101" s="37" t="inlineStr">
        <is>
          <t>ACTIVE_WAITLIST</t>
        </is>
      </c>
      <c r="E101" s="37" t="n">
        <v>43.6</v>
      </c>
      <c r="F101" s="37" t="n">
        <v>12.8</v>
      </c>
    </row>
    <row r="102">
      <c r="A102" s="37" t="inlineStr">
        <is>
          <t>WL-01101</t>
        </is>
      </c>
      <c r="B102" s="37" t="inlineStr">
        <is>
          <t>Strong</t>
        </is>
      </c>
      <c r="C102" s="37" t="inlineStr">
        <is>
          <t>Caitlin</t>
        </is>
      </c>
      <c r="D102" s="37" t="inlineStr">
        <is>
          <t>ACTIVE_WAITLIST</t>
        </is>
      </c>
      <c r="E102" s="37" t="n">
        <v>38.4</v>
      </c>
      <c r="F102" s="37" t="n">
        <v>11.2</v>
      </c>
    </row>
    <row r="103">
      <c r="A103" s="37" t="inlineStr">
        <is>
          <t>WL-01102</t>
        </is>
      </c>
      <c r="B103" s="37" t="inlineStr">
        <is>
          <t>Mcmahon</t>
        </is>
      </c>
      <c r="C103" s="37" t="inlineStr">
        <is>
          <t>Patrick</t>
        </is>
      </c>
      <c r="D103" s="37" t="inlineStr">
        <is>
          <t>ACTIVE_WAITLIST</t>
        </is>
      </c>
      <c r="E103" s="37" t="n">
        <v>42.5</v>
      </c>
      <c r="F103" s="37" t="n">
        <v>14.7</v>
      </c>
    </row>
    <row r="104">
      <c r="A104" s="37" t="inlineStr">
        <is>
          <t>WL-01103</t>
        </is>
      </c>
      <c r="B104" s="37" t="inlineStr">
        <is>
          <t>Phillips</t>
        </is>
      </c>
      <c r="C104" s="37" t="inlineStr">
        <is>
          <t>David</t>
        </is>
      </c>
      <c r="D104" s="37" t="inlineStr">
        <is>
          <t>ACTIVE_WAITLIST</t>
        </is>
      </c>
      <c r="E104" s="37" t="n">
        <v>33.5</v>
      </c>
      <c r="F104" s="37" t="n">
        <v>11.1</v>
      </c>
    </row>
    <row r="105">
      <c r="A105" s="37" t="inlineStr">
        <is>
          <t>WL-01104</t>
        </is>
      </c>
      <c r="B105" s="37" t="inlineStr">
        <is>
          <t>Moore</t>
        </is>
      </c>
      <c r="C105" s="37" t="inlineStr">
        <is>
          <t>Jennifer</t>
        </is>
      </c>
      <c r="D105" s="37" t="inlineStr">
        <is>
          <t>ACTIVE_WAITLIST</t>
        </is>
      </c>
      <c r="E105" s="37" t="n">
        <v>46.1</v>
      </c>
      <c r="F105" s="37" t="n">
        <v>14.7</v>
      </c>
    </row>
    <row r="106">
      <c r="A106" s="37" t="inlineStr">
        <is>
          <t>WL-01105</t>
        </is>
      </c>
      <c r="B106" s="37" t="inlineStr">
        <is>
          <t>Brock</t>
        </is>
      </c>
      <c r="C106" s="37" t="inlineStr">
        <is>
          <t>Erik</t>
        </is>
      </c>
      <c r="D106" s="37" t="inlineStr">
        <is>
          <t>ACTIVE_WAITLIST</t>
        </is>
      </c>
      <c r="E106" s="37" t="n">
        <v>36.5</v>
      </c>
      <c r="F106" s="37" t="n">
        <v>10.3</v>
      </c>
    </row>
    <row r="107">
      <c r="A107" s="37" t="inlineStr">
        <is>
          <t>WL-01106</t>
        </is>
      </c>
      <c r="B107" s="37" t="inlineStr">
        <is>
          <t>Perez</t>
        </is>
      </c>
      <c r="C107" s="37" t="inlineStr">
        <is>
          <t>Michael</t>
        </is>
      </c>
      <c r="D107" s="37" t="inlineStr">
        <is>
          <t>ACTIVE_WAITLIST</t>
        </is>
      </c>
      <c r="E107" s="37" t="n">
        <v>37.7</v>
      </c>
      <c r="F107" s="37" t="n">
        <v>12.3</v>
      </c>
    </row>
    <row r="108">
      <c r="A108" s="37" t="inlineStr">
        <is>
          <t>WL-01107</t>
        </is>
      </c>
      <c r="B108" s="37" t="inlineStr">
        <is>
          <t>Gonzalez</t>
        </is>
      </c>
      <c r="C108" s="37" t="inlineStr">
        <is>
          <t>Dean</t>
        </is>
      </c>
      <c r="D108" s="37" t="inlineStr">
        <is>
          <t>ACTIVE_WAITLIST</t>
        </is>
      </c>
      <c r="E108" s="37" t="n">
        <v>18.7</v>
      </c>
      <c r="F108" s="37" t="n">
        <v>5.6</v>
      </c>
    </row>
    <row r="109">
      <c r="A109" s="37" t="inlineStr">
        <is>
          <t>WL-01108</t>
        </is>
      </c>
      <c r="B109" s="37" t="inlineStr">
        <is>
          <t>Thomas</t>
        </is>
      </c>
      <c r="C109" s="37" t="inlineStr">
        <is>
          <t>Evelyn</t>
        </is>
      </c>
      <c r="D109" s="37" t="inlineStr">
        <is>
          <t>ACTIVE_WAITLIST</t>
        </is>
      </c>
      <c r="E109" s="37" t="n">
        <v>36.7</v>
      </c>
      <c r="F109" s="37" t="n">
        <v>10.9</v>
      </c>
    </row>
    <row r="110">
      <c r="A110" s="37" t="inlineStr">
        <is>
          <t>WL-01109</t>
        </is>
      </c>
      <c r="B110" s="37" t="inlineStr">
        <is>
          <t>Sanchez</t>
        </is>
      </c>
      <c r="C110" s="37" t="inlineStr">
        <is>
          <t>Patrick</t>
        </is>
      </c>
      <c r="D110" s="37" t="inlineStr">
        <is>
          <t>ACTIVE_WAITLIST</t>
        </is>
      </c>
      <c r="E110" s="37" t="n">
        <v>43.9</v>
      </c>
      <c r="F110" s="37" t="n">
        <v>14.5</v>
      </c>
    </row>
    <row r="111">
      <c r="A111" s="37" t="inlineStr">
        <is>
          <t>WL-01110</t>
        </is>
      </c>
      <c r="B111" s="37" t="inlineStr">
        <is>
          <t>Jones</t>
        </is>
      </c>
      <c r="C111" s="37" t="inlineStr">
        <is>
          <t>Ryan</t>
        </is>
      </c>
      <c r="D111" s="37" t="inlineStr">
        <is>
          <t>ACTIVE_WAITLIST</t>
        </is>
      </c>
      <c r="E111" s="37" t="n">
        <v>57.4</v>
      </c>
      <c r="F111" s="37" t="n">
        <v>19.7</v>
      </c>
    </row>
    <row r="112">
      <c r="A112" s="37" t="inlineStr">
        <is>
          <t>WL-01111</t>
        </is>
      </c>
      <c r="B112" s="37" t="inlineStr">
        <is>
          <t>Carey</t>
        </is>
      </c>
      <c r="C112" s="37" t="inlineStr">
        <is>
          <t>Monique</t>
        </is>
      </c>
      <c r="D112" s="37" t="inlineStr">
        <is>
          <t>ACTIVE_WAITLIST</t>
        </is>
      </c>
      <c r="E112" s="37" t="n">
        <v>20.2</v>
      </c>
      <c r="F112" s="37" t="n">
        <v>6.8</v>
      </c>
    </row>
    <row r="113">
      <c r="A113" s="37" t="inlineStr">
        <is>
          <t>WL-01112</t>
        </is>
      </c>
      <c r="B113" s="37" t="inlineStr">
        <is>
          <t>Russo</t>
        </is>
      </c>
      <c r="C113" s="37" t="inlineStr">
        <is>
          <t>Adam</t>
        </is>
      </c>
      <c r="D113" s="37" t="inlineStr">
        <is>
          <t>EXPIRED</t>
        </is>
      </c>
      <c r="E113" s="37" t="n">
        <v>58.6</v>
      </c>
      <c r="F113" s="37" t="n">
        <v>17.3</v>
      </c>
    </row>
    <row r="114">
      <c r="A114" s="37" t="inlineStr">
        <is>
          <t>WL-01113</t>
        </is>
      </c>
      <c r="B114" s="37" t="inlineStr">
        <is>
          <t>Lee</t>
        </is>
      </c>
      <c r="C114" s="37" t="inlineStr">
        <is>
          <t>Ronnie</t>
        </is>
      </c>
      <c r="D114" s="37" t="inlineStr">
        <is>
          <t>ACTIVE_WAITLIST</t>
        </is>
      </c>
      <c r="E114" s="37" t="n">
        <v>20.7</v>
      </c>
      <c r="F114" s="37" t="n">
        <v>6.5</v>
      </c>
    </row>
    <row r="115">
      <c r="A115" s="37" t="inlineStr">
        <is>
          <t>WL-01114</t>
        </is>
      </c>
      <c r="B115" s="37" t="inlineStr">
        <is>
          <t>Lambert</t>
        </is>
      </c>
      <c r="C115" s="37" t="inlineStr">
        <is>
          <t>Dustin</t>
        </is>
      </c>
      <c r="D115" s="37" t="inlineStr">
        <is>
          <t>ACTIVE_WAITLIST</t>
        </is>
      </c>
      <c r="E115" s="37" t="n">
        <v>46.5</v>
      </c>
      <c r="F115" s="37" t="n">
        <v>16.1</v>
      </c>
    </row>
    <row r="116">
      <c r="A116" s="37" t="inlineStr">
        <is>
          <t>WL-01115</t>
        </is>
      </c>
      <c r="B116" s="37" t="inlineStr">
        <is>
          <t>Hunt</t>
        </is>
      </c>
      <c r="C116" s="37" t="inlineStr">
        <is>
          <t>Nathan</t>
        </is>
      </c>
      <c r="D116" s="37" t="inlineStr">
        <is>
          <t>ACTIVE_WAITLIST</t>
        </is>
      </c>
      <c r="E116" s="37" t="n">
        <v>21.7</v>
      </c>
      <c r="F116" s="37" t="n">
        <v>7.7</v>
      </c>
    </row>
    <row r="117">
      <c r="A117" s="37" t="inlineStr">
        <is>
          <t>WL-01116</t>
        </is>
      </c>
      <c r="B117" s="37" t="inlineStr">
        <is>
          <t>Neal</t>
        </is>
      </c>
      <c r="C117" s="37" t="inlineStr">
        <is>
          <t>Sean</t>
        </is>
      </c>
      <c r="D117" s="37" t="inlineStr">
        <is>
          <t>ACTIVE_WAITLIST</t>
        </is>
      </c>
      <c r="E117" s="37" t="n">
        <v>60.9</v>
      </c>
      <c r="F117" s="37" t="n">
        <v>21.1</v>
      </c>
    </row>
    <row r="118">
      <c r="A118" s="37" t="inlineStr">
        <is>
          <t>WL-01117</t>
        </is>
      </c>
      <c r="B118" s="37" t="inlineStr">
        <is>
          <t>Taylor</t>
        </is>
      </c>
      <c r="C118" s="37" t="inlineStr">
        <is>
          <t>Sean</t>
        </is>
      </c>
      <c r="D118" s="37" t="inlineStr">
        <is>
          <t>EXPIRED</t>
        </is>
      </c>
      <c r="E118" s="37" t="n">
        <v>57.2</v>
      </c>
      <c r="F118" s="37" t="n">
        <v>16.7</v>
      </c>
    </row>
    <row r="119">
      <c r="A119" s="37" t="inlineStr">
        <is>
          <t>WL-01118</t>
        </is>
      </c>
      <c r="B119" s="37" t="inlineStr">
        <is>
          <t>Benitez</t>
        </is>
      </c>
      <c r="C119" s="37" t="inlineStr">
        <is>
          <t>Kevin</t>
        </is>
      </c>
      <c r="D119" s="37" t="inlineStr">
        <is>
          <t>RETAINER</t>
        </is>
      </c>
      <c r="E119" s="37" t="n">
        <v>56.7</v>
      </c>
      <c r="F119" s="37" t="n">
        <v>19.2</v>
      </c>
    </row>
    <row r="120">
      <c r="A120" s="37" t="inlineStr">
        <is>
          <t>WL-01119</t>
        </is>
      </c>
      <c r="B120" s="37" t="inlineStr">
        <is>
          <t>Kennedy</t>
        </is>
      </c>
      <c r="C120" s="37" t="inlineStr">
        <is>
          <t>Holly</t>
        </is>
      </c>
      <c r="D120" s="37" t="inlineStr">
        <is>
          <t>ACTIVE_WAITLIST</t>
        </is>
      </c>
      <c r="E120" s="37" t="n">
        <v>40.5</v>
      </c>
      <c r="F120" s="37" t="n">
        <v>12.2</v>
      </c>
    </row>
    <row r="121">
      <c r="A121" s="37" t="inlineStr">
        <is>
          <t>WL-01120</t>
        </is>
      </c>
      <c r="B121" s="37" t="inlineStr">
        <is>
          <t>Mitchell</t>
        </is>
      </c>
      <c r="C121" s="37" t="inlineStr">
        <is>
          <t>Amanda</t>
        </is>
      </c>
      <c r="D121" s="37" t="inlineStr">
        <is>
          <t>ACTIVE_WAITLIST</t>
        </is>
      </c>
      <c r="E121" s="37" t="n">
        <v>39.3</v>
      </c>
      <c r="F121" s="37" t="n">
        <v>13.8</v>
      </c>
    </row>
    <row r="122">
      <c r="A122" s="37" t="inlineStr">
        <is>
          <t>WL-01121</t>
        </is>
      </c>
      <c r="B122" s="37" t="inlineStr">
        <is>
          <t>Martin</t>
        </is>
      </c>
      <c r="C122" s="37" t="inlineStr">
        <is>
          <t>Jamie</t>
        </is>
      </c>
      <c r="D122" s="37" t="inlineStr">
        <is>
          <t>ACTIVE_WAITLIST</t>
        </is>
      </c>
      <c r="E122" s="37" t="n">
        <v>25.4</v>
      </c>
      <c r="F122" s="37" t="n">
        <v>8.1</v>
      </c>
    </row>
    <row r="123">
      <c r="A123" s="37" t="inlineStr">
        <is>
          <t>WL-01122</t>
        </is>
      </c>
      <c r="B123" s="37" t="inlineStr">
        <is>
          <t>Carpenter</t>
        </is>
      </c>
      <c r="C123" s="37" t="inlineStr">
        <is>
          <t>Rachel</t>
        </is>
      </c>
      <c r="D123" s="37" t="inlineStr">
        <is>
          <t>ACTIVE_WAITLIST</t>
        </is>
      </c>
      <c r="E123" s="37" t="n">
        <v>32.1</v>
      </c>
      <c r="F123" s="37" t="n">
        <v>9.800000000000001</v>
      </c>
    </row>
    <row r="124">
      <c r="A124" s="37" t="inlineStr">
        <is>
          <t>WL-01123</t>
        </is>
      </c>
      <c r="B124" s="37" t="inlineStr">
        <is>
          <t>Charles</t>
        </is>
      </c>
      <c r="C124" s="37" t="inlineStr">
        <is>
          <t>Melissa</t>
        </is>
      </c>
      <c r="D124" s="37" t="inlineStr">
        <is>
          <t>ACTIVE_WAITLIST</t>
        </is>
      </c>
      <c r="E124" s="37" t="n">
        <v>35.9</v>
      </c>
      <c r="F124" s="37" t="n">
        <v>10.8</v>
      </c>
    </row>
    <row r="125">
      <c r="A125" s="37" t="inlineStr">
        <is>
          <t>WL-01124</t>
        </is>
      </c>
      <c r="B125" s="37" t="inlineStr">
        <is>
          <t>Roach</t>
        </is>
      </c>
      <c r="C125" s="37" t="inlineStr">
        <is>
          <t>Tara</t>
        </is>
      </c>
      <c r="D125" s="37" t="inlineStr">
        <is>
          <t>ACTIVE_WAITLIST</t>
        </is>
      </c>
      <c r="E125" s="37" t="n">
        <v>42.7</v>
      </c>
      <c r="F125" s="37" t="n">
        <v>12.7</v>
      </c>
    </row>
    <row r="126">
      <c r="A126" s="37" t="inlineStr">
        <is>
          <t>WL-01125</t>
        </is>
      </c>
      <c r="B126" s="37" t="inlineStr">
        <is>
          <t>Baker</t>
        </is>
      </c>
      <c r="C126" s="37" t="inlineStr">
        <is>
          <t>Brandi</t>
        </is>
      </c>
      <c r="D126" s="37" t="inlineStr">
        <is>
          <t>ACTIVE_WAITLIST</t>
        </is>
      </c>
      <c r="E126" s="37" t="n">
        <v>37.9</v>
      </c>
      <c r="F126" s="37" t="n">
        <v>11.6</v>
      </c>
    </row>
    <row r="127">
      <c r="A127" s="37" t="inlineStr">
        <is>
          <t>WL-01126</t>
        </is>
      </c>
      <c r="B127" s="37" t="inlineStr">
        <is>
          <t>Hernandez</t>
        </is>
      </c>
      <c r="C127" s="37" t="inlineStr">
        <is>
          <t>Jo</t>
        </is>
      </c>
      <c r="D127" s="37" t="inlineStr">
        <is>
          <t>ACTIVE_WAITLIST</t>
        </is>
      </c>
      <c r="E127" s="37" t="n">
        <v>44.8</v>
      </c>
      <c r="F127" s="37" t="n">
        <v>14.5</v>
      </c>
    </row>
    <row r="128">
      <c r="A128" s="37" t="inlineStr">
        <is>
          <t>WL-01127</t>
        </is>
      </c>
      <c r="B128" s="37" t="inlineStr">
        <is>
          <t>Hawkins</t>
        </is>
      </c>
      <c r="C128" s="37" t="inlineStr">
        <is>
          <t>Thomas</t>
        </is>
      </c>
      <c r="D128" s="37" t="inlineStr">
        <is>
          <t>ACTIVE_WAITLIST</t>
        </is>
      </c>
      <c r="E128" s="37" t="n">
        <v>49.6</v>
      </c>
      <c r="F128" s="37" t="n">
        <v>16.5</v>
      </c>
    </row>
    <row r="129">
      <c r="A129" s="37" t="inlineStr">
        <is>
          <t>WL-01128</t>
        </is>
      </c>
      <c r="B129" s="37" t="inlineStr">
        <is>
          <t>Smith</t>
        </is>
      </c>
      <c r="C129" s="37" t="inlineStr">
        <is>
          <t>Angela</t>
        </is>
      </c>
      <c r="D129" s="37" t="inlineStr">
        <is>
          <t>ACTIVE_WAITLIST</t>
        </is>
      </c>
      <c r="E129" s="37" t="n">
        <v>18.9</v>
      </c>
      <c r="F129" s="37" t="n">
        <v>6</v>
      </c>
    </row>
    <row r="130">
      <c r="A130" s="37" t="inlineStr">
        <is>
          <t>WL-01129</t>
        </is>
      </c>
      <c r="B130" s="37" t="inlineStr">
        <is>
          <t>Thompson</t>
        </is>
      </c>
      <c r="C130" s="37" t="inlineStr">
        <is>
          <t>Alexander</t>
        </is>
      </c>
      <c r="D130" s="37" t="inlineStr">
        <is>
          <t>ACTIVE_WAITLIST</t>
        </is>
      </c>
      <c r="E130" s="37" t="n">
        <v>27.8</v>
      </c>
      <c r="F130" s="37" t="n">
        <v>8.300000000000001</v>
      </c>
    </row>
    <row r="131">
      <c r="A131" s="37" t="inlineStr">
        <is>
          <t>WL-01130</t>
        </is>
      </c>
      <c r="B131" s="37" t="inlineStr">
        <is>
          <t>Davis</t>
        </is>
      </c>
      <c r="C131" s="37" t="inlineStr">
        <is>
          <t>Thomas</t>
        </is>
      </c>
      <c r="D131" s="37" t="inlineStr">
        <is>
          <t>ACTIVE_WAITLIST</t>
        </is>
      </c>
      <c r="E131" s="37" t="n">
        <v>31.2</v>
      </c>
      <c r="F131" s="37" t="n">
        <v>10.1</v>
      </c>
    </row>
    <row r="132">
      <c r="A132" s="37" t="inlineStr">
        <is>
          <t>WL-01131</t>
        </is>
      </c>
      <c r="B132" s="37" t="inlineStr">
        <is>
          <t>Nelson</t>
        </is>
      </c>
      <c r="C132" s="37" t="inlineStr">
        <is>
          <t>Anne</t>
        </is>
      </c>
      <c r="D132" s="37" t="inlineStr">
        <is>
          <t>ACTIVE_WAITLIST</t>
        </is>
      </c>
      <c r="E132" s="37" t="n">
        <v>55.6</v>
      </c>
      <c r="F132" s="37" t="n">
        <v>17.5</v>
      </c>
    </row>
    <row r="133">
      <c r="A133" s="37" t="inlineStr">
        <is>
          <t>WL-01132</t>
        </is>
      </c>
      <c r="B133" s="37" t="inlineStr">
        <is>
          <t>Clark</t>
        </is>
      </c>
      <c r="C133" s="37" t="inlineStr">
        <is>
          <t>Gregory</t>
        </is>
      </c>
      <c r="D133" s="37" t="inlineStr">
        <is>
          <t>ACTIVE_WAITLIST</t>
        </is>
      </c>
      <c r="E133" s="37" t="n">
        <v>48.7</v>
      </c>
      <c r="F133" s="37" t="n">
        <v>16.3</v>
      </c>
    </row>
    <row r="134">
      <c r="A134" s="37" t="inlineStr">
        <is>
          <t>WL-01133</t>
        </is>
      </c>
      <c r="B134" s="37" t="inlineStr">
        <is>
          <t>Lewis</t>
        </is>
      </c>
      <c r="C134" s="37" t="inlineStr">
        <is>
          <t>Shelia</t>
        </is>
      </c>
      <c r="D134" s="37" t="inlineStr">
        <is>
          <t>ACTIVE_WAITLIST</t>
        </is>
      </c>
      <c r="E134" s="37" t="n">
        <v>18.5</v>
      </c>
      <c r="F134" s="37" t="n">
        <v>6.2</v>
      </c>
    </row>
    <row r="135">
      <c r="A135" s="37" t="inlineStr">
        <is>
          <t>WL-01134</t>
        </is>
      </c>
      <c r="B135" s="37" t="inlineStr">
        <is>
          <t>Martinez</t>
        </is>
      </c>
      <c r="C135" s="37" t="inlineStr">
        <is>
          <t>James</t>
        </is>
      </c>
      <c r="D135" s="37" t="inlineStr">
        <is>
          <t>ACTIVE_WAITLIST</t>
        </is>
      </c>
      <c r="E135" s="37" t="n">
        <v>31.6</v>
      </c>
      <c r="F135" s="37" t="n">
        <v>9.6</v>
      </c>
    </row>
    <row r="136">
      <c r="A136" s="37" t="inlineStr">
        <is>
          <t>WL-01135</t>
        </is>
      </c>
      <c r="B136" s="37" t="inlineStr">
        <is>
          <t>Mills</t>
        </is>
      </c>
      <c r="C136" s="37" t="inlineStr">
        <is>
          <t>Julia</t>
        </is>
      </c>
      <c r="D136" s="37" t="inlineStr">
        <is>
          <t>ACTIVE_WAITLIST</t>
        </is>
      </c>
      <c r="E136" s="37" t="n">
        <v>46.7</v>
      </c>
      <c r="F136" s="37" t="n">
        <v>14.5</v>
      </c>
    </row>
    <row r="137">
      <c r="A137" s="37" t="inlineStr">
        <is>
          <t>WL-01136</t>
        </is>
      </c>
      <c r="B137" s="37" t="inlineStr">
        <is>
          <t>Green</t>
        </is>
      </c>
      <c r="C137" s="37" t="inlineStr">
        <is>
          <t>Christina</t>
        </is>
      </c>
      <c r="D137" s="37" t="inlineStr">
        <is>
          <t>ACTIVE_WAITLIST</t>
        </is>
      </c>
      <c r="E137" s="37" t="n">
        <v>43.8</v>
      </c>
      <c r="F137" s="37" t="n">
        <v>15.5</v>
      </c>
    </row>
    <row r="138">
      <c r="A138" s="37" t="inlineStr">
        <is>
          <t>WL-01137</t>
        </is>
      </c>
      <c r="B138" s="37" t="inlineStr">
        <is>
          <t>Gross</t>
        </is>
      </c>
      <c r="C138" s="37" t="inlineStr">
        <is>
          <t>Jennifer</t>
        </is>
      </c>
      <c r="D138" s="37" t="inlineStr">
        <is>
          <t>ACTIVE_WAITLIST</t>
        </is>
      </c>
      <c r="E138" s="37" t="n">
        <v>34.3</v>
      </c>
      <c r="F138" s="37" t="n">
        <v>11.7</v>
      </c>
    </row>
    <row r="139">
      <c r="A139" s="37" t="inlineStr">
        <is>
          <t>WL-01138</t>
        </is>
      </c>
      <c r="B139" s="37" t="inlineStr">
        <is>
          <t>Brown</t>
        </is>
      </c>
      <c r="C139" s="37" t="inlineStr">
        <is>
          <t>Jamie</t>
        </is>
      </c>
      <c r="D139" s="37" t="inlineStr">
        <is>
          <t>SUSPENDED</t>
        </is>
      </c>
      <c r="E139" s="37" t="n">
        <v>44.8</v>
      </c>
      <c r="F139" s="37" t="n">
        <v>14.6</v>
      </c>
    </row>
    <row r="140">
      <c r="A140" s="37" t="inlineStr">
        <is>
          <t>WL-01139</t>
        </is>
      </c>
      <c r="B140" s="37" t="inlineStr">
        <is>
          <t>Martin</t>
        </is>
      </c>
      <c r="C140" s="37" t="inlineStr">
        <is>
          <t>Zachary</t>
        </is>
      </c>
      <c r="D140" s="37" t="inlineStr">
        <is>
          <t>ACTIVE_WAITLIST</t>
        </is>
      </c>
      <c r="E140" s="37" t="n">
        <v>50.5</v>
      </c>
      <c r="F140" s="37" t="n">
        <v>17.9</v>
      </c>
    </row>
    <row r="141">
      <c r="A141" s="37" t="inlineStr">
        <is>
          <t>WL-01140</t>
        </is>
      </c>
      <c r="B141" s="37" t="inlineStr">
        <is>
          <t>Jones</t>
        </is>
      </c>
      <c r="C141" s="37" t="inlineStr">
        <is>
          <t>Lindsey</t>
        </is>
      </c>
      <c r="D141" s="37" t="inlineStr">
        <is>
          <t>ACTIVE_WAITLIST</t>
        </is>
      </c>
      <c r="E141" s="37" t="n">
        <v>35.4</v>
      </c>
      <c r="F141" s="37" t="n">
        <v>12.4</v>
      </c>
    </row>
    <row r="142">
      <c r="A142" s="37" t="inlineStr">
        <is>
          <t>WL-01141</t>
        </is>
      </c>
      <c r="B142" s="37" t="inlineStr">
        <is>
          <t>Lewis</t>
        </is>
      </c>
      <c r="C142" s="37" t="inlineStr">
        <is>
          <t>Dylan</t>
        </is>
      </c>
      <c r="D142" s="37" t="inlineStr">
        <is>
          <t>RETAINER</t>
        </is>
      </c>
      <c r="E142" s="37" t="n">
        <v>44.7</v>
      </c>
      <c r="F142" s="37" t="n">
        <v>15.4</v>
      </c>
    </row>
    <row r="143">
      <c r="A143" s="37" t="inlineStr">
        <is>
          <t>WL-01142</t>
        </is>
      </c>
      <c r="B143" s="37" t="inlineStr">
        <is>
          <t>Mueller</t>
        </is>
      </c>
      <c r="C143" s="37" t="inlineStr">
        <is>
          <t>James</t>
        </is>
      </c>
      <c r="D143" s="37" t="inlineStr">
        <is>
          <t>ACTIVE_WAITLIST</t>
        </is>
      </c>
      <c r="E143" s="37" t="n">
        <v>36.6</v>
      </c>
      <c r="F143" s="37" t="n">
        <v>12.4</v>
      </c>
    </row>
    <row r="144">
      <c r="A144" s="37" t="inlineStr">
        <is>
          <t>WL-01143</t>
        </is>
      </c>
      <c r="B144" s="37" t="inlineStr">
        <is>
          <t>Booth</t>
        </is>
      </c>
      <c r="C144" s="37" t="inlineStr">
        <is>
          <t>Carmen</t>
        </is>
      </c>
      <c r="D144" s="37" t="inlineStr">
        <is>
          <t>ACTIVE_WAITLIST</t>
        </is>
      </c>
      <c r="E144" s="37" t="n">
        <v>39.1</v>
      </c>
      <c r="F144" s="37" t="n">
        <v>11.3</v>
      </c>
    </row>
    <row r="145">
      <c r="A145" s="37" t="inlineStr">
        <is>
          <t>WL-01144</t>
        </is>
      </c>
      <c r="B145" s="37" t="inlineStr">
        <is>
          <t>Lopez</t>
        </is>
      </c>
      <c r="C145" s="37" t="inlineStr">
        <is>
          <t>James</t>
        </is>
      </c>
      <c r="D145" s="37" t="inlineStr">
        <is>
          <t>ACTIVE_WAITLIST</t>
        </is>
      </c>
      <c r="E145" s="37" t="n">
        <v>19.6</v>
      </c>
      <c r="F145" s="37" t="n">
        <v>6.7</v>
      </c>
    </row>
    <row r="146">
      <c r="A146" s="37" t="inlineStr">
        <is>
          <t>WL-01145</t>
        </is>
      </c>
      <c r="B146" s="37" t="inlineStr">
        <is>
          <t>Weaver</t>
        </is>
      </c>
      <c r="C146" s="37" t="inlineStr">
        <is>
          <t>Francisco</t>
        </is>
      </c>
      <c r="D146" s="37" t="inlineStr">
        <is>
          <t>RETAINER</t>
        </is>
      </c>
      <c r="E146" s="37" t="n">
        <v>43.1</v>
      </c>
      <c r="F146" s="37" t="n">
        <v>14.4</v>
      </c>
    </row>
    <row r="147">
      <c r="A147" s="37" t="inlineStr">
        <is>
          <t>WL-01146</t>
        </is>
      </c>
      <c r="B147" s="37" t="inlineStr">
        <is>
          <t>English</t>
        </is>
      </c>
      <c r="C147" s="37" t="inlineStr">
        <is>
          <t>Jessica</t>
        </is>
      </c>
      <c r="D147" s="37" t="inlineStr">
        <is>
          <t>ACTIVE_WAITLIST</t>
        </is>
      </c>
      <c r="E147" s="37" t="n">
        <v>36.7</v>
      </c>
      <c r="F147" s="37" t="n">
        <v>12.4</v>
      </c>
    </row>
    <row r="148">
      <c r="A148" s="37" t="inlineStr">
        <is>
          <t>WL-01147</t>
        </is>
      </c>
      <c r="B148" s="37" t="inlineStr">
        <is>
          <t>Burnett</t>
        </is>
      </c>
      <c r="C148" s="37" t="inlineStr">
        <is>
          <t>Rachel</t>
        </is>
      </c>
      <c r="D148" s="37" t="inlineStr">
        <is>
          <t>ACTIVE_WAITLIST</t>
        </is>
      </c>
      <c r="E148" s="37" t="n">
        <v>48.7</v>
      </c>
      <c r="F148" s="37" t="n">
        <v>15.4</v>
      </c>
    </row>
    <row r="149">
      <c r="A149" s="37" t="inlineStr">
        <is>
          <t>WL-01148</t>
        </is>
      </c>
      <c r="B149" s="37" t="inlineStr">
        <is>
          <t>Wilson</t>
        </is>
      </c>
      <c r="C149" s="37" t="inlineStr">
        <is>
          <t>Shelby</t>
        </is>
      </c>
      <c r="D149" s="37" t="inlineStr">
        <is>
          <t>ACTIVE_WAITLIST</t>
        </is>
      </c>
      <c r="E149" s="37" t="n">
        <v>26.3</v>
      </c>
      <c r="F149" s="37" t="n">
        <v>8.300000000000001</v>
      </c>
    </row>
    <row r="150">
      <c r="A150" s="37" t="inlineStr">
        <is>
          <t>WL-01149</t>
        </is>
      </c>
      <c r="B150" s="37" t="inlineStr">
        <is>
          <t>Hoffman</t>
        </is>
      </c>
      <c r="C150" s="37" t="inlineStr">
        <is>
          <t>David</t>
        </is>
      </c>
      <c r="D150" s="37" t="inlineStr">
        <is>
          <t>ACTIVE_WAITLIST</t>
        </is>
      </c>
      <c r="E150" s="37" t="n">
        <v>42.6</v>
      </c>
      <c r="F150" s="37" t="n">
        <v>14.9</v>
      </c>
    </row>
    <row r="151">
      <c r="A151" s="37" t="inlineStr">
        <is>
          <t>WL-01150</t>
        </is>
      </c>
      <c r="B151" s="37" t="inlineStr">
        <is>
          <t>Freeman</t>
        </is>
      </c>
      <c r="C151" s="37" t="inlineStr">
        <is>
          <t>Angelica</t>
        </is>
      </c>
      <c r="D151" s="37" t="inlineStr">
        <is>
          <t>ACTIVE_WAITLIST</t>
        </is>
      </c>
      <c r="E151" s="37" t="n">
        <v>22.5</v>
      </c>
      <c r="F151" s="37" t="n">
        <v>7</v>
      </c>
    </row>
    <row r="152">
      <c r="A152" s="37" t="inlineStr">
        <is>
          <t>WL-01151</t>
        </is>
      </c>
      <c r="B152" s="37" t="inlineStr">
        <is>
          <t>Alvarez</t>
        </is>
      </c>
      <c r="C152" s="37" t="inlineStr">
        <is>
          <t>Tamara</t>
        </is>
      </c>
      <c r="D152" s="37" t="inlineStr">
        <is>
          <t>EXPIRED</t>
        </is>
      </c>
      <c r="E152" s="37" t="n">
        <v>18.9</v>
      </c>
      <c r="F152" s="37" t="n">
        <v>5.9</v>
      </c>
    </row>
    <row r="153">
      <c r="A153" s="37" t="inlineStr">
        <is>
          <t>WL-01152</t>
        </is>
      </c>
      <c r="B153" s="37" t="inlineStr">
        <is>
          <t>Bryant</t>
        </is>
      </c>
      <c r="C153" s="37" t="inlineStr">
        <is>
          <t>Dean</t>
        </is>
      </c>
      <c r="D153" s="37" t="inlineStr">
        <is>
          <t>ACTIVE_WAITLIST</t>
        </is>
      </c>
      <c r="E153" s="37" t="n">
        <v>59.6</v>
      </c>
      <c r="F153" s="37" t="n">
        <v>19</v>
      </c>
    </row>
    <row r="154">
      <c r="A154" s="37" t="inlineStr">
        <is>
          <t>WL-01153</t>
        </is>
      </c>
      <c r="B154" s="37" t="inlineStr">
        <is>
          <t>Martin</t>
        </is>
      </c>
      <c r="C154" s="37" t="inlineStr">
        <is>
          <t>Amanda</t>
        </is>
      </c>
      <c r="D154" s="37" t="inlineStr">
        <is>
          <t>EXPIRED</t>
        </is>
      </c>
      <c r="E154" s="37" t="n">
        <v>21.3</v>
      </c>
      <c r="F154" s="37" t="n">
        <v>7.4</v>
      </c>
    </row>
    <row r="155">
      <c r="A155" s="37" t="inlineStr">
        <is>
          <t>WL-01154</t>
        </is>
      </c>
      <c r="B155" s="37" t="inlineStr">
        <is>
          <t>Frey</t>
        </is>
      </c>
      <c r="C155" s="37" t="inlineStr">
        <is>
          <t>Jennifer</t>
        </is>
      </c>
      <c r="D155" s="37" t="inlineStr">
        <is>
          <t>RETAINER</t>
        </is>
      </c>
      <c r="E155" s="37" t="n">
        <v>47.3</v>
      </c>
      <c r="F155" s="37" t="n">
        <v>14.8</v>
      </c>
    </row>
    <row r="156">
      <c r="A156" s="37" t="inlineStr">
        <is>
          <t>WL-01155</t>
        </is>
      </c>
      <c r="B156" s="37" t="inlineStr">
        <is>
          <t>Elliott</t>
        </is>
      </c>
      <c r="C156" s="37" t="inlineStr">
        <is>
          <t>Richard</t>
        </is>
      </c>
      <c r="D156" s="37" t="inlineStr">
        <is>
          <t>ACTIVE_WAITLIST</t>
        </is>
      </c>
      <c r="E156" s="37" t="n">
        <v>54.8</v>
      </c>
      <c r="F156" s="37" t="n">
        <v>19.3</v>
      </c>
    </row>
    <row r="157">
      <c r="A157" s="37" t="inlineStr">
        <is>
          <t>WL-01156</t>
        </is>
      </c>
      <c r="B157" s="37" t="inlineStr">
        <is>
          <t>Munoz</t>
        </is>
      </c>
      <c r="C157" s="37" t="inlineStr">
        <is>
          <t>Daniel</t>
        </is>
      </c>
      <c r="D157" s="37" t="inlineStr">
        <is>
          <t>ACTIVE_WAITLIST</t>
        </is>
      </c>
      <c r="E157" s="37" t="n">
        <v>56.5</v>
      </c>
      <c r="F157" s="37" t="n">
        <v>15.9</v>
      </c>
    </row>
    <row r="158">
      <c r="A158" s="37" t="inlineStr">
        <is>
          <t>WL-01157</t>
        </is>
      </c>
      <c r="B158" s="37" t="inlineStr">
        <is>
          <t>Moody</t>
        </is>
      </c>
      <c r="C158" s="37" t="inlineStr">
        <is>
          <t>Marc</t>
        </is>
      </c>
      <c r="D158" s="37" t="inlineStr">
        <is>
          <t>ACTIVE_WAITLIST</t>
        </is>
      </c>
      <c r="E158" s="37" t="n">
        <v>43.6</v>
      </c>
      <c r="F158" s="37" t="n">
        <v>15.5</v>
      </c>
    </row>
    <row r="159">
      <c r="A159" s="37" t="inlineStr">
        <is>
          <t>WL-01158</t>
        </is>
      </c>
      <c r="B159" s="37" t="inlineStr">
        <is>
          <t>Gutierrez</t>
        </is>
      </c>
      <c r="C159" s="37" t="inlineStr">
        <is>
          <t>Scott</t>
        </is>
      </c>
      <c r="D159" s="37" t="inlineStr">
        <is>
          <t>ACTIVE_WAITLIST</t>
        </is>
      </c>
      <c r="E159" s="37" t="n">
        <v>51.2</v>
      </c>
      <c r="F159" s="37" t="n">
        <v>16.3</v>
      </c>
    </row>
    <row r="160">
      <c r="A160" s="37" t="inlineStr">
        <is>
          <t>WL-01159</t>
        </is>
      </c>
      <c r="B160" s="37" t="inlineStr">
        <is>
          <t>Rice</t>
        </is>
      </c>
      <c r="C160" s="37" t="inlineStr">
        <is>
          <t>Jesus</t>
        </is>
      </c>
      <c r="D160" s="37" t="inlineStr">
        <is>
          <t>ACTIVE_WAITLIST</t>
        </is>
      </c>
      <c r="E160" s="37" t="n">
        <v>35.8</v>
      </c>
      <c r="F160" s="37" t="n">
        <v>12.7</v>
      </c>
    </row>
    <row r="161">
      <c r="A161" s="37" t="inlineStr">
        <is>
          <t>WL-01160</t>
        </is>
      </c>
      <c r="B161" s="37" t="inlineStr">
        <is>
          <t>Hernandez</t>
        </is>
      </c>
      <c r="C161" s="37" t="inlineStr">
        <is>
          <t>Elizabeth</t>
        </is>
      </c>
      <c r="D161" s="37" t="inlineStr">
        <is>
          <t>ACTIVE_WAITLIST</t>
        </is>
      </c>
      <c r="E161" s="37" t="n">
        <v>23.3</v>
      </c>
      <c r="F161" s="37" t="n">
        <v>6.9</v>
      </c>
    </row>
    <row r="162">
      <c r="A162" s="37" t="inlineStr">
        <is>
          <t>WL-01161</t>
        </is>
      </c>
      <c r="B162" s="37" t="inlineStr">
        <is>
          <t>Curry</t>
        </is>
      </c>
      <c r="C162" s="37" t="inlineStr">
        <is>
          <t>Steven</t>
        </is>
      </c>
      <c r="D162" s="37" t="inlineStr">
        <is>
          <t>ACTIVE_WAITLIST</t>
        </is>
      </c>
      <c r="E162" s="37" t="n">
        <v>52.9</v>
      </c>
      <c r="F162" s="37" t="n">
        <v>17.6</v>
      </c>
    </row>
    <row r="163">
      <c r="A163" s="37" t="inlineStr">
        <is>
          <t>WL-01162</t>
        </is>
      </c>
      <c r="B163" s="37" t="inlineStr">
        <is>
          <t>Marquez</t>
        </is>
      </c>
      <c r="C163" s="37" t="inlineStr">
        <is>
          <t>Tiffany</t>
        </is>
      </c>
      <c r="D163" s="37" t="inlineStr">
        <is>
          <t>ACTIVE_WAITLIST</t>
        </is>
      </c>
      <c r="E163" s="37" t="n">
        <v>49.3</v>
      </c>
      <c r="F163" s="37" t="n">
        <v>14.3</v>
      </c>
    </row>
    <row r="164">
      <c r="A164" s="37" t="inlineStr">
        <is>
          <t>WL-01163</t>
        </is>
      </c>
      <c r="B164" s="37" t="inlineStr">
        <is>
          <t>Hayes</t>
        </is>
      </c>
      <c r="C164" s="37" t="inlineStr">
        <is>
          <t>Stephanie</t>
        </is>
      </c>
      <c r="D164" s="37" t="inlineStr">
        <is>
          <t>ACTIVE_WAITLIST</t>
        </is>
      </c>
      <c r="E164" s="37" t="n">
        <v>56.4</v>
      </c>
      <c r="F164" s="37" t="n">
        <v>18.4</v>
      </c>
    </row>
    <row r="165">
      <c r="A165" s="37" t="inlineStr">
        <is>
          <t>WL-01164</t>
        </is>
      </c>
      <c r="B165" s="37" t="inlineStr">
        <is>
          <t>Anderson</t>
        </is>
      </c>
      <c r="C165" s="37" t="inlineStr">
        <is>
          <t>Adam</t>
        </is>
      </c>
      <c r="D165" s="37" t="inlineStr">
        <is>
          <t>ACTIVE_WAITLIST</t>
        </is>
      </c>
      <c r="E165" s="37" t="n">
        <v>35.1</v>
      </c>
      <c r="F165" s="37" t="n">
        <v>10.9</v>
      </c>
    </row>
    <row r="166">
      <c r="A166" s="37" t="inlineStr">
        <is>
          <t>WL-01165</t>
        </is>
      </c>
      <c r="B166" s="37" t="inlineStr">
        <is>
          <t>Smith</t>
        </is>
      </c>
      <c r="C166" s="37" t="inlineStr">
        <is>
          <t>Rebecca</t>
        </is>
      </c>
      <c r="D166" s="37" t="inlineStr">
        <is>
          <t>ACTIVE_WAITLIST</t>
        </is>
      </c>
      <c r="E166" s="37" t="n">
        <v>51.5</v>
      </c>
      <c r="F166" s="37" t="n">
        <v>14.8</v>
      </c>
    </row>
    <row r="167">
      <c r="A167" s="37" t="inlineStr">
        <is>
          <t>WL-01166</t>
        </is>
      </c>
      <c r="B167" s="37" t="inlineStr">
        <is>
          <t>Webb</t>
        </is>
      </c>
      <c r="C167" s="37" t="inlineStr">
        <is>
          <t>Steven</t>
        </is>
      </c>
      <c r="D167" s="37" t="inlineStr">
        <is>
          <t>ACTIVE_WAITLIST</t>
        </is>
      </c>
      <c r="E167" s="37" t="n">
        <v>50.1</v>
      </c>
      <c r="F167" s="37" t="n">
        <v>16.6</v>
      </c>
    </row>
    <row r="168">
      <c r="A168" s="37" t="inlineStr">
        <is>
          <t>WL-01167</t>
        </is>
      </c>
      <c r="B168" s="37" t="inlineStr">
        <is>
          <t>Graves</t>
        </is>
      </c>
      <c r="C168" s="37" t="inlineStr">
        <is>
          <t>Tammy</t>
        </is>
      </c>
      <c r="D168" s="37" t="inlineStr">
        <is>
          <t>SUSPENDED</t>
        </is>
      </c>
      <c r="E168" s="37" t="n">
        <v>18.1</v>
      </c>
      <c r="F168" s="37" t="n">
        <v>6.5</v>
      </c>
    </row>
    <row r="169">
      <c r="A169" s="37" t="inlineStr">
        <is>
          <t>WL-01168</t>
        </is>
      </c>
      <c r="B169" s="37" t="inlineStr">
        <is>
          <t>Bradford</t>
        </is>
      </c>
      <c r="C169" s="37" t="inlineStr">
        <is>
          <t>Wesley</t>
        </is>
      </c>
      <c r="D169" s="37" t="inlineStr">
        <is>
          <t>ACTIVE_WAITLIST</t>
        </is>
      </c>
      <c r="E169" s="37" t="n">
        <v>59.1</v>
      </c>
      <c r="F169" s="37" t="n">
        <v>18</v>
      </c>
    </row>
    <row r="170">
      <c r="A170" s="37" t="inlineStr">
        <is>
          <t>WL-01169</t>
        </is>
      </c>
      <c r="B170" s="37" t="inlineStr">
        <is>
          <t>Kim</t>
        </is>
      </c>
      <c r="C170" s="37" t="inlineStr">
        <is>
          <t>Cheyenne</t>
        </is>
      </c>
      <c r="D170" s="37" t="inlineStr">
        <is>
          <t>ACTIVE_WAITLIST</t>
        </is>
      </c>
      <c r="E170" s="37" t="n">
        <v>57.9</v>
      </c>
      <c r="F170" s="37" t="n">
        <v>20.2</v>
      </c>
    </row>
    <row r="171">
      <c r="A171" s="37" t="inlineStr">
        <is>
          <t>WL-01170</t>
        </is>
      </c>
      <c r="B171" s="37" t="inlineStr">
        <is>
          <t>Mccoy</t>
        </is>
      </c>
      <c r="C171" s="37" t="inlineStr">
        <is>
          <t>Shannon</t>
        </is>
      </c>
      <c r="D171" s="37" t="inlineStr">
        <is>
          <t>ACTIVE_WAITLIST</t>
        </is>
      </c>
      <c r="E171" s="37" t="n">
        <v>42.6</v>
      </c>
      <c r="F171" s="37" t="n">
        <v>15.1</v>
      </c>
    </row>
    <row r="172">
      <c r="A172" s="37" t="inlineStr">
        <is>
          <t>WL-01171</t>
        </is>
      </c>
      <c r="B172" s="37" t="inlineStr">
        <is>
          <t>Walker</t>
        </is>
      </c>
      <c r="C172" s="37" t="inlineStr">
        <is>
          <t>Brian</t>
        </is>
      </c>
      <c r="D172" s="37" t="inlineStr">
        <is>
          <t>EXPIRED</t>
        </is>
      </c>
      <c r="E172" s="37" t="n">
        <v>24</v>
      </c>
      <c r="F172" s="37" t="n">
        <v>8.1</v>
      </c>
    </row>
    <row r="173">
      <c r="A173" s="37" t="inlineStr">
        <is>
          <t>WL-01172</t>
        </is>
      </c>
      <c r="B173" s="37" t="inlineStr">
        <is>
          <t>Morgan</t>
        </is>
      </c>
      <c r="C173" s="37" t="inlineStr">
        <is>
          <t>Debra</t>
        </is>
      </c>
      <c r="D173" s="37" t="inlineStr">
        <is>
          <t>ACTIVE_WAITLIST</t>
        </is>
      </c>
      <c r="E173" s="37" t="n">
        <v>49.1</v>
      </c>
      <c r="F173" s="37" t="n">
        <v>14.3</v>
      </c>
    </row>
    <row r="174">
      <c r="A174" s="37" t="inlineStr">
        <is>
          <t>WL-01173</t>
        </is>
      </c>
      <c r="B174" s="37" t="inlineStr">
        <is>
          <t>Boyer</t>
        </is>
      </c>
      <c r="C174" s="37" t="inlineStr">
        <is>
          <t>Jason</t>
        </is>
      </c>
      <c r="D174" s="37" t="inlineStr">
        <is>
          <t>RETAINER</t>
        </is>
      </c>
      <c r="E174" s="37" t="n">
        <v>22.2</v>
      </c>
      <c r="F174" s="37" t="n">
        <v>6.7</v>
      </c>
    </row>
    <row r="175">
      <c r="A175" s="37" t="inlineStr">
        <is>
          <t>WL-01174</t>
        </is>
      </c>
      <c r="B175" s="37" t="inlineStr">
        <is>
          <t>Kim</t>
        </is>
      </c>
      <c r="C175" s="37" t="inlineStr">
        <is>
          <t>Jason</t>
        </is>
      </c>
      <c r="D175" s="37" t="inlineStr">
        <is>
          <t>ACTIVE_WAITLIST</t>
        </is>
      </c>
      <c r="E175" s="37" t="n">
        <v>38.3</v>
      </c>
      <c r="F175" s="37" t="n">
        <v>11</v>
      </c>
    </row>
    <row r="176">
      <c r="A176" s="37" t="inlineStr">
        <is>
          <t>WL-01175</t>
        </is>
      </c>
      <c r="B176" s="37" t="inlineStr">
        <is>
          <t>Rodriguez</t>
        </is>
      </c>
      <c r="C176" s="37" t="inlineStr">
        <is>
          <t>Kathy</t>
        </is>
      </c>
      <c r="D176" s="37" t="inlineStr">
        <is>
          <t>RETAINER</t>
        </is>
      </c>
      <c r="E176" s="37" t="n">
        <v>40.7</v>
      </c>
      <c r="F176" s="37" t="n">
        <v>13.2</v>
      </c>
    </row>
    <row r="177">
      <c r="A177" s="37" t="inlineStr">
        <is>
          <t>WL-01176</t>
        </is>
      </c>
      <c r="B177" s="37" t="inlineStr">
        <is>
          <t>Roberts</t>
        </is>
      </c>
      <c r="C177" s="37" t="inlineStr">
        <is>
          <t>Nathaniel</t>
        </is>
      </c>
      <c r="D177" s="37" t="inlineStr">
        <is>
          <t>EXPIRED</t>
        </is>
      </c>
      <c r="E177" s="37" t="n">
        <v>43.5</v>
      </c>
      <c r="F177" s="37" t="n">
        <v>14.3</v>
      </c>
    </row>
    <row r="178">
      <c r="A178" s="37" t="inlineStr">
        <is>
          <t>WL-01177</t>
        </is>
      </c>
      <c r="B178" s="37" t="inlineStr">
        <is>
          <t>Moore</t>
        </is>
      </c>
      <c r="C178" s="37" t="inlineStr">
        <is>
          <t>Sydney</t>
        </is>
      </c>
      <c r="D178" s="37" t="inlineStr">
        <is>
          <t>ACTIVE_WAITLIST</t>
        </is>
      </c>
      <c r="E178" s="37" t="n">
        <v>41.6</v>
      </c>
      <c r="F178" s="37" t="n">
        <v>14.3</v>
      </c>
    </row>
    <row r="179">
      <c r="A179" s="37" t="inlineStr">
        <is>
          <t>WL-01178</t>
        </is>
      </c>
      <c r="B179" s="37" t="inlineStr">
        <is>
          <t>Bryan</t>
        </is>
      </c>
      <c r="C179" s="37" t="inlineStr">
        <is>
          <t>Danny</t>
        </is>
      </c>
      <c r="D179" s="37" t="inlineStr">
        <is>
          <t>ACTIVE_WAITLIST</t>
        </is>
      </c>
      <c r="E179" s="37" t="n">
        <v>28</v>
      </c>
      <c r="F179" s="37" t="n">
        <v>8</v>
      </c>
    </row>
    <row r="180">
      <c r="A180" s="37" t="inlineStr">
        <is>
          <t>WL-01179</t>
        </is>
      </c>
      <c r="B180" s="37" t="inlineStr">
        <is>
          <t>Rollins</t>
        </is>
      </c>
      <c r="C180" s="37" t="inlineStr">
        <is>
          <t>Brian</t>
        </is>
      </c>
      <c r="D180" s="37" t="inlineStr">
        <is>
          <t>ACTIVE_WAITLIST</t>
        </is>
      </c>
      <c r="E180" s="37" t="n">
        <v>27</v>
      </c>
      <c r="F180" s="37" t="n">
        <v>9.4</v>
      </c>
    </row>
    <row r="181">
      <c r="A181" s="37" t="inlineStr">
        <is>
          <t>WL-01180</t>
        </is>
      </c>
      <c r="B181" s="37" t="inlineStr">
        <is>
          <t>Smith</t>
        </is>
      </c>
      <c r="C181" s="37" t="inlineStr">
        <is>
          <t>Rachel</t>
        </is>
      </c>
      <c r="D181" s="37" t="inlineStr">
        <is>
          <t>ACTIVE_WAITLIST</t>
        </is>
      </c>
      <c r="E181" s="37" t="n">
        <v>39.4</v>
      </c>
      <c r="F181" s="37" t="n">
        <v>12.6</v>
      </c>
    </row>
    <row r="182">
      <c r="A182" s="37" t="inlineStr">
        <is>
          <t>WL-01181</t>
        </is>
      </c>
      <c r="B182" s="37" t="inlineStr">
        <is>
          <t>Hamilton</t>
        </is>
      </c>
      <c r="C182" s="37" t="inlineStr">
        <is>
          <t>David</t>
        </is>
      </c>
      <c r="D182" s="37" t="inlineStr">
        <is>
          <t>ACTIVE_WAITLIST</t>
        </is>
      </c>
      <c r="E182" s="37" t="n">
        <v>61.3</v>
      </c>
      <c r="F182" s="37" t="n">
        <v>20.6</v>
      </c>
    </row>
    <row r="183">
      <c r="A183" s="37" t="inlineStr">
        <is>
          <t>WL-01182</t>
        </is>
      </c>
      <c r="B183" s="37" t="inlineStr">
        <is>
          <t>Castro</t>
        </is>
      </c>
      <c r="C183" s="37" t="inlineStr">
        <is>
          <t>Ashley</t>
        </is>
      </c>
      <c r="D183" s="37" t="inlineStr">
        <is>
          <t>ACTIVE_WAITLIST</t>
        </is>
      </c>
      <c r="E183" s="37" t="n">
        <v>31.4</v>
      </c>
      <c r="F183" s="37" t="n">
        <v>11</v>
      </c>
    </row>
    <row r="184">
      <c r="A184" s="37" t="inlineStr">
        <is>
          <t>WL-01183</t>
        </is>
      </c>
      <c r="B184" s="37" t="inlineStr">
        <is>
          <t>Tucker</t>
        </is>
      </c>
      <c r="C184" s="37" t="inlineStr">
        <is>
          <t>Shelley</t>
        </is>
      </c>
      <c r="D184" s="37" t="inlineStr">
        <is>
          <t>ACTIVE_WAITLIST</t>
        </is>
      </c>
      <c r="E184" s="37" t="n">
        <v>19.3</v>
      </c>
      <c r="F184" s="37" t="n">
        <v>6.6</v>
      </c>
    </row>
    <row r="185">
      <c r="A185" s="37" t="inlineStr">
        <is>
          <t>WL-01184</t>
        </is>
      </c>
      <c r="B185" s="37" t="inlineStr">
        <is>
          <t>Harvey</t>
        </is>
      </c>
      <c r="C185" s="37" t="inlineStr">
        <is>
          <t>Anita</t>
        </is>
      </c>
      <c r="D185" s="37" t="inlineStr">
        <is>
          <t>ACTIVE_WAITLIST</t>
        </is>
      </c>
      <c r="E185" s="37" t="n">
        <v>45</v>
      </c>
      <c r="F185" s="37" t="n">
        <v>13.5</v>
      </c>
    </row>
    <row r="186">
      <c r="A186" s="37" t="inlineStr">
        <is>
          <t>WL-01185</t>
        </is>
      </c>
      <c r="B186" s="37" t="inlineStr">
        <is>
          <t>Burke</t>
        </is>
      </c>
      <c r="C186" s="37" t="inlineStr">
        <is>
          <t>Stephen</t>
        </is>
      </c>
      <c r="D186" s="37" t="inlineStr">
        <is>
          <t>ACTIVE_WAITLIST</t>
        </is>
      </c>
      <c r="E186" s="37" t="n">
        <v>25.5</v>
      </c>
      <c r="F186" s="37" t="n">
        <v>8.5</v>
      </c>
    </row>
    <row r="187">
      <c r="A187" s="37" t="inlineStr">
        <is>
          <t>WL-01186</t>
        </is>
      </c>
      <c r="B187" s="37" t="inlineStr">
        <is>
          <t>Hartman</t>
        </is>
      </c>
      <c r="C187" s="37" t="inlineStr">
        <is>
          <t>Amy</t>
        </is>
      </c>
      <c r="D187" s="37" t="inlineStr">
        <is>
          <t>ACTIVE_WAITLIST</t>
        </is>
      </c>
      <c r="E187" s="37" t="n">
        <v>39.6</v>
      </c>
      <c r="F187" s="37" t="n">
        <v>13.9</v>
      </c>
    </row>
    <row r="188">
      <c r="A188" s="37" t="inlineStr">
        <is>
          <t>WL-01187</t>
        </is>
      </c>
      <c r="B188" s="37" t="inlineStr">
        <is>
          <t>Lee</t>
        </is>
      </c>
      <c r="C188" s="37" t="inlineStr">
        <is>
          <t>James</t>
        </is>
      </c>
      <c r="D188" s="37" t="inlineStr">
        <is>
          <t>ACTIVE_WAITLIST</t>
        </is>
      </c>
      <c r="E188" s="37" t="n">
        <v>28.3</v>
      </c>
      <c r="F188" s="37" t="n">
        <v>8.199999999999999</v>
      </c>
    </row>
    <row r="189">
      <c r="A189" s="37" t="inlineStr">
        <is>
          <t>WL-01188</t>
        </is>
      </c>
      <c r="B189" s="37" t="inlineStr">
        <is>
          <t>Brown</t>
        </is>
      </c>
      <c r="C189" s="37" t="inlineStr">
        <is>
          <t>Dawn</t>
        </is>
      </c>
      <c r="D189" s="37" t="inlineStr">
        <is>
          <t>ACTIVE_WAITLIST</t>
        </is>
      </c>
      <c r="E189" s="37" t="n">
        <v>36.5</v>
      </c>
      <c r="F189" s="37" t="n">
        <v>11.2</v>
      </c>
    </row>
    <row r="190">
      <c r="A190" s="37" t="inlineStr">
        <is>
          <t>WL-01189</t>
        </is>
      </c>
      <c r="B190" s="37" t="inlineStr">
        <is>
          <t>Rodriguez</t>
        </is>
      </c>
      <c r="C190" s="37" t="inlineStr">
        <is>
          <t>Sarah</t>
        </is>
      </c>
      <c r="D190" s="37" t="inlineStr">
        <is>
          <t>ACTIVE_WAITLIST</t>
        </is>
      </c>
      <c r="E190" s="37" t="n">
        <v>23</v>
      </c>
      <c r="F190" s="37" t="n">
        <v>6.9</v>
      </c>
    </row>
    <row r="191">
      <c r="A191" s="37" t="inlineStr">
        <is>
          <t>WL-01190</t>
        </is>
      </c>
      <c r="B191" s="37" t="inlineStr">
        <is>
          <t>Cortez</t>
        </is>
      </c>
      <c r="C191" s="37" t="inlineStr">
        <is>
          <t>James</t>
        </is>
      </c>
      <c r="D191" s="37" t="inlineStr">
        <is>
          <t>ACTIVE_WAITLIST</t>
        </is>
      </c>
      <c r="E191" s="37" t="n">
        <v>20.1</v>
      </c>
      <c r="F191" s="37" t="n">
        <v>6.2</v>
      </c>
    </row>
    <row r="192">
      <c r="A192" s="37" t="inlineStr">
        <is>
          <t>WL-01191</t>
        </is>
      </c>
      <c r="B192" s="37" t="inlineStr">
        <is>
          <t>Page</t>
        </is>
      </c>
      <c r="C192" s="37" t="inlineStr">
        <is>
          <t>Dale</t>
        </is>
      </c>
      <c r="D192" s="37" t="inlineStr">
        <is>
          <t>ACTIVE_WAITLIST</t>
        </is>
      </c>
      <c r="E192" s="37" t="n">
        <v>26.2</v>
      </c>
      <c r="F192" s="37" t="n">
        <v>9.199999999999999</v>
      </c>
    </row>
    <row r="193">
      <c r="A193" s="37" t="inlineStr">
        <is>
          <t>WL-01192</t>
        </is>
      </c>
      <c r="B193" s="37" t="inlineStr">
        <is>
          <t>Alvarado</t>
        </is>
      </c>
      <c r="C193" s="37" t="inlineStr">
        <is>
          <t>Richard</t>
        </is>
      </c>
      <c r="D193" s="37" t="inlineStr">
        <is>
          <t>ACTIVE_WAITLIST</t>
        </is>
      </c>
      <c r="E193" s="37" t="n">
        <v>21</v>
      </c>
      <c r="F193" s="37" t="n">
        <v>7.2</v>
      </c>
    </row>
    <row r="194">
      <c r="A194" s="37" t="inlineStr">
        <is>
          <t>WL-01193</t>
        </is>
      </c>
      <c r="B194" s="37" t="inlineStr">
        <is>
          <t>Medina</t>
        </is>
      </c>
      <c r="C194" s="37" t="inlineStr">
        <is>
          <t>Mindy</t>
        </is>
      </c>
      <c r="D194" s="37" t="inlineStr">
        <is>
          <t>ACTIVE_WAITLIST</t>
        </is>
      </c>
      <c r="E194" s="37" t="n">
        <v>20.2</v>
      </c>
      <c r="F194" s="37" t="n">
        <v>5.8</v>
      </c>
    </row>
    <row r="195">
      <c r="A195" s="37" t="inlineStr">
        <is>
          <t>WL-01194</t>
        </is>
      </c>
      <c r="B195" s="37" t="inlineStr">
        <is>
          <t>Munoz</t>
        </is>
      </c>
      <c r="C195" s="37" t="inlineStr">
        <is>
          <t>Kathryn</t>
        </is>
      </c>
      <c r="D195" s="37" t="inlineStr">
        <is>
          <t>ACTIVE_WAITLIST</t>
        </is>
      </c>
      <c r="E195" s="37" t="n">
        <v>26.9</v>
      </c>
      <c r="F195" s="37" t="n">
        <v>7.9</v>
      </c>
    </row>
    <row r="196">
      <c r="A196" s="37" t="inlineStr">
        <is>
          <t>WL-01195</t>
        </is>
      </c>
      <c r="B196" s="37" t="inlineStr">
        <is>
          <t>Cannon</t>
        </is>
      </c>
      <c r="C196" s="37" t="inlineStr">
        <is>
          <t>Scott</t>
        </is>
      </c>
      <c r="D196" s="37" t="inlineStr">
        <is>
          <t>ACTIVE_WAITLIST</t>
        </is>
      </c>
      <c r="E196" s="37" t="n">
        <v>27.2</v>
      </c>
      <c r="F196" s="37" t="n">
        <v>9.4</v>
      </c>
    </row>
    <row r="197">
      <c r="A197" s="37" t="inlineStr">
        <is>
          <t>WL-01196</t>
        </is>
      </c>
      <c r="B197" s="37" t="inlineStr">
        <is>
          <t>Montgomery</t>
        </is>
      </c>
      <c r="C197" s="37" t="inlineStr">
        <is>
          <t>Valerie</t>
        </is>
      </c>
      <c r="D197" s="37" t="inlineStr">
        <is>
          <t>ACTIVE_WAITLIST</t>
        </is>
      </c>
      <c r="E197" s="37" t="n">
        <v>53</v>
      </c>
      <c r="F197" s="37" t="n">
        <v>17.5</v>
      </c>
    </row>
    <row r="198">
      <c r="A198" s="37" t="inlineStr">
        <is>
          <t>WL-01197</t>
        </is>
      </c>
      <c r="B198" s="37" t="inlineStr">
        <is>
          <t>Reid</t>
        </is>
      </c>
      <c r="C198" s="37" t="inlineStr">
        <is>
          <t>Melissa</t>
        </is>
      </c>
      <c r="D198" s="37" t="inlineStr">
        <is>
          <t>ACTIVE_WAITLIST</t>
        </is>
      </c>
      <c r="E198" s="37" t="n">
        <v>54.7</v>
      </c>
      <c r="F198" s="37" t="n">
        <v>19.1</v>
      </c>
    </row>
    <row r="199">
      <c r="A199" s="37" t="inlineStr">
        <is>
          <t>WL-01198</t>
        </is>
      </c>
      <c r="B199" s="37" t="inlineStr">
        <is>
          <t>Anderson</t>
        </is>
      </c>
      <c r="C199" s="37" t="inlineStr">
        <is>
          <t>Sara</t>
        </is>
      </c>
      <c r="D199" s="37" t="inlineStr">
        <is>
          <t>RETAINER</t>
        </is>
      </c>
      <c r="E199" s="37" t="n">
        <v>31</v>
      </c>
      <c r="F199" s="37" t="n">
        <v>10.1</v>
      </c>
    </row>
    <row r="200">
      <c r="A200" s="37" t="inlineStr">
        <is>
          <t>WL-01199</t>
        </is>
      </c>
      <c r="B200" s="37" t="inlineStr">
        <is>
          <t>Brown</t>
        </is>
      </c>
      <c r="C200" s="37" t="inlineStr">
        <is>
          <t>Ruben</t>
        </is>
      </c>
      <c r="D200" s="37" t="inlineStr">
        <is>
          <t>ACTIVE_WAITLIST</t>
        </is>
      </c>
      <c r="E200" s="37" t="n">
        <v>57.3</v>
      </c>
      <c r="F200" s="37" t="n">
        <v>16.2</v>
      </c>
    </row>
    <row r="201">
      <c r="A201" s="37" t="inlineStr">
        <is>
          <t>WL-01200</t>
        </is>
      </c>
      <c r="B201" s="37" t="inlineStr">
        <is>
          <t>Wilson</t>
        </is>
      </c>
      <c r="C201" s="37" t="inlineStr">
        <is>
          <t>Emily</t>
        </is>
      </c>
      <c r="D201" s="37" t="inlineStr">
        <is>
          <t>ACTIVE_WAITLIST</t>
        </is>
      </c>
      <c r="E201" s="37" t="n">
        <v>41.2</v>
      </c>
      <c r="F201" s="37" t="n">
        <v>11.9</v>
      </c>
    </row>
    <row r="202">
      <c r="A202" s="37" t="inlineStr">
        <is>
          <t>WL-01201</t>
        </is>
      </c>
      <c r="B202" s="37" t="inlineStr">
        <is>
          <t>Brown</t>
        </is>
      </c>
      <c r="C202" s="37" t="inlineStr">
        <is>
          <t>Gregory</t>
        </is>
      </c>
      <c r="D202" s="37" t="inlineStr">
        <is>
          <t>RETAINER</t>
        </is>
      </c>
      <c r="E202" s="37" t="n">
        <v>41.5</v>
      </c>
      <c r="F202" s="37" t="n">
        <v>11.9</v>
      </c>
    </row>
    <row r="203">
      <c r="A203" s="37" t="inlineStr">
        <is>
          <t>WL-01202</t>
        </is>
      </c>
      <c r="B203" s="37" t="inlineStr">
        <is>
          <t>Benson</t>
        </is>
      </c>
      <c r="C203" s="37" t="inlineStr">
        <is>
          <t>Kevin</t>
        </is>
      </c>
      <c r="D203" s="37" t="inlineStr">
        <is>
          <t>ACTIVE_WAITLIST</t>
        </is>
      </c>
      <c r="E203" s="37" t="n">
        <v>44</v>
      </c>
      <c r="F203" s="37" t="n">
        <v>15.2</v>
      </c>
    </row>
    <row r="204">
      <c r="A204" s="37" t="inlineStr">
        <is>
          <t>WL-01203</t>
        </is>
      </c>
      <c r="B204" s="37" t="inlineStr">
        <is>
          <t>Conrad</t>
        </is>
      </c>
      <c r="C204" s="37" t="inlineStr">
        <is>
          <t>Tracy</t>
        </is>
      </c>
      <c r="D204" s="37" t="inlineStr">
        <is>
          <t>ACTIVE_WAITLIST</t>
        </is>
      </c>
      <c r="E204" s="37" t="n">
        <v>22.1</v>
      </c>
      <c r="F204" s="37" t="n">
        <v>6.3</v>
      </c>
    </row>
    <row r="205">
      <c r="A205" s="37" t="inlineStr">
        <is>
          <t>WL-01204</t>
        </is>
      </c>
      <c r="B205" s="37" t="inlineStr">
        <is>
          <t>Williams</t>
        </is>
      </c>
      <c r="C205" s="37" t="inlineStr">
        <is>
          <t>David</t>
        </is>
      </c>
      <c r="D205" s="37" t="inlineStr">
        <is>
          <t>ACTIVE_WAITLIST</t>
        </is>
      </c>
      <c r="E205" s="37" t="n">
        <v>46.6</v>
      </c>
      <c r="F205" s="37" t="n">
        <v>15.5</v>
      </c>
    </row>
    <row r="206">
      <c r="A206" s="37" t="inlineStr">
        <is>
          <t>WL-01205</t>
        </is>
      </c>
      <c r="B206" s="37" t="inlineStr">
        <is>
          <t>Osborne</t>
        </is>
      </c>
      <c r="C206" s="37" t="inlineStr">
        <is>
          <t>Brian</t>
        </is>
      </c>
      <c r="D206" s="37" t="inlineStr">
        <is>
          <t>ACTIVE_WAITLIST</t>
        </is>
      </c>
      <c r="E206" s="37" t="n">
        <v>31.1</v>
      </c>
      <c r="F206" s="37" t="n">
        <v>11</v>
      </c>
    </row>
    <row r="207">
      <c r="A207" s="37" t="inlineStr">
        <is>
          <t>WL-01206</t>
        </is>
      </c>
      <c r="B207" s="37" t="inlineStr">
        <is>
          <t>Taylor</t>
        </is>
      </c>
      <c r="C207" s="37" t="inlineStr">
        <is>
          <t>Cynthia</t>
        </is>
      </c>
      <c r="D207" s="37" t="inlineStr">
        <is>
          <t>ACTIVE_WAITLIST</t>
        </is>
      </c>
      <c r="E207" s="37" t="n">
        <v>41.9</v>
      </c>
      <c r="F207" s="37" t="n">
        <v>14.8</v>
      </c>
    </row>
    <row r="208">
      <c r="A208" s="37" t="inlineStr">
        <is>
          <t>WL-01207</t>
        </is>
      </c>
      <c r="B208" s="37" t="inlineStr">
        <is>
          <t>Miller</t>
        </is>
      </c>
      <c r="C208" s="37" t="inlineStr">
        <is>
          <t>Chris</t>
        </is>
      </c>
      <c r="D208" s="37" t="inlineStr">
        <is>
          <t>ACTIVE_WAITLIST</t>
        </is>
      </c>
      <c r="E208" s="37" t="n">
        <v>42.9</v>
      </c>
      <c r="F208" s="37" t="n">
        <v>12.7</v>
      </c>
    </row>
    <row r="209">
      <c r="A209" s="37" t="inlineStr">
        <is>
          <t>WL-01208</t>
        </is>
      </c>
      <c r="B209" s="37" t="inlineStr">
        <is>
          <t>Lewis</t>
        </is>
      </c>
      <c r="C209" s="37" t="inlineStr">
        <is>
          <t>Nicholas</t>
        </is>
      </c>
      <c r="D209" s="37" t="inlineStr">
        <is>
          <t>ACTIVE_WAITLIST</t>
        </is>
      </c>
      <c r="E209" s="37" t="n">
        <v>19.8</v>
      </c>
      <c r="F209" s="37" t="n">
        <v>5.7</v>
      </c>
    </row>
    <row r="210">
      <c r="A210" s="37" t="inlineStr">
        <is>
          <t>WL-01209</t>
        </is>
      </c>
      <c r="B210" s="37" t="inlineStr">
        <is>
          <t>Luna</t>
        </is>
      </c>
      <c r="C210" s="37" t="inlineStr">
        <is>
          <t>Amy</t>
        </is>
      </c>
      <c r="D210" s="37" t="inlineStr">
        <is>
          <t>ACTIVE_WAITLIST</t>
        </is>
      </c>
      <c r="E210" s="37" t="n">
        <v>60</v>
      </c>
      <c r="F210" s="37" t="n">
        <v>21.2</v>
      </c>
    </row>
    <row r="211">
      <c r="A211" s="37" t="inlineStr">
        <is>
          <t>WL-01210</t>
        </is>
      </c>
      <c r="B211" s="37" t="inlineStr">
        <is>
          <t>Rhyne</t>
        </is>
      </c>
      <c r="C211" s="37" t="inlineStr">
        <is>
          <t>Kevin</t>
        </is>
      </c>
      <c r="D211" s="37" t="inlineStr">
        <is>
          <t>ACTIVE_WAITLIST</t>
        </is>
      </c>
      <c r="E211" s="37" t="n">
        <v>25.5</v>
      </c>
      <c r="F211" s="37" t="n">
        <v>7.3</v>
      </c>
    </row>
    <row r="212">
      <c r="A212" s="37" t="inlineStr">
        <is>
          <t>WL-01211</t>
        </is>
      </c>
      <c r="B212" s="37" t="inlineStr">
        <is>
          <t>Brown</t>
        </is>
      </c>
      <c r="C212" s="37" t="inlineStr">
        <is>
          <t>James</t>
        </is>
      </c>
      <c r="D212" s="37" t="inlineStr">
        <is>
          <t>ACTIVE_WAITLIST</t>
        </is>
      </c>
      <c r="E212" s="37" t="n">
        <v>18.9</v>
      </c>
      <c r="F212" s="37" t="n">
        <v>5.5</v>
      </c>
    </row>
    <row r="213">
      <c r="A213" s="37" t="inlineStr">
        <is>
          <t>WL-01212</t>
        </is>
      </c>
      <c r="B213" s="37" t="inlineStr">
        <is>
          <t>Mcfarland</t>
        </is>
      </c>
      <c r="C213" s="37" t="inlineStr">
        <is>
          <t>Beverly</t>
        </is>
      </c>
      <c r="D213" s="37" t="inlineStr">
        <is>
          <t>ACTIVE_WAITLIST</t>
        </is>
      </c>
      <c r="E213" s="37" t="n">
        <v>49.9</v>
      </c>
      <c r="F213" s="37" t="n">
        <v>17.2</v>
      </c>
    </row>
    <row r="214">
      <c r="A214" s="37" t="inlineStr">
        <is>
          <t>WL-01213</t>
        </is>
      </c>
      <c r="B214" s="37" t="inlineStr">
        <is>
          <t>Hammond</t>
        </is>
      </c>
      <c r="C214" s="37" t="inlineStr">
        <is>
          <t>Karina</t>
        </is>
      </c>
      <c r="D214" s="37" t="inlineStr">
        <is>
          <t>EXPIRED</t>
        </is>
      </c>
      <c r="E214" s="37" t="n">
        <v>34.5</v>
      </c>
      <c r="F214" s="37" t="n">
        <v>11.2</v>
      </c>
    </row>
    <row r="215">
      <c r="A215" s="37" t="inlineStr">
        <is>
          <t>WL-01214</t>
        </is>
      </c>
      <c r="B215" s="37" t="inlineStr">
        <is>
          <t>Welch</t>
        </is>
      </c>
      <c r="C215" s="37" t="inlineStr">
        <is>
          <t>Kim</t>
        </is>
      </c>
      <c r="D215" s="37" t="inlineStr">
        <is>
          <t>ACTIVE_WAITLIST</t>
        </is>
      </c>
      <c r="E215" s="37" t="n">
        <v>19.9</v>
      </c>
      <c r="F215" s="37" t="n">
        <v>5.9</v>
      </c>
    </row>
    <row r="216">
      <c r="A216" s="37" t="inlineStr">
        <is>
          <t>WL-01215</t>
        </is>
      </c>
      <c r="B216" s="37" t="inlineStr">
        <is>
          <t>Harris</t>
        </is>
      </c>
      <c r="C216" s="37" t="inlineStr">
        <is>
          <t>David</t>
        </is>
      </c>
      <c r="D216" s="37" t="inlineStr">
        <is>
          <t>ACTIVE_WAITLIST</t>
        </is>
      </c>
      <c r="E216" s="37" t="n">
        <v>27.2</v>
      </c>
      <c r="F216" s="37" t="n">
        <v>9.199999999999999</v>
      </c>
    </row>
    <row r="217">
      <c r="A217" s="37" t="inlineStr">
        <is>
          <t>WL-01216</t>
        </is>
      </c>
      <c r="B217" s="37" t="inlineStr">
        <is>
          <t>Baker</t>
        </is>
      </c>
      <c r="C217" s="37" t="inlineStr">
        <is>
          <t>Kimberly</t>
        </is>
      </c>
      <c r="D217" s="37" t="inlineStr">
        <is>
          <t>ACTIVE_WAITLIST</t>
        </is>
      </c>
      <c r="E217" s="37" t="n">
        <v>18.9</v>
      </c>
      <c r="F217" s="37" t="n">
        <v>5.3</v>
      </c>
    </row>
    <row r="218">
      <c r="A218" s="37" t="inlineStr">
        <is>
          <t>WL-01217</t>
        </is>
      </c>
      <c r="B218" s="37" t="inlineStr">
        <is>
          <t>Porter</t>
        </is>
      </c>
      <c r="C218" s="37" t="inlineStr">
        <is>
          <t>James</t>
        </is>
      </c>
      <c r="D218" s="37" t="inlineStr">
        <is>
          <t>RETAINER</t>
        </is>
      </c>
      <c r="E218" s="37" t="n">
        <v>39.5</v>
      </c>
      <c r="F218" s="37" t="n">
        <v>12.8</v>
      </c>
    </row>
    <row r="219">
      <c r="A219" s="37" t="inlineStr">
        <is>
          <t>WL-01218</t>
        </is>
      </c>
      <c r="B219" s="37" t="inlineStr">
        <is>
          <t>Valentine</t>
        </is>
      </c>
      <c r="C219" s="37" t="inlineStr">
        <is>
          <t>Logan</t>
        </is>
      </c>
      <c r="D219" s="37" t="inlineStr">
        <is>
          <t>ACTIVE_WAITLIST</t>
        </is>
      </c>
      <c r="E219" s="37" t="n">
        <v>22.4</v>
      </c>
      <c r="F219" s="37" t="n">
        <v>7.1</v>
      </c>
    </row>
    <row r="220">
      <c r="A220" s="37" t="inlineStr">
        <is>
          <t>WL-01219</t>
        </is>
      </c>
      <c r="B220" s="37" t="inlineStr">
        <is>
          <t>Oconnor</t>
        </is>
      </c>
      <c r="C220" s="37" t="inlineStr">
        <is>
          <t>Javier</t>
        </is>
      </c>
      <c r="D220" s="37" t="inlineStr">
        <is>
          <t>EXPIRED</t>
        </is>
      </c>
      <c r="E220" s="37" t="n">
        <v>31.3</v>
      </c>
      <c r="F220" s="37" t="n">
        <v>10.4</v>
      </c>
    </row>
    <row r="221">
      <c r="A221" s="37" t="inlineStr">
        <is>
          <t>WL-01220</t>
        </is>
      </c>
      <c r="B221" s="37" t="inlineStr">
        <is>
          <t>Mitchell</t>
        </is>
      </c>
      <c r="C221" s="37" t="inlineStr">
        <is>
          <t>Patrick</t>
        </is>
      </c>
      <c r="D221" s="37" t="inlineStr">
        <is>
          <t>SUSPENDED</t>
        </is>
      </c>
      <c r="E221" s="37" t="n">
        <v>54.8</v>
      </c>
      <c r="F221" s="37" t="n">
        <v>16.5</v>
      </c>
    </row>
    <row r="222">
      <c r="A222" s="37" t="inlineStr">
        <is>
          <t>WL-01221</t>
        </is>
      </c>
      <c r="B222" s="37" t="inlineStr">
        <is>
          <t>Smith</t>
        </is>
      </c>
      <c r="C222" s="37" t="inlineStr">
        <is>
          <t>Sarah</t>
        </is>
      </c>
      <c r="D222" s="37" t="inlineStr">
        <is>
          <t>ACTIVE_WAITLIST</t>
        </is>
      </c>
      <c r="E222" s="37" t="n">
        <v>54.1</v>
      </c>
      <c r="F222" s="37" t="n">
        <v>16.2</v>
      </c>
    </row>
    <row r="223">
      <c r="A223" s="37" t="inlineStr">
        <is>
          <t>WL-01222</t>
        </is>
      </c>
      <c r="B223" s="37" t="inlineStr">
        <is>
          <t>Jackson</t>
        </is>
      </c>
      <c r="C223" s="37" t="inlineStr">
        <is>
          <t>Kristie</t>
        </is>
      </c>
      <c r="D223" s="37" t="inlineStr">
        <is>
          <t>ACTIVE_WAITLIST</t>
        </is>
      </c>
      <c r="E223" s="37" t="n">
        <v>18.6</v>
      </c>
      <c r="F223" s="37" t="n">
        <v>5.7</v>
      </c>
    </row>
    <row r="224">
      <c r="A224" s="37" t="inlineStr">
        <is>
          <t>WL-01223</t>
        </is>
      </c>
      <c r="B224" s="37" t="inlineStr">
        <is>
          <t>Santos</t>
        </is>
      </c>
      <c r="C224" s="37" t="inlineStr">
        <is>
          <t>Robert</t>
        </is>
      </c>
      <c r="D224" s="37" t="inlineStr">
        <is>
          <t>SUSPENDED</t>
        </is>
      </c>
      <c r="E224" s="37" t="n">
        <v>42.3</v>
      </c>
      <c r="F224" s="37" t="n">
        <v>12.8</v>
      </c>
    </row>
    <row r="225">
      <c r="A225" s="37" t="inlineStr">
        <is>
          <t>WL-01224</t>
        </is>
      </c>
      <c r="B225" s="37" t="inlineStr">
        <is>
          <t>Crane</t>
        </is>
      </c>
      <c r="C225" s="37" t="inlineStr">
        <is>
          <t>Yolanda</t>
        </is>
      </c>
      <c r="D225" s="37" t="inlineStr">
        <is>
          <t>ACTIVE_WAITLIST</t>
        </is>
      </c>
      <c r="E225" s="37" t="n">
        <v>49.8</v>
      </c>
      <c r="F225" s="37" t="n">
        <v>15.3</v>
      </c>
    </row>
    <row r="226">
      <c r="A226" s="37" t="inlineStr">
        <is>
          <t>WL-01225</t>
        </is>
      </c>
      <c r="B226" s="37" t="inlineStr">
        <is>
          <t>Ford</t>
        </is>
      </c>
      <c r="C226" s="37" t="inlineStr">
        <is>
          <t>Kelli</t>
        </is>
      </c>
      <c r="D226" s="37" t="inlineStr">
        <is>
          <t>ACTIVE_WAITLIST</t>
        </is>
      </c>
      <c r="E226" s="37" t="n">
        <v>55.7</v>
      </c>
      <c r="F226" s="37" t="n">
        <v>17.6</v>
      </c>
    </row>
    <row r="227">
      <c r="A227" s="37" t="inlineStr">
        <is>
          <t>WL-01226</t>
        </is>
      </c>
      <c r="B227" s="37" t="inlineStr">
        <is>
          <t>Vargas</t>
        </is>
      </c>
      <c r="C227" s="37" t="inlineStr">
        <is>
          <t>Phyllis</t>
        </is>
      </c>
      <c r="D227" s="37" t="inlineStr">
        <is>
          <t>ACTIVE_WAITLIST</t>
        </is>
      </c>
      <c r="E227" s="37" t="n">
        <v>48</v>
      </c>
      <c r="F227" s="37" t="n">
        <v>14.9</v>
      </c>
    </row>
    <row r="228">
      <c r="A228" s="37" t="inlineStr">
        <is>
          <t>WL-01227</t>
        </is>
      </c>
      <c r="B228" s="37" t="inlineStr">
        <is>
          <t>Lopez</t>
        </is>
      </c>
      <c r="C228" s="37" t="inlineStr">
        <is>
          <t>Richard</t>
        </is>
      </c>
      <c r="D228" s="37" t="inlineStr">
        <is>
          <t>ACTIVE_WAITLIST</t>
        </is>
      </c>
      <c r="E228" s="37" t="n">
        <v>49.5</v>
      </c>
      <c r="F228" s="37" t="n">
        <v>16.6</v>
      </c>
    </row>
    <row r="229">
      <c r="A229" s="37" t="inlineStr">
        <is>
          <t>WL-01228</t>
        </is>
      </c>
      <c r="B229" s="37" t="inlineStr">
        <is>
          <t>Green</t>
        </is>
      </c>
      <c r="C229" s="37" t="inlineStr">
        <is>
          <t>Ashley</t>
        </is>
      </c>
      <c r="D229" s="37" t="inlineStr">
        <is>
          <t>ACTIVE_WAITLIST</t>
        </is>
      </c>
      <c r="E229" s="37" t="n">
        <v>50.7</v>
      </c>
      <c r="F229" s="37" t="n">
        <v>18</v>
      </c>
    </row>
    <row r="230">
      <c r="A230" s="37" t="inlineStr">
        <is>
          <t>WL-01229</t>
        </is>
      </c>
      <c r="B230" s="37" t="inlineStr">
        <is>
          <t>Gill</t>
        </is>
      </c>
      <c r="C230" s="37" t="inlineStr">
        <is>
          <t>Mike</t>
        </is>
      </c>
      <c r="D230" s="37" t="inlineStr">
        <is>
          <t>ACTIVE_WAITLIST</t>
        </is>
      </c>
      <c r="E230" s="37" t="n">
        <v>26.2</v>
      </c>
      <c r="F230" s="37" t="n">
        <v>7.9</v>
      </c>
    </row>
    <row r="231">
      <c r="A231" s="37" t="inlineStr">
        <is>
          <t>WL-01230</t>
        </is>
      </c>
      <c r="B231" s="37" t="inlineStr">
        <is>
          <t>Taylor</t>
        </is>
      </c>
      <c r="C231" s="37" t="inlineStr">
        <is>
          <t>Andrew</t>
        </is>
      </c>
      <c r="D231" s="37" t="inlineStr">
        <is>
          <t>RETAINER</t>
        </is>
      </c>
      <c r="E231" s="37" t="n">
        <v>33</v>
      </c>
      <c r="F231" s="37" t="n">
        <v>10</v>
      </c>
    </row>
    <row r="232">
      <c r="A232" s="37" t="inlineStr">
        <is>
          <t>WL-01231</t>
        </is>
      </c>
      <c r="B232" s="37" t="inlineStr">
        <is>
          <t>Washington</t>
        </is>
      </c>
      <c r="C232" s="37" t="inlineStr">
        <is>
          <t>Amanda</t>
        </is>
      </c>
      <c r="D232" s="37" t="inlineStr">
        <is>
          <t>EXPIRED</t>
        </is>
      </c>
      <c r="E232" s="37" t="n">
        <v>31</v>
      </c>
      <c r="F232" s="37" t="n">
        <v>9.699999999999999</v>
      </c>
    </row>
    <row r="233">
      <c r="A233" s="37" t="inlineStr">
        <is>
          <t>WL-01232</t>
        </is>
      </c>
      <c r="B233" s="37" t="inlineStr">
        <is>
          <t>Sims</t>
        </is>
      </c>
      <c r="C233" s="37" t="inlineStr">
        <is>
          <t>Christopher</t>
        </is>
      </c>
      <c r="D233" s="37" t="inlineStr">
        <is>
          <t>ACTIVE_WAITLIST</t>
        </is>
      </c>
      <c r="E233" s="37" t="n">
        <v>46.2</v>
      </c>
      <c r="F233" s="37" t="n">
        <v>15.2</v>
      </c>
    </row>
    <row r="234">
      <c r="A234" s="37" t="inlineStr">
        <is>
          <t>WL-01233</t>
        </is>
      </c>
      <c r="B234" s="37" t="inlineStr">
        <is>
          <t>Wilson</t>
        </is>
      </c>
      <c r="C234" s="37" t="inlineStr">
        <is>
          <t>William</t>
        </is>
      </c>
      <c r="D234" s="37" t="inlineStr">
        <is>
          <t>ACTIVE_WAITLIST</t>
        </is>
      </c>
      <c r="E234" s="37" t="n">
        <v>19</v>
      </c>
      <c r="F234" s="37" t="n">
        <v>5.8</v>
      </c>
    </row>
    <row r="235">
      <c r="A235" s="37" t="inlineStr">
        <is>
          <t>WL-01234</t>
        </is>
      </c>
      <c r="B235" s="37" t="inlineStr">
        <is>
          <t>Sweeney</t>
        </is>
      </c>
      <c r="C235" s="37" t="inlineStr">
        <is>
          <t>Shannon</t>
        </is>
      </c>
      <c r="D235" s="37" t="inlineStr">
        <is>
          <t>ACTIVE_WAITLIST</t>
        </is>
      </c>
      <c r="E235" s="37" t="n">
        <v>49.9</v>
      </c>
      <c r="F235" s="37" t="n">
        <v>17.8</v>
      </c>
    </row>
    <row r="236">
      <c r="A236" s="37" t="inlineStr">
        <is>
          <t>WL-01235</t>
        </is>
      </c>
      <c r="B236" s="37" t="inlineStr">
        <is>
          <t>Wilkins</t>
        </is>
      </c>
      <c r="C236" s="37" t="inlineStr">
        <is>
          <t>Stacy</t>
        </is>
      </c>
      <c r="D236" s="37" t="inlineStr">
        <is>
          <t>ACTIVE_WAITLIST</t>
        </is>
      </c>
      <c r="E236" s="37" t="n">
        <v>59.8</v>
      </c>
      <c r="F236" s="37" t="n">
        <v>18.7</v>
      </c>
    </row>
    <row r="237">
      <c r="A237" s="37" t="inlineStr">
        <is>
          <t>WL-01236</t>
        </is>
      </c>
      <c r="B237" s="37" t="inlineStr">
        <is>
          <t>Lopez</t>
        </is>
      </c>
      <c r="C237" s="37" t="inlineStr">
        <is>
          <t>Wendy</t>
        </is>
      </c>
      <c r="D237" s="37" t="inlineStr">
        <is>
          <t>RETAINER</t>
        </is>
      </c>
      <c r="E237" s="37" t="n">
        <v>27.7</v>
      </c>
      <c r="F237" s="37" t="n">
        <v>8.1</v>
      </c>
    </row>
    <row r="238">
      <c r="A238" s="37" t="inlineStr">
        <is>
          <t>WL-01237</t>
        </is>
      </c>
      <c r="B238" s="37" t="inlineStr">
        <is>
          <t>Nguyen</t>
        </is>
      </c>
      <c r="C238" s="37" t="inlineStr">
        <is>
          <t>April</t>
        </is>
      </c>
      <c r="D238" s="37" t="inlineStr">
        <is>
          <t>ACTIVE_WAITLIST</t>
        </is>
      </c>
      <c r="E238" s="37" t="n">
        <v>25.9</v>
      </c>
      <c r="F238" s="37" t="n">
        <v>8.699999999999999</v>
      </c>
    </row>
    <row r="239">
      <c r="A239" s="37" t="inlineStr">
        <is>
          <t>WL-01238</t>
        </is>
      </c>
      <c r="B239" s="37" t="inlineStr">
        <is>
          <t>Hernandez</t>
        </is>
      </c>
      <c r="C239" s="37" t="inlineStr">
        <is>
          <t>Linda</t>
        </is>
      </c>
      <c r="D239" s="37" t="inlineStr">
        <is>
          <t>RETAINER</t>
        </is>
      </c>
      <c r="E239" s="37" t="n">
        <v>19.1</v>
      </c>
      <c r="F239" s="37" t="n">
        <v>5.4</v>
      </c>
    </row>
    <row r="240">
      <c r="A240" s="37" t="inlineStr">
        <is>
          <t>WL-01239</t>
        </is>
      </c>
      <c r="B240" s="37" t="inlineStr">
        <is>
          <t>Cook</t>
        </is>
      </c>
      <c r="C240" s="37" t="inlineStr">
        <is>
          <t>Edward</t>
        </is>
      </c>
      <c r="D240" s="37" t="inlineStr">
        <is>
          <t>ACTIVE_WAITLIST</t>
        </is>
      </c>
      <c r="E240" s="37" t="n">
        <v>41.2</v>
      </c>
      <c r="F240" s="37" t="n">
        <v>11.9</v>
      </c>
    </row>
    <row r="241">
      <c r="A241" s="37" t="inlineStr">
        <is>
          <t>WL-01240</t>
        </is>
      </c>
      <c r="B241" s="37" t="inlineStr">
        <is>
          <t>Perkins</t>
        </is>
      </c>
      <c r="C241" s="37" t="inlineStr">
        <is>
          <t>Amber</t>
        </is>
      </c>
      <c r="D241" s="37" t="inlineStr">
        <is>
          <t>ACTIVE_WAITLIST</t>
        </is>
      </c>
      <c r="E241" s="37" t="n">
        <v>43.4</v>
      </c>
      <c r="F241" s="37" t="n">
        <v>12.2</v>
      </c>
    </row>
    <row r="242">
      <c r="A242" s="37" t="inlineStr">
        <is>
          <t>WL-01241</t>
        </is>
      </c>
      <c r="B242" s="37" t="inlineStr">
        <is>
          <t>Lewis</t>
        </is>
      </c>
      <c r="C242" s="37" t="inlineStr">
        <is>
          <t>Luis</t>
        </is>
      </c>
      <c r="D242" s="37" t="inlineStr">
        <is>
          <t>ACTIVE_WAITLIST</t>
        </is>
      </c>
      <c r="E242" s="37" t="n">
        <v>49</v>
      </c>
      <c r="F242" s="37" t="n">
        <v>17.1</v>
      </c>
    </row>
    <row r="243">
      <c r="A243" s="37" t="inlineStr">
        <is>
          <t>WL-01242</t>
        </is>
      </c>
      <c r="B243" s="37" t="inlineStr">
        <is>
          <t>Villanueva</t>
        </is>
      </c>
      <c r="C243" s="37" t="inlineStr">
        <is>
          <t>Melissa</t>
        </is>
      </c>
      <c r="D243" s="37" t="inlineStr">
        <is>
          <t>ACTIVE_WAITLIST</t>
        </is>
      </c>
      <c r="E243" s="37" t="n">
        <v>19.5</v>
      </c>
      <c r="F243" s="37" t="n">
        <v>7</v>
      </c>
    </row>
    <row r="244">
      <c r="A244" s="37" t="inlineStr">
        <is>
          <t>WL-01243</t>
        </is>
      </c>
      <c r="B244" s="37" t="inlineStr">
        <is>
          <t>Rivera</t>
        </is>
      </c>
      <c r="C244" s="37" t="inlineStr">
        <is>
          <t>Christina</t>
        </is>
      </c>
      <c r="D244" s="37" t="inlineStr">
        <is>
          <t>ACTIVE_WAITLIST</t>
        </is>
      </c>
      <c r="E244" s="37" t="n">
        <v>53.2</v>
      </c>
      <c r="F244" s="37" t="n">
        <v>17</v>
      </c>
    </row>
    <row r="245">
      <c r="A245" s="37" t="inlineStr">
        <is>
          <t>WL-01244</t>
        </is>
      </c>
      <c r="B245" s="37" t="inlineStr">
        <is>
          <t>Berry</t>
        </is>
      </c>
      <c r="C245" s="37" t="inlineStr">
        <is>
          <t>Angela</t>
        </is>
      </c>
      <c r="D245" s="37" t="inlineStr">
        <is>
          <t>ACTIVE_WAITLIST</t>
        </is>
      </c>
      <c r="E245" s="37" t="n">
        <v>34.2</v>
      </c>
      <c r="F245" s="37" t="n">
        <v>12.3</v>
      </c>
    </row>
    <row r="246">
      <c r="A246" s="37" t="inlineStr">
        <is>
          <t>WL-01245</t>
        </is>
      </c>
      <c r="B246" s="37" t="inlineStr">
        <is>
          <t>Carr</t>
        </is>
      </c>
      <c r="C246" s="37" t="inlineStr">
        <is>
          <t>Alison</t>
        </is>
      </c>
      <c r="D246" s="37" t="inlineStr">
        <is>
          <t>ACTIVE_WAITLIST</t>
        </is>
      </c>
      <c r="E246" s="37" t="n">
        <v>48.4</v>
      </c>
      <c r="F246" s="37" t="n">
        <v>14.1</v>
      </c>
    </row>
    <row r="247">
      <c r="A247" s="37" t="inlineStr">
        <is>
          <t>WL-01246</t>
        </is>
      </c>
      <c r="B247" s="37" t="inlineStr">
        <is>
          <t>Freeman</t>
        </is>
      </c>
      <c r="C247" s="37" t="inlineStr">
        <is>
          <t>Michael</t>
        </is>
      </c>
      <c r="D247" s="37" t="inlineStr">
        <is>
          <t>ACTIVE_WAITLIST</t>
        </is>
      </c>
      <c r="E247" s="37" t="n">
        <v>30.3</v>
      </c>
      <c r="F247" s="37" t="n">
        <v>10.2</v>
      </c>
    </row>
    <row r="248">
      <c r="A248" s="37" t="inlineStr">
        <is>
          <t>WL-01247</t>
        </is>
      </c>
      <c r="B248" s="37" t="inlineStr">
        <is>
          <t>Wallace</t>
        </is>
      </c>
      <c r="C248" s="37" t="inlineStr">
        <is>
          <t>Daniel</t>
        </is>
      </c>
      <c r="D248" s="37" t="inlineStr">
        <is>
          <t>ACTIVE_WAITLIST</t>
        </is>
      </c>
      <c r="E248" s="37" t="n">
        <v>27.8</v>
      </c>
      <c r="F248" s="37" t="n">
        <v>8</v>
      </c>
    </row>
    <row r="249">
      <c r="A249" s="37" t="inlineStr">
        <is>
          <t>WL-01248</t>
        </is>
      </c>
      <c r="B249" s="37" t="inlineStr">
        <is>
          <t>Gray</t>
        </is>
      </c>
      <c r="C249" s="37" t="inlineStr">
        <is>
          <t>Michael</t>
        </is>
      </c>
      <c r="D249" s="37" t="inlineStr">
        <is>
          <t>ACTIVE_WAITLIST</t>
        </is>
      </c>
      <c r="E249" s="37" t="n">
        <v>39.5</v>
      </c>
      <c r="F249" s="37" t="n">
        <v>12.5</v>
      </c>
    </row>
    <row r="250">
      <c r="A250" s="37" t="inlineStr">
        <is>
          <t>WL-01249</t>
        </is>
      </c>
      <c r="B250" s="37" t="inlineStr">
        <is>
          <t>Martinez</t>
        </is>
      </c>
      <c r="C250" s="37" t="inlineStr">
        <is>
          <t>Alan</t>
        </is>
      </c>
      <c r="D250" s="37" t="inlineStr">
        <is>
          <t>ACTIVE_WAITLIST</t>
        </is>
      </c>
      <c r="E250" s="37" t="n">
        <v>23.7</v>
      </c>
      <c r="F250" s="37" t="n">
        <v>8.300000000000001</v>
      </c>
    </row>
    <row r="251">
      <c r="A251" s="37" t="inlineStr">
        <is>
          <t>WL-01250</t>
        </is>
      </c>
      <c r="B251" s="37" t="inlineStr">
        <is>
          <t>Rodriguez</t>
        </is>
      </c>
      <c r="C251" s="37" t="inlineStr">
        <is>
          <t>Tina</t>
        </is>
      </c>
      <c r="D251" s="37" t="inlineStr">
        <is>
          <t>ACTIVE_WAITLIST</t>
        </is>
      </c>
      <c r="E251" s="37" t="n">
        <v>23.4</v>
      </c>
      <c r="F251" s="37" t="n">
        <v>8</v>
      </c>
    </row>
    <row r="252">
      <c r="A252" s="37" t="inlineStr">
        <is>
          <t>WL-01251</t>
        </is>
      </c>
      <c r="B252" s="37" t="inlineStr">
        <is>
          <t>Bates</t>
        </is>
      </c>
      <c r="C252" s="37" t="inlineStr">
        <is>
          <t>Carol</t>
        </is>
      </c>
      <c r="D252" s="37" t="inlineStr">
        <is>
          <t>RETAINER</t>
        </is>
      </c>
      <c r="E252" s="37" t="n">
        <v>37.3</v>
      </c>
      <c r="F252" s="37" t="n">
        <v>12.2</v>
      </c>
    </row>
    <row r="253">
      <c r="A253" s="37" t="inlineStr">
        <is>
          <t>WL-01252</t>
        </is>
      </c>
      <c r="B253" s="37" t="inlineStr">
        <is>
          <t>Brown</t>
        </is>
      </c>
      <c r="C253" s="37" t="inlineStr">
        <is>
          <t>Regina</t>
        </is>
      </c>
      <c r="D253" s="37" t="inlineStr">
        <is>
          <t>ACTIVE_WAITLIST</t>
        </is>
      </c>
      <c r="E253" s="37" t="n">
        <v>48.2</v>
      </c>
      <c r="F253" s="37" t="n">
        <v>15.5</v>
      </c>
    </row>
    <row r="254">
      <c r="A254" s="37" t="inlineStr">
        <is>
          <t>WL-01253</t>
        </is>
      </c>
      <c r="B254" s="37" t="inlineStr">
        <is>
          <t>Sawyer</t>
        </is>
      </c>
      <c r="C254" s="37" t="inlineStr">
        <is>
          <t>Brandon</t>
        </is>
      </c>
      <c r="D254" s="37" t="inlineStr">
        <is>
          <t>ACTIVE_WAITLIST</t>
        </is>
      </c>
      <c r="E254" s="37" t="n">
        <v>52.6</v>
      </c>
      <c r="F254" s="37" t="n">
        <v>15.4</v>
      </c>
    </row>
    <row r="255">
      <c r="A255" s="37" t="inlineStr">
        <is>
          <t>WL-01254</t>
        </is>
      </c>
      <c r="B255" s="37" t="inlineStr">
        <is>
          <t>Jones</t>
        </is>
      </c>
      <c r="C255" s="37" t="inlineStr">
        <is>
          <t>Barbara</t>
        </is>
      </c>
      <c r="D255" s="37" t="inlineStr">
        <is>
          <t>ACTIVE_WAITLIST</t>
        </is>
      </c>
      <c r="E255" s="37" t="n">
        <v>50</v>
      </c>
      <c r="F255" s="37" t="n">
        <v>17.9</v>
      </c>
    </row>
    <row r="256">
      <c r="A256" s="37" t="inlineStr">
        <is>
          <t>WL-01255</t>
        </is>
      </c>
      <c r="B256" s="37" t="inlineStr">
        <is>
          <t>Walker</t>
        </is>
      </c>
      <c r="C256" s="37" t="inlineStr">
        <is>
          <t>Dana</t>
        </is>
      </c>
      <c r="D256" s="37" t="inlineStr">
        <is>
          <t>ACTIVE_WAITLIST</t>
        </is>
      </c>
      <c r="E256" s="37" t="n">
        <v>23.6</v>
      </c>
      <c r="F256" s="37" t="n">
        <v>6.7</v>
      </c>
    </row>
    <row r="257">
      <c r="A257" s="37" t="inlineStr">
        <is>
          <t>WL-01256</t>
        </is>
      </c>
      <c r="B257" s="37" t="inlineStr">
        <is>
          <t>Glover</t>
        </is>
      </c>
      <c r="C257" s="37" t="inlineStr">
        <is>
          <t>Andrew</t>
        </is>
      </c>
      <c r="D257" s="37" t="inlineStr">
        <is>
          <t>ACTIVE_WAITLIST</t>
        </is>
      </c>
      <c r="E257" s="37" t="n">
        <v>37.7</v>
      </c>
      <c r="F257" s="37" t="n">
        <v>13.2</v>
      </c>
    </row>
    <row r="258">
      <c r="A258" s="37" t="inlineStr">
        <is>
          <t>WL-01257</t>
        </is>
      </c>
      <c r="B258" s="37" t="inlineStr">
        <is>
          <t>Parrish</t>
        </is>
      </c>
      <c r="C258" s="37" t="inlineStr">
        <is>
          <t>Steven</t>
        </is>
      </c>
      <c r="D258" s="37" t="inlineStr">
        <is>
          <t>ACTIVE_WAITLIST</t>
        </is>
      </c>
      <c r="E258" s="37" t="n">
        <v>47.3</v>
      </c>
      <c r="F258" s="37" t="n">
        <v>13.6</v>
      </c>
    </row>
    <row r="259">
      <c r="A259" s="37" t="inlineStr">
        <is>
          <t>WL-01258</t>
        </is>
      </c>
      <c r="B259" s="37" t="inlineStr">
        <is>
          <t>Lester</t>
        </is>
      </c>
      <c r="C259" s="37" t="inlineStr">
        <is>
          <t>David</t>
        </is>
      </c>
      <c r="D259" s="37" t="inlineStr">
        <is>
          <t>RETAINER</t>
        </is>
      </c>
      <c r="E259" s="37" t="n">
        <v>36.5</v>
      </c>
      <c r="F259" s="37" t="n">
        <v>11.4</v>
      </c>
    </row>
    <row r="260">
      <c r="A260" s="37" t="inlineStr">
        <is>
          <t>WL-01259</t>
        </is>
      </c>
      <c r="B260" s="37" t="inlineStr">
        <is>
          <t>Avery</t>
        </is>
      </c>
      <c r="C260" s="37" t="inlineStr">
        <is>
          <t>Sara</t>
        </is>
      </c>
      <c r="D260" s="37" t="inlineStr">
        <is>
          <t>ACTIVE_WAITLIST</t>
        </is>
      </c>
      <c r="E260" s="37" t="n">
        <v>45.1</v>
      </c>
      <c r="F260" s="37" t="n">
        <v>13.5</v>
      </c>
    </row>
    <row r="261">
      <c r="A261" s="37" t="inlineStr">
        <is>
          <t>WL-01260</t>
        </is>
      </c>
      <c r="B261" s="37" t="inlineStr">
        <is>
          <t>Thomas</t>
        </is>
      </c>
      <c r="C261" s="37" t="inlineStr">
        <is>
          <t>Dale</t>
        </is>
      </c>
      <c r="D261" s="37" t="inlineStr">
        <is>
          <t>ACTIVE_WAITLIST</t>
        </is>
      </c>
      <c r="E261" s="37" t="n">
        <v>31.3</v>
      </c>
      <c r="F261" s="37" t="n">
        <v>10.4</v>
      </c>
    </row>
    <row r="262">
      <c r="A262" s="37" t="inlineStr">
        <is>
          <t>WL-01261</t>
        </is>
      </c>
      <c r="B262" s="37" t="inlineStr">
        <is>
          <t>Rose</t>
        </is>
      </c>
      <c r="C262" s="37" t="inlineStr">
        <is>
          <t>Anita</t>
        </is>
      </c>
      <c r="D262" s="37" t="inlineStr">
        <is>
          <t>ACTIVE_WAITLIST</t>
        </is>
      </c>
      <c r="E262" s="37" t="n">
        <v>26.7</v>
      </c>
      <c r="F262" s="37" t="n">
        <v>8.300000000000001</v>
      </c>
    </row>
    <row r="263">
      <c r="A263" s="37" t="inlineStr">
        <is>
          <t>WL-01262</t>
        </is>
      </c>
      <c r="B263" s="37" t="inlineStr">
        <is>
          <t>Hopkins</t>
        </is>
      </c>
      <c r="C263" s="37" t="inlineStr">
        <is>
          <t>Samantha</t>
        </is>
      </c>
      <c r="D263" s="37" t="inlineStr">
        <is>
          <t>ACTIVE_WAITLIST</t>
        </is>
      </c>
      <c r="E263" s="37" t="n">
        <v>36.6</v>
      </c>
      <c r="F263" s="37" t="n">
        <v>11.8</v>
      </c>
    </row>
    <row r="264">
      <c r="A264" s="37" t="inlineStr">
        <is>
          <t>WL-01263</t>
        </is>
      </c>
      <c r="B264" s="37" t="inlineStr">
        <is>
          <t>Goodwin</t>
        </is>
      </c>
      <c r="C264" s="37" t="inlineStr">
        <is>
          <t>Sandra</t>
        </is>
      </c>
      <c r="D264" s="37" t="inlineStr">
        <is>
          <t>ACTIVE_WAITLIST</t>
        </is>
      </c>
      <c r="E264" s="37" t="n">
        <v>27</v>
      </c>
      <c r="F264" s="37" t="n">
        <v>7.6</v>
      </c>
    </row>
    <row r="265">
      <c r="A265" s="37" t="inlineStr">
        <is>
          <t>WL-01264</t>
        </is>
      </c>
      <c r="B265" s="37" t="inlineStr">
        <is>
          <t>Lewis</t>
        </is>
      </c>
      <c r="C265" s="37" t="inlineStr">
        <is>
          <t>Jeffery</t>
        </is>
      </c>
      <c r="D265" s="37" t="inlineStr">
        <is>
          <t>ACTIVE_WAITLIST</t>
        </is>
      </c>
      <c r="E265" s="37" t="n">
        <v>51.6</v>
      </c>
      <c r="F265" s="37" t="n">
        <v>14.9</v>
      </c>
    </row>
    <row r="266">
      <c r="A266" s="37" t="inlineStr">
        <is>
          <t>WL-01265</t>
        </is>
      </c>
      <c r="B266" s="37" t="inlineStr">
        <is>
          <t>Jones</t>
        </is>
      </c>
      <c r="C266" s="37" t="inlineStr">
        <is>
          <t>Michael</t>
        </is>
      </c>
      <c r="D266" s="37" t="inlineStr">
        <is>
          <t>ACTIVE_WAITLIST</t>
        </is>
      </c>
      <c r="E266" s="37" t="n">
        <v>51.6</v>
      </c>
      <c r="F266" s="37" t="n">
        <v>15.4</v>
      </c>
    </row>
    <row r="267">
      <c r="A267" s="37" t="inlineStr">
        <is>
          <t>WL-01266</t>
        </is>
      </c>
      <c r="B267" s="37" t="inlineStr">
        <is>
          <t>Kirby</t>
        </is>
      </c>
      <c r="C267" s="37" t="inlineStr">
        <is>
          <t>Derek</t>
        </is>
      </c>
      <c r="D267" s="37" t="inlineStr">
        <is>
          <t>ACTIVE_WAITLIST</t>
        </is>
      </c>
      <c r="E267" s="37" t="n">
        <v>61.4</v>
      </c>
      <c r="F267" s="37" t="n">
        <v>18.4</v>
      </c>
    </row>
    <row r="268">
      <c r="A268" s="37" t="inlineStr">
        <is>
          <t>WL-01267</t>
        </is>
      </c>
      <c r="B268" s="37" t="inlineStr">
        <is>
          <t>Watson</t>
        </is>
      </c>
      <c r="C268" s="37" t="inlineStr">
        <is>
          <t>Yvette</t>
        </is>
      </c>
      <c r="D268" s="37" t="inlineStr">
        <is>
          <t>ACTIVE_WAITLIST</t>
        </is>
      </c>
      <c r="E268" s="37" t="n">
        <v>22.3</v>
      </c>
      <c r="F268" s="37" t="n">
        <v>6.4</v>
      </c>
    </row>
    <row r="269">
      <c r="A269" s="37" t="inlineStr">
        <is>
          <t>WL-01268</t>
        </is>
      </c>
      <c r="B269" s="37" t="inlineStr">
        <is>
          <t>Miller</t>
        </is>
      </c>
      <c r="C269" s="37" t="inlineStr">
        <is>
          <t>Ross</t>
        </is>
      </c>
      <c r="D269" s="37" t="inlineStr">
        <is>
          <t>RETAINER</t>
        </is>
      </c>
      <c r="E269" s="37" t="n">
        <v>37.1</v>
      </c>
      <c r="F269" s="37" t="n">
        <v>11.1</v>
      </c>
    </row>
    <row r="270">
      <c r="A270" s="37" t="inlineStr">
        <is>
          <t>WL-01269</t>
        </is>
      </c>
      <c r="B270" s="37" t="inlineStr">
        <is>
          <t>Bennett</t>
        </is>
      </c>
      <c r="C270" s="37" t="inlineStr">
        <is>
          <t>Patricia</t>
        </is>
      </c>
      <c r="D270" s="37" t="inlineStr">
        <is>
          <t>EXPIRED</t>
        </is>
      </c>
      <c r="E270" s="37" t="n">
        <v>46.7</v>
      </c>
      <c r="F270" s="37" t="n">
        <v>14.3</v>
      </c>
    </row>
    <row r="271">
      <c r="A271" s="37" t="inlineStr">
        <is>
          <t>WL-01270</t>
        </is>
      </c>
      <c r="B271" s="37" t="inlineStr">
        <is>
          <t>Gonzalez</t>
        </is>
      </c>
      <c r="C271" s="37" t="inlineStr">
        <is>
          <t>Eric</t>
        </is>
      </c>
      <c r="D271" s="37" t="inlineStr">
        <is>
          <t>SUSPENDED</t>
        </is>
      </c>
      <c r="E271" s="37" t="n">
        <v>49.3</v>
      </c>
      <c r="F271" s="37" t="n">
        <v>16</v>
      </c>
    </row>
    <row r="272">
      <c r="A272" s="37" t="inlineStr">
        <is>
          <t>WL-01271</t>
        </is>
      </c>
      <c r="B272" s="37" t="inlineStr">
        <is>
          <t>Love</t>
        </is>
      </c>
      <c r="C272" s="37" t="inlineStr">
        <is>
          <t>Anthony</t>
        </is>
      </c>
      <c r="D272" s="37" t="inlineStr">
        <is>
          <t>ACTIVE_WAITLIST</t>
        </is>
      </c>
      <c r="E272" s="37" t="n">
        <v>20.4</v>
      </c>
      <c r="F272" s="37" t="n">
        <v>5.8</v>
      </c>
    </row>
    <row r="273">
      <c r="A273" s="37" t="inlineStr">
        <is>
          <t>WL-01272</t>
        </is>
      </c>
      <c r="B273" s="37" t="inlineStr">
        <is>
          <t>Dixon</t>
        </is>
      </c>
      <c r="C273" s="37" t="inlineStr">
        <is>
          <t>Christopher</t>
        </is>
      </c>
      <c r="D273" s="37" t="inlineStr">
        <is>
          <t>ACTIVE_WAITLIST</t>
        </is>
      </c>
      <c r="E273" s="37" t="n">
        <v>20.5</v>
      </c>
      <c r="F273" s="37" t="n">
        <v>6.5</v>
      </c>
    </row>
    <row r="274">
      <c r="A274" s="37" t="inlineStr">
        <is>
          <t>WL-01273</t>
        </is>
      </c>
      <c r="B274" s="37" t="inlineStr">
        <is>
          <t>Henry</t>
        </is>
      </c>
      <c r="C274" s="37" t="inlineStr">
        <is>
          <t>Eduardo</t>
        </is>
      </c>
      <c r="D274" s="37" t="inlineStr">
        <is>
          <t>ACTIVE_WAITLIST</t>
        </is>
      </c>
      <c r="E274" s="37" t="n">
        <v>58.1</v>
      </c>
      <c r="F274" s="37" t="n">
        <v>19.5</v>
      </c>
    </row>
    <row r="275">
      <c r="A275" s="37" t="inlineStr">
        <is>
          <t>WL-01274</t>
        </is>
      </c>
      <c r="B275" s="37" t="inlineStr">
        <is>
          <t>Campbell</t>
        </is>
      </c>
      <c r="C275" s="37" t="inlineStr">
        <is>
          <t>Lisa</t>
        </is>
      </c>
      <c r="D275" s="37" t="inlineStr">
        <is>
          <t>ACTIVE_WAITLIST</t>
        </is>
      </c>
      <c r="E275" s="37" t="n">
        <v>52.9</v>
      </c>
      <c r="F275" s="37" t="n">
        <v>16</v>
      </c>
    </row>
    <row r="276">
      <c r="A276" s="37" t="inlineStr">
        <is>
          <t>WL-01275</t>
        </is>
      </c>
      <c r="B276" s="37" t="inlineStr">
        <is>
          <t>Shepherd</t>
        </is>
      </c>
      <c r="C276" s="37" t="inlineStr">
        <is>
          <t>Adam</t>
        </is>
      </c>
      <c r="D276" s="37" t="inlineStr">
        <is>
          <t>ACTIVE_WAITLIST</t>
        </is>
      </c>
      <c r="E276" s="37" t="n">
        <v>19.9</v>
      </c>
      <c r="F276" s="37" t="n">
        <v>6.4</v>
      </c>
    </row>
    <row r="277">
      <c r="A277" s="37" t="inlineStr">
        <is>
          <t>WL-01276</t>
        </is>
      </c>
      <c r="B277" s="37" t="inlineStr">
        <is>
          <t>Fritz</t>
        </is>
      </c>
      <c r="C277" s="37" t="inlineStr">
        <is>
          <t>Nicole</t>
        </is>
      </c>
      <c r="D277" s="37" t="inlineStr">
        <is>
          <t>ACTIVE_WAITLIST</t>
        </is>
      </c>
      <c r="E277" s="37" t="n">
        <v>33.8</v>
      </c>
      <c r="F277" s="37" t="n">
        <v>12</v>
      </c>
    </row>
    <row r="278">
      <c r="A278" s="37" t="inlineStr">
        <is>
          <t>WL-01277</t>
        </is>
      </c>
      <c r="B278" s="37" t="inlineStr">
        <is>
          <t>Palmer</t>
        </is>
      </c>
      <c r="C278" s="37" t="inlineStr">
        <is>
          <t>Nicole</t>
        </is>
      </c>
      <c r="D278" s="37" t="inlineStr">
        <is>
          <t>ACTIVE_WAITLIST</t>
        </is>
      </c>
      <c r="E278" s="37" t="n">
        <v>54.6</v>
      </c>
      <c r="F278" s="37" t="n">
        <v>18.5</v>
      </c>
    </row>
    <row r="279">
      <c r="A279" s="37" t="inlineStr">
        <is>
          <t>WL-01278</t>
        </is>
      </c>
      <c r="B279" s="37" t="inlineStr">
        <is>
          <t>Smith</t>
        </is>
      </c>
      <c r="C279" s="37" t="inlineStr">
        <is>
          <t>John</t>
        </is>
      </c>
      <c r="D279" s="37" t="inlineStr">
        <is>
          <t>ACTIVE_WAITLIST</t>
        </is>
      </c>
      <c r="E279" s="37" t="n">
        <v>32.9</v>
      </c>
      <c r="F279" s="37" t="n">
        <v>9.800000000000001</v>
      </c>
    </row>
    <row r="280">
      <c r="A280" s="37" t="inlineStr">
        <is>
          <t>WL-01279</t>
        </is>
      </c>
      <c r="B280" s="37" t="inlineStr">
        <is>
          <t>Carr</t>
        </is>
      </c>
      <c r="C280" s="37" t="inlineStr">
        <is>
          <t>Melissa</t>
        </is>
      </c>
      <c r="D280" s="37" t="inlineStr">
        <is>
          <t>ACTIVE_WAITLIST</t>
        </is>
      </c>
      <c r="E280" s="37" t="n">
        <v>56.2</v>
      </c>
      <c r="F280" s="37" t="n">
        <v>15.9</v>
      </c>
    </row>
    <row r="281">
      <c r="A281" s="37" t="inlineStr">
        <is>
          <t>WL-01280</t>
        </is>
      </c>
      <c r="B281" s="37" t="inlineStr">
        <is>
          <t>Garcia</t>
        </is>
      </c>
      <c r="C281" s="37" t="inlineStr">
        <is>
          <t>Zachary</t>
        </is>
      </c>
      <c r="D281" s="37" t="inlineStr">
        <is>
          <t>ACTIVE_WAITLIST</t>
        </is>
      </c>
      <c r="E281" s="37" t="n">
        <v>46</v>
      </c>
      <c r="F281" s="37" t="n">
        <v>13.5</v>
      </c>
    </row>
    <row r="282">
      <c r="A282" s="37" t="inlineStr">
        <is>
          <t>WL-01281</t>
        </is>
      </c>
      <c r="B282" s="37" t="inlineStr">
        <is>
          <t>Ferguson</t>
        </is>
      </c>
      <c r="C282" s="37" t="inlineStr">
        <is>
          <t>Alexander</t>
        </is>
      </c>
      <c r="D282" s="37" t="inlineStr">
        <is>
          <t>ACTIVE_WAITLIST</t>
        </is>
      </c>
      <c r="E282" s="37" t="n">
        <v>50.7</v>
      </c>
      <c r="F282" s="37" t="n">
        <v>15.4</v>
      </c>
    </row>
    <row r="283">
      <c r="A283" s="37" t="inlineStr">
        <is>
          <t>WL-01282</t>
        </is>
      </c>
      <c r="B283" s="37" t="inlineStr">
        <is>
          <t>Miller</t>
        </is>
      </c>
      <c r="C283" s="37" t="inlineStr">
        <is>
          <t>Nancy</t>
        </is>
      </c>
      <c r="D283" s="37" t="inlineStr">
        <is>
          <t>ACTIVE_WAITLIST</t>
        </is>
      </c>
      <c r="E283" s="37" t="n">
        <v>35.1</v>
      </c>
      <c r="F283" s="37" t="n">
        <v>11.2</v>
      </c>
    </row>
    <row r="284">
      <c r="A284" s="37" t="inlineStr">
        <is>
          <t>WL-01283</t>
        </is>
      </c>
      <c r="B284" s="37" t="inlineStr">
        <is>
          <t>Gregory</t>
        </is>
      </c>
      <c r="C284" s="37" t="inlineStr">
        <is>
          <t>Jay</t>
        </is>
      </c>
      <c r="D284" s="37" t="inlineStr">
        <is>
          <t>ACTIVE_WAITLIST</t>
        </is>
      </c>
      <c r="E284" s="37" t="n">
        <v>46.6</v>
      </c>
      <c r="F284" s="37" t="n">
        <v>16.1</v>
      </c>
    </row>
    <row r="285">
      <c r="A285" s="37" t="inlineStr">
        <is>
          <t>WL-01284</t>
        </is>
      </c>
      <c r="B285" s="37" t="inlineStr">
        <is>
          <t>Wilson</t>
        </is>
      </c>
      <c r="C285" s="37" t="inlineStr">
        <is>
          <t>Gerald</t>
        </is>
      </c>
      <c r="D285" s="37" t="inlineStr">
        <is>
          <t>RETAINER</t>
        </is>
      </c>
      <c r="E285" s="37" t="n">
        <v>39.8</v>
      </c>
      <c r="F285" s="37" t="n">
        <v>12.4</v>
      </c>
    </row>
    <row r="286">
      <c r="A286" s="37" t="inlineStr">
        <is>
          <t>WL-01285</t>
        </is>
      </c>
      <c r="B286" s="37" t="inlineStr">
        <is>
          <t>Lopez</t>
        </is>
      </c>
      <c r="C286" s="37" t="inlineStr">
        <is>
          <t>Paula</t>
        </is>
      </c>
      <c r="D286" s="37" t="inlineStr">
        <is>
          <t>ACTIVE_WAITLIST</t>
        </is>
      </c>
      <c r="E286" s="37" t="n">
        <v>18.9</v>
      </c>
      <c r="F286" s="37" t="n">
        <v>5.6</v>
      </c>
    </row>
    <row r="287">
      <c r="A287" s="37" t="inlineStr">
        <is>
          <t>WL-01286</t>
        </is>
      </c>
      <c r="B287" s="37" t="inlineStr">
        <is>
          <t>Wiley</t>
        </is>
      </c>
      <c r="C287" s="37" t="inlineStr">
        <is>
          <t>Kevin</t>
        </is>
      </c>
      <c r="D287" s="37" t="inlineStr">
        <is>
          <t>ACTIVE_WAITLIST</t>
        </is>
      </c>
      <c r="E287" s="37" t="n">
        <v>35.2</v>
      </c>
      <c r="F287" s="37" t="n">
        <v>11.2</v>
      </c>
    </row>
    <row r="288">
      <c r="A288" s="37" t="inlineStr">
        <is>
          <t>WL-01287</t>
        </is>
      </c>
      <c r="B288" s="37" t="inlineStr">
        <is>
          <t>Wright</t>
        </is>
      </c>
      <c r="C288" s="37" t="inlineStr">
        <is>
          <t>Melissa</t>
        </is>
      </c>
      <c r="D288" s="37" t="inlineStr">
        <is>
          <t>ACTIVE_WAITLIST</t>
        </is>
      </c>
      <c r="E288" s="37" t="n">
        <v>44.4</v>
      </c>
      <c r="F288" s="37" t="n">
        <v>12.5</v>
      </c>
    </row>
    <row r="289">
      <c r="A289" s="37" t="inlineStr">
        <is>
          <t>WL-01288</t>
        </is>
      </c>
      <c r="B289" s="37" t="inlineStr">
        <is>
          <t>Riley</t>
        </is>
      </c>
      <c r="C289" s="37" t="inlineStr">
        <is>
          <t>Christopher</t>
        </is>
      </c>
      <c r="D289" s="37" t="inlineStr">
        <is>
          <t>RETAINER</t>
        </is>
      </c>
      <c r="E289" s="37" t="n">
        <v>34.4</v>
      </c>
      <c r="F289" s="37" t="n">
        <v>11.3</v>
      </c>
    </row>
    <row r="290">
      <c r="A290" s="37" t="inlineStr">
        <is>
          <t>WL-01289</t>
        </is>
      </c>
      <c r="B290" s="37" t="inlineStr">
        <is>
          <t>Faulkner</t>
        </is>
      </c>
      <c r="C290" s="37" t="inlineStr">
        <is>
          <t>Harry</t>
        </is>
      </c>
      <c r="D290" s="37" t="inlineStr">
        <is>
          <t>ACTIVE_WAITLIST</t>
        </is>
      </c>
      <c r="E290" s="37" t="n">
        <v>42.6</v>
      </c>
      <c r="F290" s="37" t="n">
        <v>12.2</v>
      </c>
    </row>
    <row r="291">
      <c r="A291" s="37" t="inlineStr">
        <is>
          <t>WL-01290</t>
        </is>
      </c>
      <c r="B291" s="37" t="inlineStr">
        <is>
          <t>Ball</t>
        </is>
      </c>
      <c r="C291" s="37" t="inlineStr">
        <is>
          <t>Laura</t>
        </is>
      </c>
      <c r="D291" s="37" t="inlineStr">
        <is>
          <t>ACTIVE_WAITLIST</t>
        </is>
      </c>
      <c r="E291" s="37" t="n">
        <v>27.6</v>
      </c>
      <c r="F291" s="37" t="n">
        <v>8.199999999999999</v>
      </c>
    </row>
    <row r="292">
      <c r="A292" s="37" t="inlineStr">
        <is>
          <t>WL-01291</t>
        </is>
      </c>
      <c r="B292" s="37" t="inlineStr">
        <is>
          <t>Wallace</t>
        </is>
      </c>
      <c r="C292" s="37" t="inlineStr">
        <is>
          <t>Brian</t>
        </is>
      </c>
      <c r="D292" s="37" t="inlineStr">
        <is>
          <t>ACTIVE_WAITLIST</t>
        </is>
      </c>
      <c r="E292" s="37" t="n">
        <v>52.2</v>
      </c>
      <c r="F292" s="37" t="n">
        <v>18.5</v>
      </c>
    </row>
    <row r="293">
      <c r="A293" s="37" t="inlineStr">
        <is>
          <t>WL-01292</t>
        </is>
      </c>
      <c r="B293" s="37" t="inlineStr">
        <is>
          <t>Stein</t>
        </is>
      </c>
      <c r="C293" s="37" t="inlineStr">
        <is>
          <t>Joe</t>
        </is>
      </c>
      <c r="D293" s="37" t="inlineStr">
        <is>
          <t>ACTIVE_WAITLIST</t>
        </is>
      </c>
      <c r="E293" s="37" t="n">
        <v>22.4</v>
      </c>
      <c r="F293" s="37" t="n">
        <v>6.7</v>
      </c>
    </row>
    <row r="294">
      <c r="A294" s="37" t="inlineStr">
        <is>
          <t>WL-01293</t>
        </is>
      </c>
      <c r="B294" s="37" t="inlineStr">
        <is>
          <t>Powell</t>
        </is>
      </c>
      <c r="C294" s="37" t="inlineStr">
        <is>
          <t>Pamela</t>
        </is>
      </c>
      <c r="D294" s="37" t="inlineStr">
        <is>
          <t>ACTIVE_WAITLIST</t>
        </is>
      </c>
      <c r="E294" s="37" t="n">
        <v>31.8</v>
      </c>
      <c r="F294" s="37" t="n">
        <v>9.800000000000001</v>
      </c>
    </row>
    <row r="295">
      <c r="A295" s="37" t="inlineStr">
        <is>
          <t>WL-01294</t>
        </is>
      </c>
      <c r="B295" s="37" t="inlineStr">
        <is>
          <t>Jenkins</t>
        </is>
      </c>
      <c r="C295" s="37" t="inlineStr">
        <is>
          <t>Peter</t>
        </is>
      </c>
      <c r="D295" s="37" t="inlineStr">
        <is>
          <t>ACTIVE_WAITLIST</t>
        </is>
      </c>
      <c r="E295" s="37" t="n">
        <v>48.2</v>
      </c>
      <c r="F295" s="37" t="n">
        <v>14.1</v>
      </c>
    </row>
    <row r="296">
      <c r="A296" s="37" t="inlineStr">
        <is>
          <t>WL-01295</t>
        </is>
      </c>
      <c r="B296" s="37" t="inlineStr">
        <is>
          <t>Gutierrez</t>
        </is>
      </c>
      <c r="C296" s="37" t="inlineStr">
        <is>
          <t>Philip</t>
        </is>
      </c>
      <c r="D296" s="37" t="inlineStr">
        <is>
          <t>ACTIVE_WAITLIST</t>
        </is>
      </c>
      <c r="E296" s="37" t="n">
        <v>29</v>
      </c>
      <c r="F296" s="37" t="n">
        <v>9.4</v>
      </c>
    </row>
    <row r="297">
      <c r="A297" s="37" t="inlineStr">
        <is>
          <t>WL-01296</t>
        </is>
      </c>
      <c r="B297" s="37" t="inlineStr">
        <is>
          <t>Young</t>
        </is>
      </c>
      <c r="C297" s="37" t="inlineStr">
        <is>
          <t>Gregory</t>
        </is>
      </c>
      <c r="D297" s="37" t="inlineStr">
        <is>
          <t>ACTIVE_WAITLIST</t>
        </is>
      </c>
      <c r="E297" s="37" t="n">
        <v>51</v>
      </c>
      <c r="F297" s="37" t="n">
        <v>17.6</v>
      </c>
    </row>
    <row r="298">
      <c r="A298" s="37" t="inlineStr">
        <is>
          <t>WL-01297</t>
        </is>
      </c>
      <c r="B298" s="37" t="inlineStr">
        <is>
          <t>Harris</t>
        </is>
      </c>
      <c r="C298" s="37" t="inlineStr">
        <is>
          <t>Alan</t>
        </is>
      </c>
      <c r="D298" s="37" t="inlineStr">
        <is>
          <t>ACTIVE_WAITLIST</t>
        </is>
      </c>
      <c r="E298" s="37" t="n">
        <v>44</v>
      </c>
      <c r="F298" s="37" t="n">
        <v>14.1</v>
      </c>
    </row>
    <row r="299">
      <c r="A299" s="37" t="inlineStr">
        <is>
          <t>WL-01298</t>
        </is>
      </c>
      <c r="B299" s="37" t="inlineStr">
        <is>
          <t>Boyd</t>
        </is>
      </c>
      <c r="C299" s="37" t="inlineStr">
        <is>
          <t>Jason</t>
        </is>
      </c>
      <c r="D299" s="37" t="inlineStr">
        <is>
          <t>ACTIVE_WAITLIST</t>
        </is>
      </c>
      <c r="E299" s="37" t="n">
        <v>19.2</v>
      </c>
      <c r="F299" s="37" t="n">
        <v>6.1</v>
      </c>
    </row>
    <row r="300">
      <c r="A300" s="37" t="inlineStr">
        <is>
          <t>WL-01299</t>
        </is>
      </c>
      <c r="B300" s="37" t="inlineStr">
        <is>
          <t>Andrews</t>
        </is>
      </c>
      <c r="C300" s="37" t="inlineStr">
        <is>
          <t>Wayne</t>
        </is>
      </c>
      <c r="D300" s="37" t="inlineStr">
        <is>
          <t>ACTIVE_WAITLIST</t>
        </is>
      </c>
      <c r="E300" s="37" t="n">
        <v>55.9</v>
      </c>
      <c r="F300" s="37" t="n">
        <v>20.1</v>
      </c>
    </row>
    <row r="301">
      <c r="A301" s="37" t="inlineStr">
        <is>
          <t>WL-01300</t>
        </is>
      </c>
      <c r="B301" s="37" t="inlineStr">
        <is>
          <t>Johnson</t>
        </is>
      </c>
      <c r="C301" s="37" t="inlineStr">
        <is>
          <t>Clinton</t>
        </is>
      </c>
      <c r="D301" s="37" t="inlineStr">
        <is>
          <t>ACTIVE_WAITLIST</t>
        </is>
      </c>
      <c r="E301" s="37" t="n">
        <v>45.5</v>
      </c>
      <c r="F301" s="37" t="n">
        <v>15.8</v>
      </c>
    </row>
    <row r="302">
      <c r="A302" s="37" t="inlineStr">
        <is>
          <t>WL-01301</t>
        </is>
      </c>
      <c r="B302" s="37" t="inlineStr">
        <is>
          <t>Gomez</t>
        </is>
      </c>
      <c r="C302" s="37" t="inlineStr">
        <is>
          <t>Kimberly</t>
        </is>
      </c>
      <c r="D302" s="37" t="inlineStr">
        <is>
          <t>RETAINER</t>
        </is>
      </c>
      <c r="E302" s="37" t="n">
        <v>41.3</v>
      </c>
      <c r="F302" s="37" t="n">
        <v>14.2</v>
      </c>
    </row>
    <row r="303">
      <c r="A303" s="37" t="inlineStr">
        <is>
          <t>WL-01302</t>
        </is>
      </c>
      <c r="B303" s="37" t="inlineStr">
        <is>
          <t>Maynard</t>
        </is>
      </c>
      <c r="C303" s="37" t="inlineStr">
        <is>
          <t>Shelby</t>
        </is>
      </c>
      <c r="D303" s="37" t="inlineStr">
        <is>
          <t>ACTIVE_WAITLIST</t>
        </is>
      </c>
      <c r="E303" s="37" t="n">
        <v>42</v>
      </c>
      <c r="F303" s="37" t="n">
        <v>14.9</v>
      </c>
    </row>
    <row r="304">
      <c r="A304" s="37" t="inlineStr">
        <is>
          <t>WL-01303</t>
        </is>
      </c>
      <c r="B304" s="37" t="inlineStr">
        <is>
          <t>Harmon</t>
        </is>
      </c>
      <c r="C304" s="37" t="inlineStr">
        <is>
          <t>Robert</t>
        </is>
      </c>
      <c r="D304" s="37" t="inlineStr">
        <is>
          <t>ACTIVE_WAITLIST</t>
        </is>
      </c>
      <c r="E304" s="37" t="n">
        <v>32.2</v>
      </c>
      <c r="F304" s="37" t="n">
        <v>9.9</v>
      </c>
    </row>
    <row r="305">
      <c r="A305" s="37" t="inlineStr">
        <is>
          <t>WL-01304</t>
        </is>
      </c>
      <c r="B305" s="37" t="inlineStr">
        <is>
          <t>Hill</t>
        </is>
      </c>
      <c r="C305" s="37" t="inlineStr">
        <is>
          <t>Ashley</t>
        </is>
      </c>
      <c r="D305" s="37" t="inlineStr">
        <is>
          <t>ACTIVE_WAITLIST</t>
        </is>
      </c>
      <c r="E305" s="37" t="n">
        <v>60.2</v>
      </c>
      <c r="F305" s="37" t="n">
        <v>21.1</v>
      </c>
    </row>
    <row r="306">
      <c r="A306" s="37" t="inlineStr">
        <is>
          <t>WL-01305</t>
        </is>
      </c>
      <c r="B306" s="37" t="inlineStr">
        <is>
          <t>Mason</t>
        </is>
      </c>
      <c r="C306" s="37" t="inlineStr">
        <is>
          <t>Jonathan</t>
        </is>
      </c>
      <c r="D306" s="37" t="inlineStr">
        <is>
          <t>ACTIVE_WAITLIST</t>
        </is>
      </c>
      <c r="E306" s="37" t="n">
        <v>26</v>
      </c>
      <c r="F306" s="37" t="n">
        <v>9.199999999999999</v>
      </c>
    </row>
    <row r="307">
      <c r="A307" s="37" t="inlineStr">
        <is>
          <t>WL-01306</t>
        </is>
      </c>
      <c r="B307" s="37" t="inlineStr">
        <is>
          <t>Cameron</t>
        </is>
      </c>
      <c r="C307" s="37" t="inlineStr">
        <is>
          <t>Cynthia</t>
        </is>
      </c>
      <c r="D307" s="37" t="inlineStr">
        <is>
          <t>EXPIRED</t>
        </is>
      </c>
      <c r="E307" s="37" t="n">
        <v>37</v>
      </c>
      <c r="F307" s="37" t="n">
        <v>10.4</v>
      </c>
    </row>
    <row r="308">
      <c r="A308" s="37" t="inlineStr">
        <is>
          <t>WL-01307</t>
        </is>
      </c>
      <c r="B308" s="37" t="inlineStr">
        <is>
          <t>Ryan</t>
        </is>
      </c>
      <c r="C308" s="37" t="inlineStr">
        <is>
          <t>Dustin</t>
        </is>
      </c>
      <c r="D308" s="37" t="inlineStr">
        <is>
          <t>ACTIVE_WAITLIST</t>
        </is>
      </c>
      <c r="E308" s="37" t="n">
        <v>26.2</v>
      </c>
      <c r="F308" s="37" t="n">
        <v>7.6</v>
      </c>
    </row>
    <row r="309">
      <c r="A309" s="37" t="inlineStr">
        <is>
          <t>WL-01308</t>
        </is>
      </c>
      <c r="B309" s="37" t="inlineStr">
        <is>
          <t>Lee</t>
        </is>
      </c>
      <c r="C309" s="37" t="inlineStr">
        <is>
          <t>Christopher</t>
        </is>
      </c>
      <c r="D309" s="37" t="inlineStr">
        <is>
          <t>ACTIVE_WAITLIST</t>
        </is>
      </c>
      <c r="E309" s="37" t="n">
        <v>57.1</v>
      </c>
      <c r="F309" s="37" t="n">
        <v>20.4</v>
      </c>
    </row>
    <row r="310">
      <c r="A310" s="37" t="inlineStr">
        <is>
          <t>WL-01309</t>
        </is>
      </c>
      <c r="B310" s="37" t="inlineStr">
        <is>
          <t>Smith</t>
        </is>
      </c>
      <c r="C310" s="37" t="inlineStr">
        <is>
          <t>Vanessa</t>
        </is>
      </c>
      <c r="D310" s="37" t="inlineStr">
        <is>
          <t>ACTIVE_WAITLIST</t>
        </is>
      </c>
      <c r="E310" s="37" t="n">
        <v>28.9</v>
      </c>
      <c r="F310" s="37" t="n">
        <v>9.199999999999999</v>
      </c>
    </row>
    <row r="311">
      <c r="A311" s="37" t="inlineStr">
        <is>
          <t>WL-01310</t>
        </is>
      </c>
      <c r="B311" s="37" t="inlineStr">
        <is>
          <t>Weber</t>
        </is>
      </c>
      <c r="C311" s="37" t="inlineStr">
        <is>
          <t>Donna</t>
        </is>
      </c>
      <c r="D311" s="37" t="inlineStr">
        <is>
          <t>ACTIVE_WAITLIST</t>
        </is>
      </c>
      <c r="E311" s="37" t="n">
        <v>56.2</v>
      </c>
      <c r="F311" s="37" t="n">
        <v>19.6</v>
      </c>
    </row>
    <row r="312">
      <c r="A312" s="37" t="inlineStr">
        <is>
          <t>WL-01311</t>
        </is>
      </c>
      <c r="B312" s="37" t="inlineStr">
        <is>
          <t>Fox</t>
        </is>
      </c>
      <c r="C312" s="37" t="inlineStr">
        <is>
          <t>Michael</t>
        </is>
      </c>
      <c r="D312" s="37" t="inlineStr">
        <is>
          <t>ACTIVE_WAITLIST</t>
        </is>
      </c>
      <c r="E312" s="37" t="n">
        <v>36.7</v>
      </c>
      <c r="F312" s="37" t="n">
        <v>12.5</v>
      </c>
    </row>
    <row r="313">
      <c r="A313" s="37" t="inlineStr">
        <is>
          <t>WL-01312</t>
        </is>
      </c>
      <c r="B313" s="37" t="inlineStr">
        <is>
          <t>King</t>
        </is>
      </c>
      <c r="C313" s="37" t="inlineStr">
        <is>
          <t>Matthew</t>
        </is>
      </c>
      <c r="D313" s="37" t="inlineStr">
        <is>
          <t>ACTIVE_WAITLIST</t>
        </is>
      </c>
      <c r="E313" s="37" t="n">
        <v>59.9</v>
      </c>
      <c r="F313" s="37" t="n">
        <v>18.1</v>
      </c>
    </row>
    <row r="314">
      <c r="A314" s="37" t="inlineStr">
        <is>
          <t>WL-01313</t>
        </is>
      </c>
      <c r="B314" s="37" t="inlineStr">
        <is>
          <t>Jones</t>
        </is>
      </c>
      <c r="C314" s="37" t="inlineStr">
        <is>
          <t>David</t>
        </is>
      </c>
      <c r="D314" s="37" t="inlineStr">
        <is>
          <t>ACTIVE_WAITLIST</t>
        </is>
      </c>
      <c r="E314" s="37" t="n">
        <v>26.6</v>
      </c>
      <c r="F314" s="37" t="n">
        <v>8.4</v>
      </c>
    </row>
    <row r="315">
      <c r="A315" s="37" t="inlineStr">
        <is>
          <t>WL-01314</t>
        </is>
      </c>
      <c r="B315" s="37" t="inlineStr">
        <is>
          <t>Peterson</t>
        </is>
      </c>
      <c r="C315" s="37" t="inlineStr">
        <is>
          <t>Bobby</t>
        </is>
      </c>
      <c r="D315" s="37" t="inlineStr">
        <is>
          <t>ACTIVE_WAITLIST</t>
        </is>
      </c>
      <c r="E315" s="37" t="n">
        <v>46.2</v>
      </c>
      <c r="F315" s="37" t="n">
        <v>13.1</v>
      </c>
    </row>
    <row r="316">
      <c r="A316" s="37" t="inlineStr">
        <is>
          <t>WL-01315</t>
        </is>
      </c>
      <c r="B316" s="37" t="inlineStr">
        <is>
          <t>Richardson</t>
        </is>
      </c>
      <c r="C316" s="37" t="inlineStr">
        <is>
          <t>Justin</t>
        </is>
      </c>
      <c r="D316" s="37" t="inlineStr">
        <is>
          <t>ACTIVE_WAITLIST</t>
        </is>
      </c>
      <c r="E316" s="37" t="n">
        <v>55.2</v>
      </c>
      <c r="F316" s="37" t="n">
        <v>19.9</v>
      </c>
    </row>
    <row r="317">
      <c r="A317" s="37" t="inlineStr">
        <is>
          <t>WL-01316</t>
        </is>
      </c>
      <c r="B317" s="37" t="inlineStr">
        <is>
          <t>Turner</t>
        </is>
      </c>
      <c r="C317" s="37" t="inlineStr">
        <is>
          <t>Matthew</t>
        </is>
      </c>
      <c r="D317" s="37" t="inlineStr">
        <is>
          <t>ACTIVE_WAITLIST</t>
        </is>
      </c>
      <c r="E317" s="37" t="n">
        <v>24.4</v>
      </c>
      <c r="F317" s="37" t="n">
        <v>8.300000000000001</v>
      </c>
    </row>
    <row r="318">
      <c r="A318" s="37" t="inlineStr">
        <is>
          <t>WL-01317</t>
        </is>
      </c>
      <c r="B318" s="37" t="inlineStr">
        <is>
          <t>George</t>
        </is>
      </c>
      <c r="C318" s="37" t="inlineStr">
        <is>
          <t>Shari</t>
        </is>
      </c>
      <c r="D318" s="37" t="inlineStr">
        <is>
          <t>ACTIVE_WAITLIST</t>
        </is>
      </c>
      <c r="E318" s="37" t="n">
        <v>49.6</v>
      </c>
      <c r="F318" s="37" t="n">
        <v>14.8</v>
      </c>
    </row>
    <row r="319">
      <c r="A319" s="37" t="inlineStr">
        <is>
          <t>WL-01318</t>
        </is>
      </c>
      <c r="B319" s="37" t="inlineStr">
        <is>
          <t>Montgomery</t>
        </is>
      </c>
      <c r="C319" s="37" t="inlineStr">
        <is>
          <t>Denise</t>
        </is>
      </c>
      <c r="D319" s="37" t="inlineStr">
        <is>
          <t>ACTIVE_WAITLIST</t>
        </is>
      </c>
      <c r="E319" s="37" t="n">
        <v>38</v>
      </c>
      <c r="F319" s="37" t="n">
        <v>13.1</v>
      </c>
    </row>
    <row r="320">
      <c r="A320" s="37" t="inlineStr">
        <is>
          <t>WL-01319</t>
        </is>
      </c>
      <c r="B320" s="37" t="inlineStr">
        <is>
          <t>Roy</t>
        </is>
      </c>
      <c r="C320" s="37" t="inlineStr">
        <is>
          <t>Janice</t>
        </is>
      </c>
      <c r="D320" s="37" t="inlineStr">
        <is>
          <t>ACTIVE_WAITLIST</t>
        </is>
      </c>
      <c r="E320" s="37" t="n">
        <v>59.6</v>
      </c>
      <c r="F320" s="37" t="n">
        <v>19.8</v>
      </c>
    </row>
    <row r="321">
      <c r="A321" s="37" t="inlineStr">
        <is>
          <t>WL-01320</t>
        </is>
      </c>
      <c r="B321" s="37" t="inlineStr">
        <is>
          <t>Jennings</t>
        </is>
      </c>
      <c r="C321" s="37" t="inlineStr">
        <is>
          <t>Jesse</t>
        </is>
      </c>
      <c r="D321" s="37" t="inlineStr">
        <is>
          <t>ACTIVE_WAITLIST</t>
        </is>
      </c>
      <c r="E321" s="37" t="n">
        <v>50.8</v>
      </c>
      <c r="F321" s="37" t="n">
        <v>15.3</v>
      </c>
    </row>
    <row r="322">
      <c r="A322" s="37" t="inlineStr">
        <is>
          <t>WL-01321</t>
        </is>
      </c>
      <c r="B322" s="37" t="inlineStr">
        <is>
          <t>Brown</t>
        </is>
      </c>
      <c r="C322" s="37" t="inlineStr">
        <is>
          <t>Pam</t>
        </is>
      </c>
      <c r="D322" s="37" t="inlineStr">
        <is>
          <t>ACTIVE_WAITLIST</t>
        </is>
      </c>
      <c r="E322" s="37" t="n">
        <v>41.2</v>
      </c>
      <c r="F322" s="37" t="n">
        <v>12.9</v>
      </c>
    </row>
    <row r="323">
      <c r="A323" s="37" t="inlineStr">
        <is>
          <t>WL-01322</t>
        </is>
      </c>
      <c r="B323" s="37" t="inlineStr">
        <is>
          <t>Rodriguez</t>
        </is>
      </c>
      <c r="C323" s="37" t="inlineStr">
        <is>
          <t>Jesse</t>
        </is>
      </c>
      <c r="D323" s="37" t="inlineStr">
        <is>
          <t>ACTIVE_WAITLIST</t>
        </is>
      </c>
      <c r="E323" s="37" t="n">
        <v>23.2</v>
      </c>
      <c r="F323" s="37" t="n">
        <v>7.1</v>
      </c>
    </row>
    <row r="324">
      <c r="A324" s="37" t="inlineStr">
        <is>
          <t>WL-01323</t>
        </is>
      </c>
      <c r="B324" s="37" t="inlineStr">
        <is>
          <t>Alvarado</t>
        </is>
      </c>
      <c r="C324" s="37" t="inlineStr">
        <is>
          <t>Melanie</t>
        </is>
      </c>
      <c r="D324" s="37" t="inlineStr">
        <is>
          <t>ACTIVE_WAITLIST</t>
        </is>
      </c>
      <c r="E324" s="37" t="n">
        <v>57.4</v>
      </c>
      <c r="F324" s="37" t="n">
        <v>16.7</v>
      </c>
    </row>
    <row r="325">
      <c r="A325" s="37" t="inlineStr">
        <is>
          <t>WL-01324</t>
        </is>
      </c>
      <c r="B325" s="37" t="inlineStr">
        <is>
          <t>Baker</t>
        </is>
      </c>
      <c r="C325" s="37" t="inlineStr">
        <is>
          <t>Bradley</t>
        </is>
      </c>
      <c r="D325" s="37" t="inlineStr">
        <is>
          <t>ACTIVE_WAITLIST</t>
        </is>
      </c>
      <c r="E325" s="37" t="n">
        <v>46.9</v>
      </c>
      <c r="F325" s="37" t="n">
        <v>16.2</v>
      </c>
    </row>
    <row r="326">
      <c r="A326" s="37" t="inlineStr">
        <is>
          <t>WL-01325</t>
        </is>
      </c>
      <c r="B326" s="37" t="inlineStr">
        <is>
          <t>Phillips</t>
        </is>
      </c>
      <c r="C326" s="37" t="inlineStr">
        <is>
          <t>Amy</t>
        </is>
      </c>
      <c r="D326" s="37" t="inlineStr">
        <is>
          <t>ACTIVE_WAITLIST</t>
        </is>
      </c>
      <c r="E326" s="37" t="n">
        <v>31.2</v>
      </c>
      <c r="F326" s="37" t="n">
        <v>10.2</v>
      </c>
    </row>
    <row r="327">
      <c r="A327" s="37" t="inlineStr">
        <is>
          <t>WL-01326</t>
        </is>
      </c>
      <c r="B327" s="37" t="inlineStr">
        <is>
          <t>Smith</t>
        </is>
      </c>
      <c r="C327" s="37" t="inlineStr">
        <is>
          <t>Kristin</t>
        </is>
      </c>
      <c r="D327" s="37" t="inlineStr">
        <is>
          <t>ACTIVE_WAITLIST</t>
        </is>
      </c>
      <c r="E327" s="37" t="n">
        <v>33.2</v>
      </c>
      <c r="F327" s="37" t="n">
        <v>11</v>
      </c>
    </row>
    <row r="328">
      <c r="A328" s="37" t="inlineStr">
        <is>
          <t>WL-01327</t>
        </is>
      </c>
      <c r="B328" s="37" t="inlineStr">
        <is>
          <t>Henson</t>
        </is>
      </c>
      <c r="C328" s="37" t="inlineStr">
        <is>
          <t>Amanda</t>
        </is>
      </c>
      <c r="D328" s="37" t="inlineStr">
        <is>
          <t>ACTIVE_WAITLIST</t>
        </is>
      </c>
      <c r="E328" s="37" t="n">
        <v>28.7</v>
      </c>
      <c r="F328" s="37" t="n">
        <v>9.6</v>
      </c>
    </row>
    <row r="329">
      <c r="A329" s="37" t="inlineStr">
        <is>
          <t>WL-01328</t>
        </is>
      </c>
      <c r="B329" s="37" t="inlineStr">
        <is>
          <t>Solis</t>
        </is>
      </c>
      <c r="C329" s="37" t="inlineStr">
        <is>
          <t>Charles</t>
        </is>
      </c>
      <c r="D329" s="37" t="inlineStr">
        <is>
          <t>RETAINER</t>
        </is>
      </c>
      <c r="E329" s="37" t="n">
        <v>52</v>
      </c>
      <c r="F329" s="37" t="n">
        <v>15.3</v>
      </c>
    </row>
    <row r="330">
      <c r="A330" s="37" t="inlineStr">
        <is>
          <t>WL-01329</t>
        </is>
      </c>
      <c r="B330" s="37" t="inlineStr">
        <is>
          <t>Washington</t>
        </is>
      </c>
      <c r="C330" s="37" t="inlineStr">
        <is>
          <t>Daniel</t>
        </is>
      </c>
      <c r="D330" s="37" t="inlineStr">
        <is>
          <t>ACTIVE_WAITLIST</t>
        </is>
      </c>
      <c r="E330" s="37" t="n">
        <v>40.4</v>
      </c>
      <c r="F330" s="37" t="n">
        <v>12.7</v>
      </c>
    </row>
    <row r="331">
      <c r="A331" s="37" t="inlineStr">
        <is>
          <t>WL-01330</t>
        </is>
      </c>
      <c r="B331" s="37" t="inlineStr">
        <is>
          <t>Flynn</t>
        </is>
      </c>
      <c r="C331" s="37" t="inlineStr">
        <is>
          <t>Mark</t>
        </is>
      </c>
      <c r="D331" s="37" t="inlineStr">
        <is>
          <t>ACTIVE_WAITLIST</t>
        </is>
      </c>
      <c r="E331" s="37" t="n">
        <v>18.3</v>
      </c>
      <c r="F331" s="37" t="n">
        <v>6.4</v>
      </c>
    </row>
    <row r="332">
      <c r="A332" s="37" t="inlineStr">
        <is>
          <t>WL-01331</t>
        </is>
      </c>
      <c r="B332" s="37" t="inlineStr">
        <is>
          <t>Benson</t>
        </is>
      </c>
      <c r="C332" s="37" t="inlineStr">
        <is>
          <t>Richard</t>
        </is>
      </c>
      <c r="D332" s="37" t="inlineStr">
        <is>
          <t>RETAINER</t>
        </is>
      </c>
      <c r="E332" s="37" t="n">
        <v>29.6</v>
      </c>
      <c r="F332" s="37" t="n">
        <v>9.9</v>
      </c>
    </row>
    <row r="333">
      <c r="A333" s="37" t="inlineStr">
        <is>
          <t>WL-01332</t>
        </is>
      </c>
      <c r="B333" s="37" t="inlineStr">
        <is>
          <t>Ferguson</t>
        </is>
      </c>
      <c r="C333" s="37" t="inlineStr">
        <is>
          <t>Stacey</t>
        </is>
      </c>
      <c r="D333" s="37" t="inlineStr">
        <is>
          <t>SUSPENDED</t>
        </is>
      </c>
      <c r="E333" s="37" t="n">
        <v>54.4</v>
      </c>
      <c r="F333" s="37" t="n">
        <v>16.2</v>
      </c>
    </row>
    <row r="334">
      <c r="A334" s="37" t="inlineStr">
        <is>
          <t>WL-01333</t>
        </is>
      </c>
      <c r="B334" s="37" t="inlineStr">
        <is>
          <t>Hayden</t>
        </is>
      </c>
      <c r="C334" s="37" t="inlineStr">
        <is>
          <t>Andrew</t>
        </is>
      </c>
      <c r="D334" s="37" t="inlineStr">
        <is>
          <t>RETAINER</t>
        </is>
      </c>
      <c r="E334" s="37" t="n">
        <v>30.6</v>
      </c>
      <c r="F334" s="37" t="n">
        <v>10.1</v>
      </c>
    </row>
    <row r="335">
      <c r="A335" s="37" t="inlineStr">
        <is>
          <t>WL-01334</t>
        </is>
      </c>
      <c r="B335" s="37" t="inlineStr">
        <is>
          <t>Jones</t>
        </is>
      </c>
      <c r="C335" s="37" t="inlineStr">
        <is>
          <t>Tammy</t>
        </is>
      </c>
      <c r="D335" s="37" t="inlineStr">
        <is>
          <t>ACTIVE_WAITLIST</t>
        </is>
      </c>
      <c r="E335" s="37" t="n">
        <v>31.5</v>
      </c>
      <c r="F335" s="37" t="n">
        <v>10.7</v>
      </c>
    </row>
    <row r="336">
      <c r="A336" s="37" t="inlineStr">
        <is>
          <t>WL-01335</t>
        </is>
      </c>
      <c r="B336" s="37" t="inlineStr">
        <is>
          <t>Smith</t>
        </is>
      </c>
      <c r="C336" s="37" t="inlineStr">
        <is>
          <t>Eric</t>
        </is>
      </c>
      <c r="D336" s="37" t="inlineStr">
        <is>
          <t>ACTIVE_WAITLIST</t>
        </is>
      </c>
      <c r="E336" s="37" t="n">
        <v>29.5</v>
      </c>
      <c r="F336" s="37" t="n">
        <v>10.1</v>
      </c>
    </row>
    <row r="337">
      <c r="A337" s="37" t="inlineStr">
        <is>
          <t>WL-01336</t>
        </is>
      </c>
      <c r="B337" s="37" t="inlineStr">
        <is>
          <t>Davis</t>
        </is>
      </c>
      <c r="C337" s="37" t="inlineStr">
        <is>
          <t>Rebecca</t>
        </is>
      </c>
      <c r="D337" s="37" t="inlineStr">
        <is>
          <t>ACTIVE_WAITLIST</t>
        </is>
      </c>
      <c r="E337" s="37" t="n">
        <v>46.7</v>
      </c>
      <c r="F337" s="37" t="n">
        <v>16.8</v>
      </c>
    </row>
    <row r="338">
      <c r="A338" s="37" t="inlineStr">
        <is>
          <t>WL-01337</t>
        </is>
      </c>
      <c r="B338" s="37" t="inlineStr">
        <is>
          <t>Wright</t>
        </is>
      </c>
      <c r="C338" s="37" t="inlineStr">
        <is>
          <t>Anna</t>
        </is>
      </c>
      <c r="D338" s="37" t="inlineStr">
        <is>
          <t>ACTIVE_WAITLIST</t>
        </is>
      </c>
      <c r="E338" s="37" t="n">
        <v>26.3</v>
      </c>
      <c r="F338" s="37" t="n">
        <v>9.4</v>
      </c>
    </row>
    <row r="339">
      <c r="A339" s="37" t="inlineStr">
        <is>
          <t>WL-01338</t>
        </is>
      </c>
      <c r="B339" s="37" t="inlineStr">
        <is>
          <t>Simpson</t>
        </is>
      </c>
      <c r="C339" s="37" t="inlineStr">
        <is>
          <t>Philip</t>
        </is>
      </c>
      <c r="D339" s="37" t="inlineStr">
        <is>
          <t>ACTIVE_WAITLIST</t>
        </is>
      </c>
      <c r="E339" s="37" t="n">
        <v>35.7</v>
      </c>
      <c r="F339" s="37" t="n">
        <v>10.1</v>
      </c>
    </row>
    <row r="340">
      <c r="A340" s="37" t="inlineStr">
        <is>
          <t>WL-01339</t>
        </is>
      </c>
      <c r="B340" s="37" t="inlineStr">
        <is>
          <t>Houston</t>
        </is>
      </c>
      <c r="C340" s="37" t="inlineStr">
        <is>
          <t>Robert</t>
        </is>
      </c>
      <c r="D340" s="37" t="inlineStr">
        <is>
          <t>ACTIVE_WAITLIST</t>
        </is>
      </c>
      <c r="E340" s="37" t="n">
        <v>30.5</v>
      </c>
      <c r="F340" s="37" t="n">
        <v>10.6</v>
      </c>
    </row>
    <row r="341">
      <c r="A341" s="37" t="inlineStr">
        <is>
          <t>WL-01340</t>
        </is>
      </c>
      <c r="B341" s="37" t="inlineStr">
        <is>
          <t>Boyer</t>
        </is>
      </c>
      <c r="C341" s="37" t="inlineStr">
        <is>
          <t>Jennifer</t>
        </is>
      </c>
      <c r="D341" s="37" t="inlineStr">
        <is>
          <t>ACTIVE_WAITLIST</t>
        </is>
      </c>
      <c r="E341" s="37" t="n">
        <v>58.7</v>
      </c>
      <c r="F341" s="37" t="n">
        <v>17.7</v>
      </c>
    </row>
    <row r="342">
      <c r="A342" s="37" t="inlineStr">
        <is>
          <t>WL-01341</t>
        </is>
      </c>
      <c r="B342" s="37" t="inlineStr">
        <is>
          <t>Cooper</t>
        </is>
      </c>
      <c r="C342" s="37" t="inlineStr">
        <is>
          <t>William</t>
        </is>
      </c>
      <c r="D342" s="37" t="inlineStr">
        <is>
          <t>ACTIVE_WAITLIST</t>
        </is>
      </c>
      <c r="E342" s="37" t="n">
        <v>61.9</v>
      </c>
      <c r="F342" s="37" t="n">
        <v>20.2</v>
      </c>
    </row>
    <row r="343">
      <c r="A343" s="37" t="inlineStr">
        <is>
          <t>WL-01342</t>
        </is>
      </c>
      <c r="B343" s="37" t="inlineStr">
        <is>
          <t>Maldonado</t>
        </is>
      </c>
      <c r="C343" s="37" t="inlineStr">
        <is>
          <t>Lee</t>
        </is>
      </c>
      <c r="D343" s="37" t="inlineStr">
        <is>
          <t>ACTIVE_WAITLIST</t>
        </is>
      </c>
      <c r="E343" s="37" t="n">
        <v>57.7</v>
      </c>
      <c r="F343" s="37" t="n">
        <v>16.5</v>
      </c>
    </row>
    <row r="344">
      <c r="A344" s="37" t="inlineStr">
        <is>
          <t>WL-01343</t>
        </is>
      </c>
      <c r="B344" s="37" t="inlineStr">
        <is>
          <t>Jones</t>
        </is>
      </c>
      <c r="C344" s="37" t="inlineStr">
        <is>
          <t>Shawn</t>
        </is>
      </c>
      <c r="D344" s="37" t="inlineStr">
        <is>
          <t>ACTIVE_WAITLIST</t>
        </is>
      </c>
      <c r="E344" s="37" t="n">
        <v>54.8</v>
      </c>
      <c r="F344" s="37" t="n">
        <v>19.7</v>
      </c>
    </row>
    <row r="345">
      <c r="A345" s="37" t="inlineStr">
        <is>
          <t>WL-01344</t>
        </is>
      </c>
      <c r="B345" s="37" t="inlineStr">
        <is>
          <t>Villarreal</t>
        </is>
      </c>
      <c r="C345" s="37" t="inlineStr">
        <is>
          <t>Maria</t>
        </is>
      </c>
      <c r="D345" s="37" t="inlineStr">
        <is>
          <t>ACTIVE_WAITLIST</t>
        </is>
      </c>
      <c r="E345" s="37" t="n">
        <v>52.8</v>
      </c>
      <c r="F345" s="37" t="n">
        <v>18.2</v>
      </c>
    </row>
    <row r="346">
      <c r="A346" s="37" t="inlineStr">
        <is>
          <t>WL-01345</t>
        </is>
      </c>
      <c r="B346" s="37" t="inlineStr">
        <is>
          <t>Gregory</t>
        </is>
      </c>
      <c r="C346" s="37" t="inlineStr">
        <is>
          <t>Samantha</t>
        </is>
      </c>
      <c r="D346" s="37" t="inlineStr">
        <is>
          <t>ACTIVE_WAITLIST</t>
        </is>
      </c>
      <c r="E346" s="37" t="n">
        <v>55.2</v>
      </c>
      <c r="F346" s="37" t="n">
        <v>19.8</v>
      </c>
    </row>
    <row r="347">
      <c r="A347" s="37" t="inlineStr">
        <is>
          <t>WL-01346</t>
        </is>
      </c>
      <c r="B347" s="37" t="inlineStr">
        <is>
          <t>Robertson</t>
        </is>
      </c>
      <c r="C347" s="37" t="inlineStr">
        <is>
          <t>Stacey</t>
        </is>
      </c>
      <c r="D347" s="37" t="inlineStr">
        <is>
          <t>ACTIVE_WAITLIST</t>
        </is>
      </c>
      <c r="E347" s="37" t="n">
        <v>43.8</v>
      </c>
      <c r="F347" s="37" t="n">
        <v>14.5</v>
      </c>
    </row>
    <row r="348">
      <c r="A348" s="37" t="inlineStr">
        <is>
          <t>WL-01347</t>
        </is>
      </c>
      <c r="B348" s="37" t="inlineStr">
        <is>
          <t>Bennett</t>
        </is>
      </c>
      <c r="C348" s="37" t="inlineStr">
        <is>
          <t>Ryan</t>
        </is>
      </c>
      <c r="D348" s="37" t="inlineStr">
        <is>
          <t>ACTIVE_WAITLIST</t>
        </is>
      </c>
      <c r="E348" s="37" t="n">
        <v>54.9</v>
      </c>
      <c r="F348" s="37" t="n">
        <v>16.5</v>
      </c>
    </row>
    <row r="349">
      <c r="A349" s="37" t="inlineStr">
        <is>
          <t>WL-01348</t>
        </is>
      </c>
      <c r="B349" s="37" t="inlineStr">
        <is>
          <t>Patel</t>
        </is>
      </c>
      <c r="C349" s="37" t="inlineStr">
        <is>
          <t>Jessica</t>
        </is>
      </c>
      <c r="D349" s="37" t="inlineStr">
        <is>
          <t>ACTIVE_WAITLIST</t>
        </is>
      </c>
      <c r="E349" s="37" t="n">
        <v>46.4</v>
      </c>
      <c r="F349" s="37" t="n">
        <v>14.2</v>
      </c>
    </row>
    <row r="350">
      <c r="A350" s="37" t="inlineStr">
        <is>
          <t>WL-01349</t>
        </is>
      </c>
      <c r="B350" s="37" t="inlineStr">
        <is>
          <t>Johnson</t>
        </is>
      </c>
      <c r="C350" s="37" t="inlineStr">
        <is>
          <t>Justin</t>
        </is>
      </c>
      <c r="D350" s="37" t="inlineStr">
        <is>
          <t>ACTIVE_WAITLIST</t>
        </is>
      </c>
      <c r="E350" s="37" t="n">
        <v>44.8</v>
      </c>
      <c r="F350" s="37" t="n">
        <v>12.7</v>
      </c>
    </row>
    <row r="351">
      <c r="A351" s="37" t="inlineStr">
        <is>
          <t>WL-01350</t>
        </is>
      </c>
      <c r="B351" s="37" t="inlineStr">
        <is>
          <t>George</t>
        </is>
      </c>
      <c r="C351" s="37" t="inlineStr">
        <is>
          <t>John</t>
        </is>
      </c>
      <c r="D351" s="37" t="inlineStr">
        <is>
          <t>ACTIVE_WAITLIST</t>
        </is>
      </c>
      <c r="E351" s="37" t="n">
        <v>22.5</v>
      </c>
      <c r="F351" s="37" t="n">
        <v>7.8</v>
      </c>
    </row>
    <row r="352">
      <c r="A352" s="37" t="inlineStr">
        <is>
          <t>WL-01351</t>
        </is>
      </c>
      <c r="B352" s="37" t="inlineStr">
        <is>
          <t>Campbell</t>
        </is>
      </c>
      <c r="C352" s="37" t="inlineStr">
        <is>
          <t>Leslie</t>
        </is>
      </c>
      <c r="D352" s="37" t="inlineStr">
        <is>
          <t>ACTIVE_WAITLIST</t>
        </is>
      </c>
      <c r="E352" s="37" t="n">
        <v>57.1</v>
      </c>
      <c r="F352" s="37" t="n">
        <v>16.9</v>
      </c>
    </row>
    <row r="353">
      <c r="A353" s="37" t="inlineStr">
        <is>
          <t>WL-01352</t>
        </is>
      </c>
      <c r="B353" s="37" t="inlineStr">
        <is>
          <t>Hoffman</t>
        </is>
      </c>
      <c r="C353" s="37" t="inlineStr">
        <is>
          <t>Donald</t>
        </is>
      </c>
      <c r="D353" s="37" t="inlineStr">
        <is>
          <t>ACTIVE_WAITLIST</t>
        </is>
      </c>
      <c r="E353" s="37" t="n">
        <v>42.6</v>
      </c>
      <c r="F353" s="37" t="n">
        <v>14.1</v>
      </c>
    </row>
    <row r="354">
      <c r="A354" s="37" t="inlineStr">
        <is>
          <t>WL-01353</t>
        </is>
      </c>
      <c r="B354" s="37" t="inlineStr">
        <is>
          <t>Gordon</t>
        </is>
      </c>
      <c r="C354" s="37" t="inlineStr">
        <is>
          <t>Robert</t>
        </is>
      </c>
      <c r="D354" s="37" t="inlineStr">
        <is>
          <t>ACTIVE_WAITLIST</t>
        </is>
      </c>
      <c r="E354" s="37" t="n">
        <v>38.6</v>
      </c>
      <c r="F354" s="37" t="n">
        <v>12.1</v>
      </c>
    </row>
    <row r="355">
      <c r="A355" s="37" t="inlineStr">
        <is>
          <t>WL-01354</t>
        </is>
      </c>
      <c r="B355" s="37" t="inlineStr">
        <is>
          <t>White</t>
        </is>
      </c>
      <c r="C355" s="37" t="inlineStr">
        <is>
          <t>Kevin</t>
        </is>
      </c>
      <c r="D355" s="37" t="inlineStr">
        <is>
          <t>ACTIVE_WAITLIST</t>
        </is>
      </c>
      <c r="E355" s="37" t="n">
        <v>50.8</v>
      </c>
      <c r="F355" s="37" t="n">
        <v>14.5</v>
      </c>
    </row>
    <row r="356">
      <c r="A356" s="37" t="inlineStr">
        <is>
          <t>WL-01355</t>
        </is>
      </c>
      <c r="B356" s="37" t="inlineStr">
        <is>
          <t>Moore</t>
        </is>
      </c>
      <c r="C356" s="37" t="inlineStr">
        <is>
          <t>Michael</t>
        </is>
      </c>
      <c r="D356" s="37" t="inlineStr">
        <is>
          <t>ACTIVE_WAITLIST</t>
        </is>
      </c>
      <c r="E356" s="37" t="n">
        <v>58.3</v>
      </c>
      <c r="F356" s="37" t="n">
        <v>16.9</v>
      </c>
    </row>
    <row r="357">
      <c r="A357" s="37" t="inlineStr">
        <is>
          <t>WL-01356</t>
        </is>
      </c>
      <c r="B357" s="37" t="inlineStr">
        <is>
          <t>Wheeler</t>
        </is>
      </c>
      <c r="C357" s="37" t="inlineStr">
        <is>
          <t>Jennifer</t>
        </is>
      </c>
      <c r="D357" s="37" t="inlineStr">
        <is>
          <t>ACTIVE_WAITLIST</t>
        </is>
      </c>
      <c r="E357" s="37" t="n">
        <v>36.4</v>
      </c>
      <c r="F357" s="37" t="n">
        <v>13</v>
      </c>
    </row>
    <row r="358">
      <c r="A358" s="37" t="inlineStr">
        <is>
          <t>WL-01357</t>
        </is>
      </c>
      <c r="B358" s="37" t="inlineStr">
        <is>
          <t>Rose</t>
        </is>
      </c>
      <c r="C358" s="37" t="inlineStr">
        <is>
          <t>Cody</t>
        </is>
      </c>
      <c r="D358" s="37" t="inlineStr">
        <is>
          <t>ACTIVE_WAITLIST</t>
        </is>
      </c>
      <c r="E358" s="37" t="n">
        <v>39.9</v>
      </c>
      <c r="F358" s="37" t="n">
        <v>11.4</v>
      </c>
    </row>
    <row r="359">
      <c r="A359" s="37" t="inlineStr">
        <is>
          <t>WL-01358</t>
        </is>
      </c>
      <c r="B359" s="37" t="inlineStr">
        <is>
          <t>Hayden</t>
        </is>
      </c>
      <c r="C359" s="37" t="inlineStr">
        <is>
          <t>Kenneth</t>
        </is>
      </c>
      <c r="D359" s="37" t="inlineStr">
        <is>
          <t>ACTIVE_WAITLIST</t>
        </is>
      </c>
      <c r="E359" s="37" t="n">
        <v>35.5</v>
      </c>
      <c r="F359" s="37" t="n">
        <v>11.5</v>
      </c>
    </row>
    <row r="360">
      <c r="A360" s="37" t="inlineStr">
        <is>
          <t>WL-01359</t>
        </is>
      </c>
      <c r="B360" s="37" t="inlineStr">
        <is>
          <t>Mays</t>
        </is>
      </c>
      <c r="C360" s="37" t="inlineStr">
        <is>
          <t>Tony</t>
        </is>
      </c>
      <c r="D360" s="37" t="inlineStr">
        <is>
          <t>ACTIVE_WAITLIST</t>
        </is>
      </c>
      <c r="E360" s="37" t="n">
        <v>47.7</v>
      </c>
      <c r="F360" s="37" t="n">
        <v>17</v>
      </c>
    </row>
    <row r="361">
      <c r="A361" s="37" t="inlineStr">
        <is>
          <t>WL-01360</t>
        </is>
      </c>
      <c r="B361" s="37" t="inlineStr">
        <is>
          <t>Sullivan</t>
        </is>
      </c>
      <c r="C361" s="37" t="inlineStr">
        <is>
          <t>Desiree</t>
        </is>
      </c>
      <c r="D361" s="37" t="inlineStr">
        <is>
          <t>ACTIVE_WAITLIST</t>
        </is>
      </c>
      <c r="E361" s="37" t="n">
        <v>53</v>
      </c>
      <c r="F361" s="37" t="n">
        <v>18.6</v>
      </c>
    </row>
    <row r="362">
      <c r="A362" s="37" t="inlineStr">
        <is>
          <t>WL-01361</t>
        </is>
      </c>
      <c r="B362" s="37" t="inlineStr">
        <is>
          <t>Willis</t>
        </is>
      </c>
      <c r="C362" s="37" t="inlineStr">
        <is>
          <t>Benjamin</t>
        </is>
      </c>
      <c r="D362" s="37" t="inlineStr">
        <is>
          <t>ACTIVE_WAITLIST</t>
        </is>
      </c>
      <c r="E362" s="37" t="n">
        <v>28.7</v>
      </c>
      <c r="F362" s="37" t="n">
        <v>8.5</v>
      </c>
    </row>
    <row r="363">
      <c r="A363" s="37" t="inlineStr">
        <is>
          <t>WL-01362</t>
        </is>
      </c>
      <c r="B363" s="37" t="inlineStr">
        <is>
          <t>Baker</t>
        </is>
      </c>
      <c r="C363" s="37" t="inlineStr">
        <is>
          <t>Amy</t>
        </is>
      </c>
      <c r="D363" s="37" t="inlineStr">
        <is>
          <t>RETAINER</t>
        </is>
      </c>
      <c r="E363" s="37" t="n">
        <v>53.5</v>
      </c>
      <c r="F363" s="37" t="n">
        <v>18.9</v>
      </c>
    </row>
    <row r="364">
      <c r="A364" s="37" t="inlineStr">
        <is>
          <t>WL-01363</t>
        </is>
      </c>
      <c r="B364" s="37" t="inlineStr">
        <is>
          <t>Wiggins</t>
        </is>
      </c>
      <c r="C364" s="37" t="inlineStr">
        <is>
          <t>Timothy</t>
        </is>
      </c>
      <c r="D364" s="37" t="inlineStr">
        <is>
          <t>ACTIVE_WAITLIST</t>
        </is>
      </c>
      <c r="E364" s="37" t="n">
        <v>35.7</v>
      </c>
      <c r="F364" s="37" t="n">
        <v>11.6</v>
      </c>
    </row>
    <row r="365">
      <c r="A365" s="37" t="inlineStr">
        <is>
          <t>WL-01364</t>
        </is>
      </c>
      <c r="B365" s="37" t="inlineStr">
        <is>
          <t>Richmond</t>
        </is>
      </c>
      <c r="C365" s="37" t="inlineStr">
        <is>
          <t>Patrick</t>
        </is>
      </c>
      <c r="D365" s="37" t="inlineStr">
        <is>
          <t>ACTIVE_WAITLIST</t>
        </is>
      </c>
      <c r="E365" s="37" t="n">
        <v>20</v>
      </c>
      <c r="F365" s="37" t="n">
        <v>6.8</v>
      </c>
    </row>
    <row r="366">
      <c r="A366" s="37" t="inlineStr">
        <is>
          <t>WL-01365</t>
        </is>
      </c>
      <c r="B366" s="37" t="inlineStr">
        <is>
          <t>Griffith</t>
        </is>
      </c>
      <c r="C366" s="37" t="inlineStr">
        <is>
          <t>Andrew</t>
        </is>
      </c>
      <c r="D366" s="37" t="inlineStr">
        <is>
          <t>ACTIVE_WAITLIST</t>
        </is>
      </c>
      <c r="E366" s="37" t="n">
        <v>29.9</v>
      </c>
      <c r="F366" s="37" t="n">
        <v>10.2</v>
      </c>
    </row>
    <row r="367">
      <c r="A367" s="37" t="inlineStr">
        <is>
          <t>WL-01366</t>
        </is>
      </c>
      <c r="B367" s="37" t="inlineStr">
        <is>
          <t>Sweeney</t>
        </is>
      </c>
      <c r="C367" s="37" t="inlineStr">
        <is>
          <t>Anna</t>
        </is>
      </c>
      <c r="D367" s="37" t="inlineStr">
        <is>
          <t>ACTIVE_WAITLIST</t>
        </is>
      </c>
      <c r="E367" s="37" t="n">
        <v>18.3</v>
      </c>
      <c r="F367" s="37" t="n">
        <v>5.3</v>
      </c>
    </row>
    <row r="368">
      <c r="A368" s="37" t="inlineStr">
        <is>
          <t>WL-01367</t>
        </is>
      </c>
      <c r="B368" s="37" t="inlineStr">
        <is>
          <t>Golden</t>
        </is>
      </c>
      <c r="C368" s="37" t="inlineStr">
        <is>
          <t>Stephen</t>
        </is>
      </c>
      <c r="D368" s="37" t="inlineStr">
        <is>
          <t>ACTIVE_WAITLIST</t>
        </is>
      </c>
      <c r="E368" s="37" t="n">
        <v>51.9</v>
      </c>
      <c r="F368" s="37" t="n">
        <v>16.5</v>
      </c>
    </row>
    <row r="369">
      <c r="A369" s="37" t="inlineStr">
        <is>
          <t>WL-01368</t>
        </is>
      </c>
      <c r="B369" s="37" t="inlineStr">
        <is>
          <t>Turner</t>
        </is>
      </c>
      <c r="C369" s="37" t="inlineStr">
        <is>
          <t>Justin</t>
        </is>
      </c>
      <c r="D369" s="37" t="inlineStr">
        <is>
          <t>ACTIVE_WAITLIST</t>
        </is>
      </c>
      <c r="E369" s="37" t="n">
        <v>23.7</v>
      </c>
      <c r="F369" s="37" t="n">
        <v>7.3</v>
      </c>
    </row>
    <row r="370">
      <c r="A370" s="37" t="inlineStr">
        <is>
          <t>WL-01369</t>
        </is>
      </c>
      <c r="B370" s="37" t="inlineStr">
        <is>
          <t>Weeks</t>
        </is>
      </c>
      <c r="C370" s="37" t="inlineStr">
        <is>
          <t>Mike</t>
        </is>
      </c>
      <c r="D370" s="37" t="inlineStr">
        <is>
          <t>ACTIVE_WAITLIST</t>
        </is>
      </c>
      <c r="E370" s="37" t="n">
        <v>43.1</v>
      </c>
      <c r="F370" s="37" t="n">
        <v>14.6</v>
      </c>
    </row>
    <row r="371">
      <c r="A371" s="37" t="inlineStr">
        <is>
          <t>WL-01370</t>
        </is>
      </c>
      <c r="B371" s="37" t="inlineStr">
        <is>
          <t>Graham</t>
        </is>
      </c>
      <c r="C371" s="37" t="inlineStr">
        <is>
          <t>James</t>
        </is>
      </c>
      <c r="D371" s="37" t="inlineStr">
        <is>
          <t>ACTIVE_WAITLIST</t>
        </is>
      </c>
      <c r="E371" s="37" t="n">
        <v>31.8</v>
      </c>
      <c r="F371" s="37" t="n">
        <v>10.8</v>
      </c>
    </row>
    <row r="372">
      <c r="A372" s="37" t="inlineStr">
        <is>
          <t>WL-01371</t>
        </is>
      </c>
      <c r="B372" s="37" t="inlineStr">
        <is>
          <t>Nelson</t>
        </is>
      </c>
      <c r="C372" s="37" t="inlineStr">
        <is>
          <t>Christopher</t>
        </is>
      </c>
      <c r="D372" s="37" t="inlineStr">
        <is>
          <t>RETAINER</t>
        </is>
      </c>
      <c r="E372" s="37" t="n">
        <v>21.1</v>
      </c>
      <c r="F372" s="37" t="n">
        <v>6.8</v>
      </c>
    </row>
    <row r="373">
      <c r="A373" s="37" t="inlineStr">
        <is>
          <t>WL-01372</t>
        </is>
      </c>
      <c r="B373" s="37" t="inlineStr">
        <is>
          <t>Jones</t>
        </is>
      </c>
      <c r="C373" s="37" t="inlineStr">
        <is>
          <t>Claire</t>
        </is>
      </c>
      <c r="D373" s="37" t="inlineStr">
        <is>
          <t>ACTIVE_WAITLIST</t>
        </is>
      </c>
      <c r="E373" s="37" t="n">
        <v>57</v>
      </c>
      <c r="F373" s="37" t="n">
        <v>17</v>
      </c>
    </row>
    <row r="374">
      <c r="A374" s="37" t="inlineStr">
        <is>
          <t>WL-01373</t>
        </is>
      </c>
      <c r="B374" s="37" t="inlineStr">
        <is>
          <t>Davis</t>
        </is>
      </c>
      <c r="C374" s="37" t="inlineStr">
        <is>
          <t>Lori</t>
        </is>
      </c>
      <c r="D374" s="37" t="inlineStr">
        <is>
          <t>ACTIVE_WAITLIST</t>
        </is>
      </c>
      <c r="E374" s="37" t="n">
        <v>31.6</v>
      </c>
      <c r="F374" s="37" t="n">
        <v>9</v>
      </c>
    </row>
    <row r="375">
      <c r="A375" s="37" t="inlineStr">
        <is>
          <t>WL-01374</t>
        </is>
      </c>
      <c r="B375" s="37" t="inlineStr">
        <is>
          <t>Reid</t>
        </is>
      </c>
      <c r="C375" s="37" t="inlineStr">
        <is>
          <t>Caroline</t>
        </is>
      </c>
      <c r="D375" s="37" t="inlineStr">
        <is>
          <t>ACTIVE_WAITLIST</t>
        </is>
      </c>
      <c r="E375" s="37" t="n">
        <v>19.5</v>
      </c>
      <c r="F375" s="37" t="n">
        <v>6.7</v>
      </c>
    </row>
    <row r="376">
      <c r="A376" s="37" t="inlineStr">
        <is>
          <t>WL-01375</t>
        </is>
      </c>
      <c r="B376" s="37" t="inlineStr">
        <is>
          <t>Austin</t>
        </is>
      </c>
      <c r="C376" s="37" t="inlineStr">
        <is>
          <t>Crystal</t>
        </is>
      </c>
      <c r="D376" s="37" t="inlineStr">
        <is>
          <t>ACTIVE_WAITLIST</t>
        </is>
      </c>
      <c r="E376" s="37" t="n">
        <v>33.5</v>
      </c>
      <c r="F376" s="37" t="n">
        <v>11.3</v>
      </c>
    </row>
    <row r="377">
      <c r="A377" s="37" t="inlineStr">
        <is>
          <t>WL-01376</t>
        </is>
      </c>
      <c r="B377" s="37" t="inlineStr">
        <is>
          <t>Fisher</t>
        </is>
      </c>
      <c r="C377" s="37" t="inlineStr">
        <is>
          <t>Steven</t>
        </is>
      </c>
      <c r="D377" s="37" t="inlineStr">
        <is>
          <t>ACTIVE_WAITLIST</t>
        </is>
      </c>
      <c r="E377" s="37" t="n">
        <v>42.1</v>
      </c>
      <c r="F377" s="37" t="n">
        <v>13.2</v>
      </c>
    </row>
    <row r="378">
      <c r="A378" s="37" t="inlineStr">
        <is>
          <t>WL-01377</t>
        </is>
      </c>
      <c r="B378" s="37" t="inlineStr">
        <is>
          <t>Ferguson</t>
        </is>
      </c>
      <c r="C378" s="37" t="inlineStr">
        <is>
          <t>Rhonda</t>
        </is>
      </c>
      <c r="D378" s="37" t="inlineStr">
        <is>
          <t>ACTIVE_WAITLIST</t>
        </is>
      </c>
      <c r="E378" s="37" t="n">
        <v>22.5</v>
      </c>
      <c r="F378" s="37" t="n">
        <v>7.4</v>
      </c>
    </row>
    <row r="379">
      <c r="A379" s="37" t="inlineStr">
        <is>
          <t>WL-01378</t>
        </is>
      </c>
      <c r="B379" s="37" t="inlineStr">
        <is>
          <t>Clark</t>
        </is>
      </c>
      <c r="C379" s="37" t="inlineStr">
        <is>
          <t>Morgan</t>
        </is>
      </c>
      <c r="D379" s="37" t="inlineStr">
        <is>
          <t>ACTIVE_WAITLIST</t>
        </is>
      </c>
      <c r="E379" s="37" t="n">
        <v>30.7</v>
      </c>
      <c r="F379" s="37" t="n">
        <v>10.4</v>
      </c>
    </row>
    <row r="380">
      <c r="A380" s="37" t="inlineStr">
        <is>
          <t>WL-01379</t>
        </is>
      </c>
      <c r="B380" s="37" t="inlineStr">
        <is>
          <t>Wong</t>
        </is>
      </c>
      <c r="C380" s="37" t="inlineStr">
        <is>
          <t>Jacob</t>
        </is>
      </c>
      <c r="D380" s="37" t="inlineStr">
        <is>
          <t>ACTIVE_WAITLIST</t>
        </is>
      </c>
      <c r="E380" s="37" t="n">
        <v>32</v>
      </c>
      <c r="F380" s="37" t="n">
        <v>9.199999999999999</v>
      </c>
    </row>
    <row r="381">
      <c r="A381" s="37" t="inlineStr">
        <is>
          <t>WL-01380</t>
        </is>
      </c>
      <c r="B381" s="37" t="inlineStr">
        <is>
          <t>Sanders</t>
        </is>
      </c>
      <c r="C381" s="37" t="inlineStr">
        <is>
          <t>Sherry</t>
        </is>
      </c>
      <c r="D381" s="37" t="inlineStr">
        <is>
          <t>ACTIVE_WAITLIST</t>
        </is>
      </c>
      <c r="E381" s="37" t="n">
        <v>23.4</v>
      </c>
      <c r="F381" s="37" t="n">
        <v>7.4</v>
      </c>
    </row>
    <row r="382">
      <c r="A382" s="37" t="inlineStr">
        <is>
          <t>WL-01381</t>
        </is>
      </c>
      <c r="B382" s="37" t="inlineStr">
        <is>
          <t>Dickson</t>
        </is>
      </c>
      <c r="C382" s="37" t="inlineStr">
        <is>
          <t>Michael</t>
        </is>
      </c>
      <c r="D382" s="37" t="inlineStr">
        <is>
          <t>ACTIVE_WAITLIST</t>
        </is>
      </c>
      <c r="E382" s="37" t="n">
        <v>25.8</v>
      </c>
      <c r="F382" s="37" t="n">
        <v>7.2</v>
      </c>
    </row>
    <row r="383">
      <c r="A383" s="37" t="inlineStr">
        <is>
          <t>WL-01382</t>
        </is>
      </c>
      <c r="B383" s="37" t="inlineStr">
        <is>
          <t>King</t>
        </is>
      </c>
      <c r="C383" s="37" t="inlineStr">
        <is>
          <t>Jose</t>
        </is>
      </c>
      <c r="D383" s="37" t="inlineStr">
        <is>
          <t>ACTIVE_WAITLIST</t>
        </is>
      </c>
      <c r="E383" s="37" t="n">
        <v>32.2</v>
      </c>
      <c r="F383" s="37" t="n">
        <v>10</v>
      </c>
    </row>
    <row r="384">
      <c r="A384" s="37" t="inlineStr">
        <is>
          <t>WL-01383</t>
        </is>
      </c>
      <c r="B384" s="37" t="inlineStr">
        <is>
          <t>Henderson</t>
        </is>
      </c>
      <c r="C384" s="37" t="inlineStr">
        <is>
          <t>Donna</t>
        </is>
      </c>
      <c r="D384" s="37" t="inlineStr">
        <is>
          <t>ACTIVE_WAITLIST</t>
        </is>
      </c>
      <c r="E384" s="37" t="n">
        <v>27.6</v>
      </c>
      <c r="F384" s="37" t="n">
        <v>9.300000000000001</v>
      </c>
    </row>
    <row r="385">
      <c r="A385" s="37" t="inlineStr">
        <is>
          <t>WL-01384</t>
        </is>
      </c>
      <c r="B385" s="37" t="inlineStr">
        <is>
          <t>Williams</t>
        </is>
      </c>
      <c r="C385" s="37" t="inlineStr">
        <is>
          <t>Kimberly</t>
        </is>
      </c>
      <c r="D385" s="37" t="inlineStr">
        <is>
          <t>ACTIVE_WAITLIST</t>
        </is>
      </c>
      <c r="E385" s="37" t="n">
        <v>34.2</v>
      </c>
      <c r="F385" s="37" t="n">
        <v>10.6</v>
      </c>
    </row>
    <row r="386">
      <c r="A386" s="37" t="inlineStr">
        <is>
          <t>WL-01385</t>
        </is>
      </c>
      <c r="B386" s="37" t="inlineStr">
        <is>
          <t>Morrison</t>
        </is>
      </c>
      <c r="C386" s="37" t="inlineStr">
        <is>
          <t>Amanda</t>
        </is>
      </c>
      <c r="D386" s="37" t="inlineStr">
        <is>
          <t>ACTIVE_WAITLIST</t>
        </is>
      </c>
      <c r="E386" s="37" t="n">
        <v>43.2</v>
      </c>
      <c r="F386" s="37" t="n">
        <v>13.9</v>
      </c>
    </row>
    <row r="387">
      <c r="A387" s="37" t="inlineStr">
        <is>
          <t>WL-01386</t>
        </is>
      </c>
      <c r="B387" s="37" t="inlineStr">
        <is>
          <t>Bell</t>
        </is>
      </c>
      <c r="C387" s="37" t="inlineStr">
        <is>
          <t>Kenneth</t>
        </is>
      </c>
      <c r="D387" s="37" t="inlineStr">
        <is>
          <t>EXPIRED</t>
        </is>
      </c>
      <c r="E387" s="37" t="n">
        <v>38.6</v>
      </c>
      <c r="F387" s="37" t="n">
        <v>13.8</v>
      </c>
    </row>
    <row r="388">
      <c r="A388" s="37" t="inlineStr">
        <is>
          <t>WL-01387</t>
        </is>
      </c>
      <c r="B388" s="37" t="inlineStr">
        <is>
          <t>Benitez</t>
        </is>
      </c>
      <c r="C388" s="37" t="inlineStr">
        <is>
          <t>Benjamin</t>
        </is>
      </c>
      <c r="D388" s="37" t="inlineStr">
        <is>
          <t>RETAINER</t>
        </is>
      </c>
      <c r="E388" s="37" t="n">
        <v>18.3</v>
      </c>
      <c r="F388" s="37" t="n">
        <v>5.8</v>
      </c>
    </row>
    <row r="389">
      <c r="A389" s="37" t="inlineStr">
        <is>
          <t>WL-01388</t>
        </is>
      </c>
      <c r="B389" s="37" t="inlineStr">
        <is>
          <t>Young</t>
        </is>
      </c>
      <c r="C389" s="37" t="inlineStr">
        <is>
          <t>Sharon</t>
        </is>
      </c>
      <c r="D389" s="37" t="inlineStr">
        <is>
          <t>ACTIVE_WAITLIST</t>
        </is>
      </c>
      <c r="E389" s="37" t="n">
        <v>26.7</v>
      </c>
      <c r="F389" s="37" t="n">
        <v>9.199999999999999</v>
      </c>
    </row>
    <row r="390">
      <c r="A390" s="37" t="inlineStr">
        <is>
          <t>WL-01389</t>
        </is>
      </c>
      <c r="B390" s="37" t="inlineStr">
        <is>
          <t>White</t>
        </is>
      </c>
      <c r="C390" s="37" t="inlineStr">
        <is>
          <t>Brian</t>
        </is>
      </c>
      <c r="D390" s="37" t="inlineStr">
        <is>
          <t>ACTIVE_WAITLIST</t>
        </is>
      </c>
      <c r="E390" s="37" t="n">
        <v>37</v>
      </c>
      <c r="F390" s="37" t="n">
        <v>11.3</v>
      </c>
    </row>
    <row r="391">
      <c r="A391" s="37" t="inlineStr">
        <is>
          <t>WL-01390</t>
        </is>
      </c>
      <c r="B391" s="37" t="inlineStr">
        <is>
          <t>Moss</t>
        </is>
      </c>
      <c r="C391" s="37" t="inlineStr">
        <is>
          <t>Michael</t>
        </is>
      </c>
      <c r="D391" s="37" t="inlineStr">
        <is>
          <t>ACTIVE_WAITLIST</t>
        </is>
      </c>
      <c r="E391" s="37" t="n">
        <v>28.9</v>
      </c>
      <c r="F391" s="37" t="n">
        <v>8.1</v>
      </c>
    </row>
    <row r="392">
      <c r="A392" s="37" t="inlineStr">
        <is>
          <t>WL-01391</t>
        </is>
      </c>
      <c r="B392" s="37" t="inlineStr">
        <is>
          <t>Wallace</t>
        </is>
      </c>
      <c r="C392" s="37" t="inlineStr">
        <is>
          <t>Debbie</t>
        </is>
      </c>
      <c r="D392" s="37" t="inlineStr">
        <is>
          <t>ACTIVE_WAITLIST</t>
        </is>
      </c>
      <c r="E392" s="37" t="n">
        <v>27.8</v>
      </c>
      <c r="F392" s="37" t="n">
        <v>9.9</v>
      </c>
    </row>
    <row r="393">
      <c r="A393" s="37" t="inlineStr">
        <is>
          <t>WL-01392</t>
        </is>
      </c>
      <c r="B393" s="37" t="inlineStr">
        <is>
          <t>Carr</t>
        </is>
      </c>
      <c r="C393" s="37" t="inlineStr">
        <is>
          <t>Ryan</t>
        </is>
      </c>
      <c r="D393" s="37" t="inlineStr">
        <is>
          <t>ACTIVE_WAITLIST</t>
        </is>
      </c>
      <c r="E393" s="37" t="n">
        <v>34.5</v>
      </c>
      <c r="F393" s="37" t="n">
        <v>10.5</v>
      </c>
    </row>
    <row r="394">
      <c r="A394" s="37" t="inlineStr">
        <is>
          <t>WL-01393</t>
        </is>
      </c>
      <c r="B394" s="37" t="inlineStr">
        <is>
          <t>Thompson</t>
        </is>
      </c>
      <c r="C394" s="37" t="inlineStr">
        <is>
          <t>Lauren</t>
        </is>
      </c>
      <c r="D394" s="37" t="inlineStr">
        <is>
          <t>ACTIVE_WAITLIST</t>
        </is>
      </c>
      <c r="E394" s="37" t="n">
        <v>47</v>
      </c>
      <c r="F394" s="37" t="n">
        <v>14.6</v>
      </c>
    </row>
    <row r="395">
      <c r="A395" s="37" t="inlineStr">
        <is>
          <t>WL-01394</t>
        </is>
      </c>
      <c r="B395" s="37" t="inlineStr">
        <is>
          <t>Walker</t>
        </is>
      </c>
      <c r="C395" s="37" t="inlineStr">
        <is>
          <t>Kenneth</t>
        </is>
      </c>
      <c r="D395" s="37" t="inlineStr">
        <is>
          <t>EXPIRED</t>
        </is>
      </c>
      <c r="E395" s="37" t="n">
        <v>55.8</v>
      </c>
      <c r="F395" s="37" t="n">
        <v>16.8</v>
      </c>
    </row>
    <row r="396">
      <c r="A396" s="37" t="inlineStr">
        <is>
          <t>WL-01395</t>
        </is>
      </c>
      <c r="B396" s="37" t="inlineStr">
        <is>
          <t>Mitchell</t>
        </is>
      </c>
      <c r="C396" s="37" t="inlineStr">
        <is>
          <t>Denise</t>
        </is>
      </c>
      <c r="D396" s="37" t="inlineStr">
        <is>
          <t>ACTIVE_WAITLIST</t>
        </is>
      </c>
      <c r="E396" s="37" t="n">
        <v>23.8</v>
      </c>
      <c r="F396" s="37" t="n">
        <v>7.6</v>
      </c>
    </row>
    <row r="397">
      <c r="A397" s="37" t="inlineStr">
        <is>
          <t>WL-01396</t>
        </is>
      </c>
      <c r="B397" s="37" t="inlineStr">
        <is>
          <t>Pacheco</t>
        </is>
      </c>
      <c r="C397" s="37" t="inlineStr">
        <is>
          <t>Christopher</t>
        </is>
      </c>
      <c r="D397" s="37" t="inlineStr">
        <is>
          <t>SUSPENDED</t>
        </is>
      </c>
      <c r="E397" s="37" t="n">
        <v>59.2</v>
      </c>
      <c r="F397" s="37" t="n">
        <v>20.6</v>
      </c>
    </row>
    <row r="398">
      <c r="A398" s="37" t="inlineStr">
        <is>
          <t>WL-01397</t>
        </is>
      </c>
      <c r="B398" s="37" t="inlineStr">
        <is>
          <t>Lopez</t>
        </is>
      </c>
      <c r="C398" s="37" t="inlineStr">
        <is>
          <t>Jessica</t>
        </is>
      </c>
      <c r="D398" s="37" t="inlineStr">
        <is>
          <t>RETAINER</t>
        </is>
      </c>
      <c r="E398" s="37" t="n">
        <v>32.1</v>
      </c>
      <c r="F398" s="37" t="n">
        <v>9.5</v>
      </c>
    </row>
    <row r="399">
      <c r="A399" s="37" t="inlineStr">
        <is>
          <t>WL-01398</t>
        </is>
      </c>
      <c r="B399" s="37" t="inlineStr">
        <is>
          <t>Fisher</t>
        </is>
      </c>
      <c r="C399" s="37" t="inlineStr">
        <is>
          <t>Nicole</t>
        </is>
      </c>
      <c r="D399" s="37" t="inlineStr">
        <is>
          <t>EXPIRED</t>
        </is>
      </c>
      <c r="E399" s="37" t="n">
        <v>32.7</v>
      </c>
      <c r="F399" s="37" t="n">
        <v>11.8</v>
      </c>
    </row>
    <row r="400">
      <c r="A400" s="37" t="inlineStr">
        <is>
          <t>WL-01399</t>
        </is>
      </c>
      <c r="B400" s="37" t="inlineStr">
        <is>
          <t>Trujillo</t>
        </is>
      </c>
      <c r="C400" s="37" t="inlineStr">
        <is>
          <t>Heather</t>
        </is>
      </c>
      <c r="D400" s="37" t="inlineStr">
        <is>
          <t>ACTIVE_WAITLIST</t>
        </is>
      </c>
      <c r="E400" s="37" t="n">
        <v>42.3</v>
      </c>
      <c r="F400" s="37" t="n">
        <v>14.5</v>
      </c>
    </row>
    <row r="401">
      <c r="A401" s="37" t="inlineStr">
        <is>
          <t>WL-01400</t>
        </is>
      </c>
      <c r="B401" s="37" t="inlineStr">
        <is>
          <t>Hayden</t>
        </is>
      </c>
      <c r="C401" s="37" t="inlineStr">
        <is>
          <t>Christopher</t>
        </is>
      </c>
      <c r="D401" s="37" t="inlineStr">
        <is>
          <t>ACTIVE_WAITLIST</t>
        </is>
      </c>
      <c r="E401" s="37" t="n">
        <v>35.3</v>
      </c>
      <c r="F401" s="37" t="n">
        <v>11</v>
      </c>
    </row>
    <row r="402">
      <c r="A402" s="37" t="inlineStr">
        <is>
          <t>WL-01401</t>
        </is>
      </c>
      <c r="B402" s="37" t="inlineStr">
        <is>
          <t>Thompson</t>
        </is>
      </c>
      <c r="C402" s="37" t="inlineStr">
        <is>
          <t>Douglas</t>
        </is>
      </c>
      <c r="D402" s="37" t="inlineStr">
        <is>
          <t>ACTIVE_WAITLIST</t>
        </is>
      </c>
      <c r="E402" s="37" t="n">
        <v>39.8</v>
      </c>
      <c r="F402" s="37" t="n">
        <v>13.4</v>
      </c>
    </row>
    <row r="403">
      <c r="A403" s="37" t="inlineStr">
        <is>
          <t>WL-01402</t>
        </is>
      </c>
      <c r="B403" s="37" t="inlineStr">
        <is>
          <t>Castro</t>
        </is>
      </c>
      <c r="C403" s="37" t="inlineStr">
        <is>
          <t>Edward</t>
        </is>
      </c>
      <c r="D403" s="37" t="inlineStr">
        <is>
          <t>ACTIVE_WAITLIST</t>
        </is>
      </c>
      <c r="E403" s="37" t="n">
        <v>47.7</v>
      </c>
      <c r="F403" s="37" t="n">
        <v>15.5</v>
      </c>
    </row>
    <row r="404">
      <c r="A404" s="37" t="inlineStr">
        <is>
          <t>WL-01403</t>
        </is>
      </c>
      <c r="B404" s="37" t="inlineStr">
        <is>
          <t>Peters</t>
        </is>
      </c>
      <c r="C404" s="37" t="inlineStr">
        <is>
          <t>Jenna</t>
        </is>
      </c>
      <c r="D404" s="37" t="inlineStr">
        <is>
          <t>ACTIVE_WAITLIST</t>
        </is>
      </c>
      <c r="E404" s="37" t="n">
        <v>54.6</v>
      </c>
      <c r="F404" s="37" t="n">
        <v>17.3</v>
      </c>
    </row>
    <row r="405">
      <c r="A405" s="37" t="inlineStr">
        <is>
          <t>WL-01404</t>
        </is>
      </c>
      <c r="B405" s="37" t="inlineStr">
        <is>
          <t>Boyle</t>
        </is>
      </c>
      <c r="C405" s="37" t="inlineStr">
        <is>
          <t>Eric</t>
        </is>
      </c>
      <c r="D405" s="37" t="inlineStr">
        <is>
          <t>ACTIVE_WAITLIST</t>
        </is>
      </c>
      <c r="E405" s="37" t="n">
        <v>56.6</v>
      </c>
      <c r="F405" s="37" t="n">
        <v>17.6</v>
      </c>
    </row>
    <row r="406">
      <c r="A406" s="37" t="inlineStr">
        <is>
          <t>WL-01405</t>
        </is>
      </c>
      <c r="B406" s="37" t="inlineStr">
        <is>
          <t>Castillo</t>
        </is>
      </c>
      <c r="C406" s="37" t="inlineStr">
        <is>
          <t>Joshua</t>
        </is>
      </c>
      <c r="D406" s="37" t="inlineStr">
        <is>
          <t>ACTIVE_WAITLIST</t>
        </is>
      </c>
      <c r="E406" s="37" t="n">
        <v>23.3</v>
      </c>
      <c r="F406" s="37" t="n">
        <v>7.1</v>
      </c>
    </row>
    <row r="407">
      <c r="A407" s="37" t="inlineStr">
        <is>
          <t>WL-01406</t>
        </is>
      </c>
      <c r="B407" s="37" t="inlineStr">
        <is>
          <t>Wilson</t>
        </is>
      </c>
      <c r="C407" s="37" t="inlineStr">
        <is>
          <t>Jennifer</t>
        </is>
      </c>
      <c r="D407" s="37" t="inlineStr">
        <is>
          <t>RETAINER</t>
        </is>
      </c>
      <c r="E407" s="37" t="n">
        <v>60.7</v>
      </c>
      <c r="F407" s="37" t="n">
        <v>17.2</v>
      </c>
    </row>
    <row r="408">
      <c r="A408" s="37" t="inlineStr">
        <is>
          <t>WL-01407</t>
        </is>
      </c>
      <c r="B408" s="37" t="inlineStr">
        <is>
          <t>Rodgers</t>
        </is>
      </c>
      <c r="C408" s="37" t="inlineStr">
        <is>
          <t>Kelly</t>
        </is>
      </c>
      <c r="D408" s="37" t="inlineStr">
        <is>
          <t>ACTIVE_WAITLIST</t>
        </is>
      </c>
      <c r="E408" s="37" t="n">
        <v>25.1</v>
      </c>
      <c r="F408" s="37" t="n">
        <v>7.3</v>
      </c>
    </row>
    <row r="409">
      <c r="A409" s="37" t="inlineStr">
        <is>
          <t>WL-01408</t>
        </is>
      </c>
      <c r="B409" s="37" t="inlineStr">
        <is>
          <t>Rojas</t>
        </is>
      </c>
      <c r="C409" s="37" t="inlineStr">
        <is>
          <t>Kelly</t>
        </is>
      </c>
      <c r="D409" s="37" t="inlineStr">
        <is>
          <t>SUSPENDED</t>
        </is>
      </c>
      <c r="E409" s="37" t="n">
        <v>24.2</v>
      </c>
      <c r="F409" s="37" t="n">
        <v>8.199999999999999</v>
      </c>
    </row>
    <row r="410">
      <c r="A410" s="37" t="inlineStr">
        <is>
          <t>WL-01409</t>
        </is>
      </c>
      <c r="B410" s="37" t="inlineStr">
        <is>
          <t>Brown</t>
        </is>
      </c>
      <c r="C410" s="37" t="inlineStr">
        <is>
          <t>Crystal</t>
        </is>
      </c>
      <c r="D410" s="37" t="inlineStr">
        <is>
          <t>ACTIVE_WAITLIST</t>
        </is>
      </c>
      <c r="E410" s="37" t="n">
        <v>20.4</v>
      </c>
      <c r="F410" s="37" t="n">
        <v>6.4</v>
      </c>
    </row>
    <row r="411">
      <c r="A411" s="37" t="inlineStr">
        <is>
          <t>WL-01410</t>
        </is>
      </c>
      <c r="B411" s="37" t="inlineStr">
        <is>
          <t>Madden</t>
        </is>
      </c>
      <c r="C411" s="37" t="inlineStr">
        <is>
          <t>Aimee</t>
        </is>
      </c>
      <c r="D411" s="37" t="inlineStr">
        <is>
          <t>ACTIVE_WAITLIST</t>
        </is>
      </c>
      <c r="E411" s="37" t="n">
        <v>60.6</v>
      </c>
      <c r="F411" s="37" t="n">
        <v>17.2</v>
      </c>
    </row>
    <row r="412">
      <c r="A412" s="37" t="inlineStr">
        <is>
          <t>WL-01411</t>
        </is>
      </c>
      <c r="B412" s="37" t="inlineStr">
        <is>
          <t>Graham</t>
        </is>
      </c>
      <c r="C412" s="37" t="inlineStr">
        <is>
          <t>Amanda</t>
        </is>
      </c>
      <c r="D412" s="37" t="inlineStr">
        <is>
          <t>SUSPENDED</t>
        </is>
      </c>
      <c r="E412" s="37" t="n">
        <v>58.7</v>
      </c>
      <c r="F412" s="37" t="n">
        <v>17.1</v>
      </c>
    </row>
    <row r="413">
      <c r="A413" s="37" t="inlineStr">
        <is>
          <t>WL-01412</t>
        </is>
      </c>
      <c r="B413" s="37" t="inlineStr">
        <is>
          <t>Carter</t>
        </is>
      </c>
      <c r="C413" s="37" t="inlineStr">
        <is>
          <t>Michelle</t>
        </is>
      </c>
      <c r="D413" s="37" t="inlineStr">
        <is>
          <t>ACTIVE_WAITLIST</t>
        </is>
      </c>
      <c r="E413" s="37" t="n">
        <v>53.4</v>
      </c>
      <c r="F413" s="37" t="n">
        <v>16.5</v>
      </c>
    </row>
    <row r="414">
      <c r="A414" s="37" t="inlineStr">
        <is>
          <t>WL-01413</t>
        </is>
      </c>
      <c r="B414" s="37" t="inlineStr">
        <is>
          <t>Garcia</t>
        </is>
      </c>
      <c r="C414" s="37" t="inlineStr">
        <is>
          <t>Kim</t>
        </is>
      </c>
      <c r="D414" s="37" t="inlineStr">
        <is>
          <t>ACTIVE_WAITLIST</t>
        </is>
      </c>
      <c r="E414" s="37" t="n">
        <v>51.5</v>
      </c>
      <c r="F414" s="37" t="n">
        <v>17.6</v>
      </c>
    </row>
    <row r="415">
      <c r="A415" s="37" t="inlineStr">
        <is>
          <t>WL-01414</t>
        </is>
      </c>
      <c r="B415" s="37" t="inlineStr">
        <is>
          <t>Massey</t>
        </is>
      </c>
      <c r="C415" s="37" t="inlineStr">
        <is>
          <t>Phillip</t>
        </is>
      </c>
      <c r="D415" s="37" t="inlineStr">
        <is>
          <t>ACTIVE_WAITLIST</t>
        </is>
      </c>
      <c r="E415" s="37" t="n">
        <v>29.3</v>
      </c>
      <c r="F415" s="37" t="n">
        <v>8.300000000000001</v>
      </c>
    </row>
    <row r="416">
      <c r="A416" s="37" t="inlineStr">
        <is>
          <t>WL-01415</t>
        </is>
      </c>
      <c r="B416" s="37" t="inlineStr">
        <is>
          <t>Stevens</t>
        </is>
      </c>
      <c r="C416" s="37" t="inlineStr">
        <is>
          <t>Jeremy</t>
        </is>
      </c>
      <c r="D416" s="37" t="inlineStr">
        <is>
          <t>ACTIVE_WAITLIST</t>
        </is>
      </c>
      <c r="E416" s="37" t="n">
        <v>25.8</v>
      </c>
      <c r="F416" s="37" t="n">
        <v>7.5</v>
      </c>
    </row>
    <row r="417">
      <c r="A417" s="37" t="inlineStr">
        <is>
          <t>WL-01416</t>
        </is>
      </c>
      <c r="B417" s="37" t="inlineStr">
        <is>
          <t>Hernandez</t>
        </is>
      </c>
      <c r="C417" s="37" t="inlineStr">
        <is>
          <t>Carmen</t>
        </is>
      </c>
      <c r="D417" s="37" t="inlineStr">
        <is>
          <t>ACTIVE_WAITLIST</t>
        </is>
      </c>
      <c r="E417" s="37" t="n">
        <v>35.1</v>
      </c>
      <c r="F417" s="37" t="n">
        <v>10.6</v>
      </c>
    </row>
    <row r="418">
      <c r="A418" s="37" t="inlineStr">
        <is>
          <t>WL-01417</t>
        </is>
      </c>
      <c r="B418" s="37" t="inlineStr">
        <is>
          <t>Walton</t>
        </is>
      </c>
      <c r="C418" s="37" t="inlineStr">
        <is>
          <t>Carrie</t>
        </is>
      </c>
      <c r="D418" s="37" t="inlineStr">
        <is>
          <t>ACTIVE_WAITLIST</t>
        </is>
      </c>
      <c r="E418" s="37" t="n">
        <v>60.6</v>
      </c>
      <c r="F418" s="37" t="n">
        <v>18.6</v>
      </c>
    </row>
    <row r="419">
      <c r="A419" s="37" t="inlineStr">
        <is>
          <t>WL-01418</t>
        </is>
      </c>
      <c r="B419" s="37" t="inlineStr">
        <is>
          <t>Jones</t>
        </is>
      </c>
      <c r="C419" s="37" t="inlineStr">
        <is>
          <t>Alicia</t>
        </is>
      </c>
      <c r="D419" s="37" t="inlineStr">
        <is>
          <t>ACTIVE_WAITLIST</t>
        </is>
      </c>
      <c r="E419" s="37" t="n">
        <v>48.7</v>
      </c>
      <c r="F419" s="37" t="n">
        <v>15.1</v>
      </c>
    </row>
    <row r="420">
      <c r="A420" s="37" t="inlineStr">
        <is>
          <t>WL-01419</t>
        </is>
      </c>
      <c r="B420" s="37" t="inlineStr">
        <is>
          <t>Fisher</t>
        </is>
      </c>
      <c r="C420" s="37" t="inlineStr">
        <is>
          <t>Jason</t>
        </is>
      </c>
      <c r="D420" s="37" t="inlineStr">
        <is>
          <t>ACTIVE_WAITLIST</t>
        </is>
      </c>
      <c r="E420" s="37" t="n">
        <v>56.8</v>
      </c>
      <c r="F420" s="37" t="n">
        <v>16.4</v>
      </c>
    </row>
    <row r="421">
      <c r="A421" s="37" t="inlineStr">
        <is>
          <t>WL-01420</t>
        </is>
      </c>
      <c r="B421" s="37" t="inlineStr">
        <is>
          <t>Wilson</t>
        </is>
      </c>
      <c r="C421" s="37" t="inlineStr">
        <is>
          <t>Patricia</t>
        </is>
      </c>
      <c r="D421" s="37" t="inlineStr">
        <is>
          <t>ACTIVE_WAITLIST</t>
        </is>
      </c>
      <c r="E421" s="37" t="n">
        <v>26.2</v>
      </c>
      <c r="F421" s="37" t="n">
        <v>9.300000000000001</v>
      </c>
    </row>
    <row r="422">
      <c r="A422" s="37" t="inlineStr">
        <is>
          <t>WL-01421</t>
        </is>
      </c>
      <c r="B422" s="37" t="inlineStr">
        <is>
          <t>Brown</t>
        </is>
      </c>
      <c r="C422" s="37" t="inlineStr">
        <is>
          <t>Jessica</t>
        </is>
      </c>
      <c r="D422" s="37" t="inlineStr">
        <is>
          <t>ACTIVE_WAITLIST</t>
        </is>
      </c>
      <c r="E422" s="37" t="n">
        <v>36</v>
      </c>
      <c r="F422" s="37" t="n">
        <v>11.5</v>
      </c>
    </row>
    <row r="423">
      <c r="A423" s="37" t="inlineStr">
        <is>
          <t>WL-01422</t>
        </is>
      </c>
      <c r="B423" s="37" t="inlineStr">
        <is>
          <t>Chapman</t>
        </is>
      </c>
      <c r="C423" s="37" t="inlineStr">
        <is>
          <t>Cynthia</t>
        </is>
      </c>
      <c r="D423" s="37" t="inlineStr">
        <is>
          <t>ACTIVE_WAITLIST</t>
        </is>
      </c>
      <c r="E423" s="37" t="n">
        <v>22.9</v>
      </c>
      <c r="F423" s="37" t="n">
        <v>8</v>
      </c>
    </row>
    <row r="424">
      <c r="A424" s="37" t="inlineStr">
        <is>
          <t>WL-01423</t>
        </is>
      </c>
      <c r="B424" s="37" t="inlineStr">
        <is>
          <t>Mayo</t>
        </is>
      </c>
      <c r="C424" s="37" t="inlineStr">
        <is>
          <t>Emma</t>
        </is>
      </c>
      <c r="D424" s="37" t="inlineStr">
        <is>
          <t>ACTIVE_WAITLIST</t>
        </is>
      </c>
      <c r="E424" s="37" t="n">
        <v>43.2</v>
      </c>
      <c r="F424" s="37" t="n">
        <v>12.2</v>
      </c>
    </row>
    <row r="425">
      <c r="A425" s="37" t="inlineStr">
        <is>
          <t>WL-01424</t>
        </is>
      </c>
      <c r="B425" s="37" t="inlineStr">
        <is>
          <t>Miller</t>
        </is>
      </c>
      <c r="C425" s="37" t="inlineStr">
        <is>
          <t>Kristen</t>
        </is>
      </c>
      <c r="D425" s="37" t="inlineStr">
        <is>
          <t>ACTIVE_WAITLIST</t>
        </is>
      </c>
      <c r="E425" s="37" t="n">
        <v>27.7</v>
      </c>
      <c r="F425" s="37" t="n">
        <v>9</v>
      </c>
    </row>
    <row r="426">
      <c r="A426" s="37" t="inlineStr">
        <is>
          <t>WL-01425</t>
        </is>
      </c>
      <c r="B426" s="37" t="inlineStr">
        <is>
          <t>Munoz</t>
        </is>
      </c>
      <c r="C426" s="37" t="inlineStr">
        <is>
          <t>Annette</t>
        </is>
      </c>
      <c r="D426" s="37" t="inlineStr">
        <is>
          <t>ACTIVE_WAITLIST</t>
        </is>
      </c>
      <c r="E426" s="37" t="n">
        <v>58.3</v>
      </c>
      <c r="F426" s="37" t="n">
        <v>18.8</v>
      </c>
    </row>
    <row r="427">
      <c r="A427" s="37" t="inlineStr">
        <is>
          <t>WL-01426</t>
        </is>
      </c>
      <c r="B427" s="37" t="inlineStr">
        <is>
          <t>Owen</t>
        </is>
      </c>
      <c r="C427" s="37" t="inlineStr">
        <is>
          <t>Glen</t>
        </is>
      </c>
      <c r="D427" s="37" t="inlineStr">
        <is>
          <t>ACTIVE_WAITLIST</t>
        </is>
      </c>
      <c r="E427" s="37" t="n">
        <v>61.4</v>
      </c>
      <c r="F427" s="37" t="n">
        <v>19.2</v>
      </c>
    </row>
    <row r="428">
      <c r="A428" s="37" t="inlineStr">
        <is>
          <t>WL-01427</t>
        </is>
      </c>
      <c r="B428" s="37" t="inlineStr">
        <is>
          <t>Mayo</t>
        </is>
      </c>
      <c r="C428" s="37" t="inlineStr">
        <is>
          <t>Sharon</t>
        </is>
      </c>
      <c r="D428" s="37" t="inlineStr">
        <is>
          <t>ACTIVE_WAITLIST</t>
        </is>
      </c>
      <c r="E428" s="37" t="n">
        <v>20.9</v>
      </c>
      <c r="F428" s="37" t="n">
        <v>7.1</v>
      </c>
    </row>
    <row r="429">
      <c r="A429" s="37" t="inlineStr">
        <is>
          <t>WL-01428</t>
        </is>
      </c>
      <c r="B429" s="37" t="inlineStr">
        <is>
          <t>Taylor</t>
        </is>
      </c>
      <c r="C429" s="37" t="inlineStr">
        <is>
          <t>Audrey</t>
        </is>
      </c>
      <c r="D429" s="37" t="inlineStr">
        <is>
          <t>ACTIVE_WAITLIST</t>
        </is>
      </c>
      <c r="E429" s="37" t="n">
        <v>57</v>
      </c>
      <c r="F429" s="37" t="n">
        <v>17.3</v>
      </c>
    </row>
    <row r="430">
      <c r="A430" s="37" t="inlineStr">
        <is>
          <t>WL-01429</t>
        </is>
      </c>
      <c r="B430" s="37" t="inlineStr">
        <is>
          <t>Evans</t>
        </is>
      </c>
      <c r="C430" s="37" t="inlineStr">
        <is>
          <t>Teresa</t>
        </is>
      </c>
      <c r="D430" s="37" t="inlineStr">
        <is>
          <t>ACTIVE_WAITLIST</t>
        </is>
      </c>
      <c r="E430" s="37" t="n">
        <v>21.8</v>
      </c>
      <c r="F430" s="37" t="n">
        <v>7.5</v>
      </c>
    </row>
    <row r="431">
      <c r="A431" s="37" t="inlineStr">
        <is>
          <t>WL-01430</t>
        </is>
      </c>
      <c r="B431" s="37" t="inlineStr">
        <is>
          <t>Hall</t>
        </is>
      </c>
      <c r="C431" s="37" t="inlineStr">
        <is>
          <t>Brandon</t>
        </is>
      </c>
      <c r="D431" s="37" t="inlineStr">
        <is>
          <t>ACTIVE_WAITLIST</t>
        </is>
      </c>
      <c r="E431" s="37" t="n">
        <v>30.8</v>
      </c>
      <c r="F431" s="37" t="n">
        <v>10.2</v>
      </c>
    </row>
    <row r="432">
      <c r="A432" s="37" t="inlineStr">
        <is>
          <t>WL-01431</t>
        </is>
      </c>
      <c r="B432" s="37" t="inlineStr">
        <is>
          <t>Schneider</t>
        </is>
      </c>
      <c r="C432" s="37" t="inlineStr">
        <is>
          <t>Tracey</t>
        </is>
      </c>
      <c r="D432" s="37" t="inlineStr">
        <is>
          <t>ACTIVE_WAITLIST</t>
        </is>
      </c>
      <c r="E432" s="37" t="n">
        <v>58.4</v>
      </c>
      <c r="F432" s="37" t="n">
        <v>18.6</v>
      </c>
    </row>
    <row r="433">
      <c r="A433" s="37" t="inlineStr">
        <is>
          <t>WL-01432</t>
        </is>
      </c>
      <c r="B433" s="37" t="inlineStr">
        <is>
          <t>Anderson</t>
        </is>
      </c>
      <c r="C433" s="37" t="inlineStr">
        <is>
          <t>Daniel</t>
        </is>
      </c>
      <c r="D433" s="37" t="inlineStr">
        <is>
          <t>ACTIVE_WAITLIST</t>
        </is>
      </c>
      <c r="E433" s="37" t="n">
        <v>26.2</v>
      </c>
      <c r="F433" s="37" t="n">
        <v>7.9</v>
      </c>
    </row>
    <row r="434">
      <c r="A434" s="37" t="inlineStr">
        <is>
          <t>WL-01433</t>
        </is>
      </c>
      <c r="B434" s="37" t="inlineStr">
        <is>
          <t>Aguilar</t>
        </is>
      </c>
      <c r="C434" s="37" t="inlineStr">
        <is>
          <t>Lisa</t>
        </is>
      </c>
      <c r="D434" s="37" t="inlineStr">
        <is>
          <t>ACTIVE_WAITLIST</t>
        </is>
      </c>
      <c r="E434" s="37" t="n">
        <v>36.8</v>
      </c>
      <c r="F434" s="37" t="n">
        <v>11.1</v>
      </c>
    </row>
    <row r="435">
      <c r="A435" s="37" t="inlineStr">
        <is>
          <t>WL-01434</t>
        </is>
      </c>
      <c r="B435" s="37" t="inlineStr">
        <is>
          <t>Brown</t>
        </is>
      </c>
      <c r="C435" s="37" t="inlineStr">
        <is>
          <t>William</t>
        </is>
      </c>
      <c r="D435" s="37" t="inlineStr">
        <is>
          <t>ACTIVE_WAITLIST</t>
        </is>
      </c>
      <c r="E435" s="37" t="n">
        <v>44.4</v>
      </c>
      <c r="F435" s="37" t="n">
        <v>13.6</v>
      </c>
    </row>
    <row r="436">
      <c r="A436" s="37" t="inlineStr">
        <is>
          <t>WL-01435</t>
        </is>
      </c>
      <c r="B436" s="37" t="inlineStr">
        <is>
          <t>Schultz</t>
        </is>
      </c>
      <c r="C436" s="37" t="inlineStr">
        <is>
          <t>Jessica</t>
        </is>
      </c>
      <c r="D436" s="37" t="inlineStr">
        <is>
          <t>ACTIVE_WAITLIST</t>
        </is>
      </c>
      <c r="E436" s="37" t="n">
        <v>39.3</v>
      </c>
      <c r="F436" s="37" t="n">
        <v>12.2</v>
      </c>
    </row>
    <row r="437">
      <c r="A437" s="37" t="inlineStr">
        <is>
          <t>WL-01436</t>
        </is>
      </c>
      <c r="B437" s="37" t="inlineStr">
        <is>
          <t>Cook</t>
        </is>
      </c>
      <c r="C437" s="37" t="inlineStr">
        <is>
          <t>William</t>
        </is>
      </c>
      <c r="D437" s="37" t="inlineStr">
        <is>
          <t>ACTIVE_WAITLIST</t>
        </is>
      </c>
      <c r="E437" s="37" t="n">
        <v>33.7</v>
      </c>
      <c r="F437" s="37" t="n">
        <v>10.5</v>
      </c>
    </row>
    <row r="438">
      <c r="A438" s="37" t="inlineStr">
        <is>
          <t>WL-01437</t>
        </is>
      </c>
      <c r="B438" s="37" t="inlineStr">
        <is>
          <t>Woodward</t>
        </is>
      </c>
      <c r="C438" s="37" t="inlineStr">
        <is>
          <t>Nicholas</t>
        </is>
      </c>
      <c r="D438" s="37" t="inlineStr">
        <is>
          <t>ACTIVE_WAITLIST</t>
        </is>
      </c>
      <c r="E438" s="37" t="n">
        <v>31.9</v>
      </c>
      <c r="F438" s="37" t="n">
        <v>10.5</v>
      </c>
    </row>
    <row r="439">
      <c r="A439" s="37" t="inlineStr">
        <is>
          <t>WL-01438</t>
        </is>
      </c>
      <c r="B439" s="37" t="inlineStr">
        <is>
          <t>Whitehead</t>
        </is>
      </c>
      <c r="C439" s="37" t="inlineStr">
        <is>
          <t>Angela</t>
        </is>
      </c>
      <c r="D439" s="37" t="inlineStr">
        <is>
          <t>ACTIVE_WAITLIST</t>
        </is>
      </c>
      <c r="E439" s="37" t="n">
        <v>28.7</v>
      </c>
      <c r="F439" s="37" t="n">
        <v>9.5</v>
      </c>
    </row>
    <row r="440">
      <c r="A440" s="37" t="inlineStr">
        <is>
          <t>WL-01439</t>
        </is>
      </c>
      <c r="B440" s="37" t="inlineStr">
        <is>
          <t>Rodriguez</t>
        </is>
      </c>
      <c r="C440" s="37" t="inlineStr">
        <is>
          <t>Ryan</t>
        </is>
      </c>
      <c r="D440" s="37" t="inlineStr">
        <is>
          <t>ACTIVE_WAITLIST</t>
        </is>
      </c>
      <c r="E440" s="37" t="n">
        <v>28.5</v>
      </c>
      <c r="F440" s="37" t="n">
        <v>9.300000000000001</v>
      </c>
    </row>
    <row r="441">
      <c r="A441" s="37" t="inlineStr">
        <is>
          <t>WL-01440</t>
        </is>
      </c>
      <c r="B441" s="37" t="inlineStr">
        <is>
          <t>Hansen</t>
        </is>
      </c>
      <c r="C441" s="37" t="inlineStr">
        <is>
          <t>Sean</t>
        </is>
      </c>
      <c r="D441" s="37" t="inlineStr">
        <is>
          <t>ACTIVE_WAITLIST</t>
        </is>
      </c>
      <c r="E441" s="37" t="n">
        <v>50.1</v>
      </c>
      <c r="F441" s="37" t="n">
        <v>15.5</v>
      </c>
    </row>
    <row r="442">
      <c r="A442" s="37" t="inlineStr">
        <is>
          <t>WL-01441</t>
        </is>
      </c>
      <c r="B442" s="37" t="inlineStr">
        <is>
          <t>Osborne</t>
        </is>
      </c>
      <c r="C442" s="37" t="inlineStr">
        <is>
          <t>Jill</t>
        </is>
      </c>
      <c r="D442" s="37" t="inlineStr">
        <is>
          <t>ACTIVE_WAITLIST</t>
        </is>
      </c>
      <c r="E442" s="37" t="n">
        <v>25.3</v>
      </c>
      <c r="F442" s="37" t="n">
        <v>7.7</v>
      </c>
    </row>
    <row r="443">
      <c r="A443" s="37" t="inlineStr">
        <is>
          <t>WL-01442</t>
        </is>
      </c>
      <c r="B443" s="37" t="inlineStr">
        <is>
          <t>Williams</t>
        </is>
      </c>
      <c r="C443" s="37" t="inlineStr">
        <is>
          <t>Tina</t>
        </is>
      </c>
      <c r="D443" s="37" t="inlineStr">
        <is>
          <t>ACTIVE_WAITLIST</t>
        </is>
      </c>
      <c r="E443" s="37" t="n">
        <v>43.4</v>
      </c>
      <c r="F443" s="37" t="n">
        <v>13</v>
      </c>
    </row>
    <row r="444">
      <c r="A444" s="37" t="inlineStr">
        <is>
          <t>WL-01443</t>
        </is>
      </c>
      <c r="B444" s="37" t="inlineStr">
        <is>
          <t>Terry</t>
        </is>
      </c>
      <c r="C444" s="37" t="inlineStr">
        <is>
          <t>Jessica</t>
        </is>
      </c>
      <c r="D444" s="37" t="inlineStr">
        <is>
          <t>ACTIVE_WAITLIST</t>
        </is>
      </c>
      <c r="E444" s="37" t="n">
        <v>38.4</v>
      </c>
      <c r="F444" s="37" t="n">
        <v>11.4</v>
      </c>
    </row>
    <row r="445">
      <c r="A445" s="37" t="inlineStr">
        <is>
          <t>WL-01444</t>
        </is>
      </c>
      <c r="B445" s="37" t="inlineStr">
        <is>
          <t>Wade</t>
        </is>
      </c>
      <c r="C445" s="37" t="inlineStr">
        <is>
          <t>Andrea</t>
        </is>
      </c>
      <c r="D445" s="37" t="inlineStr">
        <is>
          <t>RETAINER</t>
        </is>
      </c>
      <c r="E445" s="37" t="n">
        <v>51.7</v>
      </c>
      <c r="F445" s="37" t="n">
        <v>18.5</v>
      </c>
    </row>
    <row r="446">
      <c r="A446" s="37" t="inlineStr">
        <is>
          <t>WL-01445</t>
        </is>
      </c>
      <c r="B446" s="37" t="inlineStr">
        <is>
          <t>Estes</t>
        </is>
      </c>
      <c r="C446" s="37" t="inlineStr">
        <is>
          <t>Kyle</t>
        </is>
      </c>
      <c r="D446" s="37" t="inlineStr">
        <is>
          <t>ACTIVE_WAITLIST</t>
        </is>
      </c>
      <c r="E446" s="37" t="n">
        <v>43.8</v>
      </c>
      <c r="F446" s="37" t="n">
        <v>13.5</v>
      </c>
    </row>
    <row r="447">
      <c r="A447" s="37" t="inlineStr">
        <is>
          <t>WL-01446</t>
        </is>
      </c>
      <c r="B447" s="37" t="inlineStr">
        <is>
          <t>Mccarthy</t>
        </is>
      </c>
      <c r="C447" s="37" t="inlineStr">
        <is>
          <t>Daniel</t>
        </is>
      </c>
      <c r="D447" s="37" t="inlineStr">
        <is>
          <t>ACTIVE_WAITLIST</t>
        </is>
      </c>
      <c r="E447" s="37" t="n">
        <v>21.8</v>
      </c>
      <c r="F447" s="37" t="n">
        <v>7.8</v>
      </c>
    </row>
    <row r="448">
      <c r="A448" s="37" t="inlineStr">
        <is>
          <t>WL-01447</t>
        </is>
      </c>
      <c r="B448" s="37" t="inlineStr">
        <is>
          <t>Bailey</t>
        </is>
      </c>
      <c r="C448" s="37" t="inlineStr">
        <is>
          <t>Tim</t>
        </is>
      </c>
      <c r="D448" s="37" t="inlineStr">
        <is>
          <t>ACTIVE_WAITLIST</t>
        </is>
      </c>
      <c r="E448" s="37" t="n">
        <v>41.3</v>
      </c>
      <c r="F448" s="37" t="n">
        <v>12.8</v>
      </c>
    </row>
    <row r="449">
      <c r="A449" s="37" t="inlineStr">
        <is>
          <t>WL-01448</t>
        </is>
      </c>
      <c r="B449" s="37" t="inlineStr">
        <is>
          <t>Strong</t>
        </is>
      </c>
      <c r="C449" s="37" t="inlineStr">
        <is>
          <t>Alex</t>
        </is>
      </c>
      <c r="D449" s="37" t="inlineStr">
        <is>
          <t>ACTIVE_WAITLIST</t>
        </is>
      </c>
      <c r="E449" s="37" t="n">
        <v>61.7</v>
      </c>
      <c r="F449" s="37" t="n">
        <v>21.7</v>
      </c>
    </row>
    <row r="450">
      <c r="A450" s="37" t="inlineStr">
        <is>
          <t>WL-01449</t>
        </is>
      </c>
      <c r="B450" s="37" t="inlineStr">
        <is>
          <t>Hudson</t>
        </is>
      </c>
      <c r="C450" s="37" t="inlineStr">
        <is>
          <t>Charles</t>
        </is>
      </c>
      <c r="D450" s="37" t="inlineStr">
        <is>
          <t>ACTIVE_WAITLIST</t>
        </is>
      </c>
      <c r="E450" s="37" t="n">
        <v>32.7</v>
      </c>
      <c r="F450" s="37" t="n">
        <v>11.4</v>
      </c>
    </row>
    <row r="451">
      <c r="A451" s="37" t="inlineStr">
        <is>
          <t>WL-01450</t>
        </is>
      </c>
      <c r="B451" s="37" t="inlineStr">
        <is>
          <t>Barnes</t>
        </is>
      </c>
      <c r="C451" s="37" t="inlineStr">
        <is>
          <t>Joel</t>
        </is>
      </c>
      <c r="D451" s="37" t="inlineStr">
        <is>
          <t>ACTIVE_WAITLIST</t>
        </is>
      </c>
      <c r="E451" s="37" t="n">
        <v>22.6</v>
      </c>
      <c r="F451" s="37" t="n">
        <v>6.8</v>
      </c>
    </row>
    <row r="452">
      <c r="A452" s="37" t="inlineStr">
        <is>
          <t>WL-01451</t>
        </is>
      </c>
      <c r="B452" s="37" t="inlineStr">
        <is>
          <t>Hodges</t>
        </is>
      </c>
      <c r="C452" s="37" t="inlineStr">
        <is>
          <t>Christopher</t>
        </is>
      </c>
      <c r="D452" s="37" t="inlineStr">
        <is>
          <t>ACTIVE_WAITLIST</t>
        </is>
      </c>
      <c r="E452" s="37" t="n">
        <v>34.8</v>
      </c>
      <c r="F452" s="37" t="n">
        <v>11.2</v>
      </c>
    </row>
    <row r="453">
      <c r="A453" s="37" t="inlineStr">
        <is>
          <t>WL-01452</t>
        </is>
      </c>
      <c r="B453" s="37" t="inlineStr">
        <is>
          <t>Watson</t>
        </is>
      </c>
      <c r="C453" s="37" t="inlineStr">
        <is>
          <t>Michael</t>
        </is>
      </c>
      <c r="D453" s="37" t="inlineStr">
        <is>
          <t>ACTIVE_WAITLIST</t>
        </is>
      </c>
      <c r="E453" s="37" t="n">
        <v>52.1</v>
      </c>
      <c r="F453" s="37" t="n">
        <v>17.1</v>
      </c>
    </row>
    <row r="454">
      <c r="A454" s="37" t="inlineStr">
        <is>
          <t>WL-01453</t>
        </is>
      </c>
      <c r="B454" s="37" t="inlineStr">
        <is>
          <t>Lee</t>
        </is>
      </c>
      <c r="C454" s="37" t="inlineStr">
        <is>
          <t>Kelly</t>
        </is>
      </c>
      <c r="D454" s="37" t="inlineStr">
        <is>
          <t>ACTIVE_WAITLIST</t>
        </is>
      </c>
      <c r="E454" s="37" t="n">
        <v>40.6</v>
      </c>
      <c r="F454" s="37" t="n">
        <v>11.9</v>
      </c>
    </row>
    <row r="455">
      <c r="A455" s="37" t="inlineStr">
        <is>
          <t>WL-01454</t>
        </is>
      </c>
      <c r="B455" s="37" t="inlineStr">
        <is>
          <t>Scott</t>
        </is>
      </c>
      <c r="C455" s="37" t="inlineStr">
        <is>
          <t>Amber</t>
        </is>
      </c>
      <c r="D455" s="37" t="inlineStr">
        <is>
          <t>ACTIVE_WAITLIST</t>
        </is>
      </c>
      <c r="E455" s="37" t="n">
        <v>30.3</v>
      </c>
      <c r="F455" s="37" t="n">
        <v>10.6</v>
      </c>
    </row>
    <row r="456">
      <c r="A456" s="37" t="inlineStr">
        <is>
          <t>WL-01455</t>
        </is>
      </c>
      <c r="B456" s="37" t="inlineStr">
        <is>
          <t>Dickson</t>
        </is>
      </c>
      <c r="C456" s="37" t="inlineStr">
        <is>
          <t>Matthew</t>
        </is>
      </c>
      <c r="D456" s="37" t="inlineStr">
        <is>
          <t>ACTIVE_WAITLIST</t>
        </is>
      </c>
      <c r="E456" s="37" t="n">
        <v>60.4</v>
      </c>
      <c r="F456" s="37" t="n">
        <v>21.3</v>
      </c>
    </row>
    <row r="457">
      <c r="A457" s="37" t="inlineStr">
        <is>
          <t>WL-01456</t>
        </is>
      </c>
      <c r="B457" s="37" t="inlineStr">
        <is>
          <t>Velez</t>
        </is>
      </c>
      <c r="C457" s="37" t="inlineStr">
        <is>
          <t>Lynn</t>
        </is>
      </c>
      <c r="D457" s="37" t="inlineStr">
        <is>
          <t>ACTIVE_WAITLIST</t>
        </is>
      </c>
      <c r="E457" s="37" t="n">
        <v>25.6</v>
      </c>
      <c r="F457" s="37" t="n">
        <v>7.5</v>
      </c>
    </row>
    <row r="458">
      <c r="A458" s="37" t="inlineStr">
        <is>
          <t>WL-01457</t>
        </is>
      </c>
      <c r="B458" s="37" t="inlineStr">
        <is>
          <t>Grant</t>
        </is>
      </c>
      <c r="C458" s="37" t="inlineStr">
        <is>
          <t>Scott</t>
        </is>
      </c>
      <c r="D458" s="37" t="inlineStr">
        <is>
          <t>ACTIVE_WAITLIST</t>
        </is>
      </c>
      <c r="E458" s="37" t="n">
        <v>25.5</v>
      </c>
      <c r="F458" s="37" t="n">
        <v>7.5</v>
      </c>
    </row>
    <row r="459">
      <c r="A459" s="37" t="inlineStr">
        <is>
          <t>WL-01458</t>
        </is>
      </c>
      <c r="B459" s="37" t="inlineStr">
        <is>
          <t>Ruiz</t>
        </is>
      </c>
      <c r="C459" s="37" t="inlineStr">
        <is>
          <t>Sean</t>
        </is>
      </c>
      <c r="D459" s="37" t="inlineStr">
        <is>
          <t>ACTIVE_WAITLIST</t>
        </is>
      </c>
      <c r="E459" s="37" t="n">
        <v>22.8</v>
      </c>
      <c r="F459" s="37" t="n">
        <v>6.5</v>
      </c>
    </row>
    <row r="460">
      <c r="A460" s="37" t="inlineStr">
        <is>
          <t>WL-01459</t>
        </is>
      </c>
      <c r="B460" s="37" t="inlineStr">
        <is>
          <t>Green</t>
        </is>
      </c>
      <c r="C460" s="37" t="inlineStr">
        <is>
          <t>Brian</t>
        </is>
      </c>
      <c r="D460" s="37" t="inlineStr">
        <is>
          <t>ACTIVE_WAITLIST</t>
        </is>
      </c>
      <c r="E460" s="37" t="n">
        <v>40.5</v>
      </c>
      <c r="F460" s="37" t="n">
        <v>14.4</v>
      </c>
    </row>
    <row r="461">
      <c r="A461" s="37" t="inlineStr">
        <is>
          <t>WL-01460</t>
        </is>
      </c>
      <c r="B461" s="37" t="inlineStr">
        <is>
          <t>Maldonado</t>
        </is>
      </c>
      <c r="C461" s="37" t="inlineStr">
        <is>
          <t>Lori</t>
        </is>
      </c>
      <c r="D461" s="37" t="inlineStr">
        <is>
          <t>ACTIVE_WAITLIST</t>
        </is>
      </c>
      <c r="E461" s="37" t="n">
        <v>45.4</v>
      </c>
      <c r="F461" s="37" t="n">
        <v>16.3</v>
      </c>
    </row>
    <row r="462">
      <c r="A462" s="37" t="inlineStr">
        <is>
          <t>WL-01461</t>
        </is>
      </c>
      <c r="B462" s="37" t="inlineStr">
        <is>
          <t>Holmes</t>
        </is>
      </c>
      <c r="C462" s="37" t="inlineStr">
        <is>
          <t>Brooke</t>
        </is>
      </c>
      <c r="D462" s="37" t="inlineStr">
        <is>
          <t>ACTIVE_WAITLIST</t>
        </is>
      </c>
      <c r="E462" s="37" t="n">
        <v>20.8</v>
      </c>
      <c r="F462" s="37" t="n">
        <v>6.2</v>
      </c>
    </row>
    <row r="463">
      <c r="A463" s="37" t="inlineStr">
        <is>
          <t>WL-01462</t>
        </is>
      </c>
      <c r="B463" s="37" t="inlineStr">
        <is>
          <t>Hart</t>
        </is>
      </c>
      <c r="C463" s="37" t="inlineStr">
        <is>
          <t>Stephanie</t>
        </is>
      </c>
      <c r="D463" s="37" t="inlineStr">
        <is>
          <t>ACTIVE_WAITLIST</t>
        </is>
      </c>
      <c r="E463" s="37" t="n">
        <v>44.5</v>
      </c>
      <c r="F463" s="37" t="n">
        <v>13.4</v>
      </c>
    </row>
    <row r="464">
      <c r="A464" s="37" t="inlineStr">
        <is>
          <t>WL-01463</t>
        </is>
      </c>
      <c r="B464" s="37" t="inlineStr">
        <is>
          <t>Simon</t>
        </is>
      </c>
      <c r="C464" s="37" t="inlineStr">
        <is>
          <t>Katherine</t>
        </is>
      </c>
      <c r="D464" s="37" t="inlineStr">
        <is>
          <t>ACTIVE_WAITLIST</t>
        </is>
      </c>
      <c r="E464" s="37" t="n">
        <v>44.4</v>
      </c>
      <c r="F464" s="37" t="n">
        <v>13</v>
      </c>
    </row>
    <row r="465">
      <c r="A465" s="37" t="inlineStr">
        <is>
          <t>WL-01464</t>
        </is>
      </c>
      <c r="B465" s="37" t="inlineStr">
        <is>
          <t>Dunn</t>
        </is>
      </c>
      <c r="C465" s="37" t="inlineStr">
        <is>
          <t>Thomas</t>
        </is>
      </c>
      <c r="D465" s="37" t="inlineStr">
        <is>
          <t>ACTIVE_WAITLIST</t>
        </is>
      </c>
      <c r="E465" s="37" t="n">
        <v>43.6</v>
      </c>
      <c r="F465" s="37" t="n">
        <v>14</v>
      </c>
    </row>
    <row r="466">
      <c r="A466" s="37" t="inlineStr">
        <is>
          <t>WL-01465</t>
        </is>
      </c>
      <c r="B466" s="37" t="inlineStr">
        <is>
          <t>Gross</t>
        </is>
      </c>
      <c r="C466" s="37" t="inlineStr">
        <is>
          <t>William</t>
        </is>
      </c>
      <c r="D466" s="37" t="inlineStr">
        <is>
          <t>ACTIVE_WAITLIST</t>
        </is>
      </c>
      <c r="E466" s="37" t="n">
        <v>44.4</v>
      </c>
      <c r="F466" s="37" t="n">
        <v>15.7</v>
      </c>
    </row>
    <row r="467">
      <c r="A467" s="37" t="inlineStr">
        <is>
          <t>WL-01466</t>
        </is>
      </c>
      <c r="B467" s="37" t="inlineStr">
        <is>
          <t>Escobar</t>
        </is>
      </c>
      <c r="C467" s="37" t="inlineStr">
        <is>
          <t>Dustin</t>
        </is>
      </c>
      <c r="D467" s="37" t="inlineStr">
        <is>
          <t>ACTIVE_WAITLIST</t>
        </is>
      </c>
      <c r="E467" s="37" t="n">
        <v>39.4</v>
      </c>
      <c r="F467" s="37" t="n">
        <v>12.6</v>
      </c>
    </row>
    <row r="468">
      <c r="A468" s="37" t="inlineStr">
        <is>
          <t>WL-01467</t>
        </is>
      </c>
      <c r="B468" s="37" t="inlineStr">
        <is>
          <t>Soto</t>
        </is>
      </c>
      <c r="C468" s="37" t="inlineStr">
        <is>
          <t>Walter</t>
        </is>
      </c>
      <c r="D468" s="37" t="inlineStr">
        <is>
          <t>ACTIVE_WAITLIST</t>
        </is>
      </c>
      <c r="E468" s="37" t="n">
        <v>29.6</v>
      </c>
      <c r="F468" s="37" t="n">
        <v>8.5</v>
      </c>
    </row>
    <row r="469">
      <c r="A469" s="37" t="inlineStr">
        <is>
          <t>WL-01468</t>
        </is>
      </c>
      <c r="B469" s="37" t="inlineStr">
        <is>
          <t>Medina</t>
        </is>
      </c>
      <c r="C469" s="37" t="inlineStr">
        <is>
          <t>Rebecca</t>
        </is>
      </c>
      <c r="D469" s="37" t="inlineStr">
        <is>
          <t>ACTIVE_WAITLIST</t>
        </is>
      </c>
      <c r="E469" s="37" t="n">
        <v>22.6</v>
      </c>
      <c r="F469" s="37" t="n">
        <v>7.7</v>
      </c>
    </row>
    <row r="470">
      <c r="A470" s="37" t="inlineStr">
        <is>
          <t>WL-01469</t>
        </is>
      </c>
      <c r="B470" s="37" t="inlineStr">
        <is>
          <t>Lynch</t>
        </is>
      </c>
      <c r="C470" s="37" t="inlineStr">
        <is>
          <t>John</t>
        </is>
      </c>
      <c r="D470" s="37" t="inlineStr">
        <is>
          <t>ACTIVE_WAITLIST</t>
        </is>
      </c>
      <c r="E470" s="37" t="n">
        <v>21.4</v>
      </c>
      <c r="F470" s="37" t="n">
        <v>7</v>
      </c>
    </row>
    <row r="471">
      <c r="A471" s="37" t="inlineStr">
        <is>
          <t>WL-01470</t>
        </is>
      </c>
      <c r="B471" s="37" t="inlineStr">
        <is>
          <t>Harmon</t>
        </is>
      </c>
      <c r="C471" s="37" t="inlineStr">
        <is>
          <t>Gina</t>
        </is>
      </c>
      <c r="D471" s="37" t="inlineStr">
        <is>
          <t>RETAINER</t>
        </is>
      </c>
      <c r="E471" s="37" t="n">
        <v>18.6</v>
      </c>
      <c r="F471" s="37" t="n">
        <v>5.4</v>
      </c>
    </row>
    <row r="472">
      <c r="A472" s="37" t="inlineStr">
        <is>
          <t>WL-01471</t>
        </is>
      </c>
      <c r="B472" s="37" t="inlineStr">
        <is>
          <t>Fleming</t>
        </is>
      </c>
      <c r="C472" s="37" t="inlineStr">
        <is>
          <t>Becky</t>
        </is>
      </c>
      <c r="D472" s="37" t="inlineStr">
        <is>
          <t>ACTIVE_WAITLIST</t>
        </is>
      </c>
      <c r="E472" s="37" t="n">
        <v>52.6</v>
      </c>
      <c r="F472" s="37" t="n">
        <v>15.8</v>
      </c>
    </row>
    <row r="473">
      <c r="A473" s="37" t="inlineStr">
        <is>
          <t>WL-01472</t>
        </is>
      </c>
      <c r="B473" s="37" t="inlineStr">
        <is>
          <t>Rojas</t>
        </is>
      </c>
      <c r="C473" s="37" t="inlineStr">
        <is>
          <t>Amber</t>
        </is>
      </c>
      <c r="D473" s="37" t="inlineStr">
        <is>
          <t>ACTIVE_WAITLIST</t>
        </is>
      </c>
      <c r="E473" s="37" t="n">
        <v>47.3</v>
      </c>
      <c r="F473" s="37" t="n">
        <v>16.2</v>
      </c>
    </row>
    <row r="474">
      <c r="A474" s="37" t="inlineStr">
        <is>
          <t>WL-01473</t>
        </is>
      </c>
      <c r="B474" s="37" t="inlineStr">
        <is>
          <t>Parrish</t>
        </is>
      </c>
      <c r="C474" s="37" t="inlineStr">
        <is>
          <t>Ian</t>
        </is>
      </c>
      <c r="D474" s="37" t="inlineStr">
        <is>
          <t>ACTIVE_WAITLIST</t>
        </is>
      </c>
      <c r="E474" s="37" t="n">
        <v>59</v>
      </c>
      <c r="F474" s="37" t="n">
        <v>19.4</v>
      </c>
    </row>
    <row r="475">
      <c r="A475" s="37" t="inlineStr">
        <is>
          <t>WL-01474</t>
        </is>
      </c>
      <c r="B475" s="37" t="inlineStr">
        <is>
          <t>Barker</t>
        </is>
      </c>
      <c r="C475" s="37" t="inlineStr">
        <is>
          <t>Alexis</t>
        </is>
      </c>
      <c r="D475" s="37" t="inlineStr">
        <is>
          <t>ACTIVE_WAITLIST</t>
        </is>
      </c>
      <c r="E475" s="37" t="n">
        <v>56.4</v>
      </c>
      <c r="F475" s="37" t="n">
        <v>18.6</v>
      </c>
    </row>
    <row r="476">
      <c r="A476" s="37" t="inlineStr">
        <is>
          <t>WL-01475</t>
        </is>
      </c>
      <c r="B476" s="37" t="inlineStr">
        <is>
          <t>Steele</t>
        </is>
      </c>
      <c r="C476" s="37" t="inlineStr">
        <is>
          <t>Melissa</t>
        </is>
      </c>
      <c r="D476" s="37" t="inlineStr">
        <is>
          <t>ACTIVE_WAITLIST</t>
        </is>
      </c>
      <c r="E476" s="37" t="n">
        <v>59.9</v>
      </c>
      <c r="F476" s="37" t="n">
        <v>18.5</v>
      </c>
    </row>
    <row r="477">
      <c r="A477" s="37" t="inlineStr">
        <is>
          <t>WL-01476</t>
        </is>
      </c>
      <c r="B477" s="37" t="inlineStr">
        <is>
          <t>Rowland</t>
        </is>
      </c>
      <c r="C477" s="37" t="inlineStr">
        <is>
          <t>Brianna</t>
        </is>
      </c>
      <c r="D477" s="37" t="inlineStr">
        <is>
          <t>ACTIVE_WAITLIST</t>
        </is>
      </c>
      <c r="E477" s="37" t="n">
        <v>34.6</v>
      </c>
      <c r="F477" s="37" t="n">
        <v>10.1</v>
      </c>
    </row>
    <row r="478">
      <c r="A478" s="37" t="inlineStr">
        <is>
          <t>WL-01477</t>
        </is>
      </c>
      <c r="B478" s="37" t="inlineStr">
        <is>
          <t>Brown</t>
        </is>
      </c>
      <c r="C478" s="37" t="inlineStr">
        <is>
          <t>Virginia</t>
        </is>
      </c>
      <c r="D478" s="37" t="inlineStr">
        <is>
          <t>ACTIVE_WAITLIST</t>
        </is>
      </c>
      <c r="E478" s="37" t="n">
        <v>21.4</v>
      </c>
      <c r="F478" s="37" t="n">
        <v>7.4</v>
      </c>
    </row>
    <row r="479">
      <c r="A479" s="37" t="inlineStr">
        <is>
          <t>WL-01478</t>
        </is>
      </c>
      <c r="B479" s="37" t="inlineStr">
        <is>
          <t>Thomas</t>
        </is>
      </c>
      <c r="C479" s="37" t="inlineStr">
        <is>
          <t>William</t>
        </is>
      </c>
      <c r="D479" s="37" t="inlineStr">
        <is>
          <t>ACTIVE_WAITLIST</t>
        </is>
      </c>
      <c r="E479" s="37" t="n">
        <v>38.1</v>
      </c>
      <c r="F479" s="37" t="n">
        <v>11.2</v>
      </c>
    </row>
    <row r="480">
      <c r="A480" s="37" t="inlineStr">
        <is>
          <t>WL-01479</t>
        </is>
      </c>
      <c r="B480" s="37" t="inlineStr">
        <is>
          <t>Gonzalez</t>
        </is>
      </c>
      <c r="C480" s="37" t="inlineStr">
        <is>
          <t>Cassandra</t>
        </is>
      </c>
      <c r="D480" s="37" t="inlineStr">
        <is>
          <t>ACTIVE_WAITLIST</t>
        </is>
      </c>
      <c r="E480" s="37" t="n">
        <v>29.3</v>
      </c>
      <c r="F480" s="37" t="n">
        <v>10.3</v>
      </c>
    </row>
    <row r="481">
      <c r="A481" s="37" t="inlineStr">
        <is>
          <t>WL-01480</t>
        </is>
      </c>
      <c r="B481" s="37" t="inlineStr">
        <is>
          <t>Meyer</t>
        </is>
      </c>
      <c r="C481" s="37" t="inlineStr">
        <is>
          <t>Kaitlin</t>
        </is>
      </c>
      <c r="D481" s="37" t="inlineStr">
        <is>
          <t>ACTIVE_WAITLIST</t>
        </is>
      </c>
      <c r="E481" s="37" t="n">
        <v>48</v>
      </c>
      <c r="F481" s="37" t="n">
        <v>15</v>
      </c>
    </row>
    <row r="482">
      <c r="A482" s="37" t="inlineStr">
        <is>
          <t>WL-01481</t>
        </is>
      </c>
      <c r="B482" s="37" t="inlineStr">
        <is>
          <t>Jenkins</t>
        </is>
      </c>
      <c r="C482" s="37" t="inlineStr">
        <is>
          <t>Jeremy</t>
        </is>
      </c>
      <c r="D482" s="37" t="inlineStr">
        <is>
          <t>ACTIVE_WAITLIST</t>
        </is>
      </c>
      <c r="E482" s="37" t="n">
        <v>20.4</v>
      </c>
      <c r="F482" s="37" t="n">
        <v>6.5</v>
      </c>
    </row>
    <row r="483">
      <c r="A483" s="37" t="inlineStr">
        <is>
          <t>WL-01482</t>
        </is>
      </c>
      <c r="B483" s="37" t="inlineStr">
        <is>
          <t>Boyer</t>
        </is>
      </c>
      <c r="C483" s="37" t="inlineStr">
        <is>
          <t>Brandon</t>
        </is>
      </c>
      <c r="D483" s="37" t="inlineStr">
        <is>
          <t>ACTIVE_WAITLIST</t>
        </is>
      </c>
      <c r="E483" s="37" t="n">
        <v>61.3</v>
      </c>
      <c r="F483" s="37" t="n">
        <v>19.8</v>
      </c>
    </row>
    <row r="484">
      <c r="A484" s="37" t="inlineStr">
        <is>
          <t>WL-01483</t>
        </is>
      </c>
      <c r="B484" s="37" t="inlineStr">
        <is>
          <t>Steele</t>
        </is>
      </c>
      <c r="C484" s="37" t="inlineStr">
        <is>
          <t>Jorge</t>
        </is>
      </c>
      <c r="D484" s="37" t="inlineStr">
        <is>
          <t>ACTIVE_WAITLIST</t>
        </is>
      </c>
      <c r="E484" s="37" t="n">
        <v>22.1</v>
      </c>
      <c r="F484" s="37" t="n">
        <v>6.3</v>
      </c>
    </row>
    <row r="485">
      <c r="A485" s="37" t="inlineStr">
        <is>
          <t>WL-01484</t>
        </is>
      </c>
      <c r="B485" s="37" t="inlineStr">
        <is>
          <t>Mann</t>
        </is>
      </c>
      <c r="C485" s="37" t="inlineStr">
        <is>
          <t>Patricia</t>
        </is>
      </c>
      <c r="D485" s="37" t="inlineStr">
        <is>
          <t>ACTIVE_WAITLIST</t>
        </is>
      </c>
      <c r="E485" s="37" t="n">
        <v>53.1</v>
      </c>
      <c r="F485" s="37" t="n">
        <v>16.6</v>
      </c>
    </row>
    <row r="486">
      <c r="A486" s="37" t="inlineStr">
        <is>
          <t>WL-01485</t>
        </is>
      </c>
      <c r="B486" s="37" t="inlineStr">
        <is>
          <t>Vaughn</t>
        </is>
      </c>
      <c r="C486" s="37" t="inlineStr">
        <is>
          <t>Judith</t>
        </is>
      </c>
      <c r="D486" s="37" t="inlineStr">
        <is>
          <t>ACTIVE_WAITLIST</t>
        </is>
      </c>
      <c r="E486" s="37" t="n">
        <v>51.5</v>
      </c>
      <c r="F486" s="37" t="n">
        <v>14.6</v>
      </c>
    </row>
    <row r="487">
      <c r="A487" s="37" t="inlineStr">
        <is>
          <t>WL-01486</t>
        </is>
      </c>
      <c r="B487" s="37" t="inlineStr">
        <is>
          <t>Spears</t>
        </is>
      </c>
      <c r="C487" s="37" t="inlineStr">
        <is>
          <t>Stacey</t>
        </is>
      </c>
      <c r="D487" s="37" t="inlineStr">
        <is>
          <t>ACTIVE_WAITLIST</t>
        </is>
      </c>
      <c r="E487" s="37" t="n">
        <v>42.1</v>
      </c>
      <c r="F487" s="37" t="n">
        <v>12</v>
      </c>
    </row>
    <row r="488">
      <c r="A488" s="37" t="inlineStr">
        <is>
          <t>WL-01487</t>
        </is>
      </c>
      <c r="B488" s="37" t="inlineStr">
        <is>
          <t>Palmer</t>
        </is>
      </c>
      <c r="C488" s="37" t="inlineStr">
        <is>
          <t>Thomas</t>
        </is>
      </c>
      <c r="D488" s="37" t="inlineStr">
        <is>
          <t>ACTIVE_WAITLIST</t>
        </is>
      </c>
      <c r="E488" s="37" t="n">
        <v>42.3</v>
      </c>
      <c r="F488" s="37" t="n">
        <v>12.6</v>
      </c>
    </row>
    <row r="489">
      <c r="A489" s="37" t="inlineStr">
        <is>
          <t>WL-01488</t>
        </is>
      </c>
      <c r="B489" s="37" t="inlineStr">
        <is>
          <t>Wilcox</t>
        </is>
      </c>
      <c r="C489" s="37" t="inlineStr">
        <is>
          <t>Stephen</t>
        </is>
      </c>
      <c r="D489" s="37" t="inlineStr">
        <is>
          <t>ACTIVE_WAITLIST</t>
        </is>
      </c>
      <c r="E489" s="37" t="n">
        <v>43.8</v>
      </c>
      <c r="F489" s="37" t="n">
        <v>15</v>
      </c>
    </row>
    <row r="490">
      <c r="A490" s="37" t="inlineStr">
        <is>
          <t>WL-01489</t>
        </is>
      </c>
      <c r="B490" s="37" t="inlineStr">
        <is>
          <t>Thomas</t>
        </is>
      </c>
      <c r="C490" s="37" t="inlineStr">
        <is>
          <t>Donna</t>
        </is>
      </c>
      <c r="D490" s="37" t="inlineStr">
        <is>
          <t>ACTIVE_WAITLIST</t>
        </is>
      </c>
      <c r="E490" s="37" t="n">
        <v>26.8</v>
      </c>
      <c r="F490" s="37" t="n">
        <v>7.8</v>
      </c>
    </row>
    <row r="491">
      <c r="A491" s="37" t="inlineStr">
        <is>
          <t>WL-01490</t>
        </is>
      </c>
      <c r="B491" s="37" t="inlineStr">
        <is>
          <t>Arnold</t>
        </is>
      </c>
      <c r="C491" s="37" t="inlineStr">
        <is>
          <t>Cheyenne</t>
        </is>
      </c>
      <c r="D491" s="37" t="inlineStr">
        <is>
          <t>ACTIVE_WAITLIST</t>
        </is>
      </c>
      <c r="E491" s="37" t="n">
        <v>34</v>
      </c>
      <c r="F491" s="37" t="n">
        <v>9.699999999999999</v>
      </c>
    </row>
    <row r="492">
      <c r="A492" s="37" t="inlineStr">
        <is>
          <t>WL-01491</t>
        </is>
      </c>
      <c r="B492" s="37" t="inlineStr">
        <is>
          <t>Jones</t>
        </is>
      </c>
      <c r="C492" s="37" t="inlineStr">
        <is>
          <t>Cody</t>
        </is>
      </c>
      <c r="D492" s="37" t="inlineStr">
        <is>
          <t>ACTIVE_WAITLIST</t>
        </is>
      </c>
      <c r="E492" s="37" t="n">
        <v>38.2</v>
      </c>
      <c r="F492" s="37" t="n">
        <v>13.3</v>
      </c>
    </row>
    <row r="493">
      <c r="A493" s="37" t="inlineStr">
        <is>
          <t>WL-01492</t>
        </is>
      </c>
      <c r="B493" s="37" t="inlineStr">
        <is>
          <t>Williams</t>
        </is>
      </c>
      <c r="C493" s="37" t="inlineStr">
        <is>
          <t>Elizabeth</t>
        </is>
      </c>
      <c r="D493" s="37" t="inlineStr">
        <is>
          <t>ACTIVE_WAITLIST</t>
        </is>
      </c>
      <c r="E493" s="37" t="n">
        <v>58.2</v>
      </c>
      <c r="F493" s="37" t="n">
        <v>17.6</v>
      </c>
    </row>
    <row r="494">
      <c r="A494" s="37" t="inlineStr">
        <is>
          <t>WL-01493</t>
        </is>
      </c>
      <c r="B494" s="37" t="inlineStr">
        <is>
          <t>Guerra</t>
        </is>
      </c>
      <c r="C494" s="37" t="inlineStr">
        <is>
          <t>Jean</t>
        </is>
      </c>
      <c r="D494" s="37" t="inlineStr">
        <is>
          <t>ACTIVE_WAITLIST</t>
        </is>
      </c>
      <c r="E494" s="37" t="n">
        <v>18.4</v>
      </c>
      <c r="F494" s="37" t="n">
        <v>5.6</v>
      </c>
    </row>
    <row r="495">
      <c r="A495" s="37" t="inlineStr">
        <is>
          <t>WL-01494</t>
        </is>
      </c>
      <c r="B495" s="37" t="inlineStr">
        <is>
          <t>Park</t>
        </is>
      </c>
      <c r="C495" s="37" t="inlineStr">
        <is>
          <t>Ashley</t>
        </is>
      </c>
      <c r="D495" s="37" t="inlineStr">
        <is>
          <t>ACTIVE_WAITLIST</t>
        </is>
      </c>
      <c r="E495" s="37" t="n">
        <v>43.9</v>
      </c>
      <c r="F495" s="37" t="n">
        <v>15.3</v>
      </c>
    </row>
    <row r="496">
      <c r="A496" s="37" t="inlineStr">
        <is>
          <t>WL-01495</t>
        </is>
      </c>
      <c r="B496" s="37" t="inlineStr">
        <is>
          <t>Bailey</t>
        </is>
      </c>
      <c r="C496" s="37" t="inlineStr">
        <is>
          <t>Melanie</t>
        </is>
      </c>
      <c r="D496" s="37" t="inlineStr">
        <is>
          <t>ACTIVE_WAITLIST</t>
        </is>
      </c>
      <c r="E496" s="37" t="n">
        <v>55.5</v>
      </c>
      <c r="F496" s="37" t="n">
        <v>19.2</v>
      </c>
    </row>
    <row r="497">
      <c r="A497" s="37" t="inlineStr">
        <is>
          <t>WL-01496</t>
        </is>
      </c>
      <c r="B497" s="37" t="inlineStr">
        <is>
          <t>Fry</t>
        </is>
      </c>
      <c r="C497" s="37" t="inlineStr">
        <is>
          <t>Kyle</t>
        </is>
      </c>
      <c r="D497" s="37" t="inlineStr">
        <is>
          <t>ACTIVE_WAITLIST</t>
        </is>
      </c>
      <c r="E497" s="37" t="n">
        <v>52.7</v>
      </c>
      <c r="F497" s="37" t="n">
        <v>15.6</v>
      </c>
    </row>
    <row r="498">
      <c r="A498" s="37" t="inlineStr">
        <is>
          <t>WL-01497</t>
        </is>
      </c>
      <c r="B498" s="37" t="inlineStr">
        <is>
          <t>Ellis</t>
        </is>
      </c>
      <c r="C498" s="37" t="inlineStr">
        <is>
          <t>Aaron</t>
        </is>
      </c>
      <c r="D498" s="37" t="inlineStr">
        <is>
          <t>ACTIVE_WAITLIST</t>
        </is>
      </c>
      <c r="E498" s="37" t="n">
        <v>58.7</v>
      </c>
      <c r="F498" s="37" t="n">
        <v>16.7</v>
      </c>
    </row>
    <row r="499">
      <c r="A499" s="37" t="inlineStr">
        <is>
          <t>WL-01498</t>
        </is>
      </c>
      <c r="B499" s="37" t="inlineStr">
        <is>
          <t>Nelson</t>
        </is>
      </c>
      <c r="C499" s="37" t="inlineStr">
        <is>
          <t>Paul</t>
        </is>
      </c>
      <c r="D499" s="37" t="inlineStr">
        <is>
          <t>EXPIRED</t>
        </is>
      </c>
      <c r="E499" s="37" t="n">
        <v>41.3</v>
      </c>
      <c r="F499" s="37" t="n">
        <v>11.8</v>
      </c>
    </row>
    <row r="500">
      <c r="A500" s="37" t="inlineStr">
        <is>
          <t>WL-01499</t>
        </is>
      </c>
      <c r="B500" s="37" t="inlineStr">
        <is>
          <t>Miller</t>
        </is>
      </c>
      <c r="C500" s="37" t="inlineStr">
        <is>
          <t>Jessica</t>
        </is>
      </c>
      <c r="D500" s="37" t="inlineStr">
        <is>
          <t>ACTIVE_WAITLIST</t>
        </is>
      </c>
      <c r="E500" s="37" t="n">
        <v>61.9</v>
      </c>
      <c r="F500" s="37" t="n">
        <v>19</v>
      </c>
    </row>
    <row r="501">
      <c r="A501" s="37" t="inlineStr">
        <is>
          <t>WL-01500</t>
        </is>
      </c>
      <c r="B501" s="37" t="inlineStr">
        <is>
          <t>Marquez</t>
        </is>
      </c>
      <c r="C501" s="37" t="inlineStr">
        <is>
          <t>Patricia</t>
        </is>
      </c>
      <c r="D501" s="37" t="inlineStr">
        <is>
          <t>ACTIVE_WAITLIST</t>
        </is>
      </c>
      <c r="E501" s="37" t="n">
        <v>25.2</v>
      </c>
      <c r="F501" s="37" t="n">
        <v>8.6</v>
      </c>
    </row>
    <row r="502">
      <c r="A502" s="37" t="inlineStr">
        <is>
          <t>WL-01501</t>
        </is>
      </c>
      <c r="B502" s="37" t="inlineStr">
        <is>
          <t>Levine</t>
        </is>
      </c>
      <c r="C502" s="37" t="inlineStr">
        <is>
          <t>Thomas</t>
        </is>
      </c>
      <c r="D502" s="37" t="inlineStr">
        <is>
          <t>ACTIVE_WAITLIST</t>
        </is>
      </c>
      <c r="E502" s="37" t="n">
        <v>47</v>
      </c>
      <c r="F502" s="37" t="n">
        <v>15.5</v>
      </c>
    </row>
    <row r="503">
      <c r="A503" s="37" t="inlineStr">
        <is>
          <t>WL-01502</t>
        </is>
      </c>
      <c r="B503" s="37" t="inlineStr">
        <is>
          <t>Henry</t>
        </is>
      </c>
      <c r="C503" s="37" t="inlineStr">
        <is>
          <t>Eric</t>
        </is>
      </c>
      <c r="D503" s="37" t="inlineStr">
        <is>
          <t>ACTIVE_WAITLIST</t>
        </is>
      </c>
      <c r="E503" s="37" t="n">
        <v>36</v>
      </c>
      <c r="F503" s="37" t="n">
        <v>10.2</v>
      </c>
    </row>
    <row r="504">
      <c r="A504" s="37" t="inlineStr">
        <is>
          <t>WL-01503</t>
        </is>
      </c>
      <c r="B504" s="37" t="inlineStr">
        <is>
          <t>Moore</t>
        </is>
      </c>
      <c r="C504" s="37" t="inlineStr">
        <is>
          <t>Kayla</t>
        </is>
      </c>
      <c r="D504" s="37" t="inlineStr">
        <is>
          <t>ACTIVE_WAITLIST</t>
        </is>
      </c>
      <c r="E504" s="37" t="n">
        <v>61.1</v>
      </c>
      <c r="F504" s="37" t="n">
        <v>20.3</v>
      </c>
    </row>
    <row r="505">
      <c r="A505" s="37" t="inlineStr">
        <is>
          <t>WL-01504</t>
        </is>
      </c>
      <c r="B505" s="37" t="inlineStr">
        <is>
          <t>Johnson</t>
        </is>
      </c>
      <c r="C505" s="37" t="inlineStr">
        <is>
          <t>Margaret</t>
        </is>
      </c>
      <c r="D505" s="37" t="inlineStr">
        <is>
          <t>ACTIVE_WAITLIST</t>
        </is>
      </c>
      <c r="E505" s="37" t="n">
        <v>32.6</v>
      </c>
      <c r="F505" s="37" t="n">
        <v>11.5</v>
      </c>
    </row>
    <row r="506">
      <c r="A506" s="37" t="inlineStr">
        <is>
          <t>WL-01505</t>
        </is>
      </c>
      <c r="B506" s="37" t="inlineStr">
        <is>
          <t>Branch</t>
        </is>
      </c>
      <c r="C506" s="37" t="inlineStr">
        <is>
          <t>Abigail</t>
        </is>
      </c>
      <c r="D506" s="37" t="inlineStr">
        <is>
          <t>ACTIVE_WAITLIST</t>
        </is>
      </c>
      <c r="E506" s="37" t="n">
        <v>32.8</v>
      </c>
      <c r="F506" s="37" t="n">
        <v>10.5</v>
      </c>
    </row>
    <row r="507">
      <c r="A507" s="37" t="inlineStr">
        <is>
          <t>WL-01506</t>
        </is>
      </c>
      <c r="B507" s="37" t="inlineStr">
        <is>
          <t>Solomon</t>
        </is>
      </c>
      <c r="C507" s="37" t="inlineStr">
        <is>
          <t>Adam</t>
        </is>
      </c>
      <c r="D507" s="37" t="inlineStr">
        <is>
          <t>ACTIVE_WAITLIST</t>
        </is>
      </c>
      <c r="E507" s="37" t="n">
        <v>29.9</v>
      </c>
      <c r="F507" s="37" t="n">
        <v>10.7</v>
      </c>
    </row>
    <row r="508">
      <c r="A508" s="37" t="inlineStr">
        <is>
          <t>WL-01507</t>
        </is>
      </c>
      <c r="B508" s="37" t="inlineStr">
        <is>
          <t>Mejia</t>
        </is>
      </c>
      <c r="C508" s="37" t="inlineStr">
        <is>
          <t>Andrea</t>
        </is>
      </c>
      <c r="D508" s="37" t="inlineStr">
        <is>
          <t>SUSPENDED</t>
        </is>
      </c>
      <c r="E508" s="37" t="n">
        <v>33.2</v>
      </c>
      <c r="F508" s="37" t="n">
        <v>10.2</v>
      </c>
    </row>
    <row r="509">
      <c r="A509" s="37" t="inlineStr">
        <is>
          <t>WL-01508</t>
        </is>
      </c>
      <c r="B509" s="37" t="inlineStr">
        <is>
          <t>Williams</t>
        </is>
      </c>
      <c r="C509" s="37" t="inlineStr">
        <is>
          <t>Jose</t>
        </is>
      </c>
      <c r="D509" s="37" t="inlineStr">
        <is>
          <t>ACTIVE_WAITLIST</t>
        </is>
      </c>
      <c r="E509" s="37" t="n">
        <v>44.4</v>
      </c>
      <c r="F509" s="37" t="n">
        <v>14.5</v>
      </c>
    </row>
    <row r="510">
      <c r="A510" s="37" t="inlineStr">
        <is>
          <t>WL-01509</t>
        </is>
      </c>
      <c r="B510" s="37" t="inlineStr">
        <is>
          <t>Hatfield</t>
        </is>
      </c>
      <c r="C510" s="37" t="inlineStr">
        <is>
          <t>William</t>
        </is>
      </c>
      <c r="D510" s="37" t="inlineStr">
        <is>
          <t>ACTIVE_WAITLIST</t>
        </is>
      </c>
      <c r="E510" s="37" t="n">
        <v>40.2</v>
      </c>
      <c r="F510" s="37" t="n">
        <v>13.9</v>
      </c>
    </row>
    <row r="511">
      <c r="A511" s="37" t="inlineStr">
        <is>
          <t>WL-01510</t>
        </is>
      </c>
      <c r="B511" s="37" t="inlineStr">
        <is>
          <t>Baker</t>
        </is>
      </c>
      <c r="C511" s="37" t="inlineStr">
        <is>
          <t>Melanie</t>
        </is>
      </c>
      <c r="D511" s="37" t="inlineStr">
        <is>
          <t>ACTIVE_WAITLIST</t>
        </is>
      </c>
      <c r="E511" s="37" t="n">
        <v>32.4</v>
      </c>
      <c r="F511" s="37" t="n">
        <v>10.8</v>
      </c>
    </row>
    <row r="512">
      <c r="A512" s="37" t="inlineStr">
        <is>
          <t>WL-01511</t>
        </is>
      </c>
      <c r="B512" s="37" t="inlineStr">
        <is>
          <t>Sullivan</t>
        </is>
      </c>
      <c r="C512" s="37" t="inlineStr">
        <is>
          <t>Nancy</t>
        </is>
      </c>
      <c r="D512" s="37" t="inlineStr">
        <is>
          <t>ACTIVE_WAITLIST</t>
        </is>
      </c>
      <c r="E512" s="37" t="n">
        <v>51.6</v>
      </c>
      <c r="F512" s="37" t="n">
        <v>18.4</v>
      </c>
    </row>
    <row r="513">
      <c r="A513" s="37" t="inlineStr">
        <is>
          <t>WL-01512</t>
        </is>
      </c>
      <c r="B513" s="37" t="inlineStr">
        <is>
          <t>Tapia</t>
        </is>
      </c>
      <c r="C513" s="37" t="inlineStr">
        <is>
          <t>David</t>
        </is>
      </c>
      <c r="D513" s="37" t="inlineStr">
        <is>
          <t>ACTIVE_WAITLIST</t>
        </is>
      </c>
      <c r="E513" s="37" t="n">
        <v>19</v>
      </c>
      <c r="F513" s="37" t="n">
        <v>5.7</v>
      </c>
    </row>
    <row r="514">
      <c r="A514" s="37" t="inlineStr">
        <is>
          <t>WL-01513</t>
        </is>
      </c>
      <c r="B514" s="37" t="inlineStr">
        <is>
          <t>Thomas</t>
        </is>
      </c>
      <c r="C514" s="37" t="inlineStr">
        <is>
          <t>Jennifer</t>
        </is>
      </c>
      <c r="D514" s="37" t="inlineStr">
        <is>
          <t>ACTIVE_WAITLIST</t>
        </is>
      </c>
      <c r="E514" s="37" t="n">
        <v>47.3</v>
      </c>
      <c r="F514" s="37" t="n">
        <v>15.9</v>
      </c>
    </row>
    <row r="515">
      <c r="A515" s="37" t="inlineStr">
        <is>
          <t>WL-01514</t>
        </is>
      </c>
      <c r="B515" s="37" t="inlineStr">
        <is>
          <t>Young</t>
        </is>
      </c>
      <c r="C515" s="37" t="inlineStr">
        <is>
          <t>Gary</t>
        </is>
      </c>
      <c r="D515" s="37" t="inlineStr">
        <is>
          <t>ACTIVE_WAITLIST</t>
        </is>
      </c>
      <c r="E515" s="37" t="n">
        <v>23</v>
      </c>
      <c r="F515" s="37" t="n">
        <v>7</v>
      </c>
    </row>
    <row r="516">
      <c r="A516" s="37" t="inlineStr">
        <is>
          <t>WL-01515</t>
        </is>
      </c>
      <c r="B516" s="37" t="inlineStr">
        <is>
          <t>Simpson</t>
        </is>
      </c>
      <c r="C516" s="37" t="inlineStr">
        <is>
          <t>Andrea</t>
        </is>
      </c>
      <c r="D516" s="37" t="inlineStr">
        <is>
          <t>ACTIVE_WAITLIST</t>
        </is>
      </c>
      <c r="E516" s="37" t="n">
        <v>50.3</v>
      </c>
      <c r="F516" s="37" t="n">
        <v>16.2</v>
      </c>
    </row>
    <row r="517">
      <c r="A517" s="37" t="inlineStr">
        <is>
          <t>WL-01516</t>
        </is>
      </c>
      <c r="B517" s="37" t="inlineStr">
        <is>
          <t>Thompson</t>
        </is>
      </c>
      <c r="C517" s="37" t="inlineStr">
        <is>
          <t>Brandon</t>
        </is>
      </c>
      <c r="D517" s="37" t="inlineStr">
        <is>
          <t>ACTIVE_WAITLIST</t>
        </is>
      </c>
      <c r="E517" s="37" t="n">
        <v>38</v>
      </c>
      <c r="F517" s="37" t="n">
        <v>13.5</v>
      </c>
    </row>
    <row r="518">
      <c r="A518" s="37" t="inlineStr">
        <is>
          <t>WL-01517</t>
        </is>
      </c>
      <c r="B518" s="37" t="inlineStr">
        <is>
          <t>Abbott</t>
        </is>
      </c>
      <c r="C518" s="37" t="inlineStr">
        <is>
          <t>Manuel</t>
        </is>
      </c>
      <c r="D518" s="37" t="inlineStr">
        <is>
          <t>ACTIVE_WAITLIST</t>
        </is>
      </c>
      <c r="E518" s="37" t="n">
        <v>19.8</v>
      </c>
      <c r="F518" s="37" t="n">
        <v>6.4</v>
      </c>
    </row>
    <row r="519">
      <c r="A519" s="37" t="inlineStr">
        <is>
          <t>WL-01518</t>
        </is>
      </c>
      <c r="B519" s="37" t="inlineStr">
        <is>
          <t>Maynard</t>
        </is>
      </c>
      <c r="C519" s="37" t="inlineStr">
        <is>
          <t>Tanya</t>
        </is>
      </c>
      <c r="D519" s="37" t="inlineStr">
        <is>
          <t>ACTIVE_WAITLIST</t>
        </is>
      </c>
      <c r="E519" s="37" t="n">
        <v>40.7</v>
      </c>
      <c r="F519" s="37" t="n">
        <v>14.6</v>
      </c>
    </row>
    <row r="520">
      <c r="A520" s="37" t="inlineStr">
        <is>
          <t>WL-01519</t>
        </is>
      </c>
      <c r="B520" s="37" t="inlineStr">
        <is>
          <t>Griffin</t>
        </is>
      </c>
      <c r="C520" s="37" t="inlineStr">
        <is>
          <t>Manuel</t>
        </is>
      </c>
      <c r="D520" s="37" t="inlineStr">
        <is>
          <t>ACTIVE_WAITLIST</t>
        </is>
      </c>
      <c r="E520" s="37" t="n">
        <v>39.4</v>
      </c>
      <c r="F520" s="37" t="n">
        <v>12.4</v>
      </c>
    </row>
    <row r="521">
      <c r="A521" s="37" t="inlineStr">
        <is>
          <t>WL-01520</t>
        </is>
      </c>
      <c r="B521" s="37" t="inlineStr">
        <is>
          <t>Davis</t>
        </is>
      </c>
      <c r="C521" s="37" t="inlineStr">
        <is>
          <t>Michelle</t>
        </is>
      </c>
      <c r="D521" s="37" t="inlineStr">
        <is>
          <t>ACTIVE_WAITLIST</t>
        </is>
      </c>
      <c r="E521" s="37" t="n">
        <v>32.2</v>
      </c>
      <c r="F521" s="37" t="n">
        <v>10.2</v>
      </c>
    </row>
    <row r="522">
      <c r="A522" s="37" t="inlineStr">
        <is>
          <t>WL-01521</t>
        </is>
      </c>
      <c r="B522" s="37" t="inlineStr">
        <is>
          <t>Cook</t>
        </is>
      </c>
      <c r="C522" s="37" t="inlineStr">
        <is>
          <t>Ronald</t>
        </is>
      </c>
      <c r="D522" s="37" t="inlineStr">
        <is>
          <t>ACTIVE_WAITLIST</t>
        </is>
      </c>
      <c r="E522" s="37" t="n">
        <v>52.1</v>
      </c>
      <c r="F522" s="37" t="n">
        <v>17</v>
      </c>
    </row>
    <row r="523">
      <c r="A523" s="37" t="inlineStr">
        <is>
          <t>WL-01522</t>
        </is>
      </c>
      <c r="B523" s="37" t="inlineStr">
        <is>
          <t>Hall</t>
        </is>
      </c>
      <c r="C523" s="37" t="inlineStr">
        <is>
          <t>Joyce</t>
        </is>
      </c>
      <c r="D523" s="37" t="inlineStr">
        <is>
          <t>ACTIVE_WAITLIST</t>
        </is>
      </c>
      <c r="E523" s="37" t="n">
        <v>19.6</v>
      </c>
      <c r="F523" s="37" t="n">
        <v>7</v>
      </c>
    </row>
    <row r="524">
      <c r="A524" s="37" t="inlineStr">
        <is>
          <t>WL-01523</t>
        </is>
      </c>
      <c r="B524" s="37" t="inlineStr">
        <is>
          <t>Oneill</t>
        </is>
      </c>
      <c r="C524" s="37" t="inlineStr">
        <is>
          <t>Melissa</t>
        </is>
      </c>
      <c r="D524" s="37" t="inlineStr">
        <is>
          <t>RETAINER</t>
        </is>
      </c>
      <c r="E524" s="37" t="n">
        <v>49.4</v>
      </c>
      <c r="F524" s="37" t="n">
        <v>17.8</v>
      </c>
    </row>
    <row r="525">
      <c r="A525" s="37" t="inlineStr">
        <is>
          <t>WL-01524</t>
        </is>
      </c>
      <c r="B525" s="37" t="inlineStr">
        <is>
          <t>Wright</t>
        </is>
      </c>
      <c r="C525" s="37" t="inlineStr">
        <is>
          <t>William</t>
        </is>
      </c>
      <c r="D525" s="37" t="inlineStr">
        <is>
          <t>ACTIVE_WAITLIST</t>
        </is>
      </c>
      <c r="E525" s="37" t="n">
        <v>60.8</v>
      </c>
      <c r="F525" s="37" t="n">
        <v>21.2</v>
      </c>
    </row>
    <row r="526">
      <c r="A526" s="37" t="inlineStr">
        <is>
          <t>WL-01525</t>
        </is>
      </c>
      <c r="B526" s="37" t="inlineStr">
        <is>
          <t>Myers</t>
        </is>
      </c>
      <c r="C526" s="37" t="inlineStr">
        <is>
          <t>Holly</t>
        </is>
      </c>
      <c r="D526" s="37" t="inlineStr">
        <is>
          <t>ACTIVE_WAITLIST</t>
        </is>
      </c>
      <c r="E526" s="37" t="n">
        <v>36.7</v>
      </c>
      <c r="F526" s="37" t="n">
        <v>13.1</v>
      </c>
    </row>
    <row r="527">
      <c r="A527" s="37" t="inlineStr">
        <is>
          <t>WL-01526</t>
        </is>
      </c>
      <c r="B527" s="37" t="inlineStr">
        <is>
          <t>Sanchez</t>
        </is>
      </c>
      <c r="C527" s="37" t="inlineStr">
        <is>
          <t>Crystal</t>
        </is>
      </c>
      <c r="D527" s="37" t="inlineStr">
        <is>
          <t>RETAINER</t>
        </is>
      </c>
      <c r="E527" s="37" t="n">
        <v>27.9</v>
      </c>
      <c r="F527" s="37" t="n">
        <v>9</v>
      </c>
    </row>
    <row r="528">
      <c r="A528" s="37" t="inlineStr">
        <is>
          <t>WL-01527</t>
        </is>
      </c>
      <c r="B528" s="37" t="inlineStr">
        <is>
          <t>Hamilton</t>
        </is>
      </c>
      <c r="C528" s="37" t="inlineStr">
        <is>
          <t>Stacey</t>
        </is>
      </c>
      <c r="D528" s="37" t="inlineStr">
        <is>
          <t>ACTIVE_WAITLIST</t>
        </is>
      </c>
      <c r="E528" s="37" t="n">
        <v>40.9</v>
      </c>
      <c r="F528" s="37" t="n">
        <v>13.3</v>
      </c>
    </row>
    <row r="529">
      <c r="A529" s="37" t="inlineStr">
        <is>
          <t>WL-01528</t>
        </is>
      </c>
      <c r="B529" s="37" t="inlineStr">
        <is>
          <t>Lee</t>
        </is>
      </c>
      <c r="C529" s="37" t="inlineStr">
        <is>
          <t>Leslie</t>
        </is>
      </c>
      <c r="D529" s="37" t="inlineStr">
        <is>
          <t>ACTIVE_WAITLIST</t>
        </is>
      </c>
      <c r="E529" s="37" t="n">
        <v>29.3</v>
      </c>
      <c r="F529" s="37" t="n">
        <v>8.6</v>
      </c>
    </row>
    <row r="530">
      <c r="A530" s="37" t="inlineStr">
        <is>
          <t>WL-01529</t>
        </is>
      </c>
      <c r="B530" s="37" t="inlineStr">
        <is>
          <t>Carlson</t>
        </is>
      </c>
      <c r="C530" s="37" t="inlineStr">
        <is>
          <t>Audrey</t>
        </is>
      </c>
      <c r="D530" s="37" t="inlineStr">
        <is>
          <t>ACTIVE_WAITLIST</t>
        </is>
      </c>
      <c r="E530" s="37" t="n">
        <v>27.4</v>
      </c>
      <c r="F530" s="37" t="n">
        <v>9.199999999999999</v>
      </c>
    </row>
    <row r="531">
      <c r="A531" s="37" t="inlineStr">
        <is>
          <t>WL-01530</t>
        </is>
      </c>
      <c r="B531" s="37" t="inlineStr">
        <is>
          <t>Huber</t>
        </is>
      </c>
      <c r="C531" s="37" t="inlineStr">
        <is>
          <t>Sean</t>
        </is>
      </c>
      <c r="D531" s="37" t="inlineStr">
        <is>
          <t>ACTIVE_WAITLIST</t>
        </is>
      </c>
      <c r="E531" s="37" t="n">
        <v>32.4</v>
      </c>
      <c r="F531" s="37" t="n">
        <v>11.3</v>
      </c>
    </row>
    <row r="532">
      <c r="A532" s="37" t="inlineStr">
        <is>
          <t>WL-01531</t>
        </is>
      </c>
      <c r="B532" s="37" t="inlineStr">
        <is>
          <t>Thompson</t>
        </is>
      </c>
      <c r="C532" s="37" t="inlineStr">
        <is>
          <t>Amber</t>
        </is>
      </c>
      <c r="D532" s="37" t="inlineStr">
        <is>
          <t>ACTIVE_WAITLIST</t>
        </is>
      </c>
      <c r="E532" s="37" t="n">
        <v>46.1</v>
      </c>
      <c r="F532" s="37" t="n">
        <v>14.9</v>
      </c>
    </row>
    <row r="533">
      <c r="A533" s="37" t="inlineStr">
        <is>
          <t>WL-01532</t>
        </is>
      </c>
      <c r="B533" s="37" t="inlineStr">
        <is>
          <t>Mejia</t>
        </is>
      </c>
      <c r="C533" s="37" t="inlineStr">
        <is>
          <t>Bradley</t>
        </is>
      </c>
      <c r="D533" s="37" t="inlineStr">
        <is>
          <t>ACTIVE_WAITLIST</t>
        </is>
      </c>
      <c r="E533" s="37" t="n">
        <v>25.9</v>
      </c>
      <c r="F533" s="37" t="n">
        <v>8.1</v>
      </c>
    </row>
    <row r="534">
      <c r="A534" s="37" t="inlineStr">
        <is>
          <t>WL-01533</t>
        </is>
      </c>
      <c r="B534" s="37" t="inlineStr">
        <is>
          <t>Cooper</t>
        </is>
      </c>
      <c r="C534" s="37" t="inlineStr">
        <is>
          <t>Beth</t>
        </is>
      </c>
      <c r="D534" s="37" t="inlineStr">
        <is>
          <t>ACTIVE_WAITLIST</t>
        </is>
      </c>
      <c r="E534" s="37" t="n">
        <v>38.7</v>
      </c>
      <c r="F534" s="37" t="n">
        <v>12.2</v>
      </c>
    </row>
    <row r="535">
      <c r="A535" s="37" t="inlineStr">
        <is>
          <t>WL-01534</t>
        </is>
      </c>
      <c r="B535" s="37" t="inlineStr">
        <is>
          <t>Mueller</t>
        </is>
      </c>
      <c r="C535" s="37" t="inlineStr">
        <is>
          <t>Jose</t>
        </is>
      </c>
      <c r="D535" s="37" t="inlineStr">
        <is>
          <t>ACTIVE_WAITLIST</t>
        </is>
      </c>
      <c r="E535" s="37" t="n">
        <v>27.6</v>
      </c>
      <c r="F535" s="37" t="n">
        <v>9.9</v>
      </c>
    </row>
    <row r="536">
      <c r="A536" s="37" t="inlineStr">
        <is>
          <t>WL-01535</t>
        </is>
      </c>
      <c r="B536" s="37" t="inlineStr">
        <is>
          <t>Patel</t>
        </is>
      </c>
      <c r="C536" s="37" t="inlineStr">
        <is>
          <t>Angela</t>
        </is>
      </c>
      <c r="D536" s="37" t="inlineStr">
        <is>
          <t>ACTIVE_WAITLIST</t>
        </is>
      </c>
      <c r="E536" s="37" t="n">
        <v>33.3</v>
      </c>
      <c r="F536" s="37" t="n">
        <v>11.4</v>
      </c>
    </row>
    <row r="537">
      <c r="A537" s="37" t="inlineStr">
        <is>
          <t>WL-01536</t>
        </is>
      </c>
      <c r="B537" s="37" t="inlineStr">
        <is>
          <t>Spears</t>
        </is>
      </c>
      <c r="C537" s="37" t="inlineStr">
        <is>
          <t>Deborah</t>
        </is>
      </c>
      <c r="D537" s="37" t="inlineStr">
        <is>
          <t>ACTIVE_WAITLIST</t>
        </is>
      </c>
      <c r="E537" s="37" t="n">
        <v>24.9</v>
      </c>
      <c r="F537" s="37" t="n">
        <v>7.1</v>
      </c>
    </row>
    <row r="538">
      <c r="A538" s="37" t="inlineStr">
        <is>
          <t>WL-01537</t>
        </is>
      </c>
      <c r="B538" s="37" t="inlineStr">
        <is>
          <t>Johnson</t>
        </is>
      </c>
      <c r="C538" s="37" t="inlineStr">
        <is>
          <t>Jessica</t>
        </is>
      </c>
      <c r="D538" s="37" t="inlineStr">
        <is>
          <t>RETAINER</t>
        </is>
      </c>
      <c r="E538" s="37" t="n">
        <v>21.6</v>
      </c>
      <c r="F538" s="37" t="n">
        <v>6.6</v>
      </c>
    </row>
    <row r="539">
      <c r="A539" s="37" t="inlineStr">
        <is>
          <t>WL-01538</t>
        </is>
      </c>
      <c r="B539" s="37" t="inlineStr">
        <is>
          <t>Simmons</t>
        </is>
      </c>
      <c r="C539" s="37" t="inlineStr">
        <is>
          <t>Jacqueline</t>
        </is>
      </c>
      <c r="D539" s="37" t="inlineStr">
        <is>
          <t>ACTIVE_WAITLIST</t>
        </is>
      </c>
      <c r="E539" s="37" t="n">
        <v>27.9</v>
      </c>
      <c r="F539" s="37" t="n">
        <v>9.800000000000001</v>
      </c>
    </row>
    <row r="540">
      <c r="A540" s="37" t="inlineStr">
        <is>
          <t>WL-01539</t>
        </is>
      </c>
      <c r="B540" s="37" t="inlineStr">
        <is>
          <t>Sanford</t>
        </is>
      </c>
      <c r="C540" s="37" t="inlineStr">
        <is>
          <t>Lori</t>
        </is>
      </c>
      <c r="D540" s="37" t="inlineStr">
        <is>
          <t>ACTIVE_WAITLIST</t>
        </is>
      </c>
      <c r="E540" s="37" t="n">
        <v>37.3</v>
      </c>
      <c r="F540" s="37" t="n">
        <v>11.1</v>
      </c>
    </row>
    <row r="541">
      <c r="A541" s="37" t="inlineStr">
        <is>
          <t>WL-01540</t>
        </is>
      </c>
      <c r="B541" s="37" t="inlineStr">
        <is>
          <t>Baker</t>
        </is>
      </c>
      <c r="C541" s="37" t="inlineStr">
        <is>
          <t>Jonathan</t>
        </is>
      </c>
      <c r="D541" s="37" t="inlineStr">
        <is>
          <t>ACTIVE_WAITLIST</t>
        </is>
      </c>
      <c r="E541" s="37" t="n">
        <v>60.8</v>
      </c>
      <c r="F541" s="37" t="n">
        <v>19.5</v>
      </c>
    </row>
    <row r="542">
      <c r="A542" s="37" t="inlineStr">
        <is>
          <t>WL-01541</t>
        </is>
      </c>
      <c r="B542" s="37" t="inlineStr">
        <is>
          <t>Johnson</t>
        </is>
      </c>
      <c r="C542" s="37" t="inlineStr">
        <is>
          <t>Rhonda</t>
        </is>
      </c>
      <c r="D542" s="37" t="inlineStr">
        <is>
          <t>ACTIVE_WAITLIST</t>
        </is>
      </c>
      <c r="E542" s="37" t="n">
        <v>29.8</v>
      </c>
      <c r="F542" s="37" t="n">
        <v>9.699999999999999</v>
      </c>
    </row>
    <row r="543">
      <c r="A543" s="37" t="inlineStr">
        <is>
          <t>WL-01542</t>
        </is>
      </c>
      <c r="B543" s="37" t="inlineStr">
        <is>
          <t>Harris</t>
        </is>
      </c>
      <c r="C543" s="37" t="inlineStr">
        <is>
          <t>Robert</t>
        </is>
      </c>
      <c r="D543" s="37" t="inlineStr">
        <is>
          <t>EXPIRED</t>
        </is>
      </c>
      <c r="E543" s="37" t="n">
        <v>41.1</v>
      </c>
      <c r="F543" s="37" t="n">
        <v>12.4</v>
      </c>
    </row>
    <row r="544">
      <c r="A544" s="37" t="inlineStr">
        <is>
          <t>WL-01543</t>
        </is>
      </c>
      <c r="B544" s="37" t="inlineStr">
        <is>
          <t>Gomez</t>
        </is>
      </c>
      <c r="C544" s="37" t="inlineStr">
        <is>
          <t>Charles</t>
        </is>
      </c>
      <c r="D544" s="37" t="inlineStr">
        <is>
          <t>ACTIVE_WAITLIST</t>
        </is>
      </c>
      <c r="E544" s="37" t="n">
        <v>27.2</v>
      </c>
      <c r="F544" s="37" t="n">
        <v>8.699999999999999</v>
      </c>
    </row>
    <row r="545">
      <c r="A545" s="37" t="inlineStr">
        <is>
          <t>WL-01544</t>
        </is>
      </c>
      <c r="B545" s="37" t="inlineStr">
        <is>
          <t>Villa</t>
        </is>
      </c>
      <c r="C545" s="37" t="inlineStr">
        <is>
          <t>Todd</t>
        </is>
      </c>
      <c r="D545" s="37" t="inlineStr">
        <is>
          <t>ACTIVE_WAITLIST</t>
        </is>
      </c>
      <c r="E545" s="37" t="n">
        <v>40.7</v>
      </c>
      <c r="F545" s="37" t="n">
        <v>13.1</v>
      </c>
    </row>
    <row r="546">
      <c r="A546" s="37" t="inlineStr">
        <is>
          <t>WL-01545</t>
        </is>
      </c>
      <c r="B546" s="37" t="inlineStr">
        <is>
          <t>King</t>
        </is>
      </c>
      <c r="C546" s="37" t="inlineStr">
        <is>
          <t>Jessica</t>
        </is>
      </c>
      <c r="D546" s="37" t="inlineStr">
        <is>
          <t>ACTIVE_WAITLIST</t>
        </is>
      </c>
      <c r="E546" s="37" t="n">
        <v>21.1</v>
      </c>
      <c r="F546" s="37" t="n">
        <v>6.1</v>
      </c>
    </row>
    <row r="547">
      <c r="A547" s="37" t="inlineStr">
        <is>
          <t>WL-01546</t>
        </is>
      </c>
      <c r="B547" s="37" t="inlineStr">
        <is>
          <t>Grant</t>
        </is>
      </c>
      <c r="C547" s="37" t="inlineStr">
        <is>
          <t>Edward</t>
        </is>
      </c>
      <c r="D547" s="37" t="inlineStr">
        <is>
          <t>ACTIVE_WAITLIST</t>
        </is>
      </c>
      <c r="E547" s="37" t="n">
        <v>49.9</v>
      </c>
      <c r="F547" s="37" t="n">
        <v>14.4</v>
      </c>
    </row>
    <row r="548">
      <c r="A548" s="37" t="inlineStr">
        <is>
          <t>WL-01547</t>
        </is>
      </c>
      <c r="B548" s="37" t="inlineStr">
        <is>
          <t>Burke</t>
        </is>
      </c>
      <c r="C548" s="37" t="inlineStr">
        <is>
          <t>Nicole</t>
        </is>
      </c>
      <c r="D548" s="37" t="inlineStr">
        <is>
          <t>ACTIVE_WAITLIST</t>
        </is>
      </c>
      <c r="E548" s="37" t="n">
        <v>34.2</v>
      </c>
      <c r="F548" s="37" t="n">
        <v>11.9</v>
      </c>
    </row>
    <row r="549">
      <c r="A549" s="37" t="inlineStr">
        <is>
          <t>WL-01548</t>
        </is>
      </c>
      <c r="B549" s="37" t="inlineStr">
        <is>
          <t>Brown</t>
        </is>
      </c>
      <c r="C549" s="37" t="inlineStr">
        <is>
          <t>William</t>
        </is>
      </c>
      <c r="D549" s="37" t="inlineStr">
        <is>
          <t>ACTIVE_WAITLIST</t>
        </is>
      </c>
      <c r="E549" s="37" t="n">
        <v>19.9</v>
      </c>
      <c r="F549" s="37" t="n">
        <v>7.1</v>
      </c>
    </row>
    <row r="550">
      <c r="A550" s="37" t="inlineStr">
        <is>
          <t>WL-01549</t>
        </is>
      </c>
      <c r="B550" s="37" t="inlineStr">
        <is>
          <t>Wilson</t>
        </is>
      </c>
      <c r="C550" s="37" t="inlineStr">
        <is>
          <t>Zachary</t>
        </is>
      </c>
      <c r="D550" s="37" t="inlineStr">
        <is>
          <t>ACTIVE_WAITLIST</t>
        </is>
      </c>
      <c r="E550" s="37" t="n">
        <v>21.4</v>
      </c>
      <c r="F550" s="37" t="n">
        <v>7.3</v>
      </c>
    </row>
    <row r="551">
      <c r="A551" s="37" t="inlineStr">
        <is>
          <t>WL-01550</t>
        </is>
      </c>
      <c r="B551" s="37" t="inlineStr">
        <is>
          <t>Grant</t>
        </is>
      </c>
      <c r="C551" s="37" t="inlineStr">
        <is>
          <t>Brittany</t>
        </is>
      </c>
      <c r="D551" s="37" t="inlineStr">
        <is>
          <t>ACTIVE_WAITLIST</t>
        </is>
      </c>
      <c r="E551" s="37" t="n">
        <v>41.8</v>
      </c>
      <c r="F551" s="37" t="n">
        <v>12.6</v>
      </c>
    </row>
    <row r="552">
      <c r="A552" s="37" t="inlineStr">
        <is>
          <t>WL-01551</t>
        </is>
      </c>
      <c r="B552" s="37" t="inlineStr">
        <is>
          <t>Santiago</t>
        </is>
      </c>
      <c r="C552" s="37" t="inlineStr">
        <is>
          <t>Megan</t>
        </is>
      </c>
      <c r="D552" s="37" t="inlineStr">
        <is>
          <t>ACTIVE_WAITLIST</t>
        </is>
      </c>
      <c r="E552" s="37" t="n">
        <v>21</v>
      </c>
      <c r="F552" s="37" t="n">
        <v>7.3</v>
      </c>
    </row>
    <row r="553">
      <c r="A553" s="37" t="inlineStr">
        <is>
          <t>WL-01552</t>
        </is>
      </c>
      <c r="B553" s="37" t="inlineStr">
        <is>
          <t>Erickson</t>
        </is>
      </c>
      <c r="C553" s="37" t="inlineStr">
        <is>
          <t>Lydia</t>
        </is>
      </c>
      <c r="D553" s="37" t="inlineStr">
        <is>
          <t>ACTIVE_WAITLIST</t>
        </is>
      </c>
      <c r="E553" s="37" t="n">
        <v>28.4</v>
      </c>
      <c r="F553" s="37" t="n">
        <v>8.9</v>
      </c>
    </row>
    <row r="554">
      <c r="A554" s="37" t="inlineStr">
        <is>
          <t>WL-01553</t>
        </is>
      </c>
      <c r="B554" s="37" t="inlineStr">
        <is>
          <t>Campbell</t>
        </is>
      </c>
      <c r="C554" s="37" t="inlineStr">
        <is>
          <t>Stephanie</t>
        </is>
      </c>
      <c r="D554" s="37" t="inlineStr">
        <is>
          <t>ACTIVE_WAITLIST</t>
        </is>
      </c>
      <c r="E554" s="37" t="n">
        <v>42.3</v>
      </c>
      <c r="F554" s="37" t="n">
        <v>12.8</v>
      </c>
    </row>
    <row r="555">
      <c r="A555" s="37" t="inlineStr">
        <is>
          <t>WL-01554</t>
        </is>
      </c>
      <c r="B555" s="37" t="inlineStr">
        <is>
          <t>Nolan</t>
        </is>
      </c>
      <c r="C555" s="37" t="inlineStr">
        <is>
          <t>Robert</t>
        </is>
      </c>
      <c r="D555" s="37" t="inlineStr">
        <is>
          <t>ACTIVE_WAITLIST</t>
        </is>
      </c>
      <c r="E555" s="37" t="n">
        <v>57.4</v>
      </c>
      <c r="F555" s="37" t="n">
        <v>18</v>
      </c>
    </row>
    <row r="556">
      <c r="A556" s="37" t="inlineStr">
        <is>
          <t>WL-01555</t>
        </is>
      </c>
      <c r="B556" s="37" t="inlineStr">
        <is>
          <t>Torres</t>
        </is>
      </c>
      <c r="C556" s="37" t="inlineStr">
        <is>
          <t>Anthony</t>
        </is>
      </c>
      <c r="D556" s="37" t="inlineStr">
        <is>
          <t>RETAINER</t>
        </is>
      </c>
      <c r="E556" s="37" t="n">
        <v>45.4</v>
      </c>
      <c r="F556" s="37" t="n">
        <v>13.8</v>
      </c>
    </row>
    <row r="557">
      <c r="A557" s="37" t="inlineStr">
        <is>
          <t>WL-01556</t>
        </is>
      </c>
      <c r="B557" s="37" t="inlineStr">
        <is>
          <t>Russell</t>
        </is>
      </c>
      <c r="C557" s="37" t="inlineStr">
        <is>
          <t>Christopher</t>
        </is>
      </c>
      <c r="D557" s="37" t="inlineStr">
        <is>
          <t>ACTIVE_WAITLIST</t>
        </is>
      </c>
      <c r="E557" s="37" t="n">
        <v>56.1</v>
      </c>
      <c r="F557" s="37" t="n">
        <v>18.7</v>
      </c>
    </row>
    <row r="558">
      <c r="A558" s="37" t="inlineStr">
        <is>
          <t>WL-01557</t>
        </is>
      </c>
      <c r="B558" s="37" t="inlineStr">
        <is>
          <t>Martinez</t>
        </is>
      </c>
      <c r="C558" s="37" t="inlineStr">
        <is>
          <t>Shannon</t>
        </is>
      </c>
      <c r="D558" s="37" t="inlineStr">
        <is>
          <t>ACTIVE_WAITLIST</t>
        </is>
      </c>
      <c r="E558" s="37" t="n">
        <v>54.9</v>
      </c>
      <c r="F558" s="37" t="n">
        <v>16.1</v>
      </c>
    </row>
    <row r="559">
      <c r="A559" s="37" t="inlineStr">
        <is>
          <t>WL-01558</t>
        </is>
      </c>
      <c r="B559" s="37" t="inlineStr">
        <is>
          <t>Carter</t>
        </is>
      </c>
      <c r="C559" s="37" t="inlineStr">
        <is>
          <t>Edward</t>
        </is>
      </c>
      <c r="D559" s="37" t="inlineStr">
        <is>
          <t>ACTIVE_WAITLIST</t>
        </is>
      </c>
      <c r="E559" s="37" t="n">
        <v>26.4</v>
      </c>
      <c r="F559" s="37" t="n">
        <v>8.300000000000001</v>
      </c>
    </row>
    <row r="560">
      <c r="A560" s="37" t="inlineStr">
        <is>
          <t>WL-01559</t>
        </is>
      </c>
      <c r="B560" s="37" t="inlineStr">
        <is>
          <t>Taylor</t>
        </is>
      </c>
      <c r="C560" s="37" t="inlineStr">
        <is>
          <t>Mary</t>
        </is>
      </c>
      <c r="D560" s="37" t="inlineStr">
        <is>
          <t>ACTIVE_WAITLIST</t>
        </is>
      </c>
      <c r="E560" s="37" t="n">
        <v>61.7</v>
      </c>
      <c r="F560" s="37" t="n">
        <v>21.5</v>
      </c>
    </row>
    <row r="561">
      <c r="A561" s="37" t="inlineStr">
        <is>
          <t>WL-01560</t>
        </is>
      </c>
      <c r="B561" s="37" t="inlineStr">
        <is>
          <t>Wilson</t>
        </is>
      </c>
      <c r="C561" s="37" t="inlineStr">
        <is>
          <t>Dana</t>
        </is>
      </c>
      <c r="D561" s="37" t="inlineStr">
        <is>
          <t>RETAINER</t>
        </is>
      </c>
      <c r="E561" s="37" t="n">
        <v>49.6</v>
      </c>
      <c r="F561" s="37" t="n">
        <v>15.3</v>
      </c>
    </row>
    <row r="562">
      <c r="A562" s="37" t="inlineStr">
        <is>
          <t>WL-01561</t>
        </is>
      </c>
      <c r="B562" s="37" t="inlineStr">
        <is>
          <t>Jacobs</t>
        </is>
      </c>
      <c r="C562" s="37" t="inlineStr">
        <is>
          <t>Brandon</t>
        </is>
      </c>
      <c r="D562" s="37" t="inlineStr">
        <is>
          <t>ACTIVE_WAITLIST</t>
        </is>
      </c>
      <c r="E562" s="37" t="n">
        <v>56.9</v>
      </c>
      <c r="F562" s="37" t="n">
        <v>16.3</v>
      </c>
    </row>
    <row r="563">
      <c r="A563" s="37" t="inlineStr">
        <is>
          <t>WL-01562</t>
        </is>
      </c>
      <c r="B563" s="37" t="inlineStr">
        <is>
          <t>Ward</t>
        </is>
      </c>
      <c r="C563" s="37" t="inlineStr">
        <is>
          <t>Karen</t>
        </is>
      </c>
      <c r="D563" s="37" t="inlineStr">
        <is>
          <t>ACTIVE_WAITLIST</t>
        </is>
      </c>
      <c r="E563" s="37" t="n">
        <v>40.9</v>
      </c>
      <c r="F563" s="37" t="n">
        <v>12.6</v>
      </c>
    </row>
    <row r="564">
      <c r="A564" s="37" t="inlineStr">
        <is>
          <t>WL-01563</t>
        </is>
      </c>
      <c r="B564" s="37" t="inlineStr">
        <is>
          <t>Morris</t>
        </is>
      </c>
      <c r="C564" s="37" t="inlineStr">
        <is>
          <t>Brian</t>
        </is>
      </c>
      <c r="D564" s="37" t="inlineStr">
        <is>
          <t>ACTIVE_WAITLIST</t>
        </is>
      </c>
      <c r="E564" s="37" t="n">
        <v>45.7</v>
      </c>
      <c r="F564" s="37" t="n">
        <v>15.2</v>
      </c>
    </row>
    <row r="565">
      <c r="A565" s="37" t="inlineStr">
        <is>
          <t>WL-01564</t>
        </is>
      </c>
      <c r="B565" s="37" t="inlineStr">
        <is>
          <t>Rogers</t>
        </is>
      </c>
      <c r="C565" s="37" t="inlineStr">
        <is>
          <t>Mackenzie</t>
        </is>
      </c>
      <c r="D565" s="37" t="inlineStr">
        <is>
          <t>ACTIVE_WAITLIST</t>
        </is>
      </c>
      <c r="E565" s="37" t="n">
        <v>54.6</v>
      </c>
      <c r="F565" s="37" t="n">
        <v>17.2</v>
      </c>
    </row>
    <row r="566">
      <c r="A566" s="37" t="inlineStr">
        <is>
          <t>WL-01565</t>
        </is>
      </c>
      <c r="B566" s="37" t="inlineStr">
        <is>
          <t>Reese</t>
        </is>
      </c>
      <c r="C566" s="37" t="inlineStr">
        <is>
          <t>Justin</t>
        </is>
      </c>
      <c r="D566" s="37" t="inlineStr">
        <is>
          <t>ACTIVE_WAITLIST</t>
        </is>
      </c>
      <c r="E566" s="37" t="n">
        <v>32.7</v>
      </c>
      <c r="F566" s="37" t="n">
        <v>10.3</v>
      </c>
    </row>
    <row r="567">
      <c r="A567" s="37" t="inlineStr">
        <is>
          <t>WL-01566</t>
        </is>
      </c>
      <c r="B567" s="37" t="inlineStr">
        <is>
          <t>Garcia</t>
        </is>
      </c>
      <c r="C567" s="37" t="inlineStr">
        <is>
          <t>Sara</t>
        </is>
      </c>
      <c r="D567" s="37" t="inlineStr">
        <is>
          <t>ACTIVE_WAITLIST</t>
        </is>
      </c>
      <c r="E567" s="37" t="n">
        <v>32.9</v>
      </c>
      <c r="F567" s="37" t="n">
        <v>10.9</v>
      </c>
    </row>
    <row r="568">
      <c r="A568" s="37" t="inlineStr">
        <is>
          <t>WL-01567</t>
        </is>
      </c>
      <c r="B568" s="37" t="inlineStr">
        <is>
          <t>Thomas</t>
        </is>
      </c>
      <c r="C568" s="37" t="inlineStr">
        <is>
          <t>Alan</t>
        </is>
      </c>
      <c r="D568" s="37" t="inlineStr">
        <is>
          <t>ACTIVE_WAITLIST</t>
        </is>
      </c>
      <c r="E568" s="37" t="n">
        <v>23.4</v>
      </c>
      <c r="F568" s="37" t="n">
        <v>8.1</v>
      </c>
    </row>
    <row r="569">
      <c r="A569" s="37" t="inlineStr">
        <is>
          <t>WL-01568</t>
        </is>
      </c>
      <c r="B569" s="37" t="inlineStr">
        <is>
          <t>Lozano</t>
        </is>
      </c>
      <c r="C569" s="37" t="inlineStr">
        <is>
          <t>Rebecca</t>
        </is>
      </c>
      <c r="D569" s="37" t="inlineStr">
        <is>
          <t>ACTIVE_WAITLIST</t>
        </is>
      </c>
      <c r="E569" s="37" t="n">
        <v>27.4</v>
      </c>
      <c r="F569" s="37" t="n">
        <v>9.4</v>
      </c>
    </row>
    <row r="570">
      <c r="A570" s="37" t="inlineStr">
        <is>
          <t>WL-01569</t>
        </is>
      </c>
      <c r="B570" s="37" t="inlineStr">
        <is>
          <t>Smith</t>
        </is>
      </c>
      <c r="C570" s="37" t="inlineStr">
        <is>
          <t>Sherri</t>
        </is>
      </c>
      <c r="D570" s="37" t="inlineStr">
        <is>
          <t>ACTIVE_WAITLIST</t>
        </is>
      </c>
      <c r="E570" s="37" t="n">
        <v>59</v>
      </c>
      <c r="F570" s="37" t="n">
        <v>19.9</v>
      </c>
    </row>
    <row r="571">
      <c r="A571" s="37" t="inlineStr">
        <is>
          <t>WL-01570</t>
        </is>
      </c>
      <c r="B571" s="37" t="inlineStr">
        <is>
          <t>Tucker</t>
        </is>
      </c>
      <c r="C571" s="37" t="inlineStr">
        <is>
          <t>Seth</t>
        </is>
      </c>
      <c r="D571" s="37" t="inlineStr">
        <is>
          <t>ACTIVE_WAITLIST</t>
        </is>
      </c>
      <c r="E571" s="37" t="n">
        <v>34.9</v>
      </c>
      <c r="F571" s="37" t="n">
        <v>10.6</v>
      </c>
    </row>
    <row r="572">
      <c r="A572" s="37" t="inlineStr">
        <is>
          <t>WL-01571</t>
        </is>
      </c>
      <c r="B572" s="37" t="inlineStr">
        <is>
          <t>Webb</t>
        </is>
      </c>
      <c r="C572" s="37" t="inlineStr">
        <is>
          <t>Blake</t>
        </is>
      </c>
      <c r="D572" s="37" t="inlineStr">
        <is>
          <t>ACTIVE_WAITLIST</t>
        </is>
      </c>
      <c r="E572" s="37" t="n">
        <v>45.8</v>
      </c>
      <c r="F572" s="37" t="n">
        <v>13.8</v>
      </c>
    </row>
    <row r="573">
      <c r="A573" s="37" t="inlineStr">
        <is>
          <t>WL-01572</t>
        </is>
      </c>
      <c r="B573" s="37" t="inlineStr">
        <is>
          <t>Hill</t>
        </is>
      </c>
      <c r="C573" s="37" t="inlineStr">
        <is>
          <t>Vanessa</t>
        </is>
      </c>
      <c r="D573" s="37" t="inlineStr">
        <is>
          <t>SUSPENDED</t>
        </is>
      </c>
      <c r="E573" s="37" t="n">
        <v>48.2</v>
      </c>
      <c r="F573" s="37" t="n">
        <v>16.9</v>
      </c>
    </row>
    <row r="574">
      <c r="A574" s="37" t="inlineStr">
        <is>
          <t>WL-01573</t>
        </is>
      </c>
      <c r="B574" s="37" t="inlineStr">
        <is>
          <t>Jimenez</t>
        </is>
      </c>
      <c r="C574" s="37" t="inlineStr">
        <is>
          <t>Benjamin</t>
        </is>
      </c>
      <c r="D574" s="37" t="inlineStr">
        <is>
          <t>ACTIVE_WAITLIST</t>
        </is>
      </c>
      <c r="E574" s="37" t="n">
        <v>22.7</v>
      </c>
      <c r="F574" s="37" t="n">
        <v>8</v>
      </c>
    </row>
    <row r="575">
      <c r="A575" s="37" t="inlineStr">
        <is>
          <t>WL-01574</t>
        </is>
      </c>
      <c r="B575" s="37" t="inlineStr">
        <is>
          <t>Castro</t>
        </is>
      </c>
      <c r="C575" s="37" t="inlineStr">
        <is>
          <t>James</t>
        </is>
      </c>
      <c r="D575" s="37" t="inlineStr">
        <is>
          <t>ACTIVE_WAITLIST</t>
        </is>
      </c>
      <c r="E575" s="37" t="n">
        <v>34.6</v>
      </c>
      <c r="F575" s="37" t="n">
        <v>12.3</v>
      </c>
    </row>
    <row r="576">
      <c r="A576" s="37" t="inlineStr">
        <is>
          <t>WL-01575</t>
        </is>
      </c>
      <c r="B576" s="37" t="inlineStr">
        <is>
          <t>Johnston</t>
        </is>
      </c>
      <c r="C576" s="37" t="inlineStr">
        <is>
          <t>Jennifer</t>
        </is>
      </c>
      <c r="D576" s="37" t="inlineStr">
        <is>
          <t>ACTIVE_WAITLIST</t>
        </is>
      </c>
      <c r="E576" s="37" t="n">
        <v>28.6</v>
      </c>
      <c r="F576" s="37" t="n">
        <v>9.699999999999999</v>
      </c>
    </row>
    <row r="577">
      <c r="A577" s="37" t="inlineStr">
        <is>
          <t>WL-01576</t>
        </is>
      </c>
      <c r="B577" s="37" t="inlineStr">
        <is>
          <t>Guerra</t>
        </is>
      </c>
      <c r="C577" s="37" t="inlineStr">
        <is>
          <t>Virginia</t>
        </is>
      </c>
      <c r="D577" s="37" t="inlineStr">
        <is>
          <t>ACTIVE_WAITLIST</t>
        </is>
      </c>
      <c r="E577" s="37" t="n">
        <v>61.6</v>
      </c>
      <c r="F577" s="37" t="n">
        <v>18</v>
      </c>
    </row>
    <row r="578">
      <c r="A578" s="37" t="inlineStr">
        <is>
          <t>WL-01577</t>
        </is>
      </c>
      <c r="B578" s="37" t="inlineStr">
        <is>
          <t>Clay</t>
        </is>
      </c>
      <c r="C578" s="37" t="inlineStr">
        <is>
          <t>Sheri</t>
        </is>
      </c>
      <c r="D578" s="37" t="inlineStr">
        <is>
          <t>ACTIVE_WAITLIST</t>
        </is>
      </c>
      <c r="E578" s="37" t="n">
        <v>22.3</v>
      </c>
      <c r="F578" s="37" t="n">
        <v>6.9</v>
      </c>
    </row>
    <row r="579">
      <c r="A579" s="37" t="inlineStr">
        <is>
          <t>WL-01578</t>
        </is>
      </c>
      <c r="B579" s="37" t="inlineStr">
        <is>
          <t>Green</t>
        </is>
      </c>
      <c r="C579" s="37" t="inlineStr">
        <is>
          <t>Ashley</t>
        </is>
      </c>
      <c r="D579" s="37" t="inlineStr">
        <is>
          <t>ACTIVE_WAITLIST</t>
        </is>
      </c>
      <c r="E579" s="37" t="n">
        <v>48.3</v>
      </c>
      <c r="F579" s="37" t="n">
        <v>14.7</v>
      </c>
    </row>
    <row r="580">
      <c r="A580" s="37" t="inlineStr">
        <is>
          <t>WL-01579</t>
        </is>
      </c>
      <c r="B580" s="37" t="inlineStr">
        <is>
          <t>Allen</t>
        </is>
      </c>
      <c r="C580" s="37" t="inlineStr">
        <is>
          <t>Jessica</t>
        </is>
      </c>
      <c r="D580" s="37" t="inlineStr">
        <is>
          <t>ACTIVE_WAITLIST</t>
        </is>
      </c>
      <c r="E580" s="37" t="n">
        <v>32.8</v>
      </c>
      <c r="F580" s="37" t="n">
        <v>10.5</v>
      </c>
    </row>
    <row r="581">
      <c r="A581" s="37" t="inlineStr">
        <is>
          <t>WL-01580</t>
        </is>
      </c>
      <c r="B581" s="37" t="inlineStr">
        <is>
          <t>Parker</t>
        </is>
      </c>
      <c r="C581" s="37" t="inlineStr">
        <is>
          <t>Denise</t>
        </is>
      </c>
      <c r="D581" s="37" t="inlineStr">
        <is>
          <t>EXPIRED</t>
        </is>
      </c>
      <c r="E581" s="37" t="n">
        <v>58.7</v>
      </c>
      <c r="F581" s="37" t="n">
        <v>20.2</v>
      </c>
    </row>
    <row r="582">
      <c r="A582" s="37" t="inlineStr">
        <is>
          <t>WL-01581</t>
        </is>
      </c>
      <c r="B582" s="37" t="inlineStr">
        <is>
          <t>Wright</t>
        </is>
      </c>
      <c r="C582" s="37" t="inlineStr">
        <is>
          <t>George</t>
        </is>
      </c>
      <c r="D582" s="37" t="inlineStr">
        <is>
          <t>ACTIVE_WAITLIST</t>
        </is>
      </c>
      <c r="E582" s="37" t="n">
        <v>57.1</v>
      </c>
      <c r="F582" s="37" t="n">
        <v>19.9</v>
      </c>
    </row>
    <row r="583">
      <c r="A583" s="37" t="inlineStr">
        <is>
          <t>WL-01582</t>
        </is>
      </c>
      <c r="B583" s="37" t="inlineStr">
        <is>
          <t>Garcia</t>
        </is>
      </c>
      <c r="C583" s="37" t="inlineStr">
        <is>
          <t>Holly</t>
        </is>
      </c>
      <c r="D583" s="37" t="inlineStr">
        <is>
          <t>ACTIVE_WAITLIST</t>
        </is>
      </c>
      <c r="E583" s="37" t="n">
        <v>31.8</v>
      </c>
      <c r="F583" s="37" t="n">
        <v>9.300000000000001</v>
      </c>
    </row>
    <row r="584">
      <c r="A584" s="37" t="inlineStr">
        <is>
          <t>WL-01583</t>
        </is>
      </c>
      <c r="B584" s="37" t="inlineStr">
        <is>
          <t>Choi</t>
        </is>
      </c>
      <c r="C584" s="37" t="inlineStr">
        <is>
          <t>Mitchell</t>
        </is>
      </c>
      <c r="D584" s="37" t="inlineStr">
        <is>
          <t>RETAINER</t>
        </is>
      </c>
      <c r="E584" s="37" t="n">
        <v>27.9</v>
      </c>
      <c r="F584" s="37" t="n">
        <v>8.199999999999999</v>
      </c>
    </row>
    <row r="585">
      <c r="A585" s="37" t="inlineStr">
        <is>
          <t>WL-01584</t>
        </is>
      </c>
      <c r="B585" s="37" t="inlineStr">
        <is>
          <t>Bennett</t>
        </is>
      </c>
      <c r="C585" s="37" t="inlineStr">
        <is>
          <t>Chad</t>
        </is>
      </c>
      <c r="D585" s="37" t="inlineStr">
        <is>
          <t>RETAINER</t>
        </is>
      </c>
      <c r="E585" s="37" t="n">
        <v>29</v>
      </c>
      <c r="F585" s="37" t="n">
        <v>9.199999999999999</v>
      </c>
    </row>
    <row r="586">
      <c r="A586" s="37" t="inlineStr">
        <is>
          <t>WL-01585</t>
        </is>
      </c>
      <c r="B586" s="37" t="inlineStr">
        <is>
          <t>Alvarado</t>
        </is>
      </c>
      <c r="C586" s="37" t="inlineStr">
        <is>
          <t>Edwin</t>
        </is>
      </c>
      <c r="D586" s="37" t="inlineStr">
        <is>
          <t>ACTIVE_WAITLIST</t>
        </is>
      </c>
      <c r="E586" s="37" t="n">
        <v>43.3</v>
      </c>
      <c r="F586" s="37" t="n">
        <v>13.6</v>
      </c>
    </row>
    <row r="587">
      <c r="A587" s="37" t="inlineStr">
        <is>
          <t>WL-01586</t>
        </is>
      </c>
      <c r="B587" s="37" t="inlineStr">
        <is>
          <t>Grant</t>
        </is>
      </c>
      <c r="C587" s="37" t="inlineStr">
        <is>
          <t>Calvin</t>
        </is>
      </c>
      <c r="D587" s="37" t="inlineStr">
        <is>
          <t>ACTIVE_WAITLIST</t>
        </is>
      </c>
      <c r="E587" s="37" t="n">
        <v>47.4</v>
      </c>
      <c r="F587" s="37" t="n">
        <v>15</v>
      </c>
    </row>
    <row r="588">
      <c r="A588" s="37" t="inlineStr">
        <is>
          <t>WL-01587</t>
        </is>
      </c>
      <c r="B588" s="37" t="inlineStr">
        <is>
          <t>Guzman</t>
        </is>
      </c>
      <c r="C588" s="37" t="inlineStr">
        <is>
          <t>Patrick</t>
        </is>
      </c>
      <c r="D588" s="37" t="inlineStr">
        <is>
          <t>ACTIVE_WAITLIST</t>
        </is>
      </c>
      <c r="E588" s="37" t="n">
        <v>35.6</v>
      </c>
      <c r="F588" s="37" t="n">
        <v>12.7</v>
      </c>
    </row>
    <row r="589">
      <c r="A589" s="37" t="inlineStr">
        <is>
          <t>WL-01588</t>
        </is>
      </c>
      <c r="B589" s="37" t="inlineStr">
        <is>
          <t>Conner</t>
        </is>
      </c>
      <c r="C589" s="37" t="inlineStr">
        <is>
          <t>Garrett</t>
        </is>
      </c>
      <c r="D589" s="37" t="inlineStr">
        <is>
          <t>ACTIVE_WAITLIST</t>
        </is>
      </c>
      <c r="E589" s="37" t="n">
        <v>56</v>
      </c>
      <c r="F589" s="37" t="n">
        <v>17.1</v>
      </c>
    </row>
    <row r="590">
      <c r="A590" s="37" t="inlineStr">
        <is>
          <t>WL-01589</t>
        </is>
      </c>
      <c r="B590" s="37" t="inlineStr">
        <is>
          <t>Klein</t>
        </is>
      </c>
      <c r="C590" s="37" t="inlineStr">
        <is>
          <t>Caitlin</t>
        </is>
      </c>
      <c r="D590" s="37" t="inlineStr">
        <is>
          <t>ACTIVE_WAITLIST</t>
        </is>
      </c>
      <c r="E590" s="37" t="n">
        <v>19.5</v>
      </c>
      <c r="F590" s="37" t="n">
        <v>7</v>
      </c>
    </row>
    <row r="591">
      <c r="A591" s="37" t="inlineStr">
        <is>
          <t>WL-01590</t>
        </is>
      </c>
      <c r="B591" s="37" t="inlineStr">
        <is>
          <t>Gutierrez</t>
        </is>
      </c>
      <c r="C591" s="37" t="inlineStr">
        <is>
          <t>Cynthia</t>
        </is>
      </c>
      <c r="D591" s="37" t="inlineStr">
        <is>
          <t>ACTIVE_WAITLIST</t>
        </is>
      </c>
      <c r="E591" s="37" t="n">
        <v>29.2</v>
      </c>
      <c r="F591" s="37" t="n">
        <v>8.199999999999999</v>
      </c>
    </row>
    <row r="592">
      <c r="A592" s="37" t="inlineStr">
        <is>
          <t>WL-01591</t>
        </is>
      </c>
      <c r="B592" s="37" t="inlineStr">
        <is>
          <t>Yang</t>
        </is>
      </c>
      <c r="C592" s="37" t="inlineStr">
        <is>
          <t>Chad</t>
        </is>
      </c>
      <c r="D592" s="37" t="inlineStr">
        <is>
          <t>ACTIVE_WAITLIST</t>
        </is>
      </c>
      <c r="E592" s="37" t="n">
        <v>56.4</v>
      </c>
      <c r="F592" s="37" t="n">
        <v>18.5</v>
      </c>
    </row>
    <row r="593">
      <c r="A593" s="37" t="inlineStr">
        <is>
          <t>WL-01592</t>
        </is>
      </c>
      <c r="B593" s="37" t="inlineStr">
        <is>
          <t>Robinson</t>
        </is>
      </c>
      <c r="C593" s="37" t="inlineStr">
        <is>
          <t>Michael</t>
        </is>
      </c>
      <c r="D593" s="37" t="inlineStr">
        <is>
          <t>ACTIVE_WAITLIST</t>
        </is>
      </c>
      <c r="E593" s="37" t="n">
        <v>44.3</v>
      </c>
      <c r="F593" s="37" t="n">
        <v>14.2</v>
      </c>
    </row>
    <row r="594">
      <c r="A594" s="37" t="inlineStr">
        <is>
          <t>WL-01593</t>
        </is>
      </c>
      <c r="B594" s="37" t="inlineStr">
        <is>
          <t>Clark</t>
        </is>
      </c>
      <c r="C594" s="37" t="inlineStr">
        <is>
          <t>Jeffrey</t>
        </is>
      </c>
      <c r="D594" s="37" t="inlineStr">
        <is>
          <t>ACTIVE_WAITLIST</t>
        </is>
      </c>
      <c r="E594" s="37" t="n">
        <v>50.5</v>
      </c>
      <c r="F594" s="37" t="n">
        <v>17.6</v>
      </c>
    </row>
    <row r="595">
      <c r="A595" s="37" t="inlineStr">
        <is>
          <t>WL-01594</t>
        </is>
      </c>
      <c r="B595" s="37" t="inlineStr">
        <is>
          <t>Johnson</t>
        </is>
      </c>
      <c r="C595" s="37" t="inlineStr">
        <is>
          <t>Tracey</t>
        </is>
      </c>
      <c r="D595" s="37" t="inlineStr">
        <is>
          <t>ACTIVE_WAITLIST</t>
        </is>
      </c>
      <c r="E595" s="37" t="n">
        <v>47.4</v>
      </c>
      <c r="F595" s="37" t="n">
        <v>15</v>
      </c>
    </row>
    <row r="596">
      <c r="A596" s="37" t="inlineStr">
        <is>
          <t>WL-01595</t>
        </is>
      </c>
      <c r="B596" s="37" t="inlineStr">
        <is>
          <t>Kemp</t>
        </is>
      </c>
      <c r="C596" s="37" t="inlineStr">
        <is>
          <t>Anthony</t>
        </is>
      </c>
      <c r="D596" s="37" t="inlineStr">
        <is>
          <t>ACTIVE_WAITLIST</t>
        </is>
      </c>
      <c r="E596" s="37" t="n">
        <v>34.4</v>
      </c>
      <c r="F596" s="37" t="n">
        <v>11.3</v>
      </c>
    </row>
    <row r="597">
      <c r="A597" s="37" t="inlineStr">
        <is>
          <t>WL-01596</t>
        </is>
      </c>
      <c r="B597" s="37" t="inlineStr">
        <is>
          <t>Tate</t>
        </is>
      </c>
      <c r="C597" s="37" t="inlineStr">
        <is>
          <t>Shirley</t>
        </is>
      </c>
      <c r="D597" s="37" t="inlineStr">
        <is>
          <t>RETAINER</t>
        </is>
      </c>
      <c r="E597" s="37" t="n">
        <v>34.2</v>
      </c>
      <c r="F597" s="37" t="n">
        <v>9.800000000000001</v>
      </c>
    </row>
    <row r="598">
      <c r="A598" s="37" t="inlineStr">
        <is>
          <t>WL-01597</t>
        </is>
      </c>
      <c r="B598" s="37" t="inlineStr">
        <is>
          <t>Ford</t>
        </is>
      </c>
      <c r="C598" s="37" t="inlineStr">
        <is>
          <t>Elizabeth</t>
        </is>
      </c>
      <c r="D598" s="37" t="inlineStr">
        <is>
          <t>ACTIVE_WAITLIST</t>
        </is>
      </c>
      <c r="E598" s="37" t="n">
        <v>61.6</v>
      </c>
      <c r="F598" s="37" t="n">
        <v>20</v>
      </c>
    </row>
    <row r="599">
      <c r="A599" s="37" t="inlineStr">
        <is>
          <t>WL-01598</t>
        </is>
      </c>
      <c r="B599" s="37" t="inlineStr">
        <is>
          <t>Wagner</t>
        </is>
      </c>
      <c r="C599" s="37" t="inlineStr">
        <is>
          <t>Danielle</t>
        </is>
      </c>
      <c r="D599" s="37" t="inlineStr">
        <is>
          <t>ACTIVE_WAITLIST</t>
        </is>
      </c>
      <c r="E599" s="37" t="n">
        <v>58.7</v>
      </c>
      <c r="F599" s="37" t="n">
        <v>20.1</v>
      </c>
    </row>
    <row r="600">
      <c r="A600" s="37" t="inlineStr">
        <is>
          <t>WL-01599</t>
        </is>
      </c>
      <c r="B600" s="37" t="inlineStr">
        <is>
          <t>Davis</t>
        </is>
      </c>
      <c r="C600" s="37" t="inlineStr">
        <is>
          <t>Amy</t>
        </is>
      </c>
      <c r="D600" s="37" t="inlineStr">
        <is>
          <t>EXPIRED</t>
        </is>
      </c>
      <c r="E600" s="37" t="n">
        <v>25.2</v>
      </c>
      <c r="F600" s="37" t="n">
        <v>8.300000000000001</v>
      </c>
    </row>
    <row r="601">
      <c r="A601" s="37" t="inlineStr">
        <is>
          <t>WL-01600</t>
        </is>
      </c>
      <c r="B601" s="37" t="inlineStr">
        <is>
          <t>Solomon</t>
        </is>
      </c>
      <c r="C601" s="37" t="inlineStr">
        <is>
          <t>Kimberly</t>
        </is>
      </c>
      <c r="D601" s="37" t="inlineStr">
        <is>
          <t>ACTIVE_WAITLIST</t>
        </is>
      </c>
      <c r="E601" s="37" t="n">
        <v>24.8</v>
      </c>
      <c r="F601" s="37" t="n">
        <v>8.699999999999999</v>
      </c>
    </row>
    <row r="602">
      <c r="A602" s="37" t="inlineStr">
        <is>
          <t>WL-01601</t>
        </is>
      </c>
      <c r="B602" s="37" t="inlineStr">
        <is>
          <t>Smith</t>
        </is>
      </c>
      <c r="C602" s="37" t="inlineStr">
        <is>
          <t>Keith</t>
        </is>
      </c>
      <c r="D602" s="37" t="inlineStr">
        <is>
          <t>ACTIVE_WAITLIST</t>
        </is>
      </c>
      <c r="E602" s="37" t="n">
        <v>34.2</v>
      </c>
      <c r="F602" s="37" t="n">
        <v>10</v>
      </c>
    </row>
    <row r="603">
      <c r="A603" s="37" t="inlineStr">
        <is>
          <t>WL-01602</t>
        </is>
      </c>
      <c r="B603" s="37" t="inlineStr">
        <is>
          <t>Martinez</t>
        </is>
      </c>
      <c r="C603" s="37" t="inlineStr">
        <is>
          <t>Micheal</t>
        </is>
      </c>
      <c r="D603" s="37" t="inlineStr">
        <is>
          <t>ACTIVE_WAITLIST</t>
        </is>
      </c>
      <c r="E603" s="37" t="n">
        <v>37.3</v>
      </c>
      <c r="F603" s="37" t="n">
        <v>10.9</v>
      </c>
    </row>
    <row r="604">
      <c r="A604" s="37" t="inlineStr">
        <is>
          <t>WL-01603</t>
        </is>
      </c>
      <c r="B604" s="37" t="inlineStr">
        <is>
          <t>Smith</t>
        </is>
      </c>
      <c r="C604" s="37" t="inlineStr">
        <is>
          <t>Lauren</t>
        </is>
      </c>
      <c r="D604" s="37" t="inlineStr">
        <is>
          <t>EXPIRED</t>
        </is>
      </c>
      <c r="E604" s="37" t="n">
        <v>57.6</v>
      </c>
      <c r="F604" s="37" t="n">
        <v>17.1</v>
      </c>
    </row>
    <row r="605">
      <c r="A605" s="37" t="inlineStr">
        <is>
          <t>WL-01604</t>
        </is>
      </c>
      <c r="B605" s="37" t="inlineStr">
        <is>
          <t>Barnes</t>
        </is>
      </c>
      <c r="C605" s="37" t="inlineStr">
        <is>
          <t>Patrick</t>
        </is>
      </c>
      <c r="D605" s="37" t="inlineStr">
        <is>
          <t>ACTIVE_WAITLIST</t>
        </is>
      </c>
      <c r="E605" s="37" t="n">
        <v>60.6</v>
      </c>
      <c r="F605" s="37" t="n">
        <v>18.7</v>
      </c>
    </row>
    <row r="606">
      <c r="A606" s="37" t="inlineStr">
        <is>
          <t>WL-01605</t>
        </is>
      </c>
      <c r="B606" s="37" t="inlineStr">
        <is>
          <t>Curtis</t>
        </is>
      </c>
      <c r="C606" s="37" t="inlineStr">
        <is>
          <t>Michael</t>
        </is>
      </c>
      <c r="D606" s="37" t="inlineStr">
        <is>
          <t>ACTIVE_WAITLIST</t>
        </is>
      </c>
      <c r="E606" s="37" t="n">
        <v>32.6</v>
      </c>
      <c r="F606" s="37" t="n">
        <v>11</v>
      </c>
    </row>
    <row r="607">
      <c r="A607" s="37" t="inlineStr">
        <is>
          <t>WL-01606</t>
        </is>
      </c>
      <c r="B607" s="37" t="inlineStr">
        <is>
          <t>English</t>
        </is>
      </c>
      <c r="C607" s="37" t="inlineStr">
        <is>
          <t>Joel</t>
        </is>
      </c>
      <c r="D607" s="37" t="inlineStr">
        <is>
          <t>ACTIVE_WAITLIST</t>
        </is>
      </c>
      <c r="E607" s="37" t="n">
        <v>23.9</v>
      </c>
      <c r="F607" s="37" t="n">
        <v>7.4</v>
      </c>
    </row>
    <row r="608">
      <c r="A608" s="37" t="inlineStr">
        <is>
          <t>WL-01607</t>
        </is>
      </c>
      <c r="B608" s="37" t="inlineStr">
        <is>
          <t>Williams</t>
        </is>
      </c>
      <c r="C608" s="37" t="inlineStr">
        <is>
          <t>John</t>
        </is>
      </c>
      <c r="D608" s="37" t="inlineStr">
        <is>
          <t>ACTIVE_WAITLIST</t>
        </is>
      </c>
      <c r="E608" s="37" t="n">
        <v>52.3</v>
      </c>
      <c r="F608" s="37" t="n">
        <v>15.1</v>
      </c>
    </row>
    <row r="609">
      <c r="A609" s="37" t="inlineStr">
        <is>
          <t>WL-01608</t>
        </is>
      </c>
      <c r="B609" s="37" t="inlineStr">
        <is>
          <t>Wright</t>
        </is>
      </c>
      <c r="C609" s="37" t="inlineStr">
        <is>
          <t>Madeline</t>
        </is>
      </c>
      <c r="D609" s="37" t="inlineStr">
        <is>
          <t>ACTIVE_WAITLIST</t>
        </is>
      </c>
      <c r="E609" s="37" t="n">
        <v>37.4</v>
      </c>
      <c r="F609" s="37" t="n">
        <v>12.5</v>
      </c>
    </row>
    <row r="610">
      <c r="A610" s="37" t="inlineStr">
        <is>
          <t>WL-01609</t>
        </is>
      </c>
      <c r="B610" s="37" t="inlineStr">
        <is>
          <t>Singh</t>
        </is>
      </c>
      <c r="C610" s="37" t="inlineStr">
        <is>
          <t>Michael</t>
        </is>
      </c>
      <c r="D610" s="37" t="inlineStr">
        <is>
          <t>ACTIVE_WAITLIST</t>
        </is>
      </c>
      <c r="E610" s="37" t="n">
        <v>21.9</v>
      </c>
      <c r="F610" s="37" t="n">
        <v>6.7</v>
      </c>
    </row>
    <row r="611">
      <c r="A611" s="37" t="inlineStr">
        <is>
          <t>WL-01610</t>
        </is>
      </c>
      <c r="B611" s="37" t="inlineStr">
        <is>
          <t>Johnson</t>
        </is>
      </c>
      <c r="C611" s="37" t="inlineStr">
        <is>
          <t>Anthony</t>
        </is>
      </c>
      <c r="D611" s="37" t="inlineStr">
        <is>
          <t>ACTIVE_WAITLIST</t>
        </is>
      </c>
      <c r="E611" s="37" t="n">
        <v>26.4</v>
      </c>
      <c r="F611" s="37" t="n">
        <v>8.199999999999999</v>
      </c>
    </row>
    <row r="612">
      <c r="A612" s="37" t="inlineStr">
        <is>
          <t>WL-01611</t>
        </is>
      </c>
      <c r="B612" s="37" t="inlineStr">
        <is>
          <t>Diaz</t>
        </is>
      </c>
      <c r="C612" s="37" t="inlineStr">
        <is>
          <t>Joshua</t>
        </is>
      </c>
      <c r="D612" s="37" t="inlineStr">
        <is>
          <t>ACTIVE_WAITLIST</t>
        </is>
      </c>
      <c r="E612" s="37" t="n">
        <v>58.1</v>
      </c>
      <c r="F612" s="37" t="n">
        <v>17.3</v>
      </c>
    </row>
    <row r="613">
      <c r="A613" s="37" t="inlineStr">
        <is>
          <t>WL-01612</t>
        </is>
      </c>
      <c r="B613" s="37" t="inlineStr">
        <is>
          <t>Hernandez</t>
        </is>
      </c>
      <c r="C613" s="37" t="inlineStr">
        <is>
          <t>Donald</t>
        </is>
      </c>
      <c r="D613" s="37" t="inlineStr">
        <is>
          <t>ACTIVE_WAITLIST</t>
        </is>
      </c>
      <c r="E613" s="37" t="n">
        <v>30.3</v>
      </c>
      <c r="F613" s="37" t="n">
        <v>8.699999999999999</v>
      </c>
    </row>
    <row r="614">
      <c r="A614" s="37" t="inlineStr">
        <is>
          <t>WL-01613</t>
        </is>
      </c>
      <c r="B614" s="37" t="inlineStr">
        <is>
          <t>Flores</t>
        </is>
      </c>
      <c r="C614" s="37" t="inlineStr">
        <is>
          <t>Matthew</t>
        </is>
      </c>
      <c r="D614" s="37" t="inlineStr">
        <is>
          <t>ACTIVE_WAITLIST</t>
        </is>
      </c>
      <c r="E614" s="37" t="n">
        <v>29.1</v>
      </c>
      <c r="F614" s="37" t="n">
        <v>8.300000000000001</v>
      </c>
    </row>
    <row r="615">
      <c r="A615" s="37" t="inlineStr">
        <is>
          <t>WL-01614</t>
        </is>
      </c>
      <c r="B615" s="37" t="inlineStr">
        <is>
          <t>Elliott</t>
        </is>
      </c>
      <c r="C615" s="37" t="inlineStr">
        <is>
          <t>Katrina</t>
        </is>
      </c>
      <c r="D615" s="37" t="inlineStr">
        <is>
          <t>ACTIVE_WAITLIST</t>
        </is>
      </c>
      <c r="E615" s="37" t="n">
        <v>19.2</v>
      </c>
      <c r="F615" s="37" t="n">
        <v>5.4</v>
      </c>
    </row>
    <row r="616">
      <c r="A616" s="37" t="inlineStr">
        <is>
          <t>WL-01615</t>
        </is>
      </c>
      <c r="B616" s="37" t="inlineStr">
        <is>
          <t>Gaines</t>
        </is>
      </c>
      <c r="C616" s="37" t="inlineStr">
        <is>
          <t>Melissa</t>
        </is>
      </c>
      <c r="D616" s="37" t="inlineStr">
        <is>
          <t>ACTIVE_WAITLIST</t>
        </is>
      </c>
      <c r="E616" s="37" t="n">
        <v>50.9</v>
      </c>
      <c r="F616" s="37" t="n">
        <v>15.1</v>
      </c>
    </row>
    <row r="617">
      <c r="A617" s="37" t="inlineStr">
        <is>
          <t>WL-01616</t>
        </is>
      </c>
      <c r="B617" s="37" t="inlineStr">
        <is>
          <t>Green</t>
        </is>
      </c>
      <c r="C617" s="37" t="inlineStr">
        <is>
          <t>Cody</t>
        </is>
      </c>
      <c r="D617" s="37" t="inlineStr">
        <is>
          <t>RETAINER</t>
        </is>
      </c>
      <c r="E617" s="37" t="n">
        <v>50.2</v>
      </c>
      <c r="F617" s="37" t="n">
        <v>15.4</v>
      </c>
    </row>
    <row r="618">
      <c r="A618" s="37" t="inlineStr">
        <is>
          <t>WL-01617</t>
        </is>
      </c>
      <c r="B618" s="37" t="inlineStr">
        <is>
          <t>Ferguson</t>
        </is>
      </c>
      <c r="C618" s="37" t="inlineStr">
        <is>
          <t>James</t>
        </is>
      </c>
      <c r="D618" s="37" t="inlineStr">
        <is>
          <t>ACTIVE_WAITLIST</t>
        </is>
      </c>
      <c r="E618" s="37" t="n">
        <v>43.9</v>
      </c>
      <c r="F618" s="37" t="n">
        <v>13.3</v>
      </c>
    </row>
    <row r="619">
      <c r="A619" s="37" t="inlineStr">
        <is>
          <t>WL-01618</t>
        </is>
      </c>
      <c r="B619" s="37" t="inlineStr">
        <is>
          <t>Hood</t>
        </is>
      </c>
      <c r="C619" s="37" t="inlineStr">
        <is>
          <t>Charlene</t>
        </is>
      </c>
      <c r="D619" s="37" t="inlineStr">
        <is>
          <t>ACTIVE_WAITLIST</t>
        </is>
      </c>
      <c r="E619" s="37" t="n">
        <v>23.4</v>
      </c>
      <c r="F619" s="37" t="n">
        <v>7.2</v>
      </c>
    </row>
    <row r="620">
      <c r="A620" s="37" t="inlineStr">
        <is>
          <t>WL-01619</t>
        </is>
      </c>
      <c r="B620" s="37" t="inlineStr">
        <is>
          <t>Montgomery</t>
        </is>
      </c>
      <c r="C620" s="37" t="inlineStr">
        <is>
          <t>Carmen</t>
        </is>
      </c>
      <c r="D620" s="37" t="inlineStr">
        <is>
          <t>RETAINER</t>
        </is>
      </c>
      <c r="E620" s="37" t="n">
        <v>45.3</v>
      </c>
      <c r="F620" s="37" t="n">
        <v>16</v>
      </c>
    </row>
    <row r="621">
      <c r="A621" s="37" t="inlineStr">
        <is>
          <t>WL-01620</t>
        </is>
      </c>
      <c r="B621" s="37" t="inlineStr">
        <is>
          <t>Livingston</t>
        </is>
      </c>
      <c r="C621" s="37" t="inlineStr">
        <is>
          <t>James</t>
        </is>
      </c>
      <c r="D621" s="37" t="inlineStr">
        <is>
          <t>ACTIVE_WAITLIST</t>
        </is>
      </c>
      <c r="E621" s="37" t="n">
        <v>18.8</v>
      </c>
      <c r="F621" s="37" t="n">
        <v>6.7</v>
      </c>
    </row>
    <row r="622">
      <c r="A622" s="37" t="inlineStr">
        <is>
          <t>WL-01621</t>
        </is>
      </c>
      <c r="B622" s="37" t="inlineStr">
        <is>
          <t>Lee</t>
        </is>
      </c>
      <c r="C622" s="37" t="inlineStr">
        <is>
          <t>Scott</t>
        </is>
      </c>
      <c r="D622" s="37" t="inlineStr">
        <is>
          <t>ACTIVE_WAITLIST</t>
        </is>
      </c>
      <c r="E622" s="37" t="n">
        <v>39.6</v>
      </c>
      <c r="F622" s="37" t="n">
        <v>12.7</v>
      </c>
    </row>
    <row r="623">
      <c r="A623" s="37" t="inlineStr">
        <is>
          <t>WL-01622</t>
        </is>
      </c>
      <c r="B623" s="37" t="inlineStr">
        <is>
          <t>Rice</t>
        </is>
      </c>
      <c r="C623" s="37" t="inlineStr">
        <is>
          <t>Eduardo</t>
        </is>
      </c>
      <c r="D623" s="37" t="inlineStr">
        <is>
          <t>ACTIVE_WAITLIST</t>
        </is>
      </c>
      <c r="E623" s="37" t="n">
        <v>18.9</v>
      </c>
      <c r="F623" s="37" t="n">
        <v>6.5</v>
      </c>
    </row>
    <row r="624">
      <c r="A624" s="37" t="inlineStr">
        <is>
          <t>WL-01623</t>
        </is>
      </c>
      <c r="B624" s="37" t="inlineStr">
        <is>
          <t>Scott</t>
        </is>
      </c>
      <c r="C624" s="37" t="inlineStr">
        <is>
          <t>Dana</t>
        </is>
      </c>
      <c r="D624" s="37" t="inlineStr">
        <is>
          <t>ACTIVE_WAITLIST</t>
        </is>
      </c>
      <c r="E624" s="37" t="n">
        <v>51.7</v>
      </c>
      <c r="F624" s="37" t="n">
        <v>18</v>
      </c>
    </row>
    <row r="625">
      <c r="A625" s="37" t="inlineStr">
        <is>
          <t>WL-01624</t>
        </is>
      </c>
      <c r="B625" s="37" t="inlineStr">
        <is>
          <t>Estrada</t>
        </is>
      </c>
      <c r="C625" s="37" t="inlineStr">
        <is>
          <t>Megan</t>
        </is>
      </c>
      <c r="D625" s="37" t="inlineStr">
        <is>
          <t>ACTIVE_WAITLIST</t>
        </is>
      </c>
      <c r="E625" s="37" t="n">
        <v>37.9</v>
      </c>
      <c r="F625" s="37" t="n">
        <v>12.7</v>
      </c>
    </row>
    <row r="626">
      <c r="A626" s="37" t="inlineStr">
        <is>
          <t>WL-01625</t>
        </is>
      </c>
      <c r="B626" s="37" t="inlineStr">
        <is>
          <t>Rowland</t>
        </is>
      </c>
      <c r="C626" s="37" t="inlineStr">
        <is>
          <t>Albert</t>
        </is>
      </c>
      <c r="D626" s="37" t="inlineStr">
        <is>
          <t>ACTIVE_WAITLIST</t>
        </is>
      </c>
      <c r="E626" s="37" t="n">
        <v>18.6</v>
      </c>
      <c r="F626" s="37" t="n">
        <v>6.4</v>
      </c>
    </row>
    <row r="627">
      <c r="A627" s="37" t="inlineStr">
        <is>
          <t>WL-01626</t>
        </is>
      </c>
      <c r="B627" s="37" t="inlineStr">
        <is>
          <t>Smith</t>
        </is>
      </c>
      <c r="C627" s="37" t="inlineStr">
        <is>
          <t>Kristen</t>
        </is>
      </c>
      <c r="D627" s="37" t="inlineStr">
        <is>
          <t>SUSPENDED</t>
        </is>
      </c>
      <c r="E627" s="37" t="n">
        <v>19.6</v>
      </c>
      <c r="F627" s="37" t="n">
        <v>5.5</v>
      </c>
    </row>
    <row r="628">
      <c r="A628" s="37" t="inlineStr">
        <is>
          <t>WL-01627</t>
        </is>
      </c>
      <c r="B628" s="37" t="inlineStr">
        <is>
          <t>Cherry</t>
        </is>
      </c>
      <c r="C628" s="37" t="inlineStr">
        <is>
          <t>Paige</t>
        </is>
      </c>
      <c r="D628" s="37" t="inlineStr">
        <is>
          <t>ACTIVE_WAITLIST</t>
        </is>
      </c>
      <c r="E628" s="37" t="n">
        <v>32.5</v>
      </c>
      <c r="F628" s="37" t="n">
        <v>10.3</v>
      </c>
    </row>
    <row r="629">
      <c r="A629" s="37" t="inlineStr">
        <is>
          <t>WL-01628</t>
        </is>
      </c>
      <c r="B629" s="37" t="inlineStr">
        <is>
          <t>Fitzgerald</t>
        </is>
      </c>
      <c r="C629" s="37" t="inlineStr">
        <is>
          <t>Nicholas</t>
        </is>
      </c>
      <c r="D629" s="37" t="inlineStr">
        <is>
          <t>ACTIVE_WAITLIST</t>
        </is>
      </c>
      <c r="E629" s="37" t="n">
        <v>54.5</v>
      </c>
      <c r="F629" s="37" t="n">
        <v>16.1</v>
      </c>
    </row>
    <row r="630">
      <c r="A630" s="37" t="inlineStr">
        <is>
          <t>WL-01629</t>
        </is>
      </c>
      <c r="B630" s="37" t="inlineStr">
        <is>
          <t>Parker</t>
        </is>
      </c>
      <c r="C630" s="37" t="inlineStr">
        <is>
          <t>Mary</t>
        </is>
      </c>
      <c r="D630" s="37" t="inlineStr">
        <is>
          <t>ACTIVE_WAITLIST</t>
        </is>
      </c>
      <c r="E630" s="37" t="n">
        <v>42.3</v>
      </c>
      <c r="F630" s="37" t="n">
        <v>12.5</v>
      </c>
    </row>
    <row r="631">
      <c r="A631" s="37" t="inlineStr">
        <is>
          <t>WL-01630</t>
        </is>
      </c>
      <c r="B631" s="37" t="inlineStr">
        <is>
          <t>Stevens</t>
        </is>
      </c>
      <c r="C631" s="37" t="inlineStr">
        <is>
          <t>Charlotte</t>
        </is>
      </c>
      <c r="D631" s="37" t="inlineStr">
        <is>
          <t>ACTIVE_WAITLIST</t>
        </is>
      </c>
      <c r="E631" s="37" t="n">
        <v>56.2</v>
      </c>
      <c r="F631" s="37" t="n">
        <v>17.8</v>
      </c>
    </row>
    <row r="632">
      <c r="A632" s="37" t="inlineStr">
        <is>
          <t>WL-01631</t>
        </is>
      </c>
      <c r="B632" s="37" t="inlineStr">
        <is>
          <t>Vasquez</t>
        </is>
      </c>
      <c r="C632" s="37" t="inlineStr">
        <is>
          <t>Jonathan</t>
        </is>
      </c>
      <c r="D632" s="37" t="inlineStr">
        <is>
          <t>ACTIVE_WAITLIST</t>
        </is>
      </c>
      <c r="E632" s="37" t="n">
        <v>26.8</v>
      </c>
      <c r="F632" s="37" t="n">
        <v>9.1</v>
      </c>
    </row>
    <row r="633">
      <c r="A633" s="37" t="inlineStr">
        <is>
          <t>WL-01632</t>
        </is>
      </c>
      <c r="B633" s="37" t="inlineStr">
        <is>
          <t>Johnson</t>
        </is>
      </c>
      <c r="C633" s="37" t="inlineStr">
        <is>
          <t>Laura</t>
        </is>
      </c>
      <c r="D633" s="37" t="inlineStr">
        <is>
          <t>RETAINER</t>
        </is>
      </c>
      <c r="E633" s="37" t="n">
        <v>46.2</v>
      </c>
      <c r="F633" s="37" t="n">
        <v>13.5</v>
      </c>
    </row>
    <row r="634">
      <c r="A634" s="37" t="inlineStr">
        <is>
          <t>WL-01633</t>
        </is>
      </c>
      <c r="B634" s="37" t="inlineStr">
        <is>
          <t>Gonzalez</t>
        </is>
      </c>
      <c r="C634" s="37" t="inlineStr">
        <is>
          <t>Michael</t>
        </is>
      </c>
      <c r="D634" s="37" t="inlineStr">
        <is>
          <t>ACTIVE_WAITLIST</t>
        </is>
      </c>
      <c r="E634" s="37" t="n">
        <v>37</v>
      </c>
      <c r="F634" s="37" t="n">
        <v>10.6</v>
      </c>
    </row>
    <row r="635">
      <c r="A635" s="37" t="inlineStr">
        <is>
          <t>WL-01634</t>
        </is>
      </c>
      <c r="B635" s="37" t="inlineStr">
        <is>
          <t>Ramirez</t>
        </is>
      </c>
      <c r="C635" s="37" t="inlineStr">
        <is>
          <t>Dawn</t>
        </is>
      </c>
      <c r="D635" s="37" t="inlineStr">
        <is>
          <t>ACTIVE_WAITLIST</t>
        </is>
      </c>
      <c r="E635" s="37" t="n">
        <v>59</v>
      </c>
      <c r="F635" s="37" t="n">
        <v>19.2</v>
      </c>
    </row>
    <row r="636">
      <c r="A636" s="37" t="inlineStr">
        <is>
          <t>WL-01635</t>
        </is>
      </c>
      <c r="B636" s="37" t="inlineStr">
        <is>
          <t>Lee</t>
        </is>
      </c>
      <c r="C636" s="37" t="inlineStr">
        <is>
          <t>Darrell</t>
        </is>
      </c>
      <c r="D636" s="37" t="inlineStr">
        <is>
          <t>ACTIVE_WAITLIST</t>
        </is>
      </c>
      <c r="E636" s="37" t="n">
        <v>28.1</v>
      </c>
      <c r="F636" s="37" t="n">
        <v>9.199999999999999</v>
      </c>
    </row>
    <row r="637">
      <c r="A637" s="37" t="inlineStr">
        <is>
          <t>WL-01636</t>
        </is>
      </c>
      <c r="B637" s="37" t="inlineStr">
        <is>
          <t>Flores</t>
        </is>
      </c>
      <c r="C637" s="37" t="inlineStr">
        <is>
          <t>Stephen</t>
        </is>
      </c>
      <c r="D637" s="37" t="inlineStr">
        <is>
          <t>RETAINER</t>
        </is>
      </c>
      <c r="E637" s="37" t="n">
        <v>26.3</v>
      </c>
      <c r="F637" s="37" t="n">
        <v>7.9</v>
      </c>
    </row>
    <row r="638">
      <c r="A638" s="37" t="inlineStr">
        <is>
          <t>WL-01637</t>
        </is>
      </c>
      <c r="B638" s="37" t="inlineStr">
        <is>
          <t>Johnson</t>
        </is>
      </c>
      <c r="C638" s="37" t="inlineStr">
        <is>
          <t>Tiffany</t>
        </is>
      </c>
      <c r="D638" s="37" t="inlineStr">
        <is>
          <t>RETAINER</t>
        </is>
      </c>
      <c r="E638" s="37" t="n">
        <v>26.7</v>
      </c>
      <c r="F638" s="37" t="n">
        <v>7.9</v>
      </c>
    </row>
    <row r="639">
      <c r="A639" s="37" t="inlineStr">
        <is>
          <t>WL-01638</t>
        </is>
      </c>
      <c r="B639" s="37" t="inlineStr">
        <is>
          <t>Wall</t>
        </is>
      </c>
      <c r="C639" s="37" t="inlineStr">
        <is>
          <t>Christopher</t>
        </is>
      </c>
      <c r="D639" s="37" t="inlineStr">
        <is>
          <t>ACTIVE_WAITLIST</t>
        </is>
      </c>
      <c r="E639" s="37" t="n">
        <v>32.8</v>
      </c>
      <c r="F639" s="37" t="n">
        <v>10.1</v>
      </c>
    </row>
    <row r="640">
      <c r="A640" s="37" t="inlineStr">
        <is>
          <t>WL-01639</t>
        </is>
      </c>
      <c r="B640" s="37" t="inlineStr">
        <is>
          <t>Jensen</t>
        </is>
      </c>
      <c r="C640" s="37" t="inlineStr">
        <is>
          <t>Donna</t>
        </is>
      </c>
      <c r="D640" s="37" t="inlineStr">
        <is>
          <t>ACTIVE_WAITLIST</t>
        </is>
      </c>
      <c r="E640" s="37" t="n">
        <v>49.7</v>
      </c>
      <c r="F640" s="37" t="n">
        <v>14.3</v>
      </c>
    </row>
    <row r="641">
      <c r="A641" s="37" t="inlineStr">
        <is>
          <t>WL-01640</t>
        </is>
      </c>
      <c r="B641" s="37" t="inlineStr">
        <is>
          <t>Stone</t>
        </is>
      </c>
      <c r="C641" s="37" t="inlineStr">
        <is>
          <t>Tammy</t>
        </is>
      </c>
      <c r="D641" s="37" t="inlineStr">
        <is>
          <t>ACTIVE_WAITLIST</t>
        </is>
      </c>
      <c r="E641" s="37" t="n">
        <v>61.3</v>
      </c>
      <c r="F641" s="37" t="n">
        <v>21</v>
      </c>
    </row>
    <row r="642">
      <c r="A642" s="37" t="inlineStr">
        <is>
          <t>WL-01641</t>
        </is>
      </c>
      <c r="B642" s="37" t="inlineStr">
        <is>
          <t>Medina</t>
        </is>
      </c>
      <c r="C642" s="37" t="inlineStr">
        <is>
          <t>Jason</t>
        </is>
      </c>
      <c r="D642" s="37" t="inlineStr">
        <is>
          <t>ACTIVE_WAITLIST</t>
        </is>
      </c>
      <c r="E642" s="37" t="n">
        <v>19.2</v>
      </c>
      <c r="F642" s="37" t="n">
        <v>5.7</v>
      </c>
    </row>
    <row r="643">
      <c r="A643" s="37" t="inlineStr">
        <is>
          <t>WL-01642</t>
        </is>
      </c>
      <c r="B643" s="37" t="inlineStr">
        <is>
          <t>Carroll</t>
        </is>
      </c>
      <c r="C643" s="37" t="inlineStr">
        <is>
          <t>Shane</t>
        </is>
      </c>
      <c r="D643" s="37" t="inlineStr">
        <is>
          <t>ACTIVE_WAITLIST</t>
        </is>
      </c>
      <c r="E643" s="37" t="n">
        <v>31</v>
      </c>
      <c r="F643" s="37" t="n">
        <v>9.300000000000001</v>
      </c>
    </row>
    <row r="644">
      <c r="A644" s="37" t="inlineStr">
        <is>
          <t>WL-01643</t>
        </is>
      </c>
      <c r="B644" s="37" t="inlineStr">
        <is>
          <t>Williams</t>
        </is>
      </c>
      <c r="C644" s="37" t="inlineStr">
        <is>
          <t>Peter</t>
        </is>
      </c>
      <c r="D644" s="37" t="inlineStr">
        <is>
          <t>ACTIVE_WAITLIST</t>
        </is>
      </c>
      <c r="E644" s="37" t="n">
        <v>54.9</v>
      </c>
      <c r="F644" s="37" t="n">
        <v>17.1</v>
      </c>
    </row>
    <row r="645">
      <c r="A645" s="37" t="inlineStr">
        <is>
          <t>WL-01644</t>
        </is>
      </c>
      <c r="B645" s="37" t="inlineStr">
        <is>
          <t>Parker</t>
        </is>
      </c>
      <c r="C645" s="37" t="inlineStr">
        <is>
          <t>Natalie</t>
        </is>
      </c>
      <c r="D645" s="37" t="inlineStr">
        <is>
          <t>ACTIVE_WAITLIST</t>
        </is>
      </c>
      <c r="E645" s="37" t="n">
        <v>38.4</v>
      </c>
      <c r="F645" s="37" t="n">
        <v>12.5</v>
      </c>
    </row>
    <row r="646">
      <c r="A646" s="37" t="inlineStr">
        <is>
          <t>WL-01645</t>
        </is>
      </c>
      <c r="B646" s="37" t="inlineStr">
        <is>
          <t>Walker</t>
        </is>
      </c>
      <c r="C646" s="37" t="inlineStr">
        <is>
          <t>Michael</t>
        </is>
      </c>
      <c r="D646" s="37" t="inlineStr">
        <is>
          <t>RETAINER</t>
        </is>
      </c>
      <c r="E646" s="37" t="n">
        <v>28.9</v>
      </c>
      <c r="F646" s="37" t="n">
        <v>9.5</v>
      </c>
    </row>
    <row r="647">
      <c r="A647" s="37" t="inlineStr">
        <is>
          <t>WL-01646</t>
        </is>
      </c>
      <c r="B647" s="37" t="inlineStr">
        <is>
          <t>Jackson</t>
        </is>
      </c>
      <c r="C647" s="37" t="inlineStr">
        <is>
          <t>Kristen</t>
        </is>
      </c>
      <c r="D647" s="37" t="inlineStr">
        <is>
          <t>EXPIRED</t>
        </is>
      </c>
      <c r="E647" s="37" t="n">
        <v>33.8</v>
      </c>
      <c r="F647" s="37" t="n">
        <v>10.3</v>
      </c>
    </row>
    <row r="648">
      <c r="A648" s="37" t="inlineStr">
        <is>
          <t>WL-01647</t>
        </is>
      </c>
      <c r="B648" s="37" t="inlineStr">
        <is>
          <t>Shannon</t>
        </is>
      </c>
      <c r="C648" s="37" t="inlineStr">
        <is>
          <t>Robert</t>
        </is>
      </c>
      <c r="D648" s="37" t="inlineStr">
        <is>
          <t>ACTIVE_WAITLIST</t>
        </is>
      </c>
      <c r="E648" s="37" t="n">
        <v>24.6</v>
      </c>
      <c r="F648" s="37" t="n">
        <v>8.9</v>
      </c>
    </row>
    <row r="649">
      <c r="A649" s="37" t="inlineStr">
        <is>
          <t>WL-01648</t>
        </is>
      </c>
      <c r="B649" s="37" t="inlineStr">
        <is>
          <t>Matthews</t>
        </is>
      </c>
      <c r="C649" s="37" t="inlineStr">
        <is>
          <t>Chelsea</t>
        </is>
      </c>
      <c r="D649" s="37" t="inlineStr">
        <is>
          <t>ACTIVE_WAITLIST</t>
        </is>
      </c>
      <c r="E649" s="37" t="n">
        <v>25.6</v>
      </c>
      <c r="F649" s="37" t="n">
        <v>7.5</v>
      </c>
    </row>
    <row r="650">
      <c r="A650" s="37" t="inlineStr">
        <is>
          <t>WL-01649</t>
        </is>
      </c>
      <c r="B650" s="37" t="inlineStr">
        <is>
          <t>Krueger</t>
        </is>
      </c>
      <c r="C650" s="37" t="inlineStr">
        <is>
          <t>Amy</t>
        </is>
      </c>
      <c r="D650" s="37" t="inlineStr">
        <is>
          <t>ACTIVE_WAITLIST</t>
        </is>
      </c>
      <c r="E650" s="37" t="n">
        <v>50.1</v>
      </c>
      <c r="F650" s="37" t="n">
        <v>17.2</v>
      </c>
    </row>
    <row r="651">
      <c r="A651" s="37" t="inlineStr">
        <is>
          <t>WL-01650</t>
        </is>
      </c>
      <c r="B651" s="37" t="inlineStr">
        <is>
          <t>Kerr</t>
        </is>
      </c>
      <c r="C651" s="37" t="inlineStr">
        <is>
          <t>Brett</t>
        </is>
      </c>
      <c r="D651" s="37" t="inlineStr">
        <is>
          <t>ACTIVE_WAITLIST</t>
        </is>
      </c>
      <c r="E651" s="37" t="n">
        <v>41.2</v>
      </c>
      <c r="F651" s="37" t="n">
        <v>12.9</v>
      </c>
    </row>
    <row r="652">
      <c r="A652" s="37" t="inlineStr">
        <is>
          <t>WL-01651</t>
        </is>
      </c>
      <c r="B652" s="37" t="inlineStr">
        <is>
          <t>Lawson</t>
        </is>
      </c>
      <c r="C652" s="37" t="inlineStr">
        <is>
          <t>Kayla</t>
        </is>
      </c>
      <c r="D652" s="37" t="inlineStr">
        <is>
          <t>ACTIVE_WAITLIST</t>
        </is>
      </c>
      <c r="E652" s="37" t="n">
        <v>23.2</v>
      </c>
      <c r="F652" s="37" t="n">
        <v>7.5</v>
      </c>
    </row>
    <row r="653">
      <c r="A653" s="37" t="inlineStr">
        <is>
          <t>WL-01652</t>
        </is>
      </c>
      <c r="B653" s="37" t="inlineStr">
        <is>
          <t>Johnson</t>
        </is>
      </c>
      <c r="C653" s="37" t="inlineStr">
        <is>
          <t>Melissa</t>
        </is>
      </c>
      <c r="D653" s="37" t="inlineStr">
        <is>
          <t>ACTIVE_WAITLIST</t>
        </is>
      </c>
      <c r="E653" s="37" t="n">
        <v>25.7</v>
      </c>
      <c r="F653" s="37" t="n">
        <v>8.800000000000001</v>
      </c>
    </row>
    <row r="654">
      <c r="A654" s="37" t="inlineStr">
        <is>
          <t>WL-01653</t>
        </is>
      </c>
      <c r="B654" s="37" t="inlineStr">
        <is>
          <t>Garrison</t>
        </is>
      </c>
      <c r="C654" s="37" t="inlineStr">
        <is>
          <t>Kenneth</t>
        </is>
      </c>
      <c r="D654" s="37" t="inlineStr">
        <is>
          <t>ACTIVE_WAITLIST</t>
        </is>
      </c>
      <c r="E654" s="37" t="n">
        <v>26.9</v>
      </c>
      <c r="F654" s="37" t="n">
        <v>9.5</v>
      </c>
    </row>
    <row r="655">
      <c r="A655" s="37" t="inlineStr">
        <is>
          <t>WL-01654</t>
        </is>
      </c>
      <c r="B655" s="37" t="inlineStr">
        <is>
          <t>Henderson</t>
        </is>
      </c>
      <c r="C655" s="37" t="inlineStr">
        <is>
          <t>Theresa</t>
        </is>
      </c>
      <c r="D655" s="37" t="inlineStr">
        <is>
          <t>ACTIVE_WAITLIST</t>
        </is>
      </c>
      <c r="E655" s="37" t="n">
        <v>23.7</v>
      </c>
      <c r="F655" s="37" t="n">
        <v>7.7</v>
      </c>
    </row>
    <row r="656">
      <c r="A656" s="37" t="inlineStr">
        <is>
          <t>WL-01655</t>
        </is>
      </c>
      <c r="B656" s="37" t="inlineStr">
        <is>
          <t>Williamson</t>
        </is>
      </c>
      <c r="C656" s="37" t="inlineStr">
        <is>
          <t>Michael</t>
        </is>
      </c>
      <c r="D656" s="37" t="inlineStr">
        <is>
          <t>SUSPENDED</t>
        </is>
      </c>
      <c r="E656" s="37" t="n">
        <v>23</v>
      </c>
      <c r="F656" s="37" t="n">
        <v>8.1</v>
      </c>
    </row>
    <row r="657">
      <c r="A657" s="37" t="inlineStr">
        <is>
          <t>WL-01656</t>
        </is>
      </c>
      <c r="B657" s="37" t="inlineStr">
        <is>
          <t>Christian</t>
        </is>
      </c>
      <c r="C657" s="37" t="inlineStr">
        <is>
          <t>Jennifer</t>
        </is>
      </c>
      <c r="D657" s="37" t="inlineStr">
        <is>
          <t>ACTIVE_WAITLIST</t>
        </is>
      </c>
      <c r="E657" s="37" t="n">
        <v>41.2</v>
      </c>
      <c r="F657" s="37" t="n">
        <v>12.7</v>
      </c>
    </row>
    <row r="658">
      <c r="A658" s="37" t="inlineStr">
        <is>
          <t>WL-01657</t>
        </is>
      </c>
      <c r="B658" s="37" t="inlineStr">
        <is>
          <t>Wells</t>
        </is>
      </c>
      <c r="C658" s="37" t="inlineStr">
        <is>
          <t>Chad</t>
        </is>
      </c>
      <c r="D658" s="37" t="inlineStr">
        <is>
          <t>ACTIVE_WAITLIST</t>
        </is>
      </c>
      <c r="E658" s="37" t="n">
        <v>46.9</v>
      </c>
      <c r="F658" s="37" t="n">
        <v>16.2</v>
      </c>
    </row>
    <row r="659">
      <c r="A659" s="37" t="inlineStr">
        <is>
          <t>WL-01658</t>
        </is>
      </c>
      <c r="B659" s="37" t="inlineStr">
        <is>
          <t>Schwartz</t>
        </is>
      </c>
      <c r="C659" s="37" t="inlineStr">
        <is>
          <t>Mary</t>
        </is>
      </c>
      <c r="D659" s="37" t="inlineStr">
        <is>
          <t>ACTIVE_WAITLIST</t>
        </is>
      </c>
      <c r="E659" s="37" t="n">
        <v>25.8</v>
      </c>
      <c r="F659" s="37" t="n">
        <v>9.1</v>
      </c>
    </row>
    <row r="660">
      <c r="A660" s="37" t="inlineStr">
        <is>
          <t>WL-01659</t>
        </is>
      </c>
      <c r="B660" s="37" t="inlineStr">
        <is>
          <t>Lopez</t>
        </is>
      </c>
      <c r="C660" s="37" t="inlineStr">
        <is>
          <t>Leslie</t>
        </is>
      </c>
      <c r="D660" s="37" t="inlineStr">
        <is>
          <t>ACTIVE_WAITLIST</t>
        </is>
      </c>
      <c r="E660" s="37" t="n">
        <v>57.4</v>
      </c>
      <c r="F660" s="37" t="n">
        <v>18.6</v>
      </c>
    </row>
    <row r="661">
      <c r="A661" s="37" t="inlineStr">
        <is>
          <t>WL-01660</t>
        </is>
      </c>
      <c r="B661" s="37" t="inlineStr">
        <is>
          <t>Davis</t>
        </is>
      </c>
      <c r="C661" s="37" t="inlineStr">
        <is>
          <t>Adam</t>
        </is>
      </c>
      <c r="D661" s="37" t="inlineStr">
        <is>
          <t>ACTIVE_WAITLIST</t>
        </is>
      </c>
      <c r="E661" s="37" t="n">
        <v>42.1</v>
      </c>
      <c r="F661" s="37" t="n">
        <v>13.6</v>
      </c>
    </row>
    <row r="662">
      <c r="A662" s="37" t="inlineStr">
        <is>
          <t>WL-01661</t>
        </is>
      </c>
      <c r="B662" s="37" t="inlineStr">
        <is>
          <t>Stewart</t>
        </is>
      </c>
      <c r="C662" s="37" t="inlineStr">
        <is>
          <t>Randy</t>
        </is>
      </c>
      <c r="D662" s="37" t="inlineStr">
        <is>
          <t>ACTIVE_WAITLIST</t>
        </is>
      </c>
      <c r="E662" s="37" t="n">
        <v>45.9</v>
      </c>
      <c r="F662" s="37" t="n">
        <v>15.1</v>
      </c>
    </row>
    <row r="663">
      <c r="A663" s="37" t="inlineStr">
        <is>
          <t>WL-01662</t>
        </is>
      </c>
      <c r="B663" s="37" t="inlineStr">
        <is>
          <t>Wilson</t>
        </is>
      </c>
      <c r="C663" s="37" t="inlineStr">
        <is>
          <t>David</t>
        </is>
      </c>
      <c r="D663" s="37" t="inlineStr">
        <is>
          <t>RETAINER</t>
        </is>
      </c>
      <c r="E663" s="37" t="n">
        <v>24</v>
      </c>
      <c r="F663" s="37" t="n">
        <v>8.300000000000001</v>
      </c>
    </row>
    <row r="664">
      <c r="A664" s="37" t="inlineStr">
        <is>
          <t>WL-01663</t>
        </is>
      </c>
      <c r="B664" s="37" t="inlineStr">
        <is>
          <t>Garner</t>
        </is>
      </c>
      <c r="C664" s="37" t="inlineStr">
        <is>
          <t>Chris</t>
        </is>
      </c>
      <c r="D664" s="37" t="inlineStr">
        <is>
          <t>ACTIVE_WAITLIST</t>
        </is>
      </c>
      <c r="E664" s="37" t="n">
        <v>41.5</v>
      </c>
      <c r="F664" s="37" t="n">
        <v>12.1</v>
      </c>
    </row>
    <row r="665">
      <c r="A665" s="37" t="inlineStr">
        <is>
          <t>WL-01664</t>
        </is>
      </c>
      <c r="B665" s="37" t="inlineStr">
        <is>
          <t>Smith</t>
        </is>
      </c>
      <c r="C665" s="37" t="inlineStr">
        <is>
          <t>Kimberly</t>
        </is>
      </c>
      <c r="D665" s="37" t="inlineStr">
        <is>
          <t>EXPIRED</t>
        </is>
      </c>
      <c r="E665" s="37" t="n">
        <v>54.1</v>
      </c>
      <c r="F665" s="37" t="n">
        <v>17.1</v>
      </c>
    </row>
    <row r="666">
      <c r="A666" s="37" t="inlineStr">
        <is>
          <t>WL-01665</t>
        </is>
      </c>
      <c r="B666" s="37" t="inlineStr">
        <is>
          <t>Hunter</t>
        </is>
      </c>
      <c r="C666" s="37" t="inlineStr">
        <is>
          <t>Hector</t>
        </is>
      </c>
      <c r="D666" s="37" t="inlineStr">
        <is>
          <t>EXPIRED</t>
        </is>
      </c>
      <c r="E666" s="37" t="n">
        <v>47.9</v>
      </c>
      <c r="F666" s="37" t="n">
        <v>13.6</v>
      </c>
    </row>
    <row r="667">
      <c r="A667" s="37" t="inlineStr">
        <is>
          <t>WL-01666</t>
        </is>
      </c>
      <c r="B667" s="37" t="inlineStr">
        <is>
          <t>Beard</t>
        </is>
      </c>
      <c r="C667" s="37" t="inlineStr">
        <is>
          <t>Christina</t>
        </is>
      </c>
      <c r="D667" s="37" t="inlineStr">
        <is>
          <t>ACTIVE_WAITLIST</t>
        </is>
      </c>
      <c r="E667" s="37" t="n">
        <v>58.5</v>
      </c>
      <c r="F667" s="37" t="n">
        <v>18.7</v>
      </c>
    </row>
    <row r="668">
      <c r="A668" s="37" t="inlineStr">
        <is>
          <t>WL-01667</t>
        </is>
      </c>
      <c r="B668" s="37" t="inlineStr">
        <is>
          <t>Harris</t>
        </is>
      </c>
      <c r="C668" s="37" t="inlineStr">
        <is>
          <t>Mary</t>
        </is>
      </c>
      <c r="D668" s="37" t="inlineStr">
        <is>
          <t>EXPIRED</t>
        </is>
      </c>
      <c r="E668" s="37" t="n">
        <v>61.2</v>
      </c>
      <c r="F668" s="37" t="n">
        <v>20.8</v>
      </c>
    </row>
    <row r="669">
      <c r="A669" s="37" t="inlineStr">
        <is>
          <t>WL-01668</t>
        </is>
      </c>
      <c r="B669" s="37" t="inlineStr">
        <is>
          <t>Alexander</t>
        </is>
      </c>
      <c r="C669" s="37" t="inlineStr">
        <is>
          <t>Marisa</t>
        </is>
      </c>
      <c r="D669" s="37" t="inlineStr">
        <is>
          <t>ACTIVE_WAITLIST</t>
        </is>
      </c>
      <c r="E669" s="37" t="n">
        <v>18.6</v>
      </c>
      <c r="F669" s="37" t="n">
        <v>5.7</v>
      </c>
    </row>
    <row r="670">
      <c r="A670" s="37" t="inlineStr">
        <is>
          <t>WL-01669</t>
        </is>
      </c>
      <c r="B670" s="37" t="inlineStr">
        <is>
          <t>Nguyen</t>
        </is>
      </c>
      <c r="C670" s="37" t="inlineStr">
        <is>
          <t>Dakota</t>
        </is>
      </c>
      <c r="D670" s="37" t="inlineStr">
        <is>
          <t>RETAINER</t>
        </is>
      </c>
      <c r="E670" s="37" t="n">
        <v>41.1</v>
      </c>
      <c r="F670" s="37" t="n">
        <v>13.3</v>
      </c>
    </row>
    <row r="671">
      <c r="A671" s="37" t="inlineStr">
        <is>
          <t>WL-01670</t>
        </is>
      </c>
      <c r="B671" s="37" t="inlineStr">
        <is>
          <t>Larsen</t>
        </is>
      </c>
      <c r="C671" s="37" t="inlineStr">
        <is>
          <t>Benjamin</t>
        </is>
      </c>
      <c r="D671" s="37" t="inlineStr">
        <is>
          <t>RETAINER</t>
        </is>
      </c>
      <c r="E671" s="37" t="n">
        <v>59</v>
      </c>
      <c r="F671" s="37" t="n">
        <v>17.3</v>
      </c>
    </row>
    <row r="672">
      <c r="A672" s="37" t="inlineStr">
        <is>
          <t>WL-01671</t>
        </is>
      </c>
      <c r="B672" s="37" t="inlineStr">
        <is>
          <t>Rodriguez</t>
        </is>
      </c>
      <c r="C672" s="37" t="inlineStr">
        <is>
          <t>Patrick</t>
        </is>
      </c>
      <c r="D672" s="37" t="inlineStr">
        <is>
          <t>ACTIVE_WAITLIST</t>
        </is>
      </c>
      <c r="E672" s="37" t="n">
        <v>49.8</v>
      </c>
      <c r="F672" s="37" t="n">
        <v>17.3</v>
      </c>
    </row>
    <row r="673">
      <c r="A673" s="37" t="inlineStr">
        <is>
          <t>WL-01672</t>
        </is>
      </c>
      <c r="B673" s="37" t="inlineStr">
        <is>
          <t>Jones</t>
        </is>
      </c>
      <c r="C673" s="37" t="inlineStr">
        <is>
          <t>Holly</t>
        </is>
      </c>
      <c r="D673" s="37" t="inlineStr">
        <is>
          <t>ACTIVE_WAITLIST</t>
        </is>
      </c>
      <c r="E673" s="37" t="n">
        <v>37.4</v>
      </c>
      <c r="F673" s="37" t="n">
        <v>10.6</v>
      </c>
    </row>
    <row r="674">
      <c r="A674" s="37" t="inlineStr">
        <is>
          <t>WL-01673</t>
        </is>
      </c>
      <c r="B674" s="37" t="inlineStr">
        <is>
          <t>Lee</t>
        </is>
      </c>
      <c r="C674" s="37" t="inlineStr">
        <is>
          <t>Kellie</t>
        </is>
      </c>
      <c r="D674" s="37" t="inlineStr">
        <is>
          <t>ACTIVE_WAITLIST</t>
        </is>
      </c>
      <c r="E674" s="37" t="n">
        <v>38.6</v>
      </c>
      <c r="F674" s="37" t="n">
        <v>12.1</v>
      </c>
    </row>
    <row r="675">
      <c r="A675" s="37" t="inlineStr">
        <is>
          <t>WL-01674</t>
        </is>
      </c>
      <c r="B675" s="37" t="inlineStr">
        <is>
          <t>Singh</t>
        </is>
      </c>
      <c r="C675" s="37" t="inlineStr">
        <is>
          <t>Connie</t>
        </is>
      </c>
      <c r="D675" s="37" t="inlineStr">
        <is>
          <t>ACTIVE_WAITLIST</t>
        </is>
      </c>
      <c r="E675" s="37" t="n">
        <v>21.6</v>
      </c>
      <c r="F675" s="37" t="n">
        <v>7.6</v>
      </c>
    </row>
    <row r="676">
      <c r="A676" s="37" t="inlineStr">
        <is>
          <t>WL-01675</t>
        </is>
      </c>
      <c r="B676" s="37" t="inlineStr">
        <is>
          <t>Smith</t>
        </is>
      </c>
      <c r="C676" s="37" t="inlineStr">
        <is>
          <t>Christina</t>
        </is>
      </c>
      <c r="D676" s="37" t="inlineStr">
        <is>
          <t>ACTIVE_WAITLIST</t>
        </is>
      </c>
      <c r="E676" s="37" t="n">
        <v>31.1</v>
      </c>
      <c r="F676" s="37" t="n">
        <v>10.8</v>
      </c>
    </row>
    <row r="677">
      <c r="A677" s="37" t="inlineStr">
        <is>
          <t>WL-01676</t>
        </is>
      </c>
      <c r="B677" s="37" t="inlineStr">
        <is>
          <t>Spence</t>
        </is>
      </c>
      <c r="C677" s="37" t="inlineStr">
        <is>
          <t>Jill</t>
        </is>
      </c>
      <c r="D677" s="37" t="inlineStr">
        <is>
          <t>ACTIVE_WAITLIST</t>
        </is>
      </c>
      <c r="E677" s="37" t="n">
        <v>20</v>
      </c>
      <c r="F677" s="37" t="n">
        <v>6</v>
      </c>
    </row>
    <row r="678">
      <c r="A678" s="37" t="inlineStr">
        <is>
          <t>WL-01677</t>
        </is>
      </c>
      <c r="B678" s="37" t="inlineStr">
        <is>
          <t>Harrison</t>
        </is>
      </c>
      <c r="C678" s="37" t="inlineStr">
        <is>
          <t>Christopher</t>
        </is>
      </c>
      <c r="D678" s="37" t="inlineStr">
        <is>
          <t>EXPIRED</t>
        </is>
      </c>
      <c r="E678" s="37" t="n">
        <v>57.7</v>
      </c>
      <c r="F678" s="37" t="n">
        <v>18.4</v>
      </c>
    </row>
    <row r="679">
      <c r="A679" s="37" t="inlineStr">
        <is>
          <t>WL-01678</t>
        </is>
      </c>
      <c r="B679" s="37" t="inlineStr">
        <is>
          <t>Robles</t>
        </is>
      </c>
      <c r="C679" s="37" t="inlineStr">
        <is>
          <t>Logan</t>
        </is>
      </c>
      <c r="D679" s="37" t="inlineStr">
        <is>
          <t>RETAINER</t>
        </is>
      </c>
      <c r="E679" s="37" t="n">
        <v>36.9</v>
      </c>
      <c r="F679" s="37" t="n">
        <v>11.9</v>
      </c>
    </row>
    <row r="680">
      <c r="A680" s="37" t="inlineStr">
        <is>
          <t>WL-01679</t>
        </is>
      </c>
      <c r="B680" s="37" t="inlineStr">
        <is>
          <t>Reyes</t>
        </is>
      </c>
      <c r="C680" s="37" t="inlineStr">
        <is>
          <t>Rachael</t>
        </is>
      </c>
      <c r="D680" s="37" t="inlineStr">
        <is>
          <t>ACTIVE_WAITLIST</t>
        </is>
      </c>
      <c r="E680" s="37" t="n">
        <v>20.7</v>
      </c>
      <c r="F680" s="37" t="n">
        <v>6.9</v>
      </c>
    </row>
    <row r="681">
      <c r="A681" s="37" t="inlineStr">
        <is>
          <t>WL-01680</t>
        </is>
      </c>
      <c r="B681" s="37" t="inlineStr">
        <is>
          <t>Nelson</t>
        </is>
      </c>
      <c r="C681" s="37" t="inlineStr">
        <is>
          <t>Sara</t>
        </is>
      </c>
      <c r="D681" s="37" t="inlineStr">
        <is>
          <t>ACTIVE_WAITLIST</t>
        </is>
      </c>
      <c r="E681" s="37" t="n">
        <v>21.4</v>
      </c>
      <c r="F681" s="37" t="n">
        <v>6.8</v>
      </c>
    </row>
    <row r="682">
      <c r="A682" s="37" t="inlineStr">
        <is>
          <t>WL-01681</t>
        </is>
      </c>
      <c r="B682" s="37" t="inlineStr">
        <is>
          <t>Jones</t>
        </is>
      </c>
      <c r="C682" s="37" t="inlineStr">
        <is>
          <t>Trevor</t>
        </is>
      </c>
      <c r="D682" s="37" t="inlineStr">
        <is>
          <t>ACTIVE_WAITLIST</t>
        </is>
      </c>
      <c r="E682" s="37" t="n">
        <v>50.3</v>
      </c>
      <c r="F682" s="37" t="n">
        <v>14.2</v>
      </c>
    </row>
    <row r="683">
      <c r="A683" s="37" t="inlineStr">
        <is>
          <t>WL-01682</t>
        </is>
      </c>
      <c r="B683" s="37" t="inlineStr">
        <is>
          <t>Moon</t>
        </is>
      </c>
      <c r="C683" s="37" t="inlineStr">
        <is>
          <t>John</t>
        </is>
      </c>
      <c r="D683" s="37" t="inlineStr">
        <is>
          <t>ACTIVE_WAITLIST</t>
        </is>
      </c>
      <c r="E683" s="37" t="n">
        <v>50.8</v>
      </c>
      <c r="F683" s="37" t="n">
        <v>14.9</v>
      </c>
    </row>
    <row r="684">
      <c r="A684" s="37" t="inlineStr">
        <is>
          <t>WL-01683</t>
        </is>
      </c>
      <c r="B684" s="37" t="inlineStr">
        <is>
          <t>Davis</t>
        </is>
      </c>
      <c r="C684" s="37" t="inlineStr">
        <is>
          <t>Steven</t>
        </is>
      </c>
      <c r="D684" s="37" t="inlineStr">
        <is>
          <t>ACTIVE_WAITLIST</t>
        </is>
      </c>
      <c r="E684" s="37" t="n">
        <v>26.5</v>
      </c>
      <c r="F684" s="37" t="n">
        <v>8.4</v>
      </c>
    </row>
    <row r="685">
      <c r="A685" s="37" t="inlineStr">
        <is>
          <t>WL-01684</t>
        </is>
      </c>
      <c r="B685" s="37" t="inlineStr">
        <is>
          <t>Shaw</t>
        </is>
      </c>
      <c r="C685" s="37" t="inlineStr">
        <is>
          <t>Janet</t>
        </is>
      </c>
      <c r="D685" s="37" t="inlineStr">
        <is>
          <t>EXPIRED</t>
        </is>
      </c>
      <c r="E685" s="37" t="n">
        <v>31.4</v>
      </c>
      <c r="F685" s="37" t="n">
        <v>9.800000000000001</v>
      </c>
    </row>
    <row r="686">
      <c r="A686" s="37" t="inlineStr">
        <is>
          <t>WL-01685</t>
        </is>
      </c>
      <c r="B686" s="37" t="inlineStr">
        <is>
          <t>Russell</t>
        </is>
      </c>
      <c r="C686" s="37" t="inlineStr">
        <is>
          <t>Eric</t>
        </is>
      </c>
      <c r="D686" s="37" t="inlineStr">
        <is>
          <t>ACTIVE_WAITLIST</t>
        </is>
      </c>
      <c r="E686" s="37" t="n">
        <v>55.3</v>
      </c>
      <c r="F686" s="37" t="n">
        <v>18.4</v>
      </c>
    </row>
    <row r="687">
      <c r="A687" s="37" t="inlineStr">
        <is>
          <t>WL-01686</t>
        </is>
      </c>
      <c r="B687" s="37" t="inlineStr">
        <is>
          <t>Poole</t>
        </is>
      </c>
      <c r="C687" s="37" t="inlineStr">
        <is>
          <t>Michael</t>
        </is>
      </c>
      <c r="D687" s="37" t="inlineStr">
        <is>
          <t>EXPIRED</t>
        </is>
      </c>
      <c r="E687" s="37" t="n">
        <v>43.2</v>
      </c>
      <c r="F687" s="37" t="n">
        <v>14.9</v>
      </c>
    </row>
    <row r="688">
      <c r="A688" s="37" t="inlineStr">
        <is>
          <t>WL-01687</t>
        </is>
      </c>
      <c r="B688" s="37" t="inlineStr">
        <is>
          <t>Franco</t>
        </is>
      </c>
      <c r="C688" s="37" t="inlineStr">
        <is>
          <t>Holly</t>
        </is>
      </c>
      <c r="D688" s="37" t="inlineStr">
        <is>
          <t>ACTIVE_WAITLIST</t>
        </is>
      </c>
      <c r="E688" s="37" t="n">
        <v>45.3</v>
      </c>
      <c r="F688" s="37" t="n">
        <v>15.8</v>
      </c>
    </row>
    <row r="689">
      <c r="A689" s="37" t="inlineStr">
        <is>
          <t>WL-01688</t>
        </is>
      </c>
      <c r="B689" s="37" t="inlineStr">
        <is>
          <t>Gardner</t>
        </is>
      </c>
      <c r="C689" s="37" t="inlineStr">
        <is>
          <t>Michael</t>
        </is>
      </c>
      <c r="D689" s="37" t="inlineStr">
        <is>
          <t>ACTIVE_WAITLIST</t>
        </is>
      </c>
      <c r="E689" s="37" t="n">
        <v>39.3</v>
      </c>
      <c r="F689" s="37" t="n">
        <v>12.4</v>
      </c>
    </row>
    <row r="690">
      <c r="A690" s="37" t="inlineStr">
        <is>
          <t>WL-01689</t>
        </is>
      </c>
      <c r="B690" s="37" t="inlineStr">
        <is>
          <t>Nelson</t>
        </is>
      </c>
      <c r="C690" s="37" t="inlineStr">
        <is>
          <t>Joshua</t>
        </is>
      </c>
      <c r="D690" s="37" t="inlineStr">
        <is>
          <t>ACTIVE_WAITLIST</t>
        </is>
      </c>
      <c r="E690" s="37" t="n">
        <v>50.2</v>
      </c>
      <c r="F690" s="37" t="n">
        <v>14.5</v>
      </c>
    </row>
    <row r="691">
      <c r="A691" s="37" t="inlineStr">
        <is>
          <t>WL-01690</t>
        </is>
      </c>
      <c r="B691" s="37" t="inlineStr">
        <is>
          <t>Glass</t>
        </is>
      </c>
      <c r="C691" s="37" t="inlineStr">
        <is>
          <t>Andrew</t>
        </is>
      </c>
      <c r="D691" s="37" t="inlineStr">
        <is>
          <t>RETAINER</t>
        </is>
      </c>
      <c r="E691" s="37" t="n">
        <v>46.8</v>
      </c>
      <c r="F691" s="37" t="n">
        <v>14.9</v>
      </c>
    </row>
    <row r="692">
      <c r="A692" s="37" t="inlineStr">
        <is>
          <t>WL-01691</t>
        </is>
      </c>
      <c r="B692" s="37" t="inlineStr">
        <is>
          <t>Li</t>
        </is>
      </c>
      <c r="C692" s="37" t="inlineStr">
        <is>
          <t>Joshua</t>
        </is>
      </c>
      <c r="D692" s="37" t="inlineStr">
        <is>
          <t>ACTIVE_WAITLIST</t>
        </is>
      </c>
      <c r="E692" s="37" t="n">
        <v>61.4</v>
      </c>
      <c r="F692" s="37" t="n">
        <v>19.3</v>
      </c>
    </row>
    <row r="693">
      <c r="A693" s="37" t="inlineStr">
        <is>
          <t>WL-01692</t>
        </is>
      </c>
      <c r="B693" s="37" t="inlineStr">
        <is>
          <t>Beck</t>
        </is>
      </c>
      <c r="C693" s="37" t="inlineStr">
        <is>
          <t>Steven</t>
        </is>
      </c>
      <c r="D693" s="37" t="inlineStr">
        <is>
          <t>ACTIVE_WAITLIST</t>
        </is>
      </c>
      <c r="E693" s="37" t="n">
        <v>50.6</v>
      </c>
      <c r="F693" s="37" t="n">
        <v>17.3</v>
      </c>
    </row>
    <row r="694">
      <c r="A694" s="37" t="inlineStr">
        <is>
          <t>WL-01693</t>
        </is>
      </c>
      <c r="B694" s="37" t="inlineStr">
        <is>
          <t>Price</t>
        </is>
      </c>
      <c r="C694" s="37" t="inlineStr">
        <is>
          <t>Michael</t>
        </is>
      </c>
      <c r="D694" s="37" t="inlineStr">
        <is>
          <t>ACTIVE_WAITLIST</t>
        </is>
      </c>
      <c r="E694" s="37" t="n">
        <v>26.8</v>
      </c>
      <c r="F694" s="37" t="n">
        <v>8.199999999999999</v>
      </c>
    </row>
    <row r="695">
      <c r="A695" s="37" t="inlineStr">
        <is>
          <t>WL-01694</t>
        </is>
      </c>
      <c r="B695" s="37" t="inlineStr">
        <is>
          <t>Aguirre</t>
        </is>
      </c>
      <c r="C695" s="37" t="inlineStr">
        <is>
          <t>Cory</t>
        </is>
      </c>
      <c r="D695" s="37" t="inlineStr">
        <is>
          <t>ACTIVE_WAITLIST</t>
        </is>
      </c>
      <c r="E695" s="37" t="n">
        <v>40.1</v>
      </c>
      <c r="F695" s="37" t="n">
        <v>14</v>
      </c>
    </row>
    <row r="696">
      <c r="A696" s="37" t="inlineStr">
        <is>
          <t>WL-01695</t>
        </is>
      </c>
      <c r="B696" s="37" t="inlineStr">
        <is>
          <t>Leach</t>
        </is>
      </c>
      <c r="C696" s="37" t="inlineStr">
        <is>
          <t>Antonio</t>
        </is>
      </c>
      <c r="D696" s="37" t="inlineStr">
        <is>
          <t>ACTIVE_WAITLIST</t>
        </is>
      </c>
      <c r="E696" s="37" t="n">
        <v>24.6</v>
      </c>
      <c r="F696" s="37" t="n">
        <v>7.3</v>
      </c>
    </row>
    <row r="697">
      <c r="A697" s="37" t="inlineStr">
        <is>
          <t>WL-01696</t>
        </is>
      </c>
      <c r="B697" s="37" t="inlineStr">
        <is>
          <t>Dixon</t>
        </is>
      </c>
      <c r="C697" s="37" t="inlineStr">
        <is>
          <t>Steve</t>
        </is>
      </c>
      <c r="D697" s="37" t="inlineStr">
        <is>
          <t>ACTIVE_WAITLIST</t>
        </is>
      </c>
      <c r="E697" s="37" t="n">
        <v>59.7</v>
      </c>
      <c r="F697" s="37" t="n">
        <v>19</v>
      </c>
    </row>
    <row r="698">
      <c r="A698" s="37" t="inlineStr">
        <is>
          <t>WL-01697</t>
        </is>
      </c>
      <c r="B698" s="37" t="inlineStr">
        <is>
          <t>Brown</t>
        </is>
      </c>
      <c r="C698" s="37" t="inlineStr">
        <is>
          <t>Paige</t>
        </is>
      </c>
      <c r="D698" s="37" t="inlineStr">
        <is>
          <t>ACTIVE_WAITLIST</t>
        </is>
      </c>
      <c r="E698" s="37" t="n">
        <v>35.1</v>
      </c>
      <c r="F698" s="37" t="n">
        <v>11.1</v>
      </c>
    </row>
    <row r="699">
      <c r="A699" s="37" t="inlineStr">
        <is>
          <t>WL-01698</t>
        </is>
      </c>
      <c r="B699" s="37" t="inlineStr">
        <is>
          <t>Young</t>
        </is>
      </c>
      <c r="C699" s="37" t="inlineStr">
        <is>
          <t>Lisa</t>
        </is>
      </c>
      <c r="D699" s="37" t="inlineStr">
        <is>
          <t>RETAINER</t>
        </is>
      </c>
      <c r="E699" s="37" t="n">
        <v>33.5</v>
      </c>
      <c r="F699" s="37" t="n">
        <v>10.5</v>
      </c>
    </row>
    <row r="700">
      <c r="A700" s="37" t="inlineStr">
        <is>
          <t>WL-01699</t>
        </is>
      </c>
      <c r="B700" s="37" t="inlineStr">
        <is>
          <t>Fuller</t>
        </is>
      </c>
      <c r="C700" s="37" t="inlineStr">
        <is>
          <t>Kevin</t>
        </is>
      </c>
      <c r="D700" s="37" t="inlineStr">
        <is>
          <t>ACTIVE_WAITLIST</t>
        </is>
      </c>
      <c r="E700" s="37" t="n">
        <v>47.8</v>
      </c>
      <c r="F700" s="37" t="n">
        <v>16</v>
      </c>
    </row>
    <row r="701">
      <c r="A701" s="37" t="inlineStr">
        <is>
          <t>WL-01700</t>
        </is>
      </c>
      <c r="B701" s="37" t="inlineStr">
        <is>
          <t>Fletcher</t>
        </is>
      </c>
      <c r="C701" s="37" t="inlineStr">
        <is>
          <t>Sherry</t>
        </is>
      </c>
      <c r="D701" s="37" t="inlineStr">
        <is>
          <t>ACTIVE_WAITLIST</t>
        </is>
      </c>
      <c r="E701" s="37" t="n">
        <v>61.8</v>
      </c>
      <c r="F701" s="37" t="n">
        <v>21.6</v>
      </c>
    </row>
    <row r="702">
      <c r="A702" s="37" t="inlineStr">
        <is>
          <t>WL-01701</t>
        </is>
      </c>
      <c r="B702" s="37" t="inlineStr">
        <is>
          <t>Cox</t>
        </is>
      </c>
      <c r="C702" s="37" t="inlineStr">
        <is>
          <t>Robert</t>
        </is>
      </c>
      <c r="D702" s="37" t="inlineStr">
        <is>
          <t>EXPIRED</t>
        </is>
      </c>
      <c r="E702" s="37" t="n">
        <v>32.9</v>
      </c>
      <c r="F702" s="37" t="n">
        <v>10.7</v>
      </c>
    </row>
    <row r="703">
      <c r="A703" s="37" t="inlineStr">
        <is>
          <t>WL-01702</t>
        </is>
      </c>
      <c r="B703" s="37" t="inlineStr">
        <is>
          <t>Carr</t>
        </is>
      </c>
      <c r="C703" s="37" t="inlineStr">
        <is>
          <t>Larry</t>
        </is>
      </c>
      <c r="D703" s="37" t="inlineStr">
        <is>
          <t>ACTIVE_WAITLIST</t>
        </is>
      </c>
      <c r="E703" s="37" t="n">
        <v>58.3</v>
      </c>
      <c r="F703" s="37" t="n">
        <v>19.8</v>
      </c>
    </row>
    <row r="704">
      <c r="A704" s="37" t="inlineStr">
        <is>
          <t>WL-01703</t>
        </is>
      </c>
      <c r="B704" s="37" t="inlineStr">
        <is>
          <t>Avery</t>
        </is>
      </c>
      <c r="C704" s="37" t="inlineStr">
        <is>
          <t>Jorge</t>
        </is>
      </c>
      <c r="D704" s="37" t="inlineStr">
        <is>
          <t>ACTIVE_WAITLIST</t>
        </is>
      </c>
      <c r="E704" s="37" t="n">
        <v>43.7</v>
      </c>
      <c r="F704" s="37" t="n">
        <v>12.6</v>
      </c>
    </row>
    <row r="705">
      <c r="A705" s="37" t="inlineStr">
        <is>
          <t>WL-01704</t>
        </is>
      </c>
      <c r="B705" s="37" t="inlineStr">
        <is>
          <t>Horn</t>
        </is>
      </c>
      <c r="C705" s="37" t="inlineStr">
        <is>
          <t>Justin</t>
        </is>
      </c>
      <c r="D705" s="37" t="inlineStr">
        <is>
          <t>ACTIVE_WAITLIST</t>
        </is>
      </c>
      <c r="E705" s="37" t="n">
        <v>24.6</v>
      </c>
      <c r="F705" s="37" t="n">
        <v>8.300000000000001</v>
      </c>
    </row>
    <row r="706">
      <c r="A706" s="37" t="inlineStr">
        <is>
          <t>WL-01705</t>
        </is>
      </c>
      <c r="B706" s="37" t="inlineStr">
        <is>
          <t>Walker</t>
        </is>
      </c>
      <c r="C706" s="37" t="inlineStr">
        <is>
          <t>Tracy</t>
        </is>
      </c>
      <c r="D706" s="37" t="inlineStr">
        <is>
          <t>ACTIVE_WAITLIST</t>
        </is>
      </c>
      <c r="E706" s="37" t="n">
        <v>31.4</v>
      </c>
      <c r="F706" s="37" t="n">
        <v>9.199999999999999</v>
      </c>
    </row>
    <row r="707">
      <c r="A707" s="37" t="inlineStr">
        <is>
          <t>WL-01706</t>
        </is>
      </c>
      <c r="B707" s="37" t="inlineStr">
        <is>
          <t>Lee</t>
        </is>
      </c>
      <c r="C707" s="37" t="inlineStr">
        <is>
          <t>Michael</t>
        </is>
      </c>
      <c r="D707" s="37" t="inlineStr">
        <is>
          <t>ACTIVE_WAITLIST</t>
        </is>
      </c>
      <c r="E707" s="37" t="n">
        <v>53.2</v>
      </c>
      <c r="F707" s="37" t="n">
        <v>16.9</v>
      </c>
    </row>
    <row r="708">
      <c r="A708" s="37" t="inlineStr">
        <is>
          <t>WL-01707</t>
        </is>
      </c>
      <c r="B708" s="37" t="inlineStr">
        <is>
          <t>Thompson</t>
        </is>
      </c>
      <c r="C708" s="37" t="inlineStr">
        <is>
          <t>Linda</t>
        </is>
      </c>
      <c r="D708" s="37" t="inlineStr">
        <is>
          <t>ACTIVE_WAITLIST</t>
        </is>
      </c>
      <c r="E708" s="37" t="n">
        <v>29.2</v>
      </c>
      <c r="F708" s="37" t="n">
        <v>8.4</v>
      </c>
    </row>
    <row r="709">
      <c r="A709" s="37" t="inlineStr">
        <is>
          <t>WL-01708</t>
        </is>
      </c>
      <c r="B709" s="37" t="inlineStr">
        <is>
          <t>Jones</t>
        </is>
      </c>
      <c r="C709" s="37" t="inlineStr">
        <is>
          <t>Miranda</t>
        </is>
      </c>
      <c r="D709" s="37" t="inlineStr">
        <is>
          <t>ACTIVE_WAITLIST</t>
        </is>
      </c>
      <c r="E709" s="37" t="n">
        <v>56.8</v>
      </c>
      <c r="F709" s="37" t="n">
        <v>18.2</v>
      </c>
    </row>
    <row r="710">
      <c r="A710" s="37" t="inlineStr">
        <is>
          <t>WL-01709</t>
        </is>
      </c>
      <c r="B710" s="37" t="inlineStr">
        <is>
          <t>Stephens</t>
        </is>
      </c>
      <c r="C710" s="37" t="inlineStr">
        <is>
          <t>Alexander</t>
        </is>
      </c>
      <c r="D710" s="37" t="inlineStr">
        <is>
          <t>ACTIVE_WAITLIST</t>
        </is>
      </c>
      <c r="E710" s="37" t="n">
        <v>53.5</v>
      </c>
      <c r="F710" s="37" t="n">
        <v>17.1</v>
      </c>
    </row>
    <row r="711">
      <c r="A711" s="37" t="inlineStr">
        <is>
          <t>WL-01710</t>
        </is>
      </c>
      <c r="B711" s="37" t="inlineStr">
        <is>
          <t>Morris</t>
        </is>
      </c>
      <c r="C711" s="37" t="inlineStr">
        <is>
          <t>Alyssa</t>
        </is>
      </c>
      <c r="D711" s="37" t="inlineStr">
        <is>
          <t>ACTIVE_WAITLIST</t>
        </is>
      </c>
      <c r="E711" s="37" t="n">
        <v>25.1</v>
      </c>
      <c r="F711" s="37" t="n">
        <v>8.300000000000001</v>
      </c>
    </row>
    <row r="712">
      <c r="A712" s="37" t="inlineStr">
        <is>
          <t>WL-01711</t>
        </is>
      </c>
      <c r="B712" s="37" t="inlineStr">
        <is>
          <t>Peterson</t>
        </is>
      </c>
      <c r="C712" s="37" t="inlineStr">
        <is>
          <t>Julie</t>
        </is>
      </c>
      <c r="D712" s="37" t="inlineStr">
        <is>
          <t>ACTIVE_WAITLIST</t>
        </is>
      </c>
      <c r="E712" s="37" t="n">
        <v>51.4</v>
      </c>
      <c r="F712" s="37" t="n">
        <v>16.8</v>
      </c>
    </row>
    <row r="713">
      <c r="A713" s="37" t="inlineStr">
        <is>
          <t>WL-01712</t>
        </is>
      </c>
      <c r="B713" s="37" t="inlineStr">
        <is>
          <t>Liu</t>
        </is>
      </c>
      <c r="C713" s="37" t="inlineStr">
        <is>
          <t>Kevin</t>
        </is>
      </c>
      <c r="D713" s="37" t="inlineStr">
        <is>
          <t>RETAINER</t>
        </is>
      </c>
      <c r="E713" s="37" t="n">
        <v>49.4</v>
      </c>
      <c r="F713" s="37" t="n">
        <v>15</v>
      </c>
    </row>
    <row r="714">
      <c r="A714" s="37" t="inlineStr">
        <is>
          <t>WL-01713</t>
        </is>
      </c>
      <c r="B714" s="37" t="inlineStr">
        <is>
          <t>Garza</t>
        </is>
      </c>
      <c r="C714" s="37" t="inlineStr">
        <is>
          <t>Tina</t>
        </is>
      </c>
      <c r="D714" s="37" t="inlineStr">
        <is>
          <t>ACTIVE_WAITLIST</t>
        </is>
      </c>
      <c r="E714" s="37" t="n">
        <v>40.5</v>
      </c>
      <c r="F714" s="37" t="n">
        <v>12.9</v>
      </c>
    </row>
    <row r="715">
      <c r="A715" s="37" t="inlineStr">
        <is>
          <t>WL-01714</t>
        </is>
      </c>
      <c r="B715" s="37" t="inlineStr">
        <is>
          <t>Smith</t>
        </is>
      </c>
      <c r="C715" s="37" t="inlineStr">
        <is>
          <t>Ashley</t>
        </is>
      </c>
      <c r="D715" s="37" t="inlineStr">
        <is>
          <t>ACTIVE_WAITLIST</t>
        </is>
      </c>
      <c r="E715" s="37" t="n">
        <v>23.7</v>
      </c>
      <c r="F715" s="37" t="n">
        <v>6.8</v>
      </c>
    </row>
    <row r="716">
      <c r="A716" s="37" t="inlineStr">
        <is>
          <t>WL-01715</t>
        </is>
      </c>
      <c r="B716" s="37" t="inlineStr">
        <is>
          <t>Snyder</t>
        </is>
      </c>
      <c r="C716" s="37" t="inlineStr">
        <is>
          <t>Richard</t>
        </is>
      </c>
      <c r="D716" s="37" t="inlineStr">
        <is>
          <t>ACTIVE_WAITLIST</t>
        </is>
      </c>
      <c r="E716" s="37" t="n">
        <v>30.1</v>
      </c>
      <c r="F716" s="37" t="n">
        <v>10.8</v>
      </c>
    </row>
    <row r="717">
      <c r="A717" s="37" t="inlineStr">
        <is>
          <t>WL-01716</t>
        </is>
      </c>
      <c r="B717" s="37" t="inlineStr">
        <is>
          <t>Olsen</t>
        </is>
      </c>
      <c r="C717" s="37" t="inlineStr">
        <is>
          <t>Christina</t>
        </is>
      </c>
      <c r="D717" s="37" t="inlineStr">
        <is>
          <t>ACTIVE_WAITLIST</t>
        </is>
      </c>
      <c r="E717" s="37" t="n">
        <v>32.5</v>
      </c>
      <c r="F717" s="37" t="n">
        <v>10.8</v>
      </c>
    </row>
    <row r="718">
      <c r="A718" s="37" t="inlineStr">
        <is>
          <t>WL-01717</t>
        </is>
      </c>
      <c r="B718" s="37" t="inlineStr">
        <is>
          <t>Bailey</t>
        </is>
      </c>
      <c r="C718" s="37" t="inlineStr">
        <is>
          <t>Andrea</t>
        </is>
      </c>
      <c r="D718" s="37" t="inlineStr">
        <is>
          <t>ACTIVE_WAITLIST</t>
        </is>
      </c>
      <c r="E718" s="37" t="n">
        <v>31.3</v>
      </c>
      <c r="F718" s="37" t="n">
        <v>11</v>
      </c>
    </row>
    <row r="719">
      <c r="A719" s="37" t="inlineStr">
        <is>
          <t>WL-01718</t>
        </is>
      </c>
      <c r="B719" s="37" t="inlineStr">
        <is>
          <t>Welch</t>
        </is>
      </c>
      <c r="C719" s="37" t="inlineStr">
        <is>
          <t>Christopher</t>
        </is>
      </c>
      <c r="D719" s="37" t="inlineStr">
        <is>
          <t>ACTIVE_WAITLIST</t>
        </is>
      </c>
      <c r="E719" s="37" t="n">
        <v>20.6</v>
      </c>
      <c r="F719" s="37" t="n">
        <v>6.4</v>
      </c>
    </row>
    <row r="720">
      <c r="A720" s="37" t="inlineStr">
        <is>
          <t>WL-01719</t>
        </is>
      </c>
      <c r="B720" s="37" t="inlineStr">
        <is>
          <t>Anderson</t>
        </is>
      </c>
      <c r="C720" s="37" t="inlineStr">
        <is>
          <t>John</t>
        </is>
      </c>
      <c r="D720" s="37" t="inlineStr">
        <is>
          <t>ACTIVE_WAITLIST</t>
        </is>
      </c>
      <c r="E720" s="37" t="n">
        <v>52.1</v>
      </c>
      <c r="F720" s="37" t="n">
        <v>14.7</v>
      </c>
    </row>
    <row r="721">
      <c r="A721" s="37" t="inlineStr">
        <is>
          <t>WL-01720</t>
        </is>
      </c>
      <c r="B721" s="37" t="inlineStr">
        <is>
          <t>Peck</t>
        </is>
      </c>
      <c r="C721" s="37" t="inlineStr">
        <is>
          <t>Patricia</t>
        </is>
      </c>
      <c r="D721" s="37" t="inlineStr">
        <is>
          <t>RETAINER</t>
        </is>
      </c>
      <c r="E721" s="37" t="n">
        <v>27.2</v>
      </c>
      <c r="F721" s="37" t="n">
        <v>7.8</v>
      </c>
    </row>
    <row r="722">
      <c r="A722" s="37" t="inlineStr">
        <is>
          <t>WL-01721</t>
        </is>
      </c>
      <c r="B722" s="37" t="inlineStr">
        <is>
          <t>Armstrong</t>
        </is>
      </c>
      <c r="C722" s="37" t="inlineStr">
        <is>
          <t>Paul</t>
        </is>
      </c>
      <c r="D722" s="37" t="inlineStr">
        <is>
          <t>ACTIVE_WAITLIST</t>
        </is>
      </c>
      <c r="E722" s="37" t="n">
        <v>44.9</v>
      </c>
      <c r="F722" s="37" t="n">
        <v>12.8</v>
      </c>
    </row>
    <row r="723">
      <c r="A723" s="37" t="inlineStr">
        <is>
          <t>WL-01722</t>
        </is>
      </c>
      <c r="B723" s="37" t="inlineStr">
        <is>
          <t>Collins</t>
        </is>
      </c>
      <c r="C723" s="37" t="inlineStr">
        <is>
          <t>Gregory</t>
        </is>
      </c>
      <c r="D723" s="37" t="inlineStr">
        <is>
          <t>ACTIVE_WAITLIST</t>
        </is>
      </c>
      <c r="E723" s="37" t="n">
        <v>44.6</v>
      </c>
      <c r="F723" s="37" t="n">
        <v>13.3</v>
      </c>
    </row>
    <row r="724">
      <c r="A724" s="37" t="inlineStr">
        <is>
          <t>WL-01723</t>
        </is>
      </c>
      <c r="B724" s="37" t="inlineStr">
        <is>
          <t>Buchanan</t>
        </is>
      </c>
      <c r="C724" s="37" t="inlineStr">
        <is>
          <t>Justin</t>
        </is>
      </c>
      <c r="D724" s="37" t="inlineStr">
        <is>
          <t>ACTIVE_WAITLIST</t>
        </is>
      </c>
      <c r="E724" s="37" t="n">
        <v>22.9</v>
      </c>
      <c r="F724" s="37" t="n">
        <v>7.6</v>
      </c>
    </row>
    <row r="725">
      <c r="A725" s="37" t="inlineStr">
        <is>
          <t>WL-01724</t>
        </is>
      </c>
      <c r="B725" s="37" t="inlineStr">
        <is>
          <t>Winters</t>
        </is>
      </c>
      <c r="C725" s="37" t="inlineStr">
        <is>
          <t>Bryan</t>
        </is>
      </c>
      <c r="D725" s="37" t="inlineStr">
        <is>
          <t>ACTIVE_WAITLIST</t>
        </is>
      </c>
      <c r="E725" s="37" t="n">
        <v>23.1</v>
      </c>
      <c r="F725" s="37" t="n">
        <v>6.9</v>
      </c>
    </row>
    <row r="726">
      <c r="A726" s="37" t="inlineStr">
        <is>
          <t>WL-01725</t>
        </is>
      </c>
      <c r="B726" s="37" t="inlineStr">
        <is>
          <t>Hall</t>
        </is>
      </c>
      <c r="C726" s="37" t="inlineStr">
        <is>
          <t>Linda</t>
        </is>
      </c>
      <c r="D726" s="37" t="inlineStr">
        <is>
          <t>EXPIRED</t>
        </is>
      </c>
      <c r="E726" s="37" t="n">
        <v>39.1</v>
      </c>
      <c r="F726" s="37" t="n">
        <v>13.6</v>
      </c>
    </row>
    <row r="727">
      <c r="A727" s="37" t="inlineStr">
        <is>
          <t>WL-01726</t>
        </is>
      </c>
      <c r="B727" s="37" t="inlineStr">
        <is>
          <t>Smith</t>
        </is>
      </c>
      <c r="C727" s="37" t="inlineStr">
        <is>
          <t>Angela</t>
        </is>
      </c>
      <c r="D727" s="37" t="inlineStr">
        <is>
          <t>ACTIVE_WAITLIST</t>
        </is>
      </c>
      <c r="E727" s="37" t="n">
        <v>49.9</v>
      </c>
      <c r="F727" s="37" t="n">
        <v>14.5</v>
      </c>
    </row>
    <row r="728">
      <c r="A728" s="37" t="inlineStr">
        <is>
          <t>WL-01727</t>
        </is>
      </c>
      <c r="B728" s="37" t="inlineStr">
        <is>
          <t>Morton</t>
        </is>
      </c>
      <c r="C728" s="37" t="inlineStr">
        <is>
          <t>Ashley</t>
        </is>
      </c>
      <c r="D728" s="37" t="inlineStr">
        <is>
          <t>EXPIRED</t>
        </is>
      </c>
      <c r="E728" s="37" t="n">
        <v>39.9</v>
      </c>
      <c r="F728" s="37" t="n">
        <v>12.6</v>
      </c>
    </row>
    <row r="729">
      <c r="A729" s="37" t="inlineStr">
        <is>
          <t>WL-01728</t>
        </is>
      </c>
      <c r="B729" s="37" t="inlineStr">
        <is>
          <t>Robinson</t>
        </is>
      </c>
      <c r="C729" s="37" t="inlineStr">
        <is>
          <t>Theresa</t>
        </is>
      </c>
      <c r="D729" s="37" t="inlineStr">
        <is>
          <t>EXPIRED</t>
        </is>
      </c>
      <c r="E729" s="37" t="n">
        <v>22.9</v>
      </c>
      <c r="F729" s="37" t="n">
        <v>7.5</v>
      </c>
    </row>
    <row r="730">
      <c r="A730" s="37" t="inlineStr">
        <is>
          <t>WL-01729</t>
        </is>
      </c>
      <c r="B730" s="37" t="inlineStr">
        <is>
          <t>Baker</t>
        </is>
      </c>
      <c r="C730" s="37" t="inlineStr">
        <is>
          <t>Whitney</t>
        </is>
      </c>
      <c r="D730" s="37" t="inlineStr">
        <is>
          <t>ACTIVE_WAITLIST</t>
        </is>
      </c>
      <c r="E730" s="37" t="n">
        <v>39.6</v>
      </c>
      <c r="F730" s="37" t="n">
        <v>12.2</v>
      </c>
    </row>
    <row r="731">
      <c r="A731" s="37" t="inlineStr">
        <is>
          <t>WL-01730</t>
        </is>
      </c>
      <c r="B731" s="37" t="inlineStr">
        <is>
          <t>Sparks</t>
        </is>
      </c>
      <c r="C731" s="37" t="inlineStr">
        <is>
          <t>Charles</t>
        </is>
      </c>
      <c r="D731" s="37" t="inlineStr">
        <is>
          <t>ACTIVE_WAITLIST</t>
        </is>
      </c>
      <c r="E731" s="37" t="n">
        <v>45.6</v>
      </c>
      <c r="F731" s="37" t="n">
        <v>15.4</v>
      </c>
    </row>
    <row r="732">
      <c r="A732" s="37" t="inlineStr">
        <is>
          <t>WL-01731</t>
        </is>
      </c>
      <c r="B732" s="37" t="inlineStr">
        <is>
          <t>White</t>
        </is>
      </c>
      <c r="C732" s="37" t="inlineStr">
        <is>
          <t>Thomas</t>
        </is>
      </c>
      <c r="D732" s="37" t="inlineStr">
        <is>
          <t>ACTIVE_WAITLIST</t>
        </is>
      </c>
      <c r="E732" s="37" t="n">
        <v>18.4</v>
      </c>
      <c r="F732" s="37" t="n">
        <v>6.1</v>
      </c>
    </row>
    <row r="733">
      <c r="A733" s="37" t="inlineStr">
        <is>
          <t>WL-01732</t>
        </is>
      </c>
      <c r="B733" s="37" t="inlineStr">
        <is>
          <t>Jones</t>
        </is>
      </c>
      <c r="C733" s="37" t="inlineStr">
        <is>
          <t>Dennis</t>
        </is>
      </c>
      <c r="D733" s="37" t="inlineStr">
        <is>
          <t>ACTIVE_WAITLIST</t>
        </is>
      </c>
      <c r="E733" s="37" t="n">
        <v>22.7</v>
      </c>
      <c r="F733" s="37" t="n">
        <v>7.5</v>
      </c>
    </row>
    <row r="734">
      <c r="A734" s="37" t="inlineStr">
        <is>
          <t>WL-01733</t>
        </is>
      </c>
      <c r="B734" s="37" t="inlineStr">
        <is>
          <t>Weber</t>
        </is>
      </c>
      <c r="C734" s="37" t="inlineStr">
        <is>
          <t>William</t>
        </is>
      </c>
      <c r="D734" s="37" t="inlineStr">
        <is>
          <t>ACTIVE_WAITLIST</t>
        </is>
      </c>
      <c r="E734" s="37" t="n">
        <v>58.5</v>
      </c>
      <c r="F734" s="37" t="n">
        <v>19</v>
      </c>
    </row>
    <row r="735">
      <c r="A735" s="37" t="inlineStr">
        <is>
          <t>WL-01734</t>
        </is>
      </c>
      <c r="B735" s="37" t="inlineStr">
        <is>
          <t>Sanchez</t>
        </is>
      </c>
      <c r="C735" s="37" t="inlineStr">
        <is>
          <t>Jamie</t>
        </is>
      </c>
      <c r="D735" s="37" t="inlineStr">
        <is>
          <t>ACTIVE_WAITLIST</t>
        </is>
      </c>
      <c r="E735" s="37" t="n">
        <v>48.9</v>
      </c>
      <c r="F735" s="37" t="n">
        <v>15.2</v>
      </c>
    </row>
    <row r="736">
      <c r="A736" s="37" t="inlineStr">
        <is>
          <t>WL-01735</t>
        </is>
      </c>
      <c r="B736" s="37" t="inlineStr">
        <is>
          <t>Brown</t>
        </is>
      </c>
      <c r="C736" s="37" t="inlineStr">
        <is>
          <t>Jeffrey</t>
        </is>
      </c>
      <c r="D736" s="37" t="inlineStr">
        <is>
          <t>ACTIVE_WAITLIST</t>
        </is>
      </c>
      <c r="E736" s="37" t="n">
        <v>55.3</v>
      </c>
      <c r="F736" s="37" t="n">
        <v>16.9</v>
      </c>
    </row>
    <row r="737">
      <c r="A737" s="37" t="inlineStr">
        <is>
          <t>WL-01736</t>
        </is>
      </c>
      <c r="B737" s="37" t="inlineStr">
        <is>
          <t>Deleon</t>
        </is>
      </c>
      <c r="C737" s="37" t="inlineStr">
        <is>
          <t>Patricia</t>
        </is>
      </c>
      <c r="D737" s="37" t="inlineStr">
        <is>
          <t>ACTIVE_WAITLIST</t>
        </is>
      </c>
      <c r="E737" s="37" t="n">
        <v>22.5</v>
      </c>
      <c r="F737" s="37" t="n">
        <v>7</v>
      </c>
    </row>
    <row r="738">
      <c r="A738" s="37" t="inlineStr">
        <is>
          <t>WL-01737</t>
        </is>
      </c>
      <c r="B738" s="37" t="inlineStr">
        <is>
          <t>Wright</t>
        </is>
      </c>
      <c r="C738" s="37" t="inlineStr">
        <is>
          <t>Nicole</t>
        </is>
      </c>
      <c r="D738" s="37" t="inlineStr">
        <is>
          <t>ACTIVE_WAITLIST</t>
        </is>
      </c>
      <c r="E738" s="37" t="n">
        <v>57.9</v>
      </c>
      <c r="F738" s="37" t="n">
        <v>16.3</v>
      </c>
    </row>
    <row r="739">
      <c r="A739" s="37" t="inlineStr">
        <is>
          <t>WL-01738</t>
        </is>
      </c>
      <c r="B739" s="37" t="inlineStr">
        <is>
          <t>Kramer</t>
        </is>
      </c>
      <c r="C739" s="37" t="inlineStr">
        <is>
          <t>Zachary</t>
        </is>
      </c>
      <c r="D739" s="37" t="inlineStr">
        <is>
          <t>ACTIVE_WAITLIST</t>
        </is>
      </c>
      <c r="E739" s="37" t="n">
        <v>56.3</v>
      </c>
      <c r="F739" s="37" t="n">
        <v>17.8</v>
      </c>
    </row>
    <row r="740">
      <c r="A740" s="37" t="inlineStr">
        <is>
          <t>WL-01739</t>
        </is>
      </c>
      <c r="B740" s="37" t="inlineStr">
        <is>
          <t>Davis</t>
        </is>
      </c>
      <c r="C740" s="37" t="inlineStr">
        <is>
          <t>Andrew</t>
        </is>
      </c>
      <c r="D740" s="37" t="inlineStr">
        <is>
          <t>ACTIVE_WAITLIST</t>
        </is>
      </c>
      <c r="E740" s="37" t="n">
        <v>20.3</v>
      </c>
      <c r="F740" s="37" t="n">
        <v>6.5</v>
      </c>
    </row>
    <row r="741">
      <c r="A741" s="37" t="inlineStr">
        <is>
          <t>WL-01740</t>
        </is>
      </c>
      <c r="B741" s="37" t="inlineStr">
        <is>
          <t>Wyatt</t>
        </is>
      </c>
      <c r="C741" s="37" t="inlineStr">
        <is>
          <t>Lisa</t>
        </is>
      </c>
      <c r="D741" s="37" t="inlineStr">
        <is>
          <t>ACTIVE_WAITLIST</t>
        </is>
      </c>
      <c r="E741" s="37" t="n">
        <v>43.4</v>
      </c>
      <c r="F741" s="37" t="n">
        <v>12.6</v>
      </c>
    </row>
    <row r="742">
      <c r="A742" s="37" t="inlineStr">
        <is>
          <t>WL-01741</t>
        </is>
      </c>
      <c r="B742" s="37" t="inlineStr">
        <is>
          <t>Burton</t>
        </is>
      </c>
      <c r="C742" s="37" t="inlineStr">
        <is>
          <t>Lisa</t>
        </is>
      </c>
      <c r="D742" s="37" t="inlineStr">
        <is>
          <t>ACTIVE_WAITLIST</t>
        </is>
      </c>
      <c r="E742" s="37" t="n">
        <v>31.6</v>
      </c>
      <c r="F742" s="37" t="n">
        <v>9.199999999999999</v>
      </c>
    </row>
    <row r="743">
      <c r="A743" s="37" t="inlineStr">
        <is>
          <t>WL-01742</t>
        </is>
      </c>
      <c r="B743" s="37" t="inlineStr">
        <is>
          <t>Smith</t>
        </is>
      </c>
      <c r="C743" s="37" t="inlineStr">
        <is>
          <t>Robert</t>
        </is>
      </c>
      <c r="D743" s="37" t="inlineStr">
        <is>
          <t>ACTIVE_WAITLIST</t>
        </is>
      </c>
      <c r="E743" s="37" t="n">
        <v>29.1</v>
      </c>
      <c r="F743" s="37" t="n">
        <v>8.800000000000001</v>
      </c>
    </row>
    <row r="744">
      <c r="A744" s="37" t="inlineStr">
        <is>
          <t>WL-01743</t>
        </is>
      </c>
      <c r="B744" s="37" t="inlineStr">
        <is>
          <t>Hernandez</t>
        </is>
      </c>
      <c r="C744" s="37" t="inlineStr">
        <is>
          <t>Melissa</t>
        </is>
      </c>
      <c r="D744" s="37" t="inlineStr">
        <is>
          <t>ACTIVE_WAITLIST</t>
        </is>
      </c>
      <c r="E744" s="37" t="n">
        <v>24.1</v>
      </c>
      <c r="F744" s="37" t="n">
        <v>8.6</v>
      </c>
    </row>
    <row r="745">
      <c r="A745" s="37" t="inlineStr">
        <is>
          <t>WL-01744</t>
        </is>
      </c>
      <c r="B745" s="37" t="inlineStr">
        <is>
          <t>White</t>
        </is>
      </c>
      <c r="C745" s="37" t="inlineStr">
        <is>
          <t>Mariah</t>
        </is>
      </c>
      <c r="D745" s="37" t="inlineStr">
        <is>
          <t>ACTIVE_WAITLIST</t>
        </is>
      </c>
      <c r="E745" s="37" t="n">
        <v>30.2</v>
      </c>
      <c r="F745" s="37" t="n">
        <v>10</v>
      </c>
    </row>
    <row r="746">
      <c r="A746" s="37" t="inlineStr">
        <is>
          <t>WL-01745</t>
        </is>
      </c>
      <c r="B746" s="37" t="inlineStr">
        <is>
          <t>Hall</t>
        </is>
      </c>
      <c r="C746" s="37" t="inlineStr">
        <is>
          <t>David</t>
        </is>
      </c>
      <c r="D746" s="37" t="inlineStr">
        <is>
          <t>RETAINER</t>
        </is>
      </c>
      <c r="E746" s="37" t="n">
        <v>51.4</v>
      </c>
      <c r="F746" s="37" t="n">
        <v>14.8</v>
      </c>
    </row>
    <row r="747">
      <c r="A747" s="37" t="inlineStr">
        <is>
          <t>WL-01746</t>
        </is>
      </c>
      <c r="B747" s="37" t="inlineStr">
        <is>
          <t>Ward</t>
        </is>
      </c>
      <c r="C747" s="37" t="inlineStr">
        <is>
          <t>Elizabeth</t>
        </is>
      </c>
      <c r="D747" s="37" t="inlineStr">
        <is>
          <t>ACTIVE_WAITLIST</t>
        </is>
      </c>
      <c r="E747" s="37" t="n">
        <v>55.1</v>
      </c>
      <c r="F747" s="37" t="n">
        <v>18.3</v>
      </c>
    </row>
    <row r="748">
      <c r="A748" s="37" t="inlineStr">
        <is>
          <t>WL-01747</t>
        </is>
      </c>
      <c r="B748" s="37" t="inlineStr">
        <is>
          <t>Anderson</t>
        </is>
      </c>
      <c r="C748" s="37" t="inlineStr">
        <is>
          <t>Andrew</t>
        </is>
      </c>
      <c r="D748" s="37" t="inlineStr">
        <is>
          <t>ACTIVE_WAITLIST</t>
        </is>
      </c>
      <c r="E748" s="37" t="n">
        <v>50.9</v>
      </c>
      <c r="F748" s="37" t="n">
        <v>15.3</v>
      </c>
    </row>
    <row r="749">
      <c r="A749" s="37" t="inlineStr">
        <is>
          <t>WL-01748</t>
        </is>
      </c>
      <c r="B749" s="37" t="inlineStr">
        <is>
          <t>Brown</t>
        </is>
      </c>
      <c r="C749" s="37" t="inlineStr">
        <is>
          <t>Daniel</t>
        </is>
      </c>
      <c r="D749" s="37" t="inlineStr">
        <is>
          <t>ACTIVE_WAITLIST</t>
        </is>
      </c>
      <c r="E749" s="37" t="n">
        <v>22.5</v>
      </c>
      <c r="F749" s="37" t="n">
        <v>7.2</v>
      </c>
    </row>
    <row r="750">
      <c r="A750" s="37" t="inlineStr">
        <is>
          <t>WL-01749</t>
        </is>
      </c>
      <c r="B750" s="37" t="inlineStr">
        <is>
          <t>Stevens</t>
        </is>
      </c>
      <c r="C750" s="37" t="inlineStr">
        <is>
          <t>Evan</t>
        </is>
      </c>
      <c r="D750" s="37" t="inlineStr">
        <is>
          <t>ACTIVE_WAITLIST</t>
        </is>
      </c>
      <c r="E750" s="37" t="n">
        <v>38.5</v>
      </c>
      <c r="F750" s="37" t="n">
        <v>12.7</v>
      </c>
    </row>
    <row r="751">
      <c r="A751" s="37" t="inlineStr">
        <is>
          <t>WL-01750</t>
        </is>
      </c>
      <c r="B751" s="37" t="inlineStr">
        <is>
          <t>Berg</t>
        </is>
      </c>
      <c r="C751" s="37" t="inlineStr">
        <is>
          <t>Shawn</t>
        </is>
      </c>
      <c r="D751" s="37" t="inlineStr">
        <is>
          <t>ACTIVE_WAITLIST</t>
        </is>
      </c>
      <c r="E751" s="37" t="n">
        <v>54.7</v>
      </c>
      <c r="F751" s="37" t="n">
        <v>15.4</v>
      </c>
    </row>
    <row r="752">
      <c r="A752" s="37" t="inlineStr">
        <is>
          <t>WL-01751</t>
        </is>
      </c>
      <c r="B752" s="37" t="inlineStr">
        <is>
          <t>Jennings</t>
        </is>
      </c>
      <c r="C752" s="37" t="inlineStr">
        <is>
          <t>John</t>
        </is>
      </c>
      <c r="D752" s="37" t="inlineStr">
        <is>
          <t>ACTIVE_WAITLIST</t>
        </is>
      </c>
      <c r="E752" s="37" t="n">
        <v>58.1</v>
      </c>
      <c r="F752" s="37" t="n">
        <v>16.5</v>
      </c>
    </row>
    <row r="753">
      <c r="A753" s="37" t="inlineStr">
        <is>
          <t>WL-01752</t>
        </is>
      </c>
      <c r="B753" s="37" t="inlineStr">
        <is>
          <t>Jenkins</t>
        </is>
      </c>
      <c r="C753" s="37" t="inlineStr">
        <is>
          <t>Kelly</t>
        </is>
      </c>
      <c r="D753" s="37" t="inlineStr">
        <is>
          <t>ACTIVE_WAITLIST</t>
        </is>
      </c>
      <c r="E753" s="37" t="n">
        <v>50.7</v>
      </c>
      <c r="F753" s="37" t="n">
        <v>14.5</v>
      </c>
    </row>
    <row r="754">
      <c r="A754" s="37" t="inlineStr">
        <is>
          <t>WL-01753</t>
        </is>
      </c>
      <c r="B754" s="37" t="inlineStr">
        <is>
          <t>Valencia</t>
        </is>
      </c>
      <c r="C754" s="37" t="inlineStr">
        <is>
          <t>Erin</t>
        </is>
      </c>
      <c r="D754" s="37" t="inlineStr">
        <is>
          <t>ACTIVE_WAITLIST</t>
        </is>
      </c>
      <c r="E754" s="37" t="n">
        <v>31.4</v>
      </c>
      <c r="F754" s="37" t="n">
        <v>9.199999999999999</v>
      </c>
    </row>
    <row r="755">
      <c r="A755" s="37" t="inlineStr">
        <is>
          <t>WL-01754</t>
        </is>
      </c>
      <c r="B755" s="37" t="inlineStr">
        <is>
          <t>Thompson</t>
        </is>
      </c>
      <c r="C755" s="37" t="inlineStr">
        <is>
          <t>Paul</t>
        </is>
      </c>
      <c r="D755" s="37" t="inlineStr">
        <is>
          <t>ACTIVE_WAITLIST</t>
        </is>
      </c>
      <c r="E755" s="37" t="n">
        <v>60.1</v>
      </c>
      <c r="F755" s="37" t="n">
        <v>19</v>
      </c>
    </row>
    <row r="756">
      <c r="A756" s="37" t="inlineStr">
        <is>
          <t>WL-01755</t>
        </is>
      </c>
      <c r="B756" s="37" t="inlineStr">
        <is>
          <t>Walton</t>
        </is>
      </c>
      <c r="C756" s="37" t="inlineStr">
        <is>
          <t>Joshua</t>
        </is>
      </c>
      <c r="D756" s="37" t="inlineStr">
        <is>
          <t>ACTIVE_WAITLIST</t>
        </is>
      </c>
      <c r="E756" s="37" t="n">
        <v>49.5</v>
      </c>
      <c r="F756" s="37" t="n">
        <v>16.4</v>
      </c>
    </row>
    <row r="757">
      <c r="A757" s="37" t="inlineStr">
        <is>
          <t>WL-01756</t>
        </is>
      </c>
      <c r="B757" s="37" t="inlineStr">
        <is>
          <t>Mcdonald</t>
        </is>
      </c>
      <c r="C757" s="37" t="inlineStr">
        <is>
          <t>Alexander</t>
        </is>
      </c>
      <c r="D757" s="37" t="inlineStr">
        <is>
          <t>ACTIVE_WAITLIST</t>
        </is>
      </c>
      <c r="E757" s="37" t="n">
        <v>58.9</v>
      </c>
      <c r="F757" s="37" t="n">
        <v>21.1</v>
      </c>
    </row>
    <row r="758">
      <c r="A758" s="37" t="inlineStr">
        <is>
          <t>WL-01757</t>
        </is>
      </c>
      <c r="B758" s="37" t="inlineStr">
        <is>
          <t>Woods</t>
        </is>
      </c>
      <c r="C758" s="37" t="inlineStr">
        <is>
          <t>Susan</t>
        </is>
      </c>
      <c r="D758" s="37" t="inlineStr">
        <is>
          <t>ACTIVE_WAITLIST</t>
        </is>
      </c>
      <c r="E758" s="37" t="n">
        <v>55.2</v>
      </c>
      <c r="F758" s="37" t="n">
        <v>19.4</v>
      </c>
    </row>
    <row r="759">
      <c r="A759" s="37" t="inlineStr">
        <is>
          <t>WL-01758</t>
        </is>
      </c>
      <c r="B759" s="37" t="inlineStr">
        <is>
          <t>Hernandez</t>
        </is>
      </c>
      <c r="C759" s="37" t="inlineStr">
        <is>
          <t>Billy</t>
        </is>
      </c>
      <c r="D759" s="37" t="inlineStr">
        <is>
          <t>ACTIVE_WAITLIST</t>
        </is>
      </c>
      <c r="E759" s="37" t="n">
        <v>58.9</v>
      </c>
      <c r="F759" s="37" t="n">
        <v>17.3</v>
      </c>
    </row>
    <row r="760">
      <c r="A760" s="37" t="inlineStr">
        <is>
          <t>WL-01759</t>
        </is>
      </c>
      <c r="B760" s="37" t="inlineStr">
        <is>
          <t>Schneider</t>
        </is>
      </c>
      <c r="C760" s="37" t="inlineStr">
        <is>
          <t>Michael</t>
        </is>
      </c>
      <c r="D760" s="37" t="inlineStr">
        <is>
          <t>ACTIVE_WAITLIST</t>
        </is>
      </c>
      <c r="E760" s="37" t="n">
        <v>60.9</v>
      </c>
      <c r="F760" s="37" t="n">
        <v>21.7</v>
      </c>
    </row>
    <row r="761">
      <c r="A761" s="37" t="inlineStr">
        <is>
          <t>WL-01760</t>
        </is>
      </c>
      <c r="B761" s="37" t="inlineStr">
        <is>
          <t>Becker</t>
        </is>
      </c>
      <c r="C761" s="37" t="inlineStr">
        <is>
          <t>Jose</t>
        </is>
      </c>
      <c r="D761" s="37" t="inlineStr">
        <is>
          <t>ACTIVE_WAITLIST</t>
        </is>
      </c>
      <c r="E761" s="37" t="n">
        <v>46.6</v>
      </c>
      <c r="F761" s="37" t="n">
        <v>13.1</v>
      </c>
    </row>
    <row r="762">
      <c r="A762" s="37" t="inlineStr">
        <is>
          <t>WL-01761</t>
        </is>
      </c>
      <c r="B762" s="37" t="inlineStr">
        <is>
          <t>Morrow</t>
        </is>
      </c>
      <c r="C762" s="37" t="inlineStr">
        <is>
          <t>Ariel</t>
        </is>
      </c>
      <c r="D762" s="37" t="inlineStr">
        <is>
          <t>ACTIVE_WAITLIST</t>
        </is>
      </c>
      <c r="E762" s="37" t="n">
        <v>45.2</v>
      </c>
      <c r="F762" s="37" t="n">
        <v>15.9</v>
      </c>
    </row>
    <row r="763">
      <c r="A763" s="37" t="inlineStr">
        <is>
          <t>WL-01762</t>
        </is>
      </c>
      <c r="B763" s="37" t="inlineStr">
        <is>
          <t>Powell</t>
        </is>
      </c>
      <c r="C763" s="37" t="inlineStr">
        <is>
          <t>John</t>
        </is>
      </c>
      <c r="D763" s="37" t="inlineStr">
        <is>
          <t>ACTIVE_WAITLIST</t>
        </is>
      </c>
      <c r="E763" s="37" t="n">
        <v>28.6</v>
      </c>
      <c r="F763" s="37" t="n">
        <v>9.699999999999999</v>
      </c>
    </row>
    <row r="764">
      <c r="A764" s="37" t="inlineStr">
        <is>
          <t>WL-01763</t>
        </is>
      </c>
      <c r="B764" s="37" t="inlineStr">
        <is>
          <t>Miller</t>
        </is>
      </c>
      <c r="C764" s="37" t="inlineStr">
        <is>
          <t>Christopher</t>
        </is>
      </c>
      <c r="D764" s="37" t="inlineStr">
        <is>
          <t>ACTIVE_WAITLIST</t>
        </is>
      </c>
      <c r="E764" s="37" t="n">
        <v>40.7</v>
      </c>
      <c r="F764" s="37" t="n">
        <v>12.8</v>
      </c>
    </row>
    <row r="765">
      <c r="A765" s="37" t="inlineStr">
        <is>
          <t>WL-01764</t>
        </is>
      </c>
      <c r="B765" s="37" t="inlineStr">
        <is>
          <t>Arnold</t>
        </is>
      </c>
      <c r="C765" s="37" t="inlineStr">
        <is>
          <t>Michael</t>
        </is>
      </c>
      <c r="D765" s="37" t="inlineStr">
        <is>
          <t>ACTIVE_WAITLIST</t>
        </is>
      </c>
      <c r="E765" s="37" t="n">
        <v>25</v>
      </c>
      <c r="F765" s="37" t="n">
        <v>8.1</v>
      </c>
    </row>
    <row r="766">
      <c r="A766" s="37" t="inlineStr">
        <is>
          <t>WL-01765</t>
        </is>
      </c>
      <c r="B766" s="37" t="inlineStr">
        <is>
          <t>Edwards</t>
        </is>
      </c>
      <c r="C766" s="37" t="inlineStr">
        <is>
          <t>Donald</t>
        </is>
      </c>
      <c r="D766" s="37" t="inlineStr">
        <is>
          <t>ACTIVE_WAITLIST</t>
        </is>
      </c>
      <c r="E766" s="37" t="n">
        <v>53.2</v>
      </c>
      <c r="F766" s="37" t="n">
        <v>17.8</v>
      </c>
    </row>
    <row r="767">
      <c r="A767" s="37" t="inlineStr">
        <is>
          <t>WL-01766</t>
        </is>
      </c>
      <c r="B767" s="37" t="inlineStr">
        <is>
          <t>Wallace</t>
        </is>
      </c>
      <c r="C767" s="37" t="inlineStr">
        <is>
          <t>James</t>
        </is>
      </c>
      <c r="D767" s="37" t="inlineStr">
        <is>
          <t>EXPIRED</t>
        </is>
      </c>
      <c r="E767" s="37" t="n">
        <v>56.1</v>
      </c>
      <c r="F767" s="37" t="n">
        <v>16.1</v>
      </c>
    </row>
    <row r="768">
      <c r="A768" s="37" t="inlineStr">
        <is>
          <t>WL-01767</t>
        </is>
      </c>
      <c r="B768" s="37" t="inlineStr">
        <is>
          <t>Watson</t>
        </is>
      </c>
      <c r="C768" s="37" t="inlineStr">
        <is>
          <t>Christine</t>
        </is>
      </c>
      <c r="D768" s="37" t="inlineStr">
        <is>
          <t>ACTIVE_WAITLIST</t>
        </is>
      </c>
      <c r="E768" s="37" t="n">
        <v>33.3</v>
      </c>
      <c r="F768" s="37" t="n">
        <v>10.8</v>
      </c>
    </row>
    <row r="769">
      <c r="A769" s="37" t="inlineStr">
        <is>
          <t>WL-01768</t>
        </is>
      </c>
      <c r="B769" s="37" t="inlineStr">
        <is>
          <t>Dodson</t>
        </is>
      </c>
      <c r="C769" s="37" t="inlineStr">
        <is>
          <t>Amanda</t>
        </is>
      </c>
      <c r="D769" s="37" t="inlineStr">
        <is>
          <t>ACTIVE_WAITLIST</t>
        </is>
      </c>
      <c r="E769" s="37" t="n">
        <v>46.5</v>
      </c>
      <c r="F769" s="37" t="n">
        <v>16.7</v>
      </c>
    </row>
    <row r="770">
      <c r="A770" s="37" t="inlineStr">
        <is>
          <t>WL-01769</t>
        </is>
      </c>
      <c r="B770" s="37" t="inlineStr">
        <is>
          <t>Cruz</t>
        </is>
      </c>
      <c r="C770" s="37" t="inlineStr">
        <is>
          <t>Brenda</t>
        </is>
      </c>
      <c r="D770" s="37" t="inlineStr">
        <is>
          <t>ACTIVE_WAITLIST</t>
        </is>
      </c>
      <c r="E770" s="37" t="n">
        <v>59.1</v>
      </c>
      <c r="F770" s="37" t="n">
        <v>17.8</v>
      </c>
    </row>
    <row r="771">
      <c r="A771" s="37" t="inlineStr">
        <is>
          <t>WL-01770</t>
        </is>
      </c>
      <c r="B771" s="37" t="inlineStr">
        <is>
          <t>Cummings</t>
        </is>
      </c>
      <c r="C771" s="37" t="inlineStr">
        <is>
          <t>Billy</t>
        </is>
      </c>
      <c r="D771" s="37" t="inlineStr">
        <is>
          <t>ACTIVE_WAITLIST</t>
        </is>
      </c>
      <c r="E771" s="37" t="n">
        <v>31.4</v>
      </c>
      <c r="F771" s="37" t="n">
        <v>8.9</v>
      </c>
    </row>
    <row r="772">
      <c r="A772" s="37" t="inlineStr">
        <is>
          <t>WL-01771</t>
        </is>
      </c>
      <c r="B772" s="37" t="inlineStr">
        <is>
          <t>Anderson</t>
        </is>
      </c>
      <c r="C772" s="37" t="inlineStr">
        <is>
          <t>Kimberly</t>
        </is>
      </c>
      <c r="D772" s="37" t="inlineStr">
        <is>
          <t>ACTIVE_WAITLIST</t>
        </is>
      </c>
      <c r="E772" s="37" t="n">
        <v>52.3</v>
      </c>
      <c r="F772" s="37" t="n">
        <v>15.2</v>
      </c>
    </row>
    <row r="773">
      <c r="A773" s="37" t="inlineStr">
        <is>
          <t>WL-01772</t>
        </is>
      </c>
      <c r="B773" s="37" t="inlineStr">
        <is>
          <t>Perez</t>
        </is>
      </c>
      <c r="C773" s="37" t="inlineStr">
        <is>
          <t>Lisa</t>
        </is>
      </c>
      <c r="D773" s="37" t="inlineStr">
        <is>
          <t>ACTIVE_WAITLIST</t>
        </is>
      </c>
      <c r="E773" s="37" t="n">
        <v>36.3</v>
      </c>
      <c r="F773" s="37" t="n">
        <v>12</v>
      </c>
    </row>
    <row r="774">
      <c r="A774" s="37" t="inlineStr">
        <is>
          <t>WL-01773</t>
        </is>
      </c>
      <c r="B774" s="37" t="inlineStr">
        <is>
          <t>Bartlett</t>
        </is>
      </c>
      <c r="C774" s="37" t="inlineStr">
        <is>
          <t>Kara</t>
        </is>
      </c>
      <c r="D774" s="37" t="inlineStr">
        <is>
          <t>ACTIVE_WAITLIST</t>
        </is>
      </c>
      <c r="E774" s="37" t="n">
        <v>40.5</v>
      </c>
      <c r="F774" s="37" t="n">
        <v>14.4</v>
      </c>
    </row>
    <row r="775">
      <c r="A775" s="37" t="inlineStr">
        <is>
          <t>WL-01774</t>
        </is>
      </c>
      <c r="B775" s="37" t="inlineStr">
        <is>
          <t>Castaneda</t>
        </is>
      </c>
      <c r="C775" s="37" t="inlineStr">
        <is>
          <t>Stanley</t>
        </is>
      </c>
      <c r="D775" s="37" t="inlineStr">
        <is>
          <t>ACTIVE_WAITLIST</t>
        </is>
      </c>
      <c r="E775" s="37" t="n">
        <v>47</v>
      </c>
      <c r="F775" s="37" t="n">
        <v>14.6</v>
      </c>
    </row>
    <row r="776">
      <c r="A776" s="37" t="inlineStr">
        <is>
          <t>WL-01775</t>
        </is>
      </c>
      <c r="B776" s="37" t="inlineStr">
        <is>
          <t>Miller</t>
        </is>
      </c>
      <c r="C776" s="37" t="inlineStr">
        <is>
          <t>Tyler</t>
        </is>
      </c>
      <c r="D776" s="37" t="inlineStr">
        <is>
          <t>ACTIVE_WAITLIST</t>
        </is>
      </c>
      <c r="E776" s="37" t="n">
        <v>32.7</v>
      </c>
      <c r="F776" s="37" t="n">
        <v>9.4</v>
      </c>
    </row>
    <row r="777">
      <c r="A777" s="37" t="inlineStr">
        <is>
          <t>WL-01776</t>
        </is>
      </c>
      <c r="B777" s="37" t="inlineStr">
        <is>
          <t>Pena</t>
        </is>
      </c>
      <c r="C777" s="37" t="inlineStr">
        <is>
          <t>Theresa</t>
        </is>
      </c>
      <c r="D777" s="37" t="inlineStr">
        <is>
          <t>ACTIVE_WAITLIST</t>
        </is>
      </c>
      <c r="E777" s="37" t="n">
        <v>33.3</v>
      </c>
      <c r="F777" s="37" t="n">
        <v>9.699999999999999</v>
      </c>
    </row>
    <row r="778">
      <c r="A778" s="37" t="inlineStr">
        <is>
          <t>WL-01777</t>
        </is>
      </c>
      <c r="B778" s="37" t="inlineStr">
        <is>
          <t>Ruiz</t>
        </is>
      </c>
      <c r="C778" s="37" t="inlineStr">
        <is>
          <t>Alicia</t>
        </is>
      </c>
      <c r="D778" s="37" t="inlineStr">
        <is>
          <t>ACTIVE_WAITLIST</t>
        </is>
      </c>
      <c r="E778" s="37" t="n">
        <v>33.8</v>
      </c>
      <c r="F778" s="37" t="n">
        <v>9.5</v>
      </c>
    </row>
    <row r="779">
      <c r="A779" s="37" t="inlineStr">
        <is>
          <t>WL-01778</t>
        </is>
      </c>
      <c r="B779" s="37" t="inlineStr">
        <is>
          <t>Brown</t>
        </is>
      </c>
      <c r="C779" s="37" t="inlineStr">
        <is>
          <t>Margaret</t>
        </is>
      </c>
      <c r="D779" s="37" t="inlineStr">
        <is>
          <t>ACTIVE_WAITLIST</t>
        </is>
      </c>
      <c r="E779" s="37" t="n">
        <v>34.6</v>
      </c>
      <c r="F779" s="37" t="n">
        <v>12</v>
      </c>
    </row>
    <row r="780">
      <c r="A780" s="37" t="inlineStr">
        <is>
          <t>WL-01779</t>
        </is>
      </c>
      <c r="B780" s="37" t="inlineStr">
        <is>
          <t>Burke</t>
        </is>
      </c>
      <c r="C780" s="37" t="inlineStr">
        <is>
          <t>Christy</t>
        </is>
      </c>
      <c r="D780" s="37" t="inlineStr">
        <is>
          <t>EXPIRED</t>
        </is>
      </c>
      <c r="E780" s="37" t="n">
        <v>61</v>
      </c>
      <c r="F780" s="37" t="n">
        <v>19.7</v>
      </c>
    </row>
    <row r="781">
      <c r="A781" s="37" t="inlineStr">
        <is>
          <t>WL-01780</t>
        </is>
      </c>
      <c r="B781" s="37" t="inlineStr">
        <is>
          <t>Murphy</t>
        </is>
      </c>
      <c r="C781" s="37" t="inlineStr">
        <is>
          <t>Matthew</t>
        </is>
      </c>
      <c r="D781" s="37" t="inlineStr">
        <is>
          <t>RETAINER</t>
        </is>
      </c>
      <c r="E781" s="37" t="n">
        <v>58</v>
      </c>
      <c r="F781" s="37" t="n">
        <v>19.6</v>
      </c>
    </row>
    <row r="782">
      <c r="A782" s="37" t="inlineStr">
        <is>
          <t>WL-01781</t>
        </is>
      </c>
      <c r="B782" s="37" t="inlineStr">
        <is>
          <t>Parrish</t>
        </is>
      </c>
      <c r="C782" s="37" t="inlineStr">
        <is>
          <t>Crystal</t>
        </is>
      </c>
      <c r="D782" s="37" t="inlineStr">
        <is>
          <t>EXPIRED</t>
        </is>
      </c>
      <c r="E782" s="37" t="n">
        <v>35.2</v>
      </c>
      <c r="F782" s="37" t="n">
        <v>11.5</v>
      </c>
    </row>
    <row r="783">
      <c r="A783" s="37" t="inlineStr">
        <is>
          <t>WL-01782</t>
        </is>
      </c>
      <c r="B783" s="37" t="inlineStr">
        <is>
          <t>White</t>
        </is>
      </c>
      <c r="C783" s="37" t="inlineStr">
        <is>
          <t>Ronald</t>
        </is>
      </c>
      <c r="D783" s="37" t="inlineStr">
        <is>
          <t>ACTIVE_WAITLIST</t>
        </is>
      </c>
      <c r="E783" s="37" t="n">
        <v>36.5</v>
      </c>
      <c r="F783" s="37" t="n">
        <v>11.9</v>
      </c>
    </row>
    <row r="784">
      <c r="A784" s="37" t="inlineStr">
        <is>
          <t>WL-01783</t>
        </is>
      </c>
      <c r="B784" s="37" t="inlineStr">
        <is>
          <t>Montgomery</t>
        </is>
      </c>
      <c r="C784" s="37" t="inlineStr">
        <is>
          <t>Gerald</t>
        </is>
      </c>
      <c r="D784" s="37" t="inlineStr">
        <is>
          <t>ACTIVE_WAITLIST</t>
        </is>
      </c>
      <c r="E784" s="37" t="n">
        <v>43.5</v>
      </c>
      <c r="F784" s="37" t="n">
        <v>12.4</v>
      </c>
    </row>
    <row r="785">
      <c r="A785" s="37" t="inlineStr">
        <is>
          <t>WL-01784</t>
        </is>
      </c>
      <c r="B785" s="37" t="inlineStr">
        <is>
          <t>Reyes</t>
        </is>
      </c>
      <c r="C785" s="37" t="inlineStr">
        <is>
          <t>Gina</t>
        </is>
      </c>
      <c r="D785" s="37" t="inlineStr">
        <is>
          <t>RETAINER</t>
        </is>
      </c>
      <c r="E785" s="37" t="n">
        <v>29.3</v>
      </c>
      <c r="F785" s="37" t="n">
        <v>9.9</v>
      </c>
    </row>
    <row r="786">
      <c r="A786" s="37" t="inlineStr">
        <is>
          <t>WL-01785</t>
        </is>
      </c>
      <c r="B786" s="37" t="inlineStr">
        <is>
          <t>Henderson</t>
        </is>
      </c>
      <c r="C786" s="37" t="inlineStr">
        <is>
          <t>Kayla</t>
        </is>
      </c>
      <c r="D786" s="37" t="inlineStr">
        <is>
          <t>ACTIVE_WAITLIST</t>
        </is>
      </c>
      <c r="E786" s="37" t="n">
        <v>61.6</v>
      </c>
      <c r="F786" s="37" t="n">
        <v>20.6</v>
      </c>
    </row>
    <row r="787">
      <c r="A787" s="37" t="inlineStr">
        <is>
          <t>WL-01786</t>
        </is>
      </c>
      <c r="B787" s="37" t="inlineStr">
        <is>
          <t>Steele</t>
        </is>
      </c>
      <c r="C787" s="37" t="inlineStr">
        <is>
          <t>April</t>
        </is>
      </c>
      <c r="D787" s="37" t="inlineStr">
        <is>
          <t>ACTIVE_WAITLIST</t>
        </is>
      </c>
      <c r="E787" s="37" t="n">
        <v>35.5</v>
      </c>
      <c r="F787" s="37" t="n">
        <v>10.9</v>
      </c>
    </row>
    <row r="788">
      <c r="A788" s="37" t="inlineStr">
        <is>
          <t>WL-01787</t>
        </is>
      </c>
      <c r="B788" s="37" t="inlineStr">
        <is>
          <t>Miller</t>
        </is>
      </c>
      <c r="C788" s="37" t="inlineStr">
        <is>
          <t>Amber</t>
        </is>
      </c>
      <c r="D788" s="37" t="inlineStr">
        <is>
          <t>ACTIVE_WAITLIST</t>
        </is>
      </c>
      <c r="E788" s="37" t="n">
        <v>47.2</v>
      </c>
      <c r="F788" s="37" t="n">
        <v>16.8</v>
      </c>
    </row>
    <row r="789">
      <c r="A789" s="37" t="inlineStr">
        <is>
          <t>WL-01788</t>
        </is>
      </c>
      <c r="B789" s="37" t="inlineStr">
        <is>
          <t>Austin</t>
        </is>
      </c>
      <c r="C789" s="37" t="inlineStr">
        <is>
          <t>James</t>
        </is>
      </c>
      <c r="D789" s="37" t="inlineStr">
        <is>
          <t>ACTIVE_WAITLIST</t>
        </is>
      </c>
      <c r="E789" s="37" t="n">
        <v>39</v>
      </c>
      <c r="F789" s="37" t="n">
        <v>11.8</v>
      </c>
    </row>
    <row r="790">
      <c r="A790" s="37" t="inlineStr">
        <is>
          <t>WL-01789</t>
        </is>
      </c>
      <c r="B790" s="37" t="inlineStr">
        <is>
          <t>Fox</t>
        </is>
      </c>
      <c r="C790" s="37" t="inlineStr">
        <is>
          <t>Darren</t>
        </is>
      </c>
      <c r="D790" s="37" t="inlineStr">
        <is>
          <t>ACTIVE_WAITLIST</t>
        </is>
      </c>
      <c r="E790" s="37" t="n">
        <v>34.1</v>
      </c>
      <c r="F790" s="37" t="n">
        <v>10</v>
      </c>
    </row>
    <row r="791">
      <c r="A791" s="37" t="inlineStr">
        <is>
          <t>WL-01790</t>
        </is>
      </c>
      <c r="B791" s="37" t="inlineStr">
        <is>
          <t>Bush</t>
        </is>
      </c>
      <c r="C791" s="37" t="inlineStr">
        <is>
          <t>Carlos</t>
        </is>
      </c>
      <c r="D791" s="37" t="inlineStr">
        <is>
          <t>ACTIVE_WAITLIST</t>
        </is>
      </c>
      <c r="E791" s="37" t="n">
        <v>45.5</v>
      </c>
      <c r="F791" s="37" t="n">
        <v>15.3</v>
      </c>
    </row>
    <row r="792">
      <c r="A792" s="37" t="inlineStr">
        <is>
          <t>WL-01791</t>
        </is>
      </c>
      <c r="B792" s="37" t="inlineStr">
        <is>
          <t>Hobbs</t>
        </is>
      </c>
      <c r="C792" s="37" t="inlineStr">
        <is>
          <t>Amy</t>
        </is>
      </c>
      <c r="D792" s="37" t="inlineStr">
        <is>
          <t>ACTIVE_WAITLIST</t>
        </is>
      </c>
      <c r="E792" s="37" t="n">
        <v>44.4</v>
      </c>
      <c r="F792" s="37" t="n">
        <v>16</v>
      </c>
    </row>
    <row r="793">
      <c r="A793" s="37" t="inlineStr">
        <is>
          <t>WL-01792</t>
        </is>
      </c>
      <c r="B793" s="37" t="inlineStr">
        <is>
          <t>Baker</t>
        </is>
      </c>
      <c r="C793" s="37" t="inlineStr">
        <is>
          <t>Cody</t>
        </is>
      </c>
      <c r="D793" s="37" t="inlineStr">
        <is>
          <t>ACTIVE_WAITLIST</t>
        </is>
      </c>
      <c r="E793" s="37" t="n">
        <v>19.3</v>
      </c>
      <c r="F793" s="37" t="n">
        <v>6.8</v>
      </c>
    </row>
    <row r="794">
      <c r="A794" s="37" t="inlineStr">
        <is>
          <t>WL-01793</t>
        </is>
      </c>
      <c r="B794" s="37" t="inlineStr">
        <is>
          <t>Buchanan</t>
        </is>
      </c>
      <c r="C794" s="37" t="inlineStr">
        <is>
          <t>Jasmine</t>
        </is>
      </c>
      <c r="D794" s="37" t="inlineStr">
        <is>
          <t>EXPIRED</t>
        </is>
      </c>
      <c r="E794" s="37" t="n">
        <v>37.3</v>
      </c>
      <c r="F794" s="37" t="n">
        <v>11.1</v>
      </c>
    </row>
    <row r="795">
      <c r="A795" s="37" t="inlineStr">
        <is>
          <t>WL-01794</t>
        </is>
      </c>
      <c r="B795" s="37" t="inlineStr">
        <is>
          <t>Thomas</t>
        </is>
      </c>
      <c r="C795" s="37" t="inlineStr">
        <is>
          <t>Holly</t>
        </is>
      </c>
      <c r="D795" s="37" t="inlineStr">
        <is>
          <t>ACTIVE_WAITLIST</t>
        </is>
      </c>
      <c r="E795" s="37" t="n">
        <v>53.3</v>
      </c>
      <c r="F795" s="37" t="n">
        <v>17.8</v>
      </c>
    </row>
    <row r="796">
      <c r="A796" s="37" t="inlineStr">
        <is>
          <t>WL-01795</t>
        </is>
      </c>
      <c r="B796" s="37" t="inlineStr">
        <is>
          <t>Alexander</t>
        </is>
      </c>
      <c r="C796" s="37" t="inlineStr">
        <is>
          <t>Emily</t>
        </is>
      </c>
      <c r="D796" s="37" t="inlineStr">
        <is>
          <t>ACTIVE_WAITLIST</t>
        </is>
      </c>
      <c r="E796" s="37" t="n">
        <v>53.6</v>
      </c>
      <c r="F796" s="37" t="n">
        <v>16</v>
      </c>
    </row>
    <row r="797">
      <c r="A797" s="37" t="inlineStr">
        <is>
          <t>WL-01796</t>
        </is>
      </c>
      <c r="B797" s="37" t="inlineStr">
        <is>
          <t>Phillips</t>
        </is>
      </c>
      <c r="C797" s="37" t="inlineStr">
        <is>
          <t>Michael</t>
        </is>
      </c>
      <c r="D797" s="37" t="inlineStr">
        <is>
          <t>ACTIVE_WAITLIST</t>
        </is>
      </c>
      <c r="E797" s="37" t="n">
        <v>47</v>
      </c>
      <c r="F797" s="37" t="n">
        <v>15.2</v>
      </c>
    </row>
    <row r="798">
      <c r="A798" s="37" t="inlineStr">
        <is>
          <t>WL-01797</t>
        </is>
      </c>
      <c r="B798" s="37" t="inlineStr">
        <is>
          <t>Pham</t>
        </is>
      </c>
      <c r="C798" s="37" t="inlineStr">
        <is>
          <t>Karl</t>
        </is>
      </c>
      <c r="D798" s="37" t="inlineStr">
        <is>
          <t>ACTIVE_WAITLIST</t>
        </is>
      </c>
      <c r="E798" s="37" t="n">
        <v>23</v>
      </c>
      <c r="F798" s="37" t="n">
        <v>6.5</v>
      </c>
    </row>
    <row r="799">
      <c r="A799" s="37" t="inlineStr">
        <is>
          <t>WL-01798</t>
        </is>
      </c>
      <c r="B799" s="37" t="inlineStr">
        <is>
          <t>Kelley</t>
        </is>
      </c>
      <c r="C799" s="37" t="inlineStr">
        <is>
          <t>Thomas</t>
        </is>
      </c>
      <c r="D799" s="37" t="inlineStr">
        <is>
          <t>ACTIVE_WAITLIST</t>
        </is>
      </c>
      <c r="E799" s="37" t="n">
        <v>57.5</v>
      </c>
      <c r="F799" s="37" t="n">
        <v>19.7</v>
      </c>
    </row>
    <row r="800">
      <c r="A800" s="37" t="inlineStr">
        <is>
          <t>WL-01799</t>
        </is>
      </c>
      <c r="B800" s="37" t="inlineStr">
        <is>
          <t>Johnson</t>
        </is>
      </c>
      <c r="C800" s="37" t="inlineStr">
        <is>
          <t>Robert</t>
        </is>
      </c>
      <c r="D800" s="37" t="inlineStr">
        <is>
          <t>ACTIVE_WAITLIST</t>
        </is>
      </c>
      <c r="E800" s="37" t="n">
        <v>41.1</v>
      </c>
      <c r="F800" s="37" t="n">
        <v>14.5</v>
      </c>
    </row>
    <row r="801">
      <c r="A801" s="37" t="inlineStr">
        <is>
          <t>WL-01800</t>
        </is>
      </c>
      <c r="B801" s="37" t="inlineStr">
        <is>
          <t>Lopez</t>
        </is>
      </c>
      <c r="C801" s="37" t="inlineStr">
        <is>
          <t>Nancy</t>
        </is>
      </c>
      <c r="D801" s="37" t="inlineStr">
        <is>
          <t>ACTIVE_WAITLIST</t>
        </is>
      </c>
      <c r="E801" s="37" t="n">
        <v>21.8</v>
      </c>
      <c r="F801" s="37" t="n">
        <v>7.1</v>
      </c>
    </row>
    <row r="802">
      <c r="A802" s="37" t="inlineStr">
        <is>
          <t>WL-01801</t>
        </is>
      </c>
      <c r="B802" s="37" t="inlineStr">
        <is>
          <t>Martinez</t>
        </is>
      </c>
      <c r="C802" s="37" t="inlineStr">
        <is>
          <t>Thomas</t>
        </is>
      </c>
      <c r="D802" s="37" t="inlineStr">
        <is>
          <t>ACTIVE_WAITLIST</t>
        </is>
      </c>
      <c r="E802" s="37" t="n">
        <v>46.3</v>
      </c>
      <c r="F802" s="37" t="n">
        <v>15.2</v>
      </c>
    </row>
    <row r="803">
      <c r="A803" s="37" t="inlineStr">
        <is>
          <t>WL-01802</t>
        </is>
      </c>
      <c r="B803" s="37" t="inlineStr">
        <is>
          <t>Gamble</t>
        </is>
      </c>
      <c r="C803" s="37" t="inlineStr">
        <is>
          <t>Joseph</t>
        </is>
      </c>
      <c r="D803" s="37" t="inlineStr">
        <is>
          <t>ACTIVE_WAITLIST</t>
        </is>
      </c>
      <c r="E803" s="37" t="n">
        <v>38.7</v>
      </c>
      <c r="F803" s="37" t="n">
        <v>13</v>
      </c>
    </row>
    <row r="804">
      <c r="A804" s="37" t="inlineStr">
        <is>
          <t>WL-01803</t>
        </is>
      </c>
      <c r="B804" s="37" t="inlineStr">
        <is>
          <t>Lozano</t>
        </is>
      </c>
      <c r="C804" s="37" t="inlineStr">
        <is>
          <t>Miranda</t>
        </is>
      </c>
      <c r="D804" s="37" t="inlineStr">
        <is>
          <t>ACTIVE_WAITLIST</t>
        </is>
      </c>
      <c r="E804" s="37" t="n">
        <v>52.3</v>
      </c>
      <c r="F804" s="37" t="n">
        <v>17.4</v>
      </c>
    </row>
    <row r="805">
      <c r="A805" s="37" t="inlineStr">
        <is>
          <t>WL-01804</t>
        </is>
      </c>
      <c r="B805" s="37" t="inlineStr">
        <is>
          <t>Norman</t>
        </is>
      </c>
      <c r="C805" s="37" t="inlineStr">
        <is>
          <t>Kimberly</t>
        </is>
      </c>
      <c r="D805" s="37" t="inlineStr">
        <is>
          <t>ACTIVE_WAITLIST</t>
        </is>
      </c>
      <c r="E805" s="37" t="n">
        <v>55.1</v>
      </c>
      <c r="F805" s="37" t="n">
        <v>16.3</v>
      </c>
    </row>
    <row r="806">
      <c r="A806" s="37" t="inlineStr">
        <is>
          <t>WL-01805</t>
        </is>
      </c>
      <c r="B806" s="37" t="inlineStr">
        <is>
          <t>Alvarez</t>
        </is>
      </c>
      <c r="C806" s="37" t="inlineStr">
        <is>
          <t>Robert</t>
        </is>
      </c>
      <c r="D806" s="37" t="inlineStr">
        <is>
          <t>ACTIVE_WAITLIST</t>
        </is>
      </c>
      <c r="E806" s="37" t="n">
        <v>27.4</v>
      </c>
      <c r="F806" s="37" t="n">
        <v>8</v>
      </c>
    </row>
    <row r="807">
      <c r="A807" s="37" t="inlineStr">
        <is>
          <t>WL-01806</t>
        </is>
      </c>
      <c r="B807" s="37" t="inlineStr">
        <is>
          <t>Frazier</t>
        </is>
      </c>
      <c r="C807" s="37" t="inlineStr">
        <is>
          <t>Douglas</t>
        </is>
      </c>
      <c r="D807" s="37" t="inlineStr">
        <is>
          <t>ACTIVE_WAITLIST</t>
        </is>
      </c>
      <c r="E807" s="37" t="n">
        <v>54.4</v>
      </c>
      <c r="F807" s="37" t="n">
        <v>16.4</v>
      </c>
    </row>
    <row r="808">
      <c r="A808" s="37" t="inlineStr">
        <is>
          <t>WL-01807</t>
        </is>
      </c>
      <c r="B808" s="37" t="inlineStr">
        <is>
          <t>Mcdonald</t>
        </is>
      </c>
      <c r="C808" s="37" t="inlineStr">
        <is>
          <t>Kathleen</t>
        </is>
      </c>
      <c r="D808" s="37" t="inlineStr">
        <is>
          <t>ACTIVE_WAITLIST</t>
        </is>
      </c>
      <c r="E808" s="37" t="n">
        <v>28.7</v>
      </c>
      <c r="F808" s="37" t="n">
        <v>10.3</v>
      </c>
    </row>
    <row r="809">
      <c r="A809" s="37" t="inlineStr">
        <is>
          <t>WL-01808</t>
        </is>
      </c>
      <c r="B809" s="37" t="inlineStr">
        <is>
          <t>Shepard</t>
        </is>
      </c>
      <c r="C809" s="37" t="inlineStr">
        <is>
          <t>Jason</t>
        </is>
      </c>
      <c r="D809" s="37" t="inlineStr">
        <is>
          <t>ACTIVE_WAITLIST</t>
        </is>
      </c>
      <c r="E809" s="37" t="n">
        <v>46.7</v>
      </c>
      <c r="F809" s="37" t="n">
        <v>14.7</v>
      </c>
    </row>
    <row r="810">
      <c r="A810" s="37" t="inlineStr">
        <is>
          <t>WL-01809</t>
        </is>
      </c>
      <c r="B810" s="37" t="inlineStr">
        <is>
          <t>Banks</t>
        </is>
      </c>
      <c r="C810" s="37" t="inlineStr">
        <is>
          <t>Tim</t>
        </is>
      </c>
      <c r="D810" s="37" t="inlineStr">
        <is>
          <t>ACTIVE_WAITLIST</t>
        </is>
      </c>
      <c r="E810" s="37" t="n">
        <v>38.4</v>
      </c>
      <c r="F810" s="37" t="n">
        <v>12.7</v>
      </c>
    </row>
    <row r="811">
      <c r="A811" s="37" t="inlineStr">
        <is>
          <t>WL-01810</t>
        </is>
      </c>
      <c r="B811" s="37" t="inlineStr">
        <is>
          <t>Bridges</t>
        </is>
      </c>
      <c r="C811" s="37" t="inlineStr">
        <is>
          <t>Jennifer</t>
        </is>
      </c>
      <c r="D811" s="37" t="inlineStr">
        <is>
          <t>ACTIVE_WAITLIST</t>
        </is>
      </c>
      <c r="E811" s="37" t="n">
        <v>51.4</v>
      </c>
      <c r="F811" s="37" t="n">
        <v>17.3</v>
      </c>
    </row>
    <row r="812">
      <c r="A812" s="37" t="inlineStr">
        <is>
          <t>WL-01811</t>
        </is>
      </c>
      <c r="B812" s="37" t="inlineStr">
        <is>
          <t>Clark</t>
        </is>
      </c>
      <c r="C812" s="37" t="inlineStr">
        <is>
          <t>Bradley</t>
        </is>
      </c>
      <c r="D812" s="37" t="inlineStr">
        <is>
          <t>ACTIVE_WAITLIST</t>
        </is>
      </c>
      <c r="E812" s="37" t="n">
        <v>48.9</v>
      </c>
      <c r="F812" s="37" t="n">
        <v>14.6</v>
      </c>
    </row>
    <row r="813">
      <c r="A813" s="37" t="inlineStr">
        <is>
          <t>WL-01812</t>
        </is>
      </c>
      <c r="B813" s="37" t="inlineStr">
        <is>
          <t>Evans</t>
        </is>
      </c>
      <c r="C813" s="37" t="inlineStr">
        <is>
          <t>Tina</t>
        </is>
      </c>
      <c r="D813" s="37" t="inlineStr">
        <is>
          <t>RETAINER</t>
        </is>
      </c>
      <c r="E813" s="37" t="n">
        <v>54.5</v>
      </c>
      <c r="F813" s="37" t="n">
        <v>15.3</v>
      </c>
    </row>
    <row r="814">
      <c r="A814" s="37" t="inlineStr">
        <is>
          <t>WL-01813</t>
        </is>
      </c>
      <c r="B814" s="37" t="inlineStr">
        <is>
          <t>Williams</t>
        </is>
      </c>
      <c r="C814" s="37" t="inlineStr">
        <is>
          <t>Jessica</t>
        </is>
      </c>
      <c r="D814" s="37" t="inlineStr">
        <is>
          <t>ACTIVE_WAITLIST</t>
        </is>
      </c>
      <c r="E814" s="37" t="n">
        <v>56</v>
      </c>
      <c r="F814" s="37" t="n">
        <v>16</v>
      </c>
    </row>
    <row r="815">
      <c r="A815" s="37" t="inlineStr">
        <is>
          <t>WL-01814</t>
        </is>
      </c>
      <c r="B815" s="37" t="inlineStr">
        <is>
          <t>Jensen</t>
        </is>
      </c>
      <c r="C815" s="37" t="inlineStr">
        <is>
          <t>Lisa</t>
        </is>
      </c>
      <c r="D815" s="37" t="inlineStr">
        <is>
          <t>ACTIVE_WAITLIST</t>
        </is>
      </c>
      <c r="E815" s="37" t="n">
        <v>24</v>
      </c>
      <c r="F815" s="37" t="n">
        <v>7.1</v>
      </c>
    </row>
    <row r="816">
      <c r="A816" s="37" t="inlineStr">
        <is>
          <t>WL-01815</t>
        </is>
      </c>
      <c r="B816" s="37" t="inlineStr">
        <is>
          <t>Martinez</t>
        </is>
      </c>
      <c r="C816" s="37" t="inlineStr">
        <is>
          <t>Theresa</t>
        </is>
      </c>
      <c r="D816" s="37" t="inlineStr">
        <is>
          <t>ACTIVE_WAITLIST</t>
        </is>
      </c>
      <c r="E816" s="37" t="n">
        <v>30.1</v>
      </c>
      <c r="F816" s="37" t="n">
        <v>8.800000000000001</v>
      </c>
    </row>
    <row r="817">
      <c r="A817" s="37" t="inlineStr">
        <is>
          <t>WL-01816</t>
        </is>
      </c>
      <c r="B817" s="37" t="inlineStr">
        <is>
          <t>Bennett</t>
        </is>
      </c>
      <c r="C817" s="37" t="inlineStr">
        <is>
          <t>Jeanne</t>
        </is>
      </c>
      <c r="D817" s="37" t="inlineStr">
        <is>
          <t>ACTIVE_WAITLIST</t>
        </is>
      </c>
      <c r="E817" s="37" t="n">
        <v>31</v>
      </c>
      <c r="F817" s="37" t="n">
        <v>9.699999999999999</v>
      </c>
    </row>
    <row r="818">
      <c r="A818" s="37" t="inlineStr">
        <is>
          <t>WL-01817</t>
        </is>
      </c>
      <c r="B818" s="37" t="inlineStr">
        <is>
          <t>Taylor</t>
        </is>
      </c>
      <c r="C818" s="37" t="inlineStr">
        <is>
          <t>Holly</t>
        </is>
      </c>
      <c r="D818" s="37" t="inlineStr">
        <is>
          <t>ACTIVE_WAITLIST</t>
        </is>
      </c>
      <c r="E818" s="37" t="n">
        <v>28.3</v>
      </c>
      <c r="F818" s="37" t="n">
        <v>9.1</v>
      </c>
    </row>
    <row r="819">
      <c r="A819" s="37" t="inlineStr">
        <is>
          <t>WL-01818</t>
        </is>
      </c>
      <c r="B819" s="37" t="inlineStr">
        <is>
          <t>Higgins</t>
        </is>
      </c>
      <c r="C819" s="37" t="inlineStr">
        <is>
          <t>Natasha</t>
        </is>
      </c>
      <c r="D819" s="37" t="inlineStr">
        <is>
          <t>ACTIVE_WAITLIST</t>
        </is>
      </c>
      <c r="E819" s="37" t="n">
        <v>27</v>
      </c>
      <c r="F819" s="37" t="n">
        <v>9.300000000000001</v>
      </c>
    </row>
    <row r="820">
      <c r="A820" s="37" t="inlineStr">
        <is>
          <t>WL-01819</t>
        </is>
      </c>
      <c r="B820" s="37" t="inlineStr">
        <is>
          <t>Giles</t>
        </is>
      </c>
      <c r="C820" s="37" t="inlineStr">
        <is>
          <t>Heather</t>
        </is>
      </c>
      <c r="D820" s="37" t="inlineStr">
        <is>
          <t>ACTIVE_WAITLIST</t>
        </is>
      </c>
      <c r="E820" s="37" t="n">
        <v>54</v>
      </c>
      <c r="F820" s="37" t="n">
        <v>16.2</v>
      </c>
    </row>
    <row r="821">
      <c r="A821" s="37" t="inlineStr">
        <is>
          <t>WL-01820</t>
        </is>
      </c>
      <c r="B821" s="37" t="inlineStr">
        <is>
          <t>Petty</t>
        </is>
      </c>
      <c r="C821" s="37" t="inlineStr">
        <is>
          <t>Andrew</t>
        </is>
      </c>
      <c r="D821" s="37" t="inlineStr">
        <is>
          <t>ACTIVE_WAITLIST</t>
        </is>
      </c>
      <c r="E821" s="37" t="n">
        <v>28.3</v>
      </c>
      <c r="F821" s="37" t="n">
        <v>9.6</v>
      </c>
    </row>
    <row r="822">
      <c r="A822" s="37" t="inlineStr">
        <is>
          <t>WL-01821</t>
        </is>
      </c>
      <c r="B822" s="37" t="inlineStr">
        <is>
          <t>Smith</t>
        </is>
      </c>
      <c r="C822" s="37" t="inlineStr">
        <is>
          <t>Dwayne</t>
        </is>
      </c>
      <c r="D822" s="37" t="inlineStr">
        <is>
          <t>ACTIVE_WAITLIST</t>
        </is>
      </c>
      <c r="E822" s="37" t="n">
        <v>38.4</v>
      </c>
      <c r="F822" s="37" t="n">
        <v>12.5</v>
      </c>
    </row>
    <row r="823">
      <c r="A823" s="37" t="inlineStr">
        <is>
          <t>WL-01822</t>
        </is>
      </c>
      <c r="B823" s="37" t="inlineStr">
        <is>
          <t>Price</t>
        </is>
      </c>
      <c r="C823" s="37" t="inlineStr">
        <is>
          <t>Jessica</t>
        </is>
      </c>
      <c r="D823" s="37" t="inlineStr">
        <is>
          <t>SUSPENDED</t>
        </is>
      </c>
      <c r="E823" s="37" t="n">
        <v>23.2</v>
      </c>
      <c r="F823" s="37" t="n">
        <v>8.300000000000001</v>
      </c>
    </row>
    <row r="824">
      <c r="A824" s="37" t="inlineStr">
        <is>
          <t>WL-01823</t>
        </is>
      </c>
      <c r="B824" s="37" t="inlineStr">
        <is>
          <t>Leonard</t>
        </is>
      </c>
      <c r="C824" s="37" t="inlineStr">
        <is>
          <t>Amber</t>
        </is>
      </c>
      <c r="D824" s="37" t="inlineStr">
        <is>
          <t>RETAINER</t>
        </is>
      </c>
      <c r="E824" s="37" t="n">
        <v>51.8</v>
      </c>
      <c r="F824" s="37" t="n">
        <v>15.2</v>
      </c>
    </row>
    <row r="825">
      <c r="A825" s="37" t="inlineStr">
        <is>
          <t>WL-01824</t>
        </is>
      </c>
      <c r="B825" s="37" t="inlineStr">
        <is>
          <t>Tucker</t>
        </is>
      </c>
      <c r="C825" s="37" t="inlineStr">
        <is>
          <t>Robin</t>
        </is>
      </c>
      <c r="D825" s="37" t="inlineStr">
        <is>
          <t>ACTIVE_WAITLIST</t>
        </is>
      </c>
      <c r="E825" s="37" t="n">
        <v>26.5</v>
      </c>
      <c r="F825" s="37" t="n">
        <v>8.5</v>
      </c>
    </row>
    <row r="826">
      <c r="A826" s="37" t="inlineStr">
        <is>
          <t>WL-01825</t>
        </is>
      </c>
      <c r="B826" s="37" t="inlineStr">
        <is>
          <t>Krause</t>
        </is>
      </c>
      <c r="C826" s="37" t="inlineStr">
        <is>
          <t>Charles</t>
        </is>
      </c>
      <c r="D826" s="37" t="inlineStr">
        <is>
          <t>ACTIVE_WAITLIST</t>
        </is>
      </c>
      <c r="E826" s="37" t="n">
        <v>29.8</v>
      </c>
      <c r="F826" s="37" t="n">
        <v>10.7</v>
      </c>
    </row>
    <row r="827">
      <c r="A827" s="37" t="inlineStr">
        <is>
          <t>WL-01826</t>
        </is>
      </c>
      <c r="B827" s="37" t="inlineStr">
        <is>
          <t>Dennis</t>
        </is>
      </c>
      <c r="C827" s="37" t="inlineStr">
        <is>
          <t>Brianna</t>
        </is>
      </c>
      <c r="D827" s="37" t="inlineStr">
        <is>
          <t>SUSPENDED</t>
        </is>
      </c>
      <c r="E827" s="37" t="n">
        <v>32.5</v>
      </c>
      <c r="F827" s="37" t="n">
        <v>9.4</v>
      </c>
    </row>
    <row r="828">
      <c r="A828" s="37" t="inlineStr">
        <is>
          <t>WL-01827</t>
        </is>
      </c>
      <c r="B828" s="37" t="inlineStr">
        <is>
          <t>Lee</t>
        </is>
      </c>
      <c r="C828" s="37" t="inlineStr">
        <is>
          <t>Nicole</t>
        </is>
      </c>
      <c r="D828" s="37" t="inlineStr">
        <is>
          <t>ACTIVE_WAITLIST</t>
        </is>
      </c>
      <c r="E828" s="37" t="n">
        <v>29.3</v>
      </c>
      <c r="F828" s="37" t="n">
        <v>8.300000000000001</v>
      </c>
    </row>
    <row r="829">
      <c r="A829" s="37" t="inlineStr">
        <is>
          <t>WL-01828</t>
        </is>
      </c>
      <c r="B829" s="37" t="inlineStr">
        <is>
          <t>Adams</t>
        </is>
      </c>
      <c r="C829" s="37" t="inlineStr">
        <is>
          <t>Donald</t>
        </is>
      </c>
      <c r="D829" s="37" t="inlineStr">
        <is>
          <t>ACTIVE_WAITLIST</t>
        </is>
      </c>
      <c r="E829" s="37" t="n">
        <v>60.2</v>
      </c>
      <c r="F829" s="37" t="n">
        <v>18</v>
      </c>
    </row>
    <row r="830">
      <c r="A830" s="37" t="inlineStr">
        <is>
          <t>WL-01829</t>
        </is>
      </c>
      <c r="B830" s="37" t="inlineStr">
        <is>
          <t>Franklin</t>
        </is>
      </c>
      <c r="C830" s="37" t="inlineStr">
        <is>
          <t>Bradley</t>
        </is>
      </c>
      <c r="D830" s="37" t="inlineStr">
        <is>
          <t>ACTIVE_WAITLIST</t>
        </is>
      </c>
      <c r="E830" s="37" t="n">
        <v>19.3</v>
      </c>
      <c r="F830" s="37" t="n">
        <v>6.8</v>
      </c>
    </row>
    <row r="831">
      <c r="A831" s="37" t="inlineStr">
        <is>
          <t>WL-01830</t>
        </is>
      </c>
      <c r="B831" s="37" t="inlineStr">
        <is>
          <t>Patel</t>
        </is>
      </c>
      <c r="C831" s="37" t="inlineStr">
        <is>
          <t>Robert</t>
        </is>
      </c>
      <c r="D831" s="37" t="inlineStr">
        <is>
          <t>ACTIVE_WAITLIST</t>
        </is>
      </c>
      <c r="E831" s="37" t="n">
        <v>28.9</v>
      </c>
      <c r="F831" s="37" t="n">
        <v>8.800000000000001</v>
      </c>
    </row>
    <row r="832">
      <c r="A832" s="37" t="inlineStr">
        <is>
          <t>WL-01831</t>
        </is>
      </c>
      <c r="B832" s="37" t="inlineStr">
        <is>
          <t>Andersen</t>
        </is>
      </c>
      <c r="C832" s="37" t="inlineStr">
        <is>
          <t>Angela</t>
        </is>
      </c>
      <c r="D832" s="37" t="inlineStr">
        <is>
          <t>ACTIVE_WAITLIST</t>
        </is>
      </c>
      <c r="E832" s="37" t="n">
        <v>36.3</v>
      </c>
      <c r="F832" s="37" t="n">
        <v>11.2</v>
      </c>
    </row>
    <row r="833">
      <c r="A833" s="37" t="inlineStr">
        <is>
          <t>WL-01832</t>
        </is>
      </c>
      <c r="B833" s="37" t="inlineStr">
        <is>
          <t>Spencer</t>
        </is>
      </c>
      <c r="C833" s="37" t="inlineStr">
        <is>
          <t>Bryan</t>
        </is>
      </c>
      <c r="D833" s="37" t="inlineStr">
        <is>
          <t>ACTIVE_WAITLIST</t>
        </is>
      </c>
      <c r="E833" s="37" t="n">
        <v>57</v>
      </c>
      <c r="F833" s="37" t="n">
        <v>19.2</v>
      </c>
    </row>
    <row r="834">
      <c r="A834" s="37" t="inlineStr">
        <is>
          <t>WL-01833</t>
        </is>
      </c>
      <c r="B834" s="37" t="inlineStr">
        <is>
          <t>Michael</t>
        </is>
      </c>
      <c r="C834" s="37" t="inlineStr">
        <is>
          <t>Becky</t>
        </is>
      </c>
      <c r="D834" s="37" t="inlineStr">
        <is>
          <t>RETAINER</t>
        </is>
      </c>
      <c r="E834" s="37" t="n">
        <v>59.7</v>
      </c>
      <c r="F834" s="37" t="n">
        <v>20.5</v>
      </c>
    </row>
    <row r="835">
      <c r="A835" s="37" t="inlineStr">
        <is>
          <t>WL-01834</t>
        </is>
      </c>
      <c r="B835" s="37" t="inlineStr">
        <is>
          <t>Baker</t>
        </is>
      </c>
      <c r="C835" s="37" t="inlineStr">
        <is>
          <t>Kevin</t>
        </is>
      </c>
      <c r="D835" s="37" t="inlineStr">
        <is>
          <t>ACTIVE_WAITLIST</t>
        </is>
      </c>
      <c r="E835" s="37" t="n">
        <v>53.2</v>
      </c>
      <c r="F835" s="37" t="n">
        <v>15</v>
      </c>
    </row>
    <row r="836">
      <c r="A836" s="37" t="inlineStr">
        <is>
          <t>WL-01835</t>
        </is>
      </c>
      <c r="B836" s="37" t="inlineStr">
        <is>
          <t>Montgomery</t>
        </is>
      </c>
      <c r="C836" s="37" t="inlineStr">
        <is>
          <t>Carla</t>
        </is>
      </c>
      <c r="D836" s="37" t="inlineStr">
        <is>
          <t>ACTIVE_WAITLIST</t>
        </is>
      </c>
      <c r="E836" s="37" t="n">
        <v>37.6</v>
      </c>
      <c r="F836" s="37" t="n">
        <v>12</v>
      </c>
    </row>
    <row r="837">
      <c r="A837" s="37" t="inlineStr">
        <is>
          <t>WL-01836</t>
        </is>
      </c>
      <c r="B837" s="37" t="inlineStr">
        <is>
          <t>Davenport</t>
        </is>
      </c>
      <c r="C837" s="37" t="inlineStr">
        <is>
          <t>Kevin</t>
        </is>
      </c>
      <c r="D837" s="37" t="inlineStr">
        <is>
          <t>ACTIVE_WAITLIST</t>
        </is>
      </c>
      <c r="E837" s="37" t="n">
        <v>59.8</v>
      </c>
      <c r="F837" s="37" t="n">
        <v>17.9</v>
      </c>
    </row>
    <row r="838">
      <c r="A838" s="37" t="inlineStr">
        <is>
          <t>WL-01837</t>
        </is>
      </c>
      <c r="B838" s="37" t="inlineStr">
        <is>
          <t>Bradford</t>
        </is>
      </c>
      <c r="C838" s="37" t="inlineStr">
        <is>
          <t>Brad</t>
        </is>
      </c>
      <c r="D838" s="37" t="inlineStr">
        <is>
          <t>ACTIVE_WAITLIST</t>
        </is>
      </c>
      <c r="E838" s="37" t="n">
        <v>48</v>
      </c>
      <c r="F838" s="37" t="n">
        <v>14.5</v>
      </c>
    </row>
    <row r="839">
      <c r="A839" s="37" t="inlineStr">
        <is>
          <t>WL-01838</t>
        </is>
      </c>
      <c r="B839" s="37" t="inlineStr">
        <is>
          <t>Gregory</t>
        </is>
      </c>
      <c r="C839" s="37" t="inlineStr">
        <is>
          <t>James</t>
        </is>
      </c>
      <c r="D839" s="37" t="inlineStr">
        <is>
          <t>ACTIVE_WAITLIST</t>
        </is>
      </c>
      <c r="E839" s="37" t="n">
        <v>55.1</v>
      </c>
      <c r="F839" s="37" t="n">
        <v>15.7</v>
      </c>
    </row>
    <row r="840">
      <c r="A840" s="37" t="inlineStr">
        <is>
          <t>WL-01839</t>
        </is>
      </c>
      <c r="B840" s="37" t="inlineStr">
        <is>
          <t>Clark</t>
        </is>
      </c>
      <c r="C840" s="37" t="inlineStr">
        <is>
          <t>Darrell</t>
        </is>
      </c>
      <c r="D840" s="37" t="inlineStr">
        <is>
          <t>ACTIVE_WAITLIST</t>
        </is>
      </c>
      <c r="E840" s="37" t="n">
        <v>25.7</v>
      </c>
      <c r="F840" s="37" t="n">
        <v>8.199999999999999</v>
      </c>
    </row>
    <row r="841">
      <c r="A841" s="37" t="inlineStr">
        <is>
          <t>WL-01840</t>
        </is>
      </c>
      <c r="B841" s="37" t="inlineStr">
        <is>
          <t>Ward</t>
        </is>
      </c>
      <c r="C841" s="37" t="inlineStr">
        <is>
          <t>Candace</t>
        </is>
      </c>
      <c r="D841" s="37" t="inlineStr">
        <is>
          <t>ACTIVE_WAITLIST</t>
        </is>
      </c>
      <c r="E841" s="37" t="n">
        <v>47.1</v>
      </c>
      <c r="F841" s="37" t="n">
        <v>16.8</v>
      </c>
    </row>
    <row r="842">
      <c r="A842" s="37" t="inlineStr">
        <is>
          <t>WL-01841</t>
        </is>
      </c>
      <c r="B842" s="37" t="inlineStr">
        <is>
          <t>Jones</t>
        </is>
      </c>
      <c r="C842" s="37" t="inlineStr">
        <is>
          <t>Arthur</t>
        </is>
      </c>
      <c r="D842" s="37" t="inlineStr">
        <is>
          <t>ACTIVE_WAITLIST</t>
        </is>
      </c>
      <c r="E842" s="37" t="n">
        <v>61.4</v>
      </c>
      <c r="F842" s="37" t="n">
        <v>17.4</v>
      </c>
    </row>
    <row r="843">
      <c r="A843" s="37" t="inlineStr">
        <is>
          <t>WL-01842</t>
        </is>
      </c>
      <c r="B843" s="37" t="inlineStr">
        <is>
          <t>Thomas</t>
        </is>
      </c>
      <c r="C843" s="37" t="inlineStr">
        <is>
          <t>Amy</t>
        </is>
      </c>
      <c r="D843" s="37" t="inlineStr">
        <is>
          <t>ACTIVE_WAITLIST</t>
        </is>
      </c>
      <c r="E843" s="37" t="n">
        <v>39.8</v>
      </c>
      <c r="F843" s="37" t="n">
        <v>14.3</v>
      </c>
    </row>
    <row r="844">
      <c r="A844" s="37" t="inlineStr">
        <is>
          <t>WL-01843</t>
        </is>
      </c>
      <c r="B844" s="37" t="inlineStr">
        <is>
          <t>Kim</t>
        </is>
      </c>
      <c r="C844" s="37" t="inlineStr">
        <is>
          <t>Donna</t>
        </is>
      </c>
      <c r="D844" s="37" t="inlineStr">
        <is>
          <t>ACTIVE_WAITLIST</t>
        </is>
      </c>
      <c r="E844" s="37" t="n">
        <v>44.8</v>
      </c>
      <c r="F844" s="37" t="n">
        <v>14.1</v>
      </c>
    </row>
    <row r="845">
      <c r="A845" s="37" t="inlineStr">
        <is>
          <t>WL-01844</t>
        </is>
      </c>
      <c r="B845" s="37" t="inlineStr">
        <is>
          <t>Pearson</t>
        </is>
      </c>
      <c r="C845" s="37" t="inlineStr">
        <is>
          <t>Jeffrey</t>
        </is>
      </c>
      <c r="D845" s="37" t="inlineStr">
        <is>
          <t>ACTIVE_WAITLIST</t>
        </is>
      </c>
      <c r="E845" s="37" t="n">
        <v>55.4</v>
      </c>
      <c r="F845" s="37" t="n">
        <v>16.7</v>
      </c>
    </row>
    <row r="846">
      <c r="A846" s="37" t="inlineStr">
        <is>
          <t>WL-01845</t>
        </is>
      </c>
      <c r="B846" s="37" t="inlineStr">
        <is>
          <t>Bush</t>
        </is>
      </c>
      <c r="C846" s="37" t="inlineStr">
        <is>
          <t>Brianna</t>
        </is>
      </c>
      <c r="D846" s="37" t="inlineStr">
        <is>
          <t>ACTIVE_WAITLIST</t>
        </is>
      </c>
      <c r="E846" s="37" t="n">
        <v>31.5</v>
      </c>
      <c r="F846" s="37" t="n">
        <v>9.300000000000001</v>
      </c>
    </row>
    <row r="847">
      <c r="A847" s="37" t="inlineStr">
        <is>
          <t>WL-01846</t>
        </is>
      </c>
      <c r="B847" s="37" t="inlineStr">
        <is>
          <t>Pratt</t>
        </is>
      </c>
      <c r="C847" s="37" t="inlineStr">
        <is>
          <t>John</t>
        </is>
      </c>
      <c r="D847" s="37" t="inlineStr">
        <is>
          <t>ACTIVE_WAITLIST</t>
        </is>
      </c>
      <c r="E847" s="37" t="n">
        <v>60.4</v>
      </c>
      <c r="F847" s="37" t="n">
        <v>18.4</v>
      </c>
    </row>
    <row r="848">
      <c r="A848" s="37" t="inlineStr">
        <is>
          <t>WL-01847</t>
        </is>
      </c>
      <c r="B848" s="37" t="inlineStr">
        <is>
          <t>Carlson</t>
        </is>
      </c>
      <c r="C848" s="37" t="inlineStr">
        <is>
          <t>Amy</t>
        </is>
      </c>
      <c r="D848" s="37" t="inlineStr">
        <is>
          <t>RETAINER</t>
        </is>
      </c>
      <c r="E848" s="37" t="n">
        <v>47.6</v>
      </c>
      <c r="F848" s="37" t="n">
        <v>17</v>
      </c>
    </row>
    <row r="849">
      <c r="A849" s="37" t="inlineStr">
        <is>
          <t>WL-01848</t>
        </is>
      </c>
      <c r="B849" s="37" t="inlineStr">
        <is>
          <t>Mckinney</t>
        </is>
      </c>
      <c r="C849" s="37" t="inlineStr">
        <is>
          <t>Casey</t>
        </is>
      </c>
      <c r="D849" s="37" t="inlineStr">
        <is>
          <t>ACTIVE_WAITLIST</t>
        </is>
      </c>
      <c r="E849" s="37" t="n">
        <v>57.7</v>
      </c>
      <c r="F849" s="37" t="n">
        <v>16.5</v>
      </c>
    </row>
    <row r="850">
      <c r="A850" s="37" t="inlineStr">
        <is>
          <t>WL-01849</t>
        </is>
      </c>
      <c r="B850" s="37" t="inlineStr">
        <is>
          <t>Hebert</t>
        </is>
      </c>
      <c r="C850" s="37" t="inlineStr">
        <is>
          <t>Angela</t>
        </is>
      </c>
      <c r="D850" s="37" t="inlineStr">
        <is>
          <t>ACTIVE_WAITLIST</t>
        </is>
      </c>
      <c r="E850" s="37" t="n">
        <v>19.9</v>
      </c>
      <c r="F850" s="37" t="n">
        <v>6</v>
      </c>
    </row>
    <row r="851">
      <c r="A851" s="37" t="inlineStr">
        <is>
          <t>WL-01850</t>
        </is>
      </c>
      <c r="B851" s="37" t="inlineStr">
        <is>
          <t>Benjamin</t>
        </is>
      </c>
      <c r="C851" s="37" t="inlineStr">
        <is>
          <t>Bryce</t>
        </is>
      </c>
      <c r="D851" s="37" t="inlineStr">
        <is>
          <t>ACTIVE_WAITLIST</t>
        </is>
      </c>
      <c r="E851" s="37" t="n">
        <v>22.4</v>
      </c>
      <c r="F851" s="37" t="n">
        <v>7.3</v>
      </c>
    </row>
    <row r="852">
      <c r="A852" s="37" t="inlineStr">
        <is>
          <t>WL-01851</t>
        </is>
      </c>
      <c r="B852" s="37" t="inlineStr">
        <is>
          <t>Kelly</t>
        </is>
      </c>
      <c r="C852" s="37" t="inlineStr">
        <is>
          <t>Kevin</t>
        </is>
      </c>
      <c r="D852" s="37" t="inlineStr">
        <is>
          <t>ACTIVE_WAITLIST</t>
        </is>
      </c>
      <c r="E852" s="37" t="n">
        <v>35.5</v>
      </c>
      <c r="F852" s="37" t="n">
        <v>12.1</v>
      </c>
    </row>
    <row r="853">
      <c r="A853" s="37" t="inlineStr">
        <is>
          <t>WL-01852</t>
        </is>
      </c>
      <c r="B853" s="37" t="inlineStr">
        <is>
          <t>Erickson</t>
        </is>
      </c>
      <c r="C853" s="37" t="inlineStr">
        <is>
          <t>Ross</t>
        </is>
      </c>
      <c r="D853" s="37" t="inlineStr">
        <is>
          <t>ACTIVE_WAITLIST</t>
        </is>
      </c>
      <c r="E853" s="37" t="n">
        <v>30.1</v>
      </c>
      <c r="F853" s="37" t="n">
        <v>10.7</v>
      </c>
    </row>
    <row r="854">
      <c r="A854" s="37" t="inlineStr">
        <is>
          <t>WL-01853</t>
        </is>
      </c>
      <c r="B854" s="37" t="inlineStr">
        <is>
          <t>Peterson</t>
        </is>
      </c>
      <c r="C854" s="37" t="inlineStr">
        <is>
          <t>Michael</t>
        </is>
      </c>
      <c r="D854" s="37" t="inlineStr">
        <is>
          <t>ACTIVE_WAITLIST</t>
        </is>
      </c>
      <c r="E854" s="37" t="n">
        <v>44</v>
      </c>
      <c r="F854" s="37" t="n">
        <v>14.3</v>
      </c>
    </row>
    <row r="855">
      <c r="A855" s="37" t="inlineStr">
        <is>
          <t>WL-01854</t>
        </is>
      </c>
      <c r="B855" s="37" t="inlineStr">
        <is>
          <t>Simon</t>
        </is>
      </c>
      <c r="C855" s="37" t="inlineStr">
        <is>
          <t>Vincent</t>
        </is>
      </c>
      <c r="D855" s="37" t="inlineStr">
        <is>
          <t>ACTIVE_WAITLIST</t>
        </is>
      </c>
      <c r="E855" s="37" t="n">
        <v>42.5</v>
      </c>
      <c r="F855" s="37" t="n">
        <v>13.7</v>
      </c>
    </row>
    <row r="856">
      <c r="A856" s="37" t="inlineStr">
        <is>
          <t>WL-01855</t>
        </is>
      </c>
      <c r="B856" s="37" t="inlineStr">
        <is>
          <t>Wright</t>
        </is>
      </c>
      <c r="C856" s="37" t="inlineStr">
        <is>
          <t>Maria</t>
        </is>
      </c>
      <c r="D856" s="37" t="inlineStr">
        <is>
          <t>ACTIVE_WAITLIST</t>
        </is>
      </c>
      <c r="E856" s="37" t="n">
        <v>56.6</v>
      </c>
      <c r="F856" s="37" t="n">
        <v>19.8</v>
      </c>
    </row>
    <row r="857">
      <c r="A857" s="37" t="inlineStr">
        <is>
          <t>WL-01856</t>
        </is>
      </c>
      <c r="B857" s="37" t="inlineStr">
        <is>
          <t>Gates</t>
        </is>
      </c>
      <c r="C857" s="37" t="inlineStr">
        <is>
          <t>Chad</t>
        </is>
      </c>
      <c r="D857" s="37" t="inlineStr">
        <is>
          <t>ACTIVE_WAITLIST</t>
        </is>
      </c>
      <c r="E857" s="37" t="n">
        <v>27.8</v>
      </c>
      <c r="F857" s="37" t="n">
        <v>9.300000000000001</v>
      </c>
    </row>
    <row r="858">
      <c r="A858" s="37" t="inlineStr">
        <is>
          <t>WL-01857</t>
        </is>
      </c>
      <c r="B858" s="37" t="inlineStr">
        <is>
          <t>Morales</t>
        </is>
      </c>
      <c r="C858" s="37" t="inlineStr">
        <is>
          <t>Anthony</t>
        </is>
      </c>
      <c r="D858" s="37" t="inlineStr">
        <is>
          <t>ACTIVE_WAITLIST</t>
        </is>
      </c>
      <c r="E858" s="37" t="n">
        <v>43.6</v>
      </c>
      <c r="F858" s="37" t="n">
        <v>12.7</v>
      </c>
    </row>
    <row r="859">
      <c r="A859" s="37" t="inlineStr">
        <is>
          <t>WL-01858</t>
        </is>
      </c>
      <c r="B859" s="37" t="inlineStr">
        <is>
          <t>Joyce</t>
        </is>
      </c>
      <c r="C859" s="37" t="inlineStr">
        <is>
          <t>Sara</t>
        </is>
      </c>
      <c r="D859" s="37" t="inlineStr">
        <is>
          <t>ACTIVE_WAITLIST</t>
        </is>
      </c>
      <c r="E859" s="37" t="n">
        <v>27.1</v>
      </c>
      <c r="F859" s="37" t="n">
        <v>9.5</v>
      </c>
    </row>
    <row r="860">
      <c r="A860" s="37" t="inlineStr">
        <is>
          <t>WL-01859</t>
        </is>
      </c>
      <c r="B860" s="37" t="inlineStr">
        <is>
          <t>Delgado</t>
        </is>
      </c>
      <c r="C860" s="37" t="inlineStr">
        <is>
          <t>Patricia</t>
        </is>
      </c>
      <c r="D860" s="37" t="inlineStr">
        <is>
          <t>ACTIVE_WAITLIST</t>
        </is>
      </c>
      <c r="E860" s="37" t="n">
        <v>48.1</v>
      </c>
      <c r="F860" s="37" t="n">
        <v>14</v>
      </c>
    </row>
    <row r="861">
      <c r="A861" s="37" t="inlineStr">
        <is>
          <t>WL-01860</t>
        </is>
      </c>
      <c r="B861" s="37" t="inlineStr">
        <is>
          <t>Brown</t>
        </is>
      </c>
      <c r="C861" s="37" t="inlineStr">
        <is>
          <t>Justin</t>
        </is>
      </c>
      <c r="D861" s="37" t="inlineStr">
        <is>
          <t>ACTIVE_WAITLIST</t>
        </is>
      </c>
      <c r="E861" s="37" t="n">
        <v>21</v>
      </c>
      <c r="F861" s="37" t="n">
        <v>6.4</v>
      </c>
    </row>
    <row r="862">
      <c r="A862" s="37" t="inlineStr">
        <is>
          <t>WL-01861</t>
        </is>
      </c>
      <c r="B862" s="37" t="inlineStr">
        <is>
          <t>Wright</t>
        </is>
      </c>
      <c r="C862" s="37" t="inlineStr">
        <is>
          <t>Ivan</t>
        </is>
      </c>
      <c r="D862" s="37" t="inlineStr">
        <is>
          <t>ACTIVE_WAITLIST</t>
        </is>
      </c>
      <c r="E862" s="37" t="n">
        <v>42.3</v>
      </c>
      <c r="F862" s="37" t="n">
        <v>13.2</v>
      </c>
    </row>
    <row r="863">
      <c r="A863" s="37" t="inlineStr">
        <is>
          <t>WL-01862</t>
        </is>
      </c>
      <c r="B863" s="37" t="inlineStr">
        <is>
          <t>Miller</t>
        </is>
      </c>
      <c r="C863" s="37" t="inlineStr">
        <is>
          <t>Joseph</t>
        </is>
      </c>
      <c r="D863" s="37" t="inlineStr">
        <is>
          <t>ACTIVE_WAITLIST</t>
        </is>
      </c>
      <c r="E863" s="37" t="n">
        <v>39</v>
      </c>
      <c r="F863" s="37" t="n">
        <v>13.5</v>
      </c>
    </row>
    <row r="864">
      <c r="A864" s="37" t="inlineStr">
        <is>
          <t>WL-01863</t>
        </is>
      </c>
      <c r="B864" s="37" t="inlineStr">
        <is>
          <t>Jennings</t>
        </is>
      </c>
      <c r="C864" s="37" t="inlineStr">
        <is>
          <t>Ruth</t>
        </is>
      </c>
      <c r="D864" s="37" t="inlineStr">
        <is>
          <t>ACTIVE_WAITLIST</t>
        </is>
      </c>
      <c r="E864" s="37" t="n">
        <v>38.8</v>
      </c>
      <c r="F864" s="37" t="n">
        <v>11.2</v>
      </c>
    </row>
    <row r="865">
      <c r="A865" s="37" t="inlineStr">
        <is>
          <t>WL-01864</t>
        </is>
      </c>
      <c r="B865" s="37" t="inlineStr">
        <is>
          <t>Weber</t>
        </is>
      </c>
      <c r="C865" s="37" t="inlineStr">
        <is>
          <t>Eric</t>
        </is>
      </c>
      <c r="D865" s="37" t="inlineStr">
        <is>
          <t>ACTIVE_WAITLIST</t>
        </is>
      </c>
      <c r="E865" s="37" t="n">
        <v>37.3</v>
      </c>
      <c r="F865" s="37" t="n">
        <v>12.8</v>
      </c>
    </row>
    <row r="866">
      <c r="A866" s="37" t="inlineStr">
        <is>
          <t>WL-01865</t>
        </is>
      </c>
      <c r="B866" s="37" t="inlineStr">
        <is>
          <t>Barton</t>
        </is>
      </c>
      <c r="C866" s="37" t="inlineStr">
        <is>
          <t>Aaron</t>
        </is>
      </c>
      <c r="D866" s="37" t="inlineStr">
        <is>
          <t>ACTIVE_WAITLIST</t>
        </is>
      </c>
      <c r="E866" s="37" t="n">
        <v>43.1</v>
      </c>
      <c r="F866" s="37" t="n">
        <v>14</v>
      </c>
    </row>
    <row r="867">
      <c r="A867" s="37" t="inlineStr">
        <is>
          <t>WL-01866</t>
        </is>
      </c>
      <c r="B867" s="37" t="inlineStr">
        <is>
          <t>James</t>
        </is>
      </c>
      <c r="C867" s="37" t="inlineStr">
        <is>
          <t>Joshua</t>
        </is>
      </c>
      <c r="D867" s="37" t="inlineStr">
        <is>
          <t>ACTIVE_WAITLIST</t>
        </is>
      </c>
      <c r="E867" s="37" t="n">
        <v>58.7</v>
      </c>
      <c r="F867" s="37" t="n">
        <v>17.5</v>
      </c>
    </row>
    <row r="868">
      <c r="A868" s="37" t="inlineStr">
        <is>
          <t>WL-01867</t>
        </is>
      </c>
      <c r="B868" s="37" t="inlineStr">
        <is>
          <t>Evans</t>
        </is>
      </c>
      <c r="C868" s="37" t="inlineStr">
        <is>
          <t>Andrea</t>
        </is>
      </c>
      <c r="D868" s="37" t="inlineStr">
        <is>
          <t>RETAINER</t>
        </is>
      </c>
      <c r="E868" s="37" t="n">
        <v>32.4</v>
      </c>
      <c r="F868" s="37" t="n">
        <v>9.300000000000001</v>
      </c>
    </row>
    <row r="869">
      <c r="A869" s="37" t="inlineStr">
        <is>
          <t>WL-01868</t>
        </is>
      </c>
      <c r="B869" s="37" t="inlineStr">
        <is>
          <t>Franklin</t>
        </is>
      </c>
      <c r="C869" s="37" t="inlineStr">
        <is>
          <t>James</t>
        </is>
      </c>
      <c r="D869" s="37" t="inlineStr">
        <is>
          <t>ACTIVE_WAITLIST</t>
        </is>
      </c>
      <c r="E869" s="37" t="n">
        <v>45.2</v>
      </c>
      <c r="F869" s="37" t="n">
        <v>13.8</v>
      </c>
    </row>
    <row r="870">
      <c r="A870" s="37" t="inlineStr">
        <is>
          <t>WL-01869</t>
        </is>
      </c>
      <c r="B870" s="37" t="inlineStr">
        <is>
          <t>Lopez</t>
        </is>
      </c>
      <c r="C870" s="37" t="inlineStr">
        <is>
          <t>Steve</t>
        </is>
      </c>
      <c r="D870" s="37" t="inlineStr">
        <is>
          <t>RETAINER</t>
        </is>
      </c>
      <c r="E870" s="37" t="n">
        <v>49.8</v>
      </c>
      <c r="F870" s="37" t="n">
        <v>15.7</v>
      </c>
    </row>
    <row r="871">
      <c r="A871" s="37" t="inlineStr">
        <is>
          <t>WL-01870</t>
        </is>
      </c>
      <c r="B871" s="37" t="inlineStr">
        <is>
          <t>Miller</t>
        </is>
      </c>
      <c r="C871" s="37" t="inlineStr">
        <is>
          <t>Whitney</t>
        </is>
      </c>
      <c r="D871" s="37" t="inlineStr">
        <is>
          <t>EXPIRED</t>
        </is>
      </c>
      <c r="E871" s="37" t="n">
        <v>25.2</v>
      </c>
      <c r="F871" s="37" t="n">
        <v>7.5</v>
      </c>
    </row>
    <row r="872">
      <c r="A872" s="37" t="inlineStr">
        <is>
          <t>WL-01871</t>
        </is>
      </c>
      <c r="B872" s="37" t="inlineStr">
        <is>
          <t>Munoz</t>
        </is>
      </c>
      <c r="C872" s="37" t="inlineStr">
        <is>
          <t>Amber</t>
        </is>
      </c>
      <c r="D872" s="37" t="inlineStr">
        <is>
          <t>ACTIVE_WAITLIST</t>
        </is>
      </c>
      <c r="E872" s="37" t="n">
        <v>60.4</v>
      </c>
      <c r="F872" s="37" t="n">
        <v>21.3</v>
      </c>
    </row>
    <row r="873">
      <c r="A873" s="37" t="inlineStr">
        <is>
          <t>WL-01872</t>
        </is>
      </c>
      <c r="B873" s="37" t="inlineStr">
        <is>
          <t>Adkins</t>
        </is>
      </c>
      <c r="C873" s="37" t="inlineStr">
        <is>
          <t>Neil</t>
        </is>
      </c>
      <c r="D873" s="37" t="inlineStr">
        <is>
          <t>ACTIVE_WAITLIST</t>
        </is>
      </c>
      <c r="E873" s="37" t="n">
        <v>57.6</v>
      </c>
      <c r="F873" s="37" t="n">
        <v>18.8</v>
      </c>
    </row>
    <row r="874">
      <c r="A874" s="37" t="inlineStr">
        <is>
          <t>WL-01873</t>
        </is>
      </c>
      <c r="B874" s="37" t="inlineStr">
        <is>
          <t>Woods</t>
        </is>
      </c>
      <c r="C874" s="37" t="inlineStr">
        <is>
          <t>Michele</t>
        </is>
      </c>
      <c r="D874" s="37" t="inlineStr">
        <is>
          <t>ACTIVE_WAITLIST</t>
        </is>
      </c>
      <c r="E874" s="37" t="n">
        <v>30.7</v>
      </c>
      <c r="F874" s="37" t="n">
        <v>10.2</v>
      </c>
    </row>
    <row r="875">
      <c r="A875" s="37" t="inlineStr">
        <is>
          <t>WL-01874</t>
        </is>
      </c>
      <c r="B875" s="37" t="inlineStr">
        <is>
          <t>Williams</t>
        </is>
      </c>
      <c r="C875" s="37" t="inlineStr">
        <is>
          <t>Glenda</t>
        </is>
      </c>
      <c r="D875" s="37" t="inlineStr">
        <is>
          <t>ACTIVE_WAITLIST</t>
        </is>
      </c>
      <c r="E875" s="37" t="n">
        <v>56.3</v>
      </c>
      <c r="F875" s="37" t="n">
        <v>19.7</v>
      </c>
    </row>
    <row r="876">
      <c r="A876" s="37" t="inlineStr">
        <is>
          <t>WL-01875</t>
        </is>
      </c>
      <c r="B876" s="37" t="inlineStr">
        <is>
          <t>Harris</t>
        </is>
      </c>
      <c r="C876" s="37" t="inlineStr">
        <is>
          <t>Steven</t>
        </is>
      </c>
      <c r="D876" s="37" t="inlineStr">
        <is>
          <t>ACTIVE_WAITLIST</t>
        </is>
      </c>
      <c r="E876" s="37" t="n">
        <v>31.7</v>
      </c>
      <c r="F876" s="37" t="n">
        <v>10.4</v>
      </c>
    </row>
    <row r="877">
      <c r="A877" s="37" t="inlineStr">
        <is>
          <t>WL-01876</t>
        </is>
      </c>
      <c r="B877" s="37" t="inlineStr">
        <is>
          <t>Guzman</t>
        </is>
      </c>
      <c r="C877" s="37" t="inlineStr">
        <is>
          <t>Megan</t>
        </is>
      </c>
      <c r="D877" s="37" t="inlineStr">
        <is>
          <t>RETAINER</t>
        </is>
      </c>
      <c r="E877" s="37" t="n">
        <v>37.9</v>
      </c>
      <c r="F877" s="37" t="n">
        <v>11.5</v>
      </c>
    </row>
    <row r="878">
      <c r="A878" s="37" t="inlineStr">
        <is>
          <t>WL-01877</t>
        </is>
      </c>
      <c r="B878" s="37" t="inlineStr">
        <is>
          <t>Ingram</t>
        </is>
      </c>
      <c r="C878" s="37" t="inlineStr">
        <is>
          <t>Michael</t>
        </is>
      </c>
      <c r="D878" s="37" t="inlineStr">
        <is>
          <t>ACTIVE_WAITLIST</t>
        </is>
      </c>
      <c r="E878" s="37" t="n">
        <v>26.6</v>
      </c>
      <c r="F878" s="37" t="n">
        <v>9.199999999999999</v>
      </c>
    </row>
    <row r="879">
      <c r="A879" s="37" t="inlineStr">
        <is>
          <t>WL-01878</t>
        </is>
      </c>
      <c r="B879" s="37" t="inlineStr">
        <is>
          <t>Phillips</t>
        </is>
      </c>
      <c r="C879" s="37" t="inlineStr">
        <is>
          <t>Jennifer</t>
        </is>
      </c>
      <c r="D879" s="37" t="inlineStr">
        <is>
          <t>EXPIRED</t>
        </is>
      </c>
      <c r="E879" s="37" t="n">
        <v>49.9</v>
      </c>
      <c r="F879" s="37" t="n">
        <v>16.6</v>
      </c>
    </row>
    <row r="880">
      <c r="A880" s="37" t="inlineStr">
        <is>
          <t>WL-01879</t>
        </is>
      </c>
      <c r="B880" s="37" t="inlineStr">
        <is>
          <t>English</t>
        </is>
      </c>
      <c r="C880" s="37" t="inlineStr">
        <is>
          <t>Crystal</t>
        </is>
      </c>
      <c r="D880" s="37" t="inlineStr">
        <is>
          <t>ACTIVE_WAITLIST</t>
        </is>
      </c>
      <c r="E880" s="37" t="n">
        <v>20.3</v>
      </c>
      <c r="F880" s="37" t="n">
        <v>5.7</v>
      </c>
    </row>
    <row r="881">
      <c r="A881" s="37" t="inlineStr">
        <is>
          <t>WL-01880</t>
        </is>
      </c>
      <c r="B881" s="37" t="inlineStr">
        <is>
          <t>Torres</t>
        </is>
      </c>
      <c r="C881" s="37" t="inlineStr">
        <is>
          <t>Walter</t>
        </is>
      </c>
      <c r="D881" s="37" t="inlineStr">
        <is>
          <t>ACTIVE_WAITLIST</t>
        </is>
      </c>
      <c r="E881" s="37" t="n">
        <v>43.5</v>
      </c>
      <c r="F881" s="37" t="n">
        <v>14.6</v>
      </c>
    </row>
    <row r="882">
      <c r="A882" s="37" t="inlineStr">
        <is>
          <t>WL-01881</t>
        </is>
      </c>
      <c r="B882" s="37" t="inlineStr">
        <is>
          <t>Bennett</t>
        </is>
      </c>
      <c r="C882" s="37" t="inlineStr">
        <is>
          <t>William</t>
        </is>
      </c>
      <c r="D882" s="37" t="inlineStr">
        <is>
          <t>ACTIVE_WAITLIST</t>
        </is>
      </c>
      <c r="E882" s="37" t="n">
        <v>29.8</v>
      </c>
      <c r="F882" s="37" t="n">
        <v>10.6</v>
      </c>
    </row>
    <row r="883">
      <c r="A883" s="37" t="inlineStr">
        <is>
          <t>WL-01882</t>
        </is>
      </c>
      <c r="B883" s="37" t="inlineStr">
        <is>
          <t>Shepard</t>
        </is>
      </c>
      <c r="C883" s="37" t="inlineStr">
        <is>
          <t>Dennis</t>
        </is>
      </c>
      <c r="D883" s="37" t="inlineStr">
        <is>
          <t>ACTIVE_WAITLIST</t>
        </is>
      </c>
      <c r="E883" s="37" t="n">
        <v>49.7</v>
      </c>
      <c r="F883" s="37" t="n">
        <v>17.2</v>
      </c>
    </row>
    <row r="884">
      <c r="A884" s="37" t="inlineStr">
        <is>
          <t>WL-01883</t>
        </is>
      </c>
      <c r="B884" s="37" t="inlineStr">
        <is>
          <t>Chavez</t>
        </is>
      </c>
      <c r="C884" s="37" t="inlineStr">
        <is>
          <t>Joseph</t>
        </is>
      </c>
      <c r="D884" s="37" t="inlineStr">
        <is>
          <t>ACTIVE_WAITLIST</t>
        </is>
      </c>
      <c r="E884" s="37" t="n">
        <v>32.1</v>
      </c>
      <c r="F884" s="37" t="n">
        <v>10.8</v>
      </c>
    </row>
    <row r="885">
      <c r="A885" s="37" t="inlineStr">
        <is>
          <t>WL-01884</t>
        </is>
      </c>
      <c r="B885" s="37" t="inlineStr">
        <is>
          <t>Price</t>
        </is>
      </c>
      <c r="C885" s="37" t="inlineStr">
        <is>
          <t>Rebecca</t>
        </is>
      </c>
      <c r="D885" s="37" t="inlineStr">
        <is>
          <t>ACTIVE_WAITLIST</t>
        </is>
      </c>
      <c r="E885" s="37" t="n">
        <v>27.3</v>
      </c>
      <c r="F885" s="37" t="n">
        <v>9.1</v>
      </c>
    </row>
    <row r="886">
      <c r="A886" s="37" t="inlineStr">
        <is>
          <t>WL-01885</t>
        </is>
      </c>
      <c r="B886" s="37" t="inlineStr">
        <is>
          <t>Frazier</t>
        </is>
      </c>
      <c r="C886" s="37" t="inlineStr">
        <is>
          <t>Ricky</t>
        </is>
      </c>
      <c r="D886" s="37" t="inlineStr">
        <is>
          <t>ACTIVE_WAITLIST</t>
        </is>
      </c>
      <c r="E886" s="37" t="n">
        <v>41</v>
      </c>
      <c r="F886" s="37" t="n">
        <v>11.6</v>
      </c>
    </row>
    <row r="887">
      <c r="A887" s="37" t="inlineStr">
        <is>
          <t>WL-01886</t>
        </is>
      </c>
      <c r="B887" s="37" t="inlineStr">
        <is>
          <t>Riley</t>
        </is>
      </c>
      <c r="C887" s="37" t="inlineStr">
        <is>
          <t>Kenneth</t>
        </is>
      </c>
      <c r="D887" s="37" t="inlineStr">
        <is>
          <t>ACTIVE_WAITLIST</t>
        </is>
      </c>
      <c r="E887" s="37" t="n">
        <v>18.4</v>
      </c>
      <c r="F887" s="37" t="n">
        <v>5.5</v>
      </c>
    </row>
    <row r="888">
      <c r="A888" s="37" t="inlineStr">
        <is>
          <t>WL-01887</t>
        </is>
      </c>
      <c r="B888" s="37" t="inlineStr">
        <is>
          <t>Moss</t>
        </is>
      </c>
      <c r="C888" s="37" t="inlineStr">
        <is>
          <t>David</t>
        </is>
      </c>
      <c r="D888" s="37" t="inlineStr">
        <is>
          <t>RETAINER</t>
        </is>
      </c>
      <c r="E888" s="37" t="n">
        <v>20.2</v>
      </c>
      <c r="F888" s="37" t="n">
        <v>7.1</v>
      </c>
    </row>
    <row r="889">
      <c r="A889" s="37" t="inlineStr">
        <is>
          <t>WL-01888</t>
        </is>
      </c>
      <c r="B889" s="37" t="inlineStr">
        <is>
          <t>Chapman</t>
        </is>
      </c>
      <c r="C889" s="37" t="inlineStr">
        <is>
          <t>David</t>
        </is>
      </c>
      <c r="D889" s="37" t="inlineStr">
        <is>
          <t>ACTIVE_WAITLIST</t>
        </is>
      </c>
      <c r="E889" s="37" t="n">
        <v>32</v>
      </c>
      <c r="F889" s="37" t="n">
        <v>11.3</v>
      </c>
    </row>
    <row r="890">
      <c r="A890" s="37" t="inlineStr">
        <is>
          <t>WL-01889</t>
        </is>
      </c>
      <c r="B890" s="37" t="inlineStr">
        <is>
          <t>Scott</t>
        </is>
      </c>
      <c r="C890" s="37" t="inlineStr">
        <is>
          <t>Haley</t>
        </is>
      </c>
      <c r="D890" s="37" t="inlineStr">
        <is>
          <t>ACTIVE_WAITLIST</t>
        </is>
      </c>
      <c r="E890" s="37" t="n">
        <v>27.9</v>
      </c>
      <c r="F890" s="37" t="n">
        <v>7.9</v>
      </c>
    </row>
    <row r="891">
      <c r="A891" s="37" t="inlineStr">
        <is>
          <t>WL-01890</t>
        </is>
      </c>
      <c r="B891" s="37" t="inlineStr">
        <is>
          <t>Graves</t>
        </is>
      </c>
      <c r="C891" s="37" t="inlineStr">
        <is>
          <t>Melissa</t>
        </is>
      </c>
      <c r="D891" s="37" t="inlineStr">
        <is>
          <t>ACTIVE_WAITLIST</t>
        </is>
      </c>
      <c r="E891" s="37" t="n">
        <v>20.5</v>
      </c>
      <c r="F891" s="37" t="n">
        <v>6.2</v>
      </c>
    </row>
    <row r="892">
      <c r="A892" s="37" t="inlineStr">
        <is>
          <t>WL-01891</t>
        </is>
      </c>
      <c r="B892" s="37" t="inlineStr">
        <is>
          <t>Ritter</t>
        </is>
      </c>
      <c r="C892" s="37" t="inlineStr">
        <is>
          <t>Lee</t>
        </is>
      </c>
      <c r="D892" s="37" t="inlineStr">
        <is>
          <t>ACTIVE_WAITLIST</t>
        </is>
      </c>
      <c r="E892" s="37" t="n">
        <v>26.2</v>
      </c>
      <c r="F892" s="37" t="n">
        <v>9.300000000000001</v>
      </c>
    </row>
    <row r="893">
      <c r="A893" s="37" t="inlineStr">
        <is>
          <t>WL-01892</t>
        </is>
      </c>
      <c r="B893" s="37" t="inlineStr">
        <is>
          <t>Perry</t>
        </is>
      </c>
      <c r="C893" s="37" t="inlineStr">
        <is>
          <t>Rebecca</t>
        </is>
      </c>
      <c r="D893" s="37" t="inlineStr">
        <is>
          <t>ACTIVE_WAITLIST</t>
        </is>
      </c>
      <c r="E893" s="37" t="n">
        <v>38.6</v>
      </c>
      <c r="F893" s="37" t="n">
        <v>13.7</v>
      </c>
    </row>
    <row r="894">
      <c r="A894" s="37" t="inlineStr">
        <is>
          <t>WL-01893</t>
        </is>
      </c>
      <c r="B894" s="37" t="inlineStr">
        <is>
          <t>Beesley</t>
        </is>
      </c>
      <c r="C894" s="37" t="inlineStr">
        <is>
          <t>Laura</t>
        </is>
      </c>
      <c r="D894" s="37" t="inlineStr">
        <is>
          <t>ACTIVE_WAITLIST</t>
        </is>
      </c>
      <c r="E894" s="37" t="n">
        <v>36.3</v>
      </c>
      <c r="F894" s="37" t="n">
        <v>11.9</v>
      </c>
    </row>
    <row r="895">
      <c r="A895" s="37" t="inlineStr">
        <is>
          <t>WL-01894</t>
        </is>
      </c>
      <c r="B895" s="37" t="inlineStr">
        <is>
          <t>Taylor</t>
        </is>
      </c>
      <c r="C895" s="37" t="inlineStr">
        <is>
          <t>Linda</t>
        </is>
      </c>
      <c r="D895" s="37" t="inlineStr">
        <is>
          <t>ACTIVE_WAITLIST</t>
        </is>
      </c>
      <c r="E895" s="37" t="n">
        <v>26.3</v>
      </c>
      <c r="F895" s="37" t="n">
        <v>9.199999999999999</v>
      </c>
    </row>
    <row r="896">
      <c r="A896" s="37" t="inlineStr">
        <is>
          <t>WL-01895</t>
        </is>
      </c>
      <c r="B896" s="37" t="inlineStr">
        <is>
          <t>Brown</t>
        </is>
      </c>
      <c r="C896" s="37" t="inlineStr">
        <is>
          <t>Lisa</t>
        </is>
      </c>
      <c r="D896" s="37" t="inlineStr">
        <is>
          <t>ACTIVE_WAITLIST</t>
        </is>
      </c>
      <c r="E896" s="37" t="n">
        <v>52</v>
      </c>
      <c r="F896" s="37" t="n">
        <v>17</v>
      </c>
    </row>
    <row r="897">
      <c r="A897" s="37" t="inlineStr">
        <is>
          <t>WL-01896</t>
        </is>
      </c>
      <c r="B897" s="37" t="inlineStr">
        <is>
          <t>Williams</t>
        </is>
      </c>
      <c r="C897" s="37" t="inlineStr">
        <is>
          <t>Meredith</t>
        </is>
      </c>
      <c r="D897" s="37" t="inlineStr">
        <is>
          <t>ACTIVE_WAITLIST</t>
        </is>
      </c>
      <c r="E897" s="37" t="n">
        <v>38.5</v>
      </c>
      <c r="F897" s="37" t="n">
        <v>12.3</v>
      </c>
    </row>
    <row r="898">
      <c r="A898" s="37" t="inlineStr">
        <is>
          <t>WL-01897</t>
        </is>
      </c>
      <c r="B898" s="37" t="inlineStr">
        <is>
          <t>Davis</t>
        </is>
      </c>
      <c r="C898" s="37" t="inlineStr">
        <is>
          <t>Raymond</t>
        </is>
      </c>
      <c r="D898" s="37" t="inlineStr">
        <is>
          <t>ACTIVE_WAITLIST</t>
        </is>
      </c>
      <c r="E898" s="37" t="n">
        <v>60.8</v>
      </c>
      <c r="F898" s="37" t="n">
        <v>21.2</v>
      </c>
    </row>
    <row r="899">
      <c r="A899" s="37" t="inlineStr">
        <is>
          <t>WL-01898</t>
        </is>
      </c>
      <c r="B899" s="37" t="inlineStr">
        <is>
          <t>Wilson</t>
        </is>
      </c>
      <c r="C899" s="37" t="inlineStr">
        <is>
          <t>Melinda</t>
        </is>
      </c>
      <c r="D899" s="37" t="inlineStr">
        <is>
          <t>EXPIRED</t>
        </is>
      </c>
      <c r="E899" s="37" t="n">
        <v>41.5</v>
      </c>
      <c r="F899" s="37" t="n">
        <v>13.3</v>
      </c>
    </row>
    <row r="900">
      <c r="A900" s="37" t="inlineStr">
        <is>
          <t>WL-01899</t>
        </is>
      </c>
      <c r="B900" s="37" t="inlineStr">
        <is>
          <t>Salas</t>
        </is>
      </c>
      <c r="C900" s="37" t="inlineStr">
        <is>
          <t>Emily</t>
        </is>
      </c>
      <c r="D900" s="37" t="inlineStr">
        <is>
          <t>ACTIVE_WAITLIST</t>
        </is>
      </c>
      <c r="E900" s="37" t="n">
        <v>29.4</v>
      </c>
      <c r="F900" s="37" t="n">
        <v>10</v>
      </c>
    </row>
    <row r="901">
      <c r="A901" s="37" t="inlineStr">
        <is>
          <t>WL-01900</t>
        </is>
      </c>
      <c r="B901" s="37" t="inlineStr">
        <is>
          <t>Guerrero</t>
        </is>
      </c>
      <c r="C901" s="37" t="inlineStr">
        <is>
          <t>Nancy</t>
        </is>
      </c>
      <c r="D901" s="37" t="inlineStr">
        <is>
          <t>ACTIVE_WAITLIST</t>
        </is>
      </c>
      <c r="E901" s="37" t="n">
        <v>37.5</v>
      </c>
      <c r="F901" s="37" t="n">
        <v>12.4</v>
      </c>
    </row>
    <row r="902">
      <c r="A902" s="37" t="inlineStr">
        <is>
          <t>WL-01901</t>
        </is>
      </c>
      <c r="B902" s="37" t="inlineStr">
        <is>
          <t>Johnson</t>
        </is>
      </c>
      <c r="C902" s="37" t="inlineStr">
        <is>
          <t>Karen</t>
        </is>
      </c>
      <c r="D902" s="37" t="inlineStr">
        <is>
          <t>EXPIRED</t>
        </is>
      </c>
      <c r="E902" s="37" t="n">
        <v>21.8</v>
      </c>
      <c r="F902" s="37" t="n">
        <v>7.4</v>
      </c>
    </row>
    <row r="903">
      <c r="A903" s="37" t="inlineStr">
        <is>
          <t>WL-01902</t>
        </is>
      </c>
      <c r="B903" s="37" t="inlineStr">
        <is>
          <t>Rios</t>
        </is>
      </c>
      <c r="C903" s="37" t="inlineStr">
        <is>
          <t>Brendan</t>
        </is>
      </c>
      <c r="D903" s="37" t="inlineStr">
        <is>
          <t>RETAINER</t>
        </is>
      </c>
      <c r="E903" s="37" t="n">
        <v>18.7</v>
      </c>
      <c r="F903" s="37" t="n">
        <v>5.7</v>
      </c>
    </row>
    <row r="904">
      <c r="A904" s="37" t="inlineStr">
        <is>
          <t>WL-01903</t>
        </is>
      </c>
      <c r="B904" s="37" t="inlineStr">
        <is>
          <t>Brady</t>
        </is>
      </c>
      <c r="C904" s="37" t="inlineStr">
        <is>
          <t>Andrea</t>
        </is>
      </c>
      <c r="D904" s="37" t="inlineStr">
        <is>
          <t>ACTIVE_WAITLIST</t>
        </is>
      </c>
      <c r="E904" s="37" t="n">
        <v>58.3</v>
      </c>
      <c r="F904" s="37" t="n">
        <v>20.8</v>
      </c>
    </row>
    <row r="905">
      <c r="A905" s="37" t="inlineStr">
        <is>
          <t>WL-01904</t>
        </is>
      </c>
      <c r="B905" s="37" t="inlineStr">
        <is>
          <t>Wong</t>
        </is>
      </c>
      <c r="C905" s="37" t="inlineStr">
        <is>
          <t>Alexander</t>
        </is>
      </c>
      <c r="D905" s="37" t="inlineStr">
        <is>
          <t>RETAINER</t>
        </is>
      </c>
      <c r="E905" s="37" t="n">
        <v>20.8</v>
      </c>
      <c r="F905" s="37" t="n">
        <v>7.1</v>
      </c>
    </row>
    <row r="906">
      <c r="A906" s="37" t="inlineStr">
        <is>
          <t>WL-01905</t>
        </is>
      </c>
      <c r="B906" s="37" t="inlineStr">
        <is>
          <t>Rogers</t>
        </is>
      </c>
      <c r="C906" s="37" t="inlineStr">
        <is>
          <t>William</t>
        </is>
      </c>
      <c r="D906" s="37" t="inlineStr">
        <is>
          <t>EXPIRED</t>
        </is>
      </c>
      <c r="E906" s="37" t="n">
        <v>42.6</v>
      </c>
      <c r="F906" s="37" t="n">
        <v>14.8</v>
      </c>
    </row>
    <row r="907">
      <c r="A907" s="37" t="inlineStr">
        <is>
          <t>WL-01906</t>
        </is>
      </c>
      <c r="B907" s="37" t="inlineStr">
        <is>
          <t>Flores</t>
        </is>
      </c>
      <c r="C907" s="37" t="inlineStr">
        <is>
          <t>Jessica</t>
        </is>
      </c>
      <c r="D907" s="37" t="inlineStr">
        <is>
          <t>ACTIVE_WAITLIST</t>
        </is>
      </c>
      <c r="E907" s="37" t="n">
        <v>37.2</v>
      </c>
      <c r="F907" s="37" t="n">
        <v>12.8</v>
      </c>
    </row>
    <row r="908">
      <c r="A908" s="37" t="inlineStr">
        <is>
          <t>WL-01907</t>
        </is>
      </c>
      <c r="B908" s="37" t="inlineStr">
        <is>
          <t>Rodriguez</t>
        </is>
      </c>
      <c r="C908" s="37" t="inlineStr">
        <is>
          <t>John</t>
        </is>
      </c>
      <c r="D908" s="37" t="inlineStr">
        <is>
          <t>ACTIVE_WAITLIST</t>
        </is>
      </c>
      <c r="E908" s="37" t="n">
        <v>54.1</v>
      </c>
      <c r="F908" s="37" t="n">
        <v>19.3</v>
      </c>
    </row>
    <row r="909">
      <c r="A909" s="37" t="inlineStr">
        <is>
          <t>WL-01908</t>
        </is>
      </c>
      <c r="B909" s="37" t="inlineStr">
        <is>
          <t>Jensen</t>
        </is>
      </c>
      <c r="C909" s="37" t="inlineStr">
        <is>
          <t>Jasmine</t>
        </is>
      </c>
      <c r="D909" s="37" t="inlineStr">
        <is>
          <t>RETAINER</t>
        </is>
      </c>
      <c r="E909" s="37" t="n">
        <v>33.8</v>
      </c>
      <c r="F909" s="37" t="n">
        <v>9.5</v>
      </c>
    </row>
    <row r="910">
      <c r="A910" s="37" t="inlineStr">
        <is>
          <t>WL-01909</t>
        </is>
      </c>
      <c r="B910" s="37" t="inlineStr">
        <is>
          <t>Black</t>
        </is>
      </c>
      <c r="C910" s="37" t="inlineStr">
        <is>
          <t>Natalie</t>
        </is>
      </c>
      <c r="D910" s="37" t="inlineStr">
        <is>
          <t>ACTIVE_WAITLIST</t>
        </is>
      </c>
      <c r="E910" s="37" t="n">
        <v>22.5</v>
      </c>
      <c r="F910" s="37" t="n">
        <v>7.7</v>
      </c>
    </row>
    <row r="911">
      <c r="A911" s="37" t="inlineStr">
        <is>
          <t>WL-01910</t>
        </is>
      </c>
      <c r="B911" s="37" t="inlineStr">
        <is>
          <t>Gates</t>
        </is>
      </c>
      <c r="C911" s="37" t="inlineStr">
        <is>
          <t>Charles</t>
        </is>
      </c>
      <c r="D911" s="37" t="inlineStr">
        <is>
          <t>ACTIVE_WAITLIST</t>
        </is>
      </c>
      <c r="E911" s="37" t="n">
        <v>49.2</v>
      </c>
      <c r="F911" s="37" t="n">
        <v>14.4</v>
      </c>
    </row>
    <row r="912">
      <c r="A912" s="37" t="inlineStr">
        <is>
          <t>WL-01911</t>
        </is>
      </c>
      <c r="B912" s="37" t="inlineStr">
        <is>
          <t>Murphy</t>
        </is>
      </c>
      <c r="C912" s="37" t="inlineStr">
        <is>
          <t>Laurie</t>
        </is>
      </c>
      <c r="D912" s="37" t="inlineStr">
        <is>
          <t>ACTIVE_WAITLIST</t>
        </is>
      </c>
      <c r="E912" s="37" t="n">
        <v>42.2</v>
      </c>
      <c r="F912" s="37" t="n">
        <v>14.9</v>
      </c>
    </row>
    <row r="913">
      <c r="A913" s="37" t="inlineStr">
        <is>
          <t>WL-01912</t>
        </is>
      </c>
      <c r="B913" s="37" t="inlineStr">
        <is>
          <t>Gibbs</t>
        </is>
      </c>
      <c r="C913" s="37" t="inlineStr">
        <is>
          <t>James</t>
        </is>
      </c>
      <c r="D913" s="37" t="inlineStr">
        <is>
          <t>RETAINER</t>
        </is>
      </c>
      <c r="E913" s="37" t="n">
        <v>48.9</v>
      </c>
      <c r="F913" s="37" t="n">
        <v>16</v>
      </c>
    </row>
    <row r="914">
      <c r="A914" s="37" t="inlineStr">
        <is>
          <t>WL-01913</t>
        </is>
      </c>
      <c r="B914" s="37" t="inlineStr">
        <is>
          <t>Thompson</t>
        </is>
      </c>
      <c r="C914" s="37" t="inlineStr">
        <is>
          <t>Nicole</t>
        </is>
      </c>
      <c r="D914" s="37" t="inlineStr">
        <is>
          <t>EXPIRED</t>
        </is>
      </c>
      <c r="E914" s="37" t="n">
        <v>54.9</v>
      </c>
      <c r="F914" s="37" t="n">
        <v>19.7</v>
      </c>
    </row>
    <row r="915">
      <c r="A915" s="37" t="inlineStr">
        <is>
          <t>WL-01914</t>
        </is>
      </c>
      <c r="B915" s="37" t="inlineStr">
        <is>
          <t>Flores</t>
        </is>
      </c>
      <c r="C915" s="37" t="inlineStr">
        <is>
          <t>Danny</t>
        </is>
      </c>
      <c r="D915" s="37" t="inlineStr">
        <is>
          <t>ACTIVE_WAITLIST</t>
        </is>
      </c>
      <c r="E915" s="37" t="n">
        <v>61.5</v>
      </c>
      <c r="F915" s="37" t="n">
        <v>17.8</v>
      </c>
    </row>
    <row r="916">
      <c r="A916" s="37" t="inlineStr">
        <is>
          <t>WL-01915</t>
        </is>
      </c>
      <c r="B916" s="37" t="inlineStr">
        <is>
          <t>Fox</t>
        </is>
      </c>
      <c r="C916" s="37" t="inlineStr">
        <is>
          <t>Sara</t>
        </is>
      </c>
      <c r="D916" s="37" t="inlineStr">
        <is>
          <t>ACTIVE_WAITLIST</t>
        </is>
      </c>
      <c r="E916" s="37" t="n">
        <v>31.6</v>
      </c>
      <c r="F916" s="37" t="n">
        <v>10.8</v>
      </c>
    </row>
    <row r="917">
      <c r="A917" s="37" t="inlineStr">
        <is>
          <t>WL-01916</t>
        </is>
      </c>
      <c r="B917" s="37" t="inlineStr">
        <is>
          <t>Gutierrez</t>
        </is>
      </c>
      <c r="C917" s="37" t="inlineStr">
        <is>
          <t>Denise</t>
        </is>
      </c>
      <c r="D917" s="37" t="inlineStr">
        <is>
          <t>ACTIVE_WAITLIST</t>
        </is>
      </c>
      <c r="E917" s="37" t="n">
        <v>36.2</v>
      </c>
      <c r="F917" s="37" t="n">
        <v>12.8</v>
      </c>
    </row>
    <row r="918">
      <c r="A918" s="37" t="inlineStr">
        <is>
          <t>WL-01917</t>
        </is>
      </c>
      <c r="B918" s="37" t="inlineStr">
        <is>
          <t>May</t>
        </is>
      </c>
      <c r="C918" s="37" t="inlineStr">
        <is>
          <t>Matthew</t>
        </is>
      </c>
      <c r="D918" s="37" t="inlineStr">
        <is>
          <t>ACTIVE_WAITLIST</t>
        </is>
      </c>
      <c r="E918" s="37" t="n">
        <v>48.1</v>
      </c>
      <c r="F918" s="37" t="n">
        <v>15.1</v>
      </c>
    </row>
    <row r="919">
      <c r="A919" s="37" t="inlineStr">
        <is>
          <t>WL-01918</t>
        </is>
      </c>
      <c r="B919" s="37" t="inlineStr">
        <is>
          <t>Barrett</t>
        </is>
      </c>
      <c r="C919" s="37" t="inlineStr">
        <is>
          <t>Brittany</t>
        </is>
      </c>
      <c r="D919" s="37" t="inlineStr">
        <is>
          <t>ACTIVE_WAITLIST</t>
        </is>
      </c>
      <c r="E919" s="37" t="n">
        <v>42.8</v>
      </c>
      <c r="F919" s="37" t="n">
        <v>14.8</v>
      </c>
    </row>
    <row r="920">
      <c r="A920" s="37" t="inlineStr">
        <is>
          <t>WL-01919</t>
        </is>
      </c>
      <c r="B920" s="37" t="inlineStr">
        <is>
          <t>Perkins</t>
        </is>
      </c>
      <c r="C920" s="37" t="inlineStr">
        <is>
          <t>Glenda</t>
        </is>
      </c>
      <c r="D920" s="37" t="inlineStr">
        <is>
          <t>ACTIVE_WAITLIST</t>
        </is>
      </c>
      <c r="E920" s="37" t="n">
        <v>52.9</v>
      </c>
      <c r="F920" s="37" t="n">
        <v>15.3</v>
      </c>
    </row>
    <row r="921">
      <c r="A921" s="37" t="inlineStr">
        <is>
          <t>WL-01920</t>
        </is>
      </c>
      <c r="B921" s="37" t="inlineStr">
        <is>
          <t>Wise</t>
        </is>
      </c>
      <c r="C921" s="37" t="inlineStr">
        <is>
          <t>Harold</t>
        </is>
      </c>
      <c r="D921" s="37" t="inlineStr">
        <is>
          <t>ACTIVE_WAITLIST</t>
        </is>
      </c>
      <c r="E921" s="37" t="n">
        <v>37.8</v>
      </c>
      <c r="F921" s="37" t="n">
        <v>10.8</v>
      </c>
    </row>
    <row r="922">
      <c r="A922" s="37" t="inlineStr">
        <is>
          <t>WL-01921</t>
        </is>
      </c>
      <c r="B922" s="37" t="inlineStr">
        <is>
          <t>Burnett</t>
        </is>
      </c>
      <c r="C922" s="37" t="inlineStr">
        <is>
          <t>Darren</t>
        </is>
      </c>
      <c r="D922" s="37" t="inlineStr">
        <is>
          <t>ACTIVE_WAITLIST</t>
        </is>
      </c>
      <c r="E922" s="37" t="n">
        <v>46.6</v>
      </c>
      <c r="F922" s="37" t="n">
        <v>15</v>
      </c>
    </row>
    <row r="923">
      <c r="A923" s="37" t="inlineStr">
        <is>
          <t>WL-01922</t>
        </is>
      </c>
      <c r="B923" s="37" t="inlineStr">
        <is>
          <t>Holland</t>
        </is>
      </c>
      <c r="C923" s="37" t="inlineStr">
        <is>
          <t>Jodi</t>
        </is>
      </c>
      <c r="D923" s="37" t="inlineStr">
        <is>
          <t>ACTIVE_WAITLIST</t>
        </is>
      </c>
      <c r="E923" s="37" t="n">
        <v>48.9</v>
      </c>
      <c r="F923" s="37" t="n">
        <v>16</v>
      </c>
    </row>
    <row r="924">
      <c r="A924" s="37" t="inlineStr">
        <is>
          <t>WL-01923</t>
        </is>
      </c>
      <c r="B924" s="37" t="inlineStr">
        <is>
          <t>Williams</t>
        </is>
      </c>
      <c r="C924" s="37" t="inlineStr">
        <is>
          <t>April</t>
        </is>
      </c>
      <c r="D924" s="37" t="inlineStr">
        <is>
          <t>ACTIVE_WAITLIST</t>
        </is>
      </c>
      <c r="E924" s="37" t="n">
        <v>31.4</v>
      </c>
      <c r="F924" s="37" t="n">
        <v>11</v>
      </c>
    </row>
    <row r="925">
      <c r="A925" s="37" t="inlineStr">
        <is>
          <t>WL-01924</t>
        </is>
      </c>
      <c r="B925" s="37" t="inlineStr">
        <is>
          <t>Alexander</t>
        </is>
      </c>
      <c r="C925" s="37" t="inlineStr">
        <is>
          <t>Angela</t>
        </is>
      </c>
      <c r="D925" s="37" t="inlineStr">
        <is>
          <t>ACTIVE_WAITLIST</t>
        </is>
      </c>
      <c r="E925" s="37" t="n">
        <v>21.2</v>
      </c>
      <c r="F925" s="37" t="n">
        <v>6.1</v>
      </c>
    </row>
    <row r="926">
      <c r="A926" s="37" t="inlineStr">
        <is>
          <t>WL-01925</t>
        </is>
      </c>
      <c r="B926" s="37" t="inlineStr">
        <is>
          <t>Brown</t>
        </is>
      </c>
      <c r="C926" s="37" t="inlineStr">
        <is>
          <t>Nicholas</t>
        </is>
      </c>
      <c r="D926" s="37" t="inlineStr">
        <is>
          <t>ACTIVE_WAITLIST</t>
        </is>
      </c>
      <c r="E926" s="37" t="n">
        <v>46.7</v>
      </c>
      <c r="F926" s="37" t="n">
        <v>13.8</v>
      </c>
    </row>
    <row r="927">
      <c r="A927" s="37" t="inlineStr">
        <is>
          <t>WL-01926</t>
        </is>
      </c>
      <c r="B927" s="37" t="inlineStr">
        <is>
          <t>Mills</t>
        </is>
      </c>
      <c r="C927" s="37" t="inlineStr">
        <is>
          <t>Linda</t>
        </is>
      </c>
      <c r="D927" s="37" t="inlineStr">
        <is>
          <t>ACTIVE_WAITLIST</t>
        </is>
      </c>
      <c r="E927" s="37" t="n">
        <v>22.8</v>
      </c>
      <c r="F927" s="37" t="n">
        <v>6.9</v>
      </c>
    </row>
    <row r="928">
      <c r="A928" s="37" t="inlineStr">
        <is>
          <t>WL-01927</t>
        </is>
      </c>
      <c r="B928" s="37" t="inlineStr">
        <is>
          <t>Mclaughlin</t>
        </is>
      </c>
      <c r="C928" s="37" t="inlineStr">
        <is>
          <t>Mark</t>
        </is>
      </c>
      <c r="D928" s="37" t="inlineStr">
        <is>
          <t>ACTIVE_WAITLIST</t>
        </is>
      </c>
      <c r="E928" s="37" t="n">
        <v>38.7</v>
      </c>
      <c r="F928" s="37" t="n">
        <v>11.3</v>
      </c>
    </row>
    <row r="929">
      <c r="A929" s="37" t="inlineStr">
        <is>
          <t>WL-01928</t>
        </is>
      </c>
      <c r="B929" s="37" t="inlineStr">
        <is>
          <t>Yates</t>
        </is>
      </c>
      <c r="C929" s="37" t="inlineStr">
        <is>
          <t>Stephanie</t>
        </is>
      </c>
      <c r="D929" s="37" t="inlineStr">
        <is>
          <t>ACTIVE_WAITLIST</t>
        </is>
      </c>
      <c r="E929" s="37" t="n">
        <v>31.5</v>
      </c>
      <c r="F929" s="37" t="n">
        <v>9</v>
      </c>
    </row>
    <row r="930">
      <c r="A930" s="37" t="inlineStr">
        <is>
          <t>WL-01929</t>
        </is>
      </c>
      <c r="B930" s="37" t="inlineStr">
        <is>
          <t>Mcbride</t>
        </is>
      </c>
      <c r="C930" s="37" t="inlineStr">
        <is>
          <t>Margaret</t>
        </is>
      </c>
      <c r="D930" s="37" t="inlineStr">
        <is>
          <t>ACTIVE_WAITLIST</t>
        </is>
      </c>
      <c r="E930" s="37" t="n">
        <v>22</v>
      </c>
      <c r="F930" s="37" t="n">
        <v>6.7</v>
      </c>
    </row>
    <row r="931">
      <c r="A931" s="37" t="inlineStr">
        <is>
          <t>WL-01930</t>
        </is>
      </c>
      <c r="B931" s="37" t="inlineStr">
        <is>
          <t>Woods</t>
        </is>
      </c>
      <c r="C931" s="37" t="inlineStr">
        <is>
          <t>Austin</t>
        </is>
      </c>
      <c r="D931" s="37" t="inlineStr">
        <is>
          <t>ACTIVE_WAITLIST</t>
        </is>
      </c>
      <c r="E931" s="37" t="n">
        <v>47.8</v>
      </c>
      <c r="F931" s="37" t="n">
        <v>14.7</v>
      </c>
    </row>
    <row r="932">
      <c r="A932" s="37" t="inlineStr">
        <is>
          <t>WL-01931</t>
        </is>
      </c>
      <c r="B932" s="37" t="inlineStr">
        <is>
          <t>Logan</t>
        </is>
      </c>
      <c r="C932" s="37" t="inlineStr">
        <is>
          <t>Cassandra</t>
        </is>
      </c>
      <c r="D932" s="37" t="inlineStr">
        <is>
          <t>ACTIVE_WAITLIST</t>
        </is>
      </c>
      <c r="E932" s="37" t="n">
        <v>58.9</v>
      </c>
      <c r="F932" s="37" t="n">
        <v>16.5</v>
      </c>
    </row>
    <row r="933">
      <c r="A933" s="37" t="inlineStr">
        <is>
          <t>WL-01932</t>
        </is>
      </c>
      <c r="B933" s="37" t="inlineStr">
        <is>
          <t>Williams</t>
        </is>
      </c>
      <c r="C933" s="37" t="inlineStr">
        <is>
          <t>Clayton</t>
        </is>
      </c>
      <c r="D933" s="37" t="inlineStr">
        <is>
          <t>ACTIVE_WAITLIST</t>
        </is>
      </c>
      <c r="E933" s="37" t="n">
        <v>24.6</v>
      </c>
      <c r="F933" s="37" t="n">
        <v>7.8</v>
      </c>
    </row>
    <row r="934">
      <c r="A934" s="37" t="inlineStr">
        <is>
          <t>WL-01933</t>
        </is>
      </c>
      <c r="B934" s="37" t="inlineStr">
        <is>
          <t>Rocha</t>
        </is>
      </c>
      <c r="C934" s="37" t="inlineStr">
        <is>
          <t>John</t>
        </is>
      </c>
      <c r="D934" s="37" t="inlineStr">
        <is>
          <t>RETAINER</t>
        </is>
      </c>
      <c r="E934" s="37" t="n">
        <v>38.1</v>
      </c>
      <c r="F934" s="37" t="n">
        <v>12</v>
      </c>
    </row>
    <row r="935">
      <c r="A935" s="37" t="inlineStr">
        <is>
          <t>WL-01934</t>
        </is>
      </c>
      <c r="B935" s="37" t="inlineStr">
        <is>
          <t>Cooke</t>
        </is>
      </c>
      <c r="C935" s="37" t="inlineStr">
        <is>
          <t>Jonathan</t>
        </is>
      </c>
      <c r="D935" s="37" t="inlineStr">
        <is>
          <t>ACTIVE_WAITLIST</t>
        </is>
      </c>
      <c r="E935" s="37" t="n">
        <v>20.5</v>
      </c>
      <c r="F935" s="37" t="n">
        <v>6.3</v>
      </c>
    </row>
    <row r="936">
      <c r="A936" s="37" t="inlineStr">
        <is>
          <t>WL-01935</t>
        </is>
      </c>
      <c r="B936" s="37" t="inlineStr">
        <is>
          <t>Jones</t>
        </is>
      </c>
      <c r="C936" s="37" t="inlineStr">
        <is>
          <t>Jacqueline</t>
        </is>
      </c>
      <c r="D936" s="37" t="inlineStr">
        <is>
          <t>EXPIRED</t>
        </is>
      </c>
      <c r="E936" s="37" t="n">
        <v>34.3</v>
      </c>
      <c r="F936" s="37" t="n">
        <v>11.4</v>
      </c>
    </row>
    <row r="937">
      <c r="A937" s="37" t="inlineStr">
        <is>
          <t>WL-01936</t>
        </is>
      </c>
      <c r="B937" s="37" t="inlineStr">
        <is>
          <t>Livingston</t>
        </is>
      </c>
      <c r="C937" s="37" t="inlineStr">
        <is>
          <t>Deanna</t>
        </is>
      </c>
      <c r="D937" s="37" t="inlineStr">
        <is>
          <t>ACTIVE_WAITLIST</t>
        </is>
      </c>
      <c r="E937" s="37" t="n">
        <v>61</v>
      </c>
      <c r="F937" s="37" t="n">
        <v>17.2</v>
      </c>
    </row>
    <row r="938">
      <c r="A938" s="37" t="inlineStr">
        <is>
          <t>WL-01937</t>
        </is>
      </c>
      <c r="B938" s="37" t="inlineStr">
        <is>
          <t>Brady</t>
        </is>
      </c>
      <c r="C938" s="37" t="inlineStr">
        <is>
          <t>Debbie</t>
        </is>
      </c>
      <c r="D938" s="37" t="inlineStr">
        <is>
          <t>ACTIVE_WAITLIST</t>
        </is>
      </c>
      <c r="E938" s="37" t="n">
        <v>34.5</v>
      </c>
      <c r="F938" s="37" t="n">
        <v>10.4</v>
      </c>
    </row>
    <row r="939">
      <c r="A939" s="37" t="inlineStr">
        <is>
          <t>WL-01938</t>
        </is>
      </c>
      <c r="B939" s="37" t="inlineStr">
        <is>
          <t>Webb</t>
        </is>
      </c>
      <c r="C939" s="37" t="inlineStr">
        <is>
          <t>Ian</t>
        </is>
      </c>
      <c r="D939" s="37" t="inlineStr">
        <is>
          <t>ACTIVE_WAITLIST</t>
        </is>
      </c>
      <c r="E939" s="37" t="n">
        <v>41.8</v>
      </c>
      <c r="F939" s="37" t="n">
        <v>12.5</v>
      </c>
    </row>
    <row r="940">
      <c r="A940" s="37" t="inlineStr">
        <is>
          <t>WL-01939</t>
        </is>
      </c>
      <c r="B940" s="37" t="inlineStr">
        <is>
          <t>Baird</t>
        </is>
      </c>
      <c r="C940" s="37" t="inlineStr">
        <is>
          <t>Kelly</t>
        </is>
      </c>
      <c r="D940" s="37" t="inlineStr">
        <is>
          <t>ACTIVE_WAITLIST</t>
        </is>
      </c>
      <c r="E940" s="37" t="n">
        <v>38.1</v>
      </c>
      <c r="F940" s="37" t="n">
        <v>13</v>
      </c>
    </row>
    <row r="941">
      <c r="A941" s="37" t="inlineStr">
        <is>
          <t>WL-01940</t>
        </is>
      </c>
      <c r="B941" s="37" t="inlineStr">
        <is>
          <t>Howell</t>
        </is>
      </c>
      <c r="C941" s="37" t="inlineStr">
        <is>
          <t>Kelly</t>
        </is>
      </c>
      <c r="D941" s="37" t="inlineStr">
        <is>
          <t>ACTIVE_WAITLIST</t>
        </is>
      </c>
      <c r="E941" s="37" t="n">
        <v>53.5</v>
      </c>
      <c r="F941" s="37" t="n">
        <v>16.9</v>
      </c>
    </row>
    <row r="942">
      <c r="A942" s="37" t="inlineStr">
        <is>
          <t>WL-01941</t>
        </is>
      </c>
      <c r="B942" s="37" t="inlineStr">
        <is>
          <t>Barnes</t>
        </is>
      </c>
      <c r="C942" s="37" t="inlineStr">
        <is>
          <t>Rebecca</t>
        </is>
      </c>
      <c r="D942" s="37" t="inlineStr">
        <is>
          <t>ACTIVE_WAITLIST</t>
        </is>
      </c>
      <c r="E942" s="37" t="n">
        <v>53.9</v>
      </c>
      <c r="F942" s="37" t="n">
        <v>18.6</v>
      </c>
    </row>
    <row r="943">
      <c r="A943" s="37" t="inlineStr">
        <is>
          <t>WL-01942</t>
        </is>
      </c>
      <c r="B943" s="37" t="inlineStr">
        <is>
          <t>Powell</t>
        </is>
      </c>
      <c r="C943" s="37" t="inlineStr">
        <is>
          <t>Beth</t>
        </is>
      </c>
      <c r="D943" s="37" t="inlineStr">
        <is>
          <t>ACTIVE_WAITLIST</t>
        </is>
      </c>
      <c r="E943" s="37" t="n">
        <v>30.1</v>
      </c>
      <c r="F943" s="37" t="n">
        <v>9</v>
      </c>
    </row>
    <row r="944">
      <c r="A944" s="37" t="inlineStr">
        <is>
          <t>WL-01943</t>
        </is>
      </c>
      <c r="B944" s="37" t="inlineStr">
        <is>
          <t>Berg</t>
        </is>
      </c>
      <c r="C944" s="37" t="inlineStr">
        <is>
          <t>Michael</t>
        </is>
      </c>
      <c r="D944" s="37" t="inlineStr">
        <is>
          <t>ACTIVE_WAITLIST</t>
        </is>
      </c>
      <c r="E944" s="37" t="n">
        <v>37.9</v>
      </c>
      <c r="F944" s="37" t="n">
        <v>12.5</v>
      </c>
    </row>
    <row r="945">
      <c r="A945" s="37" t="inlineStr">
        <is>
          <t>WL-01944</t>
        </is>
      </c>
      <c r="B945" s="37" t="inlineStr">
        <is>
          <t>Wells</t>
        </is>
      </c>
      <c r="C945" s="37" t="inlineStr">
        <is>
          <t>Tina</t>
        </is>
      </c>
      <c r="D945" s="37" t="inlineStr">
        <is>
          <t>ACTIVE_WAITLIST</t>
        </is>
      </c>
      <c r="E945" s="37" t="n">
        <v>62</v>
      </c>
      <c r="F945" s="37" t="n">
        <v>18.2</v>
      </c>
    </row>
    <row r="946">
      <c r="A946" s="37" t="inlineStr">
        <is>
          <t>WL-01945</t>
        </is>
      </c>
      <c r="B946" s="37" t="inlineStr">
        <is>
          <t>Bonilla</t>
        </is>
      </c>
      <c r="C946" s="37" t="inlineStr">
        <is>
          <t>Jacob</t>
        </is>
      </c>
      <c r="D946" s="37" t="inlineStr">
        <is>
          <t>ACTIVE_WAITLIST</t>
        </is>
      </c>
      <c r="E946" s="37" t="n">
        <v>19</v>
      </c>
      <c r="F946" s="37" t="n">
        <v>6.8</v>
      </c>
    </row>
    <row r="947">
      <c r="A947" s="37" t="inlineStr">
        <is>
          <t>WL-01946</t>
        </is>
      </c>
      <c r="B947" s="37" t="inlineStr">
        <is>
          <t>Sweeney</t>
        </is>
      </c>
      <c r="C947" s="37" t="inlineStr">
        <is>
          <t>David</t>
        </is>
      </c>
      <c r="D947" s="37" t="inlineStr">
        <is>
          <t>ACTIVE_WAITLIST</t>
        </is>
      </c>
      <c r="E947" s="37" t="n">
        <v>38.7</v>
      </c>
      <c r="F947" s="37" t="n">
        <v>12.3</v>
      </c>
    </row>
    <row r="948">
      <c r="A948" s="37" t="inlineStr">
        <is>
          <t>WL-01947</t>
        </is>
      </c>
      <c r="B948" s="37" t="inlineStr">
        <is>
          <t>Mcdowell</t>
        </is>
      </c>
      <c r="C948" s="37" t="inlineStr">
        <is>
          <t>Teresa</t>
        </is>
      </c>
      <c r="D948" s="37" t="inlineStr">
        <is>
          <t>ACTIVE_WAITLIST</t>
        </is>
      </c>
      <c r="E948" s="37" t="n">
        <v>49.8</v>
      </c>
      <c r="F948" s="37" t="n">
        <v>17.8</v>
      </c>
    </row>
    <row r="949">
      <c r="A949" s="37" t="inlineStr">
        <is>
          <t>WL-01948</t>
        </is>
      </c>
      <c r="B949" s="37" t="inlineStr">
        <is>
          <t>Taylor</t>
        </is>
      </c>
      <c r="C949" s="37" t="inlineStr">
        <is>
          <t>Michael</t>
        </is>
      </c>
      <c r="D949" s="37" t="inlineStr">
        <is>
          <t>ACTIVE_WAITLIST</t>
        </is>
      </c>
      <c r="E949" s="37" t="n">
        <v>61.8</v>
      </c>
      <c r="F949" s="37" t="n">
        <v>18.4</v>
      </c>
    </row>
    <row r="950">
      <c r="A950" s="37" t="inlineStr">
        <is>
          <t>WL-01949</t>
        </is>
      </c>
      <c r="B950" s="37" t="inlineStr">
        <is>
          <t>Parks</t>
        </is>
      </c>
      <c r="C950" s="37" t="inlineStr">
        <is>
          <t>Troy</t>
        </is>
      </c>
      <c r="D950" s="37" t="inlineStr">
        <is>
          <t>ACTIVE_WAITLIST</t>
        </is>
      </c>
      <c r="E950" s="37" t="n">
        <v>28.2</v>
      </c>
      <c r="F950" s="37" t="n">
        <v>8.1</v>
      </c>
    </row>
    <row r="951">
      <c r="A951" s="37" t="inlineStr">
        <is>
          <t>WL-01950</t>
        </is>
      </c>
      <c r="B951" s="37" t="inlineStr">
        <is>
          <t>Trujillo</t>
        </is>
      </c>
      <c r="C951" s="37" t="inlineStr">
        <is>
          <t>Mathew</t>
        </is>
      </c>
      <c r="D951" s="37" t="inlineStr">
        <is>
          <t>ACTIVE_WAITLIST</t>
        </is>
      </c>
      <c r="E951" s="37" t="n">
        <v>56</v>
      </c>
      <c r="F951" s="37" t="n">
        <v>17.2</v>
      </c>
    </row>
    <row r="952">
      <c r="A952" s="37" t="inlineStr">
        <is>
          <t>WL-01951</t>
        </is>
      </c>
      <c r="B952" s="37" t="inlineStr">
        <is>
          <t>Prince</t>
        </is>
      </c>
      <c r="C952" s="37" t="inlineStr">
        <is>
          <t>Danielle</t>
        </is>
      </c>
      <c r="D952" s="37" t="inlineStr">
        <is>
          <t>ACTIVE_WAITLIST</t>
        </is>
      </c>
      <c r="E952" s="37" t="n">
        <v>55</v>
      </c>
      <c r="F952" s="37" t="n">
        <v>17.1</v>
      </c>
    </row>
    <row r="953">
      <c r="A953" s="37" t="inlineStr">
        <is>
          <t>WL-01952</t>
        </is>
      </c>
      <c r="B953" s="37" t="inlineStr">
        <is>
          <t>Harper</t>
        </is>
      </c>
      <c r="C953" s="37" t="inlineStr">
        <is>
          <t>Amanda</t>
        </is>
      </c>
      <c r="D953" s="37" t="inlineStr">
        <is>
          <t>ACTIVE_WAITLIST</t>
        </is>
      </c>
      <c r="E953" s="37" t="n">
        <v>18.3</v>
      </c>
      <c r="F953" s="37" t="n">
        <v>5.2</v>
      </c>
    </row>
    <row r="954">
      <c r="A954" s="37" t="inlineStr">
        <is>
          <t>WL-01953</t>
        </is>
      </c>
      <c r="B954" s="37" t="inlineStr">
        <is>
          <t>Wright</t>
        </is>
      </c>
      <c r="C954" s="37" t="inlineStr">
        <is>
          <t>Derek</t>
        </is>
      </c>
      <c r="D954" s="37" t="inlineStr">
        <is>
          <t>ACTIVE_WAITLIST</t>
        </is>
      </c>
      <c r="E954" s="37" t="n">
        <v>37.7</v>
      </c>
      <c r="F954" s="37" t="n">
        <v>12.8</v>
      </c>
    </row>
    <row r="955">
      <c r="A955" s="37" t="inlineStr">
        <is>
          <t>WL-01954</t>
        </is>
      </c>
      <c r="B955" s="37" t="inlineStr">
        <is>
          <t>Smith</t>
        </is>
      </c>
      <c r="C955" s="37" t="inlineStr">
        <is>
          <t>Richard</t>
        </is>
      </c>
      <c r="D955" s="37" t="inlineStr">
        <is>
          <t>RETAINER</t>
        </is>
      </c>
      <c r="E955" s="37" t="n">
        <v>42.9</v>
      </c>
      <c r="F955" s="37" t="n">
        <v>13</v>
      </c>
    </row>
    <row r="956">
      <c r="A956" s="37" t="inlineStr">
        <is>
          <t>WL-01955</t>
        </is>
      </c>
      <c r="B956" s="37" t="inlineStr">
        <is>
          <t>Davis</t>
        </is>
      </c>
      <c r="C956" s="37" t="inlineStr">
        <is>
          <t>Nicole</t>
        </is>
      </c>
      <c r="D956" s="37" t="inlineStr">
        <is>
          <t>ACTIVE_WAITLIST</t>
        </is>
      </c>
      <c r="E956" s="37" t="n">
        <v>51.7</v>
      </c>
      <c r="F956" s="37" t="n">
        <v>14.8</v>
      </c>
    </row>
    <row r="957">
      <c r="A957" s="37" t="inlineStr">
        <is>
          <t>WL-01956</t>
        </is>
      </c>
      <c r="B957" s="37" t="inlineStr">
        <is>
          <t>Lutz</t>
        </is>
      </c>
      <c r="C957" s="37" t="inlineStr">
        <is>
          <t>Cheryl</t>
        </is>
      </c>
      <c r="D957" s="37" t="inlineStr">
        <is>
          <t>ACTIVE_WAITLIST</t>
        </is>
      </c>
      <c r="E957" s="37" t="n">
        <v>27.5</v>
      </c>
      <c r="F957" s="37" t="n">
        <v>8.4</v>
      </c>
    </row>
    <row r="958">
      <c r="A958" s="37" t="inlineStr">
        <is>
          <t>WL-01957</t>
        </is>
      </c>
      <c r="B958" s="37" t="inlineStr">
        <is>
          <t>Powell</t>
        </is>
      </c>
      <c r="C958" s="37" t="inlineStr">
        <is>
          <t>Louis</t>
        </is>
      </c>
      <c r="D958" s="37" t="inlineStr">
        <is>
          <t>ACTIVE_WAITLIST</t>
        </is>
      </c>
      <c r="E958" s="37" t="n">
        <v>28.9</v>
      </c>
      <c r="F958" s="37" t="n">
        <v>9.6</v>
      </c>
    </row>
    <row r="959">
      <c r="A959" s="37" t="inlineStr">
        <is>
          <t>WL-01958</t>
        </is>
      </c>
      <c r="B959" s="37" t="inlineStr">
        <is>
          <t>Stevens</t>
        </is>
      </c>
      <c r="C959" s="37" t="inlineStr">
        <is>
          <t>Catherine</t>
        </is>
      </c>
      <c r="D959" s="37" t="inlineStr">
        <is>
          <t>ACTIVE_WAITLIST</t>
        </is>
      </c>
      <c r="E959" s="37" t="n">
        <v>40.8</v>
      </c>
      <c r="F959" s="37" t="n">
        <v>14.2</v>
      </c>
    </row>
    <row r="960">
      <c r="A960" s="37" t="inlineStr">
        <is>
          <t>WL-01959</t>
        </is>
      </c>
      <c r="B960" s="37" t="inlineStr">
        <is>
          <t>Moore</t>
        </is>
      </c>
      <c r="C960" s="37" t="inlineStr">
        <is>
          <t>Jonathan</t>
        </is>
      </c>
      <c r="D960" s="37" t="inlineStr">
        <is>
          <t>ACTIVE_WAITLIST</t>
        </is>
      </c>
      <c r="E960" s="37" t="n">
        <v>46.8</v>
      </c>
      <c r="F960" s="37" t="n">
        <v>14.2</v>
      </c>
    </row>
    <row r="961">
      <c r="A961" s="37" t="inlineStr">
        <is>
          <t>WL-01960</t>
        </is>
      </c>
      <c r="B961" s="37" t="inlineStr">
        <is>
          <t>Smith</t>
        </is>
      </c>
      <c r="C961" s="37" t="inlineStr">
        <is>
          <t>Sean</t>
        </is>
      </c>
      <c r="D961" s="37" t="inlineStr">
        <is>
          <t>ACTIVE_WAITLIST</t>
        </is>
      </c>
      <c r="E961" s="37" t="n">
        <v>30.9</v>
      </c>
      <c r="F961" s="37" t="n">
        <v>8.800000000000001</v>
      </c>
    </row>
    <row r="962">
      <c r="A962" s="37" t="inlineStr">
        <is>
          <t>WL-01961</t>
        </is>
      </c>
      <c r="B962" s="37" t="inlineStr">
        <is>
          <t>Parker</t>
        </is>
      </c>
      <c r="C962" s="37" t="inlineStr">
        <is>
          <t>Jeffrey</t>
        </is>
      </c>
      <c r="D962" s="37" t="inlineStr">
        <is>
          <t>ACTIVE_WAITLIST</t>
        </is>
      </c>
      <c r="E962" s="37" t="n">
        <v>52.4</v>
      </c>
      <c r="F962" s="37" t="n">
        <v>18.7</v>
      </c>
    </row>
    <row r="963">
      <c r="A963" s="37" t="inlineStr">
        <is>
          <t>WL-01962</t>
        </is>
      </c>
      <c r="B963" s="37" t="inlineStr">
        <is>
          <t>Tyler</t>
        </is>
      </c>
      <c r="C963" s="37" t="inlineStr">
        <is>
          <t>Natalie</t>
        </is>
      </c>
      <c r="D963" s="37" t="inlineStr">
        <is>
          <t>ACTIVE_WAITLIST</t>
        </is>
      </c>
      <c r="E963" s="37" t="n">
        <v>30.1</v>
      </c>
      <c r="F963" s="37" t="n">
        <v>9.6</v>
      </c>
    </row>
    <row r="964">
      <c r="A964" s="37" t="inlineStr">
        <is>
          <t>WL-01963</t>
        </is>
      </c>
      <c r="B964" s="37" t="inlineStr">
        <is>
          <t>Beck</t>
        </is>
      </c>
      <c r="C964" s="37" t="inlineStr">
        <is>
          <t>Erik</t>
        </is>
      </c>
      <c r="D964" s="37" t="inlineStr">
        <is>
          <t>ACTIVE_WAITLIST</t>
        </is>
      </c>
      <c r="E964" s="37" t="n">
        <v>43.4</v>
      </c>
      <c r="F964" s="37" t="n">
        <v>12.4</v>
      </c>
    </row>
    <row r="965">
      <c r="A965" s="37" t="inlineStr">
        <is>
          <t>WL-01964</t>
        </is>
      </c>
      <c r="B965" s="37" t="inlineStr">
        <is>
          <t>Richardson</t>
        </is>
      </c>
      <c r="C965" s="37" t="inlineStr">
        <is>
          <t>Ryan</t>
        </is>
      </c>
      <c r="D965" s="37" t="inlineStr">
        <is>
          <t>ACTIVE_WAITLIST</t>
        </is>
      </c>
      <c r="E965" s="37" t="n">
        <v>32.4</v>
      </c>
      <c r="F965" s="37" t="n">
        <v>10.6</v>
      </c>
    </row>
    <row r="966">
      <c r="A966" s="37" t="inlineStr">
        <is>
          <t>WL-01965</t>
        </is>
      </c>
      <c r="B966" s="37" t="inlineStr">
        <is>
          <t>Williams</t>
        </is>
      </c>
      <c r="C966" s="37" t="inlineStr">
        <is>
          <t>Tyler</t>
        </is>
      </c>
      <c r="D966" s="37" t="inlineStr">
        <is>
          <t>ACTIVE_WAITLIST</t>
        </is>
      </c>
      <c r="E966" s="37" t="n">
        <v>25</v>
      </c>
      <c r="F966" s="37" t="n">
        <v>8.199999999999999</v>
      </c>
    </row>
    <row r="967">
      <c r="A967" s="37" t="inlineStr">
        <is>
          <t>WL-01966</t>
        </is>
      </c>
      <c r="B967" s="37" t="inlineStr">
        <is>
          <t>Cardenas</t>
        </is>
      </c>
      <c r="C967" s="37" t="inlineStr">
        <is>
          <t>Amanda</t>
        </is>
      </c>
      <c r="D967" s="37" t="inlineStr">
        <is>
          <t>ACTIVE_WAITLIST</t>
        </is>
      </c>
      <c r="E967" s="37" t="n">
        <v>52.3</v>
      </c>
      <c r="F967" s="37" t="n">
        <v>16.2</v>
      </c>
    </row>
    <row r="968">
      <c r="A968" s="37" t="inlineStr">
        <is>
          <t>WL-01967</t>
        </is>
      </c>
      <c r="B968" s="37" t="inlineStr">
        <is>
          <t>Cameron</t>
        </is>
      </c>
      <c r="C968" s="37" t="inlineStr">
        <is>
          <t>April</t>
        </is>
      </c>
      <c r="D968" s="37" t="inlineStr">
        <is>
          <t>EXPIRED</t>
        </is>
      </c>
      <c r="E968" s="37" t="n">
        <v>44.1</v>
      </c>
      <c r="F968" s="37" t="n">
        <v>15.6</v>
      </c>
    </row>
    <row r="969">
      <c r="A969" s="37" t="inlineStr">
        <is>
          <t>WL-01968</t>
        </is>
      </c>
      <c r="B969" s="37" t="inlineStr">
        <is>
          <t>Lewis</t>
        </is>
      </c>
      <c r="C969" s="37" t="inlineStr">
        <is>
          <t>Cheryl</t>
        </is>
      </c>
      <c r="D969" s="37" t="inlineStr">
        <is>
          <t>ACTIVE_WAITLIST</t>
        </is>
      </c>
      <c r="E969" s="37" t="n">
        <v>50</v>
      </c>
      <c r="F969" s="37" t="n">
        <v>16.3</v>
      </c>
    </row>
    <row r="970">
      <c r="A970" s="37" t="inlineStr">
        <is>
          <t>WL-01969</t>
        </is>
      </c>
      <c r="B970" s="37" t="inlineStr">
        <is>
          <t>Byrd</t>
        </is>
      </c>
      <c r="C970" s="37" t="inlineStr">
        <is>
          <t>Scott</t>
        </is>
      </c>
      <c r="D970" s="37" t="inlineStr">
        <is>
          <t>ACTIVE_WAITLIST</t>
        </is>
      </c>
      <c r="E970" s="37" t="n">
        <v>26.9</v>
      </c>
      <c r="F970" s="37" t="n">
        <v>9.300000000000001</v>
      </c>
    </row>
    <row r="971">
      <c r="A971" s="37" t="inlineStr">
        <is>
          <t>WL-01970</t>
        </is>
      </c>
      <c r="B971" s="37" t="inlineStr">
        <is>
          <t>Stewart</t>
        </is>
      </c>
      <c r="C971" s="37" t="inlineStr">
        <is>
          <t>Andres</t>
        </is>
      </c>
      <c r="D971" s="37" t="inlineStr">
        <is>
          <t>ACTIVE_WAITLIST</t>
        </is>
      </c>
      <c r="E971" s="37" t="n">
        <v>49.6</v>
      </c>
      <c r="F971" s="37" t="n">
        <v>16.1</v>
      </c>
    </row>
    <row r="972">
      <c r="A972" s="37" t="inlineStr">
        <is>
          <t>WL-01971</t>
        </is>
      </c>
      <c r="B972" s="37" t="inlineStr">
        <is>
          <t>Smith</t>
        </is>
      </c>
      <c r="C972" s="37" t="inlineStr">
        <is>
          <t>Paul</t>
        </is>
      </c>
      <c r="D972" s="37" t="inlineStr">
        <is>
          <t>ACTIVE_WAITLIST</t>
        </is>
      </c>
      <c r="E972" s="37" t="n">
        <v>43.8</v>
      </c>
      <c r="F972" s="37" t="n">
        <v>15.4</v>
      </c>
    </row>
    <row r="973">
      <c r="A973" s="37" t="inlineStr">
        <is>
          <t>WL-01972</t>
        </is>
      </c>
      <c r="B973" s="37" t="inlineStr">
        <is>
          <t>Torres</t>
        </is>
      </c>
      <c r="C973" s="37" t="inlineStr">
        <is>
          <t>Robyn</t>
        </is>
      </c>
      <c r="D973" s="37" t="inlineStr">
        <is>
          <t>ACTIVE_WAITLIST</t>
        </is>
      </c>
      <c r="E973" s="37" t="n">
        <v>57.9</v>
      </c>
      <c r="F973" s="37" t="n">
        <v>18.2</v>
      </c>
    </row>
    <row r="974">
      <c r="A974" s="37" t="inlineStr">
        <is>
          <t>WL-01973</t>
        </is>
      </c>
      <c r="B974" s="37" t="inlineStr">
        <is>
          <t>Payne</t>
        </is>
      </c>
      <c r="C974" s="37" t="inlineStr">
        <is>
          <t>Michael</t>
        </is>
      </c>
      <c r="D974" s="37" t="inlineStr">
        <is>
          <t>ACTIVE_WAITLIST</t>
        </is>
      </c>
      <c r="E974" s="37" t="n">
        <v>29.3</v>
      </c>
      <c r="F974" s="37" t="n">
        <v>9.699999999999999</v>
      </c>
    </row>
    <row r="975">
      <c r="A975" s="37" t="inlineStr">
        <is>
          <t>WL-01974</t>
        </is>
      </c>
      <c r="B975" s="37" t="inlineStr">
        <is>
          <t>Arroyo</t>
        </is>
      </c>
      <c r="C975" s="37" t="inlineStr">
        <is>
          <t>Paula</t>
        </is>
      </c>
      <c r="D975" s="37" t="inlineStr">
        <is>
          <t>ACTIVE_WAITLIST</t>
        </is>
      </c>
      <c r="E975" s="37" t="n">
        <v>48.2</v>
      </c>
      <c r="F975" s="37" t="n">
        <v>14.2</v>
      </c>
    </row>
    <row r="976">
      <c r="A976" s="37" t="inlineStr">
        <is>
          <t>WL-01975</t>
        </is>
      </c>
      <c r="B976" s="37" t="inlineStr">
        <is>
          <t>Wilson</t>
        </is>
      </c>
      <c r="C976" s="37" t="inlineStr">
        <is>
          <t>Susan</t>
        </is>
      </c>
      <c r="D976" s="37" t="inlineStr">
        <is>
          <t>ACTIVE_WAITLIST</t>
        </is>
      </c>
      <c r="E976" s="37" t="n">
        <v>45.5</v>
      </c>
      <c r="F976" s="37" t="n">
        <v>13.1</v>
      </c>
    </row>
    <row r="977">
      <c r="A977" s="37" t="inlineStr">
        <is>
          <t>WL-01976</t>
        </is>
      </c>
      <c r="B977" s="37" t="inlineStr">
        <is>
          <t>Martin</t>
        </is>
      </c>
      <c r="C977" s="37" t="inlineStr">
        <is>
          <t>Tanya</t>
        </is>
      </c>
      <c r="D977" s="37" t="inlineStr">
        <is>
          <t>ACTIVE_WAITLIST</t>
        </is>
      </c>
      <c r="E977" s="37" t="n">
        <v>40.4</v>
      </c>
      <c r="F977" s="37" t="n">
        <v>11.7</v>
      </c>
    </row>
    <row r="978">
      <c r="A978" s="37" t="inlineStr">
        <is>
          <t>WL-01977</t>
        </is>
      </c>
      <c r="B978" s="37" t="inlineStr">
        <is>
          <t>Warner</t>
        </is>
      </c>
      <c r="C978" s="37" t="inlineStr">
        <is>
          <t>Adam</t>
        </is>
      </c>
      <c r="D978" s="37" t="inlineStr">
        <is>
          <t>ACTIVE_WAITLIST</t>
        </is>
      </c>
      <c r="E978" s="37" t="n">
        <v>26.3</v>
      </c>
      <c r="F978" s="37" t="n">
        <v>8.699999999999999</v>
      </c>
    </row>
    <row r="979">
      <c r="A979" s="37" t="inlineStr">
        <is>
          <t>WL-01978</t>
        </is>
      </c>
      <c r="B979" s="37" t="inlineStr">
        <is>
          <t>Frazier</t>
        </is>
      </c>
      <c r="C979" s="37" t="inlineStr">
        <is>
          <t>Patricia</t>
        </is>
      </c>
      <c r="D979" s="37" t="inlineStr">
        <is>
          <t>ACTIVE_WAITLIST</t>
        </is>
      </c>
      <c r="E979" s="37" t="n">
        <v>29.5</v>
      </c>
      <c r="F979" s="37" t="n">
        <v>8.800000000000001</v>
      </c>
    </row>
    <row r="980">
      <c r="A980" s="37" t="inlineStr">
        <is>
          <t>WL-01979</t>
        </is>
      </c>
      <c r="B980" s="37" t="inlineStr">
        <is>
          <t>Mccarthy</t>
        </is>
      </c>
      <c r="C980" s="37" t="inlineStr">
        <is>
          <t>Kimberly</t>
        </is>
      </c>
      <c r="D980" s="37" t="inlineStr">
        <is>
          <t>ACTIVE_WAITLIST</t>
        </is>
      </c>
      <c r="E980" s="37" t="n">
        <v>23.5</v>
      </c>
      <c r="F980" s="37" t="n">
        <v>7.3</v>
      </c>
    </row>
    <row r="981">
      <c r="A981" s="37" t="inlineStr">
        <is>
          <t>WL-01980</t>
        </is>
      </c>
      <c r="B981" s="37" t="inlineStr">
        <is>
          <t>Powell</t>
        </is>
      </c>
      <c r="C981" s="37" t="inlineStr">
        <is>
          <t>Jacob</t>
        </is>
      </c>
      <c r="D981" s="37" t="inlineStr">
        <is>
          <t>ACTIVE_WAITLIST</t>
        </is>
      </c>
      <c r="E981" s="37" t="n">
        <v>49.6</v>
      </c>
      <c r="F981" s="37" t="n">
        <v>16.8</v>
      </c>
    </row>
    <row r="982">
      <c r="A982" s="37" t="inlineStr">
        <is>
          <t>WL-01981</t>
        </is>
      </c>
      <c r="B982" s="37" t="inlineStr">
        <is>
          <t>Walker</t>
        </is>
      </c>
      <c r="C982" s="37" t="inlineStr">
        <is>
          <t>Kathleen</t>
        </is>
      </c>
      <c r="D982" s="37" t="inlineStr">
        <is>
          <t>ACTIVE_WAITLIST</t>
        </is>
      </c>
      <c r="E982" s="37" t="n">
        <v>56.3</v>
      </c>
      <c r="F982" s="37" t="n">
        <v>19.1</v>
      </c>
    </row>
    <row r="983">
      <c r="A983" s="37" t="inlineStr">
        <is>
          <t>WL-01982</t>
        </is>
      </c>
      <c r="B983" s="37" t="inlineStr">
        <is>
          <t>Harrison</t>
        </is>
      </c>
      <c r="C983" s="37" t="inlineStr">
        <is>
          <t>Jeffrey</t>
        </is>
      </c>
      <c r="D983" s="37" t="inlineStr">
        <is>
          <t>ACTIVE_WAITLIST</t>
        </is>
      </c>
      <c r="E983" s="37" t="n">
        <v>54.1</v>
      </c>
      <c r="F983" s="37" t="n">
        <v>15.6</v>
      </c>
    </row>
    <row r="984">
      <c r="A984" s="37" t="inlineStr">
        <is>
          <t>WL-01983</t>
        </is>
      </c>
      <c r="B984" s="37" t="inlineStr">
        <is>
          <t>Carroll</t>
        </is>
      </c>
      <c r="C984" s="37" t="inlineStr">
        <is>
          <t>Thomas</t>
        </is>
      </c>
      <c r="D984" s="37" t="inlineStr">
        <is>
          <t>EXPIRED</t>
        </is>
      </c>
      <c r="E984" s="37" t="n">
        <v>55.8</v>
      </c>
      <c r="F984" s="37" t="n">
        <v>16.3</v>
      </c>
    </row>
    <row r="985">
      <c r="A985" s="37" t="inlineStr">
        <is>
          <t>WL-01984</t>
        </is>
      </c>
      <c r="B985" s="37" t="inlineStr">
        <is>
          <t>Jackson</t>
        </is>
      </c>
      <c r="C985" s="37" t="inlineStr">
        <is>
          <t>Vanessa</t>
        </is>
      </c>
      <c r="D985" s="37" t="inlineStr">
        <is>
          <t>ACTIVE_WAITLIST</t>
        </is>
      </c>
      <c r="E985" s="37" t="n">
        <v>41.9</v>
      </c>
      <c r="F985" s="37" t="n">
        <v>12.7</v>
      </c>
    </row>
    <row r="986">
      <c r="A986" s="37" t="inlineStr">
        <is>
          <t>WL-01985</t>
        </is>
      </c>
      <c r="B986" s="37" t="inlineStr">
        <is>
          <t>Stewart</t>
        </is>
      </c>
      <c r="C986" s="37" t="inlineStr">
        <is>
          <t>Rita</t>
        </is>
      </c>
      <c r="D986" s="37" t="inlineStr">
        <is>
          <t>ACTIVE_WAITLIST</t>
        </is>
      </c>
      <c r="E986" s="37" t="n">
        <v>19.5</v>
      </c>
      <c r="F986" s="37" t="n">
        <v>5.7</v>
      </c>
    </row>
    <row r="987">
      <c r="A987" s="37" t="inlineStr">
        <is>
          <t>WL-01986</t>
        </is>
      </c>
      <c r="B987" s="37" t="inlineStr">
        <is>
          <t>Blake</t>
        </is>
      </c>
      <c r="C987" s="37" t="inlineStr">
        <is>
          <t>Leah</t>
        </is>
      </c>
      <c r="D987" s="37" t="inlineStr">
        <is>
          <t>ACTIVE_WAITLIST</t>
        </is>
      </c>
      <c r="E987" s="37" t="n">
        <v>46.9</v>
      </c>
      <c r="F987" s="37" t="n">
        <v>16.1</v>
      </c>
    </row>
    <row r="988">
      <c r="A988" s="37" t="inlineStr">
        <is>
          <t>WL-01987</t>
        </is>
      </c>
      <c r="B988" s="37" t="inlineStr">
        <is>
          <t>Gonzalez</t>
        </is>
      </c>
      <c r="C988" s="37" t="inlineStr">
        <is>
          <t>Samuel</t>
        </is>
      </c>
      <c r="D988" s="37" t="inlineStr">
        <is>
          <t>ACTIVE_WAITLIST</t>
        </is>
      </c>
      <c r="E988" s="37" t="n">
        <v>33.7</v>
      </c>
      <c r="F988" s="37" t="n">
        <v>10.4</v>
      </c>
    </row>
    <row r="989">
      <c r="A989" s="37" t="inlineStr">
        <is>
          <t>WL-01988</t>
        </is>
      </c>
      <c r="B989" s="37" t="inlineStr">
        <is>
          <t>Robertson</t>
        </is>
      </c>
      <c r="C989" s="37" t="inlineStr">
        <is>
          <t>Brian</t>
        </is>
      </c>
      <c r="D989" s="37" t="inlineStr">
        <is>
          <t>RETAINER</t>
        </is>
      </c>
      <c r="E989" s="37" t="n">
        <v>53.1</v>
      </c>
      <c r="F989" s="37" t="n">
        <v>19.1</v>
      </c>
    </row>
    <row r="990">
      <c r="A990" s="37" t="inlineStr">
        <is>
          <t>WL-01989</t>
        </is>
      </c>
      <c r="B990" s="37" t="inlineStr">
        <is>
          <t>Bean</t>
        </is>
      </c>
      <c r="C990" s="37" t="inlineStr">
        <is>
          <t>Tricia</t>
        </is>
      </c>
      <c r="D990" s="37" t="inlineStr">
        <is>
          <t>ACTIVE_WAITLIST</t>
        </is>
      </c>
      <c r="E990" s="37" t="n">
        <v>58</v>
      </c>
      <c r="F990" s="37" t="n">
        <v>19.1</v>
      </c>
    </row>
    <row r="991">
      <c r="A991" s="37" t="inlineStr">
        <is>
          <t>WL-01990</t>
        </is>
      </c>
      <c r="B991" s="37" t="inlineStr">
        <is>
          <t>Taylor</t>
        </is>
      </c>
      <c r="C991" s="37" t="inlineStr">
        <is>
          <t>Michael</t>
        </is>
      </c>
      <c r="D991" s="37" t="inlineStr">
        <is>
          <t>ACTIVE_WAITLIST</t>
        </is>
      </c>
      <c r="E991" s="37" t="n">
        <v>25.1</v>
      </c>
      <c r="F991" s="37" t="n">
        <v>7.6</v>
      </c>
    </row>
    <row r="992">
      <c r="A992" s="37" t="inlineStr">
        <is>
          <t>WL-01991</t>
        </is>
      </c>
      <c r="B992" s="37" t="inlineStr">
        <is>
          <t>Farley</t>
        </is>
      </c>
      <c r="C992" s="37" t="inlineStr">
        <is>
          <t>Margaret</t>
        </is>
      </c>
      <c r="D992" s="37" t="inlineStr">
        <is>
          <t>RETAINER</t>
        </is>
      </c>
      <c r="E992" s="37" t="n">
        <v>59.6</v>
      </c>
      <c r="F992" s="37" t="n">
        <v>20.7</v>
      </c>
    </row>
    <row r="993">
      <c r="A993" s="37" t="inlineStr">
        <is>
          <t>WL-01992</t>
        </is>
      </c>
      <c r="B993" s="37" t="inlineStr">
        <is>
          <t>Davis</t>
        </is>
      </c>
      <c r="C993" s="37" t="inlineStr">
        <is>
          <t>John</t>
        </is>
      </c>
      <c r="D993" s="37" t="inlineStr">
        <is>
          <t>ACTIVE_WAITLIST</t>
        </is>
      </c>
      <c r="E993" s="37" t="n">
        <v>38</v>
      </c>
      <c r="F993" s="37" t="n">
        <v>13.7</v>
      </c>
    </row>
    <row r="994">
      <c r="A994" s="37" t="inlineStr">
        <is>
          <t>WL-01993</t>
        </is>
      </c>
      <c r="B994" s="37" t="inlineStr">
        <is>
          <t>Hudson</t>
        </is>
      </c>
      <c r="C994" s="37" t="inlineStr">
        <is>
          <t>Nichole</t>
        </is>
      </c>
      <c r="D994" s="37" t="inlineStr">
        <is>
          <t>EXPIRED</t>
        </is>
      </c>
      <c r="E994" s="37" t="n">
        <v>27.8</v>
      </c>
      <c r="F994" s="37" t="n">
        <v>8.9</v>
      </c>
    </row>
    <row r="995">
      <c r="A995" s="37" t="inlineStr">
        <is>
          <t>WL-01994</t>
        </is>
      </c>
      <c r="B995" s="37" t="inlineStr">
        <is>
          <t>Williams</t>
        </is>
      </c>
      <c r="C995" s="37" t="inlineStr">
        <is>
          <t>Natalie</t>
        </is>
      </c>
      <c r="D995" s="37" t="inlineStr">
        <is>
          <t>ACTIVE_WAITLIST</t>
        </is>
      </c>
      <c r="E995" s="37" t="n">
        <v>56.1</v>
      </c>
      <c r="F995" s="37" t="n">
        <v>18.5</v>
      </c>
    </row>
    <row r="996">
      <c r="A996" s="37" t="inlineStr">
        <is>
          <t>WL-01995</t>
        </is>
      </c>
      <c r="B996" s="37" t="inlineStr">
        <is>
          <t>Russell</t>
        </is>
      </c>
      <c r="C996" s="37" t="inlineStr">
        <is>
          <t>Tiffany</t>
        </is>
      </c>
      <c r="D996" s="37" t="inlineStr">
        <is>
          <t>ACTIVE_WAITLIST</t>
        </is>
      </c>
      <c r="E996" s="37" t="n">
        <v>55.7</v>
      </c>
      <c r="F996" s="37" t="n">
        <v>19.9</v>
      </c>
    </row>
    <row r="997">
      <c r="A997" s="37" t="inlineStr">
        <is>
          <t>WL-01996</t>
        </is>
      </c>
      <c r="B997" s="37" t="inlineStr">
        <is>
          <t>Skinner</t>
        </is>
      </c>
      <c r="C997" s="37" t="inlineStr">
        <is>
          <t>Mike</t>
        </is>
      </c>
      <c r="D997" s="37" t="inlineStr">
        <is>
          <t>ACTIVE_WAITLIST</t>
        </is>
      </c>
      <c r="E997" s="37" t="n">
        <v>29.8</v>
      </c>
      <c r="F997" s="37" t="n">
        <v>10</v>
      </c>
    </row>
    <row r="998">
      <c r="A998" s="37" t="inlineStr">
        <is>
          <t>WL-01997</t>
        </is>
      </c>
      <c r="B998" s="37" t="inlineStr">
        <is>
          <t>Avila</t>
        </is>
      </c>
      <c r="C998" s="37" t="inlineStr">
        <is>
          <t>Laura</t>
        </is>
      </c>
      <c r="D998" s="37" t="inlineStr">
        <is>
          <t>ACTIVE_WAITLIST</t>
        </is>
      </c>
      <c r="E998" s="37" t="n">
        <v>56.9</v>
      </c>
      <c r="F998" s="37" t="n">
        <v>17.5</v>
      </c>
    </row>
    <row r="999">
      <c r="A999" s="37" t="inlineStr">
        <is>
          <t>WL-01998</t>
        </is>
      </c>
      <c r="B999" s="37" t="inlineStr">
        <is>
          <t>Johnson</t>
        </is>
      </c>
      <c r="C999" s="37" t="inlineStr">
        <is>
          <t>Katherine</t>
        </is>
      </c>
      <c r="D999" s="37" t="inlineStr">
        <is>
          <t>ACTIVE_WAITLIST</t>
        </is>
      </c>
      <c r="E999" s="37" t="n">
        <v>43.3</v>
      </c>
      <c r="F999" s="37" t="n">
        <v>15</v>
      </c>
    </row>
    <row r="1000">
      <c r="A1000" s="37" t="inlineStr">
        <is>
          <t>WL-01999</t>
        </is>
      </c>
      <c r="B1000" s="37" t="inlineStr">
        <is>
          <t>Williams</t>
        </is>
      </c>
      <c r="C1000" s="37" t="inlineStr">
        <is>
          <t>Kristen</t>
        </is>
      </c>
      <c r="D1000" s="37" t="inlineStr">
        <is>
          <t>ACTIVE_WAITLIST</t>
        </is>
      </c>
      <c r="E1000" s="37" t="n">
        <v>19.5</v>
      </c>
      <c r="F1000" s="37" t="n">
        <v>5.7</v>
      </c>
    </row>
    <row r="1001">
      <c r="A1001" s="37" t="inlineStr">
        <is>
          <t>WL-02000</t>
        </is>
      </c>
      <c r="B1001" s="37" t="inlineStr">
        <is>
          <t>Cruz</t>
        </is>
      </c>
      <c r="C1001" s="37" t="inlineStr">
        <is>
          <t>Erika</t>
        </is>
      </c>
      <c r="D1001" s="37" t="inlineStr">
        <is>
          <t>EXPIRED</t>
        </is>
      </c>
      <c r="E1001" s="37" t="n">
        <v>56.2</v>
      </c>
      <c r="F1001" s="37" t="n">
        <v>18.3</v>
      </c>
    </row>
    <row r="1002">
      <c r="A1002" s="37" t="inlineStr">
        <is>
          <t>WL-02001</t>
        </is>
      </c>
      <c r="B1002" s="37" t="inlineStr">
        <is>
          <t>Richard</t>
        </is>
      </c>
      <c r="C1002" s="37" t="inlineStr">
        <is>
          <t>Ashley</t>
        </is>
      </c>
      <c r="D1002" s="37" t="inlineStr">
        <is>
          <t>ACTIVE_WAITLIST</t>
        </is>
      </c>
      <c r="E1002" s="37" t="n">
        <v>57.9</v>
      </c>
      <c r="F1002" s="37" t="n">
        <v>16.2</v>
      </c>
    </row>
    <row r="1003">
      <c r="A1003" s="37" t="inlineStr">
        <is>
          <t>WL-02002</t>
        </is>
      </c>
      <c r="B1003" s="37" t="inlineStr">
        <is>
          <t>Turner</t>
        </is>
      </c>
      <c r="C1003" s="37" t="inlineStr">
        <is>
          <t>Andrew</t>
        </is>
      </c>
      <c r="D1003" s="37" t="inlineStr">
        <is>
          <t>ACTIVE_WAITLIST</t>
        </is>
      </c>
      <c r="E1003" s="37" t="n">
        <v>46.8</v>
      </c>
      <c r="F1003" s="37" t="n">
        <v>14.7</v>
      </c>
    </row>
    <row r="1004">
      <c r="A1004" s="37" t="inlineStr">
        <is>
          <t>WL-02003</t>
        </is>
      </c>
      <c r="B1004" s="37" t="inlineStr">
        <is>
          <t>Frank</t>
        </is>
      </c>
      <c r="C1004" s="37" t="inlineStr">
        <is>
          <t>Suzanne</t>
        </is>
      </c>
      <c r="D1004" s="37" t="inlineStr">
        <is>
          <t>ACTIVE_WAITLIST</t>
        </is>
      </c>
      <c r="E1004" s="37" t="n">
        <v>34.1</v>
      </c>
      <c r="F1004" s="37" t="n">
        <v>12.3</v>
      </c>
    </row>
    <row r="1005">
      <c r="A1005" s="37" t="inlineStr">
        <is>
          <t>WL-02004</t>
        </is>
      </c>
      <c r="B1005" s="37" t="inlineStr">
        <is>
          <t>Gibbs</t>
        </is>
      </c>
      <c r="C1005" s="37" t="inlineStr">
        <is>
          <t>Shelia</t>
        </is>
      </c>
      <c r="D1005" s="37" t="inlineStr">
        <is>
          <t>ACTIVE_WAITLIST</t>
        </is>
      </c>
      <c r="E1005" s="37" t="n">
        <v>19.2</v>
      </c>
      <c r="F1005" s="37" t="n">
        <v>6.6</v>
      </c>
    </row>
    <row r="1006">
      <c r="A1006" s="37" t="inlineStr">
        <is>
          <t>WL-02005</t>
        </is>
      </c>
      <c r="B1006" s="37" t="inlineStr">
        <is>
          <t>Howard</t>
        </is>
      </c>
      <c r="C1006" s="37" t="inlineStr">
        <is>
          <t>Caitlin</t>
        </is>
      </c>
      <c r="D1006" s="37" t="inlineStr">
        <is>
          <t>ACTIVE_WAITLIST</t>
        </is>
      </c>
      <c r="E1006" s="37" t="n">
        <v>35.8</v>
      </c>
      <c r="F1006" s="37" t="n">
        <v>11</v>
      </c>
    </row>
    <row r="1007">
      <c r="A1007" s="37" t="inlineStr">
        <is>
          <t>WL-02006</t>
        </is>
      </c>
      <c r="B1007" s="37" t="inlineStr">
        <is>
          <t>Freeman</t>
        </is>
      </c>
      <c r="C1007" s="37" t="inlineStr">
        <is>
          <t>Sierra</t>
        </is>
      </c>
      <c r="D1007" s="37" t="inlineStr">
        <is>
          <t>EXPIRED</t>
        </is>
      </c>
      <c r="E1007" s="37" t="n">
        <v>42.1</v>
      </c>
      <c r="F1007" s="37" t="n">
        <v>13.2</v>
      </c>
    </row>
    <row r="1008">
      <c r="A1008" s="37" t="inlineStr">
        <is>
          <t>WL-02007</t>
        </is>
      </c>
      <c r="B1008" s="37" t="inlineStr">
        <is>
          <t>Erickson</t>
        </is>
      </c>
      <c r="C1008" s="37" t="inlineStr">
        <is>
          <t>Brian</t>
        </is>
      </c>
      <c r="D1008" s="37" t="inlineStr">
        <is>
          <t>ACTIVE_WAITLIST</t>
        </is>
      </c>
      <c r="E1008" s="37" t="n">
        <v>57.3</v>
      </c>
      <c r="F1008" s="37" t="n">
        <v>20</v>
      </c>
    </row>
    <row r="1009">
      <c r="A1009" s="37" t="inlineStr">
        <is>
          <t>WL-02008</t>
        </is>
      </c>
      <c r="B1009" s="37" t="inlineStr">
        <is>
          <t>Matthews</t>
        </is>
      </c>
      <c r="C1009" s="37" t="inlineStr">
        <is>
          <t>Karen</t>
        </is>
      </c>
      <c r="D1009" s="37" t="inlineStr">
        <is>
          <t>ACTIVE_WAITLIST</t>
        </is>
      </c>
      <c r="E1009" s="37" t="n">
        <v>21.2</v>
      </c>
      <c r="F1009" s="37" t="n">
        <v>7.3</v>
      </c>
    </row>
    <row r="1010">
      <c r="A1010" s="37" t="inlineStr">
        <is>
          <t>WL-02009</t>
        </is>
      </c>
      <c r="B1010" s="37" t="inlineStr">
        <is>
          <t>May</t>
        </is>
      </c>
      <c r="C1010" s="37" t="inlineStr">
        <is>
          <t>John</t>
        </is>
      </c>
      <c r="D1010" s="37" t="inlineStr">
        <is>
          <t>ACTIVE_WAITLIST</t>
        </is>
      </c>
      <c r="E1010" s="37" t="n">
        <v>42.3</v>
      </c>
      <c r="F1010" s="37" t="n">
        <v>14.8</v>
      </c>
    </row>
    <row r="1011">
      <c r="A1011" s="37" t="inlineStr">
        <is>
          <t>WL-02010</t>
        </is>
      </c>
      <c r="B1011" s="37" t="inlineStr">
        <is>
          <t>Thompson</t>
        </is>
      </c>
      <c r="C1011" s="37" t="inlineStr">
        <is>
          <t>Anthony</t>
        </is>
      </c>
      <c r="D1011" s="37" t="inlineStr">
        <is>
          <t>ACTIVE_WAITLIST</t>
        </is>
      </c>
      <c r="E1011" s="37" t="n">
        <v>56.7</v>
      </c>
      <c r="F1011" s="37" t="n">
        <v>18.9</v>
      </c>
    </row>
    <row r="1012">
      <c r="A1012" s="37" t="inlineStr">
        <is>
          <t>WL-02011</t>
        </is>
      </c>
      <c r="B1012" s="37" t="inlineStr">
        <is>
          <t>Williams</t>
        </is>
      </c>
      <c r="C1012" s="37" t="inlineStr">
        <is>
          <t>Megan</t>
        </is>
      </c>
      <c r="D1012" s="37" t="inlineStr">
        <is>
          <t>ACTIVE_WAITLIST</t>
        </is>
      </c>
      <c r="E1012" s="37" t="n">
        <v>60.2</v>
      </c>
      <c r="F1012" s="37" t="n">
        <v>20.6</v>
      </c>
    </row>
    <row r="1013">
      <c r="A1013" s="37" t="inlineStr">
        <is>
          <t>WL-02012</t>
        </is>
      </c>
      <c r="B1013" s="37" t="inlineStr">
        <is>
          <t>Foster</t>
        </is>
      </c>
      <c r="C1013" s="37" t="inlineStr">
        <is>
          <t>Rebecca</t>
        </is>
      </c>
      <c r="D1013" s="37" t="inlineStr">
        <is>
          <t>ACTIVE_WAITLIST</t>
        </is>
      </c>
      <c r="E1013" s="37" t="n">
        <v>40.5</v>
      </c>
      <c r="F1013" s="37" t="n">
        <v>12.5</v>
      </c>
    </row>
    <row r="1014">
      <c r="A1014" s="37" t="inlineStr">
        <is>
          <t>WL-02013</t>
        </is>
      </c>
      <c r="B1014" s="37" t="inlineStr">
        <is>
          <t>Harrison</t>
        </is>
      </c>
      <c r="C1014" s="37" t="inlineStr">
        <is>
          <t>Elizabeth</t>
        </is>
      </c>
      <c r="D1014" s="37" t="inlineStr">
        <is>
          <t>ACTIVE_WAITLIST</t>
        </is>
      </c>
      <c r="E1014" s="37" t="n">
        <v>40.8</v>
      </c>
      <c r="F1014" s="37" t="n">
        <v>12.3</v>
      </c>
    </row>
    <row r="1015">
      <c r="A1015" s="37" t="inlineStr">
        <is>
          <t>WL-02014</t>
        </is>
      </c>
      <c r="B1015" s="37" t="inlineStr">
        <is>
          <t>Nash</t>
        </is>
      </c>
      <c r="C1015" s="37" t="inlineStr">
        <is>
          <t>Ronald</t>
        </is>
      </c>
      <c r="D1015" s="37" t="inlineStr">
        <is>
          <t>ACTIVE_WAITLIST</t>
        </is>
      </c>
      <c r="E1015" s="37" t="n">
        <v>36.2</v>
      </c>
      <c r="F1015" s="37" t="n">
        <v>12.5</v>
      </c>
    </row>
    <row r="1016">
      <c r="A1016" s="37" t="inlineStr">
        <is>
          <t>WL-02015</t>
        </is>
      </c>
      <c r="B1016" s="37" t="inlineStr">
        <is>
          <t>Frazier</t>
        </is>
      </c>
      <c r="C1016" s="37" t="inlineStr">
        <is>
          <t>Kenneth</t>
        </is>
      </c>
      <c r="D1016" s="37" t="inlineStr">
        <is>
          <t>ACTIVE_WAITLIST</t>
        </is>
      </c>
      <c r="E1016" s="37" t="n">
        <v>48.9</v>
      </c>
      <c r="F1016" s="37" t="n">
        <v>15</v>
      </c>
    </row>
    <row r="1017">
      <c r="A1017" s="37" t="inlineStr">
        <is>
          <t>WL-02016</t>
        </is>
      </c>
      <c r="B1017" s="37" t="inlineStr">
        <is>
          <t>Garza</t>
        </is>
      </c>
      <c r="C1017" s="37" t="inlineStr">
        <is>
          <t>Andrea</t>
        </is>
      </c>
      <c r="D1017" s="37" t="inlineStr">
        <is>
          <t>ACTIVE_WAITLIST</t>
        </is>
      </c>
      <c r="E1017" s="37" t="n">
        <v>54.9</v>
      </c>
      <c r="F1017" s="37" t="n">
        <v>17.5</v>
      </c>
    </row>
    <row r="1018">
      <c r="A1018" s="37" t="inlineStr">
        <is>
          <t>WL-02017</t>
        </is>
      </c>
      <c r="B1018" s="37" t="inlineStr">
        <is>
          <t>Horton</t>
        </is>
      </c>
      <c r="C1018" s="37" t="inlineStr">
        <is>
          <t>Gary</t>
        </is>
      </c>
      <c r="D1018" s="37" t="inlineStr">
        <is>
          <t>ACTIVE_WAITLIST</t>
        </is>
      </c>
      <c r="E1018" s="37" t="n">
        <v>44.2</v>
      </c>
      <c r="F1018" s="37" t="n">
        <v>14.5</v>
      </c>
    </row>
    <row r="1019">
      <c r="A1019" s="37" t="inlineStr">
        <is>
          <t>WL-02018</t>
        </is>
      </c>
      <c r="B1019" s="37" t="inlineStr">
        <is>
          <t>Kennedy</t>
        </is>
      </c>
      <c r="C1019" s="37" t="inlineStr">
        <is>
          <t>Jacob</t>
        </is>
      </c>
      <c r="D1019" s="37" t="inlineStr">
        <is>
          <t>ACTIVE_WAITLIST</t>
        </is>
      </c>
      <c r="E1019" s="37" t="n">
        <v>51.5</v>
      </c>
      <c r="F1019" s="37" t="n">
        <v>18.5</v>
      </c>
    </row>
    <row r="1020">
      <c r="A1020" s="37" t="inlineStr">
        <is>
          <t>WL-02019</t>
        </is>
      </c>
      <c r="B1020" s="37" t="inlineStr">
        <is>
          <t>Cox</t>
        </is>
      </c>
      <c r="C1020" s="37" t="inlineStr">
        <is>
          <t>James</t>
        </is>
      </c>
      <c r="D1020" s="37" t="inlineStr">
        <is>
          <t>ACTIVE_WAITLIST</t>
        </is>
      </c>
      <c r="E1020" s="37" t="n">
        <v>22.3</v>
      </c>
      <c r="F1020" s="37" t="n">
        <v>6.9</v>
      </c>
    </row>
    <row r="1021">
      <c r="A1021" s="37" t="inlineStr">
        <is>
          <t>WL-02020</t>
        </is>
      </c>
      <c r="B1021" s="37" t="inlineStr">
        <is>
          <t>Daniels</t>
        </is>
      </c>
      <c r="C1021" s="37" t="inlineStr">
        <is>
          <t>Jacqueline</t>
        </is>
      </c>
      <c r="D1021" s="37" t="inlineStr">
        <is>
          <t>ACTIVE_WAITLIST</t>
        </is>
      </c>
      <c r="E1021" s="37" t="n">
        <v>32.9</v>
      </c>
      <c r="F1021" s="37" t="n">
        <v>11.8</v>
      </c>
    </row>
    <row r="1022">
      <c r="A1022" s="37" t="inlineStr">
        <is>
          <t>WL-02021</t>
        </is>
      </c>
      <c r="B1022" s="37" t="inlineStr">
        <is>
          <t>Medina</t>
        </is>
      </c>
      <c r="C1022" s="37" t="inlineStr">
        <is>
          <t>Andrew</t>
        </is>
      </c>
      <c r="D1022" s="37" t="inlineStr">
        <is>
          <t>ACTIVE_WAITLIST</t>
        </is>
      </c>
      <c r="E1022" s="37" t="n">
        <v>49.7</v>
      </c>
      <c r="F1022" s="37" t="n">
        <v>17.8</v>
      </c>
    </row>
    <row r="1023">
      <c r="A1023" s="37" t="inlineStr">
        <is>
          <t>WL-02022</t>
        </is>
      </c>
      <c r="B1023" s="37" t="inlineStr">
        <is>
          <t>Castillo</t>
        </is>
      </c>
      <c r="C1023" s="37" t="inlineStr">
        <is>
          <t>Joann</t>
        </is>
      </c>
      <c r="D1023" s="37" t="inlineStr">
        <is>
          <t>RETAINER</t>
        </is>
      </c>
      <c r="E1023" s="37" t="n">
        <v>59</v>
      </c>
      <c r="F1023" s="37" t="n">
        <v>19</v>
      </c>
    </row>
    <row r="1024">
      <c r="A1024" s="37" t="inlineStr">
        <is>
          <t>WL-02023</t>
        </is>
      </c>
      <c r="B1024" s="37" t="inlineStr">
        <is>
          <t>Black</t>
        </is>
      </c>
      <c r="C1024" s="37" t="inlineStr">
        <is>
          <t>David</t>
        </is>
      </c>
      <c r="D1024" s="37" t="inlineStr">
        <is>
          <t>ACTIVE_WAITLIST</t>
        </is>
      </c>
      <c r="E1024" s="37" t="n">
        <v>37.6</v>
      </c>
      <c r="F1024" s="37" t="n">
        <v>12.5</v>
      </c>
    </row>
    <row r="1025">
      <c r="A1025" s="37" t="inlineStr">
        <is>
          <t>WL-02024</t>
        </is>
      </c>
      <c r="B1025" s="37" t="inlineStr">
        <is>
          <t>Mata</t>
        </is>
      </c>
      <c r="C1025" s="37" t="inlineStr">
        <is>
          <t>Mary</t>
        </is>
      </c>
      <c r="D1025" s="37" t="inlineStr">
        <is>
          <t>SUSPENDED</t>
        </is>
      </c>
      <c r="E1025" s="37" t="n">
        <v>26.3</v>
      </c>
      <c r="F1025" s="37" t="n">
        <v>8</v>
      </c>
    </row>
    <row r="1026">
      <c r="A1026" s="37" t="inlineStr">
        <is>
          <t>WL-02025</t>
        </is>
      </c>
      <c r="B1026" s="37" t="inlineStr">
        <is>
          <t>Johnson</t>
        </is>
      </c>
      <c r="C1026" s="37" t="inlineStr">
        <is>
          <t>Haley</t>
        </is>
      </c>
      <c r="D1026" s="37" t="inlineStr">
        <is>
          <t>ACTIVE_WAITLIST</t>
        </is>
      </c>
      <c r="E1026" s="37" t="n">
        <v>18.1</v>
      </c>
      <c r="F1026" s="37" t="n">
        <v>6</v>
      </c>
    </row>
    <row r="1027">
      <c r="A1027" s="37" t="inlineStr">
        <is>
          <t>WL-02026</t>
        </is>
      </c>
      <c r="B1027" s="37" t="inlineStr">
        <is>
          <t>Foster</t>
        </is>
      </c>
      <c r="C1027" s="37" t="inlineStr">
        <is>
          <t>Miranda</t>
        </is>
      </c>
      <c r="D1027" s="37" t="inlineStr">
        <is>
          <t>ACTIVE_WAITLIST</t>
        </is>
      </c>
      <c r="E1027" s="37" t="n">
        <v>44.7</v>
      </c>
      <c r="F1027" s="37" t="n">
        <v>15.3</v>
      </c>
    </row>
    <row r="1028">
      <c r="A1028" s="37" t="inlineStr">
        <is>
          <t>WL-02027</t>
        </is>
      </c>
      <c r="B1028" s="37" t="inlineStr">
        <is>
          <t>Hammond</t>
        </is>
      </c>
      <c r="C1028" s="37" t="inlineStr">
        <is>
          <t>Monica</t>
        </is>
      </c>
      <c r="D1028" s="37" t="inlineStr">
        <is>
          <t>ACTIVE_WAITLIST</t>
        </is>
      </c>
      <c r="E1028" s="37" t="n">
        <v>46.1</v>
      </c>
      <c r="F1028" s="37" t="n">
        <v>16.2</v>
      </c>
    </row>
    <row r="1029">
      <c r="A1029" s="37" t="inlineStr">
        <is>
          <t>WL-02028</t>
        </is>
      </c>
      <c r="B1029" s="37" t="inlineStr">
        <is>
          <t>Shepard</t>
        </is>
      </c>
      <c r="C1029" s="37" t="inlineStr">
        <is>
          <t>Stephanie</t>
        </is>
      </c>
      <c r="D1029" s="37" t="inlineStr">
        <is>
          <t>ACTIVE_WAITLIST</t>
        </is>
      </c>
      <c r="E1029" s="37" t="n">
        <v>29.2</v>
      </c>
      <c r="F1029" s="37" t="n">
        <v>10.2</v>
      </c>
    </row>
    <row r="1030">
      <c r="A1030" s="37" t="inlineStr">
        <is>
          <t>WL-02029</t>
        </is>
      </c>
      <c r="B1030" s="37" t="inlineStr">
        <is>
          <t>Jackson</t>
        </is>
      </c>
      <c r="C1030" s="37" t="inlineStr">
        <is>
          <t>Whitney</t>
        </is>
      </c>
      <c r="D1030" s="37" t="inlineStr">
        <is>
          <t>ACTIVE_WAITLIST</t>
        </is>
      </c>
      <c r="E1030" s="37" t="n">
        <v>18</v>
      </c>
      <c r="F1030" s="37" t="n">
        <v>5.9</v>
      </c>
    </row>
    <row r="1031">
      <c r="A1031" s="37" t="inlineStr">
        <is>
          <t>WL-02030</t>
        </is>
      </c>
      <c r="B1031" s="37" t="inlineStr">
        <is>
          <t>Carr</t>
        </is>
      </c>
      <c r="C1031" s="37" t="inlineStr">
        <is>
          <t>Adam</t>
        </is>
      </c>
      <c r="D1031" s="37" t="inlineStr">
        <is>
          <t>ACTIVE_WAITLIST</t>
        </is>
      </c>
      <c r="E1031" s="37" t="n">
        <v>47.6</v>
      </c>
      <c r="F1031" s="37" t="n">
        <v>14.4</v>
      </c>
    </row>
    <row r="1032">
      <c r="A1032" s="37" t="inlineStr">
        <is>
          <t>WL-02031</t>
        </is>
      </c>
      <c r="B1032" s="37" t="inlineStr">
        <is>
          <t>Bishop</t>
        </is>
      </c>
      <c r="C1032" s="37" t="inlineStr">
        <is>
          <t>Joseph</t>
        </is>
      </c>
      <c r="D1032" s="37" t="inlineStr">
        <is>
          <t>ACTIVE_WAITLIST</t>
        </is>
      </c>
      <c r="E1032" s="37" t="n">
        <v>19.2</v>
      </c>
      <c r="F1032" s="37" t="n">
        <v>6.4</v>
      </c>
    </row>
    <row r="1033">
      <c r="A1033" s="37" t="inlineStr">
        <is>
          <t>WL-02032</t>
        </is>
      </c>
      <c r="B1033" s="37" t="inlineStr">
        <is>
          <t>Perez</t>
        </is>
      </c>
      <c r="C1033" s="37" t="inlineStr">
        <is>
          <t>Kenneth</t>
        </is>
      </c>
      <c r="D1033" s="37" t="inlineStr">
        <is>
          <t>EXPIRED</t>
        </is>
      </c>
      <c r="E1033" s="37" t="n">
        <v>38.4</v>
      </c>
      <c r="F1033" s="37" t="n">
        <v>10.9</v>
      </c>
    </row>
    <row r="1034">
      <c r="A1034" s="37" t="inlineStr">
        <is>
          <t>WL-02033</t>
        </is>
      </c>
      <c r="B1034" s="37" t="inlineStr">
        <is>
          <t>Rogers</t>
        </is>
      </c>
      <c r="C1034" s="37" t="inlineStr">
        <is>
          <t>Daniel</t>
        </is>
      </c>
      <c r="D1034" s="37" t="inlineStr">
        <is>
          <t>ACTIVE_WAITLIST</t>
        </is>
      </c>
      <c r="E1034" s="37" t="n">
        <v>37.1</v>
      </c>
      <c r="F1034" s="37" t="n">
        <v>10.4</v>
      </c>
    </row>
    <row r="1035">
      <c r="A1035" s="37" t="inlineStr">
        <is>
          <t>WL-02034</t>
        </is>
      </c>
      <c r="B1035" s="37" t="inlineStr">
        <is>
          <t>Watson</t>
        </is>
      </c>
      <c r="C1035" s="37" t="inlineStr">
        <is>
          <t>Donna</t>
        </is>
      </c>
      <c r="D1035" s="37" t="inlineStr">
        <is>
          <t>ACTIVE_WAITLIST</t>
        </is>
      </c>
      <c r="E1035" s="37" t="n">
        <v>54.9</v>
      </c>
      <c r="F1035" s="37" t="n">
        <v>16.9</v>
      </c>
    </row>
    <row r="1036">
      <c r="A1036" s="37" t="inlineStr">
        <is>
          <t>WL-02035</t>
        </is>
      </c>
      <c r="B1036" s="37" t="inlineStr">
        <is>
          <t>Howe</t>
        </is>
      </c>
      <c r="C1036" s="37" t="inlineStr">
        <is>
          <t>Deborah</t>
        </is>
      </c>
      <c r="D1036" s="37" t="inlineStr">
        <is>
          <t>ACTIVE_WAITLIST</t>
        </is>
      </c>
      <c r="E1036" s="37" t="n">
        <v>20.3</v>
      </c>
      <c r="F1036" s="37" t="n">
        <v>6.7</v>
      </c>
    </row>
    <row r="1037">
      <c r="A1037" s="37" t="inlineStr">
        <is>
          <t>WL-02036</t>
        </is>
      </c>
      <c r="B1037" s="37" t="inlineStr">
        <is>
          <t>Miller</t>
        </is>
      </c>
      <c r="C1037" s="37" t="inlineStr">
        <is>
          <t>Susan</t>
        </is>
      </c>
      <c r="D1037" s="37" t="inlineStr">
        <is>
          <t>ACTIVE_WAITLIST</t>
        </is>
      </c>
      <c r="E1037" s="37" t="n">
        <v>46.2</v>
      </c>
      <c r="F1037" s="37" t="n">
        <v>14.5</v>
      </c>
    </row>
    <row r="1038">
      <c r="A1038" s="37" t="inlineStr">
        <is>
          <t>WL-02037</t>
        </is>
      </c>
      <c r="B1038" s="37" t="inlineStr">
        <is>
          <t>Hodges</t>
        </is>
      </c>
      <c r="C1038" s="37" t="inlineStr">
        <is>
          <t>Michael</t>
        </is>
      </c>
      <c r="D1038" s="37" t="inlineStr">
        <is>
          <t>ACTIVE_WAITLIST</t>
        </is>
      </c>
      <c r="E1038" s="37" t="n">
        <v>45.1</v>
      </c>
      <c r="F1038" s="37" t="n">
        <v>15.8</v>
      </c>
    </row>
    <row r="1039">
      <c r="A1039" s="37" t="inlineStr">
        <is>
          <t>WL-02038</t>
        </is>
      </c>
      <c r="B1039" s="37" t="inlineStr">
        <is>
          <t>Thomas</t>
        </is>
      </c>
      <c r="C1039" s="37" t="inlineStr">
        <is>
          <t>Patricia</t>
        </is>
      </c>
      <c r="D1039" s="37" t="inlineStr">
        <is>
          <t>ACTIVE_WAITLIST</t>
        </is>
      </c>
      <c r="E1039" s="37" t="n">
        <v>27.1</v>
      </c>
      <c r="F1039" s="37" t="n">
        <v>8.5</v>
      </c>
    </row>
    <row r="1040">
      <c r="A1040" s="37" t="inlineStr">
        <is>
          <t>WL-02039</t>
        </is>
      </c>
      <c r="B1040" s="37" t="inlineStr">
        <is>
          <t>Burke</t>
        </is>
      </c>
      <c r="C1040" s="37" t="inlineStr">
        <is>
          <t>Alex</t>
        </is>
      </c>
      <c r="D1040" s="37" t="inlineStr">
        <is>
          <t>ACTIVE_WAITLIST</t>
        </is>
      </c>
      <c r="E1040" s="37" t="n">
        <v>28.4</v>
      </c>
      <c r="F1040" s="37" t="n">
        <v>9.300000000000001</v>
      </c>
    </row>
    <row r="1041">
      <c r="A1041" s="37" t="inlineStr">
        <is>
          <t>WL-02040</t>
        </is>
      </c>
      <c r="B1041" s="37" t="inlineStr">
        <is>
          <t>Drake</t>
        </is>
      </c>
      <c r="C1041" s="37" t="inlineStr">
        <is>
          <t>Erik</t>
        </is>
      </c>
      <c r="D1041" s="37" t="inlineStr">
        <is>
          <t>RETAINER</t>
        </is>
      </c>
      <c r="E1041" s="37" t="n">
        <v>40.5</v>
      </c>
      <c r="F1041" s="37" t="n">
        <v>11.7</v>
      </c>
    </row>
    <row r="1042">
      <c r="A1042" s="37" t="inlineStr">
        <is>
          <t>WL-02041</t>
        </is>
      </c>
      <c r="B1042" s="37" t="inlineStr">
        <is>
          <t>Brown</t>
        </is>
      </c>
      <c r="C1042" s="37" t="inlineStr">
        <is>
          <t>Barbara</t>
        </is>
      </c>
      <c r="D1042" s="37" t="inlineStr">
        <is>
          <t>ACTIVE_WAITLIST</t>
        </is>
      </c>
      <c r="E1042" s="37" t="n">
        <v>37</v>
      </c>
      <c r="F1042" s="37" t="n">
        <v>10.8</v>
      </c>
    </row>
    <row r="1043">
      <c r="A1043" s="37" t="inlineStr">
        <is>
          <t>WL-02042</t>
        </is>
      </c>
      <c r="B1043" s="37" t="inlineStr">
        <is>
          <t>Rhodes</t>
        </is>
      </c>
      <c r="C1043" s="37" t="inlineStr">
        <is>
          <t>Timothy</t>
        </is>
      </c>
      <c r="D1043" s="37" t="inlineStr">
        <is>
          <t>ACTIVE_WAITLIST</t>
        </is>
      </c>
      <c r="E1043" s="37" t="n">
        <v>61.8</v>
      </c>
      <c r="F1043" s="37" t="n">
        <v>17.4</v>
      </c>
    </row>
    <row r="1044">
      <c r="A1044" s="37" t="inlineStr">
        <is>
          <t>WL-02043</t>
        </is>
      </c>
      <c r="B1044" s="37" t="inlineStr">
        <is>
          <t>Gutierrez</t>
        </is>
      </c>
      <c r="C1044" s="37" t="inlineStr">
        <is>
          <t>Barbara</t>
        </is>
      </c>
      <c r="D1044" s="37" t="inlineStr">
        <is>
          <t>ACTIVE_WAITLIST</t>
        </is>
      </c>
      <c r="E1044" s="37" t="n">
        <v>35.7</v>
      </c>
      <c r="F1044" s="37" t="n">
        <v>12</v>
      </c>
    </row>
    <row r="1045">
      <c r="A1045" s="37" t="inlineStr">
        <is>
          <t>WL-02044</t>
        </is>
      </c>
      <c r="B1045" s="37" t="inlineStr">
        <is>
          <t>Griffith</t>
        </is>
      </c>
      <c r="C1045" s="37" t="inlineStr">
        <is>
          <t>Brandon</t>
        </is>
      </c>
      <c r="D1045" s="37" t="inlineStr">
        <is>
          <t>ACTIVE_WAITLIST</t>
        </is>
      </c>
      <c r="E1045" s="37" t="n">
        <v>60.7</v>
      </c>
      <c r="F1045" s="37" t="n">
        <v>18.3</v>
      </c>
    </row>
    <row r="1046">
      <c r="A1046" s="37" t="inlineStr">
        <is>
          <t>WL-02045</t>
        </is>
      </c>
      <c r="B1046" s="37" t="inlineStr">
        <is>
          <t>Evans</t>
        </is>
      </c>
      <c r="C1046" s="37" t="inlineStr">
        <is>
          <t>Tabitha</t>
        </is>
      </c>
      <c r="D1046" s="37" t="inlineStr">
        <is>
          <t>EXPIRED</t>
        </is>
      </c>
      <c r="E1046" s="37" t="n">
        <v>28.6</v>
      </c>
      <c r="F1046" s="37" t="n">
        <v>9.199999999999999</v>
      </c>
    </row>
    <row r="1047">
      <c r="A1047" s="37" t="inlineStr">
        <is>
          <t>WL-02046</t>
        </is>
      </c>
      <c r="B1047" s="37" t="inlineStr">
        <is>
          <t>Scott</t>
        </is>
      </c>
      <c r="C1047" s="37" t="inlineStr">
        <is>
          <t>Jennifer</t>
        </is>
      </c>
      <c r="D1047" s="37" t="inlineStr">
        <is>
          <t>ACTIVE_WAITLIST</t>
        </is>
      </c>
      <c r="E1047" s="37" t="n">
        <v>25.3</v>
      </c>
      <c r="F1047" s="37" t="n">
        <v>7.1</v>
      </c>
    </row>
    <row r="1048">
      <c r="A1048" s="37" t="inlineStr">
        <is>
          <t>WL-02047</t>
        </is>
      </c>
      <c r="B1048" s="37" t="inlineStr">
        <is>
          <t>Hammond</t>
        </is>
      </c>
      <c r="C1048" s="37" t="inlineStr">
        <is>
          <t>Amanda</t>
        </is>
      </c>
      <c r="D1048" s="37" t="inlineStr">
        <is>
          <t>ACTIVE_WAITLIST</t>
        </is>
      </c>
      <c r="E1048" s="37" t="n">
        <v>49.1</v>
      </c>
      <c r="F1048" s="37" t="n">
        <v>15.4</v>
      </c>
    </row>
    <row r="1049">
      <c r="A1049" s="37" t="inlineStr">
        <is>
          <t>WL-02048</t>
        </is>
      </c>
      <c r="B1049" s="37" t="inlineStr">
        <is>
          <t>Bridges</t>
        </is>
      </c>
      <c r="C1049" s="37" t="inlineStr">
        <is>
          <t>James</t>
        </is>
      </c>
      <c r="D1049" s="37" t="inlineStr">
        <is>
          <t>ACTIVE_WAITLIST</t>
        </is>
      </c>
      <c r="E1049" s="37" t="n">
        <v>31.8</v>
      </c>
      <c r="F1049" s="37" t="n">
        <v>11.1</v>
      </c>
    </row>
    <row r="1050">
      <c r="A1050" s="37" t="inlineStr">
        <is>
          <t>WL-02049</t>
        </is>
      </c>
      <c r="B1050" s="37" t="inlineStr">
        <is>
          <t>Waters</t>
        </is>
      </c>
      <c r="C1050" s="37" t="inlineStr">
        <is>
          <t>Victor</t>
        </is>
      </c>
      <c r="D1050" s="37" t="inlineStr">
        <is>
          <t>ACTIVE_WAITLIST</t>
        </is>
      </c>
      <c r="E1050" s="37" t="n">
        <v>20.7</v>
      </c>
      <c r="F1050" s="37" t="n">
        <v>6.3</v>
      </c>
    </row>
    <row r="1051">
      <c r="A1051" s="37" t="inlineStr">
        <is>
          <t>WL-02050</t>
        </is>
      </c>
      <c r="B1051" s="37" t="inlineStr">
        <is>
          <t>Howard</t>
        </is>
      </c>
      <c r="C1051" s="37" t="inlineStr">
        <is>
          <t>John</t>
        </is>
      </c>
      <c r="D1051" s="37" t="inlineStr">
        <is>
          <t>ACTIVE_WAITLIST</t>
        </is>
      </c>
      <c r="E1051" s="37" t="n">
        <v>36.4</v>
      </c>
      <c r="F1051" s="37" t="n">
        <v>10.3</v>
      </c>
    </row>
    <row r="1052">
      <c r="A1052" s="37" t="inlineStr">
        <is>
          <t>WL-02051</t>
        </is>
      </c>
      <c r="B1052" s="37" t="inlineStr">
        <is>
          <t>Pennington</t>
        </is>
      </c>
      <c r="C1052" s="37" t="inlineStr">
        <is>
          <t>Rachel</t>
        </is>
      </c>
      <c r="D1052" s="37" t="inlineStr">
        <is>
          <t>SUSPENDED</t>
        </is>
      </c>
      <c r="E1052" s="37" t="n">
        <v>33.2</v>
      </c>
      <c r="F1052" s="37" t="n">
        <v>9.9</v>
      </c>
    </row>
    <row r="1053">
      <c r="A1053" s="37" t="inlineStr">
        <is>
          <t>WL-02052</t>
        </is>
      </c>
      <c r="B1053" s="37" t="inlineStr">
        <is>
          <t>Cochran</t>
        </is>
      </c>
      <c r="C1053" s="37" t="inlineStr">
        <is>
          <t>Holly</t>
        </is>
      </c>
      <c r="D1053" s="37" t="inlineStr">
        <is>
          <t>ACTIVE_WAITLIST</t>
        </is>
      </c>
      <c r="E1053" s="37" t="n">
        <v>47.3</v>
      </c>
      <c r="F1053" s="37" t="n">
        <v>15.5</v>
      </c>
    </row>
    <row r="1054">
      <c r="A1054" s="37" t="inlineStr">
        <is>
          <t>WL-02053</t>
        </is>
      </c>
      <c r="B1054" s="37" t="inlineStr">
        <is>
          <t>Smith</t>
        </is>
      </c>
      <c r="C1054" s="37" t="inlineStr">
        <is>
          <t>Erika</t>
        </is>
      </c>
      <c r="D1054" s="37" t="inlineStr">
        <is>
          <t>ACTIVE_WAITLIST</t>
        </is>
      </c>
      <c r="E1054" s="37" t="n">
        <v>42</v>
      </c>
      <c r="F1054" s="37" t="n">
        <v>14</v>
      </c>
    </row>
    <row r="1055">
      <c r="A1055" s="37" t="inlineStr">
        <is>
          <t>WL-02054</t>
        </is>
      </c>
      <c r="B1055" s="37" t="inlineStr">
        <is>
          <t>West</t>
        </is>
      </c>
      <c r="C1055" s="37" t="inlineStr">
        <is>
          <t>Angela</t>
        </is>
      </c>
      <c r="D1055" s="37" t="inlineStr">
        <is>
          <t>RETAINER</t>
        </is>
      </c>
      <c r="E1055" s="37" t="n">
        <v>23.2</v>
      </c>
      <c r="F1055" s="37" t="n">
        <v>7.3</v>
      </c>
    </row>
    <row r="1056">
      <c r="A1056" s="37" t="inlineStr">
        <is>
          <t>WL-02055</t>
        </is>
      </c>
      <c r="B1056" s="37" t="inlineStr">
        <is>
          <t>Rice</t>
        </is>
      </c>
      <c r="C1056" s="37" t="inlineStr">
        <is>
          <t>James</t>
        </is>
      </c>
      <c r="D1056" s="37" t="inlineStr">
        <is>
          <t>ACTIVE_WAITLIST</t>
        </is>
      </c>
      <c r="E1056" s="37" t="n">
        <v>41.5</v>
      </c>
      <c r="F1056" s="37" t="n">
        <v>13</v>
      </c>
    </row>
    <row r="1057">
      <c r="A1057" s="37" t="inlineStr">
        <is>
          <t>WL-02056</t>
        </is>
      </c>
      <c r="B1057" s="37" t="inlineStr">
        <is>
          <t>Carpenter</t>
        </is>
      </c>
      <c r="C1057" s="37" t="inlineStr">
        <is>
          <t>Yvonne</t>
        </is>
      </c>
      <c r="D1057" s="37" t="inlineStr">
        <is>
          <t>RETAINER</t>
        </is>
      </c>
      <c r="E1057" s="37" t="n">
        <v>29.3</v>
      </c>
      <c r="F1057" s="37" t="n">
        <v>9</v>
      </c>
    </row>
    <row r="1058">
      <c r="A1058" s="37" t="inlineStr">
        <is>
          <t>WL-02057</t>
        </is>
      </c>
      <c r="B1058" s="37" t="inlineStr">
        <is>
          <t>Diaz</t>
        </is>
      </c>
      <c r="C1058" s="37" t="inlineStr">
        <is>
          <t>Sandra</t>
        </is>
      </c>
      <c r="D1058" s="37" t="inlineStr">
        <is>
          <t>RETAINER</t>
        </is>
      </c>
      <c r="E1058" s="37" t="n">
        <v>48.1</v>
      </c>
      <c r="F1058" s="37" t="n">
        <v>14.1</v>
      </c>
    </row>
    <row r="1059">
      <c r="A1059" s="37" t="inlineStr">
        <is>
          <t>WL-02058</t>
        </is>
      </c>
      <c r="B1059" s="37" t="inlineStr">
        <is>
          <t>Lin</t>
        </is>
      </c>
      <c r="C1059" s="37" t="inlineStr">
        <is>
          <t>Jennifer</t>
        </is>
      </c>
      <c r="D1059" s="37" t="inlineStr">
        <is>
          <t>RETAINER</t>
        </is>
      </c>
      <c r="E1059" s="37" t="n">
        <v>59.9</v>
      </c>
      <c r="F1059" s="37" t="n">
        <v>20.7</v>
      </c>
    </row>
    <row r="1060">
      <c r="A1060" s="37" t="inlineStr">
        <is>
          <t>WL-02059</t>
        </is>
      </c>
      <c r="B1060" s="37" t="inlineStr">
        <is>
          <t>Hurst</t>
        </is>
      </c>
      <c r="C1060" s="37" t="inlineStr">
        <is>
          <t>Ryan</t>
        </is>
      </c>
      <c r="D1060" s="37" t="inlineStr">
        <is>
          <t>ACTIVE_WAITLIST</t>
        </is>
      </c>
      <c r="E1060" s="37" t="n">
        <v>41.1</v>
      </c>
      <c r="F1060" s="37" t="n">
        <v>13.8</v>
      </c>
    </row>
    <row r="1061">
      <c r="A1061" s="37" t="inlineStr">
        <is>
          <t>WL-02060</t>
        </is>
      </c>
      <c r="B1061" s="37" t="inlineStr">
        <is>
          <t>Flynn</t>
        </is>
      </c>
      <c r="C1061" s="37" t="inlineStr">
        <is>
          <t>Eric</t>
        </is>
      </c>
      <c r="D1061" s="37" t="inlineStr">
        <is>
          <t>ACTIVE_WAITLIST</t>
        </is>
      </c>
      <c r="E1061" s="37" t="n">
        <v>20.5</v>
      </c>
      <c r="F1061" s="37" t="n">
        <v>6.3</v>
      </c>
    </row>
    <row r="1062">
      <c r="A1062" s="37" t="inlineStr">
        <is>
          <t>WL-02061</t>
        </is>
      </c>
      <c r="B1062" s="37" t="inlineStr">
        <is>
          <t>Hanna</t>
        </is>
      </c>
      <c r="C1062" s="37" t="inlineStr">
        <is>
          <t>William</t>
        </is>
      </c>
      <c r="D1062" s="37" t="inlineStr">
        <is>
          <t>ACTIVE_WAITLIST</t>
        </is>
      </c>
      <c r="E1062" s="37" t="n">
        <v>19.7</v>
      </c>
      <c r="F1062" s="37" t="n">
        <v>5.6</v>
      </c>
    </row>
    <row r="1063">
      <c r="A1063" s="37" t="inlineStr">
        <is>
          <t>WL-02062</t>
        </is>
      </c>
      <c r="B1063" s="37" t="inlineStr">
        <is>
          <t>Rodriguez</t>
        </is>
      </c>
      <c r="C1063" s="37" t="inlineStr">
        <is>
          <t>Luke</t>
        </is>
      </c>
      <c r="D1063" s="37" t="inlineStr">
        <is>
          <t>ACTIVE_WAITLIST</t>
        </is>
      </c>
      <c r="E1063" s="37" t="n">
        <v>51.4</v>
      </c>
      <c r="F1063" s="37" t="n">
        <v>14.6</v>
      </c>
    </row>
    <row r="1064">
      <c r="A1064" s="37" t="inlineStr">
        <is>
          <t>WL-02063</t>
        </is>
      </c>
      <c r="B1064" s="37" t="inlineStr">
        <is>
          <t>Thompson</t>
        </is>
      </c>
      <c r="C1064" s="37" t="inlineStr">
        <is>
          <t>Spencer</t>
        </is>
      </c>
      <c r="D1064" s="37" t="inlineStr">
        <is>
          <t>ACTIVE_WAITLIST</t>
        </is>
      </c>
      <c r="E1064" s="37" t="n">
        <v>44.2</v>
      </c>
      <c r="F1064" s="37" t="n">
        <v>15.1</v>
      </c>
    </row>
    <row r="1065">
      <c r="A1065" s="37" t="inlineStr">
        <is>
          <t>WL-02064</t>
        </is>
      </c>
      <c r="B1065" s="37" t="inlineStr">
        <is>
          <t>Jones</t>
        </is>
      </c>
      <c r="C1065" s="37" t="inlineStr">
        <is>
          <t>Brian</t>
        </is>
      </c>
      <c r="D1065" s="37" t="inlineStr">
        <is>
          <t>ACTIVE_WAITLIST</t>
        </is>
      </c>
      <c r="E1065" s="37" t="n">
        <v>35.9</v>
      </c>
      <c r="F1065" s="37" t="n">
        <v>12.4</v>
      </c>
    </row>
    <row r="1066">
      <c r="A1066" s="37" t="inlineStr">
        <is>
          <t>WL-02065</t>
        </is>
      </c>
      <c r="B1066" s="37" t="inlineStr">
        <is>
          <t>Torres</t>
        </is>
      </c>
      <c r="C1066" s="37" t="inlineStr">
        <is>
          <t>Christopher</t>
        </is>
      </c>
      <c r="D1066" s="37" t="inlineStr">
        <is>
          <t>ACTIVE_WAITLIST</t>
        </is>
      </c>
      <c r="E1066" s="37" t="n">
        <v>25.7</v>
      </c>
      <c r="F1066" s="37" t="n">
        <v>8.5</v>
      </c>
    </row>
    <row r="1067">
      <c r="A1067" s="37" t="inlineStr">
        <is>
          <t>WL-02066</t>
        </is>
      </c>
      <c r="B1067" s="37" t="inlineStr">
        <is>
          <t>Williams</t>
        </is>
      </c>
      <c r="C1067" s="37" t="inlineStr">
        <is>
          <t>Sherri</t>
        </is>
      </c>
      <c r="D1067" s="37" t="inlineStr">
        <is>
          <t>ACTIVE_WAITLIST</t>
        </is>
      </c>
      <c r="E1067" s="37" t="n">
        <v>28</v>
      </c>
      <c r="F1067" s="37" t="n">
        <v>9.6</v>
      </c>
    </row>
    <row r="1068">
      <c r="A1068" s="37" t="inlineStr">
        <is>
          <t>WL-02067</t>
        </is>
      </c>
      <c r="B1068" s="37" t="inlineStr">
        <is>
          <t>Simon</t>
        </is>
      </c>
      <c r="C1068" s="37" t="inlineStr">
        <is>
          <t>Craig</t>
        </is>
      </c>
      <c r="D1068" s="37" t="inlineStr">
        <is>
          <t>ACTIVE_WAITLIST</t>
        </is>
      </c>
      <c r="E1068" s="37" t="n">
        <v>47.8</v>
      </c>
      <c r="F1068" s="37" t="n">
        <v>13.4</v>
      </c>
    </row>
    <row r="1069">
      <c r="A1069" s="37" t="inlineStr">
        <is>
          <t>WL-02068</t>
        </is>
      </c>
      <c r="B1069" s="37" t="inlineStr">
        <is>
          <t>Rogers</t>
        </is>
      </c>
      <c r="C1069" s="37" t="inlineStr">
        <is>
          <t>Jodi</t>
        </is>
      </c>
      <c r="D1069" s="37" t="inlineStr">
        <is>
          <t>RETAINER</t>
        </is>
      </c>
      <c r="E1069" s="37" t="n">
        <v>26.8</v>
      </c>
      <c r="F1069" s="37" t="n">
        <v>8.9</v>
      </c>
    </row>
    <row r="1070">
      <c r="A1070" s="37" t="inlineStr">
        <is>
          <t>WL-02069</t>
        </is>
      </c>
      <c r="B1070" s="37" t="inlineStr">
        <is>
          <t>Lopez</t>
        </is>
      </c>
      <c r="C1070" s="37" t="inlineStr">
        <is>
          <t>David</t>
        </is>
      </c>
      <c r="D1070" s="37" t="inlineStr">
        <is>
          <t>ACTIVE_WAITLIST</t>
        </is>
      </c>
      <c r="E1070" s="37" t="n">
        <v>25.1</v>
      </c>
      <c r="F1070" s="37" t="n">
        <v>7.1</v>
      </c>
    </row>
    <row r="1071">
      <c r="A1071" s="37" t="inlineStr">
        <is>
          <t>WL-02070</t>
        </is>
      </c>
      <c r="B1071" s="37" t="inlineStr">
        <is>
          <t>Thomas</t>
        </is>
      </c>
      <c r="C1071" s="37" t="inlineStr">
        <is>
          <t>Leslie</t>
        </is>
      </c>
      <c r="D1071" s="37" t="inlineStr">
        <is>
          <t>ACTIVE_WAITLIST</t>
        </is>
      </c>
      <c r="E1071" s="37" t="n">
        <v>59.3</v>
      </c>
      <c r="F1071" s="37" t="n">
        <v>16.9</v>
      </c>
    </row>
    <row r="1072">
      <c r="A1072" s="37" t="inlineStr">
        <is>
          <t>WL-02071</t>
        </is>
      </c>
      <c r="B1072" s="37" t="inlineStr">
        <is>
          <t>Perry</t>
        </is>
      </c>
      <c r="C1072" s="37" t="inlineStr">
        <is>
          <t>Cameron</t>
        </is>
      </c>
      <c r="D1072" s="37" t="inlineStr">
        <is>
          <t>ACTIVE_WAITLIST</t>
        </is>
      </c>
      <c r="E1072" s="37" t="n">
        <v>47.8</v>
      </c>
      <c r="F1072" s="37" t="n">
        <v>14.1</v>
      </c>
    </row>
    <row r="1073">
      <c r="A1073" s="37" t="inlineStr">
        <is>
          <t>WL-02072</t>
        </is>
      </c>
      <c r="B1073" s="37" t="inlineStr">
        <is>
          <t>Hoffman</t>
        </is>
      </c>
      <c r="C1073" s="37" t="inlineStr">
        <is>
          <t>Stephen</t>
        </is>
      </c>
      <c r="D1073" s="37" t="inlineStr">
        <is>
          <t>ACTIVE_WAITLIST</t>
        </is>
      </c>
      <c r="E1073" s="37" t="n">
        <v>54.9</v>
      </c>
      <c r="F1073" s="37" t="n">
        <v>15.9</v>
      </c>
    </row>
    <row r="1074">
      <c r="A1074" s="37" t="inlineStr">
        <is>
          <t>WL-02073</t>
        </is>
      </c>
      <c r="B1074" s="37" t="inlineStr">
        <is>
          <t>Jordan</t>
        </is>
      </c>
      <c r="C1074" s="37" t="inlineStr">
        <is>
          <t>Susan</t>
        </is>
      </c>
      <c r="D1074" s="37" t="inlineStr">
        <is>
          <t>ACTIVE_WAITLIST</t>
        </is>
      </c>
      <c r="E1074" s="37" t="n">
        <v>35.6</v>
      </c>
      <c r="F1074" s="37" t="n">
        <v>10.9</v>
      </c>
    </row>
    <row r="1075">
      <c r="A1075" s="37" t="inlineStr">
        <is>
          <t>WL-02074</t>
        </is>
      </c>
      <c r="B1075" s="37" t="inlineStr">
        <is>
          <t>Martin</t>
        </is>
      </c>
      <c r="C1075" s="37" t="inlineStr">
        <is>
          <t>Erika</t>
        </is>
      </c>
      <c r="D1075" s="37" t="inlineStr">
        <is>
          <t>ACTIVE_WAITLIST</t>
        </is>
      </c>
      <c r="E1075" s="37" t="n">
        <v>40.2</v>
      </c>
      <c r="F1075" s="37" t="n">
        <v>13.5</v>
      </c>
    </row>
    <row r="1076">
      <c r="A1076" s="37" t="inlineStr">
        <is>
          <t>WL-02075</t>
        </is>
      </c>
      <c r="B1076" s="37" t="inlineStr">
        <is>
          <t>Melton</t>
        </is>
      </c>
      <c r="C1076" s="37" t="inlineStr">
        <is>
          <t>Stephen</t>
        </is>
      </c>
      <c r="D1076" s="37" t="inlineStr">
        <is>
          <t>ACTIVE_WAITLIST</t>
        </is>
      </c>
      <c r="E1076" s="37" t="n">
        <v>28.4</v>
      </c>
      <c r="F1076" s="37" t="n">
        <v>9.9</v>
      </c>
    </row>
    <row r="1077">
      <c r="A1077" s="37" t="inlineStr">
        <is>
          <t>WL-02076</t>
        </is>
      </c>
      <c r="B1077" s="37" t="inlineStr">
        <is>
          <t>Pham</t>
        </is>
      </c>
      <c r="C1077" s="37" t="inlineStr">
        <is>
          <t>Robert</t>
        </is>
      </c>
      <c r="D1077" s="37" t="inlineStr">
        <is>
          <t>RETAINER</t>
        </is>
      </c>
      <c r="E1077" s="37" t="n">
        <v>45.9</v>
      </c>
      <c r="F1077" s="37" t="n">
        <v>14</v>
      </c>
    </row>
    <row r="1078">
      <c r="A1078" s="37" t="inlineStr">
        <is>
          <t>WL-02077</t>
        </is>
      </c>
      <c r="B1078" s="37" t="inlineStr">
        <is>
          <t>Price</t>
        </is>
      </c>
      <c r="C1078" s="37" t="inlineStr">
        <is>
          <t>William</t>
        </is>
      </c>
      <c r="D1078" s="37" t="inlineStr">
        <is>
          <t>ACTIVE_WAITLIST</t>
        </is>
      </c>
      <c r="E1078" s="37" t="n">
        <v>61.4</v>
      </c>
      <c r="F1078" s="37" t="n">
        <v>19.8</v>
      </c>
    </row>
    <row r="1079">
      <c r="A1079" s="37" t="inlineStr">
        <is>
          <t>WL-02078</t>
        </is>
      </c>
      <c r="B1079" s="37" t="inlineStr">
        <is>
          <t>Kramer</t>
        </is>
      </c>
      <c r="C1079" s="37" t="inlineStr">
        <is>
          <t>Brian</t>
        </is>
      </c>
      <c r="D1079" s="37" t="inlineStr">
        <is>
          <t>ACTIVE_WAITLIST</t>
        </is>
      </c>
      <c r="E1079" s="37" t="n">
        <v>31.4</v>
      </c>
      <c r="F1079" s="37" t="n">
        <v>9</v>
      </c>
    </row>
    <row r="1080">
      <c r="A1080" s="37" t="inlineStr">
        <is>
          <t>WL-02079</t>
        </is>
      </c>
      <c r="B1080" s="37" t="inlineStr">
        <is>
          <t>Wright</t>
        </is>
      </c>
      <c r="C1080" s="37" t="inlineStr">
        <is>
          <t>Vicki</t>
        </is>
      </c>
      <c r="D1080" s="37" t="inlineStr">
        <is>
          <t>ACTIVE_WAITLIST</t>
        </is>
      </c>
      <c r="E1080" s="37" t="n">
        <v>52.4</v>
      </c>
      <c r="F1080" s="37" t="n">
        <v>17.2</v>
      </c>
    </row>
    <row r="1081">
      <c r="A1081" s="37" t="inlineStr">
        <is>
          <t>WL-02080</t>
        </is>
      </c>
      <c r="B1081" s="37" t="inlineStr">
        <is>
          <t>Le</t>
        </is>
      </c>
      <c r="C1081" s="37" t="inlineStr">
        <is>
          <t>Audrey</t>
        </is>
      </c>
      <c r="D1081" s="37" t="inlineStr">
        <is>
          <t>ACTIVE_WAITLIST</t>
        </is>
      </c>
      <c r="E1081" s="37" t="n">
        <v>38.8</v>
      </c>
      <c r="F1081" s="37" t="n">
        <v>13.3</v>
      </c>
    </row>
    <row r="1082">
      <c r="A1082" s="37" t="inlineStr">
        <is>
          <t>WL-02081</t>
        </is>
      </c>
      <c r="B1082" s="37" t="inlineStr">
        <is>
          <t>Francis</t>
        </is>
      </c>
      <c r="C1082" s="37" t="inlineStr">
        <is>
          <t>Lauren</t>
        </is>
      </c>
      <c r="D1082" s="37" t="inlineStr">
        <is>
          <t>ACTIVE_WAITLIST</t>
        </is>
      </c>
      <c r="E1082" s="37" t="n">
        <v>19</v>
      </c>
      <c r="F1082" s="37" t="n">
        <v>6.2</v>
      </c>
    </row>
    <row r="1083">
      <c r="A1083" s="37" t="inlineStr">
        <is>
          <t>WL-02082</t>
        </is>
      </c>
      <c r="B1083" s="37" t="inlineStr">
        <is>
          <t>Foster</t>
        </is>
      </c>
      <c r="C1083" s="37" t="inlineStr">
        <is>
          <t>Cynthia</t>
        </is>
      </c>
      <c r="D1083" s="37" t="inlineStr">
        <is>
          <t>ACTIVE_WAITLIST</t>
        </is>
      </c>
      <c r="E1083" s="37" t="n">
        <v>23.6</v>
      </c>
      <c r="F1083" s="37" t="n">
        <v>7.1</v>
      </c>
    </row>
    <row r="1084">
      <c r="A1084" s="37" t="inlineStr">
        <is>
          <t>WL-02083</t>
        </is>
      </c>
      <c r="B1084" s="37" t="inlineStr">
        <is>
          <t>Choi</t>
        </is>
      </c>
      <c r="C1084" s="37" t="inlineStr">
        <is>
          <t>Brandon</t>
        </is>
      </c>
      <c r="D1084" s="37" t="inlineStr">
        <is>
          <t>ACTIVE_WAITLIST</t>
        </is>
      </c>
      <c r="E1084" s="37" t="n">
        <v>47.2</v>
      </c>
      <c r="F1084" s="37" t="n">
        <v>13.2</v>
      </c>
    </row>
    <row r="1085">
      <c r="A1085" s="37" t="inlineStr">
        <is>
          <t>WL-02084</t>
        </is>
      </c>
      <c r="B1085" s="37" t="inlineStr">
        <is>
          <t>Murphy</t>
        </is>
      </c>
      <c r="C1085" s="37" t="inlineStr">
        <is>
          <t>Karen</t>
        </is>
      </c>
      <c r="D1085" s="37" t="inlineStr">
        <is>
          <t>ACTIVE_WAITLIST</t>
        </is>
      </c>
      <c r="E1085" s="37" t="n">
        <v>40.8</v>
      </c>
      <c r="F1085" s="37" t="n">
        <v>13.6</v>
      </c>
    </row>
    <row r="1086">
      <c r="A1086" s="37" t="inlineStr">
        <is>
          <t>WL-02085</t>
        </is>
      </c>
      <c r="B1086" s="37" t="inlineStr">
        <is>
          <t>Jacobs</t>
        </is>
      </c>
      <c r="C1086" s="37" t="inlineStr">
        <is>
          <t>Sherry</t>
        </is>
      </c>
      <c r="D1086" s="37" t="inlineStr">
        <is>
          <t>SUSPENDED</t>
        </is>
      </c>
      <c r="E1086" s="37" t="n">
        <v>31.5</v>
      </c>
      <c r="F1086" s="37" t="n">
        <v>10.9</v>
      </c>
    </row>
    <row r="1087">
      <c r="A1087" s="37" t="inlineStr">
        <is>
          <t>WL-02086</t>
        </is>
      </c>
      <c r="B1087" s="37" t="inlineStr">
        <is>
          <t>Pope</t>
        </is>
      </c>
      <c r="C1087" s="37" t="inlineStr">
        <is>
          <t>Samantha</t>
        </is>
      </c>
      <c r="D1087" s="37" t="inlineStr">
        <is>
          <t>ACTIVE_WAITLIST</t>
        </is>
      </c>
      <c r="E1087" s="37" t="n">
        <v>49.7</v>
      </c>
      <c r="F1087" s="37" t="n">
        <v>15.7</v>
      </c>
    </row>
    <row r="1088">
      <c r="A1088" s="37" t="inlineStr">
        <is>
          <t>WL-02087</t>
        </is>
      </c>
      <c r="B1088" s="37" t="inlineStr">
        <is>
          <t>Bellamy</t>
        </is>
      </c>
      <c r="C1088" s="37" t="inlineStr">
        <is>
          <t>Craig</t>
        </is>
      </c>
      <c r="D1088" s="37" t="inlineStr">
        <is>
          <t>RETAINER</t>
        </is>
      </c>
      <c r="E1088" s="37" t="n">
        <v>28.1</v>
      </c>
      <c r="F1088" s="37" t="n">
        <v>9.6</v>
      </c>
    </row>
    <row r="1089">
      <c r="A1089" s="37" t="inlineStr">
        <is>
          <t>WL-02088</t>
        </is>
      </c>
      <c r="B1089" s="37" t="inlineStr">
        <is>
          <t>Collins</t>
        </is>
      </c>
      <c r="C1089" s="37" t="inlineStr">
        <is>
          <t>Yvonne</t>
        </is>
      </c>
      <c r="D1089" s="37" t="inlineStr">
        <is>
          <t>ACTIVE_WAITLIST</t>
        </is>
      </c>
      <c r="E1089" s="37" t="n">
        <v>28.7</v>
      </c>
      <c r="F1089" s="37" t="n">
        <v>9.800000000000001</v>
      </c>
    </row>
    <row r="1090">
      <c r="A1090" s="37" t="inlineStr">
        <is>
          <t>WL-02089</t>
        </is>
      </c>
      <c r="B1090" s="37" t="inlineStr">
        <is>
          <t>Butler</t>
        </is>
      </c>
      <c r="C1090" s="37" t="inlineStr">
        <is>
          <t>Todd</t>
        </is>
      </c>
      <c r="D1090" s="37" t="inlineStr">
        <is>
          <t>ACTIVE_WAITLIST</t>
        </is>
      </c>
      <c r="E1090" s="37" t="n">
        <v>30.9</v>
      </c>
      <c r="F1090" s="37" t="n">
        <v>9.4</v>
      </c>
    </row>
    <row r="1091">
      <c r="A1091" s="37" t="inlineStr">
        <is>
          <t>WL-02090</t>
        </is>
      </c>
      <c r="B1091" s="37" t="inlineStr">
        <is>
          <t>Lyons</t>
        </is>
      </c>
      <c r="C1091" s="37" t="inlineStr">
        <is>
          <t>Rita</t>
        </is>
      </c>
      <c r="D1091" s="37" t="inlineStr">
        <is>
          <t>ACTIVE_WAITLIST</t>
        </is>
      </c>
      <c r="E1091" s="37" t="n">
        <v>19.2</v>
      </c>
      <c r="F1091" s="37" t="n">
        <v>6.7</v>
      </c>
    </row>
    <row r="1092">
      <c r="A1092" s="37" t="inlineStr">
        <is>
          <t>WL-02091</t>
        </is>
      </c>
      <c r="B1092" s="37" t="inlineStr">
        <is>
          <t>Herrera</t>
        </is>
      </c>
      <c r="C1092" s="37" t="inlineStr">
        <is>
          <t>Timothy</t>
        </is>
      </c>
      <c r="D1092" s="37" t="inlineStr">
        <is>
          <t>ACTIVE_WAITLIST</t>
        </is>
      </c>
      <c r="E1092" s="37" t="n">
        <v>29.9</v>
      </c>
      <c r="F1092" s="37" t="n">
        <v>8.800000000000001</v>
      </c>
    </row>
    <row r="1093">
      <c r="A1093" s="37" t="inlineStr">
        <is>
          <t>WL-02092</t>
        </is>
      </c>
      <c r="B1093" s="37" t="inlineStr">
        <is>
          <t>Brooks</t>
        </is>
      </c>
      <c r="C1093" s="37" t="inlineStr">
        <is>
          <t>Jason</t>
        </is>
      </c>
      <c r="D1093" s="37" t="inlineStr">
        <is>
          <t>ACTIVE_WAITLIST</t>
        </is>
      </c>
      <c r="E1093" s="37" t="n">
        <v>52.4</v>
      </c>
      <c r="F1093" s="37" t="n">
        <v>15.7</v>
      </c>
    </row>
    <row r="1094">
      <c r="A1094" s="37" t="inlineStr">
        <is>
          <t>WL-02093</t>
        </is>
      </c>
      <c r="B1094" s="37" t="inlineStr">
        <is>
          <t>Fisher</t>
        </is>
      </c>
      <c r="C1094" s="37" t="inlineStr">
        <is>
          <t>Brittany</t>
        </is>
      </c>
      <c r="D1094" s="37" t="inlineStr">
        <is>
          <t>ACTIVE_WAITLIST</t>
        </is>
      </c>
      <c r="E1094" s="37" t="n">
        <v>23</v>
      </c>
      <c r="F1094" s="37" t="n">
        <v>8.1</v>
      </c>
    </row>
    <row r="1095">
      <c r="A1095" s="37" t="inlineStr">
        <is>
          <t>WL-02094</t>
        </is>
      </c>
      <c r="B1095" s="37" t="inlineStr">
        <is>
          <t>Harris</t>
        </is>
      </c>
      <c r="C1095" s="37" t="inlineStr">
        <is>
          <t>Brandi</t>
        </is>
      </c>
      <c r="D1095" s="37" t="inlineStr">
        <is>
          <t>ACTIVE_WAITLIST</t>
        </is>
      </c>
      <c r="E1095" s="37" t="n">
        <v>41.9</v>
      </c>
      <c r="F1095" s="37" t="n">
        <v>14.5</v>
      </c>
    </row>
    <row r="1096">
      <c r="A1096" s="37" t="inlineStr">
        <is>
          <t>WL-02095</t>
        </is>
      </c>
      <c r="B1096" s="37" t="inlineStr">
        <is>
          <t>Diaz</t>
        </is>
      </c>
      <c r="C1096" s="37" t="inlineStr">
        <is>
          <t>Anna</t>
        </is>
      </c>
      <c r="D1096" s="37" t="inlineStr">
        <is>
          <t>ACTIVE_WAITLIST</t>
        </is>
      </c>
      <c r="E1096" s="37" t="n">
        <v>51.9</v>
      </c>
      <c r="F1096" s="37" t="n">
        <v>16.6</v>
      </c>
    </row>
    <row r="1097">
      <c r="A1097" s="37" t="inlineStr">
        <is>
          <t>WL-02096</t>
        </is>
      </c>
      <c r="B1097" s="37" t="inlineStr">
        <is>
          <t>Moore</t>
        </is>
      </c>
      <c r="C1097" s="37" t="inlineStr">
        <is>
          <t>Amanda</t>
        </is>
      </c>
      <c r="D1097" s="37" t="inlineStr">
        <is>
          <t>RETAINER</t>
        </is>
      </c>
      <c r="E1097" s="37" t="n">
        <v>49.2</v>
      </c>
      <c r="F1097" s="37" t="n">
        <v>16.6</v>
      </c>
    </row>
    <row r="1098">
      <c r="A1098" s="37" t="inlineStr">
        <is>
          <t>WL-02097</t>
        </is>
      </c>
      <c r="B1098" s="37" t="inlineStr">
        <is>
          <t>Brooks</t>
        </is>
      </c>
      <c r="C1098" s="37" t="inlineStr">
        <is>
          <t>Scott</t>
        </is>
      </c>
      <c r="D1098" s="37" t="inlineStr">
        <is>
          <t>ACTIVE_WAITLIST</t>
        </is>
      </c>
      <c r="E1098" s="37" t="n">
        <v>51.3</v>
      </c>
      <c r="F1098" s="37" t="n">
        <v>15.4</v>
      </c>
    </row>
    <row r="1099">
      <c r="A1099" s="37" t="inlineStr">
        <is>
          <t>WL-02098</t>
        </is>
      </c>
      <c r="B1099" s="37" t="inlineStr">
        <is>
          <t>James</t>
        </is>
      </c>
      <c r="C1099" s="37" t="inlineStr">
        <is>
          <t>Rhonda</t>
        </is>
      </c>
      <c r="D1099" s="37" t="inlineStr">
        <is>
          <t>EXPIRED</t>
        </is>
      </c>
      <c r="E1099" s="37" t="n">
        <v>27.5</v>
      </c>
      <c r="F1099" s="37" t="n">
        <v>8.300000000000001</v>
      </c>
    </row>
    <row r="1100">
      <c r="A1100" s="37" t="inlineStr">
        <is>
          <t>WL-02099</t>
        </is>
      </c>
      <c r="B1100" s="37" t="inlineStr">
        <is>
          <t>Horton</t>
        </is>
      </c>
      <c r="C1100" s="37" t="inlineStr">
        <is>
          <t>Peggy</t>
        </is>
      </c>
      <c r="D1100" s="37" t="inlineStr">
        <is>
          <t>ACTIVE_WAITLIST</t>
        </is>
      </c>
      <c r="E1100" s="37" t="n">
        <v>59.2</v>
      </c>
      <c r="F1100" s="37" t="n">
        <v>17.9</v>
      </c>
    </row>
    <row r="1101">
      <c r="A1101" s="37" t="inlineStr">
        <is>
          <t>WL-02100</t>
        </is>
      </c>
      <c r="B1101" s="37" t="inlineStr">
        <is>
          <t>Pena</t>
        </is>
      </c>
      <c r="C1101" s="37" t="inlineStr">
        <is>
          <t>Michelle</t>
        </is>
      </c>
      <c r="D1101" s="37" t="inlineStr">
        <is>
          <t>ACTIVE_WAITLIST</t>
        </is>
      </c>
      <c r="E1101" s="37" t="n">
        <v>51.9</v>
      </c>
      <c r="F1101" s="37" t="n">
        <v>17.8</v>
      </c>
    </row>
    <row r="1102">
      <c r="A1102" s="37" t="inlineStr">
        <is>
          <t>WL-02101</t>
        </is>
      </c>
      <c r="B1102" s="37" t="inlineStr">
        <is>
          <t>Green</t>
        </is>
      </c>
      <c r="C1102" s="37" t="inlineStr">
        <is>
          <t>David</t>
        </is>
      </c>
      <c r="D1102" s="37" t="inlineStr">
        <is>
          <t>ACTIVE_WAITLIST</t>
        </is>
      </c>
      <c r="E1102" s="37" t="n">
        <v>38.9</v>
      </c>
      <c r="F1102" s="37" t="n">
        <v>13.8</v>
      </c>
    </row>
    <row r="1103">
      <c r="A1103" s="37" t="inlineStr">
        <is>
          <t>WL-02102</t>
        </is>
      </c>
      <c r="B1103" s="37" t="inlineStr">
        <is>
          <t>Anderson</t>
        </is>
      </c>
      <c r="C1103" s="37" t="inlineStr">
        <is>
          <t>Mark</t>
        </is>
      </c>
      <c r="D1103" s="37" t="inlineStr">
        <is>
          <t>ACTIVE_WAITLIST</t>
        </is>
      </c>
      <c r="E1103" s="37" t="n">
        <v>59.7</v>
      </c>
      <c r="F1103" s="37" t="n">
        <v>20.3</v>
      </c>
    </row>
    <row r="1104">
      <c r="A1104" s="37" t="inlineStr">
        <is>
          <t>WL-02103</t>
        </is>
      </c>
      <c r="B1104" s="37" t="inlineStr">
        <is>
          <t>Guzman</t>
        </is>
      </c>
      <c r="C1104" s="37" t="inlineStr">
        <is>
          <t>Mary</t>
        </is>
      </c>
      <c r="D1104" s="37" t="inlineStr">
        <is>
          <t>ACTIVE_WAITLIST</t>
        </is>
      </c>
      <c r="E1104" s="37" t="n">
        <v>29.5</v>
      </c>
      <c r="F1104" s="37" t="n">
        <v>8.6</v>
      </c>
    </row>
    <row r="1105">
      <c r="A1105" s="37" t="inlineStr">
        <is>
          <t>WL-02104</t>
        </is>
      </c>
      <c r="B1105" s="37" t="inlineStr">
        <is>
          <t>Herrera</t>
        </is>
      </c>
      <c r="C1105" s="37" t="inlineStr">
        <is>
          <t>Patricia</t>
        </is>
      </c>
      <c r="D1105" s="37" t="inlineStr">
        <is>
          <t>ACTIVE_WAITLIST</t>
        </is>
      </c>
      <c r="E1105" s="37" t="n">
        <v>40.2</v>
      </c>
      <c r="F1105" s="37" t="n">
        <v>12.8</v>
      </c>
    </row>
    <row r="1106">
      <c r="A1106" s="37" t="inlineStr">
        <is>
          <t>WL-02105</t>
        </is>
      </c>
      <c r="B1106" s="37" t="inlineStr">
        <is>
          <t>Underwood</t>
        </is>
      </c>
      <c r="C1106" s="37" t="inlineStr">
        <is>
          <t>Kenneth</t>
        </is>
      </c>
      <c r="D1106" s="37" t="inlineStr">
        <is>
          <t>ACTIVE_WAITLIST</t>
        </is>
      </c>
      <c r="E1106" s="37" t="n">
        <v>21</v>
      </c>
      <c r="F1106" s="37" t="n">
        <v>6.2</v>
      </c>
    </row>
    <row r="1107">
      <c r="A1107" s="37" t="inlineStr">
        <is>
          <t>WL-02106</t>
        </is>
      </c>
      <c r="B1107" s="37" t="inlineStr">
        <is>
          <t>Perry</t>
        </is>
      </c>
      <c r="C1107" s="37" t="inlineStr">
        <is>
          <t>Michelle</t>
        </is>
      </c>
      <c r="D1107" s="37" t="inlineStr">
        <is>
          <t>ACTIVE_WAITLIST</t>
        </is>
      </c>
      <c r="E1107" s="37" t="n">
        <v>35.4</v>
      </c>
      <c r="F1107" s="37" t="n">
        <v>11.7</v>
      </c>
    </row>
    <row r="1108">
      <c r="A1108" s="37" t="inlineStr">
        <is>
          <t>WL-02107</t>
        </is>
      </c>
      <c r="B1108" s="37" t="inlineStr">
        <is>
          <t>Baldwin</t>
        </is>
      </c>
      <c r="C1108" s="37" t="inlineStr">
        <is>
          <t>Brittany</t>
        </is>
      </c>
      <c r="D1108" s="37" t="inlineStr">
        <is>
          <t>ACTIVE_WAITLIST</t>
        </is>
      </c>
      <c r="E1108" s="37" t="n">
        <v>26.7</v>
      </c>
      <c r="F1108" s="37" t="n">
        <v>7.6</v>
      </c>
    </row>
    <row r="1109">
      <c r="A1109" s="37" t="inlineStr">
        <is>
          <t>WL-02108</t>
        </is>
      </c>
      <c r="B1109" s="37" t="inlineStr">
        <is>
          <t>Hodges</t>
        </is>
      </c>
      <c r="C1109" s="37" t="inlineStr">
        <is>
          <t>Amanda</t>
        </is>
      </c>
      <c r="D1109" s="37" t="inlineStr">
        <is>
          <t>RETAINER</t>
        </is>
      </c>
      <c r="E1109" s="37" t="n">
        <v>35.2</v>
      </c>
      <c r="F1109" s="37" t="n">
        <v>12.6</v>
      </c>
    </row>
    <row r="1110">
      <c r="A1110" s="37" t="inlineStr">
        <is>
          <t>WL-02109</t>
        </is>
      </c>
      <c r="B1110" s="37" t="inlineStr">
        <is>
          <t>Flynn</t>
        </is>
      </c>
      <c r="C1110" s="37" t="inlineStr">
        <is>
          <t>Leah</t>
        </is>
      </c>
      <c r="D1110" s="37" t="inlineStr">
        <is>
          <t>ACTIVE_WAITLIST</t>
        </is>
      </c>
      <c r="E1110" s="37" t="n">
        <v>31.6</v>
      </c>
      <c r="F1110" s="37" t="n">
        <v>9.4</v>
      </c>
    </row>
    <row r="1111">
      <c r="A1111" s="37" t="inlineStr">
        <is>
          <t>WL-02110</t>
        </is>
      </c>
      <c r="B1111" s="37" t="inlineStr">
        <is>
          <t>Byrd</t>
        </is>
      </c>
      <c r="C1111" s="37" t="inlineStr">
        <is>
          <t>Alison</t>
        </is>
      </c>
      <c r="D1111" s="37" t="inlineStr">
        <is>
          <t>ACTIVE_WAITLIST</t>
        </is>
      </c>
      <c r="E1111" s="37" t="n">
        <v>59.4</v>
      </c>
      <c r="F1111" s="37" t="n">
        <v>20.7</v>
      </c>
    </row>
    <row r="1112">
      <c r="A1112" s="37" t="inlineStr">
        <is>
          <t>WL-02111</t>
        </is>
      </c>
      <c r="B1112" s="37" t="inlineStr">
        <is>
          <t>Rodriguez</t>
        </is>
      </c>
      <c r="C1112" s="37" t="inlineStr">
        <is>
          <t>Mary</t>
        </is>
      </c>
      <c r="D1112" s="37" t="inlineStr">
        <is>
          <t>ACTIVE_WAITLIST</t>
        </is>
      </c>
      <c r="E1112" s="37" t="n">
        <v>50.1</v>
      </c>
      <c r="F1112" s="37" t="n">
        <v>17.3</v>
      </c>
    </row>
    <row r="1113">
      <c r="A1113" s="37" t="inlineStr">
        <is>
          <t>WL-02112</t>
        </is>
      </c>
      <c r="B1113" s="37" t="inlineStr">
        <is>
          <t>Perez</t>
        </is>
      </c>
      <c r="C1113" s="37" t="inlineStr">
        <is>
          <t>Molly</t>
        </is>
      </c>
      <c r="D1113" s="37" t="inlineStr">
        <is>
          <t>ACTIVE_WAITLIST</t>
        </is>
      </c>
      <c r="E1113" s="37" t="n">
        <v>36.8</v>
      </c>
      <c r="F1113" s="37" t="n">
        <v>12.3</v>
      </c>
    </row>
    <row r="1114">
      <c r="A1114" s="37" t="inlineStr">
        <is>
          <t>WL-02113</t>
        </is>
      </c>
      <c r="B1114" s="37" t="inlineStr">
        <is>
          <t>Smith</t>
        </is>
      </c>
      <c r="C1114" s="37" t="inlineStr">
        <is>
          <t>Donald</t>
        </is>
      </c>
      <c r="D1114" s="37" t="inlineStr">
        <is>
          <t>ACTIVE_WAITLIST</t>
        </is>
      </c>
      <c r="E1114" s="37" t="n">
        <v>33.7</v>
      </c>
      <c r="F1114" s="37" t="n">
        <v>10.2</v>
      </c>
    </row>
    <row r="1115">
      <c r="A1115" s="37" t="inlineStr">
        <is>
          <t>WL-02114</t>
        </is>
      </c>
      <c r="B1115" s="37" t="inlineStr">
        <is>
          <t>Adams</t>
        </is>
      </c>
      <c r="C1115" s="37" t="inlineStr">
        <is>
          <t>Walter</t>
        </is>
      </c>
      <c r="D1115" s="37" t="inlineStr">
        <is>
          <t>ACTIVE_WAITLIST</t>
        </is>
      </c>
      <c r="E1115" s="37" t="n">
        <v>47.3</v>
      </c>
      <c r="F1115" s="37" t="n">
        <v>15.6</v>
      </c>
    </row>
    <row r="1116">
      <c r="A1116" s="37" t="inlineStr">
        <is>
          <t>WL-02115</t>
        </is>
      </c>
      <c r="B1116" s="37" t="inlineStr">
        <is>
          <t>Young</t>
        </is>
      </c>
      <c r="C1116" s="37" t="inlineStr">
        <is>
          <t>Christopher</t>
        </is>
      </c>
      <c r="D1116" s="37" t="inlineStr">
        <is>
          <t>ACTIVE_WAITLIST</t>
        </is>
      </c>
      <c r="E1116" s="37" t="n">
        <v>53.7</v>
      </c>
      <c r="F1116" s="37" t="n">
        <v>17.9</v>
      </c>
    </row>
    <row r="1117">
      <c r="A1117" s="37" t="inlineStr">
        <is>
          <t>WL-02116</t>
        </is>
      </c>
      <c r="B1117" s="37" t="inlineStr">
        <is>
          <t>Perez</t>
        </is>
      </c>
      <c r="C1117" s="37" t="inlineStr">
        <is>
          <t>Stephanie</t>
        </is>
      </c>
      <c r="D1117" s="37" t="inlineStr">
        <is>
          <t>ACTIVE_WAITLIST</t>
        </is>
      </c>
      <c r="E1117" s="37" t="n">
        <v>28.9</v>
      </c>
      <c r="F1117" s="37" t="n">
        <v>9</v>
      </c>
    </row>
    <row r="1118">
      <c r="A1118" s="37" t="inlineStr">
        <is>
          <t>WL-02117</t>
        </is>
      </c>
      <c r="B1118" s="37" t="inlineStr">
        <is>
          <t>Marquez</t>
        </is>
      </c>
      <c r="C1118" s="37" t="inlineStr">
        <is>
          <t>Steven</t>
        </is>
      </c>
      <c r="D1118" s="37" t="inlineStr">
        <is>
          <t>ACTIVE_WAITLIST</t>
        </is>
      </c>
      <c r="E1118" s="37" t="n">
        <v>24.8</v>
      </c>
      <c r="F1118" s="37" t="n">
        <v>7.4</v>
      </c>
    </row>
    <row r="1119">
      <c r="A1119" s="37" t="inlineStr">
        <is>
          <t>WL-02118</t>
        </is>
      </c>
      <c r="B1119" s="37" t="inlineStr">
        <is>
          <t>Meyer</t>
        </is>
      </c>
      <c r="C1119" s="37" t="inlineStr">
        <is>
          <t>Matthew</t>
        </is>
      </c>
      <c r="D1119" s="37" t="inlineStr">
        <is>
          <t>ACTIVE_WAITLIST</t>
        </is>
      </c>
      <c r="E1119" s="37" t="n">
        <v>55.4</v>
      </c>
      <c r="F1119" s="37" t="n">
        <v>18.2</v>
      </c>
    </row>
    <row r="1120">
      <c r="A1120" s="37" t="inlineStr">
        <is>
          <t>WL-02119</t>
        </is>
      </c>
      <c r="B1120" s="37" t="inlineStr">
        <is>
          <t>Forbes</t>
        </is>
      </c>
      <c r="C1120" s="37" t="inlineStr">
        <is>
          <t>Eric</t>
        </is>
      </c>
      <c r="D1120" s="37" t="inlineStr">
        <is>
          <t>ACTIVE_WAITLIST</t>
        </is>
      </c>
      <c r="E1120" s="37" t="n">
        <v>57.3</v>
      </c>
      <c r="F1120" s="37" t="n">
        <v>17.3</v>
      </c>
    </row>
    <row r="1121">
      <c r="A1121" s="37" t="inlineStr">
        <is>
          <t>WL-02120</t>
        </is>
      </c>
      <c r="B1121" s="37" t="inlineStr">
        <is>
          <t>Reyes</t>
        </is>
      </c>
      <c r="C1121" s="37" t="inlineStr">
        <is>
          <t>Jerry</t>
        </is>
      </c>
      <c r="D1121" s="37" t="inlineStr">
        <is>
          <t>ACTIVE_WAITLIST</t>
        </is>
      </c>
      <c r="E1121" s="37" t="n">
        <v>26.7</v>
      </c>
      <c r="F1121" s="37" t="n">
        <v>8</v>
      </c>
    </row>
    <row r="1122">
      <c r="A1122" s="37" t="inlineStr">
        <is>
          <t>WL-02121</t>
        </is>
      </c>
      <c r="B1122" s="37" t="inlineStr">
        <is>
          <t>Alexander</t>
        </is>
      </c>
      <c r="C1122" s="37" t="inlineStr">
        <is>
          <t>Sean</t>
        </is>
      </c>
      <c r="D1122" s="37" t="inlineStr">
        <is>
          <t>RETAINER</t>
        </is>
      </c>
      <c r="E1122" s="37" t="n">
        <v>51.5</v>
      </c>
      <c r="F1122" s="37" t="n">
        <v>17.6</v>
      </c>
    </row>
    <row r="1123">
      <c r="A1123" s="37" t="inlineStr">
        <is>
          <t>WL-02122</t>
        </is>
      </c>
      <c r="B1123" s="37" t="inlineStr">
        <is>
          <t>Graham</t>
        </is>
      </c>
      <c r="C1123" s="37" t="inlineStr">
        <is>
          <t>Jeffery</t>
        </is>
      </c>
      <c r="D1123" s="37" t="inlineStr">
        <is>
          <t>ACTIVE_WAITLIST</t>
        </is>
      </c>
      <c r="E1123" s="37" t="n">
        <v>56.2</v>
      </c>
      <c r="F1123" s="37" t="n">
        <v>17.8</v>
      </c>
    </row>
    <row r="1124">
      <c r="A1124" s="37" t="inlineStr">
        <is>
          <t>WL-02123</t>
        </is>
      </c>
      <c r="B1124" s="37" t="inlineStr">
        <is>
          <t>Ramos</t>
        </is>
      </c>
      <c r="C1124" s="37" t="inlineStr">
        <is>
          <t>Megan</t>
        </is>
      </c>
      <c r="D1124" s="37" t="inlineStr">
        <is>
          <t>ACTIVE_WAITLIST</t>
        </is>
      </c>
      <c r="E1124" s="37" t="n">
        <v>37.3</v>
      </c>
      <c r="F1124" s="37" t="n">
        <v>12</v>
      </c>
    </row>
    <row r="1125">
      <c r="A1125" s="37" t="inlineStr">
        <is>
          <t>WL-02124</t>
        </is>
      </c>
      <c r="B1125" s="37" t="inlineStr">
        <is>
          <t>French</t>
        </is>
      </c>
      <c r="C1125" s="37" t="inlineStr">
        <is>
          <t>Laura</t>
        </is>
      </c>
      <c r="D1125" s="37" t="inlineStr">
        <is>
          <t>ACTIVE_WAITLIST</t>
        </is>
      </c>
      <c r="E1125" s="37" t="n">
        <v>41.9</v>
      </c>
      <c r="F1125" s="37" t="n">
        <v>12.9</v>
      </c>
    </row>
    <row r="1126">
      <c r="A1126" s="37" t="inlineStr">
        <is>
          <t>WL-02125</t>
        </is>
      </c>
      <c r="B1126" s="37" t="inlineStr">
        <is>
          <t>Powell</t>
        </is>
      </c>
      <c r="C1126" s="37" t="inlineStr">
        <is>
          <t>Fred</t>
        </is>
      </c>
      <c r="D1126" s="37" t="inlineStr">
        <is>
          <t>ACTIVE_WAITLIST</t>
        </is>
      </c>
      <c r="E1126" s="37" t="n">
        <v>43.1</v>
      </c>
      <c r="F1126" s="37" t="n">
        <v>14.9</v>
      </c>
    </row>
    <row r="1127">
      <c r="A1127" s="37" t="inlineStr">
        <is>
          <t>WL-02126</t>
        </is>
      </c>
      <c r="B1127" s="37" t="inlineStr">
        <is>
          <t>Hudson</t>
        </is>
      </c>
      <c r="C1127" s="37" t="inlineStr">
        <is>
          <t>Maria</t>
        </is>
      </c>
      <c r="D1127" s="37" t="inlineStr">
        <is>
          <t>RETAINER</t>
        </is>
      </c>
      <c r="E1127" s="37" t="n">
        <v>57.8</v>
      </c>
      <c r="F1127" s="37" t="n">
        <v>19.7</v>
      </c>
    </row>
    <row r="1128">
      <c r="A1128" s="37" t="inlineStr">
        <is>
          <t>WL-02127</t>
        </is>
      </c>
      <c r="B1128" s="37" t="inlineStr">
        <is>
          <t>Gomez</t>
        </is>
      </c>
      <c r="C1128" s="37" t="inlineStr">
        <is>
          <t>Kimberly</t>
        </is>
      </c>
      <c r="D1128" s="37" t="inlineStr">
        <is>
          <t>ACTIVE_WAITLIST</t>
        </is>
      </c>
      <c r="E1128" s="37" t="n">
        <v>40.1</v>
      </c>
      <c r="F1128" s="37" t="n">
        <v>13.8</v>
      </c>
    </row>
    <row r="1129">
      <c r="A1129" s="37" t="inlineStr">
        <is>
          <t>WL-02128</t>
        </is>
      </c>
      <c r="B1129" s="37" t="inlineStr">
        <is>
          <t>Terry</t>
        </is>
      </c>
      <c r="C1129" s="37" t="inlineStr">
        <is>
          <t>Kevin</t>
        </is>
      </c>
      <c r="D1129" s="37" t="inlineStr">
        <is>
          <t>EXPIRED</t>
        </is>
      </c>
      <c r="E1129" s="37" t="n">
        <v>46.5</v>
      </c>
      <c r="F1129" s="37" t="n">
        <v>15.8</v>
      </c>
    </row>
    <row r="1130">
      <c r="A1130" s="37" t="inlineStr">
        <is>
          <t>WL-02129</t>
        </is>
      </c>
      <c r="B1130" s="37" t="inlineStr">
        <is>
          <t>Palmer</t>
        </is>
      </c>
      <c r="C1130" s="37" t="inlineStr">
        <is>
          <t>Lisa</t>
        </is>
      </c>
      <c r="D1130" s="37" t="inlineStr">
        <is>
          <t>ACTIVE_WAITLIST</t>
        </is>
      </c>
      <c r="E1130" s="37" t="n">
        <v>52.1</v>
      </c>
      <c r="F1130" s="37" t="n">
        <v>17.5</v>
      </c>
    </row>
    <row r="1131">
      <c r="A1131" s="37" t="inlineStr">
        <is>
          <t>WL-02130</t>
        </is>
      </c>
      <c r="B1131" s="37" t="inlineStr">
        <is>
          <t>Le</t>
        </is>
      </c>
      <c r="C1131" s="37" t="inlineStr">
        <is>
          <t>Sierra</t>
        </is>
      </c>
      <c r="D1131" s="37" t="inlineStr">
        <is>
          <t>ACTIVE_WAITLIST</t>
        </is>
      </c>
      <c r="E1131" s="37" t="n">
        <v>45.8</v>
      </c>
      <c r="F1131" s="37" t="n">
        <v>15.7</v>
      </c>
    </row>
    <row r="1132">
      <c r="A1132" s="37" t="inlineStr">
        <is>
          <t>WL-02131</t>
        </is>
      </c>
      <c r="B1132" s="37" t="inlineStr">
        <is>
          <t>Thompson</t>
        </is>
      </c>
      <c r="C1132" s="37" t="inlineStr">
        <is>
          <t>Richard</t>
        </is>
      </c>
      <c r="D1132" s="37" t="inlineStr">
        <is>
          <t>ACTIVE_WAITLIST</t>
        </is>
      </c>
      <c r="E1132" s="37" t="n">
        <v>59.7</v>
      </c>
      <c r="F1132" s="37" t="n">
        <v>20.9</v>
      </c>
    </row>
    <row r="1133">
      <c r="A1133" s="37" t="inlineStr">
        <is>
          <t>WL-02132</t>
        </is>
      </c>
      <c r="B1133" s="37" t="inlineStr">
        <is>
          <t>Ward</t>
        </is>
      </c>
      <c r="C1133" s="37" t="inlineStr">
        <is>
          <t>John</t>
        </is>
      </c>
      <c r="D1133" s="37" t="inlineStr">
        <is>
          <t>ACTIVE_WAITLIST</t>
        </is>
      </c>
      <c r="E1133" s="37" t="n">
        <v>46.7</v>
      </c>
      <c r="F1133" s="37" t="n">
        <v>14.2</v>
      </c>
    </row>
    <row r="1134">
      <c r="A1134" s="37" t="inlineStr">
        <is>
          <t>WL-02133</t>
        </is>
      </c>
      <c r="B1134" s="37" t="inlineStr">
        <is>
          <t>Moses</t>
        </is>
      </c>
      <c r="C1134" s="37" t="inlineStr">
        <is>
          <t>Michael</t>
        </is>
      </c>
      <c r="D1134" s="37" t="inlineStr">
        <is>
          <t>ACTIVE_WAITLIST</t>
        </is>
      </c>
      <c r="E1134" s="37" t="n">
        <v>51.3</v>
      </c>
      <c r="F1134" s="37" t="n">
        <v>14.8</v>
      </c>
    </row>
    <row r="1135">
      <c r="A1135" s="37" t="inlineStr">
        <is>
          <t>WL-02134</t>
        </is>
      </c>
      <c r="B1135" s="37" t="inlineStr">
        <is>
          <t>Martin</t>
        </is>
      </c>
      <c r="C1135" s="37" t="inlineStr">
        <is>
          <t>James</t>
        </is>
      </c>
      <c r="D1135" s="37" t="inlineStr">
        <is>
          <t>ACTIVE_WAITLIST</t>
        </is>
      </c>
      <c r="E1135" s="37" t="n">
        <v>24.1</v>
      </c>
      <c r="F1135" s="37" t="n">
        <v>6.9</v>
      </c>
    </row>
    <row r="1136">
      <c r="A1136" s="37" t="inlineStr">
        <is>
          <t>WL-02135</t>
        </is>
      </c>
      <c r="B1136" s="37" t="inlineStr">
        <is>
          <t>Flores</t>
        </is>
      </c>
      <c r="C1136" s="37" t="inlineStr">
        <is>
          <t>David</t>
        </is>
      </c>
      <c r="D1136" s="37" t="inlineStr">
        <is>
          <t>ACTIVE_WAITLIST</t>
        </is>
      </c>
      <c r="E1136" s="37" t="n">
        <v>27.6</v>
      </c>
      <c r="F1136" s="37" t="n">
        <v>9</v>
      </c>
    </row>
    <row r="1137">
      <c r="A1137" s="37" t="inlineStr">
        <is>
          <t>WL-02136</t>
        </is>
      </c>
      <c r="B1137" s="37" t="inlineStr">
        <is>
          <t>Williams</t>
        </is>
      </c>
      <c r="C1137" s="37" t="inlineStr">
        <is>
          <t>Danielle</t>
        </is>
      </c>
      <c r="D1137" s="37" t="inlineStr">
        <is>
          <t>ACTIVE_WAITLIST</t>
        </is>
      </c>
      <c r="E1137" s="37" t="n">
        <v>20.8</v>
      </c>
      <c r="F1137" s="37" t="n">
        <v>6.3</v>
      </c>
    </row>
    <row r="1138">
      <c r="A1138" s="37" t="inlineStr">
        <is>
          <t>WL-02137</t>
        </is>
      </c>
      <c r="B1138" s="37" t="inlineStr">
        <is>
          <t>Oliver</t>
        </is>
      </c>
      <c r="C1138" s="37" t="inlineStr">
        <is>
          <t>Cindy</t>
        </is>
      </c>
      <c r="D1138" s="37" t="inlineStr">
        <is>
          <t>ACTIVE_WAITLIST</t>
        </is>
      </c>
      <c r="E1138" s="37" t="n">
        <v>43.1</v>
      </c>
      <c r="F1138" s="37" t="n">
        <v>13.4</v>
      </c>
    </row>
    <row r="1139">
      <c r="A1139" s="37" t="inlineStr">
        <is>
          <t>WL-02138</t>
        </is>
      </c>
      <c r="B1139" s="37" t="inlineStr">
        <is>
          <t>Potter</t>
        </is>
      </c>
      <c r="C1139" s="37" t="inlineStr">
        <is>
          <t>Brandy</t>
        </is>
      </c>
      <c r="D1139" s="37" t="inlineStr">
        <is>
          <t>ACTIVE_WAITLIST</t>
        </is>
      </c>
      <c r="E1139" s="37" t="n">
        <v>48</v>
      </c>
      <c r="F1139" s="37" t="n">
        <v>16.4</v>
      </c>
    </row>
    <row r="1140">
      <c r="A1140" s="37" t="inlineStr">
        <is>
          <t>WL-02139</t>
        </is>
      </c>
      <c r="B1140" s="37" t="inlineStr">
        <is>
          <t>Anderson</t>
        </is>
      </c>
      <c r="C1140" s="37" t="inlineStr">
        <is>
          <t>Jennifer</t>
        </is>
      </c>
      <c r="D1140" s="37" t="inlineStr">
        <is>
          <t>ACTIVE_WAITLIST</t>
        </is>
      </c>
      <c r="E1140" s="37" t="n">
        <v>52.5</v>
      </c>
      <c r="F1140" s="37" t="n">
        <v>15.1</v>
      </c>
    </row>
    <row r="1141">
      <c r="A1141" s="37" t="inlineStr">
        <is>
          <t>WL-02140</t>
        </is>
      </c>
      <c r="B1141" s="37" t="inlineStr">
        <is>
          <t>Gutierrez</t>
        </is>
      </c>
      <c r="C1141" s="37" t="inlineStr">
        <is>
          <t>Amy</t>
        </is>
      </c>
      <c r="D1141" s="37" t="inlineStr">
        <is>
          <t>SUSPENDED</t>
        </is>
      </c>
      <c r="E1141" s="37" t="n">
        <v>25.3</v>
      </c>
      <c r="F1141" s="37" t="n">
        <v>7.2</v>
      </c>
    </row>
    <row r="1142">
      <c r="A1142" s="37" t="inlineStr">
        <is>
          <t>WL-02141</t>
        </is>
      </c>
      <c r="B1142" s="37" t="inlineStr">
        <is>
          <t>Anderson</t>
        </is>
      </c>
      <c r="C1142" s="37" t="inlineStr">
        <is>
          <t>Tiffany</t>
        </is>
      </c>
      <c r="D1142" s="37" t="inlineStr">
        <is>
          <t>SUSPENDED</t>
        </is>
      </c>
      <c r="E1142" s="37" t="n">
        <v>34.5</v>
      </c>
      <c r="F1142" s="37" t="n">
        <v>11.4</v>
      </c>
    </row>
    <row r="1143">
      <c r="A1143" s="37" t="inlineStr">
        <is>
          <t>WL-02142</t>
        </is>
      </c>
      <c r="B1143" s="37" t="inlineStr">
        <is>
          <t>Jackson</t>
        </is>
      </c>
      <c r="C1143" s="37" t="inlineStr">
        <is>
          <t>Tammy</t>
        </is>
      </c>
      <c r="D1143" s="37" t="inlineStr">
        <is>
          <t>ACTIVE_WAITLIST</t>
        </is>
      </c>
      <c r="E1143" s="37" t="n">
        <v>42.3</v>
      </c>
      <c r="F1143" s="37" t="n">
        <v>13.3</v>
      </c>
    </row>
    <row r="1144">
      <c r="A1144" s="37" t="inlineStr">
        <is>
          <t>WL-02143</t>
        </is>
      </c>
      <c r="B1144" s="37" t="inlineStr">
        <is>
          <t>Wright</t>
        </is>
      </c>
      <c r="C1144" s="37" t="inlineStr">
        <is>
          <t>Lisa</t>
        </is>
      </c>
      <c r="D1144" s="37" t="inlineStr">
        <is>
          <t>ACTIVE_WAITLIST</t>
        </is>
      </c>
      <c r="E1144" s="37" t="n">
        <v>50.8</v>
      </c>
      <c r="F1144" s="37" t="n">
        <v>15.6</v>
      </c>
    </row>
    <row r="1145">
      <c r="A1145" s="37" t="inlineStr">
        <is>
          <t>WL-02144</t>
        </is>
      </c>
      <c r="B1145" s="37" t="inlineStr">
        <is>
          <t>Clark</t>
        </is>
      </c>
      <c r="C1145" s="37" t="inlineStr">
        <is>
          <t>Kelli</t>
        </is>
      </c>
      <c r="D1145" s="37" t="inlineStr">
        <is>
          <t>ACTIVE_WAITLIST</t>
        </is>
      </c>
      <c r="E1145" s="37" t="n">
        <v>43.1</v>
      </c>
      <c r="F1145" s="37" t="n">
        <v>14.1</v>
      </c>
    </row>
    <row r="1146">
      <c r="A1146" s="37" t="inlineStr">
        <is>
          <t>WL-02145</t>
        </is>
      </c>
      <c r="B1146" s="37" t="inlineStr">
        <is>
          <t>Ali</t>
        </is>
      </c>
      <c r="C1146" s="37" t="inlineStr">
        <is>
          <t>Danielle</t>
        </is>
      </c>
      <c r="D1146" s="37" t="inlineStr">
        <is>
          <t>ACTIVE_WAITLIST</t>
        </is>
      </c>
      <c r="E1146" s="37" t="n">
        <v>26.2</v>
      </c>
      <c r="F1146" s="37" t="n">
        <v>9.199999999999999</v>
      </c>
    </row>
    <row r="1147">
      <c r="A1147" s="37" t="inlineStr">
        <is>
          <t>WL-02146</t>
        </is>
      </c>
      <c r="B1147" s="37" t="inlineStr">
        <is>
          <t>Allen</t>
        </is>
      </c>
      <c r="C1147" s="37" t="inlineStr">
        <is>
          <t>Mary</t>
        </is>
      </c>
      <c r="D1147" s="37" t="inlineStr">
        <is>
          <t>ACTIVE_WAITLIST</t>
        </is>
      </c>
      <c r="E1147" s="37" t="n">
        <v>48.8</v>
      </c>
      <c r="F1147" s="37" t="n">
        <v>16</v>
      </c>
    </row>
    <row r="1148">
      <c r="A1148" s="37" t="inlineStr">
        <is>
          <t>WL-02147</t>
        </is>
      </c>
      <c r="B1148" s="37" t="inlineStr">
        <is>
          <t>Ayers</t>
        </is>
      </c>
      <c r="C1148" s="37" t="inlineStr">
        <is>
          <t>Virginia</t>
        </is>
      </c>
      <c r="D1148" s="37" t="inlineStr">
        <is>
          <t>ACTIVE_WAITLIST</t>
        </is>
      </c>
      <c r="E1148" s="37" t="n">
        <v>27.4</v>
      </c>
      <c r="F1148" s="37" t="n">
        <v>9.6</v>
      </c>
    </row>
    <row r="1149">
      <c r="A1149" s="37" t="inlineStr">
        <is>
          <t>WL-02148</t>
        </is>
      </c>
      <c r="B1149" s="37" t="inlineStr">
        <is>
          <t>Roberts</t>
        </is>
      </c>
      <c r="C1149" s="37" t="inlineStr">
        <is>
          <t>William</t>
        </is>
      </c>
      <c r="D1149" s="37" t="inlineStr">
        <is>
          <t>EXPIRED</t>
        </is>
      </c>
      <c r="E1149" s="37" t="n">
        <v>23.6</v>
      </c>
      <c r="F1149" s="37" t="n">
        <v>7.8</v>
      </c>
    </row>
    <row r="1150">
      <c r="A1150" s="37" t="inlineStr">
        <is>
          <t>WL-02149</t>
        </is>
      </c>
      <c r="B1150" s="37" t="inlineStr">
        <is>
          <t>Bowman</t>
        </is>
      </c>
      <c r="C1150" s="37" t="inlineStr">
        <is>
          <t>Tonya</t>
        </is>
      </c>
      <c r="D1150" s="37" t="inlineStr">
        <is>
          <t>ACTIVE_WAITLIST</t>
        </is>
      </c>
      <c r="E1150" s="37" t="n">
        <v>59.3</v>
      </c>
      <c r="F1150" s="37" t="n">
        <v>16.9</v>
      </c>
    </row>
    <row r="1151">
      <c r="A1151" s="37" t="inlineStr">
        <is>
          <t>WL-02150</t>
        </is>
      </c>
      <c r="B1151" s="37" t="inlineStr">
        <is>
          <t>Gomez</t>
        </is>
      </c>
      <c r="C1151" s="37" t="inlineStr">
        <is>
          <t>Jared</t>
        </is>
      </c>
      <c r="D1151" s="37" t="inlineStr">
        <is>
          <t>ACTIVE_WAITLIST</t>
        </is>
      </c>
      <c r="E1151" s="37" t="n">
        <v>39</v>
      </c>
      <c r="F1151" s="37" t="n">
        <v>13.9</v>
      </c>
    </row>
    <row r="1152">
      <c r="A1152" s="37" t="inlineStr">
        <is>
          <t>WL-02151</t>
        </is>
      </c>
      <c r="B1152" s="37" t="inlineStr">
        <is>
          <t>Kent</t>
        </is>
      </c>
      <c r="C1152" s="37" t="inlineStr">
        <is>
          <t>Patrick</t>
        </is>
      </c>
      <c r="D1152" s="37" t="inlineStr">
        <is>
          <t>RETAINER</t>
        </is>
      </c>
      <c r="E1152" s="37" t="n">
        <v>20.8</v>
      </c>
      <c r="F1152" s="37" t="n">
        <v>6.1</v>
      </c>
    </row>
    <row r="1153">
      <c r="A1153" s="37" t="inlineStr">
        <is>
          <t>WL-02152</t>
        </is>
      </c>
      <c r="B1153" s="37" t="inlineStr">
        <is>
          <t>Miller</t>
        </is>
      </c>
      <c r="C1153" s="37" t="inlineStr">
        <is>
          <t>Sandra</t>
        </is>
      </c>
      <c r="D1153" s="37" t="inlineStr">
        <is>
          <t>ACTIVE_WAITLIST</t>
        </is>
      </c>
      <c r="E1153" s="37" t="n">
        <v>25.9</v>
      </c>
      <c r="F1153" s="37" t="n">
        <v>9</v>
      </c>
    </row>
    <row r="1154">
      <c r="A1154" s="37" t="inlineStr">
        <is>
          <t>WL-02153</t>
        </is>
      </c>
      <c r="B1154" s="37" t="inlineStr">
        <is>
          <t>Murray</t>
        </is>
      </c>
      <c r="C1154" s="37" t="inlineStr">
        <is>
          <t>Amy</t>
        </is>
      </c>
      <c r="D1154" s="37" t="inlineStr">
        <is>
          <t>ACTIVE_WAITLIST</t>
        </is>
      </c>
      <c r="E1154" s="37" t="n">
        <v>22.1</v>
      </c>
      <c r="F1154" s="37" t="n">
        <v>6.4</v>
      </c>
    </row>
    <row r="1155">
      <c r="A1155" s="37" t="inlineStr">
        <is>
          <t>WL-02154</t>
        </is>
      </c>
      <c r="B1155" s="37" t="inlineStr">
        <is>
          <t>Moore</t>
        </is>
      </c>
      <c r="C1155" s="37" t="inlineStr">
        <is>
          <t>Kimberly</t>
        </is>
      </c>
      <c r="D1155" s="37" t="inlineStr">
        <is>
          <t>RETAINER</t>
        </is>
      </c>
      <c r="E1155" s="37" t="n">
        <v>52</v>
      </c>
      <c r="F1155" s="37" t="n">
        <v>16.5</v>
      </c>
    </row>
    <row r="1156">
      <c r="A1156" s="37" t="inlineStr">
        <is>
          <t>WL-02155</t>
        </is>
      </c>
      <c r="B1156" s="37" t="inlineStr">
        <is>
          <t>Turner</t>
        </is>
      </c>
      <c r="C1156" s="37" t="inlineStr">
        <is>
          <t>Jeremy</t>
        </is>
      </c>
      <c r="D1156" s="37" t="inlineStr">
        <is>
          <t>ACTIVE_WAITLIST</t>
        </is>
      </c>
      <c r="E1156" s="37" t="n">
        <v>49.1</v>
      </c>
      <c r="F1156" s="37" t="n">
        <v>16.8</v>
      </c>
    </row>
    <row r="1157">
      <c r="A1157" s="37" t="inlineStr">
        <is>
          <t>WL-02156</t>
        </is>
      </c>
      <c r="B1157" s="37" t="inlineStr">
        <is>
          <t>Jenkins</t>
        </is>
      </c>
      <c r="C1157" s="37" t="inlineStr">
        <is>
          <t>Ariana</t>
        </is>
      </c>
      <c r="D1157" s="37" t="inlineStr">
        <is>
          <t>ACTIVE_WAITLIST</t>
        </is>
      </c>
      <c r="E1157" s="37" t="n">
        <v>40.2</v>
      </c>
      <c r="F1157" s="37" t="n">
        <v>13.1</v>
      </c>
    </row>
    <row r="1158">
      <c r="A1158" s="37" t="inlineStr">
        <is>
          <t>WL-02157</t>
        </is>
      </c>
      <c r="B1158" s="37" t="inlineStr">
        <is>
          <t>Price</t>
        </is>
      </c>
      <c r="C1158" s="37" t="inlineStr">
        <is>
          <t>Richard</t>
        </is>
      </c>
      <c r="D1158" s="37" t="inlineStr">
        <is>
          <t>RETAINER</t>
        </is>
      </c>
      <c r="E1158" s="37" t="n">
        <v>44.4</v>
      </c>
      <c r="F1158" s="37" t="n">
        <v>15.6</v>
      </c>
    </row>
    <row r="1159">
      <c r="A1159" s="37" t="inlineStr">
        <is>
          <t>WL-02158</t>
        </is>
      </c>
      <c r="B1159" s="37" t="inlineStr">
        <is>
          <t>Smith</t>
        </is>
      </c>
      <c r="C1159" s="37" t="inlineStr">
        <is>
          <t>Francisco</t>
        </is>
      </c>
      <c r="D1159" s="37" t="inlineStr">
        <is>
          <t>ACTIVE_WAITLIST</t>
        </is>
      </c>
      <c r="E1159" s="37" t="n">
        <v>56.2</v>
      </c>
      <c r="F1159" s="37" t="n">
        <v>17.5</v>
      </c>
    </row>
    <row r="1160">
      <c r="A1160" s="37" t="inlineStr">
        <is>
          <t>WL-02159</t>
        </is>
      </c>
      <c r="B1160" s="37" t="inlineStr">
        <is>
          <t>Peterson</t>
        </is>
      </c>
      <c r="C1160" s="37" t="inlineStr">
        <is>
          <t>Alexander</t>
        </is>
      </c>
      <c r="D1160" s="37" t="inlineStr">
        <is>
          <t>SUSPENDED</t>
        </is>
      </c>
      <c r="E1160" s="37" t="n">
        <v>50</v>
      </c>
      <c r="F1160" s="37" t="n">
        <v>16.4</v>
      </c>
    </row>
    <row r="1161">
      <c r="A1161" s="37" t="inlineStr">
        <is>
          <t>WL-02160</t>
        </is>
      </c>
      <c r="B1161" s="37" t="inlineStr">
        <is>
          <t>Lawrence</t>
        </is>
      </c>
      <c r="C1161" s="37" t="inlineStr">
        <is>
          <t>Alexander</t>
        </is>
      </c>
      <c r="D1161" s="37" t="inlineStr">
        <is>
          <t>ACTIVE_WAITLIST</t>
        </is>
      </c>
      <c r="E1161" s="37" t="n">
        <v>54.9</v>
      </c>
      <c r="F1161" s="37" t="n">
        <v>17.8</v>
      </c>
    </row>
    <row r="1162">
      <c r="A1162" s="37" t="inlineStr">
        <is>
          <t>WL-02161</t>
        </is>
      </c>
      <c r="B1162" s="37" t="inlineStr">
        <is>
          <t>Robinson</t>
        </is>
      </c>
      <c r="C1162" s="37" t="inlineStr">
        <is>
          <t>Erica</t>
        </is>
      </c>
      <c r="D1162" s="37" t="inlineStr">
        <is>
          <t>ACTIVE_WAITLIST</t>
        </is>
      </c>
      <c r="E1162" s="37" t="n">
        <v>59.6</v>
      </c>
      <c r="F1162" s="37" t="n">
        <v>17.2</v>
      </c>
    </row>
    <row r="1163">
      <c r="A1163" s="37" t="inlineStr">
        <is>
          <t>WL-02162</t>
        </is>
      </c>
      <c r="B1163" s="37" t="inlineStr">
        <is>
          <t>Smith</t>
        </is>
      </c>
      <c r="C1163" s="37" t="inlineStr">
        <is>
          <t>Susan</t>
        </is>
      </c>
      <c r="D1163" s="37" t="inlineStr">
        <is>
          <t>ACTIVE_WAITLIST</t>
        </is>
      </c>
      <c r="E1163" s="37" t="n">
        <v>40.3</v>
      </c>
      <c r="F1163" s="37" t="n">
        <v>12.1</v>
      </c>
    </row>
    <row r="1164">
      <c r="A1164" s="37" t="inlineStr">
        <is>
          <t>WL-02163</t>
        </is>
      </c>
      <c r="B1164" s="37" t="inlineStr">
        <is>
          <t>Brown</t>
        </is>
      </c>
      <c r="C1164" s="37" t="inlineStr">
        <is>
          <t>Kimberly</t>
        </is>
      </c>
      <c r="D1164" s="37" t="inlineStr">
        <is>
          <t>ACTIVE_WAITLIST</t>
        </is>
      </c>
      <c r="E1164" s="37" t="n">
        <v>21.9</v>
      </c>
      <c r="F1164" s="37" t="n">
        <v>6.5</v>
      </c>
    </row>
    <row r="1165">
      <c r="A1165" s="37" t="inlineStr">
        <is>
          <t>WL-02164</t>
        </is>
      </c>
      <c r="B1165" s="37" t="inlineStr">
        <is>
          <t>Thompson</t>
        </is>
      </c>
      <c r="C1165" s="37" t="inlineStr">
        <is>
          <t>Adrienne</t>
        </is>
      </c>
      <c r="D1165" s="37" t="inlineStr">
        <is>
          <t>ACTIVE_WAITLIST</t>
        </is>
      </c>
      <c r="E1165" s="37" t="n">
        <v>19.1</v>
      </c>
      <c r="F1165" s="37" t="n">
        <v>5.8</v>
      </c>
    </row>
    <row r="1166">
      <c r="A1166" s="37" t="inlineStr">
        <is>
          <t>WL-02165</t>
        </is>
      </c>
      <c r="B1166" s="37" t="inlineStr">
        <is>
          <t>Brown</t>
        </is>
      </c>
      <c r="C1166" s="37" t="inlineStr">
        <is>
          <t>Tiffany</t>
        </is>
      </c>
      <c r="D1166" s="37" t="inlineStr">
        <is>
          <t>ACTIVE_WAITLIST</t>
        </is>
      </c>
      <c r="E1166" s="37" t="n">
        <v>29.5</v>
      </c>
      <c r="F1166" s="37" t="n">
        <v>8.699999999999999</v>
      </c>
    </row>
    <row r="1167">
      <c r="A1167" s="37" t="inlineStr">
        <is>
          <t>WL-02166</t>
        </is>
      </c>
      <c r="B1167" s="37" t="inlineStr">
        <is>
          <t>Haney</t>
        </is>
      </c>
      <c r="C1167" s="37" t="inlineStr">
        <is>
          <t>Tonya</t>
        </is>
      </c>
      <c r="D1167" s="37" t="inlineStr">
        <is>
          <t>EXPIRED</t>
        </is>
      </c>
      <c r="E1167" s="37" t="n">
        <v>34.7</v>
      </c>
      <c r="F1167" s="37" t="n">
        <v>10.6</v>
      </c>
    </row>
    <row r="1168">
      <c r="A1168" s="37" t="inlineStr">
        <is>
          <t>WL-02167</t>
        </is>
      </c>
      <c r="B1168" s="37" t="inlineStr">
        <is>
          <t>Anderson</t>
        </is>
      </c>
      <c r="C1168" s="37" t="inlineStr">
        <is>
          <t>Jonathan</t>
        </is>
      </c>
      <c r="D1168" s="37" t="inlineStr">
        <is>
          <t>ACTIVE_WAITLIST</t>
        </is>
      </c>
      <c r="E1168" s="37" t="n">
        <v>22.8</v>
      </c>
      <c r="F1168" s="37" t="n">
        <v>7.7</v>
      </c>
    </row>
    <row r="1169">
      <c r="A1169" s="37" t="inlineStr">
        <is>
          <t>WL-02168</t>
        </is>
      </c>
      <c r="B1169" s="37" t="inlineStr">
        <is>
          <t>Stevens</t>
        </is>
      </c>
      <c r="C1169" s="37" t="inlineStr">
        <is>
          <t>William</t>
        </is>
      </c>
      <c r="D1169" s="37" t="inlineStr">
        <is>
          <t>ACTIVE_WAITLIST</t>
        </is>
      </c>
      <c r="E1169" s="37" t="n">
        <v>56.9</v>
      </c>
      <c r="F1169" s="37" t="n">
        <v>19.1</v>
      </c>
    </row>
    <row r="1170">
      <c r="A1170" s="37" t="inlineStr">
        <is>
          <t>WL-02169</t>
        </is>
      </c>
      <c r="B1170" s="37" t="inlineStr">
        <is>
          <t>Weber</t>
        </is>
      </c>
      <c r="C1170" s="37" t="inlineStr">
        <is>
          <t>Maria</t>
        </is>
      </c>
      <c r="D1170" s="37" t="inlineStr">
        <is>
          <t>ACTIVE_WAITLIST</t>
        </is>
      </c>
      <c r="E1170" s="37" t="n">
        <v>58.8</v>
      </c>
      <c r="F1170" s="37" t="n">
        <v>19.4</v>
      </c>
    </row>
    <row r="1171">
      <c r="A1171" s="37" t="inlineStr">
        <is>
          <t>WL-02170</t>
        </is>
      </c>
      <c r="B1171" s="37" t="inlineStr">
        <is>
          <t>Duke</t>
        </is>
      </c>
      <c r="C1171" s="37" t="inlineStr">
        <is>
          <t>Robin</t>
        </is>
      </c>
      <c r="D1171" s="37" t="inlineStr">
        <is>
          <t>ACTIVE_WAITLIST</t>
        </is>
      </c>
      <c r="E1171" s="37" t="n">
        <v>31.4</v>
      </c>
      <c r="F1171" s="37" t="n">
        <v>9.1</v>
      </c>
    </row>
    <row r="1172">
      <c r="A1172" s="37" t="inlineStr">
        <is>
          <t>WL-02171</t>
        </is>
      </c>
      <c r="B1172" s="37" t="inlineStr">
        <is>
          <t>Hill</t>
        </is>
      </c>
      <c r="C1172" s="37" t="inlineStr">
        <is>
          <t>Andrea</t>
        </is>
      </c>
      <c r="D1172" s="37" t="inlineStr">
        <is>
          <t>ACTIVE_WAITLIST</t>
        </is>
      </c>
      <c r="E1172" s="37" t="n">
        <v>41.5</v>
      </c>
      <c r="F1172" s="37" t="n">
        <v>14.1</v>
      </c>
    </row>
    <row r="1173">
      <c r="A1173" s="37" t="inlineStr">
        <is>
          <t>WL-02172</t>
        </is>
      </c>
      <c r="B1173" s="37" t="inlineStr">
        <is>
          <t>Bishop</t>
        </is>
      </c>
      <c r="C1173" s="37" t="inlineStr">
        <is>
          <t>Anna</t>
        </is>
      </c>
      <c r="D1173" s="37" t="inlineStr">
        <is>
          <t>ACTIVE_WAITLIST</t>
        </is>
      </c>
      <c r="E1173" s="37" t="n">
        <v>53.4</v>
      </c>
      <c r="F1173" s="37" t="n">
        <v>17</v>
      </c>
    </row>
    <row r="1174">
      <c r="A1174" s="37" t="inlineStr">
        <is>
          <t>WL-02173</t>
        </is>
      </c>
      <c r="B1174" s="37" t="inlineStr">
        <is>
          <t>Parker</t>
        </is>
      </c>
      <c r="C1174" s="37" t="inlineStr">
        <is>
          <t>Lisa</t>
        </is>
      </c>
      <c r="D1174" s="37" t="inlineStr">
        <is>
          <t>ACTIVE_WAITLIST</t>
        </is>
      </c>
      <c r="E1174" s="37" t="n">
        <v>38.4</v>
      </c>
      <c r="F1174" s="37" t="n">
        <v>11.7</v>
      </c>
    </row>
    <row r="1175">
      <c r="A1175" s="37" t="inlineStr">
        <is>
          <t>WL-02174</t>
        </is>
      </c>
      <c r="B1175" s="37" t="inlineStr">
        <is>
          <t>Stevens</t>
        </is>
      </c>
      <c r="C1175" s="37" t="inlineStr">
        <is>
          <t>Kelly</t>
        </is>
      </c>
      <c r="D1175" s="37" t="inlineStr">
        <is>
          <t>ACTIVE_WAITLIST</t>
        </is>
      </c>
      <c r="E1175" s="37" t="n">
        <v>29.5</v>
      </c>
      <c r="F1175" s="37" t="n">
        <v>9.800000000000001</v>
      </c>
    </row>
    <row r="1176">
      <c r="A1176" s="37" t="inlineStr">
        <is>
          <t>WL-02175</t>
        </is>
      </c>
      <c r="B1176" s="37" t="inlineStr">
        <is>
          <t>Hill</t>
        </is>
      </c>
      <c r="C1176" s="37" t="inlineStr">
        <is>
          <t>Eric</t>
        </is>
      </c>
      <c r="D1176" s="37" t="inlineStr">
        <is>
          <t>EXPIRED</t>
        </is>
      </c>
      <c r="E1176" s="37" t="n">
        <v>43.2</v>
      </c>
      <c r="F1176" s="37" t="n">
        <v>12.2</v>
      </c>
    </row>
    <row r="1177">
      <c r="A1177" s="37" t="inlineStr">
        <is>
          <t>WL-02176</t>
        </is>
      </c>
      <c r="B1177" s="37" t="inlineStr">
        <is>
          <t>Robinson</t>
        </is>
      </c>
      <c r="C1177" s="37" t="inlineStr">
        <is>
          <t>Susan</t>
        </is>
      </c>
      <c r="D1177" s="37" t="inlineStr">
        <is>
          <t>RETAINER</t>
        </is>
      </c>
      <c r="E1177" s="37" t="n">
        <v>34.3</v>
      </c>
      <c r="F1177" s="37" t="n">
        <v>11.6</v>
      </c>
    </row>
    <row r="1178">
      <c r="A1178" s="37" t="inlineStr">
        <is>
          <t>WL-02177</t>
        </is>
      </c>
      <c r="B1178" s="37" t="inlineStr">
        <is>
          <t>Perez</t>
        </is>
      </c>
      <c r="C1178" s="37" t="inlineStr">
        <is>
          <t>Charles</t>
        </is>
      </c>
      <c r="D1178" s="37" t="inlineStr">
        <is>
          <t>ACTIVE_WAITLIST</t>
        </is>
      </c>
      <c r="E1178" s="37" t="n">
        <v>45.9</v>
      </c>
      <c r="F1178" s="37" t="n">
        <v>15.7</v>
      </c>
    </row>
    <row r="1179">
      <c r="A1179" s="37" t="inlineStr">
        <is>
          <t>WL-02178</t>
        </is>
      </c>
      <c r="B1179" s="37" t="inlineStr">
        <is>
          <t>Stone</t>
        </is>
      </c>
      <c r="C1179" s="37" t="inlineStr">
        <is>
          <t>Thomas</t>
        </is>
      </c>
      <c r="D1179" s="37" t="inlineStr">
        <is>
          <t>ACTIVE_WAITLIST</t>
        </is>
      </c>
      <c r="E1179" s="37" t="n">
        <v>24.8</v>
      </c>
      <c r="F1179" s="37" t="n">
        <v>7.6</v>
      </c>
    </row>
    <row r="1180">
      <c r="A1180" s="37" t="inlineStr">
        <is>
          <t>WL-02179</t>
        </is>
      </c>
      <c r="B1180" s="37" t="inlineStr">
        <is>
          <t>King</t>
        </is>
      </c>
      <c r="C1180" s="37" t="inlineStr">
        <is>
          <t>Charles</t>
        </is>
      </c>
      <c r="D1180" s="37" t="inlineStr">
        <is>
          <t>ACTIVE_WAITLIST</t>
        </is>
      </c>
      <c r="E1180" s="37" t="n">
        <v>40.6</v>
      </c>
      <c r="F1180" s="37" t="n">
        <v>13</v>
      </c>
    </row>
    <row r="1181">
      <c r="A1181" s="37" t="inlineStr">
        <is>
          <t>WL-02180</t>
        </is>
      </c>
      <c r="B1181" s="37" t="inlineStr">
        <is>
          <t>Jones</t>
        </is>
      </c>
      <c r="C1181" s="37" t="inlineStr">
        <is>
          <t>Michele</t>
        </is>
      </c>
      <c r="D1181" s="37" t="inlineStr">
        <is>
          <t>ACTIVE_WAITLIST</t>
        </is>
      </c>
      <c r="E1181" s="37" t="n">
        <v>59.4</v>
      </c>
      <c r="F1181" s="37" t="n">
        <v>20</v>
      </c>
    </row>
    <row r="1182">
      <c r="A1182" s="37" t="inlineStr">
        <is>
          <t>WL-02181</t>
        </is>
      </c>
      <c r="B1182" s="37" t="inlineStr">
        <is>
          <t>Spence</t>
        </is>
      </c>
      <c r="C1182" s="37" t="inlineStr">
        <is>
          <t>Samantha</t>
        </is>
      </c>
      <c r="D1182" s="37" t="inlineStr">
        <is>
          <t>ACTIVE_WAITLIST</t>
        </is>
      </c>
      <c r="E1182" s="37" t="n">
        <v>33.4</v>
      </c>
      <c r="F1182" s="37" t="n">
        <v>10.1</v>
      </c>
    </row>
    <row r="1183">
      <c r="A1183" s="37" t="inlineStr">
        <is>
          <t>WL-02182</t>
        </is>
      </c>
      <c r="B1183" s="37" t="inlineStr">
        <is>
          <t>Jones</t>
        </is>
      </c>
      <c r="C1183" s="37" t="inlineStr">
        <is>
          <t>Jerry</t>
        </is>
      </c>
      <c r="D1183" s="37" t="inlineStr">
        <is>
          <t>ACTIVE_WAITLIST</t>
        </is>
      </c>
      <c r="E1183" s="37" t="n">
        <v>48.7</v>
      </c>
      <c r="F1183" s="37" t="n">
        <v>16.9</v>
      </c>
    </row>
    <row r="1184">
      <c r="A1184" s="37" t="inlineStr">
        <is>
          <t>WL-02183</t>
        </is>
      </c>
      <c r="B1184" s="37" t="inlineStr">
        <is>
          <t>Ward</t>
        </is>
      </c>
      <c r="C1184" s="37" t="inlineStr">
        <is>
          <t>Emily</t>
        </is>
      </c>
      <c r="D1184" s="37" t="inlineStr">
        <is>
          <t>EXPIRED</t>
        </is>
      </c>
      <c r="E1184" s="37" t="n">
        <v>20.9</v>
      </c>
      <c r="F1184" s="37" t="n">
        <v>7</v>
      </c>
    </row>
    <row r="1185">
      <c r="A1185" s="37" t="inlineStr">
        <is>
          <t>WL-02184</t>
        </is>
      </c>
      <c r="B1185" s="37" t="inlineStr">
        <is>
          <t>Wiley</t>
        </is>
      </c>
      <c r="C1185" s="37" t="inlineStr">
        <is>
          <t>Leonard</t>
        </is>
      </c>
      <c r="D1185" s="37" t="inlineStr">
        <is>
          <t>ACTIVE_WAITLIST</t>
        </is>
      </c>
      <c r="E1185" s="37" t="n">
        <v>31.8</v>
      </c>
      <c r="F1185" s="37" t="n">
        <v>9.1</v>
      </c>
    </row>
    <row r="1186">
      <c r="A1186" s="37" t="inlineStr">
        <is>
          <t>WL-02185</t>
        </is>
      </c>
      <c r="B1186" s="37" t="inlineStr">
        <is>
          <t>Lopez</t>
        </is>
      </c>
      <c r="C1186" s="37" t="inlineStr">
        <is>
          <t>Kelly</t>
        </is>
      </c>
      <c r="D1186" s="37" t="inlineStr">
        <is>
          <t>ACTIVE_WAITLIST</t>
        </is>
      </c>
      <c r="E1186" s="37" t="n">
        <v>22.7</v>
      </c>
      <c r="F1186" s="37" t="n">
        <v>7.1</v>
      </c>
    </row>
    <row r="1187">
      <c r="A1187" s="37" t="inlineStr">
        <is>
          <t>WL-02186</t>
        </is>
      </c>
      <c r="B1187" s="37" t="inlineStr">
        <is>
          <t>Lewis</t>
        </is>
      </c>
      <c r="C1187" s="37" t="inlineStr">
        <is>
          <t>Karen</t>
        </is>
      </c>
      <c r="D1187" s="37" t="inlineStr">
        <is>
          <t>ACTIVE_WAITLIST</t>
        </is>
      </c>
      <c r="E1187" s="37" t="n">
        <v>31.4</v>
      </c>
      <c r="F1187" s="37" t="n">
        <v>10.5</v>
      </c>
    </row>
    <row r="1188">
      <c r="A1188" s="37" t="inlineStr">
        <is>
          <t>WL-02187</t>
        </is>
      </c>
      <c r="B1188" s="37" t="inlineStr">
        <is>
          <t>Gordon</t>
        </is>
      </c>
      <c r="C1188" s="37" t="inlineStr">
        <is>
          <t>Leonard</t>
        </is>
      </c>
      <c r="D1188" s="37" t="inlineStr">
        <is>
          <t>ACTIVE_WAITLIST</t>
        </is>
      </c>
      <c r="E1188" s="37" t="n">
        <v>54.9</v>
      </c>
      <c r="F1188" s="37" t="n">
        <v>18.8</v>
      </c>
    </row>
    <row r="1189">
      <c r="A1189" s="37" t="inlineStr">
        <is>
          <t>WL-02188</t>
        </is>
      </c>
      <c r="B1189" s="37" t="inlineStr">
        <is>
          <t>Zamora</t>
        </is>
      </c>
      <c r="C1189" s="37" t="inlineStr">
        <is>
          <t>Courtney</t>
        </is>
      </c>
      <c r="D1189" s="37" t="inlineStr">
        <is>
          <t>ACTIVE_WAITLIST</t>
        </is>
      </c>
      <c r="E1189" s="37" t="n">
        <v>32.3</v>
      </c>
      <c r="F1189" s="37" t="n">
        <v>11.4</v>
      </c>
    </row>
    <row r="1190">
      <c r="A1190" s="37" t="inlineStr">
        <is>
          <t>WL-02189</t>
        </is>
      </c>
      <c r="B1190" s="37" t="inlineStr">
        <is>
          <t>Garcia</t>
        </is>
      </c>
      <c r="C1190" s="37" t="inlineStr">
        <is>
          <t>Richard</t>
        </is>
      </c>
      <c r="D1190" s="37" t="inlineStr">
        <is>
          <t>ACTIVE_WAITLIST</t>
        </is>
      </c>
      <c r="E1190" s="37" t="n">
        <v>41.5</v>
      </c>
      <c r="F1190" s="37" t="n">
        <v>14.7</v>
      </c>
    </row>
    <row r="1191">
      <c r="A1191" s="37" t="inlineStr">
        <is>
          <t>WL-02190</t>
        </is>
      </c>
      <c r="B1191" s="37" t="inlineStr">
        <is>
          <t>Mills</t>
        </is>
      </c>
      <c r="C1191" s="37" t="inlineStr">
        <is>
          <t>Dale</t>
        </is>
      </c>
      <c r="D1191" s="37" t="inlineStr">
        <is>
          <t>ACTIVE_WAITLIST</t>
        </is>
      </c>
      <c r="E1191" s="37" t="n">
        <v>59.8</v>
      </c>
      <c r="F1191" s="37" t="n">
        <v>18.6</v>
      </c>
    </row>
    <row r="1192">
      <c r="A1192" s="37" t="inlineStr">
        <is>
          <t>WL-02191</t>
        </is>
      </c>
      <c r="B1192" s="37" t="inlineStr">
        <is>
          <t>Farmer</t>
        </is>
      </c>
      <c r="C1192" s="37" t="inlineStr">
        <is>
          <t>Michelle</t>
        </is>
      </c>
      <c r="D1192" s="37" t="inlineStr">
        <is>
          <t>EXPIRED</t>
        </is>
      </c>
      <c r="E1192" s="37" t="n">
        <v>38.8</v>
      </c>
      <c r="F1192" s="37" t="n">
        <v>11</v>
      </c>
    </row>
    <row r="1193">
      <c r="A1193" s="37" t="inlineStr">
        <is>
          <t>WL-02192</t>
        </is>
      </c>
      <c r="B1193" s="37" t="inlineStr">
        <is>
          <t>Woodard</t>
        </is>
      </c>
      <c r="C1193" s="37" t="inlineStr">
        <is>
          <t>Jesus</t>
        </is>
      </c>
      <c r="D1193" s="37" t="inlineStr">
        <is>
          <t>RETAINER</t>
        </is>
      </c>
      <c r="E1193" s="37" t="n">
        <v>29.2</v>
      </c>
      <c r="F1193" s="37" t="n">
        <v>10</v>
      </c>
    </row>
    <row r="1194">
      <c r="A1194" s="37" t="inlineStr">
        <is>
          <t>WL-02193</t>
        </is>
      </c>
      <c r="B1194" s="37" t="inlineStr">
        <is>
          <t>Berg</t>
        </is>
      </c>
      <c r="C1194" s="37" t="inlineStr">
        <is>
          <t>Valerie</t>
        </is>
      </c>
      <c r="D1194" s="37" t="inlineStr">
        <is>
          <t>ACTIVE_WAITLIST</t>
        </is>
      </c>
      <c r="E1194" s="37" t="n">
        <v>49.2</v>
      </c>
      <c r="F1194" s="37" t="n">
        <v>14.9</v>
      </c>
    </row>
    <row r="1195">
      <c r="A1195" s="37" t="inlineStr">
        <is>
          <t>WL-02194</t>
        </is>
      </c>
      <c r="B1195" s="37" t="inlineStr">
        <is>
          <t>Williamson</t>
        </is>
      </c>
      <c r="C1195" s="37" t="inlineStr">
        <is>
          <t>Victoria</t>
        </is>
      </c>
      <c r="D1195" s="37" t="inlineStr">
        <is>
          <t>ACTIVE_WAITLIST</t>
        </is>
      </c>
      <c r="E1195" s="37" t="n">
        <v>22</v>
      </c>
      <c r="F1195" s="37" t="n">
        <v>7.5</v>
      </c>
    </row>
    <row r="1196">
      <c r="A1196" s="37" t="inlineStr">
        <is>
          <t>WL-02195</t>
        </is>
      </c>
      <c r="B1196" s="37" t="inlineStr">
        <is>
          <t>Baker</t>
        </is>
      </c>
      <c r="C1196" s="37" t="inlineStr">
        <is>
          <t>Thomas</t>
        </is>
      </c>
      <c r="D1196" s="37" t="inlineStr">
        <is>
          <t>EXPIRED</t>
        </is>
      </c>
      <c r="E1196" s="37" t="n">
        <v>43.1</v>
      </c>
      <c r="F1196" s="37" t="n">
        <v>12.4</v>
      </c>
    </row>
    <row r="1197">
      <c r="A1197" s="37" t="inlineStr">
        <is>
          <t>WL-02196</t>
        </is>
      </c>
      <c r="B1197" s="37" t="inlineStr">
        <is>
          <t>Ruiz</t>
        </is>
      </c>
      <c r="C1197" s="37" t="inlineStr">
        <is>
          <t>Gloria</t>
        </is>
      </c>
      <c r="D1197" s="37" t="inlineStr">
        <is>
          <t>ACTIVE_WAITLIST</t>
        </is>
      </c>
      <c r="E1197" s="37" t="n">
        <v>61.7</v>
      </c>
      <c r="F1197" s="37" t="n">
        <v>18</v>
      </c>
    </row>
    <row r="1198">
      <c r="A1198" s="37" t="inlineStr">
        <is>
          <t>WL-02197</t>
        </is>
      </c>
      <c r="B1198" s="37" t="inlineStr">
        <is>
          <t>Nicholson</t>
        </is>
      </c>
      <c r="C1198" s="37" t="inlineStr">
        <is>
          <t>Jasmine</t>
        </is>
      </c>
      <c r="D1198" s="37" t="inlineStr">
        <is>
          <t>ACTIVE_WAITLIST</t>
        </is>
      </c>
      <c r="E1198" s="37" t="n">
        <v>37.3</v>
      </c>
      <c r="F1198" s="37" t="n">
        <v>11.3</v>
      </c>
    </row>
    <row r="1199">
      <c r="A1199" s="37" t="inlineStr">
        <is>
          <t>WL-02198</t>
        </is>
      </c>
      <c r="B1199" s="37" t="inlineStr">
        <is>
          <t>Torres</t>
        </is>
      </c>
      <c r="C1199" s="37" t="inlineStr">
        <is>
          <t>James</t>
        </is>
      </c>
      <c r="D1199" s="37" t="inlineStr">
        <is>
          <t>ACTIVE_WAITLIST</t>
        </is>
      </c>
      <c r="E1199" s="37" t="n">
        <v>54.3</v>
      </c>
      <c r="F1199" s="37" t="n">
        <v>19.1</v>
      </c>
    </row>
    <row r="1200">
      <c r="A1200" s="37" t="inlineStr">
        <is>
          <t>WL-02199</t>
        </is>
      </c>
      <c r="B1200" s="37" t="inlineStr">
        <is>
          <t>Perez</t>
        </is>
      </c>
      <c r="C1200" s="37" t="inlineStr">
        <is>
          <t>Patricia</t>
        </is>
      </c>
      <c r="D1200" s="37" t="inlineStr">
        <is>
          <t>EXPIRED</t>
        </is>
      </c>
      <c r="E1200" s="37" t="n">
        <v>33.8</v>
      </c>
      <c r="F1200" s="37" t="n">
        <v>11</v>
      </c>
    </row>
    <row r="1201">
      <c r="A1201" s="37" t="inlineStr">
        <is>
          <t>WL-02200</t>
        </is>
      </c>
      <c r="B1201" s="37" t="inlineStr">
        <is>
          <t>Howell</t>
        </is>
      </c>
      <c r="C1201" s="37" t="inlineStr">
        <is>
          <t>Kristine</t>
        </is>
      </c>
      <c r="D1201" s="37" t="inlineStr">
        <is>
          <t>ACTIVE_WAITLIST</t>
        </is>
      </c>
      <c r="E1201" s="37" t="n">
        <v>49.4</v>
      </c>
      <c r="F1201" s="37" t="n">
        <v>14</v>
      </c>
    </row>
    <row r="1202">
      <c r="A1202" s="37" t="inlineStr">
        <is>
          <t>WL-02201</t>
        </is>
      </c>
      <c r="B1202" s="37" t="inlineStr">
        <is>
          <t>Gould</t>
        </is>
      </c>
      <c r="C1202" s="37" t="inlineStr">
        <is>
          <t>Johnathan</t>
        </is>
      </c>
      <c r="D1202" s="37" t="inlineStr">
        <is>
          <t>ACTIVE_WAITLIST</t>
        </is>
      </c>
      <c r="E1202" s="37" t="n">
        <v>38</v>
      </c>
      <c r="F1202" s="37" t="n">
        <v>11</v>
      </c>
    </row>
    <row r="1203">
      <c r="A1203" s="37" t="inlineStr">
        <is>
          <t>WL-02202</t>
        </is>
      </c>
      <c r="B1203" s="37" t="inlineStr">
        <is>
          <t>Ortiz</t>
        </is>
      </c>
      <c r="C1203" s="37" t="inlineStr">
        <is>
          <t>Andrew</t>
        </is>
      </c>
      <c r="D1203" s="37" t="inlineStr">
        <is>
          <t>ACTIVE_WAITLIST</t>
        </is>
      </c>
      <c r="E1203" s="37" t="n">
        <v>42.4</v>
      </c>
      <c r="F1203" s="37" t="n">
        <v>12.7</v>
      </c>
    </row>
    <row r="1204">
      <c r="A1204" s="37" t="inlineStr">
        <is>
          <t>WL-02203</t>
        </is>
      </c>
      <c r="B1204" s="37" t="inlineStr">
        <is>
          <t>Bartlett</t>
        </is>
      </c>
      <c r="C1204" s="37" t="inlineStr">
        <is>
          <t>Amanda</t>
        </is>
      </c>
      <c r="D1204" s="37" t="inlineStr">
        <is>
          <t>RETAINER</t>
        </is>
      </c>
      <c r="E1204" s="37" t="n">
        <v>34.3</v>
      </c>
      <c r="F1204" s="37" t="n">
        <v>11.5</v>
      </c>
    </row>
    <row r="1205">
      <c r="A1205" s="37" t="inlineStr">
        <is>
          <t>WL-02204</t>
        </is>
      </c>
      <c r="B1205" s="37" t="inlineStr">
        <is>
          <t>Hansen</t>
        </is>
      </c>
      <c r="C1205" s="37" t="inlineStr">
        <is>
          <t>Julia</t>
        </is>
      </c>
      <c r="D1205" s="37" t="inlineStr">
        <is>
          <t>ACTIVE_WAITLIST</t>
        </is>
      </c>
      <c r="E1205" s="37" t="n">
        <v>58.9</v>
      </c>
      <c r="F1205" s="37" t="n">
        <v>18.1</v>
      </c>
    </row>
    <row r="1206">
      <c r="A1206" s="37" t="inlineStr">
        <is>
          <t>WL-02205</t>
        </is>
      </c>
      <c r="B1206" s="37" t="inlineStr">
        <is>
          <t>Rivas</t>
        </is>
      </c>
      <c r="C1206" s="37" t="inlineStr">
        <is>
          <t>Robert</t>
        </is>
      </c>
      <c r="D1206" s="37" t="inlineStr">
        <is>
          <t>ACTIVE_WAITLIST</t>
        </is>
      </c>
      <c r="E1206" s="37" t="n">
        <v>34.3</v>
      </c>
      <c r="F1206" s="37" t="n">
        <v>11</v>
      </c>
    </row>
    <row r="1207">
      <c r="A1207" s="37" t="inlineStr">
        <is>
          <t>WL-02206</t>
        </is>
      </c>
      <c r="B1207" s="37" t="inlineStr">
        <is>
          <t>Morris</t>
        </is>
      </c>
      <c r="C1207" s="37" t="inlineStr">
        <is>
          <t>Mary</t>
        </is>
      </c>
      <c r="D1207" s="37" t="inlineStr">
        <is>
          <t>ACTIVE_WAITLIST</t>
        </is>
      </c>
      <c r="E1207" s="37" t="n">
        <v>38.3</v>
      </c>
      <c r="F1207" s="37" t="n">
        <v>12.7</v>
      </c>
    </row>
    <row r="1208">
      <c r="A1208" s="37" t="inlineStr">
        <is>
          <t>WL-02207</t>
        </is>
      </c>
      <c r="B1208" s="37" t="inlineStr">
        <is>
          <t>Lane</t>
        </is>
      </c>
      <c r="C1208" s="37" t="inlineStr">
        <is>
          <t>Zachary</t>
        </is>
      </c>
      <c r="D1208" s="37" t="inlineStr">
        <is>
          <t>ACTIVE_WAITLIST</t>
        </is>
      </c>
      <c r="E1208" s="37" t="n">
        <v>26.8</v>
      </c>
      <c r="F1208" s="37" t="n">
        <v>8.6</v>
      </c>
    </row>
    <row r="1209">
      <c r="A1209" s="37" t="inlineStr">
        <is>
          <t>WL-02208</t>
        </is>
      </c>
      <c r="B1209" s="37" t="inlineStr">
        <is>
          <t>Bush</t>
        </is>
      </c>
      <c r="C1209" s="37" t="inlineStr">
        <is>
          <t>Richard</t>
        </is>
      </c>
      <c r="D1209" s="37" t="inlineStr">
        <is>
          <t>ACTIVE_WAITLIST</t>
        </is>
      </c>
      <c r="E1209" s="37" t="n">
        <v>40.4</v>
      </c>
      <c r="F1209" s="37" t="n">
        <v>12</v>
      </c>
    </row>
    <row r="1210">
      <c r="A1210" s="37" t="inlineStr">
        <is>
          <t>WL-02209</t>
        </is>
      </c>
      <c r="B1210" s="37" t="inlineStr">
        <is>
          <t>Garcia</t>
        </is>
      </c>
      <c r="C1210" s="37" t="inlineStr">
        <is>
          <t>Christine</t>
        </is>
      </c>
      <c r="D1210" s="37" t="inlineStr">
        <is>
          <t>RETAINER</t>
        </is>
      </c>
      <c r="E1210" s="37" t="n">
        <v>45.2</v>
      </c>
      <c r="F1210" s="37" t="n">
        <v>13.9</v>
      </c>
    </row>
    <row r="1211">
      <c r="A1211" s="37" t="inlineStr">
        <is>
          <t>WL-02210</t>
        </is>
      </c>
      <c r="B1211" s="37" t="inlineStr">
        <is>
          <t>Huber</t>
        </is>
      </c>
      <c r="C1211" s="37" t="inlineStr">
        <is>
          <t>Erika</t>
        </is>
      </c>
      <c r="D1211" s="37" t="inlineStr">
        <is>
          <t>ACTIVE_WAITLIST</t>
        </is>
      </c>
      <c r="E1211" s="37" t="n">
        <v>40</v>
      </c>
      <c r="F1211" s="37" t="n">
        <v>13.8</v>
      </c>
    </row>
    <row r="1212">
      <c r="A1212" s="37" t="inlineStr">
        <is>
          <t>WL-02211</t>
        </is>
      </c>
      <c r="B1212" s="37" t="inlineStr">
        <is>
          <t>Mallory</t>
        </is>
      </c>
      <c r="C1212" s="37" t="inlineStr">
        <is>
          <t>Ruth</t>
        </is>
      </c>
      <c r="D1212" s="37" t="inlineStr">
        <is>
          <t>ACTIVE_WAITLIST</t>
        </is>
      </c>
      <c r="E1212" s="37" t="n">
        <v>31.4</v>
      </c>
      <c r="F1212" s="37" t="n">
        <v>10.8</v>
      </c>
    </row>
    <row r="1213">
      <c r="A1213" s="37" t="inlineStr">
        <is>
          <t>WL-02212</t>
        </is>
      </c>
      <c r="B1213" s="37" t="inlineStr">
        <is>
          <t>Delacruz</t>
        </is>
      </c>
      <c r="C1213" s="37" t="inlineStr">
        <is>
          <t>Jeffery</t>
        </is>
      </c>
      <c r="D1213" s="37" t="inlineStr">
        <is>
          <t>ACTIVE_WAITLIST</t>
        </is>
      </c>
      <c r="E1213" s="37" t="n">
        <v>54.3</v>
      </c>
      <c r="F1213" s="37" t="n">
        <v>18.7</v>
      </c>
    </row>
    <row r="1214">
      <c r="A1214" s="37" t="inlineStr">
        <is>
          <t>WL-02213</t>
        </is>
      </c>
      <c r="B1214" s="37" t="inlineStr">
        <is>
          <t>Miller</t>
        </is>
      </c>
      <c r="C1214" s="37" t="inlineStr">
        <is>
          <t>Thomas</t>
        </is>
      </c>
      <c r="D1214" s="37" t="inlineStr">
        <is>
          <t>ACTIVE_WAITLIST</t>
        </is>
      </c>
      <c r="E1214" s="37" t="n">
        <v>44.9</v>
      </c>
      <c r="F1214" s="37" t="n">
        <v>14.9</v>
      </c>
    </row>
    <row r="1215">
      <c r="A1215" s="37" t="inlineStr">
        <is>
          <t>WL-02214</t>
        </is>
      </c>
      <c r="B1215" s="37" t="inlineStr">
        <is>
          <t>Perry</t>
        </is>
      </c>
      <c r="C1215" s="37" t="inlineStr">
        <is>
          <t>David</t>
        </is>
      </c>
      <c r="D1215" s="37" t="inlineStr">
        <is>
          <t>ACTIVE_WAITLIST</t>
        </is>
      </c>
      <c r="E1215" s="37" t="n">
        <v>20.2</v>
      </c>
      <c r="F1215" s="37" t="n">
        <v>7</v>
      </c>
    </row>
    <row r="1216">
      <c r="A1216" s="37" t="inlineStr">
        <is>
          <t>WL-02215</t>
        </is>
      </c>
      <c r="B1216" s="37" t="inlineStr">
        <is>
          <t>Gilbert</t>
        </is>
      </c>
      <c r="C1216" s="37" t="inlineStr">
        <is>
          <t>Andrew</t>
        </is>
      </c>
      <c r="D1216" s="37" t="inlineStr">
        <is>
          <t>ACTIVE_WAITLIST</t>
        </is>
      </c>
      <c r="E1216" s="37" t="n">
        <v>25.6</v>
      </c>
      <c r="F1216" s="37" t="n">
        <v>8</v>
      </c>
    </row>
    <row r="1217">
      <c r="A1217" s="37" t="inlineStr">
        <is>
          <t>WL-02216</t>
        </is>
      </c>
      <c r="B1217" s="37" t="inlineStr">
        <is>
          <t>Diaz</t>
        </is>
      </c>
      <c r="C1217" s="37" t="inlineStr">
        <is>
          <t>Michael</t>
        </is>
      </c>
      <c r="D1217" s="37" t="inlineStr">
        <is>
          <t>ACTIVE_WAITLIST</t>
        </is>
      </c>
      <c r="E1217" s="37" t="n">
        <v>60.3</v>
      </c>
      <c r="F1217" s="37" t="n">
        <v>20.6</v>
      </c>
    </row>
    <row r="1218">
      <c r="A1218" s="37" t="inlineStr">
        <is>
          <t>WL-02217</t>
        </is>
      </c>
      <c r="B1218" s="37" t="inlineStr">
        <is>
          <t>Morales</t>
        </is>
      </c>
      <c r="C1218" s="37" t="inlineStr">
        <is>
          <t>Rose</t>
        </is>
      </c>
      <c r="D1218" s="37" t="inlineStr">
        <is>
          <t>ACTIVE_WAITLIST</t>
        </is>
      </c>
      <c r="E1218" s="37" t="n">
        <v>28.5</v>
      </c>
      <c r="F1218" s="37" t="n">
        <v>9.4</v>
      </c>
    </row>
    <row r="1219">
      <c r="A1219" s="37" t="inlineStr">
        <is>
          <t>WL-02218</t>
        </is>
      </c>
      <c r="B1219" s="37" t="inlineStr">
        <is>
          <t>Mccarthy</t>
        </is>
      </c>
      <c r="C1219" s="37" t="inlineStr">
        <is>
          <t>Dawn</t>
        </is>
      </c>
      <c r="D1219" s="37" t="inlineStr">
        <is>
          <t>ACTIVE_WAITLIST</t>
        </is>
      </c>
      <c r="E1219" s="37" t="n">
        <v>54.2</v>
      </c>
      <c r="F1219" s="37" t="n">
        <v>19.1</v>
      </c>
    </row>
    <row r="1220">
      <c r="A1220" s="37" t="inlineStr">
        <is>
          <t>WL-02219</t>
        </is>
      </c>
      <c r="B1220" s="37" t="inlineStr">
        <is>
          <t>Cameron</t>
        </is>
      </c>
      <c r="C1220" s="37" t="inlineStr">
        <is>
          <t>Grant</t>
        </is>
      </c>
      <c r="D1220" s="37" t="inlineStr">
        <is>
          <t>ACTIVE_WAITLIST</t>
        </is>
      </c>
      <c r="E1220" s="37" t="n">
        <v>19.8</v>
      </c>
      <c r="F1220" s="37" t="n">
        <v>5.6</v>
      </c>
    </row>
    <row r="1221">
      <c r="A1221" s="37" t="inlineStr">
        <is>
          <t>WL-02220</t>
        </is>
      </c>
      <c r="B1221" s="37" t="inlineStr">
        <is>
          <t>Garcia</t>
        </is>
      </c>
      <c r="C1221" s="37" t="inlineStr">
        <is>
          <t>Cassandra</t>
        </is>
      </c>
      <c r="D1221" s="37" t="inlineStr">
        <is>
          <t>ACTIVE_WAITLIST</t>
        </is>
      </c>
      <c r="E1221" s="37" t="n">
        <v>23</v>
      </c>
      <c r="F1221" s="37" t="n">
        <v>6.4</v>
      </c>
    </row>
    <row r="1222">
      <c r="A1222" s="37" t="inlineStr">
        <is>
          <t>WL-02221</t>
        </is>
      </c>
      <c r="B1222" s="37" t="inlineStr">
        <is>
          <t>Howe</t>
        </is>
      </c>
      <c r="C1222" s="37" t="inlineStr">
        <is>
          <t>Jason</t>
        </is>
      </c>
      <c r="D1222" s="37" t="inlineStr">
        <is>
          <t>ACTIVE_WAITLIST</t>
        </is>
      </c>
      <c r="E1222" s="37" t="n">
        <v>20.6</v>
      </c>
      <c r="F1222" s="37" t="n">
        <v>6.8</v>
      </c>
    </row>
    <row r="1223">
      <c r="A1223" s="37" t="inlineStr">
        <is>
          <t>WL-02222</t>
        </is>
      </c>
      <c r="B1223" s="37" t="inlineStr">
        <is>
          <t>Cook</t>
        </is>
      </c>
      <c r="C1223" s="37" t="inlineStr">
        <is>
          <t>David</t>
        </is>
      </c>
      <c r="D1223" s="37" t="inlineStr">
        <is>
          <t>ACTIVE_WAITLIST</t>
        </is>
      </c>
      <c r="E1223" s="37" t="n">
        <v>45.3</v>
      </c>
      <c r="F1223" s="37" t="n">
        <v>13.3</v>
      </c>
    </row>
    <row r="1224">
      <c r="A1224" s="37" t="inlineStr">
        <is>
          <t>WL-02223</t>
        </is>
      </c>
      <c r="B1224" s="37" t="inlineStr">
        <is>
          <t>Wilson</t>
        </is>
      </c>
      <c r="C1224" s="37" t="inlineStr">
        <is>
          <t>Ashley</t>
        </is>
      </c>
      <c r="D1224" s="37" t="inlineStr">
        <is>
          <t>ACTIVE_WAITLIST</t>
        </is>
      </c>
      <c r="E1224" s="37" t="n">
        <v>57.3</v>
      </c>
      <c r="F1224" s="37" t="n">
        <v>20.3</v>
      </c>
    </row>
    <row r="1225">
      <c r="A1225" s="37" t="inlineStr">
        <is>
          <t>WL-02224</t>
        </is>
      </c>
      <c r="B1225" s="37" t="inlineStr">
        <is>
          <t>Hawkins</t>
        </is>
      </c>
      <c r="C1225" s="37" t="inlineStr">
        <is>
          <t>Melissa</t>
        </is>
      </c>
      <c r="D1225" s="37" t="inlineStr">
        <is>
          <t>ACTIVE_WAITLIST</t>
        </is>
      </c>
      <c r="E1225" s="37" t="n">
        <v>19.9</v>
      </c>
      <c r="F1225" s="37" t="n">
        <v>6.4</v>
      </c>
    </row>
    <row r="1226">
      <c r="A1226" s="37" t="inlineStr">
        <is>
          <t>WL-02225</t>
        </is>
      </c>
      <c r="B1226" s="37" t="inlineStr">
        <is>
          <t>Gregory</t>
        </is>
      </c>
      <c r="C1226" s="37" t="inlineStr">
        <is>
          <t>Scott</t>
        </is>
      </c>
      <c r="D1226" s="37" t="inlineStr">
        <is>
          <t>RETAINER</t>
        </is>
      </c>
      <c r="E1226" s="37" t="n">
        <v>57.5</v>
      </c>
      <c r="F1226" s="37" t="n">
        <v>17.4</v>
      </c>
    </row>
    <row r="1227">
      <c r="A1227" s="37" t="inlineStr">
        <is>
          <t>WL-02226</t>
        </is>
      </c>
      <c r="B1227" s="37" t="inlineStr">
        <is>
          <t>Morris</t>
        </is>
      </c>
      <c r="C1227" s="37" t="inlineStr">
        <is>
          <t>Dale</t>
        </is>
      </c>
      <c r="D1227" s="37" t="inlineStr">
        <is>
          <t>ACTIVE_WAITLIST</t>
        </is>
      </c>
      <c r="E1227" s="37" t="n">
        <v>59.3</v>
      </c>
      <c r="F1227" s="37" t="n">
        <v>20.8</v>
      </c>
    </row>
    <row r="1228">
      <c r="A1228" s="37" t="inlineStr">
        <is>
          <t>WL-02227</t>
        </is>
      </c>
      <c r="B1228" s="37" t="inlineStr">
        <is>
          <t>Smith</t>
        </is>
      </c>
      <c r="C1228" s="37" t="inlineStr">
        <is>
          <t>Sara</t>
        </is>
      </c>
      <c r="D1228" s="37" t="inlineStr">
        <is>
          <t>RETAINER</t>
        </is>
      </c>
      <c r="E1228" s="37" t="n">
        <v>53.9</v>
      </c>
      <c r="F1228" s="37" t="n">
        <v>16.5</v>
      </c>
    </row>
    <row r="1229">
      <c r="A1229" s="37" t="inlineStr">
        <is>
          <t>WL-02228</t>
        </is>
      </c>
      <c r="B1229" s="37" t="inlineStr">
        <is>
          <t>Price</t>
        </is>
      </c>
      <c r="C1229" s="37" t="inlineStr">
        <is>
          <t>Jonathan</t>
        </is>
      </c>
      <c r="D1229" s="37" t="inlineStr">
        <is>
          <t>ACTIVE_WAITLIST</t>
        </is>
      </c>
      <c r="E1229" s="37" t="n">
        <v>43.3</v>
      </c>
      <c r="F1229" s="37" t="n">
        <v>13.7</v>
      </c>
    </row>
    <row r="1230">
      <c r="A1230" s="37" t="inlineStr">
        <is>
          <t>WL-02229</t>
        </is>
      </c>
      <c r="B1230" s="37" t="inlineStr">
        <is>
          <t>Riddle</t>
        </is>
      </c>
      <c r="C1230" s="37" t="inlineStr">
        <is>
          <t>Lisa</t>
        </is>
      </c>
      <c r="D1230" s="37" t="inlineStr">
        <is>
          <t>ACTIVE_WAITLIST</t>
        </is>
      </c>
      <c r="E1230" s="37" t="n">
        <v>29</v>
      </c>
      <c r="F1230" s="37" t="n">
        <v>9.800000000000001</v>
      </c>
    </row>
    <row r="1231">
      <c r="A1231" s="37" t="inlineStr">
        <is>
          <t>WL-02230</t>
        </is>
      </c>
      <c r="B1231" s="37" t="inlineStr">
        <is>
          <t>Ellis</t>
        </is>
      </c>
      <c r="C1231" s="37" t="inlineStr">
        <is>
          <t>Tyler</t>
        </is>
      </c>
      <c r="D1231" s="37" t="inlineStr">
        <is>
          <t>SUSPENDED</t>
        </is>
      </c>
      <c r="E1231" s="37" t="n">
        <v>25.5</v>
      </c>
      <c r="F1231" s="37" t="n">
        <v>8.300000000000001</v>
      </c>
    </row>
    <row r="1232">
      <c r="A1232" s="37" t="inlineStr">
        <is>
          <t>WL-02231</t>
        </is>
      </c>
      <c r="B1232" s="37" t="inlineStr">
        <is>
          <t>Bell</t>
        </is>
      </c>
      <c r="C1232" s="37" t="inlineStr">
        <is>
          <t>Stacey</t>
        </is>
      </c>
      <c r="D1232" s="37" t="inlineStr">
        <is>
          <t>ACTIVE_WAITLIST</t>
        </is>
      </c>
      <c r="E1232" s="37" t="n">
        <v>26.6</v>
      </c>
      <c r="F1232" s="37" t="n">
        <v>8.199999999999999</v>
      </c>
    </row>
    <row r="1233">
      <c r="A1233" s="37" t="inlineStr">
        <is>
          <t>WL-02232</t>
        </is>
      </c>
      <c r="B1233" s="37" t="inlineStr">
        <is>
          <t>Henry</t>
        </is>
      </c>
      <c r="C1233" s="37" t="inlineStr">
        <is>
          <t>Andrew</t>
        </is>
      </c>
      <c r="D1233" s="37" t="inlineStr">
        <is>
          <t>EXPIRED</t>
        </is>
      </c>
      <c r="E1233" s="37" t="n">
        <v>49.7</v>
      </c>
      <c r="F1233" s="37" t="n">
        <v>15.3</v>
      </c>
    </row>
    <row r="1234">
      <c r="A1234" s="37" t="inlineStr">
        <is>
          <t>WL-02233</t>
        </is>
      </c>
      <c r="B1234" s="37" t="inlineStr">
        <is>
          <t>Forbes</t>
        </is>
      </c>
      <c r="C1234" s="37" t="inlineStr">
        <is>
          <t>Sarah</t>
        </is>
      </c>
      <c r="D1234" s="37" t="inlineStr">
        <is>
          <t>ACTIVE_WAITLIST</t>
        </is>
      </c>
      <c r="E1234" s="37" t="n">
        <v>21.9</v>
      </c>
      <c r="F1234" s="37" t="n">
        <v>6.8</v>
      </c>
    </row>
    <row r="1235">
      <c r="A1235" s="37" t="inlineStr">
        <is>
          <t>WL-02234</t>
        </is>
      </c>
      <c r="B1235" s="37" t="inlineStr">
        <is>
          <t>Chandler</t>
        </is>
      </c>
      <c r="C1235" s="37" t="inlineStr">
        <is>
          <t>Chelsea</t>
        </is>
      </c>
      <c r="D1235" s="37" t="inlineStr">
        <is>
          <t>ACTIVE_WAITLIST</t>
        </is>
      </c>
      <c r="E1235" s="37" t="n">
        <v>42.1</v>
      </c>
      <c r="F1235" s="37" t="n">
        <v>13.2</v>
      </c>
    </row>
    <row r="1236">
      <c r="A1236" s="37" t="inlineStr">
        <is>
          <t>WL-02235</t>
        </is>
      </c>
      <c r="B1236" s="37" t="inlineStr">
        <is>
          <t>Fisher</t>
        </is>
      </c>
      <c r="C1236" s="37" t="inlineStr">
        <is>
          <t>Justin</t>
        </is>
      </c>
      <c r="D1236" s="37" t="inlineStr">
        <is>
          <t>ACTIVE_WAITLIST</t>
        </is>
      </c>
      <c r="E1236" s="37" t="n">
        <v>61</v>
      </c>
      <c r="F1236" s="37" t="n">
        <v>21.3</v>
      </c>
    </row>
    <row r="1237">
      <c r="A1237" s="37" t="inlineStr">
        <is>
          <t>WL-02236</t>
        </is>
      </c>
      <c r="B1237" s="37" t="inlineStr">
        <is>
          <t>Singh</t>
        </is>
      </c>
      <c r="C1237" s="37" t="inlineStr">
        <is>
          <t>Mike</t>
        </is>
      </c>
      <c r="D1237" s="37" t="inlineStr">
        <is>
          <t>ACTIVE_WAITLIST</t>
        </is>
      </c>
      <c r="E1237" s="37" t="n">
        <v>39.4</v>
      </c>
      <c r="F1237" s="37" t="n">
        <v>13.9</v>
      </c>
    </row>
    <row r="1238">
      <c r="A1238" s="37" t="inlineStr">
        <is>
          <t>WL-02237</t>
        </is>
      </c>
      <c r="B1238" s="37" t="inlineStr">
        <is>
          <t>Powell</t>
        </is>
      </c>
      <c r="C1238" s="37" t="inlineStr">
        <is>
          <t>William</t>
        </is>
      </c>
      <c r="D1238" s="37" t="inlineStr">
        <is>
          <t>ACTIVE_WAITLIST</t>
        </is>
      </c>
      <c r="E1238" s="37" t="n">
        <v>28.2</v>
      </c>
      <c r="F1238" s="37" t="n">
        <v>8</v>
      </c>
    </row>
    <row r="1239">
      <c r="A1239" s="37" t="inlineStr">
        <is>
          <t>WL-02238</t>
        </is>
      </c>
      <c r="B1239" s="37" t="inlineStr">
        <is>
          <t>Meyers</t>
        </is>
      </c>
      <c r="C1239" s="37" t="inlineStr">
        <is>
          <t>David</t>
        </is>
      </c>
      <c r="D1239" s="37" t="inlineStr">
        <is>
          <t>ACTIVE_WAITLIST</t>
        </is>
      </c>
      <c r="E1239" s="37" t="n">
        <v>29.3</v>
      </c>
      <c r="F1239" s="37" t="n">
        <v>9.4</v>
      </c>
    </row>
    <row r="1240">
      <c r="A1240" s="37" t="inlineStr">
        <is>
          <t>WL-02239</t>
        </is>
      </c>
      <c r="B1240" s="37" t="inlineStr">
        <is>
          <t>Haas</t>
        </is>
      </c>
      <c r="C1240" s="37" t="inlineStr">
        <is>
          <t>Morgan</t>
        </is>
      </c>
      <c r="D1240" s="37" t="inlineStr">
        <is>
          <t>ACTIVE_WAITLIST</t>
        </is>
      </c>
      <c r="E1240" s="37" t="n">
        <v>18.1</v>
      </c>
      <c r="F1240" s="37" t="n">
        <v>5.6</v>
      </c>
    </row>
    <row r="1241">
      <c r="A1241" s="37" t="inlineStr">
        <is>
          <t>WL-02240</t>
        </is>
      </c>
      <c r="B1241" s="37" t="inlineStr">
        <is>
          <t>Tran</t>
        </is>
      </c>
      <c r="C1241" s="37" t="inlineStr">
        <is>
          <t>Ryan</t>
        </is>
      </c>
      <c r="D1241" s="37" t="inlineStr">
        <is>
          <t>ACTIVE_WAITLIST</t>
        </is>
      </c>
      <c r="E1241" s="37" t="n">
        <v>61.4</v>
      </c>
      <c r="F1241" s="37" t="n">
        <v>17.9</v>
      </c>
    </row>
    <row r="1242">
      <c r="A1242" s="37" t="inlineStr">
        <is>
          <t>WL-02241</t>
        </is>
      </c>
      <c r="B1242" s="37" t="inlineStr">
        <is>
          <t>Williams</t>
        </is>
      </c>
      <c r="C1242" s="37" t="inlineStr">
        <is>
          <t>Veronica</t>
        </is>
      </c>
      <c r="D1242" s="37" t="inlineStr">
        <is>
          <t>ACTIVE_WAITLIST</t>
        </is>
      </c>
      <c r="E1242" s="37" t="n">
        <v>21.5</v>
      </c>
      <c r="F1242" s="37" t="n">
        <v>6.2</v>
      </c>
    </row>
    <row r="1243">
      <c r="A1243" s="37" t="inlineStr">
        <is>
          <t>WL-02242</t>
        </is>
      </c>
      <c r="B1243" s="37" t="inlineStr">
        <is>
          <t>Lane</t>
        </is>
      </c>
      <c r="C1243" s="37" t="inlineStr">
        <is>
          <t>Eric</t>
        </is>
      </c>
      <c r="D1243" s="37" t="inlineStr">
        <is>
          <t>ACTIVE_WAITLIST</t>
        </is>
      </c>
      <c r="E1243" s="37" t="n">
        <v>41.7</v>
      </c>
      <c r="F1243" s="37" t="n">
        <v>13.1</v>
      </c>
    </row>
    <row r="1244">
      <c r="A1244" s="37" t="inlineStr">
        <is>
          <t>WL-02243</t>
        </is>
      </c>
      <c r="B1244" s="37" t="inlineStr">
        <is>
          <t>Miller</t>
        </is>
      </c>
      <c r="C1244" s="37" t="inlineStr">
        <is>
          <t>Andrew</t>
        </is>
      </c>
      <c r="D1244" s="37" t="inlineStr">
        <is>
          <t>ACTIVE_WAITLIST</t>
        </is>
      </c>
      <c r="E1244" s="37" t="n">
        <v>21.3</v>
      </c>
      <c r="F1244" s="37" t="n">
        <v>6.9</v>
      </c>
    </row>
    <row r="1245">
      <c r="A1245" s="37" t="inlineStr">
        <is>
          <t>WL-02244</t>
        </is>
      </c>
      <c r="B1245" s="37" t="inlineStr">
        <is>
          <t>Nash</t>
        </is>
      </c>
      <c r="C1245" s="37" t="inlineStr">
        <is>
          <t>Victoria</t>
        </is>
      </c>
      <c r="D1245" s="37" t="inlineStr">
        <is>
          <t>ACTIVE_WAITLIST</t>
        </is>
      </c>
      <c r="E1245" s="37" t="n">
        <v>39.6</v>
      </c>
      <c r="F1245" s="37" t="n">
        <v>13.6</v>
      </c>
    </row>
    <row r="1246">
      <c r="A1246" s="37" t="inlineStr">
        <is>
          <t>WL-02245</t>
        </is>
      </c>
      <c r="B1246" s="37" t="inlineStr">
        <is>
          <t>Tran</t>
        </is>
      </c>
      <c r="C1246" s="37" t="inlineStr">
        <is>
          <t>Angela</t>
        </is>
      </c>
      <c r="D1246" s="37" t="inlineStr">
        <is>
          <t>EXPIRED</t>
        </is>
      </c>
      <c r="E1246" s="37" t="n">
        <v>59.8</v>
      </c>
      <c r="F1246" s="37" t="n">
        <v>19.6</v>
      </c>
    </row>
    <row r="1247">
      <c r="A1247" s="37" t="inlineStr">
        <is>
          <t>WL-02246</t>
        </is>
      </c>
      <c r="B1247" s="37" t="inlineStr">
        <is>
          <t>Franco</t>
        </is>
      </c>
      <c r="C1247" s="37" t="inlineStr">
        <is>
          <t>Brooke</t>
        </is>
      </c>
      <c r="D1247" s="37" t="inlineStr">
        <is>
          <t>ACTIVE_WAITLIST</t>
        </is>
      </c>
      <c r="E1247" s="37" t="n">
        <v>43.5</v>
      </c>
      <c r="F1247" s="37" t="n">
        <v>13.5</v>
      </c>
    </row>
    <row r="1248">
      <c r="A1248" s="37" t="inlineStr">
        <is>
          <t>WL-02247</t>
        </is>
      </c>
      <c r="B1248" s="37" t="inlineStr">
        <is>
          <t>Stafford</t>
        </is>
      </c>
      <c r="C1248" s="37" t="inlineStr">
        <is>
          <t>Kimberly</t>
        </is>
      </c>
      <c r="D1248" s="37" t="inlineStr">
        <is>
          <t>RETAINER</t>
        </is>
      </c>
      <c r="E1248" s="37" t="n">
        <v>43.7</v>
      </c>
      <c r="F1248" s="37" t="n">
        <v>14.2</v>
      </c>
    </row>
    <row r="1249">
      <c r="A1249" s="37" t="inlineStr">
        <is>
          <t>WL-02248</t>
        </is>
      </c>
      <c r="B1249" s="37" t="inlineStr">
        <is>
          <t>Griffin</t>
        </is>
      </c>
      <c r="C1249" s="37" t="inlineStr">
        <is>
          <t>Devon</t>
        </is>
      </c>
      <c r="D1249" s="37" t="inlineStr">
        <is>
          <t>ACTIVE_WAITLIST</t>
        </is>
      </c>
      <c r="E1249" s="37" t="n">
        <v>22.3</v>
      </c>
      <c r="F1249" s="37" t="n">
        <v>7.2</v>
      </c>
    </row>
    <row r="1250">
      <c r="A1250" s="37" t="inlineStr">
        <is>
          <t>WL-02249</t>
        </is>
      </c>
      <c r="B1250" s="37" t="inlineStr">
        <is>
          <t>Forbes</t>
        </is>
      </c>
      <c r="C1250" s="37" t="inlineStr">
        <is>
          <t>Aaron</t>
        </is>
      </c>
      <c r="D1250" s="37" t="inlineStr">
        <is>
          <t>ACTIVE_WAITLIST</t>
        </is>
      </c>
      <c r="E1250" s="37" t="n">
        <v>61.7</v>
      </c>
      <c r="F1250" s="37" t="n">
        <v>20</v>
      </c>
    </row>
    <row r="1251">
      <c r="A1251" s="37" t="inlineStr">
        <is>
          <t>WL-02250</t>
        </is>
      </c>
      <c r="B1251" s="37" t="inlineStr">
        <is>
          <t>James</t>
        </is>
      </c>
      <c r="C1251" s="37" t="inlineStr">
        <is>
          <t>Jonathan</t>
        </is>
      </c>
      <c r="D1251" s="37" t="inlineStr">
        <is>
          <t>ACTIVE_WAITLIST</t>
        </is>
      </c>
      <c r="E1251" s="37" t="n">
        <v>18.7</v>
      </c>
      <c r="F1251" s="37" t="n">
        <v>6.2</v>
      </c>
    </row>
    <row r="1252">
      <c r="A1252" s="37" t="inlineStr">
        <is>
          <t>WL-02251</t>
        </is>
      </c>
      <c r="B1252" s="37" t="inlineStr">
        <is>
          <t>Swanson</t>
        </is>
      </c>
      <c r="C1252" s="37" t="inlineStr">
        <is>
          <t>Jane</t>
        </is>
      </c>
      <c r="D1252" s="37" t="inlineStr">
        <is>
          <t>ACTIVE_WAITLIST</t>
        </is>
      </c>
      <c r="E1252" s="37" t="n">
        <v>40.2</v>
      </c>
      <c r="F1252" s="37" t="n">
        <v>13.1</v>
      </c>
    </row>
    <row r="1253">
      <c r="A1253" s="37" t="inlineStr">
        <is>
          <t>WL-02252</t>
        </is>
      </c>
      <c r="B1253" s="37" t="inlineStr">
        <is>
          <t>Mitchell</t>
        </is>
      </c>
      <c r="C1253" s="37" t="inlineStr">
        <is>
          <t>Donald</t>
        </is>
      </c>
      <c r="D1253" s="37" t="inlineStr">
        <is>
          <t>ACTIVE_WAITLIST</t>
        </is>
      </c>
      <c r="E1253" s="37" t="n">
        <v>55.9</v>
      </c>
      <c r="F1253" s="37" t="n">
        <v>19.8</v>
      </c>
    </row>
    <row r="1254">
      <c r="A1254" s="37" t="inlineStr">
        <is>
          <t>WL-02253</t>
        </is>
      </c>
      <c r="B1254" s="37" t="inlineStr">
        <is>
          <t>Parker</t>
        </is>
      </c>
      <c r="C1254" s="37" t="inlineStr">
        <is>
          <t>Nathan</t>
        </is>
      </c>
      <c r="D1254" s="37" t="inlineStr">
        <is>
          <t>ACTIVE_WAITLIST</t>
        </is>
      </c>
      <c r="E1254" s="37" t="n">
        <v>30.8</v>
      </c>
      <c r="F1254" s="37" t="n">
        <v>10.3</v>
      </c>
    </row>
    <row r="1255">
      <c r="A1255" s="37" t="inlineStr">
        <is>
          <t>WL-02254</t>
        </is>
      </c>
      <c r="B1255" s="37" t="inlineStr">
        <is>
          <t>Nichols</t>
        </is>
      </c>
      <c r="C1255" s="37" t="inlineStr">
        <is>
          <t>Susan</t>
        </is>
      </c>
      <c r="D1255" s="37" t="inlineStr">
        <is>
          <t>RETAINER</t>
        </is>
      </c>
      <c r="E1255" s="37" t="n">
        <v>55.4</v>
      </c>
      <c r="F1255" s="37" t="n">
        <v>19.4</v>
      </c>
    </row>
    <row r="1256">
      <c r="A1256" s="37" t="inlineStr">
        <is>
          <t>WL-02255</t>
        </is>
      </c>
      <c r="B1256" s="37" t="inlineStr">
        <is>
          <t>Garcia</t>
        </is>
      </c>
      <c r="C1256" s="37" t="inlineStr">
        <is>
          <t>Scott</t>
        </is>
      </c>
      <c r="D1256" s="37" t="inlineStr">
        <is>
          <t>ACTIVE_WAITLIST</t>
        </is>
      </c>
      <c r="E1256" s="37" t="n">
        <v>27.2</v>
      </c>
      <c r="F1256" s="37" t="n">
        <v>9.199999999999999</v>
      </c>
    </row>
    <row r="1257">
      <c r="A1257" s="37" t="inlineStr">
        <is>
          <t>WL-02256</t>
        </is>
      </c>
      <c r="B1257" s="37" t="inlineStr">
        <is>
          <t>Johnson</t>
        </is>
      </c>
      <c r="C1257" s="37" t="inlineStr">
        <is>
          <t>Ryan</t>
        </is>
      </c>
      <c r="D1257" s="37" t="inlineStr">
        <is>
          <t>ACTIVE_WAITLIST</t>
        </is>
      </c>
      <c r="E1257" s="37" t="n">
        <v>22.7</v>
      </c>
      <c r="F1257" s="37" t="n">
        <v>6.5</v>
      </c>
    </row>
    <row r="1258">
      <c r="A1258" s="37" t="inlineStr">
        <is>
          <t>WL-02257</t>
        </is>
      </c>
      <c r="B1258" s="37" t="inlineStr">
        <is>
          <t>Wright</t>
        </is>
      </c>
      <c r="C1258" s="37" t="inlineStr">
        <is>
          <t>Phillip</t>
        </is>
      </c>
      <c r="D1258" s="37" t="inlineStr">
        <is>
          <t>ACTIVE_WAITLIST</t>
        </is>
      </c>
      <c r="E1258" s="37" t="n">
        <v>45.6</v>
      </c>
      <c r="F1258" s="37" t="n">
        <v>13.2</v>
      </c>
    </row>
    <row r="1259">
      <c r="A1259" s="37" t="inlineStr">
        <is>
          <t>WL-02258</t>
        </is>
      </c>
      <c r="B1259" s="37" t="inlineStr">
        <is>
          <t>Griffin</t>
        </is>
      </c>
      <c r="C1259" s="37" t="inlineStr">
        <is>
          <t>Katrina</t>
        </is>
      </c>
      <c r="D1259" s="37" t="inlineStr">
        <is>
          <t>ACTIVE_WAITLIST</t>
        </is>
      </c>
      <c r="E1259" s="37" t="n">
        <v>51.7</v>
      </c>
      <c r="F1259" s="37" t="n">
        <v>16.4</v>
      </c>
    </row>
    <row r="1260">
      <c r="A1260" s="37" t="inlineStr">
        <is>
          <t>WL-02259</t>
        </is>
      </c>
      <c r="B1260" s="37" t="inlineStr">
        <is>
          <t>Watson</t>
        </is>
      </c>
      <c r="C1260" s="37" t="inlineStr">
        <is>
          <t>Charles</t>
        </is>
      </c>
      <c r="D1260" s="37" t="inlineStr">
        <is>
          <t>EXPIRED</t>
        </is>
      </c>
      <c r="E1260" s="37" t="n">
        <v>38</v>
      </c>
      <c r="F1260" s="37" t="n">
        <v>12.5</v>
      </c>
    </row>
    <row r="1261">
      <c r="A1261" s="37" t="inlineStr">
        <is>
          <t>WL-02260</t>
        </is>
      </c>
      <c r="B1261" s="37" t="inlineStr">
        <is>
          <t>King</t>
        </is>
      </c>
      <c r="C1261" s="37" t="inlineStr">
        <is>
          <t>Michael</t>
        </is>
      </c>
      <c r="D1261" s="37" t="inlineStr">
        <is>
          <t>ACTIVE_WAITLIST</t>
        </is>
      </c>
      <c r="E1261" s="37" t="n">
        <v>59.6</v>
      </c>
      <c r="F1261" s="37" t="n">
        <v>19.5</v>
      </c>
    </row>
    <row r="1262">
      <c r="A1262" s="37" t="inlineStr">
        <is>
          <t>WL-02261</t>
        </is>
      </c>
      <c r="B1262" s="37" t="inlineStr">
        <is>
          <t>Guzman</t>
        </is>
      </c>
      <c r="C1262" s="37" t="inlineStr">
        <is>
          <t>Walter</t>
        </is>
      </c>
      <c r="D1262" s="37" t="inlineStr">
        <is>
          <t>ACTIVE_WAITLIST</t>
        </is>
      </c>
      <c r="E1262" s="37" t="n">
        <v>43.1</v>
      </c>
      <c r="F1262" s="37" t="n">
        <v>15.2</v>
      </c>
    </row>
    <row r="1263">
      <c r="A1263" s="37" t="inlineStr">
        <is>
          <t>WL-02262</t>
        </is>
      </c>
      <c r="B1263" s="37" t="inlineStr">
        <is>
          <t>Rice</t>
        </is>
      </c>
      <c r="C1263" s="37" t="inlineStr">
        <is>
          <t>James</t>
        </is>
      </c>
      <c r="D1263" s="37" t="inlineStr">
        <is>
          <t>ACTIVE_WAITLIST</t>
        </is>
      </c>
      <c r="E1263" s="37" t="n">
        <v>61.3</v>
      </c>
      <c r="F1263" s="37" t="n">
        <v>17.6</v>
      </c>
    </row>
    <row r="1264">
      <c r="A1264" s="37" t="inlineStr">
        <is>
          <t>WL-02263</t>
        </is>
      </c>
      <c r="B1264" s="37" t="inlineStr">
        <is>
          <t>Young</t>
        </is>
      </c>
      <c r="C1264" s="37" t="inlineStr">
        <is>
          <t>Anthony</t>
        </is>
      </c>
      <c r="D1264" s="37" t="inlineStr">
        <is>
          <t>ACTIVE_WAITLIST</t>
        </is>
      </c>
      <c r="E1264" s="37" t="n">
        <v>24.3</v>
      </c>
      <c r="F1264" s="37" t="n">
        <v>6.9</v>
      </c>
    </row>
    <row r="1265">
      <c r="A1265" s="37" t="inlineStr">
        <is>
          <t>WL-02264</t>
        </is>
      </c>
      <c r="B1265" s="37" t="inlineStr">
        <is>
          <t>Meyers</t>
        </is>
      </c>
      <c r="C1265" s="37" t="inlineStr">
        <is>
          <t>Phyllis</t>
        </is>
      </c>
      <c r="D1265" s="37" t="inlineStr">
        <is>
          <t>ACTIVE_WAITLIST</t>
        </is>
      </c>
      <c r="E1265" s="37" t="n">
        <v>21.8</v>
      </c>
      <c r="F1265" s="37" t="n">
        <v>6.7</v>
      </c>
    </row>
    <row r="1266">
      <c r="A1266" s="37" t="inlineStr">
        <is>
          <t>WL-02265</t>
        </is>
      </c>
      <c r="B1266" s="37" t="inlineStr">
        <is>
          <t>Bailey</t>
        </is>
      </c>
      <c r="C1266" s="37" t="inlineStr">
        <is>
          <t>Kimberly</t>
        </is>
      </c>
      <c r="D1266" s="37" t="inlineStr">
        <is>
          <t>ACTIVE_WAITLIST</t>
        </is>
      </c>
      <c r="E1266" s="37" t="n">
        <v>47.1</v>
      </c>
      <c r="F1266" s="37" t="n">
        <v>14.3</v>
      </c>
    </row>
    <row r="1267">
      <c r="A1267" s="37" t="inlineStr">
        <is>
          <t>WL-02266</t>
        </is>
      </c>
      <c r="B1267" s="37" t="inlineStr">
        <is>
          <t>Nichols</t>
        </is>
      </c>
      <c r="C1267" s="37" t="inlineStr">
        <is>
          <t>Ashley</t>
        </is>
      </c>
      <c r="D1267" s="37" t="inlineStr">
        <is>
          <t>ACTIVE_WAITLIST</t>
        </is>
      </c>
      <c r="E1267" s="37" t="n">
        <v>18.5</v>
      </c>
      <c r="F1267" s="37" t="n">
        <v>6.6</v>
      </c>
    </row>
    <row r="1268">
      <c r="A1268" s="37" t="inlineStr">
        <is>
          <t>WL-02267</t>
        </is>
      </c>
      <c r="B1268" s="37" t="inlineStr">
        <is>
          <t>Hall</t>
        </is>
      </c>
      <c r="C1268" s="37" t="inlineStr">
        <is>
          <t>Randall</t>
        </is>
      </c>
      <c r="D1268" s="37" t="inlineStr">
        <is>
          <t>ACTIVE_WAITLIST</t>
        </is>
      </c>
      <c r="E1268" s="37" t="n">
        <v>61.4</v>
      </c>
      <c r="F1268" s="37" t="n">
        <v>17.5</v>
      </c>
    </row>
    <row r="1269">
      <c r="A1269" s="37" t="inlineStr">
        <is>
          <t>WL-02268</t>
        </is>
      </c>
      <c r="B1269" s="37" t="inlineStr">
        <is>
          <t>Mitchell</t>
        </is>
      </c>
      <c r="C1269" s="37" t="inlineStr">
        <is>
          <t>Tamara</t>
        </is>
      </c>
      <c r="D1269" s="37" t="inlineStr">
        <is>
          <t>ACTIVE_WAITLIST</t>
        </is>
      </c>
      <c r="E1269" s="37" t="n">
        <v>42.5</v>
      </c>
      <c r="F1269" s="37" t="n">
        <v>15.1</v>
      </c>
    </row>
    <row r="1270">
      <c r="A1270" s="37" t="inlineStr">
        <is>
          <t>WL-02269</t>
        </is>
      </c>
      <c r="B1270" s="37" t="inlineStr">
        <is>
          <t>Orozco</t>
        </is>
      </c>
      <c r="C1270" s="37" t="inlineStr">
        <is>
          <t>Jeffrey</t>
        </is>
      </c>
      <c r="D1270" s="37" t="inlineStr">
        <is>
          <t>EXPIRED</t>
        </is>
      </c>
      <c r="E1270" s="37" t="n">
        <v>59.9</v>
      </c>
      <c r="F1270" s="37" t="n">
        <v>20.7</v>
      </c>
    </row>
    <row r="1271">
      <c r="A1271" s="37" t="inlineStr">
        <is>
          <t>WL-02270</t>
        </is>
      </c>
      <c r="B1271" s="37" t="inlineStr">
        <is>
          <t>Lewis</t>
        </is>
      </c>
      <c r="C1271" s="37" t="inlineStr">
        <is>
          <t>Nathan</t>
        </is>
      </c>
      <c r="D1271" s="37" t="inlineStr">
        <is>
          <t>ACTIVE_WAITLIST</t>
        </is>
      </c>
      <c r="E1271" s="37" t="n">
        <v>58.8</v>
      </c>
      <c r="F1271" s="37" t="n">
        <v>18.7</v>
      </c>
    </row>
    <row r="1272">
      <c r="A1272" s="37" t="inlineStr">
        <is>
          <t>WL-02271</t>
        </is>
      </c>
      <c r="B1272" s="37" t="inlineStr">
        <is>
          <t>Mendoza</t>
        </is>
      </c>
      <c r="C1272" s="37" t="inlineStr">
        <is>
          <t>Lisa</t>
        </is>
      </c>
      <c r="D1272" s="37" t="inlineStr">
        <is>
          <t>ACTIVE_WAITLIST</t>
        </is>
      </c>
      <c r="E1272" s="37" t="n">
        <v>31.2</v>
      </c>
      <c r="F1272" s="37" t="n">
        <v>9.5</v>
      </c>
    </row>
    <row r="1273">
      <c r="A1273" s="37" t="inlineStr">
        <is>
          <t>WL-02272</t>
        </is>
      </c>
      <c r="B1273" s="37" t="inlineStr">
        <is>
          <t>Mendoza</t>
        </is>
      </c>
      <c r="C1273" s="37" t="inlineStr">
        <is>
          <t>Scott</t>
        </is>
      </c>
      <c r="D1273" s="37" t="inlineStr">
        <is>
          <t>ACTIVE_WAITLIST</t>
        </is>
      </c>
      <c r="E1273" s="37" t="n">
        <v>29.7</v>
      </c>
      <c r="F1273" s="37" t="n">
        <v>9.5</v>
      </c>
    </row>
    <row r="1274">
      <c r="A1274" s="37" t="inlineStr">
        <is>
          <t>WL-02273</t>
        </is>
      </c>
      <c r="B1274" s="37" t="inlineStr">
        <is>
          <t>Davis</t>
        </is>
      </c>
      <c r="C1274" s="37" t="inlineStr">
        <is>
          <t>Whitney</t>
        </is>
      </c>
      <c r="D1274" s="37" t="inlineStr">
        <is>
          <t>ACTIVE_WAITLIST</t>
        </is>
      </c>
      <c r="E1274" s="37" t="n">
        <v>60.7</v>
      </c>
      <c r="F1274" s="37" t="n">
        <v>20.2</v>
      </c>
    </row>
    <row r="1275">
      <c r="A1275" s="37" t="inlineStr">
        <is>
          <t>WL-02274</t>
        </is>
      </c>
      <c r="B1275" s="37" t="inlineStr">
        <is>
          <t>Green</t>
        </is>
      </c>
      <c r="C1275" s="37" t="inlineStr">
        <is>
          <t>Kevin</t>
        </is>
      </c>
      <c r="D1275" s="37" t="inlineStr">
        <is>
          <t>ACTIVE_WAITLIST</t>
        </is>
      </c>
      <c r="E1275" s="37" t="n">
        <v>44</v>
      </c>
      <c r="F1275" s="37" t="n">
        <v>14.8</v>
      </c>
    </row>
    <row r="1276">
      <c r="A1276" s="37" t="inlineStr">
        <is>
          <t>WL-02275</t>
        </is>
      </c>
      <c r="B1276" s="37" t="inlineStr">
        <is>
          <t>Harmon</t>
        </is>
      </c>
      <c r="C1276" s="37" t="inlineStr">
        <is>
          <t>Ricky</t>
        </is>
      </c>
      <c r="D1276" s="37" t="inlineStr">
        <is>
          <t>ACTIVE_WAITLIST</t>
        </is>
      </c>
      <c r="E1276" s="37" t="n">
        <v>21.4</v>
      </c>
      <c r="F1276" s="37" t="n">
        <v>7.3</v>
      </c>
    </row>
    <row r="1277">
      <c r="A1277" s="37" t="inlineStr">
        <is>
          <t>WL-02276</t>
        </is>
      </c>
      <c r="B1277" s="37" t="inlineStr">
        <is>
          <t>Jones</t>
        </is>
      </c>
      <c r="C1277" s="37" t="inlineStr">
        <is>
          <t>Tara</t>
        </is>
      </c>
      <c r="D1277" s="37" t="inlineStr">
        <is>
          <t>ACTIVE_WAITLIST</t>
        </is>
      </c>
      <c r="E1277" s="37" t="n">
        <v>48.4</v>
      </c>
      <c r="F1277" s="37" t="n">
        <v>16.8</v>
      </c>
    </row>
    <row r="1278">
      <c r="A1278" s="37" t="inlineStr">
        <is>
          <t>WL-02277</t>
        </is>
      </c>
      <c r="B1278" s="37" t="inlineStr">
        <is>
          <t>Hall</t>
        </is>
      </c>
      <c r="C1278" s="37" t="inlineStr">
        <is>
          <t>Luis</t>
        </is>
      </c>
      <c r="D1278" s="37" t="inlineStr">
        <is>
          <t>RETAINER</t>
        </is>
      </c>
      <c r="E1278" s="37" t="n">
        <v>24</v>
      </c>
      <c r="F1278" s="37" t="n">
        <v>8.1</v>
      </c>
    </row>
    <row r="1279">
      <c r="A1279" s="37" t="inlineStr">
        <is>
          <t>WL-02278</t>
        </is>
      </c>
      <c r="B1279" s="37" t="inlineStr">
        <is>
          <t>Williams</t>
        </is>
      </c>
      <c r="C1279" s="37" t="inlineStr">
        <is>
          <t>Maria</t>
        </is>
      </c>
      <c r="D1279" s="37" t="inlineStr">
        <is>
          <t>ACTIVE_WAITLIST</t>
        </is>
      </c>
      <c r="E1279" s="37" t="n">
        <v>47.8</v>
      </c>
      <c r="F1279" s="37" t="n">
        <v>14</v>
      </c>
    </row>
    <row r="1280">
      <c r="A1280" s="37" t="inlineStr">
        <is>
          <t>WL-02279</t>
        </is>
      </c>
      <c r="B1280" s="37" t="inlineStr">
        <is>
          <t>Atkinson</t>
        </is>
      </c>
      <c r="C1280" s="37" t="inlineStr">
        <is>
          <t>Christine</t>
        </is>
      </c>
      <c r="D1280" s="37" t="inlineStr">
        <is>
          <t>ACTIVE_WAITLIST</t>
        </is>
      </c>
      <c r="E1280" s="37" t="n">
        <v>44</v>
      </c>
      <c r="F1280" s="37" t="n">
        <v>13.5</v>
      </c>
    </row>
    <row r="1281">
      <c r="A1281" s="37" t="inlineStr">
        <is>
          <t>WL-02280</t>
        </is>
      </c>
      <c r="B1281" s="37" t="inlineStr">
        <is>
          <t>Rogers</t>
        </is>
      </c>
      <c r="C1281" s="37" t="inlineStr">
        <is>
          <t>Joseph</t>
        </is>
      </c>
      <c r="D1281" s="37" t="inlineStr">
        <is>
          <t>ACTIVE_WAITLIST</t>
        </is>
      </c>
      <c r="E1281" s="37" t="n">
        <v>21.9</v>
      </c>
      <c r="F1281" s="37" t="n">
        <v>6.2</v>
      </c>
    </row>
    <row r="1282">
      <c r="A1282" s="37" t="inlineStr">
        <is>
          <t>WL-02281</t>
        </is>
      </c>
      <c r="B1282" s="37" t="inlineStr">
        <is>
          <t>Cox</t>
        </is>
      </c>
      <c r="C1282" s="37" t="inlineStr">
        <is>
          <t>Peter</t>
        </is>
      </c>
      <c r="D1282" s="37" t="inlineStr">
        <is>
          <t>ACTIVE_WAITLIST</t>
        </is>
      </c>
      <c r="E1282" s="37" t="n">
        <v>55.5</v>
      </c>
      <c r="F1282" s="37" t="n">
        <v>16.5</v>
      </c>
    </row>
    <row r="1283">
      <c r="A1283" s="37" t="inlineStr">
        <is>
          <t>WL-02282</t>
        </is>
      </c>
      <c r="B1283" s="37" t="inlineStr">
        <is>
          <t>Smith</t>
        </is>
      </c>
      <c r="C1283" s="37" t="inlineStr">
        <is>
          <t>Gregory</t>
        </is>
      </c>
      <c r="D1283" s="37" t="inlineStr">
        <is>
          <t>ACTIVE_WAITLIST</t>
        </is>
      </c>
      <c r="E1283" s="37" t="n">
        <v>57.5</v>
      </c>
      <c r="F1283" s="37" t="n">
        <v>17</v>
      </c>
    </row>
    <row r="1284">
      <c r="A1284" s="37" t="inlineStr">
        <is>
          <t>WL-02283</t>
        </is>
      </c>
      <c r="B1284" s="37" t="inlineStr">
        <is>
          <t>Mora</t>
        </is>
      </c>
      <c r="C1284" s="37" t="inlineStr">
        <is>
          <t>Barbara</t>
        </is>
      </c>
      <c r="D1284" s="37" t="inlineStr">
        <is>
          <t>RETAINER</t>
        </is>
      </c>
      <c r="E1284" s="37" t="n">
        <v>22</v>
      </c>
      <c r="F1284" s="37" t="n">
        <v>6.3</v>
      </c>
    </row>
    <row r="1285">
      <c r="A1285" s="37" t="inlineStr">
        <is>
          <t>WL-02284</t>
        </is>
      </c>
      <c r="B1285" s="37" t="inlineStr">
        <is>
          <t>Ruiz</t>
        </is>
      </c>
      <c r="C1285" s="37" t="inlineStr">
        <is>
          <t>Tonya</t>
        </is>
      </c>
      <c r="D1285" s="37" t="inlineStr">
        <is>
          <t>ACTIVE_WAITLIST</t>
        </is>
      </c>
      <c r="E1285" s="37" t="n">
        <v>57.6</v>
      </c>
      <c r="F1285" s="37" t="n">
        <v>19.4</v>
      </c>
    </row>
    <row r="1286">
      <c r="A1286" s="37" t="inlineStr">
        <is>
          <t>WL-02285</t>
        </is>
      </c>
      <c r="B1286" s="37" t="inlineStr">
        <is>
          <t>Scott</t>
        </is>
      </c>
      <c r="C1286" s="37" t="inlineStr">
        <is>
          <t>Brian</t>
        </is>
      </c>
      <c r="D1286" s="37" t="inlineStr">
        <is>
          <t>ACTIVE_WAITLIST</t>
        </is>
      </c>
      <c r="E1286" s="37" t="n">
        <v>46</v>
      </c>
      <c r="F1286" s="37" t="n">
        <v>14.8</v>
      </c>
    </row>
    <row r="1287">
      <c r="A1287" s="37" t="inlineStr">
        <is>
          <t>WL-02286</t>
        </is>
      </c>
      <c r="B1287" s="37" t="inlineStr">
        <is>
          <t>Sandoval</t>
        </is>
      </c>
      <c r="C1287" s="37" t="inlineStr">
        <is>
          <t>Nicholas</t>
        </is>
      </c>
      <c r="D1287" s="37" t="inlineStr">
        <is>
          <t>ACTIVE_WAITLIST</t>
        </is>
      </c>
      <c r="E1287" s="37" t="n">
        <v>32.1</v>
      </c>
      <c r="F1287" s="37" t="n">
        <v>11.5</v>
      </c>
    </row>
    <row r="1288">
      <c r="A1288" s="37" t="inlineStr">
        <is>
          <t>WL-02287</t>
        </is>
      </c>
      <c r="B1288" s="37" t="inlineStr">
        <is>
          <t>Curry</t>
        </is>
      </c>
      <c r="C1288" s="37" t="inlineStr">
        <is>
          <t>Michael</t>
        </is>
      </c>
      <c r="D1288" s="37" t="inlineStr">
        <is>
          <t>ACTIVE_WAITLIST</t>
        </is>
      </c>
      <c r="E1288" s="37" t="n">
        <v>26.6</v>
      </c>
      <c r="F1288" s="37" t="n">
        <v>9</v>
      </c>
    </row>
    <row r="1289">
      <c r="A1289" s="37" t="inlineStr">
        <is>
          <t>WL-02288</t>
        </is>
      </c>
      <c r="B1289" s="37" t="inlineStr">
        <is>
          <t>Gonzalez</t>
        </is>
      </c>
      <c r="C1289" s="37" t="inlineStr">
        <is>
          <t>Valerie</t>
        </is>
      </c>
      <c r="D1289" s="37" t="inlineStr">
        <is>
          <t>RETAINER</t>
        </is>
      </c>
      <c r="E1289" s="37" t="n">
        <v>58.7</v>
      </c>
      <c r="F1289" s="37" t="n">
        <v>18.9</v>
      </c>
    </row>
    <row r="1290">
      <c r="A1290" s="37" t="inlineStr">
        <is>
          <t>WL-02289</t>
        </is>
      </c>
      <c r="B1290" s="37" t="inlineStr">
        <is>
          <t>Jackson</t>
        </is>
      </c>
      <c r="C1290" s="37" t="inlineStr">
        <is>
          <t>Wendy</t>
        </is>
      </c>
      <c r="D1290" s="37" t="inlineStr">
        <is>
          <t>ACTIVE_WAITLIST</t>
        </is>
      </c>
      <c r="E1290" s="37" t="n">
        <v>26.5</v>
      </c>
      <c r="F1290" s="37" t="n">
        <v>8.1</v>
      </c>
    </row>
    <row r="1291">
      <c r="A1291" s="37" t="inlineStr">
        <is>
          <t>WL-02290</t>
        </is>
      </c>
      <c r="B1291" s="37" t="inlineStr">
        <is>
          <t>Torres</t>
        </is>
      </c>
      <c r="C1291" s="37" t="inlineStr">
        <is>
          <t>Mark</t>
        </is>
      </c>
      <c r="D1291" s="37" t="inlineStr">
        <is>
          <t>ACTIVE_WAITLIST</t>
        </is>
      </c>
      <c r="E1291" s="37" t="n">
        <v>22.6</v>
      </c>
      <c r="F1291" s="37" t="n">
        <v>6.6</v>
      </c>
    </row>
    <row r="1292">
      <c r="A1292" s="37" t="inlineStr">
        <is>
          <t>WL-02291</t>
        </is>
      </c>
      <c r="B1292" s="37" t="inlineStr">
        <is>
          <t>Stark</t>
        </is>
      </c>
      <c r="C1292" s="37" t="inlineStr">
        <is>
          <t>Sheena</t>
        </is>
      </c>
      <c r="D1292" s="37" t="inlineStr">
        <is>
          <t>ACTIVE_WAITLIST</t>
        </is>
      </c>
      <c r="E1292" s="37" t="n">
        <v>32.8</v>
      </c>
      <c r="F1292" s="37" t="n">
        <v>10.7</v>
      </c>
    </row>
    <row r="1293">
      <c r="A1293" s="37" t="inlineStr">
        <is>
          <t>WL-02292</t>
        </is>
      </c>
      <c r="B1293" s="37" t="inlineStr">
        <is>
          <t>Brandt</t>
        </is>
      </c>
      <c r="C1293" s="37" t="inlineStr">
        <is>
          <t>Brenda</t>
        </is>
      </c>
      <c r="D1293" s="37" t="inlineStr">
        <is>
          <t>SUSPENDED</t>
        </is>
      </c>
      <c r="E1293" s="37" t="n">
        <v>47.2</v>
      </c>
      <c r="F1293" s="37" t="n">
        <v>15.3</v>
      </c>
    </row>
    <row r="1294">
      <c r="A1294" s="37" t="inlineStr">
        <is>
          <t>WL-02293</t>
        </is>
      </c>
      <c r="B1294" s="37" t="inlineStr">
        <is>
          <t>Alexander</t>
        </is>
      </c>
      <c r="C1294" s="37" t="inlineStr">
        <is>
          <t>Brian</t>
        </is>
      </c>
      <c r="D1294" s="37" t="inlineStr">
        <is>
          <t>ACTIVE_WAITLIST</t>
        </is>
      </c>
      <c r="E1294" s="37" t="n">
        <v>35</v>
      </c>
      <c r="F1294" s="37" t="n">
        <v>9.9</v>
      </c>
    </row>
    <row r="1295">
      <c r="A1295" s="37" t="inlineStr">
        <is>
          <t>WL-02294</t>
        </is>
      </c>
      <c r="B1295" s="37" t="inlineStr">
        <is>
          <t>Fernandez</t>
        </is>
      </c>
      <c r="C1295" s="37" t="inlineStr">
        <is>
          <t>Jonathan</t>
        </is>
      </c>
      <c r="D1295" s="37" t="inlineStr">
        <is>
          <t>EXPIRED</t>
        </is>
      </c>
      <c r="E1295" s="37" t="n">
        <v>38.8</v>
      </c>
      <c r="F1295" s="37" t="n">
        <v>10.9</v>
      </c>
    </row>
    <row r="1296">
      <c r="A1296" s="37" t="inlineStr">
        <is>
          <t>WL-02295</t>
        </is>
      </c>
      <c r="B1296" s="37" t="inlineStr">
        <is>
          <t>Hall</t>
        </is>
      </c>
      <c r="C1296" s="37" t="inlineStr">
        <is>
          <t>Katie</t>
        </is>
      </c>
      <c r="D1296" s="37" t="inlineStr">
        <is>
          <t>ACTIVE_WAITLIST</t>
        </is>
      </c>
      <c r="E1296" s="37" t="n">
        <v>52.5</v>
      </c>
      <c r="F1296" s="37" t="n">
        <v>16.6</v>
      </c>
    </row>
    <row r="1297">
      <c r="A1297" s="37" t="inlineStr">
        <is>
          <t>WL-02296</t>
        </is>
      </c>
      <c r="B1297" s="37" t="inlineStr">
        <is>
          <t>Miller</t>
        </is>
      </c>
      <c r="C1297" s="37" t="inlineStr">
        <is>
          <t>Jason</t>
        </is>
      </c>
      <c r="D1297" s="37" t="inlineStr">
        <is>
          <t>ACTIVE_WAITLIST</t>
        </is>
      </c>
      <c r="E1297" s="37" t="n">
        <v>53.7</v>
      </c>
      <c r="F1297" s="37" t="n">
        <v>18.5</v>
      </c>
    </row>
    <row r="1298">
      <c r="A1298" s="37" t="inlineStr">
        <is>
          <t>WL-02297</t>
        </is>
      </c>
      <c r="B1298" s="37" t="inlineStr">
        <is>
          <t>Bryant</t>
        </is>
      </c>
      <c r="C1298" s="37" t="inlineStr">
        <is>
          <t>Jessica</t>
        </is>
      </c>
      <c r="D1298" s="37" t="inlineStr">
        <is>
          <t>ACTIVE_WAITLIST</t>
        </is>
      </c>
      <c r="E1298" s="37" t="n">
        <v>36.7</v>
      </c>
      <c r="F1298" s="37" t="n">
        <v>11.3</v>
      </c>
    </row>
    <row r="1299">
      <c r="A1299" s="37" t="inlineStr">
        <is>
          <t>WL-02298</t>
        </is>
      </c>
      <c r="B1299" s="37" t="inlineStr">
        <is>
          <t>Simpson</t>
        </is>
      </c>
      <c r="C1299" s="37" t="inlineStr">
        <is>
          <t>Ronald</t>
        </is>
      </c>
      <c r="D1299" s="37" t="inlineStr">
        <is>
          <t>ACTIVE_WAITLIST</t>
        </is>
      </c>
      <c r="E1299" s="37" t="n">
        <v>25.7</v>
      </c>
      <c r="F1299" s="37" t="n">
        <v>8.199999999999999</v>
      </c>
    </row>
    <row r="1300">
      <c r="A1300" s="37" t="inlineStr">
        <is>
          <t>WL-02299</t>
        </is>
      </c>
      <c r="B1300" s="37" t="inlineStr">
        <is>
          <t>Harper</t>
        </is>
      </c>
      <c r="C1300" s="37" t="inlineStr">
        <is>
          <t>Christopher</t>
        </is>
      </c>
      <c r="D1300" s="37" t="inlineStr">
        <is>
          <t>RETAINER</t>
        </is>
      </c>
      <c r="E1300" s="37" t="n">
        <v>28.8</v>
      </c>
      <c r="F1300" s="37" t="n">
        <v>9.1</v>
      </c>
    </row>
    <row r="1301">
      <c r="A1301" s="37" t="inlineStr">
        <is>
          <t>WL-02300</t>
        </is>
      </c>
      <c r="B1301" s="37" t="inlineStr">
        <is>
          <t>Murray</t>
        </is>
      </c>
      <c r="C1301" s="37" t="inlineStr">
        <is>
          <t>Carolyn</t>
        </is>
      </c>
      <c r="D1301" s="37" t="inlineStr">
        <is>
          <t>ACTIVE_WAITLIST</t>
        </is>
      </c>
      <c r="E1301" s="37" t="n">
        <v>27.3</v>
      </c>
      <c r="F1301" s="37" t="n">
        <v>7.8</v>
      </c>
    </row>
    <row r="1302">
      <c r="A1302" s="37" t="inlineStr">
        <is>
          <t>WL-02301</t>
        </is>
      </c>
      <c r="B1302" s="37" t="inlineStr">
        <is>
          <t>Moody</t>
        </is>
      </c>
      <c r="C1302" s="37" t="inlineStr">
        <is>
          <t>Nicholas</t>
        </is>
      </c>
      <c r="D1302" s="37" t="inlineStr">
        <is>
          <t>ACTIVE_WAITLIST</t>
        </is>
      </c>
      <c r="E1302" s="37" t="n">
        <v>57.3</v>
      </c>
      <c r="F1302" s="37" t="n">
        <v>17.5</v>
      </c>
    </row>
    <row r="1303">
      <c r="A1303" s="37" t="inlineStr">
        <is>
          <t>WL-02302</t>
        </is>
      </c>
      <c r="B1303" s="37" t="inlineStr">
        <is>
          <t>Davis</t>
        </is>
      </c>
      <c r="C1303" s="37" t="inlineStr">
        <is>
          <t>James</t>
        </is>
      </c>
      <c r="D1303" s="37" t="inlineStr">
        <is>
          <t>EXPIRED</t>
        </is>
      </c>
      <c r="E1303" s="37" t="n">
        <v>27.2</v>
      </c>
      <c r="F1303" s="37" t="n">
        <v>9.300000000000001</v>
      </c>
    </row>
    <row r="1304">
      <c r="A1304" s="37" t="inlineStr">
        <is>
          <t>WL-02303</t>
        </is>
      </c>
      <c r="B1304" s="37" t="inlineStr">
        <is>
          <t>Hernandez</t>
        </is>
      </c>
      <c r="C1304" s="37" t="inlineStr">
        <is>
          <t>Christina</t>
        </is>
      </c>
      <c r="D1304" s="37" t="inlineStr">
        <is>
          <t>ACTIVE_WAITLIST</t>
        </is>
      </c>
      <c r="E1304" s="37" t="n">
        <v>43.1</v>
      </c>
      <c r="F1304" s="37" t="n">
        <v>14.9</v>
      </c>
    </row>
    <row r="1305">
      <c r="A1305" s="37" t="inlineStr">
        <is>
          <t>WL-02304</t>
        </is>
      </c>
      <c r="B1305" s="37" t="inlineStr">
        <is>
          <t>Young</t>
        </is>
      </c>
      <c r="C1305" s="37" t="inlineStr">
        <is>
          <t>Johnathan</t>
        </is>
      </c>
      <c r="D1305" s="37" t="inlineStr">
        <is>
          <t>ACTIVE_WAITLIST</t>
        </is>
      </c>
      <c r="E1305" s="37" t="n">
        <v>23.2</v>
      </c>
      <c r="F1305" s="37" t="n">
        <v>8.300000000000001</v>
      </c>
    </row>
    <row r="1306">
      <c r="A1306" s="37" t="inlineStr">
        <is>
          <t>WL-02305</t>
        </is>
      </c>
      <c r="B1306" s="37" t="inlineStr">
        <is>
          <t>Patel</t>
        </is>
      </c>
      <c r="C1306" s="37" t="inlineStr">
        <is>
          <t>John</t>
        </is>
      </c>
      <c r="D1306" s="37" t="inlineStr">
        <is>
          <t>ACTIVE_WAITLIST</t>
        </is>
      </c>
      <c r="E1306" s="37" t="n">
        <v>21.5</v>
      </c>
      <c r="F1306" s="37" t="n">
        <v>7.2</v>
      </c>
    </row>
    <row r="1307">
      <c r="A1307" s="37" t="inlineStr">
        <is>
          <t>WL-02306</t>
        </is>
      </c>
      <c r="B1307" s="37" t="inlineStr">
        <is>
          <t>Schneider</t>
        </is>
      </c>
      <c r="C1307" s="37" t="inlineStr">
        <is>
          <t>Lori</t>
        </is>
      </c>
      <c r="D1307" s="37" t="inlineStr">
        <is>
          <t>ACTIVE_WAITLIST</t>
        </is>
      </c>
      <c r="E1307" s="37" t="n">
        <v>18.8</v>
      </c>
      <c r="F1307" s="37" t="n">
        <v>5.8</v>
      </c>
    </row>
    <row r="1308">
      <c r="A1308" s="37" t="inlineStr">
        <is>
          <t>WL-02307</t>
        </is>
      </c>
      <c r="B1308" s="37" t="inlineStr">
        <is>
          <t>Jacobson</t>
        </is>
      </c>
      <c r="C1308" s="37" t="inlineStr">
        <is>
          <t>Joshua</t>
        </is>
      </c>
      <c r="D1308" s="37" t="inlineStr">
        <is>
          <t>RETAINER</t>
        </is>
      </c>
      <c r="E1308" s="37" t="n">
        <v>30.7</v>
      </c>
      <c r="F1308" s="37" t="n">
        <v>9.800000000000001</v>
      </c>
    </row>
    <row r="1309">
      <c r="A1309" s="37" t="inlineStr">
        <is>
          <t>WL-02308</t>
        </is>
      </c>
      <c r="B1309" s="37" t="inlineStr">
        <is>
          <t>Jones</t>
        </is>
      </c>
      <c r="C1309" s="37" t="inlineStr">
        <is>
          <t>Abigail</t>
        </is>
      </c>
      <c r="D1309" s="37" t="inlineStr">
        <is>
          <t>ACTIVE_WAITLIST</t>
        </is>
      </c>
      <c r="E1309" s="37" t="n">
        <v>21.2</v>
      </c>
      <c r="F1309" s="37" t="n">
        <v>7.2</v>
      </c>
    </row>
    <row r="1310">
      <c r="A1310" s="37" t="inlineStr">
        <is>
          <t>WL-02309</t>
        </is>
      </c>
      <c r="B1310" s="37" t="inlineStr">
        <is>
          <t>Brown</t>
        </is>
      </c>
      <c r="C1310" s="37" t="inlineStr">
        <is>
          <t>Timothy</t>
        </is>
      </c>
      <c r="D1310" s="37" t="inlineStr">
        <is>
          <t>ACTIVE_WAITLIST</t>
        </is>
      </c>
      <c r="E1310" s="37" t="n">
        <v>45.3</v>
      </c>
      <c r="F1310" s="37" t="n">
        <v>16</v>
      </c>
    </row>
    <row r="1311">
      <c r="A1311" s="37" t="inlineStr">
        <is>
          <t>WL-02310</t>
        </is>
      </c>
      <c r="B1311" s="37" t="inlineStr">
        <is>
          <t>Bell</t>
        </is>
      </c>
      <c r="C1311" s="37" t="inlineStr">
        <is>
          <t>Kristy</t>
        </is>
      </c>
      <c r="D1311" s="37" t="inlineStr">
        <is>
          <t>ACTIVE_WAITLIST</t>
        </is>
      </c>
      <c r="E1311" s="37" t="n">
        <v>53</v>
      </c>
      <c r="F1311" s="37" t="n">
        <v>17.7</v>
      </c>
    </row>
    <row r="1312">
      <c r="A1312" s="37" t="inlineStr">
        <is>
          <t>WL-02311</t>
        </is>
      </c>
      <c r="B1312" s="37" t="inlineStr">
        <is>
          <t>Martinez</t>
        </is>
      </c>
      <c r="C1312" s="37" t="inlineStr">
        <is>
          <t>Catherine</t>
        </is>
      </c>
      <c r="D1312" s="37" t="inlineStr">
        <is>
          <t>ACTIVE_WAITLIST</t>
        </is>
      </c>
      <c r="E1312" s="37" t="n">
        <v>49.7</v>
      </c>
      <c r="F1312" s="37" t="n">
        <v>15.8</v>
      </c>
    </row>
    <row r="1313">
      <c r="A1313" s="37" t="inlineStr">
        <is>
          <t>WL-02312</t>
        </is>
      </c>
      <c r="B1313" s="37" t="inlineStr">
        <is>
          <t>Ray</t>
        </is>
      </c>
      <c r="C1313" s="37" t="inlineStr">
        <is>
          <t>Anna</t>
        </is>
      </c>
      <c r="D1313" s="37" t="inlineStr">
        <is>
          <t>ACTIVE_WAITLIST</t>
        </is>
      </c>
      <c r="E1313" s="37" t="n">
        <v>31.3</v>
      </c>
      <c r="F1313" s="37" t="n">
        <v>10.3</v>
      </c>
    </row>
    <row r="1314">
      <c r="A1314" s="37" t="inlineStr">
        <is>
          <t>WL-02313</t>
        </is>
      </c>
      <c r="B1314" s="37" t="inlineStr">
        <is>
          <t>Bell</t>
        </is>
      </c>
      <c r="C1314" s="37" t="inlineStr">
        <is>
          <t>Aaron</t>
        </is>
      </c>
      <c r="D1314" s="37" t="inlineStr">
        <is>
          <t>ACTIVE_WAITLIST</t>
        </is>
      </c>
      <c r="E1314" s="37" t="n">
        <v>61.6</v>
      </c>
      <c r="F1314" s="37" t="n">
        <v>20.8</v>
      </c>
    </row>
    <row r="1315">
      <c r="A1315" s="37" t="inlineStr">
        <is>
          <t>WL-02314</t>
        </is>
      </c>
      <c r="B1315" s="37" t="inlineStr">
        <is>
          <t>Silva</t>
        </is>
      </c>
      <c r="C1315" s="37" t="inlineStr">
        <is>
          <t>David</t>
        </is>
      </c>
      <c r="D1315" s="37" t="inlineStr">
        <is>
          <t>ACTIVE_WAITLIST</t>
        </is>
      </c>
      <c r="E1315" s="37" t="n">
        <v>31.1</v>
      </c>
      <c r="F1315" s="37" t="n">
        <v>10.4</v>
      </c>
    </row>
    <row r="1316">
      <c r="A1316" s="37" t="inlineStr">
        <is>
          <t>WL-02315</t>
        </is>
      </c>
      <c r="B1316" s="37" t="inlineStr">
        <is>
          <t>Mendez</t>
        </is>
      </c>
      <c r="C1316" s="37" t="inlineStr">
        <is>
          <t>Mitchell</t>
        </is>
      </c>
      <c r="D1316" s="37" t="inlineStr">
        <is>
          <t>ACTIVE_WAITLIST</t>
        </is>
      </c>
      <c r="E1316" s="37" t="n">
        <v>61.1</v>
      </c>
      <c r="F1316" s="37" t="n">
        <v>17.6</v>
      </c>
    </row>
    <row r="1317">
      <c r="A1317" s="37" t="inlineStr">
        <is>
          <t>WL-02316</t>
        </is>
      </c>
      <c r="B1317" s="37" t="inlineStr">
        <is>
          <t>Elliott</t>
        </is>
      </c>
      <c r="C1317" s="37" t="inlineStr">
        <is>
          <t>Cheryl</t>
        </is>
      </c>
      <c r="D1317" s="37" t="inlineStr">
        <is>
          <t>ACTIVE_WAITLIST</t>
        </is>
      </c>
      <c r="E1317" s="37" t="n">
        <v>39</v>
      </c>
      <c r="F1317" s="37" t="n">
        <v>11.9</v>
      </c>
    </row>
    <row r="1318">
      <c r="A1318" s="37" t="inlineStr">
        <is>
          <t>WL-02317</t>
        </is>
      </c>
      <c r="B1318" s="37" t="inlineStr">
        <is>
          <t>Gomez</t>
        </is>
      </c>
      <c r="C1318" s="37" t="inlineStr">
        <is>
          <t>Nicole</t>
        </is>
      </c>
      <c r="D1318" s="37" t="inlineStr">
        <is>
          <t>ACTIVE_WAITLIST</t>
        </is>
      </c>
      <c r="E1318" s="37" t="n">
        <v>38</v>
      </c>
      <c r="F1318" s="37" t="n">
        <v>12.6</v>
      </c>
    </row>
    <row r="1319">
      <c r="A1319" s="37" t="inlineStr">
        <is>
          <t>WL-02318</t>
        </is>
      </c>
      <c r="B1319" s="37" t="inlineStr">
        <is>
          <t>Harris</t>
        </is>
      </c>
      <c r="C1319" s="37" t="inlineStr">
        <is>
          <t>Brittany</t>
        </is>
      </c>
      <c r="D1319" s="37" t="inlineStr">
        <is>
          <t>ACTIVE_WAITLIST</t>
        </is>
      </c>
      <c r="E1319" s="37" t="n">
        <v>19.9</v>
      </c>
      <c r="F1319" s="37" t="n">
        <v>6.8</v>
      </c>
    </row>
    <row r="1320">
      <c r="A1320" s="37" t="inlineStr">
        <is>
          <t>WL-02319</t>
        </is>
      </c>
      <c r="B1320" s="37" t="inlineStr">
        <is>
          <t>Pacheco</t>
        </is>
      </c>
      <c r="C1320" s="37" t="inlineStr">
        <is>
          <t>Elizabeth</t>
        </is>
      </c>
      <c r="D1320" s="37" t="inlineStr">
        <is>
          <t>ACTIVE_WAITLIST</t>
        </is>
      </c>
      <c r="E1320" s="37" t="n">
        <v>31.6</v>
      </c>
      <c r="F1320" s="37" t="n">
        <v>10.7</v>
      </c>
    </row>
    <row r="1321">
      <c r="A1321" s="37" t="inlineStr">
        <is>
          <t>WL-02320</t>
        </is>
      </c>
      <c r="B1321" s="37" t="inlineStr">
        <is>
          <t>Walker</t>
        </is>
      </c>
      <c r="C1321" s="37" t="inlineStr">
        <is>
          <t>Eric</t>
        </is>
      </c>
      <c r="D1321" s="37" t="inlineStr">
        <is>
          <t>ACTIVE_WAITLIST</t>
        </is>
      </c>
      <c r="E1321" s="37" t="n">
        <v>38.6</v>
      </c>
      <c r="F1321" s="37" t="n">
        <v>11.8</v>
      </c>
    </row>
    <row r="1322">
      <c r="A1322" s="37" t="inlineStr">
        <is>
          <t>WL-02321</t>
        </is>
      </c>
      <c r="B1322" s="37" t="inlineStr">
        <is>
          <t>Williams</t>
        </is>
      </c>
      <c r="C1322" s="37" t="inlineStr">
        <is>
          <t>Laura</t>
        </is>
      </c>
      <c r="D1322" s="37" t="inlineStr">
        <is>
          <t>SUSPENDED</t>
        </is>
      </c>
      <c r="E1322" s="37" t="n">
        <v>60.8</v>
      </c>
      <c r="F1322" s="37" t="n">
        <v>19.5</v>
      </c>
    </row>
    <row r="1323">
      <c r="A1323" s="37" t="inlineStr">
        <is>
          <t>WL-02322</t>
        </is>
      </c>
      <c r="B1323" s="37" t="inlineStr">
        <is>
          <t>Nguyen</t>
        </is>
      </c>
      <c r="C1323" s="37" t="inlineStr">
        <is>
          <t>Allison</t>
        </is>
      </c>
      <c r="D1323" s="37" t="inlineStr">
        <is>
          <t>ACTIVE_WAITLIST</t>
        </is>
      </c>
      <c r="E1323" s="37" t="n">
        <v>46.1</v>
      </c>
      <c r="F1323" s="37" t="n">
        <v>16.1</v>
      </c>
    </row>
    <row r="1324">
      <c r="A1324" s="37" t="inlineStr">
        <is>
          <t>WL-02323</t>
        </is>
      </c>
      <c r="B1324" s="37" t="inlineStr">
        <is>
          <t>Preston</t>
        </is>
      </c>
      <c r="C1324" s="37" t="inlineStr">
        <is>
          <t>John</t>
        </is>
      </c>
      <c r="D1324" s="37" t="inlineStr">
        <is>
          <t>ACTIVE_WAITLIST</t>
        </is>
      </c>
      <c r="E1324" s="37" t="n">
        <v>56.7</v>
      </c>
      <c r="F1324" s="37" t="n">
        <v>17.5</v>
      </c>
    </row>
    <row r="1325">
      <c r="A1325" s="37" t="inlineStr">
        <is>
          <t>WL-02324</t>
        </is>
      </c>
      <c r="B1325" s="37" t="inlineStr">
        <is>
          <t>Marquez</t>
        </is>
      </c>
      <c r="C1325" s="37" t="inlineStr">
        <is>
          <t>Scott</t>
        </is>
      </c>
      <c r="D1325" s="37" t="inlineStr">
        <is>
          <t>RETAINER</t>
        </is>
      </c>
      <c r="E1325" s="37" t="n">
        <v>42.6</v>
      </c>
      <c r="F1325" s="37" t="n">
        <v>14.6</v>
      </c>
    </row>
    <row r="1326">
      <c r="A1326" s="37" t="inlineStr">
        <is>
          <t>WL-02325</t>
        </is>
      </c>
      <c r="B1326" s="37" t="inlineStr">
        <is>
          <t>Brown</t>
        </is>
      </c>
      <c r="C1326" s="37" t="inlineStr">
        <is>
          <t>Lisa</t>
        </is>
      </c>
      <c r="D1326" s="37" t="inlineStr">
        <is>
          <t>ACTIVE_WAITLIST</t>
        </is>
      </c>
      <c r="E1326" s="37" t="n">
        <v>34.6</v>
      </c>
      <c r="F1326" s="37" t="n">
        <v>11.2</v>
      </c>
    </row>
    <row r="1327">
      <c r="A1327" s="37" t="inlineStr">
        <is>
          <t>WL-02326</t>
        </is>
      </c>
      <c r="B1327" s="37" t="inlineStr">
        <is>
          <t>Blackwell</t>
        </is>
      </c>
      <c r="C1327" s="37" t="inlineStr">
        <is>
          <t>Debra</t>
        </is>
      </c>
      <c r="D1327" s="37" t="inlineStr">
        <is>
          <t>ACTIVE_WAITLIST</t>
        </is>
      </c>
      <c r="E1327" s="37" t="n">
        <v>33</v>
      </c>
      <c r="F1327" s="37" t="n">
        <v>11.1</v>
      </c>
    </row>
    <row r="1328">
      <c r="A1328" s="37" t="inlineStr">
        <is>
          <t>WL-02327</t>
        </is>
      </c>
      <c r="B1328" s="37" t="inlineStr">
        <is>
          <t>Hogan</t>
        </is>
      </c>
      <c r="C1328" s="37" t="inlineStr">
        <is>
          <t>Sarah</t>
        </is>
      </c>
      <c r="D1328" s="37" t="inlineStr">
        <is>
          <t>ACTIVE_WAITLIST</t>
        </is>
      </c>
      <c r="E1328" s="37" t="n">
        <v>43.6</v>
      </c>
      <c r="F1328" s="37" t="n">
        <v>12.3</v>
      </c>
    </row>
    <row r="1329">
      <c r="A1329" s="37" t="inlineStr">
        <is>
          <t>WL-02328</t>
        </is>
      </c>
      <c r="B1329" s="37" t="inlineStr">
        <is>
          <t>Mack</t>
        </is>
      </c>
      <c r="C1329" s="37" t="inlineStr">
        <is>
          <t>Tony</t>
        </is>
      </c>
      <c r="D1329" s="37" t="inlineStr">
        <is>
          <t>ACTIVE_WAITLIST</t>
        </is>
      </c>
      <c r="E1329" s="37" t="n">
        <v>55.5</v>
      </c>
      <c r="F1329" s="37" t="n">
        <v>16.1</v>
      </c>
    </row>
    <row r="1330">
      <c r="A1330" s="37" t="inlineStr">
        <is>
          <t>WL-02329</t>
        </is>
      </c>
      <c r="B1330" s="37" t="inlineStr">
        <is>
          <t>Morgan</t>
        </is>
      </c>
      <c r="C1330" s="37" t="inlineStr">
        <is>
          <t>Gregory</t>
        </is>
      </c>
      <c r="D1330" s="37" t="inlineStr">
        <is>
          <t>EXPIRED</t>
        </is>
      </c>
      <c r="E1330" s="37" t="n">
        <v>44.5</v>
      </c>
      <c r="F1330" s="37" t="n">
        <v>13.4</v>
      </c>
    </row>
    <row r="1331">
      <c r="A1331" s="37" t="inlineStr">
        <is>
          <t>WL-02330</t>
        </is>
      </c>
      <c r="B1331" s="37" t="inlineStr">
        <is>
          <t>Fox</t>
        </is>
      </c>
      <c r="C1331" s="37" t="inlineStr">
        <is>
          <t>John</t>
        </is>
      </c>
      <c r="D1331" s="37" t="inlineStr">
        <is>
          <t>SUSPENDED</t>
        </is>
      </c>
      <c r="E1331" s="37" t="n">
        <v>46.6</v>
      </c>
      <c r="F1331" s="37" t="n">
        <v>13.5</v>
      </c>
    </row>
    <row r="1332">
      <c r="A1332" s="37" t="inlineStr">
        <is>
          <t>WL-02331</t>
        </is>
      </c>
      <c r="B1332" s="37" t="inlineStr">
        <is>
          <t>Gibbs</t>
        </is>
      </c>
      <c r="C1332" s="37" t="inlineStr">
        <is>
          <t>Cassandra</t>
        </is>
      </c>
      <c r="D1332" s="37" t="inlineStr">
        <is>
          <t>ACTIVE_WAITLIST</t>
        </is>
      </c>
      <c r="E1332" s="37" t="n">
        <v>61.3</v>
      </c>
      <c r="F1332" s="37" t="n">
        <v>18.9</v>
      </c>
    </row>
    <row r="1333">
      <c r="A1333" s="37" t="inlineStr">
        <is>
          <t>WL-02332</t>
        </is>
      </c>
      <c r="B1333" s="37" t="inlineStr">
        <is>
          <t>Cross</t>
        </is>
      </c>
      <c r="C1333" s="37" t="inlineStr">
        <is>
          <t>Karla</t>
        </is>
      </c>
      <c r="D1333" s="37" t="inlineStr">
        <is>
          <t>ACTIVE_WAITLIST</t>
        </is>
      </c>
      <c r="E1333" s="37" t="n">
        <v>38.4</v>
      </c>
      <c r="F1333" s="37" t="n">
        <v>10.8</v>
      </c>
    </row>
    <row r="1334">
      <c r="A1334" s="37" t="inlineStr">
        <is>
          <t>WL-02333</t>
        </is>
      </c>
      <c r="B1334" s="37" t="inlineStr">
        <is>
          <t>Wallace</t>
        </is>
      </c>
      <c r="C1334" s="37" t="inlineStr">
        <is>
          <t>Maurice</t>
        </is>
      </c>
      <c r="D1334" s="37" t="inlineStr">
        <is>
          <t>ACTIVE_WAITLIST</t>
        </is>
      </c>
      <c r="E1334" s="37" t="n">
        <v>55.1</v>
      </c>
      <c r="F1334" s="37" t="n">
        <v>18.1</v>
      </c>
    </row>
    <row r="1335">
      <c r="A1335" s="37" t="inlineStr">
        <is>
          <t>WL-02334</t>
        </is>
      </c>
      <c r="B1335" s="37" t="inlineStr">
        <is>
          <t>Lewis</t>
        </is>
      </c>
      <c r="C1335" s="37" t="inlineStr">
        <is>
          <t>Dean</t>
        </is>
      </c>
      <c r="D1335" s="37" t="inlineStr">
        <is>
          <t>ACTIVE_WAITLIST</t>
        </is>
      </c>
      <c r="E1335" s="37" t="n">
        <v>61.7</v>
      </c>
      <c r="F1335" s="37" t="n">
        <v>19.3</v>
      </c>
    </row>
    <row r="1336">
      <c r="A1336" s="37" t="inlineStr">
        <is>
          <t>WL-02335</t>
        </is>
      </c>
      <c r="B1336" s="37" t="inlineStr">
        <is>
          <t>Pham</t>
        </is>
      </c>
      <c r="C1336" s="37" t="inlineStr">
        <is>
          <t>Susan</t>
        </is>
      </c>
      <c r="D1336" s="37" t="inlineStr">
        <is>
          <t>ACTIVE_WAITLIST</t>
        </is>
      </c>
      <c r="E1336" s="37" t="n">
        <v>45.6</v>
      </c>
      <c r="F1336" s="37" t="n">
        <v>13</v>
      </c>
    </row>
    <row r="1337">
      <c r="A1337" s="37" t="inlineStr">
        <is>
          <t>WL-02336</t>
        </is>
      </c>
      <c r="B1337" s="37" t="inlineStr">
        <is>
          <t>Ford</t>
        </is>
      </c>
      <c r="C1337" s="37" t="inlineStr">
        <is>
          <t>Jimmy</t>
        </is>
      </c>
      <c r="D1337" s="37" t="inlineStr">
        <is>
          <t>RETAINER</t>
        </is>
      </c>
      <c r="E1337" s="37" t="n">
        <v>46.3</v>
      </c>
      <c r="F1337" s="37" t="n">
        <v>16.5</v>
      </c>
    </row>
    <row r="1338">
      <c r="A1338" s="37" t="inlineStr">
        <is>
          <t>WL-02337</t>
        </is>
      </c>
      <c r="B1338" s="37" t="inlineStr">
        <is>
          <t>Taylor</t>
        </is>
      </c>
      <c r="C1338" s="37" t="inlineStr">
        <is>
          <t>Brian</t>
        </is>
      </c>
      <c r="D1338" s="37" t="inlineStr">
        <is>
          <t>ACTIVE_WAITLIST</t>
        </is>
      </c>
      <c r="E1338" s="37" t="n">
        <v>55.5</v>
      </c>
      <c r="F1338" s="37" t="n">
        <v>16.2</v>
      </c>
    </row>
    <row r="1339">
      <c r="A1339" s="37" t="inlineStr">
        <is>
          <t>WL-02338</t>
        </is>
      </c>
      <c r="B1339" s="37" t="inlineStr">
        <is>
          <t>Estrada</t>
        </is>
      </c>
      <c r="C1339" s="37" t="inlineStr">
        <is>
          <t>Deborah</t>
        </is>
      </c>
      <c r="D1339" s="37" t="inlineStr">
        <is>
          <t>ACTIVE_WAITLIST</t>
        </is>
      </c>
      <c r="E1339" s="37" t="n">
        <v>25.3</v>
      </c>
      <c r="F1339" s="37" t="n">
        <v>7.8</v>
      </c>
    </row>
    <row r="1340">
      <c r="A1340" s="37" t="inlineStr">
        <is>
          <t>WL-02339</t>
        </is>
      </c>
      <c r="B1340" s="37" t="inlineStr">
        <is>
          <t>Suarez</t>
        </is>
      </c>
      <c r="C1340" s="37" t="inlineStr">
        <is>
          <t>Michael</t>
        </is>
      </c>
      <c r="D1340" s="37" t="inlineStr">
        <is>
          <t>ACTIVE_WAITLIST</t>
        </is>
      </c>
      <c r="E1340" s="37" t="n">
        <v>47.6</v>
      </c>
      <c r="F1340" s="37" t="n">
        <v>14.2</v>
      </c>
    </row>
    <row r="1341">
      <c r="A1341" s="37" t="inlineStr">
        <is>
          <t>WL-02340</t>
        </is>
      </c>
      <c r="B1341" s="37" t="inlineStr">
        <is>
          <t>Charles</t>
        </is>
      </c>
      <c r="C1341" s="37" t="inlineStr">
        <is>
          <t>Tara</t>
        </is>
      </c>
      <c r="D1341" s="37" t="inlineStr">
        <is>
          <t>ACTIVE_WAITLIST</t>
        </is>
      </c>
      <c r="E1341" s="37" t="n">
        <v>33.6</v>
      </c>
      <c r="F1341" s="37" t="n">
        <v>11.5</v>
      </c>
    </row>
    <row r="1342">
      <c r="A1342" s="37" t="inlineStr">
        <is>
          <t>WL-02341</t>
        </is>
      </c>
      <c r="B1342" s="37" t="inlineStr">
        <is>
          <t>Stewart</t>
        </is>
      </c>
      <c r="C1342" s="37" t="inlineStr">
        <is>
          <t>David</t>
        </is>
      </c>
      <c r="D1342" s="37" t="inlineStr">
        <is>
          <t>ACTIVE_WAITLIST</t>
        </is>
      </c>
      <c r="E1342" s="37" t="n">
        <v>59</v>
      </c>
      <c r="F1342" s="37" t="n">
        <v>17.1</v>
      </c>
    </row>
    <row r="1343">
      <c r="A1343" s="37" t="inlineStr">
        <is>
          <t>WL-02342</t>
        </is>
      </c>
      <c r="B1343" s="37" t="inlineStr">
        <is>
          <t>Morris</t>
        </is>
      </c>
      <c r="C1343" s="37" t="inlineStr">
        <is>
          <t>Ricky</t>
        </is>
      </c>
      <c r="D1343" s="37" t="inlineStr">
        <is>
          <t>ACTIVE_WAITLIST</t>
        </is>
      </c>
      <c r="E1343" s="37" t="n">
        <v>43.4</v>
      </c>
      <c r="F1343" s="37" t="n">
        <v>15.2</v>
      </c>
    </row>
    <row r="1344">
      <c r="A1344" s="37" t="inlineStr">
        <is>
          <t>WL-02343</t>
        </is>
      </c>
      <c r="B1344" s="37" t="inlineStr">
        <is>
          <t>Mata</t>
        </is>
      </c>
      <c r="C1344" s="37" t="inlineStr">
        <is>
          <t>Nicole</t>
        </is>
      </c>
      <c r="D1344" s="37" t="inlineStr">
        <is>
          <t>ACTIVE_WAITLIST</t>
        </is>
      </c>
      <c r="E1344" s="37" t="n">
        <v>24</v>
      </c>
      <c r="F1344" s="37" t="n">
        <v>7.7</v>
      </c>
    </row>
    <row r="1345">
      <c r="A1345" s="37" t="inlineStr">
        <is>
          <t>WL-02344</t>
        </is>
      </c>
      <c r="B1345" s="37" t="inlineStr">
        <is>
          <t>Combs</t>
        </is>
      </c>
      <c r="C1345" s="37" t="inlineStr">
        <is>
          <t>Michael</t>
        </is>
      </c>
      <c r="D1345" s="37" t="inlineStr">
        <is>
          <t>ACTIVE_WAITLIST</t>
        </is>
      </c>
      <c r="E1345" s="37" t="n">
        <v>43.4</v>
      </c>
      <c r="F1345" s="37" t="n">
        <v>15.5</v>
      </c>
    </row>
    <row r="1346">
      <c r="A1346" s="37" t="inlineStr">
        <is>
          <t>WL-02345</t>
        </is>
      </c>
      <c r="B1346" s="37" t="inlineStr">
        <is>
          <t>Wade</t>
        </is>
      </c>
      <c r="C1346" s="37" t="inlineStr">
        <is>
          <t>Brian</t>
        </is>
      </c>
      <c r="D1346" s="37" t="inlineStr">
        <is>
          <t>ACTIVE_WAITLIST</t>
        </is>
      </c>
      <c r="E1346" s="37" t="n">
        <v>54.1</v>
      </c>
      <c r="F1346" s="37" t="n">
        <v>15.2</v>
      </c>
    </row>
    <row r="1347">
      <c r="A1347" s="37" t="inlineStr">
        <is>
          <t>WL-02346</t>
        </is>
      </c>
      <c r="B1347" s="37" t="inlineStr">
        <is>
          <t>Thomas</t>
        </is>
      </c>
      <c r="C1347" s="37" t="inlineStr">
        <is>
          <t>Tammy</t>
        </is>
      </c>
      <c r="D1347" s="37" t="inlineStr">
        <is>
          <t>ACTIVE_WAITLIST</t>
        </is>
      </c>
      <c r="E1347" s="37" t="n">
        <v>44.5</v>
      </c>
      <c r="F1347" s="37" t="n">
        <v>15.4</v>
      </c>
    </row>
    <row r="1348">
      <c r="A1348" s="37" t="inlineStr">
        <is>
          <t>WL-02347</t>
        </is>
      </c>
      <c r="B1348" s="37" t="inlineStr">
        <is>
          <t>Yang</t>
        </is>
      </c>
      <c r="C1348" s="37" t="inlineStr">
        <is>
          <t>Timothy</t>
        </is>
      </c>
      <c r="D1348" s="37" t="inlineStr">
        <is>
          <t>ACTIVE_WAITLIST</t>
        </is>
      </c>
      <c r="E1348" s="37" t="n">
        <v>57.5</v>
      </c>
      <c r="F1348" s="37" t="n">
        <v>16.2</v>
      </c>
    </row>
    <row r="1349">
      <c r="A1349" s="37" t="inlineStr">
        <is>
          <t>WL-02348</t>
        </is>
      </c>
      <c r="B1349" s="37" t="inlineStr">
        <is>
          <t>Ballard</t>
        </is>
      </c>
      <c r="C1349" s="37" t="inlineStr">
        <is>
          <t>Kimberly</t>
        </is>
      </c>
      <c r="D1349" s="37" t="inlineStr">
        <is>
          <t>ACTIVE_WAITLIST</t>
        </is>
      </c>
      <c r="E1349" s="37" t="n">
        <v>49</v>
      </c>
      <c r="F1349" s="37" t="n">
        <v>17</v>
      </c>
    </row>
    <row r="1350">
      <c r="A1350" s="37" t="inlineStr">
        <is>
          <t>WL-02349</t>
        </is>
      </c>
      <c r="B1350" s="37" t="inlineStr">
        <is>
          <t>Mason</t>
        </is>
      </c>
      <c r="C1350" s="37" t="inlineStr">
        <is>
          <t>Natalie</t>
        </is>
      </c>
      <c r="D1350" s="37" t="inlineStr">
        <is>
          <t>ACTIVE_WAITLIST</t>
        </is>
      </c>
      <c r="E1350" s="37" t="n">
        <v>41.7</v>
      </c>
      <c r="F1350" s="37" t="n">
        <v>12.7</v>
      </c>
    </row>
    <row r="1351">
      <c r="A1351" s="37" t="inlineStr">
        <is>
          <t>WL-02350</t>
        </is>
      </c>
      <c r="B1351" s="37" t="inlineStr">
        <is>
          <t>Chambers</t>
        </is>
      </c>
      <c r="C1351" s="37" t="inlineStr">
        <is>
          <t>Christy</t>
        </is>
      </c>
      <c r="D1351" s="37" t="inlineStr">
        <is>
          <t>ACTIVE_WAITLIST</t>
        </is>
      </c>
      <c r="E1351" s="37" t="n">
        <v>58.2</v>
      </c>
      <c r="F1351" s="37" t="n">
        <v>17.2</v>
      </c>
    </row>
    <row r="1352">
      <c r="A1352" s="37" t="inlineStr">
        <is>
          <t>WL-02351</t>
        </is>
      </c>
      <c r="B1352" s="37" t="inlineStr">
        <is>
          <t>Bradford</t>
        </is>
      </c>
      <c r="C1352" s="37" t="inlineStr">
        <is>
          <t>Kenneth</t>
        </is>
      </c>
      <c r="D1352" s="37" t="inlineStr">
        <is>
          <t>ACTIVE_WAITLIST</t>
        </is>
      </c>
      <c r="E1352" s="37" t="n">
        <v>26.5</v>
      </c>
      <c r="F1352" s="37" t="n">
        <v>8.800000000000001</v>
      </c>
    </row>
    <row r="1353">
      <c r="A1353" s="37" t="inlineStr">
        <is>
          <t>WL-02352</t>
        </is>
      </c>
      <c r="B1353" s="37" t="inlineStr">
        <is>
          <t>Preston</t>
        </is>
      </c>
      <c r="C1353" s="37" t="inlineStr">
        <is>
          <t>James</t>
        </is>
      </c>
      <c r="D1353" s="37" t="inlineStr">
        <is>
          <t>EXPIRED</t>
        </is>
      </c>
      <c r="E1353" s="37" t="n">
        <v>26</v>
      </c>
      <c r="F1353" s="37" t="n">
        <v>8.300000000000001</v>
      </c>
    </row>
    <row r="1354">
      <c r="A1354" s="37" t="inlineStr">
        <is>
          <t>WL-02353</t>
        </is>
      </c>
      <c r="B1354" s="37" t="inlineStr">
        <is>
          <t>Freeman</t>
        </is>
      </c>
      <c r="C1354" s="37" t="inlineStr">
        <is>
          <t>Jonathan</t>
        </is>
      </c>
      <c r="D1354" s="37" t="inlineStr">
        <is>
          <t>ACTIVE_WAITLIST</t>
        </is>
      </c>
      <c r="E1354" s="37" t="n">
        <v>48.5</v>
      </c>
      <c r="F1354" s="37" t="n">
        <v>16.5</v>
      </c>
    </row>
    <row r="1355">
      <c r="A1355" s="37" t="inlineStr">
        <is>
          <t>WL-02354</t>
        </is>
      </c>
      <c r="B1355" s="37" t="inlineStr">
        <is>
          <t>Sanchez</t>
        </is>
      </c>
      <c r="C1355" s="37" t="inlineStr">
        <is>
          <t>Makayla</t>
        </is>
      </c>
      <c r="D1355" s="37" t="inlineStr">
        <is>
          <t>ACTIVE_WAITLIST</t>
        </is>
      </c>
      <c r="E1355" s="37" t="n">
        <v>56.5</v>
      </c>
      <c r="F1355" s="37" t="n">
        <v>17.3</v>
      </c>
    </row>
    <row r="1356">
      <c r="A1356" s="37" t="inlineStr">
        <is>
          <t>WL-02355</t>
        </is>
      </c>
      <c r="B1356" s="37" t="inlineStr">
        <is>
          <t>Rich</t>
        </is>
      </c>
      <c r="C1356" s="37" t="inlineStr">
        <is>
          <t>Michelle</t>
        </is>
      </c>
      <c r="D1356" s="37" t="inlineStr">
        <is>
          <t>ACTIVE_WAITLIST</t>
        </is>
      </c>
      <c r="E1356" s="37" t="n">
        <v>34.4</v>
      </c>
      <c r="F1356" s="37" t="n">
        <v>11.5</v>
      </c>
    </row>
    <row r="1357">
      <c r="A1357" s="37" t="inlineStr">
        <is>
          <t>WL-02356</t>
        </is>
      </c>
      <c r="B1357" s="37" t="inlineStr">
        <is>
          <t>Flores</t>
        </is>
      </c>
      <c r="C1357" s="37" t="inlineStr">
        <is>
          <t>David</t>
        </is>
      </c>
      <c r="D1357" s="37" t="inlineStr">
        <is>
          <t>ACTIVE_WAITLIST</t>
        </is>
      </c>
      <c r="E1357" s="37" t="n">
        <v>19.4</v>
      </c>
      <c r="F1357" s="37" t="n">
        <v>6.6</v>
      </c>
    </row>
    <row r="1358">
      <c r="A1358" s="37" t="inlineStr">
        <is>
          <t>WL-02357</t>
        </is>
      </c>
      <c r="B1358" s="37" t="inlineStr">
        <is>
          <t>Adams</t>
        </is>
      </c>
      <c r="C1358" s="37" t="inlineStr">
        <is>
          <t>Kimberly</t>
        </is>
      </c>
      <c r="D1358" s="37" t="inlineStr">
        <is>
          <t>ACTIVE_WAITLIST</t>
        </is>
      </c>
      <c r="E1358" s="37" t="n">
        <v>29.8</v>
      </c>
      <c r="F1358" s="37" t="n">
        <v>10.4</v>
      </c>
    </row>
    <row r="1359">
      <c r="A1359" s="37" t="inlineStr">
        <is>
          <t>WL-02358</t>
        </is>
      </c>
      <c r="B1359" s="37" t="inlineStr">
        <is>
          <t>Mccoy</t>
        </is>
      </c>
      <c r="C1359" s="37" t="inlineStr">
        <is>
          <t>Kelly</t>
        </is>
      </c>
      <c r="D1359" s="37" t="inlineStr">
        <is>
          <t>ACTIVE_WAITLIST</t>
        </is>
      </c>
      <c r="E1359" s="37" t="n">
        <v>47</v>
      </c>
      <c r="F1359" s="37" t="n">
        <v>13.2</v>
      </c>
    </row>
    <row r="1360">
      <c r="A1360" s="37" t="inlineStr">
        <is>
          <t>WL-02359</t>
        </is>
      </c>
      <c r="B1360" s="37" t="inlineStr">
        <is>
          <t>Adams</t>
        </is>
      </c>
      <c r="C1360" s="37" t="inlineStr">
        <is>
          <t>Joseph</t>
        </is>
      </c>
      <c r="D1360" s="37" t="inlineStr">
        <is>
          <t>EXPIRED</t>
        </is>
      </c>
      <c r="E1360" s="37" t="n">
        <v>21.1</v>
      </c>
      <c r="F1360" s="37" t="n">
        <v>6</v>
      </c>
    </row>
    <row r="1361">
      <c r="A1361" s="37" t="inlineStr">
        <is>
          <t>WL-02360</t>
        </is>
      </c>
      <c r="B1361" s="37" t="inlineStr">
        <is>
          <t>Gordon</t>
        </is>
      </c>
      <c r="C1361" s="37" t="inlineStr">
        <is>
          <t>Spencer</t>
        </is>
      </c>
      <c r="D1361" s="37" t="inlineStr">
        <is>
          <t>ACTIVE_WAITLIST</t>
        </is>
      </c>
      <c r="E1361" s="37" t="n">
        <v>24.8</v>
      </c>
      <c r="F1361" s="37" t="n">
        <v>7.2</v>
      </c>
    </row>
    <row r="1362">
      <c r="A1362" s="37" t="inlineStr">
        <is>
          <t>WL-02361</t>
        </is>
      </c>
      <c r="B1362" s="37" t="inlineStr">
        <is>
          <t>Anderson</t>
        </is>
      </c>
      <c r="C1362" s="37" t="inlineStr">
        <is>
          <t>Dana</t>
        </is>
      </c>
      <c r="D1362" s="37" t="inlineStr">
        <is>
          <t>ACTIVE_WAITLIST</t>
        </is>
      </c>
      <c r="E1362" s="37" t="n">
        <v>20.9</v>
      </c>
      <c r="F1362" s="37" t="n">
        <v>6</v>
      </c>
    </row>
    <row r="1363">
      <c r="A1363" s="37" t="inlineStr">
        <is>
          <t>WL-02362</t>
        </is>
      </c>
      <c r="B1363" s="37" t="inlineStr">
        <is>
          <t>Foster</t>
        </is>
      </c>
      <c r="C1363" s="37" t="inlineStr">
        <is>
          <t>Crystal</t>
        </is>
      </c>
      <c r="D1363" s="37" t="inlineStr">
        <is>
          <t>ACTIVE_WAITLIST</t>
        </is>
      </c>
      <c r="E1363" s="37" t="n">
        <v>44.2</v>
      </c>
      <c r="F1363" s="37" t="n">
        <v>14.9</v>
      </c>
    </row>
    <row r="1364">
      <c r="A1364" s="37" t="inlineStr">
        <is>
          <t>WL-02363</t>
        </is>
      </c>
      <c r="B1364" s="37" t="inlineStr">
        <is>
          <t>Johnson</t>
        </is>
      </c>
      <c r="C1364" s="37" t="inlineStr">
        <is>
          <t>Timothy</t>
        </is>
      </c>
      <c r="D1364" s="37" t="inlineStr">
        <is>
          <t>ACTIVE_WAITLIST</t>
        </is>
      </c>
      <c r="E1364" s="37" t="n">
        <v>28.3</v>
      </c>
      <c r="F1364" s="37" t="n">
        <v>8.6</v>
      </c>
    </row>
    <row r="1365">
      <c r="A1365" s="37" t="inlineStr">
        <is>
          <t>WL-02364</t>
        </is>
      </c>
      <c r="B1365" s="37" t="inlineStr">
        <is>
          <t>Brooks</t>
        </is>
      </c>
      <c r="C1365" s="37" t="inlineStr">
        <is>
          <t>Susan</t>
        </is>
      </c>
      <c r="D1365" s="37" t="inlineStr">
        <is>
          <t>RETAINER</t>
        </is>
      </c>
      <c r="E1365" s="37" t="n">
        <v>51.7</v>
      </c>
      <c r="F1365" s="37" t="n">
        <v>17.8</v>
      </c>
    </row>
    <row r="1366">
      <c r="A1366" s="37" t="inlineStr">
        <is>
          <t>WL-02365</t>
        </is>
      </c>
      <c r="B1366" s="37" t="inlineStr">
        <is>
          <t>Williams</t>
        </is>
      </c>
      <c r="C1366" s="37" t="inlineStr">
        <is>
          <t>Sophia</t>
        </is>
      </c>
      <c r="D1366" s="37" t="inlineStr">
        <is>
          <t>ACTIVE_WAITLIST</t>
        </is>
      </c>
      <c r="E1366" s="37" t="n">
        <v>25.5</v>
      </c>
      <c r="F1366" s="37" t="n">
        <v>7.8</v>
      </c>
    </row>
    <row r="1367">
      <c r="A1367" s="37" t="inlineStr">
        <is>
          <t>WL-02366</t>
        </is>
      </c>
      <c r="B1367" s="37" t="inlineStr">
        <is>
          <t>Hoffman</t>
        </is>
      </c>
      <c r="C1367" s="37" t="inlineStr">
        <is>
          <t>Megan</t>
        </is>
      </c>
      <c r="D1367" s="37" t="inlineStr">
        <is>
          <t>SUSPENDED</t>
        </is>
      </c>
      <c r="E1367" s="37" t="n">
        <v>51.4</v>
      </c>
      <c r="F1367" s="37" t="n">
        <v>16.5</v>
      </c>
    </row>
    <row r="1368">
      <c r="A1368" s="37" t="inlineStr">
        <is>
          <t>WL-02367</t>
        </is>
      </c>
      <c r="B1368" s="37" t="inlineStr">
        <is>
          <t>Morales</t>
        </is>
      </c>
      <c r="C1368" s="37" t="inlineStr">
        <is>
          <t>Nicole</t>
        </is>
      </c>
      <c r="D1368" s="37" t="inlineStr">
        <is>
          <t>ACTIVE_WAITLIST</t>
        </is>
      </c>
      <c r="E1368" s="37" t="n">
        <v>43</v>
      </c>
      <c r="F1368" s="37" t="n">
        <v>13.1</v>
      </c>
    </row>
    <row r="1369">
      <c r="A1369" s="37" t="inlineStr">
        <is>
          <t>WL-02368</t>
        </is>
      </c>
      <c r="B1369" s="37" t="inlineStr">
        <is>
          <t>Chavez</t>
        </is>
      </c>
      <c r="C1369" s="37" t="inlineStr">
        <is>
          <t>Chris</t>
        </is>
      </c>
      <c r="D1369" s="37" t="inlineStr">
        <is>
          <t>ACTIVE_WAITLIST</t>
        </is>
      </c>
      <c r="E1369" s="37" t="n">
        <v>24.8</v>
      </c>
      <c r="F1369" s="37" t="n">
        <v>7.7</v>
      </c>
    </row>
    <row r="1370">
      <c r="A1370" s="37" t="inlineStr">
        <is>
          <t>WL-02369</t>
        </is>
      </c>
      <c r="B1370" s="37" t="inlineStr">
        <is>
          <t>Young</t>
        </is>
      </c>
      <c r="C1370" s="37" t="inlineStr">
        <is>
          <t>Jean</t>
        </is>
      </c>
      <c r="D1370" s="37" t="inlineStr">
        <is>
          <t>ACTIVE_WAITLIST</t>
        </is>
      </c>
      <c r="E1370" s="37" t="n">
        <v>18.6</v>
      </c>
      <c r="F1370" s="37" t="n">
        <v>6.7</v>
      </c>
    </row>
    <row r="1371">
      <c r="A1371" s="37" t="inlineStr">
        <is>
          <t>WL-02370</t>
        </is>
      </c>
      <c r="B1371" s="37" t="inlineStr">
        <is>
          <t>Brown</t>
        </is>
      </c>
      <c r="C1371" s="37" t="inlineStr">
        <is>
          <t>Rhonda</t>
        </is>
      </c>
      <c r="D1371" s="37" t="inlineStr">
        <is>
          <t>RETAINER</t>
        </is>
      </c>
      <c r="E1371" s="37" t="n">
        <v>24.7</v>
      </c>
      <c r="F1371" s="37" t="n">
        <v>7</v>
      </c>
    </row>
    <row r="1372">
      <c r="A1372" s="37" t="inlineStr">
        <is>
          <t>WL-02371</t>
        </is>
      </c>
      <c r="B1372" s="37" t="inlineStr">
        <is>
          <t>Evans</t>
        </is>
      </c>
      <c r="C1372" s="37" t="inlineStr">
        <is>
          <t>Kyle</t>
        </is>
      </c>
      <c r="D1372" s="37" t="inlineStr">
        <is>
          <t>ACTIVE_WAITLIST</t>
        </is>
      </c>
      <c r="E1372" s="37" t="n">
        <v>35.7</v>
      </c>
      <c r="F1372" s="37" t="n">
        <v>11</v>
      </c>
    </row>
    <row r="1373">
      <c r="A1373" s="37" t="inlineStr">
        <is>
          <t>WL-02372</t>
        </is>
      </c>
      <c r="B1373" s="37" t="inlineStr">
        <is>
          <t>Powell</t>
        </is>
      </c>
      <c r="C1373" s="37" t="inlineStr">
        <is>
          <t>Amber</t>
        </is>
      </c>
      <c r="D1373" s="37" t="inlineStr">
        <is>
          <t>ACTIVE_WAITLIST</t>
        </is>
      </c>
      <c r="E1373" s="37" t="n">
        <v>48.9</v>
      </c>
      <c r="F1373" s="37" t="n">
        <v>15.9</v>
      </c>
    </row>
    <row r="1374">
      <c r="A1374" s="37" t="inlineStr">
        <is>
          <t>WL-02373</t>
        </is>
      </c>
      <c r="B1374" s="37" t="inlineStr">
        <is>
          <t>Adkins</t>
        </is>
      </c>
      <c r="C1374" s="37" t="inlineStr">
        <is>
          <t>Angela</t>
        </is>
      </c>
      <c r="D1374" s="37" t="inlineStr">
        <is>
          <t>ACTIVE_WAITLIST</t>
        </is>
      </c>
      <c r="E1374" s="37" t="n">
        <v>50.1</v>
      </c>
      <c r="F1374" s="37" t="n">
        <v>15.2</v>
      </c>
    </row>
    <row r="1375">
      <c r="A1375" s="37" t="inlineStr">
        <is>
          <t>WL-02374</t>
        </is>
      </c>
      <c r="B1375" s="37" t="inlineStr">
        <is>
          <t>Torres</t>
        </is>
      </c>
      <c r="C1375" s="37" t="inlineStr">
        <is>
          <t>Anthony</t>
        </is>
      </c>
      <c r="D1375" s="37" t="inlineStr">
        <is>
          <t>ACTIVE_WAITLIST</t>
        </is>
      </c>
      <c r="E1375" s="37" t="n">
        <v>41.8</v>
      </c>
      <c r="F1375" s="37" t="n">
        <v>13.7</v>
      </c>
    </row>
    <row r="1376">
      <c r="A1376" s="37" t="inlineStr">
        <is>
          <t>WL-02375</t>
        </is>
      </c>
      <c r="B1376" s="37" t="inlineStr">
        <is>
          <t>Flores</t>
        </is>
      </c>
      <c r="C1376" s="37" t="inlineStr">
        <is>
          <t>Lisa</t>
        </is>
      </c>
      <c r="D1376" s="37" t="inlineStr">
        <is>
          <t>ACTIVE_WAITLIST</t>
        </is>
      </c>
      <c r="E1376" s="37" t="n">
        <v>28.8</v>
      </c>
      <c r="F1376" s="37" t="n">
        <v>8.800000000000001</v>
      </c>
    </row>
    <row r="1377">
      <c r="A1377" s="37" t="inlineStr">
        <is>
          <t>WL-02376</t>
        </is>
      </c>
      <c r="B1377" s="37" t="inlineStr">
        <is>
          <t>Robinson</t>
        </is>
      </c>
      <c r="C1377" s="37" t="inlineStr">
        <is>
          <t>Steven</t>
        </is>
      </c>
      <c r="D1377" s="37" t="inlineStr">
        <is>
          <t>ACTIVE_WAITLIST</t>
        </is>
      </c>
      <c r="E1377" s="37" t="n">
        <v>35.5</v>
      </c>
      <c r="F1377" s="37" t="n">
        <v>11</v>
      </c>
    </row>
    <row r="1378">
      <c r="A1378" s="37" t="inlineStr">
        <is>
          <t>WL-02377</t>
        </is>
      </c>
      <c r="B1378" s="37" t="inlineStr">
        <is>
          <t>Patterson</t>
        </is>
      </c>
      <c r="C1378" s="37" t="inlineStr">
        <is>
          <t>Tammy</t>
        </is>
      </c>
      <c r="D1378" s="37" t="inlineStr">
        <is>
          <t>ACTIVE_WAITLIST</t>
        </is>
      </c>
      <c r="E1378" s="37" t="n">
        <v>50.5</v>
      </c>
      <c r="F1378" s="37" t="n">
        <v>15.5</v>
      </c>
    </row>
    <row r="1379">
      <c r="A1379" s="37" t="inlineStr">
        <is>
          <t>WL-02378</t>
        </is>
      </c>
      <c r="B1379" s="37" t="inlineStr">
        <is>
          <t>Barnes</t>
        </is>
      </c>
      <c r="C1379" s="37" t="inlineStr">
        <is>
          <t>Kevin</t>
        </is>
      </c>
      <c r="D1379" s="37" t="inlineStr">
        <is>
          <t>RETAINER</t>
        </is>
      </c>
      <c r="E1379" s="37" t="n">
        <v>31.9</v>
      </c>
      <c r="F1379" s="37" t="n">
        <v>9.5</v>
      </c>
    </row>
    <row r="1380">
      <c r="A1380" s="37" t="inlineStr">
        <is>
          <t>WL-02379</t>
        </is>
      </c>
      <c r="B1380" s="37" t="inlineStr">
        <is>
          <t>Davis</t>
        </is>
      </c>
      <c r="C1380" s="37" t="inlineStr">
        <is>
          <t>Robyn</t>
        </is>
      </c>
      <c r="D1380" s="37" t="inlineStr">
        <is>
          <t>ACTIVE_WAITLIST</t>
        </is>
      </c>
      <c r="E1380" s="37" t="n">
        <v>25.5</v>
      </c>
      <c r="F1380" s="37" t="n">
        <v>8.800000000000001</v>
      </c>
    </row>
    <row r="1381">
      <c r="A1381" s="37" t="inlineStr">
        <is>
          <t>WL-02380</t>
        </is>
      </c>
      <c r="B1381" s="37" t="inlineStr">
        <is>
          <t>Escobar</t>
        </is>
      </c>
      <c r="C1381" s="37" t="inlineStr">
        <is>
          <t>John</t>
        </is>
      </c>
      <c r="D1381" s="37" t="inlineStr">
        <is>
          <t>ACTIVE_WAITLIST</t>
        </is>
      </c>
      <c r="E1381" s="37" t="n">
        <v>52.3</v>
      </c>
      <c r="F1381" s="37" t="n">
        <v>15.1</v>
      </c>
    </row>
    <row r="1382">
      <c r="A1382" s="37" t="inlineStr">
        <is>
          <t>WL-02381</t>
        </is>
      </c>
      <c r="B1382" s="37" t="inlineStr">
        <is>
          <t>Waters</t>
        </is>
      </c>
      <c r="C1382" s="37" t="inlineStr">
        <is>
          <t>Gary</t>
        </is>
      </c>
      <c r="D1382" s="37" t="inlineStr">
        <is>
          <t>ACTIVE_WAITLIST</t>
        </is>
      </c>
      <c r="E1382" s="37" t="n">
        <v>24.7</v>
      </c>
      <c r="F1382" s="37" t="n">
        <v>8.1</v>
      </c>
    </row>
    <row r="1383">
      <c r="A1383" s="37" t="inlineStr">
        <is>
          <t>WL-02382</t>
        </is>
      </c>
      <c r="B1383" s="37" t="inlineStr">
        <is>
          <t>Wallace</t>
        </is>
      </c>
      <c r="C1383" s="37" t="inlineStr">
        <is>
          <t>Rachael</t>
        </is>
      </c>
      <c r="D1383" s="37" t="inlineStr">
        <is>
          <t>ACTIVE_WAITLIST</t>
        </is>
      </c>
      <c r="E1383" s="37" t="n">
        <v>47.2</v>
      </c>
      <c r="F1383" s="37" t="n">
        <v>15.4</v>
      </c>
    </row>
    <row r="1384">
      <c r="A1384" s="37" t="inlineStr">
        <is>
          <t>WL-02383</t>
        </is>
      </c>
      <c r="B1384" s="37" t="inlineStr">
        <is>
          <t>Meyer</t>
        </is>
      </c>
      <c r="C1384" s="37" t="inlineStr">
        <is>
          <t>Joel</t>
        </is>
      </c>
      <c r="D1384" s="37" t="inlineStr">
        <is>
          <t>RETAINER</t>
        </is>
      </c>
      <c r="E1384" s="37" t="n">
        <v>41.7</v>
      </c>
      <c r="F1384" s="37" t="n">
        <v>12</v>
      </c>
    </row>
    <row r="1385">
      <c r="A1385" s="37" t="inlineStr">
        <is>
          <t>WL-02384</t>
        </is>
      </c>
      <c r="B1385" s="37" t="inlineStr">
        <is>
          <t>Clark</t>
        </is>
      </c>
      <c r="C1385" s="37" t="inlineStr">
        <is>
          <t>Jessica</t>
        </is>
      </c>
      <c r="D1385" s="37" t="inlineStr">
        <is>
          <t>ACTIVE_WAITLIST</t>
        </is>
      </c>
      <c r="E1385" s="37" t="n">
        <v>54.6</v>
      </c>
      <c r="F1385" s="37" t="n">
        <v>15.5</v>
      </c>
    </row>
    <row r="1386">
      <c r="A1386" s="37" t="inlineStr">
        <is>
          <t>WL-02385</t>
        </is>
      </c>
      <c r="B1386" s="37" t="inlineStr">
        <is>
          <t>Lopez</t>
        </is>
      </c>
      <c r="C1386" s="37" t="inlineStr">
        <is>
          <t>John</t>
        </is>
      </c>
      <c r="D1386" s="37" t="inlineStr">
        <is>
          <t>ACTIVE_WAITLIST</t>
        </is>
      </c>
      <c r="E1386" s="37" t="n">
        <v>47.1</v>
      </c>
      <c r="F1386" s="37" t="n">
        <v>16.5</v>
      </c>
    </row>
    <row r="1387">
      <c r="A1387" s="37" t="inlineStr">
        <is>
          <t>WL-02386</t>
        </is>
      </c>
      <c r="B1387" s="37" t="inlineStr">
        <is>
          <t>Cuevas</t>
        </is>
      </c>
      <c r="C1387" s="37" t="inlineStr">
        <is>
          <t>Austin</t>
        </is>
      </c>
      <c r="D1387" s="37" t="inlineStr">
        <is>
          <t>RETAINER</t>
        </is>
      </c>
      <c r="E1387" s="37" t="n">
        <v>32.6</v>
      </c>
      <c r="F1387" s="37" t="n">
        <v>9.800000000000001</v>
      </c>
    </row>
    <row r="1388">
      <c r="A1388" s="37" t="inlineStr">
        <is>
          <t>WL-02387</t>
        </is>
      </c>
      <c r="B1388" s="37" t="inlineStr">
        <is>
          <t>Roberts</t>
        </is>
      </c>
      <c r="C1388" s="37" t="inlineStr">
        <is>
          <t>Scott</t>
        </is>
      </c>
      <c r="D1388" s="37" t="inlineStr">
        <is>
          <t>ACTIVE_WAITLIST</t>
        </is>
      </c>
      <c r="E1388" s="37" t="n">
        <v>41.9</v>
      </c>
      <c r="F1388" s="37" t="n">
        <v>13.2</v>
      </c>
    </row>
    <row r="1389">
      <c r="A1389" s="37" t="inlineStr">
        <is>
          <t>WL-02388</t>
        </is>
      </c>
      <c r="B1389" s="37" t="inlineStr">
        <is>
          <t>Brady</t>
        </is>
      </c>
      <c r="C1389" s="37" t="inlineStr">
        <is>
          <t>Gregory</t>
        </is>
      </c>
      <c r="D1389" s="37" t="inlineStr">
        <is>
          <t>ACTIVE_WAITLIST</t>
        </is>
      </c>
      <c r="E1389" s="37" t="n">
        <v>49.7</v>
      </c>
      <c r="F1389" s="37" t="n">
        <v>15.4</v>
      </c>
    </row>
    <row r="1390">
      <c r="A1390" s="37" t="inlineStr">
        <is>
          <t>WL-02389</t>
        </is>
      </c>
      <c r="B1390" s="37" t="inlineStr">
        <is>
          <t>Cox</t>
        </is>
      </c>
      <c r="C1390" s="37" t="inlineStr">
        <is>
          <t>Michael</t>
        </is>
      </c>
      <c r="D1390" s="37" t="inlineStr">
        <is>
          <t>ACTIVE_WAITLIST</t>
        </is>
      </c>
      <c r="E1390" s="37" t="n">
        <v>48</v>
      </c>
      <c r="F1390" s="37" t="n">
        <v>13.7</v>
      </c>
    </row>
    <row r="1391">
      <c r="A1391" s="37" t="inlineStr">
        <is>
          <t>WL-02390</t>
        </is>
      </c>
      <c r="B1391" s="37" t="inlineStr">
        <is>
          <t>Anderson</t>
        </is>
      </c>
      <c r="C1391" s="37" t="inlineStr">
        <is>
          <t>Veronica</t>
        </is>
      </c>
      <c r="D1391" s="37" t="inlineStr">
        <is>
          <t>ACTIVE_WAITLIST</t>
        </is>
      </c>
      <c r="E1391" s="37" t="n">
        <v>55.4</v>
      </c>
      <c r="F1391" s="37" t="n">
        <v>16.9</v>
      </c>
    </row>
    <row r="1392">
      <c r="A1392" s="37" t="inlineStr">
        <is>
          <t>WL-02391</t>
        </is>
      </c>
      <c r="B1392" s="37" t="inlineStr">
        <is>
          <t>Welch</t>
        </is>
      </c>
      <c r="C1392" s="37" t="inlineStr">
        <is>
          <t>Nicholas</t>
        </is>
      </c>
      <c r="D1392" s="37" t="inlineStr">
        <is>
          <t>ACTIVE_WAITLIST</t>
        </is>
      </c>
      <c r="E1392" s="37" t="n">
        <v>53.7</v>
      </c>
      <c r="F1392" s="37" t="n">
        <v>19</v>
      </c>
    </row>
    <row r="1393">
      <c r="A1393" s="37" t="inlineStr">
        <is>
          <t>WL-02392</t>
        </is>
      </c>
      <c r="B1393" s="37" t="inlineStr">
        <is>
          <t>Jones</t>
        </is>
      </c>
      <c r="C1393" s="37" t="inlineStr">
        <is>
          <t>Michael</t>
        </is>
      </c>
      <c r="D1393" s="37" t="inlineStr">
        <is>
          <t>ACTIVE_WAITLIST</t>
        </is>
      </c>
      <c r="E1393" s="37" t="n">
        <v>53.4</v>
      </c>
      <c r="F1393" s="37" t="n">
        <v>16.5</v>
      </c>
    </row>
    <row r="1394">
      <c r="A1394" s="37" t="inlineStr">
        <is>
          <t>WL-02393</t>
        </is>
      </c>
      <c r="B1394" s="37" t="inlineStr">
        <is>
          <t>Bradley</t>
        </is>
      </c>
      <c r="C1394" s="37" t="inlineStr">
        <is>
          <t>Christopher</t>
        </is>
      </c>
      <c r="D1394" s="37" t="inlineStr">
        <is>
          <t>ACTIVE_WAITLIST</t>
        </is>
      </c>
      <c r="E1394" s="37" t="n">
        <v>26.2</v>
      </c>
      <c r="F1394" s="37" t="n">
        <v>8.199999999999999</v>
      </c>
    </row>
    <row r="1395">
      <c r="A1395" s="37" t="inlineStr">
        <is>
          <t>WL-02394</t>
        </is>
      </c>
      <c r="B1395" s="37" t="inlineStr">
        <is>
          <t>Harris</t>
        </is>
      </c>
      <c r="C1395" s="37" t="inlineStr">
        <is>
          <t>Dustin</t>
        </is>
      </c>
      <c r="D1395" s="37" t="inlineStr">
        <is>
          <t>ACTIVE_WAITLIST</t>
        </is>
      </c>
      <c r="E1395" s="37" t="n">
        <v>25.6</v>
      </c>
      <c r="F1395" s="37" t="n">
        <v>8.9</v>
      </c>
    </row>
    <row r="1396">
      <c r="A1396" s="37" t="inlineStr">
        <is>
          <t>WL-02395</t>
        </is>
      </c>
      <c r="B1396" s="37" t="inlineStr">
        <is>
          <t>Ramos</t>
        </is>
      </c>
      <c r="C1396" s="37" t="inlineStr">
        <is>
          <t>Scott</t>
        </is>
      </c>
      <c r="D1396" s="37" t="inlineStr">
        <is>
          <t>ACTIVE_WAITLIST</t>
        </is>
      </c>
      <c r="E1396" s="37" t="n">
        <v>24.9</v>
      </c>
      <c r="F1396" s="37" t="n">
        <v>7.7</v>
      </c>
    </row>
    <row r="1397">
      <c r="A1397" s="37" t="inlineStr">
        <is>
          <t>WL-02396</t>
        </is>
      </c>
      <c r="B1397" s="37" t="inlineStr">
        <is>
          <t>Le</t>
        </is>
      </c>
      <c r="C1397" s="37" t="inlineStr">
        <is>
          <t>Seth</t>
        </is>
      </c>
      <c r="D1397" s="37" t="inlineStr">
        <is>
          <t>RETAINER</t>
        </is>
      </c>
      <c r="E1397" s="37" t="n">
        <v>56.2</v>
      </c>
      <c r="F1397" s="37" t="n">
        <v>18</v>
      </c>
    </row>
    <row r="1398">
      <c r="A1398" s="37" t="inlineStr">
        <is>
          <t>WL-02397</t>
        </is>
      </c>
      <c r="B1398" s="37" t="inlineStr">
        <is>
          <t>Atkinson</t>
        </is>
      </c>
      <c r="C1398" s="37" t="inlineStr">
        <is>
          <t>Darin</t>
        </is>
      </c>
      <c r="D1398" s="37" t="inlineStr">
        <is>
          <t>RETAINER</t>
        </is>
      </c>
      <c r="E1398" s="37" t="n">
        <v>54</v>
      </c>
      <c r="F1398" s="37" t="n">
        <v>16.7</v>
      </c>
    </row>
    <row r="1399">
      <c r="A1399" s="37" t="inlineStr">
        <is>
          <t>WL-02398</t>
        </is>
      </c>
      <c r="B1399" s="37" t="inlineStr">
        <is>
          <t>Patrick</t>
        </is>
      </c>
      <c r="C1399" s="37" t="inlineStr">
        <is>
          <t>Danny</t>
        </is>
      </c>
      <c r="D1399" s="37" t="inlineStr">
        <is>
          <t>ACTIVE_WAITLIST</t>
        </is>
      </c>
      <c r="E1399" s="37" t="n">
        <v>42.9</v>
      </c>
      <c r="F1399" s="37" t="n">
        <v>14</v>
      </c>
    </row>
    <row r="1400">
      <c r="A1400" s="37" t="inlineStr">
        <is>
          <t>WL-02399</t>
        </is>
      </c>
      <c r="B1400" s="37" t="inlineStr">
        <is>
          <t>Mccullough</t>
        </is>
      </c>
      <c r="C1400" s="37" t="inlineStr">
        <is>
          <t>Jennifer</t>
        </is>
      </c>
      <c r="D1400" s="37" t="inlineStr">
        <is>
          <t>ACTIVE_WAITLIST</t>
        </is>
      </c>
      <c r="E1400" s="37" t="n">
        <v>26.3</v>
      </c>
      <c r="F1400" s="37" t="n">
        <v>8.300000000000001</v>
      </c>
    </row>
    <row r="1401">
      <c r="A1401" s="37" t="inlineStr">
        <is>
          <t>WL-02400</t>
        </is>
      </c>
      <c r="B1401" s="37" t="inlineStr">
        <is>
          <t>Washington</t>
        </is>
      </c>
      <c r="C1401" s="37" t="inlineStr">
        <is>
          <t>Sierra</t>
        </is>
      </c>
      <c r="D1401" s="37" t="inlineStr">
        <is>
          <t>ACTIVE_WAITLIST</t>
        </is>
      </c>
      <c r="E1401" s="37" t="n">
        <v>50.2</v>
      </c>
      <c r="F1401" s="37" t="n">
        <v>17.9</v>
      </c>
    </row>
    <row r="1402">
      <c r="A1402" s="37" t="inlineStr">
        <is>
          <t>WL-02401</t>
        </is>
      </c>
      <c r="B1402" s="37" t="inlineStr">
        <is>
          <t>Whitford</t>
        </is>
      </c>
      <c r="C1402" s="37" t="inlineStr">
        <is>
          <t>Dana</t>
        </is>
      </c>
      <c r="D1402" s="37" t="inlineStr">
        <is>
          <t>EXPIRED</t>
        </is>
      </c>
      <c r="E1402" s="37" t="n">
        <v>31.7</v>
      </c>
      <c r="F1402" s="37" t="n">
        <v>10.9</v>
      </c>
    </row>
    <row r="1403">
      <c r="A1403" s="37" t="inlineStr">
        <is>
          <t>WL-02402</t>
        </is>
      </c>
      <c r="B1403" s="37" t="inlineStr">
        <is>
          <t>Wilcox</t>
        </is>
      </c>
      <c r="C1403" s="37" t="inlineStr">
        <is>
          <t>Ashley</t>
        </is>
      </c>
      <c r="D1403" s="37" t="inlineStr">
        <is>
          <t>ACTIVE_WAITLIST</t>
        </is>
      </c>
      <c r="E1403" s="37" t="n">
        <v>60.2</v>
      </c>
      <c r="F1403" s="37" t="n">
        <v>20.8</v>
      </c>
    </row>
    <row r="1404">
      <c r="A1404" s="37" t="inlineStr">
        <is>
          <t>WL-02403</t>
        </is>
      </c>
      <c r="B1404" s="37" t="inlineStr">
        <is>
          <t>Powell</t>
        </is>
      </c>
      <c r="C1404" s="37" t="inlineStr">
        <is>
          <t>Courtney</t>
        </is>
      </c>
      <c r="D1404" s="37" t="inlineStr">
        <is>
          <t>ACTIVE_WAITLIST</t>
        </is>
      </c>
      <c r="E1404" s="37" t="n">
        <v>39.5</v>
      </c>
      <c r="F1404" s="37" t="n">
        <v>13.1</v>
      </c>
    </row>
    <row r="1405">
      <c r="A1405" s="37" t="inlineStr">
        <is>
          <t>WL-02404</t>
        </is>
      </c>
      <c r="B1405" s="37" t="inlineStr">
        <is>
          <t>King</t>
        </is>
      </c>
      <c r="C1405" s="37" t="inlineStr">
        <is>
          <t>Samuel</t>
        </is>
      </c>
      <c r="D1405" s="37" t="inlineStr">
        <is>
          <t>ACTIVE_WAITLIST</t>
        </is>
      </c>
      <c r="E1405" s="37" t="n">
        <v>44.8</v>
      </c>
      <c r="F1405" s="37" t="n">
        <v>14.8</v>
      </c>
    </row>
    <row r="1406">
      <c r="A1406" s="37" t="inlineStr">
        <is>
          <t>WL-02405</t>
        </is>
      </c>
      <c r="B1406" s="37" t="inlineStr">
        <is>
          <t>Martin</t>
        </is>
      </c>
      <c r="C1406" s="37" t="inlineStr">
        <is>
          <t>Marissa</t>
        </is>
      </c>
      <c r="D1406" s="37" t="inlineStr">
        <is>
          <t>ACTIVE_WAITLIST</t>
        </is>
      </c>
      <c r="E1406" s="37" t="n">
        <v>56.5</v>
      </c>
      <c r="F1406" s="37" t="n">
        <v>17.2</v>
      </c>
    </row>
    <row r="1407">
      <c r="A1407" s="37" t="inlineStr">
        <is>
          <t>WL-02406</t>
        </is>
      </c>
      <c r="B1407" s="37" t="inlineStr">
        <is>
          <t>Jackson</t>
        </is>
      </c>
      <c r="C1407" s="37" t="inlineStr">
        <is>
          <t>Christopher</t>
        </is>
      </c>
      <c r="D1407" s="37" t="inlineStr">
        <is>
          <t>ACTIVE_WAITLIST</t>
        </is>
      </c>
      <c r="E1407" s="37" t="n">
        <v>53</v>
      </c>
      <c r="F1407" s="37" t="n">
        <v>16.5</v>
      </c>
    </row>
    <row r="1408">
      <c r="A1408" s="37" t="inlineStr">
        <is>
          <t>WL-02407</t>
        </is>
      </c>
      <c r="B1408" s="37" t="inlineStr">
        <is>
          <t>Thompson</t>
        </is>
      </c>
      <c r="C1408" s="37" t="inlineStr">
        <is>
          <t>Ryan</t>
        </is>
      </c>
      <c r="D1408" s="37" t="inlineStr">
        <is>
          <t>ACTIVE_WAITLIST</t>
        </is>
      </c>
      <c r="E1408" s="37" t="n">
        <v>49.2</v>
      </c>
      <c r="F1408" s="37" t="n">
        <v>14.6</v>
      </c>
    </row>
    <row r="1409">
      <c r="A1409" s="37" t="inlineStr">
        <is>
          <t>WL-02408</t>
        </is>
      </c>
      <c r="B1409" s="37" t="inlineStr">
        <is>
          <t>Kelly</t>
        </is>
      </c>
      <c r="C1409" s="37" t="inlineStr">
        <is>
          <t>Jacqueline</t>
        </is>
      </c>
      <c r="D1409" s="37" t="inlineStr">
        <is>
          <t>ACTIVE_WAITLIST</t>
        </is>
      </c>
      <c r="E1409" s="37" t="n">
        <v>24.2</v>
      </c>
      <c r="F1409" s="37" t="n">
        <v>7.7</v>
      </c>
    </row>
    <row r="1410">
      <c r="A1410" s="37" t="inlineStr">
        <is>
          <t>WL-02409</t>
        </is>
      </c>
      <c r="B1410" s="37" t="inlineStr">
        <is>
          <t>Sexton</t>
        </is>
      </c>
      <c r="C1410" s="37" t="inlineStr">
        <is>
          <t>Danny</t>
        </is>
      </c>
      <c r="D1410" s="37" t="inlineStr">
        <is>
          <t>ACTIVE_WAITLIST</t>
        </is>
      </c>
      <c r="E1410" s="37" t="n">
        <v>34.5</v>
      </c>
      <c r="F1410" s="37" t="n">
        <v>11</v>
      </c>
    </row>
    <row r="1411">
      <c r="A1411" s="37" t="inlineStr">
        <is>
          <t>WL-02410</t>
        </is>
      </c>
      <c r="B1411" s="37" t="inlineStr">
        <is>
          <t>Martin</t>
        </is>
      </c>
      <c r="C1411" s="37" t="inlineStr">
        <is>
          <t>Juan</t>
        </is>
      </c>
      <c r="D1411" s="37" t="inlineStr">
        <is>
          <t>ACTIVE_WAITLIST</t>
        </is>
      </c>
      <c r="E1411" s="37" t="n">
        <v>40.5</v>
      </c>
      <c r="F1411" s="37" t="n">
        <v>12.8</v>
      </c>
    </row>
    <row r="1412">
      <c r="A1412" s="37" t="inlineStr">
        <is>
          <t>WL-02411</t>
        </is>
      </c>
      <c r="B1412" s="37" t="inlineStr">
        <is>
          <t>Kelly</t>
        </is>
      </c>
      <c r="C1412" s="37" t="inlineStr">
        <is>
          <t>Brooke</t>
        </is>
      </c>
      <c r="D1412" s="37" t="inlineStr">
        <is>
          <t>ACTIVE_WAITLIST</t>
        </is>
      </c>
      <c r="E1412" s="37" t="n">
        <v>50.6</v>
      </c>
      <c r="F1412" s="37" t="n">
        <v>17.4</v>
      </c>
    </row>
    <row r="1413">
      <c r="A1413" s="37" t="inlineStr">
        <is>
          <t>WL-02412</t>
        </is>
      </c>
      <c r="B1413" s="37" t="inlineStr">
        <is>
          <t>David</t>
        </is>
      </c>
      <c r="C1413" s="37" t="inlineStr">
        <is>
          <t>Laura</t>
        </is>
      </c>
      <c r="D1413" s="37" t="inlineStr">
        <is>
          <t>EXPIRED</t>
        </is>
      </c>
      <c r="E1413" s="37" t="n">
        <v>61.6</v>
      </c>
      <c r="F1413" s="37" t="n">
        <v>21.5</v>
      </c>
    </row>
    <row r="1414">
      <c r="A1414" s="37" t="inlineStr">
        <is>
          <t>WL-02413</t>
        </is>
      </c>
      <c r="B1414" s="37" t="inlineStr">
        <is>
          <t>Phillips</t>
        </is>
      </c>
      <c r="C1414" s="37" t="inlineStr">
        <is>
          <t>Damon</t>
        </is>
      </c>
      <c r="D1414" s="37" t="inlineStr">
        <is>
          <t>ACTIVE_WAITLIST</t>
        </is>
      </c>
      <c r="E1414" s="37" t="n">
        <v>21.9</v>
      </c>
      <c r="F1414" s="37" t="n">
        <v>6.5</v>
      </c>
    </row>
    <row r="1415">
      <c r="A1415" s="37" t="inlineStr">
        <is>
          <t>WL-02414</t>
        </is>
      </c>
      <c r="B1415" s="37" t="inlineStr">
        <is>
          <t>Martinez</t>
        </is>
      </c>
      <c r="C1415" s="37" t="inlineStr">
        <is>
          <t>Ashley</t>
        </is>
      </c>
      <c r="D1415" s="37" t="inlineStr">
        <is>
          <t>ACTIVE_WAITLIST</t>
        </is>
      </c>
      <c r="E1415" s="37" t="n">
        <v>27.8</v>
      </c>
      <c r="F1415" s="37" t="n">
        <v>8.5</v>
      </c>
    </row>
    <row r="1416">
      <c r="A1416" s="37" t="inlineStr">
        <is>
          <t>WL-02415</t>
        </is>
      </c>
      <c r="B1416" s="37" t="inlineStr">
        <is>
          <t>Nelson</t>
        </is>
      </c>
      <c r="C1416" s="37" t="inlineStr">
        <is>
          <t>Valerie</t>
        </is>
      </c>
      <c r="D1416" s="37" t="inlineStr">
        <is>
          <t>ACTIVE_WAITLIST</t>
        </is>
      </c>
      <c r="E1416" s="37" t="n">
        <v>53.6</v>
      </c>
      <c r="F1416" s="37" t="n">
        <v>17.6</v>
      </c>
    </row>
    <row r="1417">
      <c r="A1417" s="37" t="inlineStr">
        <is>
          <t>WL-02416</t>
        </is>
      </c>
      <c r="B1417" s="37" t="inlineStr">
        <is>
          <t>Wood</t>
        </is>
      </c>
      <c r="C1417" s="37" t="inlineStr">
        <is>
          <t>Nicholas</t>
        </is>
      </c>
      <c r="D1417" s="37" t="inlineStr">
        <is>
          <t>ACTIVE_WAITLIST</t>
        </is>
      </c>
      <c r="E1417" s="37" t="n">
        <v>52.1</v>
      </c>
      <c r="F1417" s="37" t="n">
        <v>16.3</v>
      </c>
    </row>
    <row r="1418">
      <c r="A1418" s="37" t="inlineStr">
        <is>
          <t>WL-02417</t>
        </is>
      </c>
      <c r="B1418" s="37" t="inlineStr">
        <is>
          <t>Benjamin</t>
        </is>
      </c>
      <c r="C1418" s="37" t="inlineStr">
        <is>
          <t>Eric</t>
        </is>
      </c>
      <c r="D1418" s="37" t="inlineStr">
        <is>
          <t>ACTIVE_WAITLIST</t>
        </is>
      </c>
      <c r="E1418" s="37" t="n">
        <v>48.3</v>
      </c>
      <c r="F1418" s="37" t="n">
        <v>16.9</v>
      </c>
    </row>
    <row r="1419">
      <c r="A1419" s="37" t="inlineStr">
        <is>
          <t>WL-02418</t>
        </is>
      </c>
      <c r="B1419" s="37" t="inlineStr">
        <is>
          <t>Wilson</t>
        </is>
      </c>
      <c r="C1419" s="37" t="inlineStr">
        <is>
          <t>Riley</t>
        </is>
      </c>
      <c r="D1419" s="37" t="inlineStr">
        <is>
          <t>ACTIVE_WAITLIST</t>
        </is>
      </c>
      <c r="E1419" s="37" t="n">
        <v>56.7</v>
      </c>
      <c r="F1419" s="37" t="n">
        <v>17</v>
      </c>
    </row>
    <row r="1420">
      <c r="A1420" s="37" t="inlineStr">
        <is>
          <t>WL-02419</t>
        </is>
      </c>
      <c r="B1420" s="37" t="inlineStr">
        <is>
          <t>Aguirre</t>
        </is>
      </c>
      <c r="C1420" s="37" t="inlineStr">
        <is>
          <t>Cameron</t>
        </is>
      </c>
      <c r="D1420" s="37" t="inlineStr">
        <is>
          <t>ACTIVE_WAITLIST</t>
        </is>
      </c>
      <c r="E1420" s="37" t="n">
        <v>52.9</v>
      </c>
      <c r="F1420" s="37" t="n">
        <v>17.3</v>
      </c>
    </row>
    <row r="1421">
      <c r="A1421" s="37" t="inlineStr">
        <is>
          <t>WL-02420</t>
        </is>
      </c>
      <c r="B1421" s="37" t="inlineStr">
        <is>
          <t>Blake</t>
        </is>
      </c>
      <c r="C1421" s="37" t="inlineStr">
        <is>
          <t>Clifford</t>
        </is>
      </c>
      <c r="D1421" s="37" t="inlineStr">
        <is>
          <t>ACTIVE_WAITLIST</t>
        </is>
      </c>
      <c r="E1421" s="37" t="n">
        <v>44.5</v>
      </c>
      <c r="F1421" s="37" t="n">
        <v>12.9</v>
      </c>
    </row>
    <row r="1422">
      <c r="A1422" s="37" t="inlineStr">
        <is>
          <t>WL-02421</t>
        </is>
      </c>
      <c r="B1422" s="37" t="inlineStr">
        <is>
          <t>Cook</t>
        </is>
      </c>
      <c r="C1422" s="37" t="inlineStr">
        <is>
          <t>Kenneth</t>
        </is>
      </c>
      <c r="D1422" s="37" t="inlineStr">
        <is>
          <t>ACTIVE_WAITLIST</t>
        </is>
      </c>
      <c r="E1422" s="37" t="n">
        <v>47</v>
      </c>
      <c r="F1422" s="37" t="n">
        <v>14.2</v>
      </c>
    </row>
    <row r="1423">
      <c r="A1423" s="37" t="inlineStr">
        <is>
          <t>WL-02422</t>
        </is>
      </c>
      <c r="B1423" s="37" t="inlineStr">
        <is>
          <t>Hamilton</t>
        </is>
      </c>
      <c r="C1423" s="37" t="inlineStr">
        <is>
          <t>Lydia</t>
        </is>
      </c>
      <c r="D1423" s="37" t="inlineStr">
        <is>
          <t>ACTIVE_WAITLIST</t>
        </is>
      </c>
      <c r="E1423" s="37" t="n">
        <v>52</v>
      </c>
      <c r="F1423" s="37" t="n">
        <v>15.1</v>
      </c>
    </row>
    <row r="1424">
      <c r="A1424" s="37" t="inlineStr">
        <is>
          <t>WL-02423</t>
        </is>
      </c>
      <c r="B1424" s="37" t="inlineStr">
        <is>
          <t>Johnson</t>
        </is>
      </c>
      <c r="C1424" s="37" t="inlineStr">
        <is>
          <t>Melissa</t>
        </is>
      </c>
      <c r="D1424" s="37" t="inlineStr">
        <is>
          <t>ACTIVE_WAITLIST</t>
        </is>
      </c>
      <c r="E1424" s="37" t="n">
        <v>52.8</v>
      </c>
      <c r="F1424" s="37" t="n">
        <v>14.9</v>
      </c>
    </row>
    <row r="1425">
      <c r="A1425" s="37" t="inlineStr">
        <is>
          <t>WL-02424</t>
        </is>
      </c>
      <c r="B1425" s="37" t="inlineStr">
        <is>
          <t>Nguyen</t>
        </is>
      </c>
      <c r="C1425" s="37" t="inlineStr">
        <is>
          <t>Jessica</t>
        </is>
      </c>
      <c r="D1425" s="37" t="inlineStr">
        <is>
          <t>ACTIVE_WAITLIST</t>
        </is>
      </c>
      <c r="E1425" s="37" t="n">
        <v>37</v>
      </c>
      <c r="F1425" s="37" t="n">
        <v>10.7</v>
      </c>
    </row>
    <row r="1426">
      <c r="A1426" s="37" t="inlineStr">
        <is>
          <t>WL-02425</t>
        </is>
      </c>
      <c r="B1426" s="37" t="inlineStr">
        <is>
          <t>Tucker</t>
        </is>
      </c>
      <c r="C1426" s="37" t="inlineStr">
        <is>
          <t>Sharon</t>
        </is>
      </c>
      <c r="D1426" s="37" t="inlineStr">
        <is>
          <t>ACTIVE_WAITLIST</t>
        </is>
      </c>
      <c r="E1426" s="37" t="n">
        <v>59</v>
      </c>
      <c r="F1426" s="37" t="n">
        <v>19.9</v>
      </c>
    </row>
    <row r="1427">
      <c r="A1427" s="37" t="inlineStr">
        <is>
          <t>WL-02426</t>
        </is>
      </c>
      <c r="B1427" s="37" t="inlineStr">
        <is>
          <t>Cherry</t>
        </is>
      </c>
      <c r="C1427" s="37" t="inlineStr">
        <is>
          <t>Joshua</t>
        </is>
      </c>
      <c r="D1427" s="37" t="inlineStr">
        <is>
          <t>ACTIVE_WAITLIST</t>
        </is>
      </c>
      <c r="E1427" s="37" t="n">
        <v>30.7</v>
      </c>
      <c r="F1427" s="37" t="n">
        <v>9.800000000000001</v>
      </c>
    </row>
    <row r="1428">
      <c r="A1428" s="37" t="inlineStr">
        <is>
          <t>WL-02427</t>
        </is>
      </c>
      <c r="B1428" s="37" t="inlineStr">
        <is>
          <t>Crosby</t>
        </is>
      </c>
      <c r="C1428" s="37" t="inlineStr">
        <is>
          <t>Joseph</t>
        </is>
      </c>
      <c r="D1428" s="37" t="inlineStr">
        <is>
          <t>ACTIVE_WAITLIST</t>
        </is>
      </c>
      <c r="E1428" s="37" t="n">
        <v>40.1</v>
      </c>
      <c r="F1428" s="37" t="n">
        <v>14.2</v>
      </c>
    </row>
    <row r="1429">
      <c r="A1429" s="37" t="inlineStr">
        <is>
          <t>WL-02428</t>
        </is>
      </c>
      <c r="B1429" s="37" t="inlineStr">
        <is>
          <t>Henry</t>
        </is>
      </c>
      <c r="C1429" s="37" t="inlineStr">
        <is>
          <t>David</t>
        </is>
      </c>
      <c r="D1429" s="37" t="inlineStr">
        <is>
          <t>EXPIRED</t>
        </is>
      </c>
      <c r="E1429" s="37" t="n">
        <v>50.3</v>
      </c>
      <c r="F1429" s="37" t="n">
        <v>14.5</v>
      </c>
    </row>
    <row r="1430">
      <c r="A1430" s="37" t="inlineStr">
        <is>
          <t>WL-02429</t>
        </is>
      </c>
      <c r="B1430" s="37" t="inlineStr">
        <is>
          <t>White</t>
        </is>
      </c>
      <c r="C1430" s="37" t="inlineStr">
        <is>
          <t>Theresa</t>
        </is>
      </c>
      <c r="D1430" s="37" t="inlineStr">
        <is>
          <t>RETAINER</t>
        </is>
      </c>
      <c r="E1430" s="37" t="n">
        <v>44.8</v>
      </c>
      <c r="F1430" s="37" t="n">
        <v>16.1</v>
      </c>
    </row>
    <row r="1431">
      <c r="A1431" s="37" t="inlineStr">
        <is>
          <t>WL-02430</t>
        </is>
      </c>
      <c r="B1431" s="37" t="inlineStr">
        <is>
          <t>Hopkins</t>
        </is>
      </c>
      <c r="C1431" s="37" t="inlineStr">
        <is>
          <t>Laura</t>
        </is>
      </c>
      <c r="D1431" s="37" t="inlineStr">
        <is>
          <t>ACTIVE_WAITLIST</t>
        </is>
      </c>
      <c r="E1431" s="37" t="n">
        <v>41.9</v>
      </c>
      <c r="F1431" s="37" t="n">
        <v>12</v>
      </c>
    </row>
    <row r="1432">
      <c r="A1432" s="37" t="inlineStr">
        <is>
          <t>WL-02431</t>
        </is>
      </c>
      <c r="B1432" s="37" t="inlineStr">
        <is>
          <t>Montoya</t>
        </is>
      </c>
      <c r="C1432" s="37" t="inlineStr">
        <is>
          <t>Laura</t>
        </is>
      </c>
      <c r="D1432" s="37" t="inlineStr">
        <is>
          <t>ACTIVE_WAITLIST</t>
        </is>
      </c>
      <c r="E1432" s="37" t="n">
        <v>25.1</v>
      </c>
      <c r="F1432" s="37" t="n">
        <v>7.1</v>
      </c>
    </row>
    <row r="1433">
      <c r="A1433" s="37" t="inlineStr">
        <is>
          <t>WL-02432</t>
        </is>
      </c>
      <c r="B1433" s="37" t="inlineStr">
        <is>
          <t>Olson</t>
        </is>
      </c>
      <c r="C1433" s="37" t="inlineStr">
        <is>
          <t>James</t>
        </is>
      </c>
      <c r="D1433" s="37" t="inlineStr">
        <is>
          <t>ACTIVE_WAITLIST</t>
        </is>
      </c>
      <c r="E1433" s="37" t="n">
        <v>35.9</v>
      </c>
      <c r="F1433" s="37" t="n">
        <v>11.1</v>
      </c>
    </row>
    <row r="1434">
      <c r="A1434" s="37" t="inlineStr">
        <is>
          <t>WL-02433</t>
        </is>
      </c>
      <c r="B1434" s="37" t="inlineStr">
        <is>
          <t>Casey</t>
        </is>
      </c>
      <c r="C1434" s="37" t="inlineStr">
        <is>
          <t>Jordan</t>
        </is>
      </c>
      <c r="D1434" s="37" t="inlineStr">
        <is>
          <t>ACTIVE_WAITLIST</t>
        </is>
      </c>
      <c r="E1434" s="37" t="n">
        <v>57.9</v>
      </c>
      <c r="F1434" s="37" t="n">
        <v>16.7</v>
      </c>
    </row>
    <row r="1435">
      <c r="A1435" s="37" t="inlineStr">
        <is>
          <t>WL-02434</t>
        </is>
      </c>
      <c r="B1435" s="37" t="inlineStr">
        <is>
          <t>Gonzalez</t>
        </is>
      </c>
      <c r="C1435" s="37" t="inlineStr">
        <is>
          <t>Roy</t>
        </is>
      </c>
      <c r="D1435" s="37" t="inlineStr">
        <is>
          <t>ACTIVE_WAITLIST</t>
        </is>
      </c>
      <c r="E1435" s="37" t="n">
        <v>37.3</v>
      </c>
      <c r="F1435" s="37" t="n">
        <v>13</v>
      </c>
    </row>
    <row r="1436">
      <c r="A1436" s="37" t="inlineStr">
        <is>
          <t>WL-02435</t>
        </is>
      </c>
      <c r="B1436" s="37" t="inlineStr">
        <is>
          <t>Gonzalez</t>
        </is>
      </c>
      <c r="C1436" s="37" t="inlineStr">
        <is>
          <t>Jacob</t>
        </is>
      </c>
      <c r="D1436" s="37" t="inlineStr">
        <is>
          <t>ACTIVE_WAITLIST</t>
        </is>
      </c>
      <c r="E1436" s="37" t="n">
        <v>43</v>
      </c>
      <c r="F1436" s="37" t="n">
        <v>12.8</v>
      </c>
    </row>
    <row r="1437">
      <c r="A1437" s="37" t="inlineStr">
        <is>
          <t>WL-02436</t>
        </is>
      </c>
      <c r="B1437" s="37" t="inlineStr">
        <is>
          <t>Allen</t>
        </is>
      </c>
      <c r="C1437" s="37" t="inlineStr">
        <is>
          <t>Jeffrey</t>
        </is>
      </c>
      <c r="D1437" s="37" t="inlineStr">
        <is>
          <t>ACTIVE_WAITLIST</t>
        </is>
      </c>
      <c r="E1437" s="37" t="n">
        <v>54.9</v>
      </c>
      <c r="F1437" s="37" t="n">
        <v>15.8</v>
      </c>
    </row>
    <row r="1438">
      <c r="A1438" s="37" t="inlineStr">
        <is>
          <t>WL-02437</t>
        </is>
      </c>
      <c r="B1438" s="37" t="inlineStr">
        <is>
          <t>Holmes</t>
        </is>
      </c>
      <c r="C1438" s="37" t="inlineStr">
        <is>
          <t>Jeremy</t>
        </is>
      </c>
      <c r="D1438" s="37" t="inlineStr">
        <is>
          <t>ACTIVE_WAITLIST</t>
        </is>
      </c>
      <c r="E1438" s="37" t="n">
        <v>41.2</v>
      </c>
      <c r="F1438" s="37" t="n">
        <v>11.7</v>
      </c>
    </row>
    <row r="1439">
      <c r="A1439" s="37" t="inlineStr">
        <is>
          <t>WL-02438</t>
        </is>
      </c>
      <c r="B1439" s="37" t="inlineStr">
        <is>
          <t>Phillips</t>
        </is>
      </c>
      <c r="C1439" s="37" t="inlineStr">
        <is>
          <t>Sharon</t>
        </is>
      </c>
      <c r="D1439" s="37" t="inlineStr">
        <is>
          <t>ACTIVE_WAITLIST</t>
        </is>
      </c>
      <c r="E1439" s="37" t="n">
        <v>53.6</v>
      </c>
      <c r="F1439" s="37" t="n">
        <v>15.6</v>
      </c>
    </row>
    <row r="1440">
      <c r="A1440" s="37" t="inlineStr">
        <is>
          <t>WL-02439</t>
        </is>
      </c>
      <c r="B1440" s="37" t="inlineStr">
        <is>
          <t>Miller</t>
        </is>
      </c>
      <c r="C1440" s="37" t="inlineStr">
        <is>
          <t>Michelle</t>
        </is>
      </c>
      <c r="D1440" s="37" t="inlineStr">
        <is>
          <t>ACTIVE_WAITLIST</t>
        </is>
      </c>
      <c r="E1440" s="37" t="n">
        <v>58</v>
      </c>
      <c r="F1440" s="37" t="n">
        <v>18.3</v>
      </c>
    </row>
    <row r="1441">
      <c r="A1441" s="37" t="inlineStr">
        <is>
          <t>WL-02440</t>
        </is>
      </c>
      <c r="B1441" s="37" t="inlineStr">
        <is>
          <t>Copeland</t>
        </is>
      </c>
      <c r="C1441" s="37" t="inlineStr">
        <is>
          <t>David</t>
        </is>
      </c>
      <c r="D1441" s="37" t="inlineStr">
        <is>
          <t>ACTIVE_WAITLIST</t>
        </is>
      </c>
      <c r="E1441" s="37" t="n">
        <v>54.4</v>
      </c>
      <c r="F1441" s="37" t="n">
        <v>16.1</v>
      </c>
    </row>
    <row r="1442">
      <c r="A1442" s="37" t="inlineStr">
        <is>
          <t>WL-02441</t>
        </is>
      </c>
      <c r="B1442" s="37" t="inlineStr">
        <is>
          <t>Price</t>
        </is>
      </c>
      <c r="C1442" s="37" t="inlineStr">
        <is>
          <t>Jenna</t>
        </is>
      </c>
      <c r="D1442" s="37" t="inlineStr">
        <is>
          <t>ACTIVE_WAITLIST</t>
        </is>
      </c>
      <c r="E1442" s="37" t="n">
        <v>45.9</v>
      </c>
      <c r="F1442" s="37" t="n">
        <v>12.9</v>
      </c>
    </row>
    <row r="1443">
      <c r="A1443" s="37" t="inlineStr">
        <is>
          <t>WL-02442</t>
        </is>
      </c>
      <c r="B1443" s="37" t="inlineStr">
        <is>
          <t>Burns</t>
        </is>
      </c>
      <c r="C1443" s="37" t="inlineStr">
        <is>
          <t>Elizabeth</t>
        </is>
      </c>
      <c r="D1443" s="37" t="inlineStr">
        <is>
          <t>ACTIVE_WAITLIST</t>
        </is>
      </c>
      <c r="E1443" s="37" t="n">
        <v>51</v>
      </c>
      <c r="F1443" s="37" t="n">
        <v>17.1</v>
      </c>
    </row>
    <row r="1444">
      <c r="A1444" s="37" t="inlineStr">
        <is>
          <t>WL-02443</t>
        </is>
      </c>
      <c r="B1444" s="37" t="inlineStr">
        <is>
          <t>Neal</t>
        </is>
      </c>
      <c r="C1444" s="37" t="inlineStr">
        <is>
          <t>Seth</t>
        </is>
      </c>
      <c r="D1444" s="37" t="inlineStr">
        <is>
          <t>ACTIVE_WAITLIST</t>
        </is>
      </c>
      <c r="E1444" s="37" t="n">
        <v>31.6</v>
      </c>
      <c r="F1444" s="37" t="n">
        <v>10</v>
      </c>
    </row>
    <row r="1445">
      <c r="A1445" s="37" t="inlineStr">
        <is>
          <t>WL-02444</t>
        </is>
      </c>
      <c r="B1445" s="37" t="inlineStr">
        <is>
          <t>Robinson</t>
        </is>
      </c>
      <c r="C1445" s="37" t="inlineStr">
        <is>
          <t>Gabriel</t>
        </is>
      </c>
      <c r="D1445" s="37" t="inlineStr">
        <is>
          <t>ACTIVE_WAITLIST</t>
        </is>
      </c>
      <c r="E1445" s="37" t="n">
        <v>25.3</v>
      </c>
      <c r="F1445" s="37" t="n">
        <v>8.1</v>
      </c>
    </row>
    <row r="1446">
      <c r="A1446" s="37" t="inlineStr">
        <is>
          <t>WL-02445</t>
        </is>
      </c>
      <c r="B1446" s="37" t="inlineStr">
        <is>
          <t>Yee</t>
        </is>
      </c>
      <c r="C1446" s="37" t="inlineStr">
        <is>
          <t>Marcus</t>
        </is>
      </c>
      <c r="D1446" s="37" t="inlineStr">
        <is>
          <t>ACTIVE_WAITLIST</t>
        </is>
      </c>
      <c r="E1446" s="37" t="n">
        <v>39.4</v>
      </c>
      <c r="F1446" s="37" t="n">
        <v>11.4</v>
      </c>
    </row>
    <row r="1447">
      <c r="A1447" s="37" t="inlineStr">
        <is>
          <t>WL-02446</t>
        </is>
      </c>
      <c r="B1447" s="37" t="inlineStr">
        <is>
          <t>Parker</t>
        </is>
      </c>
      <c r="C1447" s="37" t="inlineStr">
        <is>
          <t>Emily</t>
        </is>
      </c>
      <c r="D1447" s="37" t="inlineStr">
        <is>
          <t>ACTIVE_WAITLIST</t>
        </is>
      </c>
      <c r="E1447" s="37" t="n">
        <v>37.5</v>
      </c>
      <c r="F1447" s="37" t="n">
        <v>10.9</v>
      </c>
    </row>
    <row r="1448">
      <c r="A1448" s="37" t="inlineStr">
        <is>
          <t>WL-02447</t>
        </is>
      </c>
      <c r="B1448" s="37" t="inlineStr">
        <is>
          <t>Hodges</t>
        </is>
      </c>
      <c r="C1448" s="37" t="inlineStr">
        <is>
          <t>Jacob</t>
        </is>
      </c>
      <c r="D1448" s="37" t="inlineStr">
        <is>
          <t>RETAINER</t>
        </is>
      </c>
      <c r="E1448" s="37" t="n">
        <v>23.3</v>
      </c>
      <c r="F1448" s="37" t="n">
        <v>7.4</v>
      </c>
    </row>
    <row r="1449">
      <c r="A1449" s="37" t="inlineStr">
        <is>
          <t>WL-02448</t>
        </is>
      </c>
      <c r="B1449" s="37" t="inlineStr">
        <is>
          <t>Bolton</t>
        </is>
      </c>
      <c r="C1449" s="37" t="inlineStr">
        <is>
          <t>Mark</t>
        </is>
      </c>
      <c r="D1449" s="37" t="inlineStr">
        <is>
          <t>ACTIVE_WAITLIST</t>
        </is>
      </c>
      <c r="E1449" s="37" t="n">
        <v>46.1</v>
      </c>
      <c r="F1449" s="37" t="n">
        <v>13.2</v>
      </c>
    </row>
    <row r="1450">
      <c r="A1450" s="37" t="inlineStr">
        <is>
          <t>WL-02449</t>
        </is>
      </c>
      <c r="B1450" s="37" t="inlineStr">
        <is>
          <t>Johnson</t>
        </is>
      </c>
      <c r="C1450" s="37" t="inlineStr">
        <is>
          <t>Herbert</t>
        </is>
      </c>
      <c r="D1450" s="37" t="inlineStr">
        <is>
          <t>ACTIVE_WAITLIST</t>
        </is>
      </c>
      <c r="E1450" s="37" t="n">
        <v>44.8</v>
      </c>
      <c r="F1450" s="37" t="n">
        <v>13.3</v>
      </c>
    </row>
    <row r="1451">
      <c r="A1451" s="37" t="inlineStr">
        <is>
          <t>WL-02450</t>
        </is>
      </c>
      <c r="B1451" s="37" t="inlineStr">
        <is>
          <t>Green</t>
        </is>
      </c>
      <c r="C1451" s="37" t="inlineStr">
        <is>
          <t>Jennifer</t>
        </is>
      </c>
      <c r="D1451" s="37" t="inlineStr">
        <is>
          <t>ACTIVE_WAITLIST</t>
        </is>
      </c>
      <c r="E1451" s="37" t="n">
        <v>56</v>
      </c>
      <c r="F1451" s="37" t="n">
        <v>16</v>
      </c>
    </row>
    <row r="1452">
      <c r="A1452" s="37" t="inlineStr">
        <is>
          <t>WL-02451</t>
        </is>
      </c>
      <c r="B1452" s="37" t="inlineStr">
        <is>
          <t>Bell</t>
        </is>
      </c>
      <c r="C1452" s="37" t="inlineStr">
        <is>
          <t>Brooke</t>
        </is>
      </c>
      <c r="D1452" s="37" t="inlineStr">
        <is>
          <t>ACTIVE_WAITLIST</t>
        </is>
      </c>
      <c r="E1452" s="37" t="n">
        <v>51.4</v>
      </c>
      <c r="F1452" s="37" t="n">
        <v>15.1</v>
      </c>
    </row>
    <row r="1453">
      <c r="A1453" s="37" t="inlineStr">
        <is>
          <t>WL-02452</t>
        </is>
      </c>
      <c r="B1453" s="37" t="inlineStr">
        <is>
          <t>Willis</t>
        </is>
      </c>
      <c r="C1453" s="37" t="inlineStr">
        <is>
          <t>Benjamin</t>
        </is>
      </c>
      <c r="D1453" s="37" t="inlineStr">
        <is>
          <t>EXPIRED</t>
        </is>
      </c>
      <c r="E1453" s="37" t="n">
        <v>54.1</v>
      </c>
      <c r="F1453" s="37" t="n">
        <v>19.2</v>
      </c>
    </row>
    <row r="1454">
      <c r="A1454" s="37" t="inlineStr">
        <is>
          <t>WL-02453</t>
        </is>
      </c>
      <c r="B1454" s="37" t="inlineStr">
        <is>
          <t>Savage</t>
        </is>
      </c>
      <c r="C1454" s="37" t="inlineStr">
        <is>
          <t>Kristina</t>
        </is>
      </c>
      <c r="D1454" s="37" t="inlineStr">
        <is>
          <t>ACTIVE_WAITLIST</t>
        </is>
      </c>
      <c r="E1454" s="37" t="n">
        <v>39.7</v>
      </c>
      <c r="F1454" s="37" t="n">
        <v>13.5</v>
      </c>
    </row>
    <row r="1455">
      <c r="A1455" s="37" t="inlineStr">
        <is>
          <t>WL-02454</t>
        </is>
      </c>
      <c r="B1455" s="37" t="inlineStr">
        <is>
          <t>Marquez</t>
        </is>
      </c>
      <c r="C1455" s="37" t="inlineStr">
        <is>
          <t>Michael</t>
        </is>
      </c>
      <c r="D1455" s="37" t="inlineStr">
        <is>
          <t>ACTIVE_WAITLIST</t>
        </is>
      </c>
      <c r="E1455" s="37" t="n">
        <v>25.2</v>
      </c>
      <c r="F1455" s="37" t="n">
        <v>7.3</v>
      </c>
    </row>
    <row r="1456">
      <c r="A1456" s="37" t="inlineStr">
        <is>
          <t>WL-02455</t>
        </is>
      </c>
      <c r="B1456" s="37" t="inlineStr">
        <is>
          <t>Stout</t>
        </is>
      </c>
      <c r="C1456" s="37" t="inlineStr">
        <is>
          <t>Diana</t>
        </is>
      </c>
      <c r="D1456" s="37" t="inlineStr">
        <is>
          <t>ACTIVE_WAITLIST</t>
        </is>
      </c>
      <c r="E1456" s="37" t="n">
        <v>38.8</v>
      </c>
      <c r="F1456" s="37" t="n">
        <v>11.6</v>
      </c>
    </row>
    <row r="1457">
      <c r="A1457" s="37" t="inlineStr">
        <is>
          <t>WL-02456</t>
        </is>
      </c>
      <c r="B1457" s="37" t="inlineStr">
        <is>
          <t>Nunez</t>
        </is>
      </c>
      <c r="C1457" s="37" t="inlineStr">
        <is>
          <t>Madeline</t>
        </is>
      </c>
      <c r="D1457" s="37" t="inlineStr">
        <is>
          <t>ACTIVE_WAITLIST</t>
        </is>
      </c>
      <c r="E1457" s="37" t="n">
        <v>56.6</v>
      </c>
      <c r="F1457" s="37" t="n">
        <v>17.8</v>
      </c>
    </row>
    <row r="1458">
      <c r="A1458" s="37" t="inlineStr">
        <is>
          <t>WL-02457</t>
        </is>
      </c>
      <c r="B1458" s="37" t="inlineStr">
        <is>
          <t>Bartlett</t>
        </is>
      </c>
      <c r="C1458" s="37" t="inlineStr">
        <is>
          <t>Margaret</t>
        </is>
      </c>
      <c r="D1458" s="37" t="inlineStr">
        <is>
          <t>ACTIVE_WAITLIST</t>
        </is>
      </c>
      <c r="E1458" s="37" t="n">
        <v>29.1</v>
      </c>
      <c r="F1458" s="37" t="n">
        <v>8.9</v>
      </c>
    </row>
    <row r="1459">
      <c r="A1459" s="37" t="inlineStr">
        <is>
          <t>WL-02458</t>
        </is>
      </c>
      <c r="B1459" s="37" t="inlineStr">
        <is>
          <t>Butler</t>
        </is>
      </c>
      <c r="C1459" s="37" t="inlineStr">
        <is>
          <t>Sue</t>
        </is>
      </c>
      <c r="D1459" s="37" t="inlineStr">
        <is>
          <t>ACTIVE_WAITLIST</t>
        </is>
      </c>
      <c r="E1459" s="37" t="n">
        <v>45.3</v>
      </c>
      <c r="F1459" s="37" t="n">
        <v>15.7</v>
      </c>
    </row>
    <row r="1460">
      <c r="A1460" s="37" t="inlineStr">
        <is>
          <t>WL-02459</t>
        </is>
      </c>
      <c r="B1460" s="37" t="inlineStr">
        <is>
          <t>Smith</t>
        </is>
      </c>
      <c r="C1460" s="37" t="inlineStr">
        <is>
          <t>Kimberly</t>
        </is>
      </c>
      <c r="D1460" s="37" t="inlineStr">
        <is>
          <t>ACTIVE_WAITLIST</t>
        </is>
      </c>
      <c r="E1460" s="37" t="n">
        <v>19.3</v>
      </c>
      <c r="F1460" s="37" t="n">
        <v>5.7</v>
      </c>
    </row>
    <row r="1461">
      <c r="A1461" s="37" t="inlineStr">
        <is>
          <t>WL-02460</t>
        </is>
      </c>
      <c r="B1461" s="37" t="inlineStr">
        <is>
          <t>Booker</t>
        </is>
      </c>
      <c r="C1461" s="37" t="inlineStr">
        <is>
          <t>Amy</t>
        </is>
      </c>
      <c r="D1461" s="37" t="inlineStr">
        <is>
          <t>SUSPENDED</t>
        </is>
      </c>
      <c r="E1461" s="37" t="n">
        <v>24.5</v>
      </c>
      <c r="F1461" s="37" t="n">
        <v>7.6</v>
      </c>
    </row>
    <row r="1462">
      <c r="A1462" s="37" t="inlineStr">
        <is>
          <t>WL-02461</t>
        </is>
      </c>
      <c r="B1462" s="37" t="inlineStr">
        <is>
          <t>Swanson</t>
        </is>
      </c>
      <c r="C1462" s="37" t="inlineStr">
        <is>
          <t>Robert</t>
        </is>
      </c>
      <c r="D1462" s="37" t="inlineStr">
        <is>
          <t>ACTIVE_WAITLIST</t>
        </is>
      </c>
      <c r="E1462" s="37" t="n">
        <v>48.5</v>
      </c>
      <c r="F1462" s="37" t="n">
        <v>14.4</v>
      </c>
    </row>
    <row r="1463">
      <c r="A1463" s="37" t="inlineStr">
        <is>
          <t>WL-02462</t>
        </is>
      </c>
      <c r="B1463" s="37" t="inlineStr">
        <is>
          <t>Perez</t>
        </is>
      </c>
      <c r="C1463" s="37" t="inlineStr">
        <is>
          <t>Jeffrey</t>
        </is>
      </c>
      <c r="D1463" s="37" t="inlineStr">
        <is>
          <t>ACTIVE_WAITLIST</t>
        </is>
      </c>
      <c r="E1463" s="37" t="n">
        <v>43.9</v>
      </c>
      <c r="F1463" s="37" t="n">
        <v>12.5</v>
      </c>
    </row>
    <row r="1464">
      <c r="A1464" s="37" t="inlineStr">
        <is>
          <t>WL-02463</t>
        </is>
      </c>
      <c r="B1464" s="37" t="inlineStr">
        <is>
          <t>Oconnor</t>
        </is>
      </c>
      <c r="C1464" s="37" t="inlineStr">
        <is>
          <t>Lauren</t>
        </is>
      </c>
      <c r="D1464" s="37" t="inlineStr">
        <is>
          <t>ACTIVE_WAITLIST</t>
        </is>
      </c>
      <c r="E1464" s="37" t="n">
        <v>55.7</v>
      </c>
      <c r="F1464" s="37" t="n">
        <v>19.8</v>
      </c>
    </row>
    <row r="1465">
      <c r="A1465" s="37" t="inlineStr">
        <is>
          <t>WL-02464</t>
        </is>
      </c>
      <c r="B1465" s="37" t="inlineStr">
        <is>
          <t>Perez</t>
        </is>
      </c>
      <c r="C1465" s="37" t="inlineStr">
        <is>
          <t>Lisa</t>
        </is>
      </c>
      <c r="D1465" s="37" t="inlineStr">
        <is>
          <t>ACTIVE_WAITLIST</t>
        </is>
      </c>
      <c r="E1465" s="37" t="n">
        <v>26.2</v>
      </c>
      <c r="F1465" s="37" t="n">
        <v>7.6</v>
      </c>
    </row>
    <row r="1466">
      <c r="A1466" s="37" t="inlineStr">
        <is>
          <t>WL-02465</t>
        </is>
      </c>
      <c r="B1466" s="37" t="inlineStr">
        <is>
          <t>Cox</t>
        </is>
      </c>
      <c r="C1466" s="37" t="inlineStr">
        <is>
          <t>Clinton</t>
        </is>
      </c>
      <c r="D1466" s="37" t="inlineStr">
        <is>
          <t>ACTIVE_WAITLIST</t>
        </is>
      </c>
      <c r="E1466" s="37" t="n">
        <v>48.4</v>
      </c>
      <c r="F1466" s="37" t="n">
        <v>17.4</v>
      </c>
    </row>
    <row r="1467">
      <c r="A1467" s="37" t="inlineStr">
        <is>
          <t>WL-02466</t>
        </is>
      </c>
      <c r="B1467" s="37" t="inlineStr">
        <is>
          <t>Foster</t>
        </is>
      </c>
      <c r="C1467" s="37" t="inlineStr">
        <is>
          <t>April</t>
        </is>
      </c>
      <c r="D1467" s="37" t="inlineStr">
        <is>
          <t>ACTIVE_WAITLIST</t>
        </is>
      </c>
      <c r="E1467" s="37" t="n">
        <v>49.1</v>
      </c>
      <c r="F1467" s="37" t="n">
        <v>17.2</v>
      </c>
    </row>
    <row r="1468">
      <c r="A1468" s="37" t="inlineStr">
        <is>
          <t>WL-02467</t>
        </is>
      </c>
      <c r="B1468" s="37" t="inlineStr">
        <is>
          <t>Davis</t>
        </is>
      </c>
      <c r="C1468" s="37" t="inlineStr">
        <is>
          <t>Joseph</t>
        </is>
      </c>
      <c r="D1468" s="37" t="inlineStr">
        <is>
          <t>ACTIVE_WAITLIST</t>
        </is>
      </c>
      <c r="E1468" s="37" t="n">
        <v>54.3</v>
      </c>
      <c r="F1468" s="37" t="n">
        <v>16.1</v>
      </c>
    </row>
    <row r="1469">
      <c r="A1469" s="37" t="inlineStr">
        <is>
          <t>WL-02468</t>
        </is>
      </c>
      <c r="B1469" s="37" t="inlineStr">
        <is>
          <t>Prince</t>
        </is>
      </c>
      <c r="C1469" s="37" t="inlineStr">
        <is>
          <t>Lucas</t>
        </is>
      </c>
      <c r="D1469" s="37" t="inlineStr">
        <is>
          <t>ACTIVE_WAITLIST</t>
        </is>
      </c>
      <c r="E1469" s="37" t="n">
        <v>26.9</v>
      </c>
      <c r="F1469" s="37" t="n">
        <v>7.8</v>
      </c>
    </row>
    <row r="1470">
      <c r="A1470" s="37" t="inlineStr">
        <is>
          <t>WL-02469</t>
        </is>
      </c>
      <c r="B1470" s="37" t="inlineStr">
        <is>
          <t>Thompson</t>
        </is>
      </c>
      <c r="C1470" s="37" t="inlineStr">
        <is>
          <t>Margaret</t>
        </is>
      </c>
      <c r="D1470" s="37" t="inlineStr">
        <is>
          <t>ACTIVE_WAITLIST</t>
        </is>
      </c>
      <c r="E1470" s="37" t="n">
        <v>37.4</v>
      </c>
      <c r="F1470" s="37" t="n">
        <v>13.1</v>
      </c>
    </row>
    <row r="1471">
      <c r="A1471" s="37" t="inlineStr">
        <is>
          <t>WL-02470</t>
        </is>
      </c>
      <c r="B1471" s="37" t="inlineStr">
        <is>
          <t>Payne</t>
        </is>
      </c>
      <c r="C1471" s="37" t="inlineStr">
        <is>
          <t>Willie</t>
        </is>
      </c>
      <c r="D1471" s="37" t="inlineStr">
        <is>
          <t>ACTIVE_WAITLIST</t>
        </is>
      </c>
      <c r="E1471" s="37" t="n">
        <v>41.1</v>
      </c>
      <c r="F1471" s="37" t="n">
        <v>12.3</v>
      </c>
    </row>
    <row r="1472">
      <c r="A1472" s="37" t="inlineStr">
        <is>
          <t>WL-02471</t>
        </is>
      </c>
      <c r="B1472" s="37" t="inlineStr">
        <is>
          <t>Atkinson</t>
        </is>
      </c>
      <c r="C1472" s="37" t="inlineStr">
        <is>
          <t>Jack</t>
        </is>
      </c>
      <c r="D1472" s="37" t="inlineStr">
        <is>
          <t>ACTIVE_WAITLIST</t>
        </is>
      </c>
      <c r="E1472" s="37" t="n">
        <v>24.6</v>
      </c>
      <c r="F1472" s="37" t="n">
        <v>8.300000000000001</v>
      </c>
    </row>
    <row r="1473">
      <c r="A1473" s="37" t="inlineStr">
        <is>
          <t>WL-02472</t>
        </is>
      </c>
      <c r="B1473" s="37" t="inlineStr">
        <is>
          <t>Martinez</t>
        </is>
      </c>
      <c r="C1473" s="37" t="inlineStr">
        <is>
          <t>William</t>
        </is>
      </c>
      <c r="D1473" s="37" t="inlineStr">
        <is>
          <t>ACTIVE_WAITLIST</t>
        </is>
      </c>
      <c r="E1473" s="37" t="n">
        <v>24</v>
      </c>
      <c r="F1473" s="37" t="n">
        <v>6.8</v>
      </c>
    </row>
    <row r="1474">
      <c r="A1474" s="37" t="inlineStr">
        <is>
          <t>WL-02473</t>
        </is>
      </c>
      <c r="B1474" s="37" t="inlineStr">
        <is>
          <t>Washington</t>
        </is>
      </c>
      <c r="C1474" s="37" t="inlineStr">
        <is>
          <t>Michael</t>
        </is>
      </c>
      <c r="D1474" s="37" t="inlineStr">
        <is>
          <t>ACTIVE_WAITLIST</t>
        </is>
      </c>
      <c r="E1474" s="37" t="n">
        <v>40.8</v>
      </c>
      <c r="F1474" s="37" t="n">
        <v>11.5</v>
      </c>
    </row>
    <row r="1475">
      <c r="A1475" s="37" t="inlineStr">
        <is>
          <t>WL-02474</t>
        </is>
      </c>
      <c r="B1475" s="37" t="inlineStr">
        <is>
          <t>Bennett</t>
        </is>
      </c>
      <c r="C1475" s="37" t="inlineStr">
        <is>
          <t>William</t>
        </is>
      </c>
      <c r="D1475" s="37" t="inlineStr">
        <is>
          <t>SUSPENDED</t>
        </is>
      </c>
      <c r="E1475" s="37" t="n">
        <v>30</v>
      </c>
      <c r="F1475" s="37" t="n">
        <v>9.4</v>
      </c>
    </row>
    <row r="1476">
      <c r="A1476" s="37" t="inlineStr">
        <is>
          <t>WL-02475</t>
        </is>
      </c>
      <c r="B1476" s="37" t="inlineStr">
        <is>
          <t>Hill</t>
        </is>
      </c>
      <c r="C1476" s="37" t="inlineStr">
        <is>
          <t>Amber</t>
        </is>
      </c>
      <c r="D1476" s="37" t="inlineStr">
        <is>
          <t>SUSPENDED</t>
        </is>
      </c>
      <c r="E1476" s="37" t="n">
        <v>48.1</v>
      </c>
      <c r="F1476" s="37" t="n">
        <v>16</v>
      </c>
    </row>
    <row r="1477">
      <c r="A1477" s="37" t="inlineStr">
        <is>
          <t>WL-02476</t>
        </is>
      </c>
      <c r="B1477" s="37" t="inlineStr">
        <is>
          <t>Becker</t>
        </is>
      </c>
      <c r="C1477" s="37" t="inlineStr">
        <is>
          <t>Dana</t>
        </is>
      </c>
      <c r="D1477" s="37" t="inlineStr">
        <is>
          <t>ACTIVE_WAITLIST</t>
        </is>
      </c>
      <c r="E1477" s="37" t="n">
        <v>45</v>
      </c>
      <c r="F1477" s="37" t="n">
        <v>15.9</v>
      </c>
    </row>
    <row r="1478">
      <c r="A1478" s="37" t="inlineStr">
        <is>
          <t>WL-02477</t>
        </is>
      </c>
      <c r="B1478" s="37" t="inlineStr">
        <is>
          <t>Cox</t>
        </is>
      </c>
      <c r="C1478" s="37" t="inlineStr">
        <is>
          <t>Lori</t>
        </is>
      </c>
      <c r="D1478" s="37" t="inlineStr">
        <is>
          <t>ACTIVE_WAITLIST</t>
        </is>
      </c>
      <c r="E1478" s="37" t="n">
        <v>20.7</v>
      </c>
      <c r="F1478" s="37" t="n">
        <v>6.1</v>
      </c>
    </row>
    <row r="1479">
      <c r="A1479" s="37" t="inlineStr">
        <is>
          <t>WL-02478</t>
        </is>
      </c>
      <c r="B1479" s="37" t="inlineStr">
        <is>
          <t>Long</t>
        </is>
      </c>
      <c r="C1479" s="37" t="inlineStr">
        <is>
          <t>Travis</t>
        </is>
      </c>
      <c r="D1479" s="37" t="inlineStr">
        <is>
          <t>ACTIVE_WAITLIST</t>
        </is>
      </c>
      <c r="E1479" s="37" t="n">
        <v>34.8</v>
      </c>
      <c r="F1479" s="37" t="n">
        <v>11.1</v>
      </c>
    </row>
    <row r="1480">
      <c r="A1480" s="37" t="inlineStr">
        <is>
          <t>WL-02479</t>
        </is>
      </c>
      <c r="B1480" s="37" t="inlineStr">
        <is>
          <t>Aguirre</t>
        </is>
      </c>
      <c r="C1480" s="37" t="inlineStr">
        <is>
          <t>Jeremy</t>
        </is>
      </c>
      <c r="D1480" s="37" t="inlineStr">
        <is>
          <t>ACTIVE_WAITLIST</t>
        </is>
      </c>
      <c r="E1480" s="37" t="n">
        <v>42.1</v>
      </c>
      <c r="F1480" s="37" t="n">
        <v>12.6</v>
      </c>
    </row>
    <row r="1481">
      <c r="A1481" s="37" t="inlineStr">
        <is>
          <t>WL-02480</t>
        </is>
      </c>
      <c r="B1481" s="37" t="inlineStr">
        <is>
          <t>Edwards</t>
        </is>
      </c>
      <c r="C1481" s="37" t="inlineStr">
        <is>
          <t>Rachel</t>
        </is>
      </c>
      <c r="D1481" s="37" t="inlineStr">
        <is>
          <t>ACTIVE_WAITLIST</t>
        </is>
      </c>
      <c r="E1481" s="37" t="n">
        <v>46.9</v>
      </c>
      <c r="F1481" s="37" t="n">
        <v>13.9</v>
      </c>
    </row>
    <row r="1482">
      <c r="A1482" s="37" t="inlineStr">
        <is>
          <t>WL-02481</t>
        </is>
      </c>
      <c r="B1482" s="37" t="inlineStr">
        <is>
          <t>Bullock</t>
        </is>
      </c>
      <c r="C1482" s="37" t="inlineStr">
        <is>
          <t>Christopher</t>
        </is>
      </c>
      <c r="D1482" s="37" t="inlineStr">
        <is>
          <t>ACTIVE_WAITLIST</t>
        </is>
      </c>
      <c r="E1482" s="37" t="n">
        <v>57.8</v>
      </c>
      <c r="F1482" s="37" t="n">
        <v>17.6</v>
      </c>
    </row>
    <row r="1483">
      <c r="A1483" s="37" t="inlineStr">
        <is>
          <t>WL-02482</t>
        </is>
      </c>
      <c r="B1483" s="37" t="inlineStr">
        <is>
          <t>Taylor</t>
        </is>
      </c>
      <c r="C1483" s="37" t="inlineStr">
        <is>
          <t>Emily</t>
        </is>
      </c>
      <c r="D1483" s="37" t="inlineStr">
        <is>
          <t>ACTIVE_WAITLIST</t>
        </is>
      </c>
      <c r="E1483" s="37" t="n">
        <v>57.3</v>
      </c>
      <c r="F1483" s="37" t="n">
        <v>16.1</v>
      </c>
    </row>
    <row r="1484">
      <c r="A1484" s="37" t="inlineStr">
        <is>
          <t>WL-02483</t>
        </is>
      </c>
      <c r="B1484" s="37" t="inlineStr">
        <is>
          <t>Gomez</t>
        </is>
      </c>
      <c r="C1484" s="37" t="inlineStr">
        <is>
          <t>Benjamin</t>
        </is>
      </c>
      <c r="D1484" s="37" t="inlineStr">
        <is>
          <t>ACTIVE_WAITLIST</t>
        </is>
      </c>
      <c r="E1484" s="37" t="n">
        <v>23.2</v>
      </c>
      <c r="F1484" s="37" t="n">
        <v>6.7</v>
      </c>
    </row>
    <row r="1485">
      <c r="A1485" s="37" t="inlineStr">
        <is>
          <t>WL-02484</t>
        </is>
      </c>
      <c r="B1485" s="37" t="inlineStr">
        <is>
          <t>Gray</t>
        </is>
      </c>
      <c r="C1485" s="37" t="inlineStr">
        <is>
          <t>Larry</t>
        </is>
      </c>
      <c r="D1485" s="37" t="inlineStr">
        <is>
          <t>ACTIVE_WAITLIST</t>
        </is>
      </c>
      <c r="E1485" s="37" t="n">
        <v>55.7</v>
      </c>
      <c r="F1485" s="37" t="n">
        <v>19.7</v>
      </c>
    </row>
    <row r="1486">
      <c r="A1486" s="37" t="inlineStr">
        <is>
          <t>WL-02485</t>
        </is>
      </c>
      <c r="B1486" s="37" t="inlineStr">
        <is>
          <t>Dickerson</t>
        </is>
      </c>
      <c r="C1486" s="37" t="inlineStr">
        <is>
          <t>Matthew</t>
        </is>
      </c>
      <c r="D1486" s="37" t="inlineStr">
        <is>
          <t>RETAINER</t>
        </is>
      </c>
      <c r="E1486" s="37" t="n">
        <v>30.6</v>
      </c>
      <c r="F1486" s="37" t="n">
        <v>9.6</v>
      </c>
    </row>
    <row r="1487">
      <c r="A1487" s="37" t="inlineStr">
        <is>
          <t>WL-02486</t>
        </is>
      </c>
      <c r="B1487" s="37" t="inlineStr">
        <is>
          <t>James</t>
        </is>
      </c>
      <c r="C1487" s="37" t="inlineStr">
        <is>
          <t>Donna</t>
        </is>
      </c>
      <c r="D1487" s="37" t="inlineStr">
        <is>
          <t>RETAINER</t>
        </is>
      </c>
      <c r="E1487" s="37" t="n">
        <v>19.7</v>
      </c>
      <c r="F1487" s="37" t="n">
        <v>6.5</v>
      </c>
    </row>
    <row r="1488">
      <c r="A1488" s="37" t="inlineStr">
        <is>
          <t>WL-02487</t>
        </is>
      </c>
      <c r="B1488" s="37" t="inlineStr">
        <is>
          <t>Castaneda</t>
        </is>
      </c>
      <c r="C1488" s="37" t="inlineStr">
        <is>
          <t>Oscar</t>
        </is>
      </c>
      <c r="D1488" s="37" t="inlineStr">
        <is>
          <t>EXPIRED</t>
        </is>
      </c>
      <c r="E1488" s="37" t="n">
        <v>24.2</v>
      </c>
      <c r="F1488" s="37" t="n">
        <v>8.5</v>
      </c>
    </row>
    <row r="1489">
      <c r="A1489" s="37" t="inlineStr">
        <is>
          <t>WL-02488</t>
        </is>
      </c>
      <c r="B1489" s="37" t="inlineStr">
        <is>
          <t>Wheeler</t>
        </is>
      </c>
      <c r="C1489" s="37" t="inlineStr">
        <is>
          <t>Ann</t>
        </is>
      </c>
      <c r="D1489" s="37" t="inlineStr">
        <is>
          <t>ACTIVE_WAITLIST</t>
        </is>
      </c>
      <c r="E1489" s="37" t="n">
        <v>45.3</v>
      </c>
      <c r="F1489" s="37" t="n">
        <v>14.6</v>
      </c>
    </row>
    <row r="1490">
      <c r="A1490" s="37" t="inlineStr">
        <is>
          <t>WL-02489</t>
        </is>
      </c>
      <c r="B1490" s="37" t="inlineStr">
        <is>
          <t>Burgess</t>
        </is>
      </c>
      <c r="C1490" s="37" t="inlineStr">
        <is>
          <t>Caitlin</t>
        </is>
      </c>
      <c r="D1490" s="37" t="inlineStr">
        <is>
          <t>ACTIVE_WAITLIST</t>
        </is>
      </c>
      <c r="E1490" s="37" t="n">
        <v>59.8</v>
      </c>
      <c r="F1490" s="37" t="n">
        <v>21.3</v>
      </c>
    </row>
    <row r="1491">
      <c r="A1491" s="37" t="inlineStr">
        <is>
          <t>WL-02490</t>
        </is>
      </c>
      <c r="B1491" s="37" t="inlineStr">
        <is>
          <t>Jefferson</t>
        </is>
      </c>
      <c r="C1491" s="37" t="inlineStr">
        <is>
          <t>Kenneth</t>
        </is>
      </c>
      <c r="D1491" s="37" t="inlineStr">
        <is>
          <t>RETAINER</t>
        </is>
      </c>
      <c r="E1491" s="37" t="n">
        <v>33.3</v>
      </c>
      <c r="F1491" s="37" t="n">
        <v>9.6</v>
      </c>
    </row>
    <row r="1492">
      <c r="A1492" s="37" t="inlineStr">
        <is>
          <t>WL-02491</t>
        </is>
      </c>
      <c r="B1492" s="37" t="inlineStr">
        <is>
          <t>Le</t>
        </is>
      </c>
      <c r="C1492" s="37" t="inlineStr">
        <is>
          <t>Diana</t>
        </is>
      </c>
      <c r="D1492" s="37" t="inlineStr">
        <is>
          <t>SUSPENDED</t>
        </is>
      </c>
      <c r="E1492" s="37" t="n">
        <v>31.8</v>
      </c>
      <c r="F1492" s="37" t="n">
        <v>9.300000000000001</v>
      </c>
    </row>
    <row r="1493">
      <c r="A1493" s="37" t="inlineStr">
        <is>
          <t>WL-02492</t>
        </is>
      </c>
      <c r="B1493" s="37" t="inlineStr">
        <is>
          <t>Robbins</t>
        </is>
      </c>
      <c r="C1493" s="37" t="inlineStr">
        <is>
          <t>Jaclyn</t>
        </is>
      </c>
      <c r="D1493" s="37" t="inlineStr">
        <is>
          <t>ACTIVE_WAITLIST</t>
        </is>
      </c>
      <c r="E1493" s="37" t="n">
        <v>28.2</v>
      </c>
      <c r="F1493" s="37" t="n">
        <v>8.5</v>
      </c>
    </row>
    <row r="1494">
      <c r="A1494" s="37" t="inlineStr">
        <is>
          <t>WL-02493</t>
        </is>
      </c>
      <c r="B1494" s="37" t="inlineStr">
        <is>
          <t>Vaughn</t>
        </is>
      </c>
      <c r="C1494" s="37" t="inlineStr">
        <is>
          <t>Rebecca</t>
        </is>
      </c>
      <c r="D1494" s="37" t="inlineStr">
        <is>
          <t>ACTIVE_WAITLIST</t>
        </is>
      </c>
      <c r="E1494" s="37" t="n">
        <v>36.3</v>
      </c>
      <c r="F1494" s="37" t="n">
        <v>12.5</v>
      </c>
    </row>
    <row r="1495">
      <c r="A1495" s="37" t="inlineStr">
        <is>
          <t>WL-02494</t>
        </is>
      </c>
      <c r="B1495" s="37" t="inlineStr">
        <is>
          <t>Dean</t>
        </is>
      </c>
      <c r="C1495" s="37" t="inlineStr">
        <is>
          <t>Renee</t>
        </is>
      </c>
      <c r="D1495" s="37" t="inlineStr">
        <is>
          <t>ACTIVE_WAITLIST</t>
        </is>
      </c>
      <c r="E1495" s="37" t="n">
        <v>49.8</v>
      </c>
      <c r="F1495" s="37" t="n">
        <v>16.2</v>
      </c>
    </row>
    <row r="1496">
      <c r="A1496" s="37" t="inlineStr">
        <is>
          <t>WL-02495</t>
        </is>
      </c>
      <c r="B1496" s="37" t="inlineStr">
        <is>
          <t>Dean</t>
        </is>
      </c>
      <c r="C1496" s="37" t="inlineStr">
        <is>
          <t>Richard</t>
        </is>
      </c>
      <c r="D1496" s="37" t="inlineStr">
        <is>
          <t>ACTIVE_WAITLIST</t>
        </is>
      </c>
      <c r="E1496" s="37" t="n">
        <v>32</v>
      </c>
      <c r="F1496" s="37" t="n">
        <v>10.1</v>
      </c>
    </row>
    <row r="1497">
      <c r="A1497" s="37" t="inlineStr">
        <is>
          <t>WL-02496</t>
        </is>
      </c>
      <c r="B1497" s="37" t="inlineStr">
        <is>
          <t>Mitchell</t>
        </is>
      </c>
      <c r="C1497" s="37" t="inlineStr">
        <is>
          <t>Larry</t>
        </is>
      </c>
      <c r="D1497" s="37" t="inlineStr">
        <is>
          <t>ACTIVE_WAITLIST</t>
        </is>
      </c>
      <c r="E1497" s="37" t="n">
        <v>29.2</v>
      </c>
      <c r="F1497" s="37" t="n">
        <v>8.9</v>
      </c>
    </row>
    <row r="1498">
      <c r="A1498" s="37" t="inlineStr">
        <is>
          <t>WL-02497</t>
        </is>
      </c>
      <c r="B1498" s="37" t="inlineStr">
        <is>
          <t>Smith</t>
        </is>
      </c>
      <c r="C1498" s="37" t="inlineStr">
        <is>
          <t>Chad</t>
        </is>
      </c>
      <c r="D1498" s="37" t="inlineStr">
        <is>
          <t>ACTIVE_WAITLIST</t>
        </is>
      </c>
      <c r="E1498" s="37" t="n">
        <v>60.9</v>
      </c>
      <c r="F1498" s="37" t="n">
        <v>19.6</v>
      </c>
    </row>
    <row r="1499">
      <c r="A1499" s="37" t="inlineStr">
        <is>
          <t>WL-02498</t>
        </is>
      </c>
      <c r="B1499" s="37" t="inlineStr">
        <is>
          <t>Herrera</t>
        </is>
      </c>
      <c r="C1499" s="37" t="inlineStr">
        <is>
          <t>Patrick</t>
        </is>
      </c>
      <c r="D1499" s="37" t="inlineStr">
        <is>
          <t>ACTIVE_WAITLIST</t>
        </is>
      </c>
      <c r="E1499" s="37" t="n">
        <v>42.7</v>
      </c>
      <c r="F1499" s="37" t="n">
        <v>13.8</v>
      </c>
    </row>
    <row r="1500">
      <c r="A1500" s="37" t="inlineStr">
        <is>
          <t>WL-02499</t>
        </is>
      </c>
      <c r="B1500" s="37" t="inlineStr">
        <is>
          <t>Morris</t>
        </is>
      </c>
      <c r="C1500" s="37" t="inlineStr">
        <is>
          <t>Jason</t>
        </is>
      </c>
      <c r="D1500" s="37" t="inlineStr">
        <is>
          <t>EXPIRED</t>
        </is>
      </c>
      <c r="E1500" s="37" t="n">
        <v>20.6</v>
      </c>
      <c r="F1500" s="37" t="n">
        <v>6.2</v>
      </c>
    </row>
    <row r="1501">
      <c r="A1501" s="37" t="inlineStr">
        <is>
          <t>WL-02500</t>
        </is>
      </c>
      <c r="B1501" s="37" t="inlineStr">
        <is>
          <t>Bradford</t>
        </is>
      </c>
      <c r="C1501" s="37" t="inlineStr">
        <is>
          <t>Robert</t>
        </is>
      </c>
      <c r="D1501" s="37" t="inlineStr">
        <is>
          <t>ACTIVE_WAITLIST</t>
        </is>
      </c>
      <c r="E1501" s="37" t="n">
        <v>45.2</v>
      </c>
      <c r="F1501" s="37" t="n">
        <v>15.9</v>
      </c>
    </row>
    <row r="1502">
      <c r="A1502" s="37" t="inlineStr">
        <is>
          <t>WL-02501</t>
        </is>
      </c>
      <c r="B1502" s="37" t="inlineStr">
        <is>
          <t>Yates</t>
        </is>
      </c>
      <c r="C1502" s="37" t="inlineStr">
        <is>
          <t>Alexis</t>
        </is>
      </c>
      <c r="D1502" s="37" t="inlineStr">
        <is>
          <t>ACTIVE_WAITLIST</t>
        </is>
      </c>
      <c r="E1502" s="37" t="n">
        <v>57.3</v>
      </c>
      <c r="F1502" s="37" t="n">
        <v>16.1</v>
      </c>
    </row>
    <row r="1503">
      <c r="A1503" s="37" t="inlineStr">
        <is>
          <t>WL-02502</t>
        </is>
      </c>
      <c r="B1503" s="37" t="inlineStr">
        <is>
          <t>Cline</t>
        </is>
      </c>
      <c r="C1503" s="37" t="inlineStr">
        <is>
          <t>Michelle</t>
        </is>
      </c>
      <c r="D1503" s="37" t="inlineStr">
        <is>
          <t>ACTIVE_WAITLIST</t>
        </is>
      </c>
      <c r="E1503" s="37" t="n">
        <v>29.8</v>
      </c>
      <c r="F1503" s="37" t="n">
        <v>9.5</v>
      </c>
    </row>
    <row r="1504">
      <c r="A1504" s="37" t="inlineStr">
        <is>
          <t>WL-02503</t>
        </is>
      </c>
      <c r="B1504" s="37" t="inlineStr">
        <is>
          <t>Holland</t>
        </is>
      </c>
      <c r="C1504" s="37" t="inlineStr">
        <is>
          <t>Molly</t>
        </is>
      </c>
      <c r="D1504" s="37" t="inlineStr">
        <is>
          <t>ACTIVE_WAITLIST</t>
        </is>
      </c>
      <c r="E1504" s="37" t="n">
        <v>33.4</v>
      </c>
      <c r="F1504" s="37" t="n">
        <v>11.3</v>
      </c>
    </row>
    <row r="1505">
      <c r="A1505" s="37" t="inlineStr">
        <is>
          <t>WL-02504</t>
        </is>
      </c>
      <c r="B1505" s="37" t="inlineStr">
        <is>
          <t>Stevenson</t>
        </is>
      </c>
      <c r="C1505" s="37" t="inlineStr">
        <is>
          <t>Crystal</t>
        </is>
      </c>
      <c r="D1505" s="37" t="inlineStr">
        <is>
          <t>ACTIVE_WAITLIST</t>
        </is>
      </c>
      <c r="E1505" s="37" t="n">
        <v>33.2</v>
      </c>
      <c r="F1505" s="37" t="n">
        <v>10.3</v>
      </c>
    </row>
    <row r="1506">
      <c r="A1506" s="37" t="inlineStr">
        <is>
          <t>WL-02505</t>
        </is>
      </c>
      <c r="B1506" s="37" t="inlineStr">
        <is>
          <t>Smith</t>
        </is>
      </c>
      <c r="C1506" s="37" t="inlineStr">
        <is>
          <t>Joe</t>
        </is>
      </c>
      <c r="D1506" s="37" t="inlineStr">
        <is>
          <t>ACTIVE_WAITLIST</t>
        </is>
      </c>
      <c r="E1506" s="37" t="n">
        <v>57.6</v>
      </c>
      <c r="F1506" s="37" t="n">
        <v>19.5</v>
      </c>
    </row>
    <row r="1507">
      <c r="A1507" s="37" t="inlineStr">
        <is>
          <t>WL-02506</t>
        </is>
      </c>
      <c r="B1507" s="37" t="inlineStr">
        <is>
          <t>Fernandez</t>
        </is>
      </c>
      <c r="C1507" s="37" t="inlineStr">
        <is>
          <t>Maria</t>
        </is>
      </c>
      <c r="D1507" s="37" t="inlineStr">
        <is>
          <t>ACTIVE_WAITLIST</t>
        </is>
      </c>
      <c r="E1507" s="37" t="n">
        <v>37.3</v>
      </c>
      <c r="F1507" s="37" t="n">
        <v>12</v>
      </c>
    </row>
    <row r="1508">
      <c r="A1508" s="37" t="inlineStr">
        <is>
          <t>WL-02507</t>
        </is>
      </c>
      <c r="B1508" s="37" t="inlineStr">
        <is>
          <t>Morris</t>
        </is>
      </c>
      <c r="C1508" s="37" t="inlineStr">
        <is>
          <t>Erin</t>
        </is>
      </c>
      <c r="D1508" s="37" t="inlineStr">
        <is>
          <t>ACTIVE_WAITLIST</t>
        </is>
      </c>
      <c r="E1508" s="37" t="n">
        <v>37.7</v>
      </c>
      <c r="F1508" s="37" t="n">
        <v>11.2</v>
      </c>
    </row>
    <row r="1509">
      <c r="A1509" s="37" t="inlineStr">
        <is>
          <t>WL-02508</t>
        </is>
      </c>
      <c r="B1509" s="37" t="inlineStr">
        <is>
          <t>Reyes</t>
        </is>
      </c>
      <c r="C1509" s="37" t="inlineStr">
        <is>
          <t>James</t>
        </is>
      </c>
      <c r="D1509" s="37" t="inlineStr">
        <is>
          <t>ACTIVE_WAITLIST</t>
        </is>
      </c>
      <c r="E1509" s="37" t="n">
        <v>24.4</v>
      </c>
      <c r="F1509" s="37" t="n">
        <v>7.3</v>
      </c>
    </row>
    <row r="1510">
      <c r="A1510" s="37" t="inlineStr">
        <is>
          <t>WL-02509</t>
        </is>
      </c>
      <c r="B1510" s="37" t="inlineStr">
        <is>
          <t>Norris</t>
        </is>
      </c>
      <c r="C1510" s="37" t="inlineStr">
        <is>
          <t>Dean</t>
        </is>
      </c>
      <c r="D1510" s="37" t="inlineStr">
        <is>
          <t>SUSPENDED</t>
        </is>
      </c>
      <c r="E1510" s="37" t="n">
        <v>37.9</v>
      </c>
      <c r="F1510" s="37" t="n">
        <v>13.3</v>
      </c>
    </row>
    <row r="1511">
      <c r="A1511" s="37" t="inlineStr">
        <is>
          <t>WL-02510</t>
        </is>
      </c>
      <c r="B1511" s="37" t="inlineStr">
        <is>
          <t>Foley</t>
        </is>
      </c>
      <c r="C1511" s="37" t="inlineStr">
        <is>
          <t>Audrey</t>
        </is>
      </c>
      <c r="D1511" s="37" t="inlineStr">
        <is>
          <t>ACTIVE_WAITLIST</t>
        </is>
      </c>
      <c r="E1511" s="37" t="n">
        <v>56.3</v>
      </c>
      <c r="F1511" s="37" t="n">
        <v>16.2</v>
      </c>
    </row>
    <row r="1512">
      <c r="A1512" s="37" t="inlineStr">
        <is>
          <t>WL-02511</t>
        </is>
      </c>
      <c r="B1512" s="37" t="inlineStr">
        <is>
          <t>Lee</t>
        </is>
      </c>
      <c r="C1512" s="37" t="inlineStr">
        <is>
          <t>Brett</t>
        </is>
      </c>
      <c r="D1512" s="37" t="inlineStr">
        <is>
          <t>ACTIVE_WAITLIST</t>
        </is>
      </c>
      <c r="E1512" s="37" t="n">
        <v>25.6</v>
      </c>
      <c r="F1512" s="37" t="n">
        <v>9.199999999999999</v>
      </c>
    </row>
    <row r="1513">
      <c r="A1513" s="37" t="inlineStr">
        <is>
          <t>WL-02512</t>
        </is>
      </c>
      <c r="B1513" s="37" t="inlineStr">
        <is>
          <t>Olsen</t>
        </is>
      </c>
      <c r="C1513" s="37" t="inlineStr">
        <is>
          <t>Natalie</t>
        </is>
      </c>
      <c r="D1513" s="37" t="inlineStr">
        <is>
          <t>ACTIVE_WAITLIST</t>
        </is>
      </c>
      <c r="E1513" s="37" t="n">
        <v>32.7</v>
      </c>
      <c r="F1513" s="37" t="n">
        <v>10.3</v>
      </c>
    </row>
    <row r="1514">
      <c r="A1514" s="37" t="inlineStr">
        <is>
          <t>WL-02513</t>
        </is>
      </c>
      <c r="B1514" s="37" t="inlineStr">
        <is>
          <t>West</t>
        </is>
      </c>
      <c r="C1514" s="37" t="inlineStr">
        <is>
          <t>Susan</t>
        </is>
      </c>
      <c r="D1514" s="37" t="inlineStr">
        <is>
          <t>ACTIVE_WAITLIST</t>
        </is>
      </c>
      <c r="E1514" s="37" t="n">
        <v>41.5</v>
      </c>
      <c r="F1514" s="37" t="n">
        <v>11.9</v>
      </c>
    </row>
    <row r="1515">
      <c r="A1515" s="37" t="inlineStr">
        <is>
          <t>WL-02514</t>
        </is>
      </c>
      <c r="B1515" s="37" t="inlineStr">
        <is>
          <t>Moyer</t>
        </is>
      </c>
      <c r="C1515" s="37" t="inlineStr">
        <is>
          <t>Joshua</t>
        </is>
      </c>
      <c r="D1515" s="37" t="inlineStr">
        <is>
          <t>ACTIVE_WAITLIST</t>
        </is>
      </c>
      <c r="E1515" s="37" t="n">
        <v>23</v>
      </c>
      <c r="F1515" s="37" t="n">
        <v>6.6</v>
      </c>
    </row>
    <row r="1516">
      <c r="A1516" s="37" t="inlineStr">
        <is>
          <t>WL-02515</t>
        </is>
      </c>
      <c r="B1516" s="37" t="inlineStr">
        <is>
          <t>Adams</t>
        </is>
      </c>
      <c r="C1516" s="37" t="inlineStr">
        <is>
          <t>Michael</t>
        </is>
      </c>
      <c r="D1516" s="37" t="inlineStr">
        <is>
          <t>ACTIVE_WAITLIST</t>
        </is>
      </c>
      <c r="E1516" s="37" t="n">
        <v>32.5</v>
      </c>
      <c r="F1516" s="37" t="n">
        <v>9.699999999999999</v>
      </c>
    </row>
    <row r="1517">
      <c r="A1517" s="37" t="inlineStr">
        <is>
          <t>WL-02516</t>
        </is>
      </c>
      <c r="B1517" s="37" t="inlineStr">
        <is>
          <t>Garcia</t>
        </is>
      </c>
      <c r="C1517" s="37" t="inlineStr">
        <is>
          <t>Connor</t>
        </is>
      </c>
      <c r="D1517" s="37" t="inlineStr">
        <is>
          <t>ACTIVE_WAITLIST</t>
        </is>
      </c>
      <c r="E1517" s="37" t="n">
        <v>56.5</v>
      </c>
      <c r="F1517" s="37" t="n">
        <v>17.8</v>
      </c>
    </row>
    <row r="1518">
      <c r="A1518" s="37" t="inlineStr">
        <is>
          <t>WL-02517</t>
        </is>
      </c>
      <c r="B1518" s="37" t="inlineStr">
        <is>
          <t>Bryan</t>
        </is>
      </c>
      <c r="C1518" s="37" t="inlineStr">
        <is>
          <t>Hayden</t>
        </is>
      </c>
      <c r="D1518" s="37" t="inlineStr">
        <is>
          <t>ACTIVE_WAITLIST</t>
        </is>
      </c>
      <c r="E1518" s="37" t="n">
        <v>41.7</v>
      </c>
      <c r="F1518" s="37" t="n">
        <v>11.9</v>
      </c>
    </row>
    <row r="1519">
      <c r="A1519" s="37" t="inlineStr">
        <is>
          <t>WL-02518</t>
        </is>
      </c>
      <c r="B1519" s="37" t="inlineStr">
        <is>
          <t>Walker</t>
        </is>
      </c>
      <c r="C1519" s="37" t="inlineStr">
        <is>
          <t>Steven</t>
        </is>
      </c>
      <c r="D1519" s="37" t="inlineStr">
        <is>
          <t>ACTIVE_WAITLIST</t>
        </is>
      </c>
      <c r="E1519" s="37" t="n">
        <v>37.1</v>
      </c>
      <c r="F1519" s="37" t="n">
        <v>12.3</v>
      </c>
    </row>
    <row r="1520">
      <c r="A1520" s="37" t="inlineStr">
        <is>
          <t>WL-02519</t>
        </is>
      </c>
      <c r="B1520" s="37" t="inlineStr">
        <is>
          <t>Davis</t>
        </is>
      </c>
      <c r="C1520" s="37" t="inlineStr">
        <is>
          <t>James</t>
        </is>
      </c>
      <c r="D1520" s="37" t="inlineStr">
        <is>
          <t>ACTIVE_WAITLIST</t>
        </is>
      </c>
      <c r="E1520" s="37" t="n">
        <v>31.9</v>
      </c>
      <c r="F1520" s="37" t="n">
        <v>10.1</v>
      </c>
    </row>
    <row r="1521">
      <c r="A1521" s="37" t="inlineStr">
        <is>
          <t>WL-02520</t>
        </is>
      </c>
      <c r="B1521" s="37" t="inlineStr">
        <is>
          <t>Steele</t>
        </is>
      </c>
      <c r="C1521" s="37" t="inlineStr">
        <is>
          <t>Ashley</t>
        </is>
      </c>
      <c r="D1521" s="37" t="inlineStr">
        <is>
          <t>RETAINER</t>
        </is>
      </c>
      <c r="E1521" s="37" t="n">
        <v>39.7</v>
      </c>
      <c r="F1521" s="37" t="n">
        <v>12.7</v>
      </c>
    </row>
    <row r="1522">
      <c r="A1522" s="37" t="inlineStr">
        <is>
          <t>WL-02521</t>
        </is>
      </c>
      <c r="B1522" s="37" t="inlineStr">
        <is>
          <t>Vance</t>
        </is>
      </c>
      <c r="C1522" s="37" t="inlineStr">
        <is>
          <t>Ashley</t>
        </is>
      </c>
      <c r="D1522" s="37" t="inlineStr">
        <is>
          <t>ACTIVE_WAITLIST</t>
        </is>
      </c>
      <c r="E1522" s="37" t="n">
        <v>35.6</v>
      </c>
      <c r="F1522" s="37" t="n">
        <v>12.1</v>
      </c>
    </row>
    <row r="1523">
      <c r="A1523" s="37" t="inlineStr">
        <is>
          <t>WL-02522</t>
        </is>
      </c>
      <c r="B1523" s="37" t="inlineStr">
        <is>
          <t>Obrien</t>
        </is>
      </c>
      <c r="C1523" s="37" t="inlineStr">
        <is>
          <t>Ricardo</t>
        </is>
      </c>
      <c r="D1523" s="37" t="inlineStr">
        <is>
          <t>ACTIVE_WAITLIST</t>
        </is>
      </c>
      <c r="E1523" s="37" t="n">
        <v>39.1</v>
      </c>
      <c r="F1523" s="37" t="n">
        <v>13.5</v>
      </c>
    </row>
    <row r="1524">
      <c r="A1524" s="37" t="inlineStr">
        <is>
          <t>WL-02523</t>
        </is>
      </c>
      <c r="B1524" s="37" t="inlineStr">
        <is>
          <t>Roberts</t>
        </is>
      </c>
      <c r="C1524" s="37" t="inlineStr">
        <is>
          <t>Lisa</t>
        </is>
      </c>
      <c r="D1524" s="37" t="inlineStr">
        <is>
          <t>ACTIVE_WAITLIST</t>
        </is>
      </c>
      <c r="E1524" s="37" t="n">
        <v>48</v>
      </c>
      <c r="F1524" s="37" t="n">
        <v>14.6</v>
      </c>
    </row>
    <row r="1525">
      <c r="A1525" s="37" t="inlineStr">
        <is>
          <t>WL-02524</t>
        </is>
      </c>
      <c r="B1525" s="37" t="inlineStr">
        <is>
          <t>Herrera</t>
        </is>
      </c>
      <c r="C1525" s="37" t="inlineStr">
        <is>
          <t>Douglas</t>
        </is>
      </c>
      <c r="D1525" s="37" t="inlineStr">
        <is>
          <t>ACTIVE_WAITLIST</t>
        </is>
      </c>
      <c r="E1525" s="37" t="n">
        <v>53.4</v>
      </c>
      <c r="F1525" s="37" t="n">
        <v>15.9</v>
      </c>
    </row>
    <row r="1526">
      <c r="A1526" s="37" t="inlineStr">
        <is>
          <t>WL-02525</t>
        </is>
      </c>
      <c r="B1526" s="37" t="inlineStr">
        <is>
          <t>Wright</t>
        </is>
      </c>
      <c r="C1526" s="37" t="inlineStr">
        <is>
          <t>Matthew</t>
        </is>
      </c>
      <c r="D1526" s="37" t="inlineStr">
        <is>
          <t>ACTIVE_WAITLIST</t>
        </is>
      </c>
      <c r="E1526" s="37" t="n">
        <v>59.7</v>
      </c>
      <c r="F1526" s="37" t="n">
        <v>21.3</v>
      </c>
    </row>
    <row r="1527">
      <c r="A1527" s="37" t="inlineStr">
        <is>
          <t>WL-02526</t>
        </is>
      </c>
      <c r="B1527" s="37" t="inlineStr">
        <is>
          <t>Jacobs</t>
        </is>
      </c>
      <c r="C1527" s="37" t="inlineStr">
        <is>
          <t>Jennifer</t>
        </is>
      </c>
      <c r="D1527" s="37" t="inlineStr">
        <is>
          <t>ACTIVE_WAITLIST</t>
        </is>
      </c>
      <c r="E1527" s="37" t="n">
        <v>52.2</v>
      </c>
      <c r="F1527" s="37" t="n">
        <v>18.2</v>
      </c>
    </row>
    <row r="1528">
      <c r="A1528" s="37" t="inlineStr">
        <is>
          <t>WL-02527</t>
        </is>
      </c>
      <c r="B1528" s="37" t="inlineStr">
        <is>
          <t>Hanson</t>
        </is>
      </c>
      <c r="C1528" s="37" t="inlineStr">
        <is>
          <t>Rachel</t>
        </is>
      </c>
      <c r="D1528" s="37" t="inlineStr">
        <is>
          <t>ACTIVE_WAITLIST</t>
        </is>
      </c>
      <c r="E1528" s="37" t="n">
        <v>23.4</v>
      </c>
      <c r="F1528" s="37" t="n">
        <v>7.8</v>
      </c>
    </row>
    <row r="1529">
      <c r="A1529" s="37" t="inlineStr">
        <is>
          <t>WL-02528</t>
        </is>
      </c>
      <c r="B1529" s="37" t="inlineStr">
        <is>
          <t>Richards</t>
        </is>
      </c>
      <c r="C1529" s="37" t="inlineStr">
        <is>
          <t>Lisa</t>
        </is>
      </c>
      <c r="D1529" s="37" t="inlineStr">
        <is>
          <t>ACTIVE_WAITLIST</t>
        </is>
      </c>
      <c r="E1529" s="37" t="n">
        <v>60</v>
      </c>
      <c r="F1529" s="37" t="n">
        <v>21.4</v>
      </c>
    </row>
    <row r="1530">
      <c r="A1530" s="37" t="inlineStr">
        <is>
          <t>WL-02529</t>
        </is>
      </c>
      <c r="B1530" s="37" t="inlineStr">
        <is>
          <t>Lewis</t>
        </is>
      </c>
      <c r="C1530" s="37" t="inlineStr">
        <is>
          <t>Shelby</t>
        </is>
      </c>
      <c r="D1530" s="37" t="inlineStr">
        <is>
          <t>ACTIVE_WAITLIST</t>
        </is>
      </c>
      <c r="E1530" s="37" t="n">
        <v>30.6</v>
      </c>
      <c r="F1530" s="37" t="n">
        <v>9.5</v>
      </c>
    </row>
    <row r="1531">
      <c r="A1531" s="37" t="inlineStr">
        <is>
          <t>WL-02530</t>
        </is>
      </c>
      <c r="B1531" s="37" t="inlineStr">
        <is>
          <t>Lopez</t>
        </is>
      </c>
      <c r="C1531" s="37" t="inlineStr">
        <is>
          <t>David</t>
        </is>
      </c>
      <c r="D1531" s="37" t="inlineStr">
        <is>
          <t>ACTIVE_WAITLIST</t>
        </is>
      </c>
      <c r="E1531" s="37" t="n">
        <v>34.5</v>
      </c>
      <c r="F1531" s="37" t="n">
        <v>12.3</v>
      </c>
    </row>
    <row r="1532">
      <c r="A1532" s="37" t="inlineStr">
        <is>
          <t>WL-02531</t>
        </is>
      </c>
      <c r="B1532" s="37" t="inlineStr">
        <is>
          <t>Fleming</t>
        </is>
      </c>
      <c r="C1532" s="37" t="inlineStr">
        <is>
          <t>Allen</t>
        </is>
      </c>
      <c r="D1532" s="37" t="inlineStr">
        <is>
          <t>ACTIVE_WAITLIST</t>
        </is>
      </c>
      <c r="E1532" s="37" t="n">
        <v>20.7</v>
      </c>
      <c r="F1532" s="37" t="n">
        <v>7.2</v>
      </c>
    </row>
    <row r="1533">
      <c r="A1533" s="37" t="inlineStr">
        <is>
          <t>WL-02532</t>
        </is>
      </c>
      <c r="B1533" s="37" t="inlineStr">
        <is>
          <t>Goodman</t>
        </is>
      </c>
      <c r="C1533" s="37" t="inlineStr">
        <is>
          <t>Marie</t>
        </is>
      </c>
      <c r="D1533" s="37" t="inlineStr">
        <is>
          <t>ACTIVE_WAITLIST</t>
        </is>
      </c>
      <c r="E1533" s="37" t="n">
        <v>57.9</v>
      </c>
      <c r="F1533" s="37" t="n">
        <v>19.4</v>
      </c>
    </row>
    <row r="1534">
      <c r="A1534" s="37" t="inlineStr">
        <is>
          <t>WL-02533</t>
        </is>
      </c>
      <c r="B1534" s="37" t="inlineStr">
        <is>
          <t>Myers</t>
        </is>
      </c>
      <c r="C1534" s="37" t="inlineStr">
        <is>
          <t>Derrick</t>
        </is>
      </c>
      <c r="D1534" s="37" t="inlineStr">
        <is>
          <t>ACTIVE_WAITLIST</t>
        </is>
      </c>
      <c r="E1534" s="37" t="n">
        <v>32.3</v>
      </c>
      <c r="F1534" s="37" t="n">
        <v>10</v>
      </c>
    </row>
    <row r="1535">
      <c r="A1535" s="37" t="inlineStr">
        <is>
          <t>WL-02534</t>
        </is>
      </c>
      <c r="B1535" s="37" t="inlineStr">
        <is>
          <t>Erickson</t>
        </is>
      </c>
      <c r="C1535" s="37" t="inlineStr">
        <is>
          <t>Daniel</t>
        </is>
      </c>
      <c r="D1535" s="37" t="inlineStr">
        <is>
          <t>ACTIVE_WAITLIST</t>
        </is>
      </c>
      <c r="E1535" s="37" t="n">
        <v>27</v>
      </c>
      <c r="F1535" s="37" t="n">
        <v>8.6</v>
      </c>
    </row>
    <row r="1536">
      <c r="A1536" s="37" t="inlineStr">
        <is>
          <t>WL-02535</t>
        </is>
      </c>
      <c r="B1536" s="37" t="inlineStr">
        <is>
          <t>Hess</t>
        </is>
      </c>
      <c r="C1536" s="37" t="inlineStr">
        <is>
          <t>Shari</t>
        </is>
      </c>
      <c r="D1536" s="37" t="inlineStr">
        <is>
          <t>ACTIVE_WAITLIST</t>
        </is>
      </c>
      <c r="E1536" s="37" t="n">
        <v>19.4</v>
      </c>
      <c r="F1536" s="37" t="n">
        <v>5.7</v>
      </c>
    </row>
    <row r="1537">
      <c r="A1537" s="37" t="inlineStr">
        <is>
          <t>WL-02536</t>
        </is>
      </c>
      <c r="B1537" s="37" t="inlineStr">
        <is>
          <t>Ellis</t>
        </is>
      </c>
      <c r="C1537" s="37" t="inlineStr">
        <is>
          <t>Christian</t>
        </is>
      </c>
      <c r="D1537" s="37" t="inlineStr">
        <is>
          <t>ACTIVE_WAITLIST</t>
        </is>
      </c>
      <c r="E1537" s="37" t="n">
        <v>42.4</v>
      </c>
      <c r="F1537" s="37" t="n">
        <v>13.9</v>
      </c>
    </row>
    <row r="1538">
      <c r="A1538" s="37" t="inlineStr">
        <is>
          <t>WL-02537</t>
        </is>
      </c>
      <c r="B1538" s="37" t="inlineStr">
        <is>
          <t>Nelson</t>
        </is>
      </c>
      <c r="C1538" s="37" t="inlineStr">
        <is>
          <t>Calvin</t>
        </is>
      </c>
      <c r="D1538" s="37" t="inlineStr">
        <is>
          <t>ACTIVE_WAITLIST</t>
        </is>
      </c>
      <c r="E1538" s="37" t="n">
        <v>24.4</v>
      </c>
      <c r="F1538" s="37" t="n">
        <v>8.1</v>
      </c>
    </row>
    <row r="1539">
      <c r="A1539" s="37" t="inlineStr">
        <is>
          <t>WL-02538</t>
        </is>
      </c>
      <c r="B1539" s="37" t="inlineStr">
        <is>
          <t>Davidson</t>
        </is>
      </c>
      <c r="C1539" s="37" t="inlineStr">
        <is>
          <t>Angela</t>
        </is>
      </c>
      <c r="D1539" s="37" t="inlineStr">
        <is>
          <t>RETAINER</t>
        </is>
      </c>
      <c r="E1539" s="37" t="n">
        <v>48.9</v>
      </c>
      <c r="F1539" s="37" t="n">
        <v>15.3</v>
      </c>
    </row>
    <row r="1540">
      <c r="A1540" s="37" t="inlineStr">
        <is>
          <t>WL-02539</t>
        </is>
      </c>
      <c r="B1540" s="37" t="inlineStr">
        <is>
          <t>Moody</t>
        </is>
      </c>
      <c r="C1540" s="37" t="inlineStr">
        <is>
          <t>William</t>
        </is>
      </c>
      <c r="D1540" s="37" t="inlineStr">
        <is>
          <t>ACTIVE_WAITLIST</t>
        </is>
      </c>
      <c r="E1540" s="37" t="n">
        <v>46.8</v>
      </c>
      <c r="F1540" s="37" t="n">
        <v>16.8</v>
      </c>
    </row>
    <row r="1541">
      <c r="A1541" s="37" t="inlineStr">
        <is>
          <t>WL-02540</t>
        </is>
      </c>
      <c r="B1541" s="37" t="inlineStr">
        <is>
          <t>Shepherd</t>
        </is>
      </c>
      <c r="C1541" s="37" t="inlineStr">
        <is>
          <t>David</t>
        </is>
      </c>
      <c r="D1541" s="37" t="inlineStr">
        <is>
          <t>EXPIRED</t>
        </is>
      </c>
      <c r="E1541" s="37" t="n">
        <v>43.3</v>
      </c>
      <c r="F1541" s="37" t="n">
        <v>15.6</v>
      </c>
    </row>
    <row r="1542">
      <c r="A1542" s="37" t="inlineStr">
        <is>
          <t>WL-02541</t>
        </is>
      </c>
      <c r="B1542" s="37" t="inlineStr">
        <is>
          <t>Moore</t>
        </is>
      </c>
      <c r="C1542" s="37" t="inlineStr">
        <is>
          <t>Kristen</t>
        </is>
      </c>
      <c r="D1542" s="37" t="inlineStr">
        <is>
          <t>ACTIVE_WAITLIST</t>
        </is>
      </c>
      <c r="E1542" s="37" t="n">
        <v>53.5</v>
      </c>
      <c r="F1542" s="37" t="n">
        <v>17.1</v>
      </c>
    </row>
    <row r="1543">
      <c r="A1543" s="37" t="inlineStr">
        <is>
          <t>WL-02542</t>
        </is>
      </c>
      <c r="B1543" s="37" t="inlineStr">
        <is>
          <t>Decker</t>
        </is>
      </c>
      <c r="C1543" s="37" t="inlineStr">
        <is>
          <t>Susan</t>
        </is>
      </c>
      <c r="D1543" s="37" t="inlineStr">
        <is>
          <t>ACTIVE_WAITLIST</t>
        </is>
      </c>
      <c r="E1543" s="37" t="n">
        <v>28.3</v>
      </c>
      <c r="F1543" s="37" t="n">
        <v>8.199999999999999</v>
      </c>
    </row>
    <row r="1544">
      <c r="A1544" s="37" t="inlineStr">
        <is>
          <t>WL-02543</t>
        </is>
      </c>
      <c r="B1544" s="37" t="inlineStr">
        <is>
          <t>Ray</t>
        </is>
      </c>
      <c r="C1544" s="37" t="inlineStr">
        <is>
          <t>Latoya</t>
        </is>
      </c>
      <c r="D1544" s="37" t="inlineStr">
        <is>
          <t>ACTIVE_WAITLIST</t>
        </is>
      </c>
      <c r="E1544" s="37" t="n">
        <v>35.5</v>
      </c>
      <c r="F1544" s="37" t="n">
        <v>11.5</v>
      </c>
    </row>
    <row r="1545">
      <c r="A1545" s="37" t="inlineStr">
        <is>
          <t>WL-02544</t>
        </is>
      </c>
      <c r="B1545" s="37" t="inlineStr">
        <is>
          <t>Smith</t>
        </is>
      </c>
      <c r="C1545" s="37" t="inlineStr">
        <is>
          <t>Laurie</t>
        </is>
      </c>
      <c r="D1545" s="37" t="inlineStr">
        <is>
          <t>ACTIVE_WAITLIST</t>
        </is>
      </c>
      <c r="E1545" s="37" t="n">
        <v>45.6</v>
      </c>
      <c r="F1545" s="37" t="n">
        <v>13.6</v>
      </c>
    </row>
    <row r="1546">
      <c r="A1546" s="37" t="inlineStr">
        <is>
          <t>WL-02545</t>
        </is>
      </c>
      <c r="B1546" s="37" t="inlineStr">
        <is>
          <t>Smith</t>
        </is>
      </c>
      <c r="C1546" s="37" t="inlineStr">
        <is>
          <t>Cynthia</t>
        </is>
      </c>
      <c r="D1546" s="37" t="inlineStr">
        <is>
          <t>ACTIVE_WAITLIST</t>
        </is>
      </c>
      <c r="E1546" s="37" t="n">
        <v>60.5</v>
      </c>
      <c r="F1546" s="37" t="n">
        <v>21.6</v>
      </c>
    </row>
    <row r="1547">
      <c r="A1547" s="37" t="inlineStr">
        <is>
          <t>WL-02546</t>
        </is>
      </c>
      <c r="B1547" s="37" t="inlineStr">
        <is>
          <t>Rogers</t>
        </is>
      </c>
      <c r="C1547" s="37" t="inlineStr">
        <is>
          <t>Crystal</t>
        </is>
      </c>
      <c r="D1547" s="37" t="inlineStr">
        <is>
          <t>ACTIVE_WAITLIST</t>
        </is>
      </c>
      <c r="E1547" s="37" t="n">
        <v>32.7</v>
      </c>
      <c r="F1547" s="37" t="n">
        <v>10.6</v>
      </c>
    </row>
    <row r="1548">
      <c r="A1548" s="37" t="inlineStr">
        <is>
          <t>WL-02547</t>
        </is>
      </c>
      <c r="B1548" s="37" t="inlineStr">
        <is>
          <t>Stephens</t>
        </is>
      </c>
      <c r="C1548" s="37" t="inlineStr">
        <is>
          <t>Jesus</t>
        </is>
      </c>
      <c r="D1548" s="37" t="inlineStr">
        <is>
          <t>ACTIVE_WAITLIST</t>
        </is>
      </c>
      <c r="E1548" s="37" t="n">
        <v>44.2</v>
      </c>
      <c r="F1548" s="37" t="n">
        <v>14.8</v>
      </c>
    </row>
    <row r="1549">
      <c r="A1549" s="37" t="inlineStr">
        <is>
          <t>WL-02548</t>
        </is>
      </c>
      <c r="B1549" s="37" t="inlineStr">
        <is>
          <t>Galloway</t>
        </is>
      </c>
      <c r="C1549" s="37" t="inlineStr">
        <is>
          <t>Jessica</t>
        </is>
      </c>
      <c r="D1549" s="37" t="inlineStr">
        <is>
          <t>ACTIVE_WAITLIST</t>
        </is>
      </c>
      <c r="E1549" s="37" t="n">
        <v>36.1</v>
      </c>
      <c r="F1549" s="37" t="n">
        <v>10.8</v>
      </c>
    </row>
    <row r="1550">
      <c r="A1550" s="37" t="inlineStr">
        <is>
          <t>WL-02549</t>
        </is>
      </c>
      <c r="B1550" s="37" t="inlineStr">
        <is>
          <t>Hill</t>
        </is>
      </c>
      <c r="C1550" s="37" t="inlineStr">
        <is>
          <t>Cynthia</t>
        </is>
      </c>
      <c r="D1550" s="37" t="inlineStr">
        <is>
          <t>ACTIVE_WAITLIST</t>
        </is>
      </c>
      <c r="E1550" s="37" t="n">
        <v>44.4</v>
      </c>
      <c r="F1550" s="37" t="n">
        <v>15.3</v>
      </c>
    </row>
    <row r="1551">
      <c r="A1551" s="37" t="inlineStr">
        <is>
          <t>WL-02550</t>
        </is>
      </c>
      <c r="B1551" s="37" t="inlineStr">
        <is>
          <t>Joseph</t>
        </is>
      </c>
      <c r="C1551" s="37" t="inlineStr">
        <is>
          <t>Patty</t>
        </is>
      </c>
      <c r="D1551" s="37" t="inlineStr">
        <is>
          <t>ACTIVE_WAITLIST</t>
        </is>
      </c>
      <c r="E1551" s="37" t="n">
        <v>55.2</v>
      </c>
      <c r="F1551" s="37" t="n">
        <v>15.5</v>
      </c>
    </row>
    <row r="1552">
      <c r="A1552" s="37" t="inlineStr">
        <is>
          <t>WL-02551</t>
        </is>
      </c>
      <c r="B1552" s="37" t="inlineStr">
        <is>
          <t>Brown</t>
        </is>
      </c>
      <c r="C1552" s="37" t="inlineStr">
        <is>
          <t>Nicole</t>
        </is>
      </c>
      <c r="D1552" s="37" t="inlineStr">
        <is>
          <t>ACTIVE_WAITLIST</t>
        </is>
      </c>
      <c r="E1552" s="37" t="n">
        <v>30.9</v>
      </c>
      <c r="F1552" s="37" t="n">
        <v>10.6</v>
      </c>
    </row>
    <row r="1553">
      <c r="A1553" s="37" t="inlineStr">
        <is>
          <t>WL-02552</t>
        </is>
      </c>
      <c r="B1553" s="37" t="inlineStr">
        <is>
          <t>Shea</t>
        </is>
      </c>
      <c r="C1553" s="37" t="inlineStr">
        <is>
          <t>Brian</t>
        </is>
      </c>
      <c r="D1553" s="37" t="inlineStr">
        <is>
          <t>ACTIVE_WAITLIST</t>
        </is>
      </c>
      <c r="E1553" s="37" t="n">
        <v>48.4</v>
      </c>
      <c r="F1553" s="37" t="n">
        <v>15.4</v>
      </c>
    </row>
    <row r="1554">
      <c r="A1554" s="37" t="inlineStr">
        <is>
          <t>WL-02553</t>
        </is>
      </c>
      <c r="B1554" s="37" t="inlineStr">
        <is>
          <t>Miller</t>
        </is>
      </c>
      <c r="C1554" s="37" t="inlineStr">
        <is>
          <t>Steven</t>
        </is>
      </c>
      <c r="D1554" s="37" t="inlineStr">
        <is>
          <t>RETAINER</t>
        </is>
      </c>
      <c r="E1554" s="37" t="n">
        <v>48.2</v>
      </c>
      <c r="F1554" s="37" t="n">
        <v>16.9</v>
      </c>
    </row>
    <row r="1555">
      <c r="A1555" s="37" t="inlineStr">
        <is>
          <t>WL-02554</t>
        </is>
      </c>
      <c r="B1555" s="37" t="inlineStr">
        <is>
          <t>Hardy</t>
        </is>
      </c>
      <c r="C1555" s="37" t="inlineStr">
        <is>
          <t>Cindy</t>
        </is>
      </c>
      <c r="D1555" s="37" t="inlineStr">
        <is>
          <t>ACTIVE_WAITLIST</t>
        </is>
      </c>
      <c r="E1555" s="37" t="n">
        <v>28.4</v>
      </c>
      <c r="F1555" s="37" t="n">
        <v>8.1</v>
      </c>
    </row>
    <row r="1556">
      <c r="A1556" s="37" t="inlineStr">
        <is>
          <t>WL-02555</t>
        </is>
      </c>
      <c r="B1556" s="37" t="inlineStr">
        <is>
          <t>Welch</t>
        </is>
      </c>
      <c r="C1556" s="37" t="inlineStr">
        <is>
          <t>Jacob</t>
        </is>
      </c>
      <c r="D1556" s="37" t="inlineStr">
        <is>
          <t>ACTIVE_WAITLIST</t>
        </is>
      </c>
      <c r="E1556" s="37" t="n">
        <v>34.7</v>
      </c>
      <c r="F1556" s="37" t="n">
        <v>11.1</v>
      </c>
    </row>
    <row r="1557">
      <c r="A1557" s="37" t="inlineStr">
        <is>
          <t>WL-02556</t>
        </is>
      </c>
      <c r="B1557" s="37" t="inlineStr">
        <is>
          <t>Lindsey</t>
        </is>
      </c>
      <c r="C1557" s="37" t="inlineStr">
        <is>
          <t>Marc</t>
        </is>
      </c>
      <c r="D1557" s="37" t="inlineStr">
        <is>
          <t>ACTIVE_WAITLIST</t>
        </is>
      </c>
      <c r="E1557" s="37" t="n">
        <v>30.6</v>
      </c>
      <c r="F1557" s="37" t="n">
        <v>8.9</v>
      </c>
    </row>
    <row r="1558">
      <c r="A1558" s="37" t="inlineStr">
        <is>
          <t>WL-02557</t>
        </is>
      </c>
      <c r="B1558" s="37" t="inlineStr">
        <is>
          <t>Martinez</t>
        </is>
      </c>
      <c r="C1558" s="37" t="inlineStr">
        <is>
          <t>Debra</t>
        </is>
      </c>
      <c r="D1558" s="37" t="inlineStr">
        <is>
          <t>SUSPENDED</t>
        </is>
      </c>
      <c r="E1558" s="37" t="n">
        <v>54.4</v>
      </c>
      <c r="F1558" s="37" t="n">
        <v>18.3</v>
      </c>
    </row>
    <row r="1559">
      <c r="A1559" s="37" t="inlineStr">
        <is>
          <t>WL-02558</t>
        </is>
      </c>
      <c r="B1559" s="37" t="inlineStr">
        <is>
          <t>Hardy</t>
        </is>
      </c>
      <c r="C1559" s="37" t="inlineStr">
        <is>
          <t>Edward</t>
        </is>
      </c>
      <c r="D1559" s="37" t="inlineStr">
        <is>
          <t>ACTIVE_WAITLIST</t>
        </is>
      </c>
      <c r="E1559" s="37" t="n">
        <v>25.7</v>
      </c>
      <c r="F1559" s="37" t="n">
        <v>8.4</v>
      </c>
    </row>
    <row r="1560">
      <c r="A1560" s="37" t="inlineStr">
        <is>
          <t>WL-02559</t>
        </is>
      </c>
      <c r="B1560" s="37" t="inlineStr">
        <is>
          <t>Alvarado</t>
        </is>
      </c>
      <c r="C1560" s="37" t="inlineStr">
        <is>
          <t>Joshua</t>
        </is>
      </c>
      <c r="D1560" s="37" t="inlineStr">
        <is>
          <t>ACTIVE_WAITLIST</t>
        </is>
      </c>
      <c r="E1560" s="37" t="n">
        <v>46.4</v>
      </c>
      <c r="F1560" s="37" t="n">
        <v>13.2</v>
      </c>
    </row>
    <row r="1561">
      <c r="A1561" s="37" t="inlineStr">
        <is>
          <t>WL-02560</t>
        </is>
      </c>
      <c r="B1561" s="37" t="inlineStr">
        <is>
          <t>Mills</t>
        </is>
      </c>
      <c r="C1561" s="37" t="inlineStr">
        <is>
          <t>Barbara</t>
        </is>
      </c>
      <c r="D1561" s="37" t="inlineStr">
        <is>
          <t>ACTIVE_WAITLIST</t>
        </is>
      </c>
      <c r="E1561" s="37" t="n">
        <v>61.7</v>
      </c>
      <c r="F1561" s="37" t="n">
        <v>21.9</v>
      </c>
    </row>
    <row r="1562">
      <c r="A1562" s="37" t="inlineStr">
        <is>
          <t>WL-02561</t>
        </is>
      </c>
      <c r="B1562" s="37" t="inlineStr">
        <is>
          <t>Carpenter</t>
        </is>
      </c>
      <c r="C1562" s="37" t="inlineStr">
        <is>
          <t>Kayla</t>
        </is>
      </c>
      <c r="D1562" s="37" t="inlineStr">
        <is>
          <t>ACTIVE_WAITLIST</t>
        </is>
      </c>
      <c r="E1562" s="37" t="n">
        <v>50.3</v>
      </c>
      <c r="F1562" s="37" t="n">
        <v>17.1</v>
      </c>
    </row>
    <row r="1563">
      <c r="A1563" s="37" t="inlineStr">
        <is>
          <t>WL-02562</t>
        </is>
      </c>
      <c r="B1563" s="37" t="inlineStr">
        <is>
          <t>Waller</t>
        </is>
      </c>
      <c r="C1563" s="37" t="inlineStr">
        <is>
          <t>Mary</t>
        </is>
      </c>
      <c r="D1563" s="37" t="inlineStr">
        <is>
          <t>ACTIVE_WAITLIST</t>
        </is>
      </c>
      <c r="E1563" s="37" t="n">
        <v>44.2</v>
      </c>
      <c r="F1563" s="37" t="n">
        <v>13.4</v>
      </c>
    </row>
    <row r="1564">
      <c r="A1564" s="37" t="inlineStr">
        <is>
          <t>WL-02563</t>
        </is>
      </c>
      <c r="B1564" s="37" t="inlineStr">
        <is>
          <t>Haynes</t>
        </is>
      </c>
      <c r="C1564" s="37" t="inlineStr">
        <is>
          <t>Richard</t>
        </is>
      </c>
      <c r="D1564" s="37" t="inlineStr">
        <is>
          <t>ACTIVE_WAITLIST</t>
        </is>
      </c>
      <c r="E1564" s="37" t="n">
        <v>59.5</v>
      </c>
      <c r="F1564" s="37" t="n">
        <v>18.3</v>
      </c>
    </row>
    <row r="1565">
      <c r="A1565" s="37" t="inlineStr">
        <is>
          <t>WL-02564</t>
        </is>
      </c>
      <c r="B1565" s="37" t="inlineStr">
        <is>
          <t>Fischer</t>
        </is>
      </c>
      <c r="C1565" s="37" t="inlineStr">
        <is>
          <t>Paul</t>
        </is>
      </c>
      <c r="D1565" s="37" t="inlineStr">
        <is>
          <t>ACTIVE_WAITLIST</t>
        </is>
      </c>
      <c r="E1565" s="37" t="n">
        <v>20.1</v>
      </c>
      <c r="F1565" s="37" t="n">
        <v>6.8</v>
      </c>
    </row>
    <row r="1566">
      <c r="A1566" s="37" t="inlineStr">
        <is>
          <t>WL-02565</t>
        </is>
      </c>
      <c r="B1566" s="37" t="inlineStr">
        <is>
          <t>Smith</t>
        </is>
      </c>
      <c r="C1566" s="37" t="inlineStr">
        <is>
          <t>Christina</t>
        </is>
      </c>
      <c r="D1566" s="37" t="inlineStr">
        <is>
          <t>RETAINER</t>
        </is>
      </c>
      <c r="E1566" s="37" t="n">
        <v>42.9</v>
      </c>
      <c r="F1566" s="37" t="n">
        <v>14.4</v>
      </c>
    </row>
    <row r="1567">
      <c r="A1567" s="37" t="inlineStr">
        <is>
          <t>WL-02566</t>
        </is>
      </c>
      <c r="B1567" s="37" t="inlineStr">
        <is>
          <t>Lloyd</t>
        </is>
      </c>
      <c r="C1567" s="37" t="inlineStr">
        <is>
          <t>Morgan</t>
        </is>
      </c>
      <c r="D1567" s="37" t="inlineStr">
        <is>
          <t>ACTIVE_WAITLIST</t>
        </is>
      </c>
      <c r="E1567" s="37" t="n">
        <v>40.2</v>
      </c>
      <c r="F1567" s="37" t="n">
        <v>14.3</v>
      </c>
    </row>
    <row r="1568">
      <c r="A1568" s="37" t="inlineStr">
        <is>
          <t>WL-02567</t>
        </is>
      </c>
      <c r="B1568" s="37" t="inlineStr">
        <is>
          <t>Watkins</t>
        </is>
      </c>
      <c r="C1568" s="37" t="inlineStr">
        <is>
          <t>Mercedes</t>
        </is>
      </c>
      <c r="D1568" s="37" t="inlineStr">
        <is>
          <t>ACTIVE_WAITLIST</t>
        </is>
      </c>
      <c r="E1568" s="37" t="n">
        <v>34.6</v>
      </c>
      <c r="F1568" s="37" t="n">
        <v>11.6</v>
      </c>
    </row>
    <row r="1569">
      <c r="A1569" s="37" t="inlineStr">
        <is>
          <t>WL-02568</t>
        </is>
      </c>
      <c r="B1569" s="37" t="inlineStr">
        <is>
          <t>House</t>
        </is>
      </c>
      <c r="C1569" s="37" t="inlineStr">
        <is>
          <t>Adam</t>
        </is>
      </c>
      <c r="D1569" s="37" t="inlineStr">
        <is>
          <t>RETAINER</t>
        </is>
      </c>
      <c r="E1569" s="37" t="n">
        <v>37.8</v>
      </c>
      <c r="F1569" s="37" t="n">
        <v>11.2</v>
      </c>
    </row>
    <row r="1570">
      <c r="A1570" s="37" t="inlineStr">
        <is>
          <t>WL-02569</t>
        </is>
      </c>
      <c r="B1570" s="37" t="inlineStr">
        <is>
          <t>Mcintyre</t>
        </is>
      </c>
      <c r="C1570" s="37" t="inlineStr">
        <is>
          <t>Michael</t>
        </is>
      </c>
      <c r="D1570" s="37" t="inlineStr">
        <is>
          <t>EXPIRED</t>
        </is>
      </c>
      <c r="E1570" s="37" t="n">
        <v>42.9</v>
      </c>
      <c r="F1570" s="37" t="n">
        <v>12.6</v>
      </c>
    </row>
    <row r="1571">
      <c r="A1571" s="37" t="inlineStr">
        <is>
          <t>WL-02570</t>
        </is>
      </c>
      <c r="B1571" s="37" t="inlineStr">
        <is>
          <t>Dorsey</t>
        </is>
      </c>
      <c r="C1571" s="37" t="inlineStr">
        <is>
          <t>Brianna</t>
        </is>
      </c>
      <c r="D1571" s="37" t="inlineStr">
        <is>
          <t>ACTIVE_WAITLIST</t>
        </is>
      </c>
      <c r="E1571" s="37" t="n">
        <v>18.4</v>
      </c>
      <c r="F1571" s="37" t="n">
        <v>5.8</v>
      </c>
    </row>
    <row r="1572">
      <c r="A1572" s="37" t="inlineStr">
        <is>
          <t>WL-02571</t>
        </is>
      </c>
      <c r="B1572" s="37" t="inlineStr">
        <is>
          <t>Martinez</t>
        </is>
      </c>
      <c r="C1572" s="37" t="inlineStr">
        <is>
          <t>Jesse</t>
        </is>
      </c>
      <c r="D1572" s="37" t="inlineStr">
        <is>
          <t>ACTIVE_WAITLIST</t>
        </is>
      </c>
      <c r="E1572" s="37" t="n">
        <v>38.8</v>
      </c>
      <c r="F1572" s="37" t="n">
        <v>13.9</v>
      </c>
    </row>
    <row r="1573">
      <c r="A1573" s="37" t="inlineStr">
        <is>
          <t>WL-02572</t>
        </is>
      </c>
      <c r="B1573" s="37" t="inlineStr">
        <is>
          <t>Cox</t>
        </is>
      </c>
      <c r="C1573" s="37" t="inlineStr">
        <is>
          <t>Kelly</t>
        </is>
      </c>
      <c r="D1573" s="37" t="inlineStr">
        <is>
          <t>ACTIVE_WAITLIST</t>
        </is>
      </c>
      <c r="E1573" s="37" t="n">
        <v>26.9</v>
      </c>
      <c r="F1573" s="37" t="n">
        <v>9.5</v>
      </c>
    </row>
    <row r="1574">
      <c r="A1574" s="37" t="inlineStr">
        <is>
          <t>WL-02573</t>
        </is>
      </c>
      <c r="B1574" s="37" t="inlineStr">
        <is>
          <t>Bell</t>
        </is>
      </c>
      <c r="C1574" s="37" t="inlineStr">
        <is>
          <t>Jason</t>
        </is>
      </c>
      <c r="D1574" s="37" t="inlineStr">
        <is>
          <t>ACTIVE_WAITLIST</t>
        </is>
      </c>
      <c r="E1574" s="37" t="n">
        <v>36.9</v>
      </c>
      <c r="F1574" s="37" t="n">
        <v>10.4</v>
      </c>
    </row>
    <row r="1575">
      <c r="A1575" s="37" t="inlineStr">
        <is>
          <t>WL-02574</t>
        </is>
      </c>
      <c r="B1575" s="37" t="inlineStr">
        <is>
          <t>Larsen</t>
        </is>
      </c>
      <c r="C1575" s="37" t="inlineStr">
        <is>
          <t>Elizabeth</t>
        </is>
      </c>
      <c r="D1575" s="37" t="inlineStr">
        <is>
          <t>ACTIVE_WAITLIST</t>
        </is>
      </c>
      <c r="E1575" s="37" t="n">
        <v>26.3</v>
      </c>
      <c r="F1575" s="37" t="n">
        <v>7.8</v>
      </c>
    </row>
    <row r="1576">
      <c r="A1576" s="37" t="inlineStr">
        <is>
          <t>WL-02575</t>
        </is>
      </c>
      <c r="B1576" s="37" t="inlineStr">
        <is>
          <t>Aguirre</t>
        </is>
      </c>
      <c r="C1576" s="37" t="inlineStr">
        <is>
          <t>Victoria</t>
        </is>
      </c>
      <c r="D1576" s="37" t="inlineStr">
        <is>
          <t>ACTIVE_WAITLIST</t>
        </is>
      </c>
      <c r="E1576" s="37" t="n">
        <v>30.9</v>
      </c>
      <c r="F1576" s="37" t="n">
        <v>10.5</v>
      </c>
    </row>
    <row r="1577">
      <c r="A1577" s="37" t="inlineStr">
        <is>
          <t>WL-02576</t>
        </is>
      </c>
      <c r="B1577" s="37" t="inlineStr">
        <is>
          <t>Lopez</t>
        </is>
      </c>
      <c r="C1577" s="37" t="inlineStr">
        <is>
          <t>Stephanie</t>
        </is>
      </c>
      <c r="D1577" s="37" t="inlineStr">
        <is>
          <t>RETAINER</t>
        </is>
      </c>
      <c r="E1577" s="37" t="n">
        <v>23.9</v>
      </c>
      <c r="F1577" s="37" t="n">
        <v>7.4</v>
      </c>
    </row>
    <row r="1578">
      <c r="A1578" s="37" t="inlineStr">
        <is>
          <t>WL-02577</t>
        </is>
      </c>
      <c r="B1578" s="37" t="inlineStr">
        <is>
          <t>Higgins</t>
        </is>
      </c>
      <c r="C1578" s="37" t="inlineStr">
        <is>
          <t>Aaron</t>
        </is>
      </c>
      <c r="D1578" s="37" t="inlineStr">
        <is>
          <t>ACTIVE_WAITLIST</t>
        </is>
      </c>
      <c r="E1578" s="37" t="n">
        <v>61.9</v>
      </c>
      <c r="F1578" s="37" t="n">
        <v>17.7</v>
      </c>
    </row>
    <row r="1579">
      <c r="A1579" s="37" t="inlineStr">
        <is>
          <t>WL-02578</t>
        </is>
      </c>
      <c r="B1579" s="37" t="inlineStr">
        <is>
          <t>Duncan</t>
        </is>
      </c>
      <c r="C1579" s="37" t="inlineStr">
        <is>
          <t>Heather</t>
        </is>
      </c>
      <c r="D1579" s="37" t="inlineStr">
        <is>
          <t>ACTIVE_WAITLIST</t>
        </is>
      </c>
      <c r="E1579" s="37" t="n">
        <v>53.8</v>
      </c>
      <c r="F1579" s="37" t="n">
        <v>16.9</v>
      </c>
    </row>
    <row r="1580">
      <c r="A1580" s="37" t="inlineStr">
        <is>
          <t>WL-02579</t>
        </is>
      </c>
      <c r="B1580" s="37" t="inlineStr">
        <is>
          <t>Becker</t>
        </is>
      </c>
      <c r="C1580" s="37" t="inlineStr">
        <is>
          <t>Bradley</t>
        </is>
      </c>
      <c r="D1580" s="37" t="inlineStr">
        <is>
          <t>ACTIVE_WAITLIST</t>
        </is>
      </c>
      <c r="E1580" s="37" t="n">
        <v>25.3</v>
      </c>
      <c r="F1580" s="37" t="n">
        <v>8.6</v>
      </c>
    </row>
    <row r="1581">
      <c r="A1581" s="37" t="inlineStr">
        <is>
          <t>WL-02580</t>
        </is>
      </c>
      <c r="B1581" s="37" t="inlineStr">
        <is>
          <t>Campbell</t>
        </is>
      </c>
      <c r="C1581" s="37" t="inlineStr">
        <is>
          <t>Tracy</t>
        </is>
      </c>
      <c r="D1581" s="37" t="inlineStr">
        <is>
          <t>RETAINER</t>
        </is>
      </c>
      <c r="E1581" s="37" t="n">
        <v>27.8</v>
      </c>
      <c r="F1581" s="37" t="n">
        <v>8.6</v>
      </c>
    </row>
    <row r="1582">
      <c r="A1582" s="37" t="inlineStr">
        <is>
          <t>WL-02581</t>
        </is>
      </c>
      <c r="B1582" s="37" t="inlineStr">
        <is>
          <t>Sanchez</t>
        </is>
      </c>
      <c r="C1582" s="37" t="inlineStr">
        <is>
          <t>Carolyn</t>
        </is>
      </c>
      <c r="D1582" s="37" t="inlineStr">
        <is>
          <t>ACTIVE_WAITLIST</t>
        </is>
      </c>
      <c r="E1582" s="37" t="n">
        <v>37.9</v>
      </c>
      <c r="F1582" s="37" t="n">
        <v>13</v>
      </c>
    </row>
    <row r="1583">
      <c r="A1583" s="37" t="inlineStr">
        <is>
          <t>WL-02582</t>
        </is>
      </c>
      <c r="B1583" s="37" t="inlineStr">
        <is>
          <t>Nelson</t>
        </is>
      </c>
      <c r="C1583" s="37" t="inlineStr">
        <is>
          <t>Margaret</t>
        </is>
      </c>
      <c r="D1583" s="37" t="inlineStr">
        <is>
          <t>ACTIVE_WAITLIST</t>
        </is>
      </c>
      <c r="E1583" s="37" t="n">
        <v>25.8</v>
      </c>
      <c r="F1583" s="37" t="n">
        <v>8.6</v>
      </c>
    </row>
    <row r="1584">
      <c r="A1584" s="37" t="inlineStr">
        <is>
          <t>WL-02583</t>
        </is>
      </c>
      <c r="B1584" s="37" t="inlineStr">
        <is>
          <t>Johnson</t>
        </is>
      </c>
      <c r="C1584" s="37" t="inlineStr">
        <is>
          <t>Jacqueline</t>
        </is>
      </c>
      <c r="D1584" s="37" t="inlineStr">
        <is>
          <t>EXPIRED</t>
        </is>
      </c>
      <c r="E1584" s="37" t="n">
        <v>42.2</v>
      </c>
      <c r="F1584" s="37" t="n">
        <v>12.2</v>
      </c>
    </row>
    <row r="1585">
      <c r="A1585" s="37" t="inlineStr">
        <is>
          <t>WL-02584</t>
        </is>
      </c>
      <c r="B1585" s="37" t="inlineStr">
        <is>
          <t>Smith</t>
        </is>
      </c>
      <c r="C1585" s="37" t="inlineStr">
        <is>
          <t>Suzanne</t>
        </is>
      </c>
      <c r="D1585" s="37" t="inlineStr">
        <is>
          <t>ACTIVE_WAITLIST</t>
        </is>
      </c>
      <c r="E1585" s="37" t="n">
        <v>61.3</v>
      </c>
      <c r="F1585" s="37" t="n">
        <v>19.6</v>
      </c>
    </row>
    <row r="1586">
      <c r="A1586" s="37" t="inlineStr">
        <is>
          <t>WL-02585</t>
        </is>
      </c>
      <c r="B1586" s="37" t="inlineStr">
        <is>
          <t>Hammond</t>
        </is>
      </c>
      <c r="C1586" s="37" t="inlineStr">
        <is>
          <t>Jacob</t>
        </is>
      </c>
      <c r="D1586" s="37" t="inlineStr">
        <is>
          <t>ACTIVE_WAITLIST</t>
        </is>
      </c>
      <c r="E1586" s="37" t="n">
        <v>28</v>
      </c>
      <c r="F1586" s="37" t="n">
        <v>8.800000000000001</v>
      </c>
    </row>
    <row r="1587">
      <c r="A1587" s="37" t="inlineStr">
        <is>
          <t>WL-02586</t>
        </is>
      </c>
      <c r="B1587" s="37" t="inlineStr">
        <is>
          <t>Stanton</t>
        </is>
      </c>
      <c r="C1587" s="37" t="inlineStr">
        <is>
          <t>Shelby</t>
        </is>
      </c>
      <c r="D1587" s="37" t="inlineStr">
        <is>
          <t>ACTIVE_WAITLIST</t>
        </is>
      </c>
      <c r="E1587" s="37" t="n">
        <v>46.9</v>
      </c>
      <c r="F1587" s="37" t="n">
        <v>15.4</v>
      </c>
    </row>
    <row r="1588">
      <c r="A1588" s="37" t="inlineStr">
        <is>
          <t>WL-02587</t>
        </is>
      </c>
      <c r="B1588" s="37" t="inlineStr">
        <is>
          <t>Figueroa</t>
        </is>
      </c>
      <c r="C1588" s="37" t="inlineStr">
        <is>
          <t>Mary</t>
        </is>
      </c>
      <c r="D1588" s="37" t="inlineStr">
        <is>
          <t>ACTIVE_WAITLIST</t>
        </is>
      </c>
      <c r="E1588" s="37" t="n">
        <v>35</v>
      </c>
      <c r="F1588" s="37" t="n">
        <v>11.5</v>
      </c>
    </row>
    <row r="1589">
      <c r="A1589" s="37" t="inlineStr">
        <is>
          <t>WL-02588</t>
        </is>
      </c>
      <c r="B1589" s="37" t="inlineStr">
        <is>
          <t>Wiley</t>
        </is>
      </c>
      <c r="C1589" s="37" t="inlineStr">
        <is>
          <t>Laura</t>
        </is>
      </c>
      <c r="D1589" s="37" t="inlineStr">
        <is>
          <t>ACTIVE_WAITLIST</t>
        </is>
      </c>
      <c r="E1589" s="37" t="n">
        <v>50</v>
      </c>
      <c r="F1589" s="37" t="n">
        <v>17</v>
      </c>
    </row>
    <row r="1590">
      <c r="A1590" s="37" t="inlineStr">
        <is>
          <t>WL-02589</t>
        </is>
      </c>
      <c r="B1590" s="37" t="inlineStr">
        <is>
          <t>Johnson</t>
        </is>
      </c>
      <c r="C1590" s="37" t="inlineStr">
        <is>
          <t>Tammie</t>
        </is>
      </c>
      <c r="D1590" s="37" t="inlineStr">
        <is>
          <t>ACTIVE_WAITLIST</t>
        </is>
      </c>
      <c r="E1590" s="37" t="n">
        <v>23.7</v>
      </c>
      <c r="F1590" s="37" t="n">
        <v>7.5</v>
      </c>
    </row>
    <row r="1591">
      <c r="A1591" s="37" t="inlineStr">
        <is>
          <t>WL-02590</t>
        </is>
      </c>
      <c r="B1591" s="37" t="inlineStr">
        <is>
          <t>Anderson</t>
        </is>
      </c>
      <c r="C1591" s="37" t="inlineStr">
        <is>
          <t>Thomas</t>
        </is>
      </c>
      <c r="D1591" s="37" t="inlineStr">
        <is>
          <t>ACTIVE_WAITLIST</t>
        </is>
      </c>
      <c r="E1591" s="37" t="n">
        <v>41.5</v>
      </c>
      <c r="F1591" s="37" t="n">
        <v>14</v>
      </c>
    </row>
    <row r="1592">
      <c r="A1592" s="37" t="inlineStr">
        <is>
          <t>WL-02591</t>
        </is>
      </c>
      <c r="B1592" s="37" t="inlineStr">
        <is>
          <t>Thompson</t>
        </is>
      </c>
      <c r="C1592" s="37" t="inlineStr">
        <is>
          <t>Kyle</t>
        </is>
      </c>
      <c r="D1592" s="37" t="inlineStr">
        <is>
          <t>ACTIVE_WAITLIST</t>
        </is>
      </c>
      <c r="E1592" s="37" t="n">
        <v>26.7</v>
      </c>
      <c r="F1592" s="37" t="n">
        <v>9.5</v>
      </c>
    </row>
    <row r="1593">
      <c r="A1593" s="37" t="inlineStr">
        <is>
          <t>WL-02592</t>
        </is>
      </c>
      <c r="B1593" s="37" t="inlineStr">
        <is>
          <t>Hernandez</t>
        </is>
      </c>
      <c r="C1593" s="37" t="inlineStr">
        <is>
          <t>Stacy</t>
        </is>
      </c>
      <c r="D1593" s="37" t="inlineStr">
        <is>
          <t>ACTIVE_WAITLIST</t>
        </is>
      </c>
      <c r="E1593" s="37" t="n">
        <v>21.8</v>
      </c>
      <c r="F1593" s="37" t="n">
        <v>7</v>
      </c>
    </row>
    <row r="1594">
      <c r="A1594" s="37" t="inlineStr">
        <is>
          <t>WL-02593</t>
        </is>
      </c>
      <c r="B1594" s="37" t="inlineStr">
        <is>
          <t>Dunn</t>
        </is>
      </c>
      <c r="C1594" s="37" t="inlineStr">
        <is>
          <t>Jennifer</t>
        </is>
      </c>
      <c r="D1594" s="37" t="inlineStr">
        <is>
          <t>ACTIVE_WAITLIST</t>
        </is>
      </c>
      <c r="E1594" s="37" t="n">
        <v>53.4</v>
      </c>
      <c r="F1594" s="37" t="n">
        <v>16.2</v>
      </c>
    </row>
    <row r="1595">
      <c r="A1595" s="37" t="inlineStr">
        <is>
          <t>WL-02594</t>
        </is>
      </c>
      <c r="B1595" s="37" t="inlineStr">
        <is>
          <t>Johnson</t>
        </is>
      </c>
      <c r="C1595" s="37" t="inlineStr">
        <is>
          <t>Tina</t>
        </is>
      </c>
      <c r="D1595" s="37" t="inlineStr">
        <is>
          <t>ACTIVE_WAITLIST</t>
        </is>
      </c>
      <c r="E1595" s="37" t="n">
        <v>33.6</v>
      </c>
      <c r="F1595" s="37" t="n">
        <v>10</v>
      </c>
    </row>
    <row r="1596">
      <c r="A1596" s="37" t="inlineStr">
        <is>
          <t>WL-02595</t>
        </is>
      </c>
      <c r="B1596" s="37" t="inlineStr">
        <is>
          <t>Wood</t>
        </is>
      </c>
      <c r="C1596" s="37" t="inlineStr">
        <is>
          <t>Cheryl</t>
        </is>
      </c>
      <c r="D1596" s="37" t="inlineStr">
        <is>
          <t>ACTIVE_WAITLIST</t>
        </is>
      </c>
      <c r="E1596" s="37" t="n">
        <v>58.3</v>
      </c>
      <c r="F1596" s="37" t="n">
        <v>17.3</v>
      </c>
    </row>
    <row r="1597">
      <c r="A1597" s="37" t="inlineStr">
        <is>
          <t>WL-02596</t>
        </is>
      </c>
      <c r="B1597" s="37" t="inlineStr">
        <is>
          <t>Williams</t>
        </is>
      </c>
      <c r="C1597" s="37" t="inlineStr">
        <is>
          <t>Kevin</t>
        </is>
      </c>
      <c r="D1597" s="37" t="inlineStr">
        <is>
          <t>ACTIVE_WAITLIST</t>
        </is>
      </c>
      <c r="E1597" s="37" t="n">
        <v>59.1</v>
      </c>
      <c r="F1597" s="37" t="n">
        <v>17.4</v>
      </c>
    </row>
    <row r="1598">
      <c r="A1598" s="37" t="inlineStr">
        <is>
          <t>WL-02597</t>
        </is>
      </c>
      <c r="B1598" s="37" t="inlineStr">
        <is>
          <t>Wong</t>
        </is>
      </c>
      <c r="C1598" s="37" t="inlineStr">
        <is>
          <t>Michael</t>
        </is>
      </c>
      <c r="D1598" s="37" t="inlineStr">
        <is>
          <t>ACTIVE_WAITLIST</t>
        </is>
      </c>
      <c r="E1598" s="37" t="n">
        <v>58.7</v>
      </c>
      <c r="F1598" s="37" t="n">
        <v>20.9</v>
      </c>
    </row>
    <row r="1599">
      <c r="A1599" s="37" t="inlineStr">
        <is>
          <t>WL-02598</t>
        </is>
      </c>
      <c r="B1599" s="37" t="inlineStr">
        <is>
          <t>Rubio</t>
        </is>
      </c>
      <c r="C1599" s="37" t="inlineStr">
        <is>
          <t>Nicole</t>
        </is>
      </c>
      <c r="D1599" s="37" t="inlineStr">
        <is>
          <t>ACTIVE_WAITLIST</t>
        </is>
      </c>
      <c r="E1599" s="37" t="n">
        <v>29.2</v>
      </c>
      <c r="F1599" s="37" t="n">
        <v>10.3</v>
      </c>
    </row>
    <row r="1600">
      <c r="A1600" s="37" t="inlineStr">
        <is>
          <t>WL-02599</t>
        </is>
      </c>
      <c r="B1600" s="37" t="inlineStr">
        <is>
          <t>Stephens</t>
        </is>
      </c>
      <c r="C1600" s="37" t="inlineStr">
        <is>
          <t>James</t>
        </is>
      </c>
      <c r="D1600" s="37" t="inlineStr">
        <is>
          <t>ACTIVE_WAITLIST</t>
        </is>
      </c>
      <c r="E1600" s="37" t="n">
        <v>61.3</v>
      </c>
      <c r="F1600" s="37" t="n">
        <v>17.8</v>
      </c>
    </row>
    <row r="1601">
      <c r="A1601" s="37" t="inlineStr">
        <is>
          <t>WL-02600</t>
        </is>
      </c>
      <c r="B1601" s="37" t="inlineStr">
        <is>
          <t>Fritz</t>
        </is>
      </c>
      <c r="C1601" s="37" t="inlineStr">
        <is>
          <t>Alicia</t>
        </is>
      </c>
      <c r="D1601" s="37" t="inlineStr">
        <is>
          <t>ACTIVE_WAITLIST</t>
        </is>
      </c>
      <c r="E1601" s="37" t="n">
        <v>57.4</v>
      </c>
      <c r="F1601" s="37" t="n">
        <v>18.1</v>
      </c>
    </row>
    <row r="1602">
      <c r="A1602" s="37" t="inlineStr">
        <is>
          <t>WL-02601</t>
        </is>
      </c>
      <c r="B1602" s="37" t="inlineStr">
        <is>
          <t>Taylor</t>
        </is>
      </c>
      <c r="C1602" s="37" t="inlineStr">
        <is>
          <t>Michael</t>
        </is>
      </c>
      <c r="D1602" s="37" t="inlineStr">
        <is>
          <t>ACTIVE_WAITLIST</t>
        </is>
      </c>
      <c r="E1602" s="37" t="n">
        <v>51.7</v>
      </c>
      <c r="F1602" s="37" t="n">
        <v>18.6</v>
      </c>
    </row>
    <row r="1603">
      <c r="A1603" s="37" t="inlineStr">
        <is>
          <t>WL-02602</t>
        </is>
      </c>
      <c r="B1603" s="37" t="inlineStr">
        <is>
          <t>Shah</t>
        </is>
      </c>
      <c r="C1603" s="37" t="inlineStr">
        <is>
          <t>John</t>
        </is>
      </c>
      <c r="D1603" s="37" t="inlineStr">
        <is>
          <t>ACTIVE_WAITLIST</t>
        </is>
      </c>
      <c r="E1603" s="37" t="n">
        <v>27.7</v>
      </c>
      <c r="F1603" s="37" t="n">
        <v>9.5</v>
      </c>
    </row>
    <row r="1604">
      <c r="A1604" s="37" t="inlineStr">
        <is>
          <t>WL-02603</t>
        </is>
      </c>
      <c r="B1604" s="37" t="inlineStr">
        <is>
          <t>Lopez</t>
        </is>
      </c>
      <c r="C1604" s="37" t="inlineStr">
        <is>
          <t>Sharon</t>
        </is>
      </c>
      <c r="D1604" s="37" t="inlineStr">
        <is>
          <t>ACTIVE_WAITLIST</t>
        </is>
      </c>
      <c r="E1604" s="37" t="n">
        <v>56.4</v>
      </c>
      <c r="F1604" s="37" t="n">
        <v>16.7</v>
      </c>
    </row>
    <row r="1605">
      <c r="A1605" s="37" t="inlineStr">
        <is>
          <t>WL-02604</t>
        </is>
      </c>
      <c r="B1605" s="37" t="inlineStr">
        <is>
          <t>Scott</t>
        </is>
      </c>
      <c r="C1605" s="37" t="inlineStr">
        <is>
          <t>Jeremy</t>
        </is>
      </c>
      <c r="D1605" s="37" t="inlineStr">
        <is>
          <t>ACTIVE_WAITLIST</t>
        </is>
      </c>
      <c r="E1605" s="37" t="n">
        <v>43.2</v>
      </c>
      <c r="F1605" s="37" t="n">
        <v>12.3</v>
      </c>
    </row>
    <row r="1606">
      <c r="A1606" s="37" t="inlineStr">
        <is>
          <t>WL-02605</t>
        </is>
      </c>
      <c r="B1606" s="37" t="inlineStr">
        <is>
          <t>Jones</t>
        </is>
      </c>
      <c r="C1606" s="37" t="inlineStr">
        <is>
          <t>Steven</t>
        </is>
      </c>
      <c r="D1606" s="37" t="inlineStr">
        <is>
          <t>ACTIVE_WAITLIST</t>
        </is>
      </c>
      <c r="E1606" s="37" t="n">
        <v>27.2</v>
      </c>
      <c r="F1606" s="37" t="n">
        <v>9.6</v>
      </c>
    </row>
    <row r="1607">
      <c r="A1607" s="37" t="inlineStr">
        <is>
          <t>WL-02606</t>
        </is>
      </c>
      <c r="B1607" s="37" t="inlineStr">
        <is>
          <t>Torres</t>
        </is>
      </c>
      <c r="C1607" s="37" t="inlineStr">
        <is>
          <t>Steve</t>
        </is>
      </c>
      <c r="D1607" s="37" t="inlineStr">
        <is>
          <t>RETAINER</t>
        </is>
      </c>
      <c r="E1607" s="37" t="n">
        <v>37.3</v>
      </c>
      <c r="F1607" s="37" t="n">
        <v>10.9</v>
      </c>
    </row>
    <row r="1608">
      <c r="A1608" s="37" t="inlineStr">
        <is>
          <t>WL-02607</t>
        </is>
      </c>
      <c r="B1608" s="37" t="inlineStr">
        <is>
          <t>Charles</t>
        </is>
      </c>
      <c r="C1608" s="37" t="inlineStr">
        <is>
          <t>Sean</t>
        </is>
      </c>
      <c r="D1608" s="37" t="inlineStr">
        <is>
          <t>ACTIVE_WAITLIST</t>
        </is>
      </c>
      <c r="E1608" s="37" t="n">
        <v>30.4</v>
      </c>
      <c r="F1608" s="37" t="n">
        <v>9.800000000000001</v>
      </c>
    </row>
    <row r="1609">
      <c r="A1609" s="37" t="inlineStr">
        <is>
          <t>WL-02608</t>
        </is>
      </c>
      <c r="B1609" s="37" t="inlineStr">
        <is>
          <t>Porter</t>
        </is>
      </c>
      <c r="C1609" s="37" t="inlineStr">
        <is>
          <t>Timothy</t>
        </is>
      </c>
      <c r="D1609" s="37" t="inlineStr">
        <is>
          <t>ACTIVE_WAITLIST</t>
        </is>
      </c>
      <c r="E1609" s="37" t="n">
        <v>51</v>
      </c>
      <c r="F1609" s="37" t="n">
        <v>17.2</v>
      </c>
    </row>
    <row r="1610">
      <c r="A1610" s="37" t="inlineStr">
        <is>
          <t>WL-02609</t>
        </is>
      </c>
      <c r="B1610" s="37" t="inlineStr">
        <is>
          <t>Ortiz</t>
        </is>
      </c>
      <c r="C1610" s="37" t="inlineStr">
        <is>
          <t>Timothy</t>
        </is>
      </c>
      <c r="D1610" s="37" t="inlineStr">
        <is>
          <t>ACTIVE_WAITLIST</t>
        </is>
      </c>
      <c r="E1610" s="37" t="n">
        <v>23.1</v>
      </c>
      <c r="F1610" s="37" t="n">
        <v>6.7</v>
      </c>
    </row>
    <row r="1611">
      <c r="A1611" s="37" t="inlineStr">
        <is>
          <t>WL-02610</t>
        </is>
      </c>
      <c r="B1611" s="37" t="inlineStr">
        <is>
          <t>Alvarez</t>
        </is>
      </c>
      <c r="C1611" s="37" t="inlineStr">
        <is>
          <t>Kathleen</t>
        </is>
      </c>
      <c r="D1611" s="37" t="inlineStr">
        <is>
          <t>ACTIVE_WAITLIST</t>
        </is>
      </c>
      <c r="E1611" s="37" t="n">
        <v>54.3</v>
      </c>
      <c r="F1611" s="37" t="n">
        <v>18.6</v>
      </c>
    </row>
    <row r="1612">
      <c r="A1612" s="37" t="inlineStr">
        <is>
          <t>WL-02611</t>
        </is>
      </c>
      <c r="B1612" s="37" t="inlineStr">
        <is>
          <t>Franklin</t>
        </is>
      </c>
      <c r="C1612" s="37" t="inlineStr">
        <is>
          <t>Rachel</t>
        </is>
      </c>
      <c r="D1612" s="37" t="inlineStr">
        <is>
          <t>ACTIVE_WAITLIST</t>
        </is>
      </c>
      <c r="E1612" s="37" t="n">
        <v>31.6</v>
      </c>
      <c r="F1612" s="37" t="n">
        <v>10.3</v>
      </c>
    </row>
    <row r="1613">
      <c r="A1613" s="37" t="inlineStr">
        <is>
          <t>WL-02612</t>
        </is>
      </c>
      <c r="B1613" s="37" t="inlineStr">
        <is>
          <t>Fritz</t>
        </is>
      </c>
      <c r="C1613" s="37" t="inlineStr">
        <is>
          <t>Kevin</t>
        </is>
      </c>
      <c r="D1613" s="37" t="inlineStr">
        <is>
          <t>ACTIVE_WAITLIST</t>
        </is>
      </c>
      <c r="E1613" s="37" t="n">
        <v>61.6</v>
      </c>
      <c r="F1613" s="37" t="n">
        <v>19.3</v>
      </c>
    </row>
    <row r="1614">
      <c r="A1614" s="37" t="inlineStr">
        <is>
          <t>WL-02613</t>
        </is>
      </c>
      <c r="B1614" s="37" t="inlineStr">
        <is>
          <t>Farrell</t>
        </is>
      </c>
      <c r="C1614" s="37" t="inlineStr">
        <is>
          <t>Carolyn</t>
        </is>
      </c>
      <c r="D1614" s="37" t="inlineStr">
        <is>
          <t>ACTIVE_WAITLIST</t>
        </is>
      </c>
      <c r="E1614" s="37" t="n">
        <v>31.1</v>
      </c>
      <c r="F1614" s="37" t="n">
        <v>11</v>
      </c>
    </row>
    <row r="1615">
      <c r="A1615" s="37" t="inlineStr">
        <is>
          <t>WL-02614</t>
        </is>
      </c>
      <c r="B1615" s="37" t="inlineStr">
        <is>
          <t>Kennedy</t>
        </is>
      </c>
      <c r="C1615" s="37" t="inlineStr">
        <is>
          <t>Jasmine</t>
        </is>
      </c>
      <c r="D1615" s="37" t="inlineStr">
        <is>
          <t>ACTIVE_WAITLIST</t>
        </is>
      </c>
      <c r="E1615" s="37" t="n">
        <v>53.7</v>
      </c>
      <c r="F1615" s="37" t="n">
        <v>19.1</v>
      </c>
    </row>
    <row r="1616">
      <c r="A1616" s="37" t="inlineStr">
        <is>
          <t>WL-02615</t>
        </is>
      </c>
      <c r="B1616" s="37" t="inlineStr">
        <is>
          <t>Wallace</t>
        </is>
      </c>
      <c r="C1616" s="37" t="inlineStr">
        <is>
          <t>Tracy</t>
        </is>
      </c>
      <c r="D1616" s="37" t="inlineStr">
        <is>
          <t>ACTIVE_WAITLIST</t>
        </is>
      </c>
      <c r="E1616" s="37" t="n">
        <v>43.8</v>
      </c>
      <c r="F1616" s="37" t="n">
        <v>12.5</v>
      </c>
    </row>
    <row r="1617">
      <c r="A1617" s="37" t="inlineStr">
        <is>
          <t>WL-02616</t>
        </is>
      </c>
      <c r="B1617" s="37" t="inlineStr">
        <is>
          <t>Banks</t>
        </is>
      </c>
      <c r="C1617" s="37" t="inlineStr">
        <is>
          <t>Billy</t>
        </is>
      </c>
      <c r="D1617" s="37" t="inlineStr">
        <is>
          <t>ACTIVE_WAITLIST</t>
        </is>
      </c>
      <c r="E1617" s="37" t="n">
        <v>53.2</v>
      </c>
      <c r="F1617" s="37" t="n">
        <v>15.5</v>
      </c>
    </row>
    <row r="1618">
      <c r="A1618" s="37" t="inlineStr">
        <is>
          <t>WL-02617</t>
        </is>
      </c>
      <c r="B1618" s="37" t="inlineStr">
        <is>
          <t>Lozano</t>
        </is>
      </c>
      <c r="C1618" s="37" t="inlineStr">
        <is>
          <t>Shane</t>
        </is>
      </c>
      <c r="D1618" s="37" t="inlineStr">
        <is>
          <t>ACTIVE_WAITLIST</t>
        </is>
      </c>
      <c r="E1618" s="37" t="n">
        <v>26.4</v>
      </c>
      <c r="F1618" s="37" t="n">
        <v>8.1</v>
      </c>
    </row>
    <row r="1619">
      <c r="A1619" s="37" t="inlineStr">
        <is>
          <t>WL-02618</t>
        </is>
      </c>
      <c r="B1619" s="37" t="inlineStr">
        <is>
          <t>Tomlinson</t>
        </is>
      </c>
      <c r="C1619" s="37" t="inlineStr">
        <is>
          <t>Gary</t>
        </is>
      </c>
      <c r="D1619" s="37" t="inlineStr">
        <is>
          <t>RETAINER</t>
        </is>
      </c>
      <c r="E1619" s="37" t="n">
        <v>27.8</v>
      </c>
      <c r="F1619" s="37" t="n">
        <v>8.1</v>
      </c>
    </row>
    <row r="1620">
      <c r="A1620" s="37" t="inlineStr">
        <is>
          <t>WL-02619</t>
        </is>
      </c>
      <c r="B1620" s="37" t="inlineStr">
        <is>
          <t>Blankenship</t>
        </is>
      </c>
      <c r="C1620" s="37" t="inlineStr">
        <is>
          <t>Robert</t>
        </is>
      </c>
      <c r="D1620" s="37" t="inlineStr">
        <is>
          <t>ACTIVE_WAITLIST</t>
        </is>
      </c>
      <c r="E1620" s="37" t="n">
        <v>26.6</v>
      </c>
      <c r="F1620" s="37" t="n">
        <v>7.6</v>
      </c>
    </row>
    <row r="1621">
      <c r="A1621" s="37" t="inlineStr">
        <is>
          <t>WL-02620</t>
        </is>
      </c>
      <c r="B1621" s="37" t="inlineStr">
        <is>
          <t>Compton</t>
        </is>
      </c>
      <c r="C1621" s="37" t="inlineStr">
        <is>
          <t>Heather</t>
        </is>
      </c>
      <c r="D1621" s="37" t="inlineStr">
        <is>
          <t>ACTIVE_WAITLIST</t>
        </is>
      </c>
      <c r="E1621" s="37" t="n">
        <v>42.4</v>
      </c>
      <c r="F1621" s="37" t="n">
        <v>13.6</v>
      </c>
    </row>
    <row r="1622">
      <c r="A1622" s="37" t="inlineStr">
        <is>
          <t>WL-02621</t>
        </is>
      </c>
      <c r="B1622" s="37" t="inlineStr">
        <is>
          <t>Hill</t>
        </is>
      </c>
      <c r="C1622" s="37" t="inlineStr">
        <is>
          <t>Tanner</t>
        </is>
      </c>
      <c r="D1622" s="37" t="inlineStr">
        <is>
          <t>ACTIVE_WAITLIST</t>
        </is>
      </c>
      <c r="E1622" s="37" t="n">
        <v>19.2</v>
      </c>
      <c r="F1622" s="37" t="n">
        <v>6.5</v>
      </c>
    </row>
    <row r="1623">
      <c r="A1623" s="37" t="inlineStr">
        <is>
          <t>WL-02622</t>
        </is>
      </c>
      <c r="B1623" s="37" t="inlineStr">
        <is>
          <t>Murillo</t>
        </is>
      </c>
      <c r="C1623" s="37" t="inlineStr">
        <is>
          <t>Laura</t>
        </is>
      </c>
      <c r="D1623" s="37" t="inlineStr">
        <is>
          <t>ACTIVE_WAITLIST</t>
        </is>
      </c>
      <c r="E1623" s="37" t="n">
        <v>34.3</v>
      </c>
      <c r="F1623" s="37" t="n">
        <v>12</v>
      </c>
    </row>
    <row r="1624">
      <c r="A1624" s="37" t="inlineStr">
        <is>
          <t>WL-02623</t>
        </is>
      </c>
      <c r="B1624" s="37" t="inlineStr">
        <is>
          <t>Sanchez</t>
        </is>
      </c>
      <c r="C1624" s="37" t="inlineStr">
        <is>
          <t>Kristen</t>
        </is>
      </c>
      <c r="D1624" s="37" t="inlineStr">
        <is>
          <t>ACTIVE_WAITLIST</t>
        </is>
      </c>
      <c r="E1624" s="37" t="n">
        <v>52.6</v>
      </c>
      <c r="F1624" s="37" t="n">
        <v>16</v>
      </c>
    </row>
    <row r="1625">
      <c r="A1625" s="37" t="inlineStr">
        <is>
          <t>WL-02624</t>
        </is>
      </c>
      <c r="B1625" s="37" t="inlineStr">
        <is>
          <t>Smith</t>
        </is>
      </c>
      <c r="C1625" s="37" t="inlineStr">
        <is>
          <t>Danielle</t>
        </is>
      </c>
      <c r="D1625" s="37" t="inlineStr">
        <is>
          <t>RETAINER</t>
        </is>
      </c>
      <c r="E1625" s="37" t="n">
        <v>41.4</v>
      </c>
      <c r="F1625" s="37" t="n">
        <v>13.8</v>
      </c>
    </row>
    <row r="1626">
      <c r="A1626" s="37" t="inlineStr">
        <is>
          <t>WL-02625</t>
        </is>
      </c>
      <c r="B1626" s="37" t="inlineStr">
        <is>
          <t>Friedman</t>
        </is>
      </c>
      <c r="C1626" s="37" t="inlineStr">
        <is>
          <t>Samantha</t>
        </is>
      </c>
      <c r="D1626" s="37" t="inlineStr">
        <is>
          <t>ACTIVE_WAITLIST</t>
        </is>
      </c>
      <c r="E1626" s="37" t="n">
        <v>41</v>
      </c>
      <c r="F1626" s="37" t="n">
        <v>13.4</v>
      </c>
    </row>
    <row r="1627">
      <c r="A1627" s="37" t="inlineStr">
        <is>
          <t>WL-02626</t>
        </is>
      </c>
      <c r="B1627" s="37" t="inlineStr">
        <is>
          <t>Sanchez</t>
        </is>
      </c>
      <c r="C1627" s="37" t="inlineStr">
        <is>
          <t>Michael</t>
        </is>
      </c>
      <c r="D1627" s="37" t="inlineStr">
        <is>
          <t>SUSPENDED</t>
        </is>
      </c>
      <c r="E1627" s="37" t="n">
        <v>30.8</v>
      </c>
      <c r="F1627" s="37" t="n">
        <v>8.800000000000001</v>
      </c>
    </row>
    <row r="1628">
      <c r="A1628" s="37" t="inlineStr">
        <is>
          <t>WL-02627</t>
        </is>
      </c>
      <c r="B1628" s="37" t="inlineStr">
        <is>
          <t>Campbell</t>
        </is>
      </c>
      <c r="C1628" s="37" t="inlineStr">
        <is>
          <t>Cynthia</t>
        </is>
      </c>
      <c r="D1628" s="37" t="inlineStr">
        <is>
          <t>ACTIVE_WAITLIST</t>
        </is>
      </c>
      <c r="E1628" s="37" t="n">
        <v>33.5</v>
      </c>
      <c r="F1628" s="37" t="n">
        <v>10.1</v>
      </c>
    </row>
    <row r="1629">
      <c r="A1629" s="37" t="inlineStr">
        <is>
          <t>WL-02628</t>
        </is>
      </c>
      <c r="B1629" s="37" t="inlineStr">
        <is>
          <t>Mooney</t>
        </is>
      </c>
      <c r="C1629" s="37" t="inlineStr">
        <is>
          <t>Tammy</t>
        </is>
      </c>
      <c r="D1629" s="37" t="inlineStr">
        <is>
          <t>ACTIVE_WAITLIST</t>
        </is>
      </c>
      <c r="E1629" s="37" t="n">
        <v>20.7</v>
      </c>
      <c r="F1629" s="37" t="n">
        <v>6.1</v>
      </c>
    </row>
    <row r="1630">
      <c r="A1630" s="37" t="inlineStr">
        <is>
          <t>WL-02629</t>
        </is>
      </c>
      <c r="B1630" s="37" t="inlineStr">
        <is>
          <t>Powell</t>
        </is>
      </c>
      <c r="C1630" s="37" t="inlineStr">
        <is>
          <t>Joseph</t>
        </is>
      </c>
      <c r="D1630" s="37" t="inlineStr">
        <is>
          <t>ACTIVE_WAITLIST</t>
        </is>
      </c>
      <c r="E1630" s="37" t="n">
        <v>20.9</v>
      </c>
      <c r="F1630" s="37" t="n">
        <v>7.4</v>
      </c>
    </row>
    <row r="1631">
      <c r="A1631" s="37" t="inlineStr">
        <is>
          <t>WL-02630</t>
        </is>
      </c>
      <c r="B1631" s="37" t="inlineStr">
        <is>
          <t>Snow</t>
        </is>
      </c>
      <c r="C1631" s="37" t="inlineStr">
        <is>
          <t>Susan</t>
        </is>
      </c>
      <c r="D1631" s="37" t="inlineStr">
        <is>
          <t>ACTIVE_WAITLIST</t>
        </is>
      </c>
      <c r="E1631" s="37" t="n">
        <v>27.3</v>
      </c>
      <c r="F1631" s="37" t="n">
        <v>9.1</v>
      </c>
    </row>
    <row r="1632">
      <c r="A1632" s="37" t="inlineStr">
        <is>
          <t>WL-02631</t>
        </is>
      </c>
      <c r="B1632" s="37" t="inlineStr">
        <is>
          <t>Gonzales</t>
        </is>
      </c>
      <c r="C1632" s="37" t="inlineStr">
        <is>
          <t>Sandra</t>
        </is>
      </c>
      <c r="D1632" s="37" t="inlineStr">
        <is>
          <t>EXPIRED</t>
        </is>
      </c>
      <c r="E1632" s="37" t="n">
        <v>59.7</v>
      </c>
      <c r="F1632" s="37" t="n">
        <v>18.4</v>
      </c>
    </row>
    <row r="1633">
      <c r="A1633" s="37" t="inlineStr">
        <is>
          <t>WL-02632</t>
        </is>
      </c>
      <c r="B1633" s="37" t="inlineStr">
        <is>
          <t>Hunter</t>
        </is>
      </c>
      <c r="C1633" s="37" t="inlineStr">
        <is>
          <t>Kirk</t>
        </is>
      </c>
      <c r="D1633" s="37" t="inlineStr">
        <is>
          <t>EXPIRED</t>
        </is>
      </c>
      <c r="E1633" s="37" t="n">
        <v>51.4</v>
      </c>
      <c r="F1633" s="37" t="n">
        <v>15.8</v>
      </c>
    </row>
    <row r="1634">
      <c r="A1634" s="37" t="inlineStr">
        <is>
          <t>WL-02633</t>
        </is>
      </c>
      <c r="B1634" s="37" t="inlineStr">
        <is>
          <t>Torres</t>
        </is>
      </c>
      <c r="C1634" s="37" t="inlineStr">
        <is>
          <t>Jordan</t>
        </is>
      </c>
      <c r="D1634" s="37" t="inlineStr">
        <is>
          <t>ACTIVE_WAITLIST</t>
        </is>
      </c>
      <c r="E1634" s="37" t="n">
        <v>29.3</v>
      </c>
      <c r="F1634" s="37" t="n">
        <v>8.9</v>
      </c>
    </row>
    <row r="1635">
      <c r="A1635" s="37" t="inlineStr">
        <is>
          <t>WL-02634</t>
        </is>
      </c>
      <c r="B1635" s="37" t="inlineStr">
        <is>
          <t>Cooper</t>
        </is>
      </c>
      <c r="C1635" s="37" t="inlineStr">
        <is>
          <t>Michelle</t>
        </is>
      </c>
      <c r="D1635" s="37" t="inlineStr">
        <is>
          <t>ACTIVE_WAITLIST</t>
        </is>
      </c>
      <c r="E1635" s="37" t="n">
        <v>53.6</v>
      </c>
      <c r="F1635" s="37" t="n">
        <v>15.8</v>
      </c>
    </row>
    <row r="1636">
      <c r="A1636" s="37" t="inlineStr">
        <is>
          <t>WL-02635</t>
        </is>
      </c>
      <c r="B1636" s="37" t="inlineStr">
        <is>
          <t>Bowers</t>
        </is>
      </c>
      <c r="C1636" s="37" t="inlineStr">
        <is>
          <t>Roger</t>
        </is>
      </c>
      <c r="D1636" s="37" t="inlineStr">
        <is>
          <t>ACTIVE_WAITLIST</t>
        </is>
      </c>
      <c r="E1636" s="37" t="n">
        <v>33.6</v>
      </c>
      <c r="F1636" s="37" t="n">
        <v>11.4</v>
      </c>
    </row>
    <row r="1637">
      <c r="A1637" s="37" t="inlineStr">
        <is>
          <t>WL-02636</t>
        </is>
      </c>
      <c r="B1637" s="37" t="inlineStr">
        <is>
          <t>Young</t>
        </is>
      </c>
      <c r="C1637" s="37" t="inlineStr">
        <is>
          <t>Andrew</t>
        </is>
      </c>
      <c r="D1637" s="37" t="inlineStr">
        <is>
          <t>ACTIVE_WAITLIST</t>
        </is>
      </c>
      <c r="E1637" s="37" t="n">
        <v>33.4</v>
      </c>
      <c r="F1637" s="37" t="n">
        <v>11.3</v>
      </c>
    </row>
    <row r="1638">
      <c r="A1638" s="37" t="inlineStr">
        <is>
          <t>WL-02637</t>
        </is>
      </c>
      <c r="B1638" s="37" t="inlineStr">
        <is>
          <t>Taylor</t>
        </is>
      </c>
      <c r="C1638" s="37" t="inlineStr">
        <is>
          <t>William</t>
        </is>
      </c>
      <c r="D1638" s="37" t="inlineStr">
        <is>
          <t>EXPIRED</t>
        </is>
      </c>
      <c r="E1638" s="37" t="n">
        <v>34.9</v>
      </c>
      <c r="F1638" s="37" t="n">
        <v>10.4</v>
      </c>
    </row>
    <row r="1639">
      <c r="A1639" s="37" t="inlineStr">
        <is>
          <t>WL-02638</t>
        </is>
      </c>
      <c r="B1639" s="37" t="inlineStr">
        <is>
          <t>Fitzgerald</t>
        </is>
      </c>
      <c r="C1639" s="37" t="inlineStr">
        <is>
          <t>Rose</t>
        </is>
      </c>
      <c r="D1639" s="37" t="inlineStr">
        <is>
          <t>ACTIVE_WAITLIST</t>
        </is>
      </c>
      <c r="E1639" s="37" t="n">
        <v>53.6</v>
      </c>
      <c r="F1639" s="37" t="n">
        <v>19</v>
      </c>
    </row>
    <row r="1640">
      <c r="A1640" s="37" t="inlineStr">
        <is>
          <t>WL-02639</t>
        </is>
      </c>
      <c r="B1640" s="37" t="inlineStr">
        <is>
          <t>Moore</t>
        </is>
      </c>
      <c r="C1640" s="37" t="inlineStr">
        <is>
          <t>Ronald</t>
        </is>
      </c>
      <c r="D1640" s="37" t="inlineStr">
        <is>
          <t>ACTIVE_WAITLIST</t>
        </is>
      </c>
      <c r="E1640" s="37" t="n">
        <v>29.3</v>
      </c>
      <c r="F1640" s="37" t="n">
        <v>10.5</v>
      </c>
    </row>
    <row r="1641">
      <c r="A1641" s="37" t="inlineStr">
        <is>
          <t>WL-02640</t>
        </is>
      </c>
      <c r="B1641" s="37" t="inlineStr">
        <is>
          <t>Downs</t>
        </is>
      </c>
      <c r="C1641" s="37" t="inlineStr">
        <is>
          <t>Jeremy</t>
        </is>
      </c>
      <c r="D1641" s="37" t="inlineStr">
        <is>
          <t>ACTIVE_WAITLIST</t>
        </is>
      </c>
      <c r="E1641" s="37" t="n">
        <v>53.7</v>
      </c>
      <c r="F1641" s="37" t="n">
        <v>17.1</v>
      </c>
    </row>
    <row r="1642">
      <c r="A1642" s="37" t="inlineStr">
        <is>
          <t>WL-02641</t>
        </is>
      </c>
      <c r="B1642" s="37" t="inlineStr">
        <is>
          <t>Miles</t>
        </is>
      </c>
      <c r="C1642" s="37" t="inlineStr">
        <is>
          <t>Denise</t>
        </is>
      </c>
      <c r="D1642" s="37" t="inlineStr">
        <is>
          <t>ACTIVE_WAITLIST</t>
        </is>
      </c>
      <c r="E1642" s="37" t="n">
        <v>34.6</v>
      </c>
      <c r="F1642" s="37" t="n">
        <v>11.2</v>
      </c>
    </row>
    <row r="1643">
      <c r="A1643" s="37" t="inlineStr">
        <is>
          <t>WL-02642</t>
        </is>
      </c>
      <c r="B1643" s="37" t="inlineStr">
        <is>
          <t>Gutierrez</t>
        </is>
      </c>
      <c r="C1643" s="37" t="inlineStr">
        <is>
          <t>Ann</t>
        </is>
      </c>
      <c r="D1643" s="37" t="inlineStr">
        <is>
          <t>ACTIVE_WAITLIST</t>
        </is>
      </c>
      <c r="E1643" s="37" t="n">
        <v>45.7</v>
      </c>
      <c r="F1643" s="37" t="n">
        <v>13.8</v>
      </c>
    </row>
    <row r="1644">
      <c r="A1644" s="37" t="inlineStr">
        <is>
          <t>WL-02643</t>
        </is>
      </c>
      <c r="B1644" s="37" t="inlineStr">
        <is>
          <t>Villanueva</t>
        </is>
      </c>
      <c r="C1644" s="37" t="inlineStr">
        <is>
          <t>Joshua</t>
        </is>
      </c>
      <c r="D1644" s="37" t="inlineStr">
        <is>
          <t>ACTIVE_WAITLIST</t>
        </is>
      </c>
      <c r="E1644" s="37" t="n">
        <v>50.1</v>
      </c>
      <c r="F1644" s="37" t="n">
        <v>15.8</v>
      </c>
    </row>
    <row r="1645">
      <c r="A1645" s="37" t="inlineStr">
        <is>
          <t>WL-02644</t>
        </is>
      </c>
      <c r="B1645" s="37" t="inlineStr">
        <is>
          <t>Klein</t>
        </is>
      </c>
      <c r="C1645" s="37" t="inlineStr">
        <is>
          <t>Larry</t>
        </is>
      </c>
      <c r="D1645" s="37" t="inlineStr">
        <is>
          <t>ACTIVE_WAITLIST</t>
        </is>
      </c>
      <c r="E1645" s="37" t="n">
        <v>35.4</v>
      </c>
      <c r="F1645" s="37" t="n">
        <v>11.2</v>
      </c>
    </row>
    <row r="1646">
      <c r="A1646" s="37" t="inlineStr">
        <is>
          <t>WL-02645</t>
        </is>
      </c>
      <c r="B1646" s="37" t="inlineStr">
        <is>
          <t>Gonzalez</t>
        </is>
      </c>
      <c r="C1646" s="37" t="inlineStr">
        <is>
          <t>Rose</t>
        </is>
      </c>
      <c r="D1646" s="37" t="inlineStr">
        <is>
          <t>ACTIVE_WAITLIST</t>
        </is>
      </c>
      <c r="E1646" s="37" t="n">
        <v>57.1</v>
      </c>
      <c r="F1646" s="37" t="n">
        <v>18.5</v>
      </c>
    </row>
    <row r="1647">
      <c r="A1647" s="37" t="inlineStr">
        <is>
          <t>WL-02646</t>
        </is>
      </c>
      <c r="B1647" s="37" t="inlineStr">
        <is>
          <t>Meyer</t>
        </is>
      </c>
      <c r="C1647" s="37" t="inlineStr">
        <is>
          <t>Erik</t>
        </is>
      </c>
      <c r="D1647" s="37" t="inlineStr">
        <is>
          <t>RETAINER</t>
        </is>
      </c>
      <c r="E1647" s="37" t="n">
        <v>51.6</v>
      </c>
      <c r="F1647" s="37" t="n">
        <v>17.9</v>
      </c>
    </row>
    <row r="1648">
      <c r="A1648" s="37" t="inlineStr">
        <is>
          <t>WL-02647</t>
        </is>
      </c>
      <c r="B1648" s="37" t="inlineStr">
        <is>
          <t>Perez</t>
        </is>
      </c>
      <c r="C1648" s="37" t="inlineStr">
        <is>
          <t>Seth</t>
        </is>
      </c>
      <c r="D1648" s="37" t="inlineStr">
        <is>
          <t>ACTIVE_WAITLIST</t>
        </is>
      </c>
      <c r="E1648" s="37" t="n">
        <v>40.6</v>
      </c>
      <c r="F1648" s="37" t="n">
        <v>13.5</v>
      </c>
    </row>
    <row r="1649">
      <c r="A1649" s="37" t="inlineStr">
        <is>
          <t>WL-02648</t>
        </is>
      </c>
      <c r="B1649" s="37" t="inlineStr">
        <is>
          <t>Russell</t>
        </is>
      </c>
      <c r="C1649" s="37" t="inlineStr">
        <is>
          <t>William</t>
        </is>
      </c>
      <c r="D1649" s="37" t="inlineStr">
        <is>
          <t>ACTIVE_WAITLIST</t>
        </is>
      </c>
      <c r="E1649" s="37" t="n">
        <v>36.4</v>
      </c>
      <c r="F1649" s="37" t="n">
        <v>12</v>
      </c>
    </row>
    <row r="1650">
      <c r="A1650" s="37" t="inlineStr">
        <is>
          <t>WL-02649</t>
        </is>
      </c>
      <c r="B1650" s="37" t="inlineStr">
        <is>
          <t>Callahan</t>
        </is>
      </c>
      <c r="C1650" s="37" t="inlineStr">
        <is>
          <t>Nicholas</t>
        </is>
      </c>
      <c r="D1650" s="37" t="inlineStr">
        <is>
          <t>ACTIVE_WAITLIST</t>
        </is>
      </c>
      <c r="E1650" s="37" t="n">
        <v>29</v>
      </c>
      <c r="F1650" s="37" t="n">
        <v>9.300000000000001</v>
      </c>
    </row>
    <row r="1651">
      <c r="A1651" s="37" t="inlineStr">
        <is>
          <t>WL-02650</t>
        </is>
      </c>
      <c r="B1651" s="37" t="inlineStr">
        <is>
          <t>White</t>
        </is>
      </c>
      <c r="C1651" s="37" t="inlineStr">
        <is>
          <t>Alex</t>
        </is>
      </c>
      <c r="D1651" s="37" t="inlineStr">
        <is>
          <t>ACTIVE_WAITLIST</t>
        </is>
      </c>
      <c r="E1651" s="37" t="n">
        <v>46.5</v>
      </c>
      <c r="F1651" s="37" t="n">
        <v>14.1</v>
      </c>
    </row>
    <row r="1652">
      <c r="A1652" s="37" t="inlineStr">
        <is>
          <t>WL-02651</t>
        </is>
      </c>
      <c r="B1652" s="37" t="inlineStr">
        <is>
          <t>Phelps</t>
        </is>
      </c>
      <c r="C1652" s="37" t="inlineStr">
        <is>
          <t>Jeremy</t>
        </is>
      </c>
      <c r="D1652" s="37" t="inlineStr">
        <is>
          <t>ACTIVE_WAITLIST</t>
        </is>
      </c>
      <c r="E1652" s="37" t="n">
        <v>28.3</v>
      </c>
      <c r="F1652" s="37" t="n">
        <v>10</v>
      </c>
    </row>
    <row r="1653">
      <c r="A1653" s="37" t="inlineStr">
        <is>
          <t>WL-02652</t>
        </is>
      </c>
      <c r="B1653" s="37" t="inlineStr">
        <is>
          <t>Mcpherson</t>
        </is>
      </c>
      <c r="C1653" s="37" t="inlineStr">
        <is>
          <t>Pamela</t>
        </is>
      </c>
      <c r="D1653" s="37" t="inlineStr">
        <is>
          <t>EXPIRED</t>
        </is>
      </c>
      <c r="E1653" s="37" t="n">
        <v>45.2</v>
      </c>
      <c r="F1653" s="37" t="n">
        <v>13.5</v>
      </c>
    </row>
    <row r="1654">
      <c r="A1654" s="37" t="inlineStr">
        <is>
          <t>WL-02653</t>
        </is>
      </c>
      <c r="B1654" s="37" t="inlineStr">
        <is>
          <t>Jones</t>
        </is>
      </c>
      <c r="C1654" s="37" t="inlineStr">
        <is>
          <t>Christine</t>
        </is>
      </c>
      <c r="D1654" s="37" t="inlineStr">
        <is>
          <t>ACTIVE_WAITLIST</t>
        </is>
      </c>
      <c r="E1654" s="37" t="n">
        <v>34.4</v>
      </c>
      <c r="F1654" s="37" t="n">
        <v>11.3</v>
      </c>
    </row>
    <row r="1655">
      <c r="A1655" s="37" t="inlineStr">
        <is>
          <t>WL-02654</t>
        </is>
      </c>
      <c r="B1655" s="37" t="inlineStr">
        <is>
          <t>Evans</t>
        </is>
      </c>
      <c r="C1655" s="37" t="inlineStr">
        <is>
          <t>Christopher</t>
        </is>
      </c>
      <c r="D1655" s="37" t="inlineStr">
        <is>
          <t>ACTIVE_WAITLIST</t>
        </is>
      </c>
      <c r="E1655" s="37" t="n">
        <v>31.5</v>
      </c>
      <c r="F1655" s="37" t="n">
        <v>9.199999999999999</v>
      </c>
    </row>
    <row r="1656">
      <c r="A1656" s="37" t="inlineStr">
        <is>
          <t>WL-02655</t>
        </is>
      </c>
      <c r="B1656" s="37" t="inlineStr">
        <is>
          <t>Hale</t>
        </is>
      </c>
      <c r="C1656" s="37" t="inlineStr">
        <is>
          <t>Vanessa</t>
        </is>
      </c>
      <c r="D1656" s="37" t="inlineStr">
        <is>
          <t>ACTIVE_WAITLIST</t>
        </is>
      </c>
      <c r="E1656" s="37" t="n">
        <v>37.1</v>
      </c>
      <c r="F1656" s="37" t="n">
        <v>10.7</v>
      </c>
    </row>
    <row r="1657">
      <c r="A1657" s="37" t="inlineStr">
        <is>
          <t>WL-02656</t>
        </is>
      </c>
      <c r="B1657" s="37" t="inlineStr">
        <is>
          <t>Horton</t>
        </is>
      </c>
      <c r="C1657" s="37" t="inlineStr">
        <is>
          <t>David</t>
        </is>
      </c>
      <c r="D1657" s="37" t="inlineStr">
        <is>
          <t>ACTIVE_WAITLIST</t>
        </is>
      </c>
      <c r="E1657" s="37" t="n">
        <v>20.6</v>
      </c>
      <c r="F1657" s="37" t="n">
        <v>7.2</v>
      </c>
    </row>
    <row r="1658">
      <c r="A1658" s="37" t="inlineStr">
        <is>
          <t>WL-02657</t>
        </is>
      </c>
      <c r="B1658" s="37" t="inlineStr">
        <is>
          <t>Barr</t>
        </is>
      </c>
      <c r="C1658" s="37" t="inlineStr">
        <is>
          <t>Keith</t>
        </is>
      </c>
      <c r="D1658" s="37" t="inlineStr">
        <is>
          <t>ACTIVE_WAITLIST</t>
        </is>
      </c>
      <c r="E1658" s="37" t="n">
        <v>46.7</v>
      </c>
      <c r="F1658" s="37" t="n">
        <v>16.5</v>
      </c>
    </row>
    <row r="1659">
      <c r="A1659" s="37" t="inlineStr">
        <is>
          <t>WL-02658</t>
        </is>
      </c>
      <c r="B1659" s="37" t="inlineStr">
        <is>
          <t>Allen</t>
        </is>
      </c>
      <c r="C1659" s="37" t="inlineStr">
        <is>
          <t>Cynthia</t>
        </is>
      </c>
      <c r="D1659" s="37" t="inlineStr">
        <is>
          <t>ACTIVE_WAITLIST</t>
        </is>
      </c>
      <c r="E1659" s="37" t="n">
        <v>53.3</v>
      </c>
      <c r="F1659" s="37" t="n">
        <v>18.7</v>
      </c>
    </row>
    <row r="1660">
      <c r="A1660" s="37" t="inlineStr">
        <is>
          <t>WL-02659</t>
        </is>
      </c>
      <c r="B1660" s="37" t="inlineStr">
        <is>
          <t>Murillo</t>
        </is>
      </c>
      <c r="C1660" s="37" t="inlineStr">
        <is>
          <t>Loretta</t>
        </is>
      </c>
      <c r="D1660" s="37" t="inlineStr">
        <is>
          <t>ACTIVE_WAITLIST</t>
        </is>
      </c>
      <c r="E1660" s="37" t="n">
        <v>45.1</v>
      </c>
      <c r="F1660" s="37" t="n">
        <v>13.2</v>
      </c>
    </row>
    <row r="1661">
      <c r="A1661" s="37" t="inlineStr">
        <is>
          <t>WL-02660</t>
        </is>
      </c>
      <c r="B1661" s="37" t="inlineStr">
        <is>
          <t>Moore</t>
        </is>
      </c>
      <c r="C1661" s="37" t="inlineStr">
        <is>
          <t>Bridget</t>
        </is>
      </c>
      <c r="D1661" s="37" t="inlineStr">
        <is>
          <t>ACTIVE_WAITLIST</t>
        </is>
      </c>
      <c r="E1661" s="37" t="n">
        <v>18.7</v>
      </c>
      <c r="F1661" s="37" t="n">
        <v>5.3</v>
      </c>
    </row>
    <row r="1662">
      <c r="A1662" s="37" t="inlineStr">
        <is>
          <t>WL-02661</t>
        </is>
      </c>
      <c r="B1662" s="37" t="inlineStr">
        <is>
          <t>Poole</t>
        </is>
      </c>
      <c r="C1662" s="37" t="inlineStr">
        <is>
          <t>Angela</t>
        </is>
      </c>
      <c r="D1662" s="37" t="inlineStr">
        <is>
          <t>ACTIVE_WAITLIST</t>
        </is>
      </c>
      <c r="E1662" s="37" t="n">
        <v>24.3</v>
      </c>
      <c r="F1662" s="37" t="n">
        <v>7.3</v>
      </c>
    </row>
    <row r="1663">
      <c r="A1663" s="37" t="inlineStr">
        <is>
          <t>WL-02662</t>
        </is>
      </c>
      <c r="B1663" s="37" t="inlineStr">
        <is>
          <t>Livingston</t>
        </is>
      </c>
      <c r="C1663" s="37" t="inlineStr">
        <is>
          <t>Katherine</t>
        </is>
      </c>
      <c r="D1663" s="37" t="inlineStr">
        <is>
          <t>ACTIVE_WAITLIST</t>
        </is>
      </c>
      <c r="E1663" s="37" t="n">
        <v>52</v>
      </c>
      <c r="F1663" s="37" t="n">
        <v>16.2</v>
      </c>
    </row>
    <row r="1664">
      <c r="A1664" s="37" t="inlineStr">
        <is>
          <t>WL-02663</t>
        </is>
      </c>
      <c r="B1664" s="37" t="inlineStr">
        <is>
          <t>Thompson</t>
        </is>
      </c>
      <c r="C1664" s="37" t="inlineStr">
        <is>
          <t>Susan</t>
        </is>
      </c>
      <c r="D1664" s="37" t="inlineStr">
        <is>
          <t>SUSPENDED</t>
        </is>
      </c>
      <c r="E1664" s="37" t="n">
        <v>43.8</v>
      </c>
      <c r="F1664" s="37" t="n">
        <v>14.8</v>
      </c>
    </row>
    <row r="1665">
      <c r="A1665" s="37" t="inlineStr">
        <is>
          <t>WL-02664</t>
        </is>
      </c>
      <c r="B1665" s="37" t="inlineStr">
        <is>
          <t>Smith</t>
        </is>
      </c>
      <c r="C1665" s="37" t="inlineStr">
        <is>
          <t>Mark</t>
        </is>
      </c>
      <c r="D1665" s="37" t="inlineStr">
        <is>
          <t>ACTIVE_WAITLIST</t>
        </is>
      </c>
      <c r="E1665" s="37" t="n">
        <v>54.5</v>
      </c>
      <c r="F1665" s="37" t="n">
        <v>17.3</v>
      </c>
    </row>
    <row r="1666">
      <c r="A1666" s="37" t="inlineStr">
        <is>
          <t>WL-02665</t>
        </is>
      </c>
      <c r="B1666" s="37" t="inlineStr">
        <is>
          <t>Kaiser</t>
        </is>
      </c>
      <c r="C1666" s="37" t="inlineStr">
        <is>
          <t>Ashley</t>
        </is>
      </c>
      <c r="D1666" s="37" t="inlineStr">
        <is>
          <t>ACTIVE_WAITLIST</t>
        </is>
      </c>
      <c r="E1666" s="37" t="n">
        <v>31.1</v>
      </c>
      <c r="F1666" s="37" t="n">
        <v>9</v>
      </c>
    </row>
    <row r="1667">
      <c r="A1667" s="37" t="inlineStr">
        <is>
          <t>WL-02666</t>
        </is>
      </c>
      <c r="B1667" s="37" t="inlineStr">
        <is>
          <t>Liu</t>
        </is>
      </c>
      <c r="C1667" s="37" t="inlineStr">
        <is>
          <t>Amber</t>
        </is>
      </c>
      <c r="D1667" s="37" t="inlineStr">
        <is>
          <t>ACTIVE_WAITLIST</t>
        </is>
      </c>
      <c r="E1667" s="37" t="n">
        <v>40.3</v>
      </c>
      <c r="F1667" s="37" t="n">
        <v>12.8</v>
      </c>
    </row>
    <row r="1668">
      <c r="A1668" s="37" t="inlineStr">
        <is>
          <t>WL-02667</t>
        </is>
      </c>
      <c r="B1668" s="37" t="inlineStr">
        <is>
          <t>Thomas</t>
        </is>
      </c>
      <c r="C1668" s="37" t="inlineStr">
        <is>
          <t>Stephanie</t>
        </is>
      </c>
      <c r="D1668" s="37" t="inlineStr">
        <is>
          <t>ACTIVE_WAITLIST</t>
        </is>
      </c>
      <c r="E1668" s="37" t="n">
        <v>57.3</v>
      </c>
      <c r="F1668" s="37" t="n">
        <v>19.9</v>
      </c>
    </row>
    <row r="1669">
      <c r="A1669" s="37" t="inlineStr">
        <is>
          <t>WL-02668</t>
        </is>
      </c>
      <c r="B1669" s="37" t="inlineStr">
        <is>
          <t>Williams</t>
        </is>
      </c>
      <c r="C1669" s="37" t="inlineStr">
        <is>
          <t>Tracey</t>
        </is>
      </c>
      <c r="D1669" s="37" t="inlineStr">
        <is>
          <t>EXPIRED</t>
        </is>
      </c>
      <c r="E1669" s="37" t="n">
        <v>58.2</v>
      </c>
      <c r="F1669" s="37" t="n">
        <v>16.3</v>
      </c>
    </row>
    <row r="1670">
      <c r="A1670" s="37" t="inlineStr">
        <is>
          <t>WL-02669</t>
        </is>
      </c>
      <c r="B1670" s="37" t="inlineStr">
        <is>
          <t>Charles</t>
        </is>
      </c>
      <c r="C1670" s="37" t="inlineStr">
        <is>
          <t>Ashley</t>
        </is>
      </c>
      <c r="D1670" s="37" t="inlineStr">
        <is>
          <t>ACTIVE_WAITLIST</t>
        </is>
      </c>
      <c r="E1670" s="37" t="n">
        <v>39.4</v>
      </c>
      <c r="F1670" s="37" t="n">
        <v>13.4</v>
      </c>
    </row>
    <row r="1671">
      <c r="A1671" s="37" t="inlineStr">
        <is>
          <t>WL-02670</t>
        </is>
      </c>
      <c r="B1671" s="37" t="inlineStr">
        <is>
          <t>Hamilton</t>
        </is>
      </c>
      <c r="C1671" s="37" t="inlineStr">
        <is>
          <t>Sara</t>
        </is>
      </c>
      <c r="D1671" s="37" t="inlineStr">
        <is>
          <t>ACTIVE_WAITLIST</t>
        </is>
      </c>
      <c r="E1671" s="37" t="n">
        <v>35.6</v>
      </c>
      <c r="F1671" s="37" t="n">
        <v>11.9</v>
      </c>
    </row>
    <row r="1672">
      <c r="A1672" s="37" t="inlineStr">
        <is>
          <t>WL-02671</t>
        </is>
      </c>
      <c r="B1672" s="37" t="inlineStr">
        <is>
          <t>Stephens</t>
        </is>
      </c>
      <c r="C1672" s="37" t="inlineStr">
        <is>
          <t>Monica</t>
        </is>
      </c>
      <c r="D1672" s="37" t="inlineStr">
        <is>
          <t>ACTIVE_WAITLIST</t>
        </is>
      </c>
      <c r="E1672" s="37" t="n">
        <v>55.5</v>
      </c>
      <c r="F1672" s="37" t="n">
        <v>16.3</v>
      </c>
    </row>
    <row r="1673">
      <c r="A1673" s="37" t="inlineStr">
        <is>
          <t>WL-02672</t>
        </is>
      </c>
      <c r="B1673" s="37" t="inlineStr">
        <is>
          <t>Barnes</t>
        </is>
      </c>
      <c r="C1673" s="37" t="inlineStr">
        <is>
          <t>Russell</t>
        </is>
      </c>
      <c r="D1673" s="37" t="inlineStr">
        <is>
          <t>ACTIVE_WAITLIST</t>
        </is>
      </c>
      <c r="E1673" s="37" t="n">
        <v>21</v>
      </c>
      <c r="F1673" s="37" t="n">
        <v>7.2</v>
      </c>
    </row>
    <row r="1674">
      <c r="A1674" s="37" t="inlineStr">
        <is>
          <t>WL-02673</t>
        </is>
      </c>
      <c r="B1674" s="37" t="inlineStr">
        <is>
          <t>Watson</t>
        </is>
      </c>
      <c r="C1674" s="37" t="inlineStr">
        <is>
          <t>Rodney</t>
        </is>
      </c>
      <c r="D1674" s="37" t="inlineStr">
        <is>
          <t>ACTIVE_WAITLIST</t>
        </is>
      </c>
      <c r="E1674" s="37" t="n">
        <v>30.4</v>
      </c>
      <c r="F1674" s="37" t="n">
        <v>10.3</v>
      </c>
    </row>
    <row r="1675">
      <c r="A1675" s="37" t="inlineStr">
        <is>
          <t>WL-02674</t>
        </is>
      </c>
      <c r="B1675" s="37" t="inlineStr">
        <is>
          <t>Campbell</t>
        </is>
      </c>
      <c r="C1675" s="37" t="inlineStr">
        <is>
          <t>Jennifer</t>
        </is>
      </c>
      <c r="D1675" s="37" t="inlineStr">
        <is>
          <t>ACTIVE_WAITLIST</t>
        </is>
      </c>
      <c r="E1675" s="37" t="n">
        <v>30.4</v>
      </c>
      <c r="F1675" s="37" t="n">
        <v>10.8</v>
      </c>
    </row>
    <row r="1676">
      <c r="A1676" s="37" t="inlineStr">
        <is>
          <t>WL-02675</t>
        </is>
      </c>
      <c r="B1676" s="37" t="inlineStr">
        <is>
          <t>Lopez</t>
        </is>
      </c>
      <c r="C1676" s="37" t="inlineStr">
        <is>
          <t>Christopher</t>
        </is>
      </c>
      <c r="D1676" s="37" t="inlineStr">
        <is>
          <t>ACTIVE_WAITLIST</t>
        </is>
      </c>
      <c r="E1676" s="37" t="n">
        <v>24.8</v>
      </c>
      <c r="F1676" s="37" t="n">
        <v>8.9</v>
      </c>
    </row>
    <row r="1677">
      <c r="A1677" s="37" t="inlineStr">
        <is>
          <t>WL-02676</t>
        </is>
      </c>
      <c r="B1677" s="37" t="inlineStr">
        <is>
          <t>Walker</t>
        </is>
      </c>
      <c r="C1677" s="37" t="inlineStr">
        <is>
          <t>Janice</t>
        </is>
      </c>
      <c r="D1677" s="37" t="inlineStr">
        <is>
          <t>ACTIVE_WAITLIST</t>
        </is>
      </c>
      <c r="E1677" s="37" t="n">
        <v>34.1</v>
      </c>
      <c r="F1677" s="37" t="n">
        <v>11.2</v>
      </c>
    </row>
    <row r="1678">
      <c r="A1678" s="37" t="inlineStr">
        <is>
          <t>WL-02677</t>
        </is>
      </c>
      <c r="B1678" s="37" t="inlineStr">
        <is>
          <t>Cabrera</t>
        </is>
      </c>
      <c r="C1678" s="37" t="inlineStr">
        <is>
          <t>Brandon</t>
        </is>
      </c>
      <c r="D1678" s="37" t="inlineStr">
        <is>
          <t>ACTIVE_WAITLIST</t>
        </is>
      </c>
      <c r="E1678" s="37" t="n">
        <v>27.2</v>
      </c>
      <c r="F1678" s="37" t="n">
        <v>7.8</v>
      </c>
    </row>
    <row r="1679">
      <c r="A1679" s="37" t="inlineStr">
        <is>
          <t>WL-02678</t>
        </is>
      </c>
      <c r="B1679" s="37" t="inlineStr">
        <is>
          <t>Hall</t>
        </is>
      </c>
      <c r="C1679" s="37" t="inlineStr">
        <is>
          <t>Heather</t>
        </is>
      </c>
      <c r="D1679" s="37" t="inlineStr">
        <is>
          <t>ACTIVE_WAITLIST</t>
        </is>
      </c>
      <c r="E1679" s="37" t="n">
        <v>26.8</v>
      </c>
      <c r="F1679" s="37" t="n">
        <v>9.6</v>
      </c>
    </row>
    <row r="1680">
      <c r="A1680" s="37" t="inlineStr">
        <is>
          <t>WL-02679</t>
        </is>
      </c>
      <c r="B1680" s="37" t="inlineStr">
        <is>
          <t>Johnson</t>
        </is>
      </c>
      <c r="C1680" s="37" t="inlineStr">
        <is>
          <t>Richard</t>
        </is>
      </c>
      <c r="D1680" s="37" t="inlineStr">
        <is>
          <t>ACTIVE_WAITLIST</t>
        </is>
      </c>
      <c r="E1680" s="37" t="n">
        <v>20.7</v>
      </c>
      <c r="F1680" s="37" t="n">
        <v>7.3</v>
      </c>
    </row>
    <row r="1681">
      <c r="A1681" s="37" t="inlineStr">
        <is>
          <t>WL-02680</t>
        </is>
      </c>
      <c r="B1681" s="37" t="inlineStr">
        <is>
          <t>Rivera</t>
        </is>
      </c>
      <c r="C1681" s="37" t="inlineStr">
        <is>
          <t>Melanie</t>
        </is>
      </c>
      <c r="D1681" s="37" t="inlineStr">
        <is>
          <t>ACTIVE_WAITLIST</t>
        </is>
      </c>
      <c r="E1681" s="37" t="n">
        <v>34.4</v>
      </c>
      <c r="F1681" s="37" t="n">
        <v>10.4</v>
      </c>
    </row>
    <row r="1682">
      <c r="A1682" s="37" t="inlineStr">
        <is>
          <t>WL-02681</t>
        </is>
      </c>
      <c r="B1682" s="37" t="inlineStr">
        <is>
          <t>Webster</t>
        </is>
      </c>
      <c r="C1682" s="37" t="inlineStr">
        <is>
          <t>Janice</t>
        </is>
      </c>
      <c r="D1682" s="37" t="inlineStr">
        <is>
          <t>ACTIVE_WAITLIST</t>
        </is>
      </c>
      <c r="E1682" s="37" t="n">
        <v>28.1</v>
      </c>
      <c r="F1682" s="37" t="n">
        <v>9.6</v>
      </c>
    </row>
    <row r="1683">
      <c r="A1683" s="37" t="inlineStr">
        <is>
          <t>WL-02682</t>
        </is>
      </c>
      <c r="B1683" s="37" t="inlineStr">
        <is>
          <t>Gomez</t>
        </is>
      </c>
      <c r="C1683" s="37" t="inlineStr">
        <is>
          <t>Erica</t>
        </is>
      </c>
      <c r="D1683" s="37" t="inlineStr">
        <is>
          <t>ACTIVE_WAITLIST</t>
        </is>
      </c>
      <c r="E1683" s="37" t="n">
        <v>24.9</v>
      </c>
      <c r="F1683" s="37" t="n">
        <v>7.9</v>
      </c>
    </row>
    <row r="1684">
      <c r="A1684" s="37" t="inlineStr">
        <is>
          <t>WL-02683</t>
        </is>
      </c>
      <c r="B1684" s="37" t="inlineStr">
        <is>
          <t>Ramsey</t>
        </is>
      </c>
      <c r="C1684" s="37" t="inlineStr">
        <is>
          <t>Joseph</t>
        </is>
      </c>
      <c r="D1684" s="37" t="inlineStr">
        <is>
          <t>ACTIVE_WAITLIST</t>
        </is>
      </c>
      <c r="E1684" s="37" t="n">
        <v>52.3</v>
      </c>
      <c r="F1684" s="37" t="n">
        <v>17.7</v>
      </c>
    </row>
    <row r="1685">
      <c r="A1685" s="37" t="inlineStr">
        <is>
          <t>WL-02684</t>
        </is>
      </c>
      <c r="B1685" s="37" t="inlineStr">
        <is>
          <t>Collins</t>
        </is>
      </c>
      <c r="C1685" s="37" t="inlineStr">
        <is>
          <t>Kristen</t>
        </is>
      </c>
      <c r="D1685" s="37" t="inlineStr">
        <is>
          <t>ACTIVE_WAITLIST</t>
        </is>
      </c>
      <c r="E1685" s="37" t="n">
        <v>21.1</v>
      </c>
      <c r="F1685" s="37" t="n">
        <v>7.6</v>
      </c>
    </row>
    <row r="1686">
      <c r="A1686" s="37" t="inlineStr">
        <is>
          <t>WL-02685</t>
        </is>
      </c>
      <c r="B1686" s="37" t="inlineStr">
        <is>
          <t>Hill</t>
        </is>
      </c>
      <c r="C1686" s="37" t="inlineStr">
        <is>
          <t>Stephanie</t>
        </is>
      </c>
      <c r="D1686" s="37" t="inlineStr">
        <is>
          <t>ACTIVE_WAITLIST</t>
        </is>
      </c>
      <c r="E1686" s="37" t="n">
        <v>50.2</v>
      </c>
      <c r="F1686" s="37" t="n">
        <v>18</v>
      </c>
    </row>
    <row r="1687">
      <c r="A1687" s="37" t="inlineStr">
        <is>
          <t>WL-02686</t>
        </is>
      </c>
      <c r="B1687" s="37" t="inlineStr">
        <is>
          <t>Forbes</t>
        </is>
      </c>
      <c r="C1687" s="37" t="inlineStr">
        <is>
          <t>David</t>
        </is>
      </c>
      <c r="D1687" s="37" t="inlineStr">
        <is>
          <t>ACTIVE_WAITLIST</t>
        </is>
      </c>
      <c r="E1687" s="37" t="n">
        <v>25.2</v>
      </c>
      <c r="F1687" s="37" t="n">
        <v>8.6</v>
      </c>
    </row>
    <row r="1688">
      <c r="A1688" s="37" t="inlineStr">
        <is>
          <t>WL-02687</t>
        </is>
      </c>
      <c r="B1688" s="37" t="inlineStr">
        <is>
          <t>Rodriguez</t>
        </is>
      </c>
      <c r="C1688" s="37" t="inlineStr">
        <is>
          <t>Jennifer</t>
        </is>
      </c>
      <c r="D1688" s="37" t="inlineStr">
        <is>
          <t>ACTIVE_WAITLIST</t>
        </is>
      </c>
      <c r="E1688" s="37" t="n">
        <v>57.9</v>
      </c>
      <c r="F1688" s="37" t="n">
        <v>18.7</v>
      </c>
    </row>
    <row r="1689">
      <c r="A1689" s="37" t="inlineStr">
        <is>
          <t>WL-02688</t>
        </is>
      </c>
      <c r="B1689" s="37" t="inlineStr">
        <is>
          <t>Cohen</t>
        </is>
      </c>
      <c r="C1689" s="37" t="inlineStr">
        <is>
          <t>Joseph</t>
        </is>
      </c>
      <c r="D1689" s="37" t="inlineStr">
        <is>
          <t>ACTIVE_WAITLIST</t>
        </is>
      </c>
      <c r="E1689" s="37" t="n">
        <v>48.1</v>
      </c>
      <c r="F1689" s="37" t="n">
        <v>16.5</v>
      </c>
    </row>
    <row r="1690">
      <c r="A1690" s="37" t="inlineStr">
        <is>
          <t>WL-02689</t>
        </is>
      </c>
      <c r="B1690" s="37" t="inlineStr">
        <is>
          <t>Silva</t>
        </is>
      </c>
      <c r="C1690" s="37" t="inlineStr">
        <is>
          <t>Julie</t>
        </is>
      </c>
      <c r="D1690" s="37" t="inlineStr">
        <is>
          <t>ACTIVE_WAITLIST</t>
        </is>
      </c>
      <c r="E1690" s="37" t="n">
        <v>60.9</v>
      </c>
      <c r="F1690" s="37" t="n">
        <v>19.1</v>
      </c>
    </row>
    <row r="1691">
      <c r="A1691" s="37" t="inlineStr">
        <is>
          <t>WL-02690</t>
        </is>
      </c>
      <c r="B1691" s="37" t="inlineStr">
        <is>
          <t>Nicholson</t>
        </is>
      </c>
      <c r="C1691" s="37" t="inlineStr">
        <is>
          <t>Gregory</t>
        </is>
      </c>
      <c r="D1691" s="37" t="inlineStr">
        <is>
          <t>ACTIVE_WAITLIST</t>
        </is>
      </c>
      <c r="E1691" s="37" t="n">
        <v>25.9</v>
      </c>
      <c r="F1691" s="37" t="n">
        <v>7.3</v>
      </c>
    </row>
    <row r="1692">
      <c r="A1692" s="37" t="inlineStr">
        <is>
          <t>WL-02691</t>
        </is>
      </c>
      <c r="B1692" s="37" t="inlineStr">
        <is>
          <t>Le</t>
        </is>
      </c>
      <c r="C1692" s="37" t="inlineStr">
        <is>
          <t>Pamela</t>
        </is>
      </c>
      <c r="D1692" s="37" t="inlineStr">
        <is>
          <t>ACTIVE_WAITLIST</t>
        </is>
      </c>
      <c r="E1692" s="37" t="n">
        <v>29.2</v>
      </c>
      <c r="F1692" s="37" t="n">
        <v>9.800000000000001</v>
      </c>
    </row>
    <row r="1693">
      <c r="A1693" s="37" t="inlineStr">
        <is>
          <t>WL-02692</t>
        </is>
      </c>
      <c r="B1693" s="37" t="inlineStr">
        <is>
          <t>Vasquez</t>
        </is>
      </c>
      <c r="C1693" s="37" t="inlineStr">
        <is>
          <t>Benjamin</t>
        </is>
      </c>
      <c r="D1693" s="37" t="inlineStr">
        <is>
          <t>ACTIVE_WAITLIST</t>
        </is>
      </c>
      <c r="E1693" s="37" t="n">
        <v>50.2</v>
      </c>
      <c r="F1693" s="37" t="n">
        <v>14.8</v>
      </c>
    </row>
    <row r="1694">
      <c r="A1694" s="37" t="inlineStr">
        <is>
          <t>WL-02693</t>
        </is>
      </c>
      <c r="B1694" s="37" t="inlineStr">
        <is>
          <t>Allen</t>
        </is>
      </c>
      <c r="C1694" s="37" t="inlineStr">
        <is>
          <t>Patrick</t>
        </is>
      </c>
      <c r="D1694" s="37" t="inlineStr">
        <is>
          <t>ACTIVE_WAITLIST</t>
        </is>
      </c>
      <c r="E1694" s="37" t="n">
        <v>45.7</v>
      </c>
      <c r="F1694" s="37" t="n">
        <v>15.4</v>
      </c>
    </row>
    <row r="1695">
      <c r="A1695" s="37" t="inlineStr">
        <is>
          <t>WL-02694</t>
        </is>
      </c>
      <c r="B1695" s="37" t="inlineStr">
        <is>
          <t>Meyers</t>
        </is>
      </c>
      <c r="C1695" s="37" t="inlineStr">
        <is>
          <t>Jacob</t>
        </is>
      </c>
      <c r="D1695" s="37" t="inlineStr">
        <is>
          <t>ACTIVE_WAITLIST</t>
        </is>
      </c>
      <c r="E1695" s="37" t="n">
        <v>53.8</v>
      </c>
      <c r="F1695" s="37" t="n">
        <v>19.1</v>
      </c>
    </row>
    <row r="1696">
      <c r="A1696" s="37" t="inlineStr">
        <is>
          <t>WL-02695</t>
        </is>
      </c>
      <c r="B1696" s="37" t="inlineStr">
        <is>
          <t>Hamilton</t>
        </is>
      </c>
      <c r="C1696" s="37" t="inlineStr">
        <is>
          <t>Anthony</t>
        </is>
      </c>
      <c r="D1696" s="37" t="inlineStr">
        <is>
          <t>ACTIVE_WAITLIST</t>
        </is>
      </c>
      <c r="E1696" s="37" t="n">
        <v>24.6</v>
      </c>
      <c r="F1696" s="37" t="n">
        <v>8.300000000000001</v>
      </c>
    </row>
    <row r="1697">
      <c r="A1697" s="37" t="inlineStr">
        <is>
          <t>WL-02696</t>
        </is>
      </c>
      <c r="B1697" s="37" t="inlineStr">
        <is>
          <t>Galloway</t>
        </is>
      </c>
      <c r="C1697" s="37" t="inlineStr">
        <is>
          <t>Hunter</t>
        </is>
      </c>
      <c r="D1697" s="37" t="inlineStr">
        <is>
          <t>ACTIVE_WAITLIST</t>
        </is>
      </c>
      <c r="E1697" s="37" t="n">
        <v>26.9</v>
      </c>
      <c r="F1697" s="37" t="n">
        <v>7.8</v>
      </c>
    </row>
    <row r="1698">
      <c r="A1698" s="37" t="inlineStr">
        <is>
          <t>WL-02697</t>
        </is>
      </c>
      <c r="B1698" s="37" t="inlineStr">
        <is>
          <t>Green</t>
        </is>
      </c>
      <c r="C1698" s="37" t="inlineStr">
        <is>
          <t>Wendy</t>
        </is>
      </c>
      <c r="D1698" s="37" t="inlineStr">
        <is>
          <t>ACTIVE_WAITLIST</t>
        </is>
      </c>
      <c r="E1698" s="37" t="n">
        <v>56.8</v>
      </c>
      <c r="F1698" s="37" t="n">
        <v>17.1</v>
      </c>
    </row>
    <row r="1699">
      <c r="A1699" s="37" t="inlineStr">
        <is>
          <t>WL-02698</t>
        </is>
      </c>
      <c r="B1699" s="37" t="inlineStr">
        <is>
          <t>Mckenzie</t>
        </is>
      </c>
      <c r="C1699" s="37" t="inlineStr">
        <is>
          <t>Laura</t>
        </is>
      </c>
      <c r="D1699" s="37" t="inlineStr">
        <is>
          <t>ACTIVE_WAITLIST</t>
        </is>
      </c>
      <c r="E1699" s="37" t="n">
        <v>18.6</v>
      </c>
      <c r="F1699" s="37" t="n">
        <v>6.4</v>
      </c>
    </row>
    <row r="1700">
      <c r="A1700" s="37" t="inlineStr">
        <is>
          <t>WL-02699</t>
        </is>
      </c>
      <c r="B1700" s="37" t="inlineStr">
        <is>
          <t>Gonzales</t>
        </is>
      </c>
      <c r="C1700" s="37" t="inlineStr">
        <is>
          <t>Sharon</t>
        </is>
      </c>
      <c r="D1700" s="37" t="inlineStr">
        <is>
          <t>ACTIVE_WAITLIST</t>
        </is>
      </c>
      <c r="E1700" s="37" t="n">
        <v>49.6</v>
      </c>
      <c r="F1700" s="37" t="n">
        <v>16.1</v>
      </c>
    </row>
    <row r="1701">
      <c r="A1701" s="37" t="inlineStr">
        <is>
          <t>WL-02700</t>
        </is>
      </c>
      <c r="B1701" s="37" t="inlineStr">
        <is>
          <t>Perkins</t>
        </is>
      </c>
      <c r="C1701" s="37" t="inlineStr">
        <is>
          <t>Amanda</t>
        </is>
      </c>
      <c r="D1701" s="37" t="inlineStr">
        <is>
          <t>ACTIVE_WAITLIST</t>
        </is>
      </c>
      <c r="E1701" s="37" t="n">
        <v>19.9</v>
      </c>
      <c r="F1701" s="37" t="n">
        <v>7.1</v>
      </c>
    </row>
    <row r="1702">
      <c r="A1702" s="37" t="inlineStr">
        <is>
          <t>WL-02701</t>
        </is>
      </c>
      <c r="B1702" s="37" t="inlineStr">
        <is>
          <t>Larson</t>
        </is>
      </c>
      <c r="C1702" s="37" t="inlineStr">
        <is>
          <t>Julian</t>
        </is>
      </c>
      <c r="D1702" s="37" t="inlineStr">
        <is>
          <t>ACTIVE_WAITLIST</t>
        </is>
      </c>
      <c r="E1702" s="37" t="n">
        <v>26.8</v>
      </c>
      <c r="F1702" s="37" t="n">
        <v>8.6</v>
      </c>
    </row>
    <row r="1703">
      <c r="A1703" s="37" t="inlineStr">
        <is>
          <t>WL-02702</t>
        </is>
      </c>
      <c r="B1703" s="37" t="inlineStr">
        <is>
          <t>Schneider</t>
        </is>
      </c>
      <c r="C1703" s="37" t="inlineStr">
        <is>
          <t>Eric</t>
        </is>
      </c>
      <c r="D1703" s="37" t="inlineStr">
        <is>
          <t>ACTIVE_WAITLIST</t>
        </is>
      </c>
      <c r="E1703" s="37" t="n">
        <v>21.8</v>
      </c>
      <c r="F1703" s="37" t="n">
        <v>7.3</v>
      </c>
    </row>
    <row r="1704">
      <c r="A1704" s="37" t="inlineStr">
        <is>
          <t>WL-02703</t>
        </is>
      </c>
      <c r="B1704" s="37" t="inlineStr">
        <is>
          <t>Armstrong</t>
        </is>
      </c>
      <c r="C1704" s="37" t="inlineStr">
        <is>
          <t>Anthony</t>
        </is>
      </c>
      <c r="D1704" s="37" t="inlineStr">
        <is>
          <t>ACTIVE_WAITLIST</t>
        </is>
      </c>
      <c r="E1704" s="37" t="n">
        <v>36.7</v>
      </c>
      <c r="F1704" s="37" t="n">
        <v>10.7</v>
      </c>
    </row>
    <row r="1705">
      <c r="A1705" s="37" t="inlineStr">
        <is>
          <t>WL-02704</t>
        </is>
      </c>
      <c r="B1705" s="37" t="inlineStr">
        <is>
          <t>Lucas</t>
        </is>
      </c>
      <c r="C1705" s="37" t="inlineStr">
        <is>
          <t>Ruth</t>
        </is>
      </c>
      <c r="D1705" s="37" t="inlineStr">
        <is>
          <t>ACTIVE_WAITLIST</t>
        </is>
      </c>
      <c r="E1705" s="37" t="n">
        <v>27.3</v>
      </c>
      <c r="F1705" s="37" t="n">
        <v>8.4</v>
      </c>
    </row>
    <row r="1706">
      <c r="A1706" s="37" t="inlineStr">
        <is>
          <t>WL-02705</t>
        </is>
      </c>
      <c r="B1706" s="37" t="inlineStr">
        <is>
          <t>Smith</t>
        </is>
      </c>
      <c r="C1706" s="37" t="inlineStr">
        <is>
          <t>Amy</t>
        </is>
      </c>
      <c r="D1706" s="37" t="inlineStr">
        <is>
          <t>ACTIVE_WAITLIST</t>
        </is>
      </c>
      <c r="E1706" s="37" t="n">
        <v>59.4</v>
      </c>
      <c r="F1706" s="37" t="n">
        <v>20.7</v>
      </c>
    </row>
    <row r="1707">
      <c r="A1707" s="37" t="inlineStr">
        <is>
          <t>WL-02706</t>
        </is>
      </c>
      <c r="B1707" s="37" t="inlineStr">
        <is>
          <t>Fisher</t>
        </is>
      </c>
      <c r="C1707" s="37" t="inlineStr">
        <is>
          <t>Allison</t>
        </is>
      </c>
      <c r="D1707" s="37" t="inlineStr">
        <is>
          <t>SUSPENDED</t>
        </is>
      </c>
      <c r="E1707" s="37" t="n">
        <v>47.7</v>
      </c>
      <c r="F1707" s="37" t="n">
        <v>16.2</v>
      </c>
    </row>
    <row r="1708">
      <c r="A1708" s="37" t="inlineStr">
        <is>
          <t>WL-02707</t>
        </is>
      </c>
      <c r="B1708" s="37" t="inlineStr">
        <is>
          <t>Anderson</t>
        </is>
      </c>
      <c r="C1708" s="37" t="inlineStr">
        <is>
          <t>Ronnie</t>
        </is>
      </c>
      <c r="D1708" s="37" t="inlineStr">
        <is>
          <t>ACTIVE_WAITLIST</t>
        </is>
      </c>
      <c r="E1708" s="37" t="n">
        <v>33</v>
      </c>
      <c r="F1708" s="37" t="n">
        <v>11.5</v>
      </c>
    </row>
    <row r="1709">
      <c r="A1709" s="37" t="inlineStr">
        <is>
          <t>WL-02708</t>
        </is>
      </c>
      <c r="B1709" s="37" t="inlineStr">
        <is>
          <t>Boyd</t>
        </is>
      </c>
      <c r="C1709" s="37" t="inlineStr">
        <is>
          <t>Denise</t>
        </is>
      </c>
      <c r="D1709" s="37" t="inlineStr">
        <is>
          <t>ACTIVE_WAITLIST</t>
        </is>
      </c>
      <c r="E1709" s="37" t="n">
        <v>51.6</v>
      </c>
      <c r="F1709" s="37" t="n">
        <v>15</v>
      </c>
    </row>
    <row r="1710">
      <c r="A1710" s="37" t="inlineStr">
        <is>
          <t>WL-02709</t>
        </is>
      </c>
      <c r="B1710" s="37" t="inlineStr">
        <is>
          <t>Young</t>
        </is>
      </c>
      <c r="C1710" s="37" t="inlineStr">
        <is>
          <t>Christopher</t>
        </is>
      </c>
      <c r="D1710" s="37" t="inlineStr">
        <is>
          <t>ACTIVE_WAITLIST</t>
        </is>
      </c>
      <c r="E1710" s="37" t="n">
        <v>57.6</v>
      </c>
      <c r="F1710" s="37" t="n">
        <v>19.9</v>
      </c>
    </row>
    <row r="1711">
      <c r="A1711" s="37" t="inlineStr">
        <is>
          <t>WL-02710</t>
        </is>
      </c>
      <c r="B1711" s="37" t="inlineStr">
        <is>
          <t>Greene</t>
        </is>
      </c>
      <c r="C1711" s="37" t="inlineStr">
        <is>
          <t>Brittany</t>
        </is>
      </c>
      <c r="D1711" s="37" t="inlineStr">
        <is>
          <t>RETAINER</t>
        </is>
      </c>
      <c r="E1711" s="37" t="n">
        <v>61.4</v>
      </c>
      <c r="F1711" s="37" t="n">
        <v>20.6</v>
      </c>
    </row>
    <row r="1712">
      <c r="A1712" s="37" t="inlineStr">
        <is>
          <t>WL-02711</t>
        </is>
      </c>
      <c r="B1712" s="37" t="inlineStr">
        <is>
          <t>Baker</t>
        </is>
      </c>
      <c r="C1712" s="37" t="inlineStr">
        <is>
          <t>David</t>
        </is>
      </c>
      <c r="D1712" s="37" t="inlineStr">
        <is>
          <t>ACTIVE_WAITLIST</t>
        </is>
      </c>
      <c r="E1712" s="37" t="n">
        <v>55.4</v>
      </c>
      <c r="F1712" s="37" t="n">
        <v>18.1</v>
      </c>
    </row>
    <row r="1713">
      <c r="A1713" s="37" t="inlineStr">
        <is>
          <t>WL-02712</t>
        </is>
      </c>
      <c r="B1713" s="37" t="inlineStr">
        <is>
          <t>Garcia</t>
        </is>
      </c>
      <c r="C1713" s="37" t="inlineStr">
        <is>
          <t>Sarah</t>
        </is>
      </c>
      <c r="D1713" s="37" t="inlineStr">
        <is>
          <t>ACTIVE_WAITLIST</t>
        </is>
      </c>
      <c r="E1713" s="37" t="n">
        <v>41.4</v>
      </c>
      <c r="F1713" s="37" t="n">
        <v>13.4</v>
      </c>
    </row>
    <row r="1714">
      <c r="A1714" s="37" t="inlineStr">
        <is>
          <t>WL-02713</t>
        </is>
      </c>
      <c r="B1714" s="37" t="inlineStr">
        <is>
          <t>Evans</t>
        </is>
      </c>
      <c r="C1714" s="37" t="inlineStr">
        <is>
          <t>Alexander</t>
        </is>
      </c>
      <c r="D1714" s="37" t="inlineStr">
        <is>
          <t>ACTIVE_WAITLIST</t>
        </is>
      </c>
      <c r="E1714" s="37" t="n">
        <v>28.2</v>
      </c>
      <c r="F1714" s="37" t="n">
        <v>9.5</v>
      </c>
    </row>
    <row r="1715">
      <c r="A1715" s="37" t="inlineStr">
        <is>
          <t>WL-02714</t>
        </is>
      </c>
      <c r="B1715" s="37" t="inlineStr">
        <is>
          <t>Sanchez</t>
        </is>
      </c>
      <c r="C1715" s="37" t="inlineStr">
        <is>
          <t>Mitchell</t>
        </is>
      </c>
      <c r="D1715" s="37" t="inlineStr">
        <is>
          <t>ACTIVE_WAITLIST</t>
        </is>
      </c>
      <c r="E1715" s="37" t="n">
        <v>54.7</v>
      </c>
      <c r="F1715" s="37" t="n">
        <v>16.9</v>
      </c>
    </row>
    <row r="1716">
      <c r="A1716" s="37" t="inlineStr">
        <is>
          <t>WL-02715</t>
        </is>
      </c>
      <c r="B1716" s="37" t="inlineStr">
        <is>
          <t>Daniel</t>
        </is>
      </c>
      <c r="C1716" s="37" t="inlineStr">
        <is>
          <t>Wanda</t>
        </is>
      </c>
      <c r="D1716" s="37" t="inlineStr">
        <is>
          <t>RETAINER</t>
        </is>
      </c>
      <c r="E1716" s="37" t="n">
        <v>43.8</v>
      </c>
      <c r="F1716" s="37" t="n">
        <v>14.1</v>
      </c>
    </row>
    <row r="1717">
      <c r="A1717" s="37" t="inlineStr">
        <is>
          <t>WL-02716</t>
        </is>
      </c>
      <c r="B1717" s="37" t="inlineStr">
        <is>
          <t>Nguyen</t>
        </is>
      </c>
      <c r="C1717" s="37" t="inlineStr">
        <is>
          <t>John</t>
        </is>
      </c>
      <c r="D1717" s="37" t="inlineStr">
        <is>
          <t>ACTIVE_WAITLIST</t>
        </is>
      </c>
      <c r="E1717" s="37" t="n">
        <v>55</v>
      </c>
      <c r="F1717" s="37" t="n">
        <v>15.5</v>
      </c>
    </row>
    <row r="1718">
      <c r="A1718" s="37" t="inlineStr">
        <is>
          <t>WL-02717</t>
        </is>
      </c>
      <c r="B1718" s="37" t="inlineStr">
        <is>
          <t>Phillips</t>
        </is>
      </c>
      <c r="C1718" s="37" t="inlineStr">
        <is>
          <t>Ryan</t>
        </is>
      </c>
      <c r="D1718" s="37" t="inlineStr">
        <is>
          <t>ACTIVE_WAITLIST</t>
        </is>
      </c>
      <c r="E1718" s="37" t="n">
        <v>61.8</v>
      </c>
      <c r="F1718" s="37" t="n">
        <v>20.2</v>
      </c>
    </row>
    <row r="1719">
      <c r="A1719" s="37" t="inlineStr">
        <is>
          <t>WL-02718</t>
        </is>
      </c>
      <c r="B1719" s="37" t="inlineStr">
        <is>
          <t>Pena</t>
        </is>
      </c>
      <c r="C1719" s="37" t="inlineStr">
        <is>
          <t>Andrew</t>
        </is>
      </c>
      <c r="D1719" s="37" t="inlineStr">
        <is>
          <t>ACTIVE_WAITLIST</t>
        </is>
      </c>
      <c r="E1719" s="37" t="n">
        <v>36.1</v>
      </c>
      <c r="F1719" s="37" t="n">
        <v>10.9</v>
      </c>
    </row>
    <row r="1720">
      <c r="A1720" s="37" t="inlineStr">
        <is>
          <t>WL-02719</t>
        </is>
      </c>
      <c r="B1720" s="37" t="inlineStr">
        <is>
          <t>Sexton</t>
        </is>
      </c>
      <c r="C1720" s="37" t="inlineStr">
        <is>
          <t>Travis</t>
        </is>
      </c>
      <c r="D1720" s="37" t="inlineStr">
        <is>
          <t>ACTIVE_WAITLIST</t>
        </is>
      </c>
      <c r="E1720" s="37" t="n">
        <v>58.9</v>
      </c>
      <c r="F1720" s="37" t="n">
        <v>17.7</v>
      </c>
    </row>
    <row r="1721">
      <c r="A1721" s="37" t="inlineStr">
        <is>
          <t>WL-02720</t>
        </is>
      </c>
      <c r="B1721" s="37" t="inlineStr">
        <is>
          <t>Richards</t>
        </is>
      </c>
      <c r="C1721" s="37" t="inlineStr">
        <is>
          <t>Lindsay</t>
        </is>
      </c>
      <c r="D1721" s="37" t="inlineStr">
        <is>
          <t>ACTIVE_WAITLIST</t>
        </is>
      </c>
      <c r="E1721" s="37" t="n">
        <v>34.6</v>
      </c>
      <c r="F1721" s="37" t="n">
        <v>11.2</v>
      </c>
    </row>
    <row r="1722">
      <c r="A1722" s="37" t="inlineStr">
        <is>
          <t>WL-02721</t>
        </is>
      </c>
      <c r="B1722" s="37" t="inlineStr">
        <is>
          <t>Scott</t>
        </is>
      </c>
      <c r="C1722" s="37" t="inlineStr">
        <is>
          <t>Carol</t>
        </is>
      </c>
      <c r="D1722" s="37" t="inlineStr">
        <is>
          <t>ACTIVE_WAITLIST</t>
        </is>
      </c>
      <c r="E1722" s="37" t="n">
        <v>19.5</v>
      </c>
      <c r="F1722" s="37" t="n">
        <v>6.4</v>
      </c>
    </row>
    <row r="1723">
      <c r="A1723" s="37" t="inlineStr">
        <is>
          <t>WL-02722</t>
        </is>
      </c>
      <c r="B1723" s="37" t="inlineStr">
        <is>
          <t>Hernandez</t>
        </is>
      </c>
      <c r="C1723" s="37" t="inlineStr">
        <is>
          <t>Alexander</t>
        </is>
      </c>
      <c r="D1723" s="37" t="inlineStr">
        <is>
          <t>ACTIVE_WAITLIST</t>
        </is>
      </c>
      <c r="E1723" s="37" t="n">
        <v>24.2</v>
      </c>
      <c r="F1723" s="37" t="n">
        <v>8</v>
      </c>
    </row>
    <row r="1724">
      <c r="A1724" s="37" t="inlineStr">
        <is>
          <t>WL-02723</t>
        </is>
      </c>
      <c r="B1724" s="37" t="inlineStr">
        <is>
          <t>Curtis</t>
        </is>
      </c>
      <c r="C1724" s="37" t="inlineStr">
        <is>
          <t>Gregory</t>
        </is>
      </c>
      <c r="D1724" s="37" t="inlineStr">
        <is>
          <t>ACTIVE_WAITLIST</t>
        </is>
      </c>
      <c r="E1724" s="37" t="n">
        <v>46.9</v>
      </c>
      <c r="F1724" s="37" t="n">
        <v>15.7</v>
      </c>
    </row>
    <row r="1725">
      <c r="A1725" s="37" t="inlineStr">
        <is>
          <t>WL-02724</t>
        </is>
      </c>
      <c r="B1725" s="37" t="inlineStr">
        <is>
          <t>Hawkins</t>
        </is>
      </c>
      <c r="C1725" s="37" t="inlineStr">
        <is>
          <t>Benjamin</t>
        </is>
      </c>
      <c r="D1725" s="37" t="inlineStr">
        <is>
          <t>ACTIVE_WAITLIST</t>
        </is>
      </c>
      <c r="E1725" s="37" t="n">
        <v>49.4</v>
      </c>
      <c r="F1725" s="37" t="n">
        <v>16.9</v>
      </c>
    </row>
    <row r="1726">
      <c r="A1726" s="37" t="inlineStr">
        <is>
          <t>WL-02725</t>
        </is>
      </c>
      <c r="B1726" s="37" t="inlineStr">
        <is>
          <t>Hernandez</t>
        </is>
      </c>
      <c r="C1726" s="37" t="inlineStr">
        <is>
          <t>Matthew</t>
        </is>
      </c>
      <c r="D1726" s="37" t="inlineStr">
        <is>
          <t>ACTIVE_WAITLIST</t>
        </is>
      </c>
      <c r="E1726" s="37" t="n">
        <v>50.3</v>
      </c>
      <c r="F1726" s="37" t="n">
        <v>17.6</v>
      </c>
    </row>
    <row r="1727">
      <c r="A1727" s="37" t="inlineStr">
        <is>
          <t>WL-02726</t>
        </is>
      </c>
      <c r="B1727" s="37" t="inlineStr">
        <is>
          <t>Herman</t>
        </is>
      </c>
      <c r="C1727" s="37" t="inlineStr">
        <is>
          <t>Michelle</t>
        </is>
      </c>
      <c r="D1727" s="37" t="inlineStr">
        <is>
          <t>ACTIVE_WAITLIST</t>
        </is>
      </c>
      <c r="E1727" s="37" t="n">
        <v>48.3</v>
      </c>
      <c r="F1727" s="37" t="n">
        <v>17.2</v>
      </c>
    </row>
    <row r="1728">
      <c r="A1728" s="37" t="inlineStr">
        <is>
          <t>WL-02727</t>
        </is>
      </c>
      <c r="B1728" s="37" t="inlineStr">
        <is>
          <t>Hernandez</t>
        </is>
      </c>
      <c r="C1728" s="37" t="inlineStr">
        <is>
          <t>Anthony</t>
        </is>
      </c>
      <c r="D1728" s="37" t="inlineStr">
        <is>
          <t>SUSPENDED</t>
        </is>
      </c>
      <c r="E1728" s="37" t="n">
        <v>57</v>
      </c>
      <c r="F1728" s="37" t="n">
        <v>17.5</v>
      </c>
    </row>
    <row r="1729">
      <c r="A1729" s="37" t="inlineStr">
        <is>
          <t>WL-02728</t>
        </is>
      </c>
      <c r="B1729" s="37" t="inlineStr">
        <is>
          <t>Archer</t>
        </is>
      </c>
      <c r="C1729" s="37" t="inlineStr">
        <is>
          <t>Ralph</t>
        </is>
      </c>
      <c r="D1729" s="37" t="inlineStr">
        <is>
          <t>ACTIVE_WAITLIST</t>
        </is>
      </c>
      <c r="E1729" s="37" t="n">
        <v>60.7</v>
      </c>
      <c r="F1729" s="37" t="n">
        <v>20.1</v>
      </c>
    </row>
    <row r="1730">
      <c r="A1730" s="37" t="inlineStr">
        <is>
          <t>WL-02729</t>
        </is>
      </c>
      <c r="B1730" s="37" t="inlineStr">
        <is>
          <t>Henderson</t>
        </is>
      </c>
      <c r="C1730" s="37" t="inlineStr">
        <is>
          <t>James</t>
        </is>
      </c>
      <c r="D1730" s="37" t="inlineStr">
        <is>
          <t>RETAINER</t>
        </is>
      </c>
      <c r="E1730" s="37" t="n">
        <v>32.5</v>
      </c>
      <c r="F1730" s="37" t="n">
        <v>9.6</v>
      </c>
    </row>
    <row r="1731">
      <c r="A1731" s="37" t="inlineStr">
        <is>
          <t>WL-02730</t>
        </is>
      </c>
      <c r="B1731" s="37" t="inlineStr">
        <is>
          <t>Chang</t>
        </is>
      </c>
      <c r="C1731" s="37" t="inlineStr">
        <is>
          <t>Christina</t>
        </is>
      </c>
      <c r="D1731" s="37" t="inlineStr">
        <is>
          <t>ACTIVE_WAITLIST</t>
        </is>
      </c>
      <c r="E1731" s="37" t="n">
        <v>58.8</v>
      </c>
      <c r="F1731" s="37" t="n">
        <v>16.6</v>
      </c>
    </row>
    <row r="1732">
      <c r="A1732" s="37" t="inlineStr">
        <is>
          <t>WL-02731</t>
        </is>
      </c>
      <c r="B1732" s="37" t="inlineStr">
        <is>
          <t>Taylor</t>
        </is>
      </c>
      <c r="C1732" s="37" t="inlineStr">
        <is>
          <t>Allison</t>
        </is>
      </c>
      <c r="D1732" s="37" t="inlineStr">
        <is>
          <t>ACTIVE_WAITLIST</t>
        </is>
      </c>
      <c r="E1732" s="37" t="n">
        <v>30.6</v>
      </c>
      <c r="F1732" s="37" t="n">
        <v>9.4</v>
      </c>
    </row>
    <row r="1733">
      <c r="A1733" s="37" t="inlineStr">
        <is>
          <t>WL-02732</t>
        </is>
      </c>
      <c r="B1733" s="37" t="inlineStr">
        <is>
          <t>Gross</t>
        </is>
      </c>
      <c r="C1733" s="37" t="inlineStr">
        <is>
          <t>Jamie</t>
        </is>
      </c>
      <c r="D1733" s="37" t="inlineStr">
        <is>
          <t>ACTIVE_WAITLIST</t>
        </is>
      </c>
      <c r="E1733" s="37" t="n">
        <v>49.1</v>
      </c>
      <c r="F1733" s="37" t="n">
        <v>16.1</v>
      </c>
    </row>
    <row r="1734">
      <c r="A1734" s="37" t="inlineStr">
        <is>
          <t>WL-02733</t>
        </is>
      </c>
      <c r="B1734" s="37" t="inlineStr">
        <is>
          <t>Melendez</t>
        </is>
      </c>
      <c r="C1734" s="37" t="inlineStr">
        <is>
          <t>Tiffany</t>
        </is>
      </c>
      <c r="D1734" s="37" t="inlineStr">
        <is>
          <t>ACTIVE_WAITLIST</t>
        </is>
      </c>
      <c r="E1734" s="37" t="n">
        <v>51.9</v>
      </c>
      <c r="F1734" s="37" t="n">
        <v>17.8</v>
      </c>
    </row>
    <row r="1735">
      <c r="A1735" s="37" t="inlineStr">
        <is>
          <t>WL-02734</t>
        </is>
      </c>
      <c r="B1735" s="37" t="inlineStr">
        <is>
          <t>Lewis</t>
        </is>
      </c>
      <c r="C1735" s="37" t="inlineStr">
        <is>
          <t>Kenneth</t>
        </is>
      </c>
      <c r="D1735" s="37" t="inlineStr">
        <is>
          <t>ACTIVE_WAITLIST</t>
        </is>
      </c>
      <c r="E1735" s="37" t="n">
        <v>38.1</v>
      </c>
      <c r="F1735" s="37" t="n">
        <v>13.6</v>
      </c>
    </row>
    <row r="1736">
      <c r="A1736" s="37" t="inlineStr">
        <is>
          <t>WL-02735</t>
        </is>
      </c>
      <c r="B1736" s="37" t="inlineStr">
        <is>
          <t>Orr</t>
        </is>
      </c>
      <c r="C1736" s="37" t="inlineStr">
        <is>
          <t>Kristen</t>
        </is>
      </c>
      <c r="D1736" s="37" t="inlineStr">
        <is>
          <t>ACTIVE_WAITLIST</t>
        </is>
      </c>
      <c r="E1736" s="37" t="n">
        <v>54.2</v>
      </c>
      <c r="F1736" s="37" t="n">
        <v>17</v>
      </c>
    </row>
    <row r="1737">
      <c r="A1737" s="37" t="inlineStr">
        <is>
          <t>WL-02736</t>
        </is>
      </c>
      <c r="B1737" s="37" t="inlineStr">
        <is>
          <t>Newton</t>
        </is>
      </c>
      <c r="C1737" s="37" t="inlineStr">
        <is>
          <t>Lisa</t>
        </is>
      </c>
      <c r="D1737" s="37" t="inlineStr">
        <is>
          <t>ACTIVE_WAITLIST</t>
        </is>
      </c>
      <c r="E1737" s="37" t="n">
        <v>54.3</v>
      </c>
      <c r="F1737" s="37" t="n">
        <v>16.6</v>
      </c>
    </row>
    <row r="1738">
      <c r="A1738" s="37" t="inlineStr">
        <is>
          <t>WL-02737</t>
        </is>
      </c>
      <c r="B1738" s="37" t="inlineStr">
        <is>
          <t>Crosby</t>
        </is>
      </c>
      <c r="C1738" s="37" t="inlineStr">
        <is>
          <t>Kimberly</t>
        </is>
      </c>
      <c r="D1738" s="37" t="inlineStr">
        <is>
          <t>ACTIVE_WAITLIST</t>
        </is>
      </c>
      <c r="E1738" s="37" t="n">
        <v>43.1</v>
      </c>
      <c r="F1738" s="37" t="n">
        <v>12.7</v>
      </c>
    </row>
    <row r="1739">
      <c r="A1739" s="37" t="inlineStr">
        <is>
          <t>WL-02738</t>
        </is>
      </c>
      <c r="B1739" s="37" t="inlineStr">
        <is>
          <t>Schmitt</t>
        </is>
      </c>
      <c r="C1739" s="37" t="inlineStr">
        <is>
          <t>Wanda</t>
        </is>
      </c>
      <c r="D1739" s="37" t="inlineStr">
        <is>
          <t>RETAINER</t>
        </is>
      </c>
      <c r="E1739" s="37" t="n">
        <v>54.7</v>
      </c>
      <c r="F1739" s="37" t="n">
        <v>19.6</v>
      </c>
    </row>
    <row r="1740">
      <c r="A1740" s="37" t="inlineStr">
        <is>
          <t>WL-02739</t>
        </is>
      </c>
      <c r="B1740" s="37" t="inlineStr">
        <is>
          <t>Bennett</t>
        </is>
      </c>
      <c r="C1740" s="37" t="inlineStr">
        <is>
          <t>Aaron</t>
        </is>
      </c>
      <c r="D1740" s="37" t="inlineStr">
        <is>
          <t>ACTIVE_WAITLIST</t>
        </is>
      </c>
      <c r="E1740" s="37" t="n">
        <v>26.4</v>
      </c>
      <c r="F1740" s="37" t="n">
        <v>8.9</v>
      </c>
    </row>
    <row r="1741">
      <c r="A1741" s="37" t="inlineStr">
        <is>
          <t>WL-02740</t>
        </is>
      </c>
      <c r="B1741" s="37" t="inlineStr">
        <is>
          <t>Valdez</t>
        </is>
      </c>
      <c r="C1741" s="37" t="inlineStr">
        <is>
          <t>Holly</t>
        </is>
      </c>
      <c r="D1741" s="37" t="inlineStr">
        <is>
          <t>ACTIVE_WAITLIST</t>
        </is>
      </c>
      <c r="E1741" s="37" t="n">
        <v>51.8</v>
      </c>
      <c r="F1741" s="37" t="n">
        <v>14.6</v>
      </c>
    </row>
    <row r="1742">
      <c r="A1742" s="37" t="inlineStr">
        <is>
          <t>WL-02741</t>
        </is>
      </c>
      <c r="B1742" s="37" t="inlineStr">
        <is>
          <t>Moran</t>
        </is>
      </c>
      <c r="C1742" s="37" t="inlineStr">
        <is>
          <t>Megan</t>
        </is>
      </c>
      <c r="D1742" s="37" t="inlineStr">
        <is>
          <t>ACTIVE_WAITLIST</t>
        </is>
      </c>
      <c r="E1742" s="37" t="n">
        <v>46.8</v>
      </c>
      <c r="F1742" s="37" t="n">
        <v>15.5</v>
      </c>
    </row>
    <row r="1743">
      <c r="A1743" s="37" t="inlineStr">
        <is>
          <t>WL-02742</t>
        </is>
      </c>
      <c r="B1743" s="37" t="inlineStr">
        <is>
          <t>Smith</t>
        </is>
      </c>
      <c r="C1743" s="37" t="inlineStr">
        <is>
          <t>Lisa</t>
        </is>
      </c>
      <c r="D1743" s="37" t="inlineStr">
        <is>
          <t>ACTIVE_WAITLIST</t>
        </is>
      </c>
      <c r="E1743" s="37" t="n">
        <v>41.4</v>
      </c>
      <c r="F1743" s="37" t="n">
        <v>13.7</v>
      </c>
    </row>
    <row r="1744">
      <c r="A1744" s="37" t="inlineStr">
        <is>
          <t>WL-02743</t>
        </is>
      </c>
      <c r="B1744" s="37" t="inlineStr">
        <is>
          <t>Riddle</t>
        </is>
      </c>
      <c r="C1744" s="37" t="inlineStr">
        <is>
          <t>Mary</t>
        </is>
      </c>
      <c r="D1744" s="37" t="inlineStr">
        <is>
          <t>ACTIVE_WAITLIST</t>
        </is>
      </c>
      <c r="E1744" s="37" t="n">
        <v>35.6</v>
      </c>
      <c r="F1744" s="37" t="n">
        <v>11.9</v>
      </c>
    </row>
    <row r="1745">
      <c r="A1745" s="37" t="inlineStr">
        <is>
          <t>WL-02744</t>
        </is>
      </c>
      <c r="B1745" s="37" t="inlineStr">
        <is>
          <t>Hoffman</t>
        </is>
      </c>
      <c r="C1745" s="37" t="inlineStr">
        <is>
          <t>Sheena</t>
        </is>
      </c>
      <c r="D1745" s="37" t="inlineStr">
        <is>
          <t>ACTIVE_WAITLIST</t>
        </is>
      </c>
      <c r="E1745" s="37" t="n">
        <v>49.7</v>
      </c>
      <c r="F1745" s="37" t="n">
        <v>14.4</v>
      </c>
    </row>
    <row r="1746">
      <c r="A1746" s="37" t="inlineStr">
        <is>
          <t>WL-02745</t>
        </is>
      </c>
      <c r="B1746" s="37" t="inlineStr">
        <is>
          <t>Baldwin</t>
        </is>
      </c>
      <c r="C1746" s="37" t="inlineStr">
        <is>
          <t>Olivia</t>
        </is>
      </c>
      <c r="D1746" s="37" t="inlineStr">
        <is>
          <t>ACTIVE_WAITLIST</t>
        </is>
      </c>
      <c r="E1746" s="37" t="n">
        <v>20.6</v>
      </c>
      <c r="F1746" s="37" t="n">
        <v>6.9</v>
      </c>
    </row>
    <row r="1747">
      <c r="A1747" s="37" t="inlineStr">
        <is>
          <t>WL-02746</t>
        </is>
      </c>
      <c r="B1747" s="37" t="inlineStr">
        <is>
          <t>Potter</t>
        </is>
      </c>
      <c r="C1747" s="37" t="inlineStr">
        <is>
          <t>Patrick</t>
        </is>
      </c>
      <c r="D1747" s="37" t="inlineStr">
        <is>
          <t>ACTIVE_WAITLIST</t>
        </is>
      </c>
      <c r="E1747" s="37" t="n">
        <v>49.2</v>
      </c>
      <c r="F1747" s="37" t="n">
        <v>15.7</v>
      </c>
    </row>
    <row r="1748">
      <c r="A1748" s="37" t="inlineStr">
        <is>
          <t>WL-02747</t>
        </is>
      </c>
      <c r="B1748" s="37" t="inlineStr">
        <is>
          <t>Massey</t>
        </is>
      </c>
      <c r="C1748" s="37" t="inlineStr">
        <is>
          <t>Angel</t>
        </is>
      </c>
      <c r="D1748" s="37" t="inlineStr">
        <is>
          <t>ACTIVE_WAITLIST</t>
        </is>
      </c>
      <c r="E1748" s="37" t="n">
        <v>29.3</v>
      </c>
      <c r="F1748" s="37" t="n">
        <v>9.1</v>
      </c>
    </row>
    <row r="1749">
      <c r="A1749" s="37" t="inlineStr">
        <is>
          <t>WL-02748</t>
        </is>
      </c>
      <c r="B1749" s="37" t="inlineStr">
        <is>
          <t>Griffin</t>
        </is>
      </c>
      <c r="C1749" s="37" t="inlineStr">
        <is>
          <t>Ross</t>
        </is>
      </c>
      <c r="D1749" s="37" t="inlineStr">
        <is>
          <t>ACTIVE_WAITLIST</t>
        </is>
      </c>
      <c r="E1749" s="37" t="n">
        <v>42.6</v>
      </c>
      <c r="F1749" s="37" t="n">
        <v>13.9</v>
      </c>
    </row>
    <row r="1750">
      <c r="A1750" s="37" t="inlineStr">
        <is>
          <t>WL-02749</t>
        </is>
      </c>
      <c r="B1750" s="37" t="inlineStr">
        <is>
          <t>French</t>
        </is>
      </c>
      <c r="C1750" s="37" t="inlineStr">
        <is>
          <t>Stephanie</t>
        </is>
      </c>
      <c r="D1750" s="37" t="inlineStr">
        <is>
          <t>ACTIVE_WAITLIST</t>
        </is>
      </c>
      <c r="E1750" s="37" t="n">
        <v>21.3</v>
      </c>
      <c r="F1750" s="37" t="n">
        <v>7</v>
      </c>
    </row>
    <row r="1751">
      <c r="A1751" s="37" t="inlineStr">
        <is>
          <t>WL-02750</t>
        </is>
      </c>
      <c r="B1751" s="37" t="inlineStr">
        <is>
          <t>Graves</t>
        </is>
      </c>
      <c r="C1751" s="37" t="inlineStr">
        <is>
          <t>Sarah</t>
        </is>
      </c>
      <c r="D1751" s="37" t="inlineStr">
        <is>
          <t>RETAINER</t>
        </is>
      </c>
      <c r="E1751" s="37" t="n">
        <v>28.2</v>
      </c>
      <c r="F1751" s="37" t="n">
        <v>8.1</v>
      </c>
    </row>
    <row r="1752">
      <c r="A1752" s="37" t="inlineStr">
        <is>
          <t>WL-02751</t>
        </is>
      </c>
      <c r="B1752" s="37" t="inlineStr">
        <is>
          <t>Austin</t>
        </is>
      </c>
      <c r="C1752" s="37" t="inlineStr">
        <is>
          <t>Tracy</t>
        </is>
      </c>
      <c r="D1752" s="37" t="inlineStr">
        <is>
          <t>ACTIVE_WAITLIST</t>
        </is>
      </c>
      <c r="E1752" s="37" t="n">
        <v>48.2</v>
      </c>
      <c r="F1752" s="37" t="n">
        <v>13.8</v>
      </c>
    </row>
    <row r="1753">
      <c r="A1753" s="37" t="inlineStr">
        <is>
          <t>WL-02752</t>
        </is>
      </c>
      <c r="B1753" s="37" t="inlineStr">
        <is>
          <t>Ward</t>
        </is>
      </c>
      <c r="C1753" s="37" t="inlineStr">
        <is>
          <t>Daniel</t>
        </is>
      </c>
      <c r="D1753" s="37" t="inlineStr">
        <is>
          <t>ACTIVE_WAITLIST</t>
        </is>
      </c>
      <c r="E1753" s="37" t="n">
        <v>47.5</v>
      </c>
      <c r="F1753" s="37" t="n">
        <v>16.3</v>
      </c>
    </row>
    <row r="1754">
      <c r="A1754" s="37" t="inlineStr">
        <is>
          <t>WL-02753</t>
        </is>
      </c>
      <c r="B1754" s="37" t="inlineStr">
        <is>
          <t>Brooks</t>
        </is>
      </c>
      <c r="C1754" s="37" t="inlineStr">
        <is>
          <t>Kyle</t>
        </is>
      </c>
      <c r="D1754" s="37" t="inlineStr">
        <is>
          <t>ACTIVE_WAITLIST</t>
        </is>
      </c>
      <c r="E1754" s="37" t="n">
        <v>31.1</v>
      </c>
      <c r="F1754" s="37" t="n">
        <v>10.4</v>
      </c>
    </row>
    <row r="1755">
      <c r="A1755" s="37" t="inlineStr">
        <is>
          <t>WL-02754</t>
        </is>
      </c>
      <c r="B1755" s="37" t="inlineStr">
        <is>
          <t>Johnson</t>
        </is>
      </c>
      <c r="C1755" s="37" t="inlineStr">
        <is>
          <t>Kristen</t>
        </is>
      </c>
      <c r="D1755" s="37" t="inlineStr">
        <is>
          <t>RETAINER</t>
        </is>
      </c>
      <c r="E1755" s="37" t="n">
        <v>58.8</v>
      </c>
      <c r="F1755" s="37" t="n">
        <v>17.6</v>
      </c>
    </row>
    <row r="1756">
      <c r="A1756" s="37" t="inlineStr">
        <is>
          <t>WL-02755</t>
        </is>
      </c>
      <c r="B1756" s="37" t="inlineStr">
        <is>
          <t>Mitchell</t>
        </is>
      </c>
      <c r="C1756" s="37" t="inlineStr">
        <is>
          <t>James</t>
        </is>
      </c>
      <c r="D1756" s="37" t="inlineStr">
        <is>
          <t>ACTIVE_WAITLIST</t>
        </is>
      </c>
      <c r="E1756" s="37" t="n">
        <v>18.6</v>
      </c>
      <c r="F1756" s="37" t="n">
        <v>6.6</v>
      </c>
    </row>
    <row r="1757">
      <c r="A1757" s="37" t="inlineStr">
        <is>
          <t>WL-02756</t>
        </is>
      </c>
      <c r="B1757" s="37" t="inlineStr">
        <is>
          <t>Phillips</t>
        </is>
      </c>
      <c r="C1757" s="37" t="inlineStr">
        <is>
          <t>Gregory</t>
        </is>
      </c>
      <c r="D1757" s="37" t="inlineStr">
        <is>
          <t>ACTIVE_WAITLIST</t>
        </is>
      </c>
      <c r="E1757" s="37" t="n">
        <v>31.6</v>
      </c>
      <c r="F1757" s="37" t="n">
        <v>9.9</v>
      </c>
    </row>
    <row r="1758">
      <c r="A1758" s="37" t="inlineStr">
        <is>
          <t>WL-02757</t>
        </is>
      </c>
      <c r="B1758" s="37" t="inlineStr">
        <is>
          <t>Green</t>
        </is>
      </c>
      <c r="C1758" s="37" t="inlineStr">
        <is>
          <t>Mariah</t>
        </is>
      </c>
      <c r="D1758" s="37" t="inlineStr">
        <is>
          <t>ACTIVE_WAITLIST</t>
        </is>
      </c>
      <c r="E1758" s="37" t="n">
        <v>53.7</v>
      </c>
      <c r="F1758" s="37" t="n">
        <v>15.5</v>
      </c>
    </row>
    <row r="1759">
      <c r="A1759" s="37" t="inlineStr">
        <is>
          <t>WL-02758</t>
        </is>
      </c>
      <c r="B1759" s="37" t="inlineStr">
        <is>
          <t>Carter</t>
        </is>
      </c>
      <c r="C1759" s="37" t="inlineStr">
        <is>
          <t>Lee</t>
        </is>
      </c>
      <c r="D1759" s="37" t="inlineStr">
        <is>
          <t>ACTIVE_WAITLIST</t>
        </is>
      </c>
      <c r="E1759" s="37" t="n">
        <v>40.9</v>
      </c>
      <c r="F1759" s="37" t="n">
        <v>12.5</v>
      </c>
    </row>
    <row r="1760">
      <c r="A1760" s="37" t="inlineStr">
        <is>
          <t>WL-02759</t>
        </is>
      </c>
      <c r="B1760" s="37" t="inlineStr">
        <is>
          <t>Rose</t>
        </is>
      </c>
      <c r="C1760" s="37" t="inlineStr">
        <is>
          <t>Michael</t>
        </is>
      </c>
      <c r="D1760" s="37" t="inlineStr">
        <is>
          <t>ACTIVE_WAITLIST</t>
        </is>
      </c>
      <c r="E1760" s="37" t="n">
        <v>34.6</v>
      </c>
      <c r="F1760" s="37" t="n">
        <v>10.9</v>
      </c>
    </row>
    <row r="1761">
      <c r="A1761" s="37" t="inlineStr">
        <is>
          <t>WL-02760</t>
        </is>
      </c>
      <c r="B1761" s="37" t="inlineStr">
        <is>
          <t>Byrd</t>
        </is>
      </c>
      <c r="C1761" s="37" t="inlineStr">
        <is>
          <t>Jonathan</t>
        </is>
      </c>
      <c r="D1761" s="37" t="inlineStr">
        <is>
          <t>ACTIVE_WAITLIST</t>
        </is>
      </c>
      <c r="E1761" s="37" t="n">
        <v>38.4</v>
      </c>
      <c r="F1761" s="37" t="n">
        <v>10.9</v>
      </c>
    </row>
    <row r="1762">
      <c r="A1762" s="37" t="inlineStr">
        <is>
          <t>WL-02761</t>
        </is>
      </c>
      <c r="B1762" s="37" t="inlineStr">
        <is>
          <t>Coleman</t>
        </is>
      </c>
      <c r="C1762" s="37" t="inlineStr">
        <is>
          <t>Timothy</t>
        </is>
      </c>
      <c r="D1762" s="37" t="inlineStr">
        <is>
          <t>ACTIVE_WAITLIST</t>
        </is>
      </c>
      <c r="E1762" s="37" t="n">
        <v>37.3</v>
      </c>
      <c r="F1762" s="37" t="n">
        <v>12.6</v>
      </c>
    </row>
    <row r="1763">
      <c r="A1763" s="37" t="inlineStr">
        <is>
          <t>WL-02762</t>
        </is>
      </c>
      <c r="B1763" s="37" t="inlineStr">
        <is>
          <t>Williams</t>
        </is>
      </c>
      <c r="C1763" s="37" t="inlineStr">
        <is>
          <t>Elizabeth</t>
        </is>
      </c>
      <c r="D1763" s="37" t="inlineStr">
        <is>
          <t>ACTIVE_WAITLIST</t>
        </is>
      </c>
      <c r="E1763" s="37" t="n">
        <v>26</v>
      </c>
      <c r="F1763" s="37" t="n">
        <v>8.4</v>
      </c>
    </row>
    <row r="1764">
      <c r="A1764" s="37" t="inlineStr">
        <is>
          <t>WL-02763</t>
        </is>
      </c>
      <c r="B1764" s="37" t="inlineStr">
        <is>
          <t>Burgess</t>
        </is>
      </c>
      <c r="C1764" s="37" t="inlineStr">
        <is>
          <t>Ryan</t>
        </is>
      </c>
      <c r="D1764" s="37" t="inlineStr">
        <is>
          <t>ACTIVE_WAITLIST</t>
        </is>
      </c>
      <c r="E1764" s="37" t="n">
        <v>33.1</v>
      </c>
      <c r="F1764" s="37" t="n">
        <v>9.300000000000001</v>
      </c>
    </row>
    <row r="1765">
      <c r="A1765" s="37" t="inlineStr">
        <is>
          <t>WL-02764</t>
        </is>
      </c>
      <c r="B1765" s="37" t="inlineStr">
        <is>
          <t>Bradley</t>
        </is>
      </c>
      <c r="C1765" s="37" t="inlineStr">
        <is>
          <t>Jason</t>
        </is>
      </c>
      <c r="D1765" s="37" t="inlineStr">
        <is>
          <t>ACTIVE_WAITLIST</t>
        </is>
      </c>
      <c r="E1765" s="37" t="n">
        <v>25.9</v>
      </c>
      <c r="F1765" s="37" t="n">
        <v>7.9</v>
      </c>
    </row>
    <row r="1766">
      <c r="A1766" s="37" t="inlineStr">
        <is>
          <t>WL-02765</t>
        </is>
      </c>
      <c r="B1766" s="37" t="inlineStr">
        <is>
          <t>Russo</t>
        </is>
      </c>
      <c r="C1766" s="37" t="inlineStr">
        <is>
          <t>Rachel</t>
        </is>
      </c>
      <c r="D1766" s="37" t="inlineStr">
        <is>
          <t>ACTIVE_WAITLIST</t>
        </is>
      </c>
      <c r="E1766" s="37" t="n">
        <v>24.2</v>
      </c>
      <c r="F1766" s="37" t="n">
        <v>7.9</v>
      </c>
    </row>
    <row r="1767">
      <c r="A1767" s="37" t="inlineStr">
        <is>
          <t>WL-02766</t>
        </is>
      </c>
      <c r="B1767" s="37" t="inlineStr">
        <is>
          <t>Macias</t>
        </is>
      </c>
      <c r="C1767" s="37" t="inlineStr">
        <is>
          <t>Valerie</t>
        </is>
      </c>
      <c r="D1767" s="37" t="inlineStr">
        <is>
          <t>ACTIVE_WAITLIST</t>
        </is>
      </c>
      <c r="E1767" s="37" t="n">
        <v>54.5</v>
      </c>
      <c r="F1767" s="37" t="n">
        <v>16.6</v>
      </c>
    </row>
    <row r="1768">
      <c r="A1768" s="37" t="inlineStr">
        <is>
          <t>WL-02767</t>
        </is>
      </c>
      <c r="B1768" s="37" t="inlineStr">
        <is>
          <t>Mckay</t>
        </is>
      </c>
      <c r="C1768" s="37" t="inlineStr">
        <is>
          <t>Raymond</t>
        </is>
      </c>
      <c r="D1768" s="37" t="inlineStr">
        <is>
          <t>ACTIVE_WAITLIST</t>
        </is>
      </c>
      <c r="E1768" s="37" t="n">
        <v>52.8</v>
      </c>
      <c r="F1768" s="37" t="n">
        <v>14.9</v>
      </c>
    </row>
    <row r="1769">
      <c r="A1769" s="37" t="inlineStr">
        <is>
          <t>WL-02768</t>
        </is>
      </c>
      <c r="B1769" s="37" t="inlineStr">
        <is>
          <t>Sweeney</t>
        </is>
      </c>
      <c r="C1769" s="37" t="inlineStr">
        <is>
          <t>Sandra</t>
        </is>
      </c>
      <c r="D1769" s="37" t="inlineStr">
        <is>
          <t>ACTIVE_WAITLIST</t>
        </is>
      </c>
      <c r="E1769" s="37" t="n">
        <v>20.8</v>
      </c>
      <c r="F1769" s="37" t="n">
        <v>6.6</v>
      </c>
    </row>
    <row r="1770">
      <c r="A1770" s="37" t="inlineStr">
        <is>
          <t>WL-02769</t>
        </is>
      </c>
      <c r="B1770" s="37" t="inlineStr">
        <is>
          <t>Simon</t>
        </is>
      </c>
      <c r="C1770" s="37" t="inlineStr">
        <is>
          <t>Jacqueline</t>
        </is>
      </c>
      <c r="D1770" s="37" t="inlineStr">
        <is>
          <t>RETAINER</t>
        </is>
      </c>
      <c r="E1770" s="37" t="n">
        <v>34</v>
      </c>
      <c r="F1770" s="37" t="n">
        <v>10</v>
      </c>
    </row>
    <row r="1771">
      <c r="A1771" s="37" t="inlineStr">
        <is>
          <t>WL-02770</t>
        </is>
      </c>
      <c r="B1771" s="37" t="inlineStr">
        <is>
          <t>Okafor</t>
        </is>
      </c>
      <c r="C1771" s="37" t="inlineStr">
        <is>
          <t>Henry</t>
        </is>
      </c>
      <c r="D1771" s="37" t="inlineStr">
        <is>
          <t>ACTIVE_WAITLIST</t>
        </is>
      </c>
      <c r="E1771" s="37" t="n">
        <v>41.2</v>
      </c>
      <c r="F1771" s="37" t="n">
        <v>14.7</v>
      </c>
    </row>
    <row r="1772">
      <c r="A1772" s="37" t="inlineStr">
        <is>
          <t>WL-02771</t>
        </is>
      </c>
      <c r="B1772" s="37" t="inlineStr">
        <is>
          <t>Garcia</t>
        </is>
      </c>
      <c r="C1772" s="37" t="inlineStr">
        <is>
          <t>Lisa</t>
        </is>
      </c>
      <c r="D1772" s="37" t="inlineStr">
        <is>
          <t>ACTIVE_WAITLIST</t>
        </is>
      </c>
      <c r="E1772" s="37" t="n">
        <v>55.1</v>
      </c>
      <c r="F1772" s="37" t="n">
        <v>18.2</v>
      </c>
    </row>
    <row r="1773">
      <c r="A1773" s="37" t="inlineStr">
        <is>
          <t>WL-02772</t>
        </is>
      </c>
      <c r="B1773" s="37" t="inlineStr">
        <is>
          <t>Chambers</t>
        </is>
      </c>
      <c r="C1773" s="37" t="inlineStr">
        <is>
          <t>Sarah</t>
        </is>
      </c>
      <c r="D1773" s="37" t="inlineStr">
        <is>
          <t>ACTIVE_WAITLIST</t>
        </is>
      </c>
      <c r="E1773" s="37" t="n">
        <v>58</v>
      </c>
      <c r="F1773" s="37" t="n">
        <v>20.5</v>
      </c>
    </row>
    <row r="1774">
      <c r="A1774" s="37" t="inlineStr">
        <is>
          <t>WL-02773</t>
        </is>
      </c>
      <c r="B1774" s="37" t="inlineStr">
        <is>
          <t>Palmer</t>
        </is>
      </c>
      <c r="C1774" s="37" t="inlineStr">
        <is>
          <t>Joshua</t>
        </is>
      </c>
      <c r="D1774" s="37" t="inlineStr">
        <is>
          <t>ACTIVE_WAITLIST</t>
        </is>
      </c>
      <c r="E1774" s="37" t="n">
        <v>41.2</v>
      </c>
      <c r="F1774" s="37" t="n">
        <v>13.6</v>
      </c>
    </row>
    <row r="1775">
      <c r="A1775" s="37" t="inlineStr">
        <is>
          <t>WL-02774</t>
        </is>
      </c>
      <c r="B1775" s="37" t="inlineStr">
        <is>
          <t>Harris</t>
        </is>
      </c>
      <c r="C1775" s="37" t="inlineStr">
        <is>
          <t>Benjamin</t>
        </is>
      </c>
      <c r="D1775" s="37" t="inlineStr">
        <is>
          <t>ACTIVE_WAITLIST</t>
        </is>
      </c>
      <c r="E1775" s="37" t="n">
        <v>52</v>
      </c>
      <c r="F1775" s="37" t="n">
        <v>14.9</v>
      </c>
    </row>
    <row r="1776">
      <c r="A1776" s="37" t="inlineStr">
        <is>
          <t>WL-02775</t>
        </is>
      </c>
      <c r="B1776" s="37" t="inlineStr">
        <is>
          <t>Graham</t>
        </is>
      </c>
      <c r="C1776" s="37" t="inlineStr">
        <is>
          <t>Samantha</t>
        </is>
      </c>
      <c r="D1776" s="37" t="inlineStr">
        <is>
          <t>ACTIVE_WAITLIST</t>
        </is>
      </c>
      <c r="E1776" s="37" t="n">
        <v>32.8</v>
      </c>
      <c r="F1776" s="37" t="n">
        <v>9.300000000000001</v>
      </c>
    </row>
    <row r="1777">
      <c r="A1777" s="37" t="inlineStr">
        <is>
          <t>WL-02776</t>
        </is>
      </c>
      <c r="B1777" s="37" t="inlineStr">
        <is>
          <t>Sanders</t>
        </is>
      </c>
      <c r="C1777" s="37" t="inlineStr">
        <is>
          <t>Kayla</t>
        </is>
      </c>
      <c r="D1777" s="37" t="inlineStr">
        <is>
          <t>RETAINER</t>
        </is>
      </c>
      <c r="E1777" s="37" t="n">
        <v>58.2</v>
      </c>
      <c r="F1777" s="37" t="n">
        <v>20.9</v>
      </c>
    </row>
    <row r="1778">
      <c r="A1778" s="37" t="inlineStr">
        <is>
          <t>WL-02777</t>
        </is>
      </c>
      <c r="B1778" s="37" t="inlineStr">
        <is>
          <t>Johnson</t>
        </is>
      </c>
      <c r="C1778" s="37" t="inlineStr">
        <is>
          <t>Carolyn</t>
        </is>
      </c>
      <c r="D1778" s="37" t="inlineStr">
        <is>
          <t>ACTIVE_WAITLIST</t>
        </is>
      </c>
      <c r="E1778" s="37" t="n">
        <v>30.7</v>
      </c>
      <c r="F1778" s="37" t="n">
        <v>10.1</v>
      </c>
    </row>
    <row r="1779">
      <c r="A1779" s="37" t="inlineStr">
        <is>
          <t>WL-02778</t>
        </is>
      </c>
      <c r="B1779" s="37" t="inlineStr">
        <is>
          <t>Gregory</t>
        </is>
      </c>
      <c r="C1779" s="37" t="inlineStr">
        <is>
          <t>Joel</t>
        </is>
      </c>
      <c r="D1779" s="37" t="inlineStr">
        <is>
          <t>ACTIVE_WAITLIST</t>
        </is>
      </c>
      <c r="E1779" s="37" t="n">
        <v>52.5</v>
      </c>
      <c r="F1779" s="37" t="n">
        <v>18.3</v>
      </c>
    </row>
    <row r="1780">
      <c r="A1780" s="37" t="inlineStr">
        <is>
          <t>WL-02779</t>
        </is>
      </c>
      <c r="B1780" s="37" t="inlineStr">
        <is>
          <t>Harris</t>
        </is>
      </c>
      <c r="C1780" s="37" t="inlineStr">
        <is>
          <t>Patricia</t>
        </is>
      </c>
      <c r="D1780" s="37" t="inlineStr">
        <is>
          <t>SUSPENDED</t>
        </is>
      </c>
      <c r="E1780" s="37" t="n">
        <v>41.3</v>
      </c>
      <c r="F1780" s="37" t="n">
        <v>14.7</v>
      </c>
    </row>
    <row r="1781">
      <c r="A1781" s="37" t="inlineStr">
        <is>
          <t>WL-02780</t>
        </is>
      </c>
      <c r="B1781" s="37" t="inlineStr">
        <is>
          <t>Taylor</t>
        </is>
      </c>
      <c r="C1781" s="37" t="inlineStr">
        <is>
          <t>Christopher</t>
        </is>
      </c>
      <c r="D1781" s="37" t="inlineStr">
        <is>
          <t>ACTIVE_WAITLIST</t>
        </is>
      </c>
      <c r="E1781" s="37" t="n">
        <v>29.9</v>
      </c>
      <c r="F1781" s="37" t="n">
        <v>9.6</v>
      </c>
    </row>
    <row r="1782">
      <c r="A1782" s="37" t="inlineStr">
        <is>
          <t>WL-02781</t>
        </is>
      </c>
      <c r="B1782" s="37" t="inlineStr">
        <is>
          <t>Perez</t>
        </is>
      </c>
      <c r="C1782" s="37" t="inlineStr">
        <is>
          <t>Trevor</t>
        </is>
      </c>
      <c r="D1782" s="37" t="inlineStr">
        <is>
          <t>ACTIVE_WAITLIST</t>
        </is>
      </c>
      <c r="E1782" s="37" t="n">
        <v>24.4</v>
      </c>
      <c r="F1782" s="37" t="n">
        <v>7.2</v>
      </c>
    </row>
    <row r="1783">
      <c r="A1783" s="37" t="inlineStr">
        <is>
          <t>WL-02782</t>
        </is>
      </c>
      <c r="B1783" s="37" t="inlineStr">
        <is>
          <t>Adams</t>
        </is>
      </c>
      <c r="C1783" s="37" t="inlineStr">
        <is>
          <t>Judy</t>
        </is>
      </c>
      <c r="D1783" s="37" t="inlineStr">
        <is>
          <t>ACTIVE_WAITLIST</t>
        </is>
      </c>
      <c r="E1783" s="37" t="n">
        <v>22.8</v>
      </c>
      <c r="F1783" s="37" t="n">
        <v>7.1</v>
      </c>
    </row>
    <row r="1784">
      <c r="A1784" s="37" t="inlineStr">
        <is>
          <t>WL-02783</t>
        </is>
      </c>
      <c r="B1784" s="37" t="inlineStr">
        <is>
          <t>Garza</t>
        </is>
      </c>
      <c r="C1784" s="37" t="inlineStr">
        <is>
          <t>Jean</t>
        </is>
      </c>
      <c r="D1784" s="37" t="inlineStr">
        <is>
          <t>EXPIRED</t>
        </is>
      </c>
      <c r="E1784" s="37" t="n">
        <v>32</v>
      </c>
      <c r="F1784" s="37" t="n">
        <v>9.4</v>
      </c>
    </row>
    <row r="1785">
      <c r="A1785" s="37" t="inlineStr">
        <is>
          <t>WL-02784</t>
        </is>
      </c>
      <c r="B1785" s="37" t="inlineStr">
        <is>
          <t>Freeman</t>
        </is>
      </c>
      <c r="C1785" s="37" t="inlineStr">
        <is>
          <t>Mary</t>
        </is>
      </c>
      <c r="D1785" s="37" t="inlineStr">
        <is>
          <t>ACTIVE_WAITLIST</t>
        </is>
      </c>
      <c r="E1785" s="37" t="n">
        <v>58.6</v>
      </c>
      <c r="F1785" s="37" t="n">
        <v>18.8</v>
      </c>
    </row>
    <row r="1786">
      <c r="A1786" s="37" t="inlineStr">
        <is>
          <t>WL-02785</t>
        </is>
      </c>
      <c r="B1786" s="37" t="inlineStr">
        <is>
          <t>Little</t>
        </is>
      </c>
      <c r="C1786" s="37" t="inlineStr">
        <is>
          <t>Jennifer</t>
        </is>
      </c>
      <c r="D1786" s="37" t="inlineStr">
        <is>
          <t>SUSPENDED</t>
        </is>
      </c>
      <c r="E1786" s="37" t="n">
        <v>34.3</v>
      </c>
      <c r="F1786" s="37" t="n">
        <v>10.8</v>
      </c>
    </row>
    <row r="1787">
      <c r="A1787" s="37" t="inlineStr">
        <is>
          <t>WL-02786</t>
        </is>
      </c>
      <c r="B1787" s="37" t="inlineStr">
        <is>
          <t>Mason</t>
        </is>
      </c>
      <c r="C1787" s="37" t="inlineStr">
        <is>
          <t>Tasha</t>
        </is>
      </c>
      <c r="D1787" s="37" t="inlineStr">
        <is>
          <t>ACTIVE_WAITLIST</t>
        </is>
      </c>
      <c r="E1787" s="37" t="n">
        <v>57.2</v>
      </c>
      <c r="F1787" s="37" t="n">
        <v>18.7</v>
      </c>
    </row>
    <row r="1788">
      <c r="A1788" s="37" t="inlineStr">
        <is>
          <t>WL-02787</t>
        </is>
      </c>
      <c r="B1788" s="37" t="inlineStr">
        <is>
          <t>Dawson</t>
        </is>
      </c>
      <c r="C1788" s="37" t="inlineStr">
        <is>
          <t>David</t>
        </is>
      </c>
      <c r="D1788" s="37" t="inlineStr">
        <is>
          <t>ACTIVE_WAITLIST</t>
        </is>
      </c>
      <c r="E1788" s="37" t="n">
        <v>22.5</v>
      </c>
      <c r="F1788" s="37" t="n">
        <v>6.8</v>
      </c>
    </row>
    <row r="1789">
      <c r="A1789" s="37" t="inlineStr">
        <is>
          <t>WL-02788</t>
        </is>
      </c>
      <c r="B1789" s="37" t="inlineStr">
        <is>
          <t>Mcdaniel</t>
        </is>
      </c>
      <c r="C1789" s="37" t="inlineStr">
        <is>
          <t>Eric</t>
        </is>
      </c>
      <c r="D1789" s="37" t="inlineStr">
        <is>
          <t>ACTIVE_WAITLIST</t>
        </is>
      </c>
      <c r="E1789" s="37" t="n">
        <v>45.7</v>
      </c>
      <c r="F1789" s="37" t="n">
        <v>16.3</v>
      </c>
    </row>
    <row r="1790">
      <c r="A1790" s="37" t="inlineStr">
        <is>
          <t>WL-02789</t>
        </is>
      </c>
      <c r="B1790" s="37" t="inlineStr">
        <is>
          <t>Berger</t>
        </is>
      </c>
      <c r="C1790" s="37" t="inlineStr">
        <is>
          <t>Elizabeth</t>
        </is>
      </c>
      <c r="D1790" s="37" t="inlineStr">
        <is>
          <t>ACTIVE_WAITLIST</t>
        </is>
      </c>
      <c r="E1790" s="37" t="n">
        <v>51</v>
      </c>
      <c r="F1790" s="37" t="n">
        <v>17.8</v>
      </c>
    </row>
    <row r="1791">
      <c r="A1791" s="37" t="inlineStr">
        <is>
          <t>WL-02790</t>
        </is>
      </c>
      <c r="B1791" s="37" t="inlineStr">
        <is>
          <t>Armstrong</t>
        </is>
      </c>
      <c r="C1791" s="37" t="inlineStr">
        <is>
          <t>Mike</t>
        </is>
      </c>
      <c r="D1791" s="37" t="inlineStr">
        <is>
          <t>ACTIVE_WAITLIST</t>
        </is>
      </c>
      <c r="E1791" s="37" t="n">
        <v>38</v>
      </c>
      <c r="F1791" s="37" t="n">
        <v>11.7</v>
      </c>
    </row>
    <row r="1792">
      <c r="A1792" s="37" t="inlineStr">
        <is>
          <t>WL-02791</t>
        </is>
      </c>
      <c r="B1792" s="37" t="inlineStr">
        <is>
          <t>Jimenez</t>
        </is>
      </c>
      <c r="C1792" s="37" t="inlineStr">
        <is>
          <t>Kyle</t>
        </is>
      </c>
      <c r="D1792" s="37" t="inlineStr">
        <is>
          <t>ACTIVE_WAITLIST</t>
        </is>
      </c>
      <c r="E1792" s="37" t="n">
        <v>47.7</v>
      </c>
      <c r="F1792" s="37" t="n">
        <v>15</v>
      </c>
    </row>
    <row r="1793">
      <c r="A1793" s="37" t="inlineStr">
        <is>
          <t>WL-02792</t>
        </is>
      </c>
      <c r="B1793" s="37" t="inlineStr">
        <is>
          <t>Marsh</t>
        </is>
      </c>
      <c r="C1793" s="37" t="inlineStr">
        <is>
          <t>Michelle</t>
        </is>
      </c>
      <c r="D1793" s="37" t="inlineStr">
        <is>
          <t>ACTIVE_WAITLIST</t>
        </is>
      </c>
      <c r="E1793" s="37" t="n">
        <v>58.7</v>
      </c>
      <c r="F1793" s="37" t="n">
        <v>19.4</v>
      </c>
    </row>
    <row r="1794">
      <c r="A1794" s="37" t="inlineStr">
        <is>
          <t>WL-02793</t>
        </is>
      </c>
      <c r="B1794" s="37" t="inlineStr">
        <is>
          <t>Franco</t>
        </is>
      </c>
      <c r="C1794" s="37" t="inlineStr">
        <is>
          <t>David</t>
        </is>
      </c>
      <c r="D1794" s="37" t="inlineStr">
        <is>
          <t>ACTIVE_WAITLIST</t>
        </is>
      </c>
      <c r="E1794" s="37" t="n">
        <v>47.6</v>
      </c>
      <c r="F1794" s="37" t="n">
        <v>15.6</v>
      </c>
    </row>
    <row r="1795">
      <c r="A1795" s="37" t="inlineStr">
        <is>
          <t>WL-02794</t>
        </is>
      </c>
      <c r="B1795" s="37" t="inlineStr">
        <is>
          <t>Weiss</t>
        </is>
      </c>
      <c r="C1795" s="37" t="inlineStr">
        <is>
          <t>Chelsea</t>
        </is>
      </c>
      <c r="D1795" s="37" t="inlineStr">
        <is>
          <t>ACTIVE_WAITLIST</t>
        </is>
      </c>
      <c r="E1795" s="37" t="n">
        <v>39.6</v>
      </c>
      <c r="F1795" s="37" t="n">
        <v>12.5</v>
      </c>
    </row>
    <row r="1796">
      <c r="A1796" s="37" t="inlineStr">
        <is>
          <t>WL-02795</t>
        </is>
      </c>
      <c r="B1796" s="37" t="inlineStr">
        <is>
          <t>Calhoun</t>
        </is>
      </c>
      <c r="C1796" s="37" t="inlineStr">
        <is>
          <t>Sean</t>
        </is>
      </c>
      <c r="D1796" s="37" t="inlineStr">
        <is>
          <t>ACTIVE_WAITLIST</t>
        </is>
      </c>
      <c r="E1796" s="37" t="n">
        <v>54.3</v>
      </c>
      <c r="F1796" s="37" t="n">
        <v>18</v>
      </c>
    </row>
    <row r="1797">
      <c r="A1797" s="37" t="inlineStr">
        <is>
          <t>WL-02796</t>
        </is>
      </c>
      <c r="B1797" s="37" t="inlineStr">
        <is>
          <t>Scott</t>
        </is>
      </c>
      <c r="C1797" s="37" t="inlineStr">
        <is>
          <t>Gavin</t>
        </is>
      </c>
      <c r="D1797" s="37" t="inlineStr">
        <is>
          <t>ACTIVE_WAITLIST</t>
        </is>
      </c>
      <c r="E1797" s="37" t="n">
        <v>46.3</v>
      </c>
      <c r="F1797" s="37" t="n">
        <v>15.8</v>
      </c>
    </row>
    <row r="1798">
      <c r="A1798" s="37" t="inlineStr">
        <is>
          <t>WL-02797</t>
        </is>
      </c>
      <c r="B1798" s="37" t="inlineStr">
        <is>
          <t>Stephens</t>
        </is>
      </c>
      <c r="C1798" s="37" t="inlineStr">
        <is>
          <t>Lori</t>
        </is>
      </c>
      <c r="D1798" s="37" t="inlineStr">
        <is>
          <t>ACTIVE_WAITLIST</t>
        </is>
      </c>
      <c r="E1798" s="37" t="n">
        <v>36.2</v>
      </c>
      <c r="F1798" s="37" t="n">
        <v>11.6</v>
      </c>
    </row>
    <row r="1799">
      <c r="A1799" s="37" t="inlineStr">
        <is>
          <t>WL-02798</t>
        </is>
      </c>
      <c r="B1799" s="37" t="inlineStr">
        <is>
          <t>Vaughn</t>
        </is>
      </c>
      <c r="C1799" s="37" t="inlineStr">
        <is>
          <t>Cindy</t>
        </is>
      </c>
      <c r="D1799" s="37" t="inlineStr">
        <is>
          <t>ACTIVE_WAITLIST</t>
        </is>
      </c>
      <c r="E1799" s="37" t="n">
        <v>30.6</v>
      </c>
      <c r="F1799" s="37" t="n">
        <v>10.1</v>
      </c>
    </row>
    <row r="1800">
      <c r="A1800" s="37" t="inlineStr">
        <is>
          <t>WL-02799</t>
        </is>
      </c>
      <c r="B1800" s="37" t="inlineStr">
        <is>
          <t>Turner</t>
        </is>
      </c>
      <c r="C1800" s="37" t="inlineStr">
        <is>
          <t>Amber</t>
        </is>
      </c>
      <c r="D1800" s="37" t="inlineStr">
        <is>
          <t>ACTIVE_WAITLIST</t>
        </is>
      </c>
      <c r="E1800" s="37" t="n">
        <v>51.1</v>
      </c>
      <c r="F1800" s="37" t="n">
        <v>16.8</v>
      </c>
    </row>
    <row r="1801">
      <c r="A1801" s="37" t="inlineStr">
        <is>
          <t>WL-02800</t>
        </is>
      </c>
      <c r="B1801" s="37" t="inlineStr">
        <is>
          <t>Berg</t>
        </is>
      </c>
      <c r="C1801" s="37" t="inlineStr">
        <is>
          <t>Phillip</t>
        </is>
      </c>
      <c r="D1801" s="37" t="inlineStr">
        <is>
          <t>RETAINER</t>
        </is>
      </c>
      <c r="E1801" s="37" t="n">
        <v>30</v>
      </c>
      <c r="F1801" s="37" t="n">
        <v>9.4</v>
      </c>
    </row>
    <row r="1802">
      <c r="A1802" s="37" t="inlineStr">
        <is>
          <t>WL-02801</t>
        </is>
      </c>
      <c r="B1802" s="37" t="inlineStr">
        <is>
          <t>Burgess</t>
        </is>
      </c>
      <c r="C1802" s="37" t="inlineStr">
        <is>
          <t>Tony</t>
        </is>
      </c>
      <c r="D1802" s="37" t="inlineStr">
        <is>
          <t>ACTIVE_WAITLIST</t>
        </is>
      </c>
      <c r="E1802" s="37" t="n">
        <v>57.1</v>
      </c>
      <c r="F1802" s="37" t="n">
        <v>16.3</v>
      </c>
    </row>
    <row r="1803">
      <c r="A1803" s="37" t="inlineStr">
        <is>
          <t>WL-02802</t>
        </is>
      </c>
      <c r="B1803" s="37" t="inlineStr">
        <is>
          <t>Poole</t>
        </is>
      </c>
      <c r="C1803" s="37" t="inlineStr">
        <is>
          <t>Kimberly</t>
        </is>
      </c>
      <c r="D1803" s="37" t="inlineStr">
        <is>
          <t>ACTIVE_WAITLIST</t>
        </is>
      </c>
      <c r="E1803" s="37" t="n">
        <v>43.3</v>
      </c>
      <c r="F1803" s="37" t="n">
        <v>12.8</v>
      </c>
    </row>
    <row r="1804">
      <c r="A1804" s="37" t="inlineStr">
        <is>
          <t>WL-02803</t>
        </is>
      </c>
      <c r="B1804" s="37" t="inlineStr">
        <is>
          <t>Rodriguez</t>
        </is>
      </c>
      <c r="C1804" s="37" t="inlineStr">
        <is>
          <t>James</t>
        </is>
      </c>
      <c r="D1804" s="37" t="inlineStr">
        <is>
          <t>RETAINER</t>
        </is>
      </c>
      <c r="E1804" s="37" t="n">
        <v>61.4</v>
      </c>
      <c r="F1804" s="37" t="n">
        <v>20.8</v>
      </c>
    </row>
    <row r="1805">
      <c r="A1805" s="37" t="inlineStr">
        <is>
          <t>WL-02804</t>
        </is>
      </c>
      <c r="B1805" s="37" t="inlineStr">
        <is>
          <t>Jones</t>
        </is>
      </c>
      <c r="C1805" s="37" t="inlineStr">
        <is>
          <t>Danny</t>
        </is>
      </c>
      <c r="D1805" s="37" t="inlineStr">
        <is>
          <t>ACTIVE_WAITLIST</t>
        </is>
      </c>
      <c r="E1805" s="37" t="n">
        <v>28.7</v>
      </c>
      <c r="F1805" s="37" t="n">
        <v>8.9</v>
      </c>
    </row>
    <row r="1806">
      <c r="A1806" s="37" t="inlineStr">
        <is>
          <t>WL-02805</t>
        </is>
      </c>
      <c r="B1806" s="37" t="inlineStr">
        <is>
          <t>Fuentes</t>
        </is>
      </c>
      <c r="C1806" s="37" t="inlineStr">
        <is>
          <t>Sheila</t>
        </is>
      </c>
      <c r="D1806" s="37" t="inlineStr">
        <is>
          <t>ACTIVE_WAITLIST</t>
        </is>
      </c>
      <c r="E1806" s="37" t="n">
        <v>37.5</v>
      </c>
      <c r="F1806" s="37" t="n">
        <v>11.2</v>
      </c>
    </row>
    <row r="1807">
      <c r="A1807" s="37" t="inlineStr">
        <is>
          <t>WL-02806</t>
        </is>
      </c>
      <c r="B1807" s="37" t="inlineStr">
        <is>
          <t>Chen</t>
        </is>
      </c>
      <c r="C1807" s="37" t="inlineStr">
        <is>
          <t>Kimberly</t>
        </is>
      </c>
      <c r="D1807" s="37" t="inlineStr">
        <is>
          <t>RETAINER</t>
        </is>
      </c>
      <c r="E1807" s="37" t="n">
        <v>53</v>
      </c>
      <c r="F1807" s="37" t="n">
        <v>15.9</v>
      </c>
    </row>
    <row r="1808">
      <c r="A1808" s="37" t="inlineStr">
        <is>
          <t>WL-02807</t>
        </is>
      </c>
      <c r="B1808" s="37" t="inlineStr">
        <is>
          <t>Wells</t>
        </is>
      </c>
      <c r="C1808" s="37" t="inlineStr">
        <is>
          <t>Julia</t>
        </is>
      </c>
      <c r="D1808" s="37" t="inlineStr">
        <is>
          <t>ACTIVE_WAITLIST</t>
        </is>
      </c>
      <c r="E1808" s="37" t="n">
        <v>33.6</v>
      </c>
      <c r="F1808" s="37" t="n">
        <v>11.2</v>
      </c>
    </row>
    <row r="1809">
      <c r="A1809" s="37" t="inlineStr">
        <is>
          <t>WL-02808</t>
        </is>
      </c>
      <c r="B1809" s="37" t="inlineStr">
        <is>
          <t>Nelson</t>
        </is>
      </c>
      <c r="C1809" s="37" t="inlineStr">
        <is>
          <t>Tammy</t>
        </is>
      </c>
      <c r="D1809" s="37" t="inlineStr">
        <is>
          <t>ACTIVE_WAITLIST</t>
        </is>
      </c>
      <c r="E1809" s="37" t="n">
        <v>45.9</v>
      </c>
      <c r="F1809" s="37" t="n">
        <v>16.4</v>
      </c>
    </row>
    <row r="1810">
      <c r="A1810" s="37" t="inlineStr">
        <is>
          <t>WL-02809</t>
        </is>
      </c>
      <c r="B1810" s="37" t="inlineStr">
        <is>
          <t>Carey</t>
        </is>
      </c>
      <c r="C1810" s="37" t="inlineStr">
        <is>
          <t>Austin</t>
        </is>
      </c>
      <c r="D1810" s="37" t="inlineStr">
        <is>
          <t>ACTIVE_WAITLIST</t>
        </is>
      </c>
      <c r="E1810" s="37" t="n">
        <v>54.3</v>
      </c>
      <c r="F1810" s="37" t="n">
        <v>19.2</v>
      </c>
    </row>
    <row r="1811">
      <c r="A1811" s="37" t="inlineStr">
        <is>
          <t>WL-02810</t>
        </is>
      </c>
      <c r="B1811" s="37" t="inlineStr">
        <is>
          <t>Morgan</t>
        </is>
      </c>
      <c r="C1811" s="37" t="inlineStr">
        <is>
          <t>Steven</t>
        </is>
      </c>
      <c r="D1811" s="37" t="inlineStr">
        <is>
          <t>ACTIVE_WAITLIST</t>
        </is>
      </c>
      <c r="E1811" s="37" t="n">
        <v>29.4</v>
      </c>
      <c r="F1811" s="37" t="n">
        <v>9.9</v>
      </c>
    </row>
    <row r="1812">
      <c r="A1812" s="37" t="inlineStr">
        <is>
          <t>WL-02811</t>
        </is>
      </c>
      <c r="B1812" s="37" t="inlineStr">
        <is>
          <t>Thomas</t>
        </is>
      </c>
      <c r="C1812" s="37" t="inlineStr">
        <is>
          <t>Bryan</t>
        </is>
      </c>
      <c r="D1812" s="37" t="inlineStr">
        <is>
          <t>RETAINER</t>
        </is>
      </c>
      <c r="E1812" s="37" t="n">
        <v>38.5</v>
      </c>
      <c r="F1812" s="37" t="n">
        <v>11.6</v>
      </c>
    </row>
    <row r="1813">
      <c r="A1813" s="37" t="inlineStr">
        <is>
          <t>WL-02812</t>
        </is>
      </c>
      <c r="B1813" s="37" t="inlineStr">
        <is>
          <t>Christensen</t>
        </is>
      </c>
      <c r="C1813" s="37" t="inlineStr">
        <is>
          <t>Leslie</t>
        </is>
      </c>
      <c r="D1813" s="37" t="inlineStr">
        <is>
          <t>ACTIVE_WAITLIST</t>
        </is>
      </c>
      <c r="E1813" s="37" t="n">
        <v>27.4</v>
      </c>
      <c r="F1813" s="37" t="n">
        <v>9.300000000000001</v>
      </c>
    </row>
    <row r="1814">
      <c r="A1814" s="37" t="inlineStr">
        <is>
          <t>WL-02813</t>
        </is>
      </c>
      <c r="B1814" s="37" t="inlineStr">
        <is>
          <t>Dawson</t>
        </is>
      </c>
      <c r="C1814" s="37" t="inlineStr">
        <is>
          <t>Calvin</t>
        </is>
      </c>
      <c r="D1814" s="37" t="inlineStr">
        <is>
          <t>ACTIVE_WAITLIST</t>
        </is>
      </c>
      <c r="E1814" s="37" t="n">
        <v>56.4</v>
      </c>
      <c r="F1814" s="37" t="n">
        <v>18.3</v>
      </c>
    </row>
    <row r="1815">
      <c r="A1815" s="37" t="inlineStr">
        <is>
          <t>WL-02814</t>
        </is>
      </c>
      <c r="B1815" s="37" t="inlineStr">
        <is>
          <t>Hammond</t>
        </is>
      </c>
      <c r="C1815" s="37" t="inlineStr">
        <is>
          <t>John</t>
        </is>
      </c>
      <c r="D1815" s="37" t="inlineStr">
        <is>
          <t>ACTIVE_WAITLIST</t>
        </is>
      </c>
      <c r="E1815" s="37" t="n">
        <v>27.9</v>
      </c>
      <c r="F1815" s="37" t="n">
        <v>9.300000000000001</v>
      </c>
    </row>
    <row r="1816">
      <c r="A1816" s="37" t="inlineStr">
        <is>
          <t>WL-02815</t>
        </is>
      </c>
      <c r="B1816" s="37" t="inlineStr">
        <is>
          <t>Myers</t>
        </is>
      </c>
      <c r="C1816" s="37" t="inlineStr">
        <is>
          <t>Mark</t>
        </is>
      </c>
      <c r="D1816" s="37" t="inlineStr">
        <is>
          <t>ACTIVE_WAITLIST</t>
        </is>
      </c>
      <c r="E1816" s="37" t="n">
        <v>34.1</v>
      </c>
      <c r="F1816" s="37" t="n">
        <v>9.6</v>
      </c>
    </row>
    <row r="1817">
      <c r="A1817" s="37" t="inlineStr">
        <is>
          <t>WL-02816</t>
        </is>
      </c>
      <c r="B1817" s="37" t="inlineStr">
        <is>
          <t>Chang</t>
        </is>
      </c>
      <c r="C1817" s="37" t="inlineStr">
        <is>
          <t>Joel</t>
        </is>
      </c>
      <c r="D1817" s="37" t="inlineStr">
        <is>
          <t>ACTIVE_WAITLIST</t>
        </is>
      </c>
      <c r="E1817" s="37" t="n">
        <v>48.8</v>
      </c>
      <c r="F1817" s="37" t="n">
        <v>17.5</v>
      </c>
    </row>
    <row r="1818">
      <c r="A1818" s="37" t="inlineStr">
        <is>
          <t>WL-02817</t>
        </is>
      </c>
      <c r="B1818" s="37" t="inlineStr">
        <is>
          <t>Morales</t>
        </is>
      </c>
      <c r="C1818" s="37" t="inlineStr">
        <is>
          <t>James</t>
        </is>
      </c>
      <c r="D1818" s="37" t="inlineStr">
        <is>
          <t>ACTIVE_WAITLIST</t>
        </is>
      </c>
      <c r="E1818" s="37" t="n">
        <v>22.9</v>
      </c>
      <c r="F1818" s="37" t="n">
        <v>7.1</v>
      </c>
    </row>
    <row r="1819">
      <c r="A1819" s="37" t="inlineStr">
        <is>
          <t>WL-02818</t>
        </is>
      </c>
      <c r="B1819" s="37" t="inlineStr">
        <is>
          <t>Bryan</t>
        </is>
      </c>
      <c r="C1819" s="37" t="inlineStr">
        <is>
          <t>Andrew</t>
        </is>
      </c>
      <c r="D1819" s="37" t="inlineStr">
        <is>
          <t>ACTIVE_WAITLIST</t>
        </is>
      </c>
      <c r="E1819" s="37" t="n">
        <v>39.3</v>
      </c>
      <c r="F1819" s="37" t="n">
        <v>11.2</v>
      </c>
    </row>
    <row r="1820">
      <c r="A1820" s="37" t="inlineStr">
        <is>
          <t>WL-02819</t>
        </is>
      </c>
      <c r="B1820" s="37" t="inlineStr">
        <is>
          <t>Johnson</t>
        </is>
      </c>
      <c r="C1820" s="37" t="inlineStr">
        <is>
          <t>Derrick</t>
        </is>
      </c>
      <c r="D1820" s="37" t="inlineStr">
        <is>
          <t>ACTIVE_WAITLIST</t>
        </is>
      </c>
      <c r="E1820" s="37" t="n">
        <v>18.7</v>
      </c>
      <c r="F1820" s="37" t="n">
        <v>5.7</v>
      </c>
    </row>
    <row r="1821">
      <c r="A1821" s="37" t="inlineStr">
        <is>
          <t>WL-02820</t>
        </is>
      </c>
      <c r="B1821" s="37" t="inlineStr">
        <is>
          <t>Martin</t>
        </is>
      </c>
      <c r="C1821" s="37" t="inlineStr">
        <is>
          <t>Christina</t>
        </is>
      </c>
      <c r="D1821" s="37" t="inlineStr">
        <is>
          <t>SUSPENDED</t>
        </is>
      </c>
      <c r="E1821" s="37" t="n">
        <v>21.9</v>
      </c>
      <c r="F1821" s="37" t="n">
        <v>7.7</v>
      </c>
    </row>
    <row r="1822">
      <c r="A1822" s="37" t="inlineStr">
        <is>
          <t>WL-02821</t>
        </is>
      </c>
      <c r="B1822" s="37" t="inlineStr">
        <is>
          <t>Smith</t>
        </is>
      </c>
      <c r="C1822" s="37" t="inlineStr">
        <is>
          <t>Benjamin</t>
        </is>
      </c>
      <c r="D1822" s="37" t="inlineStr">
        <is>
          <t>ACTIVE_WAITLIST</t>
        </is>
      </c>
      <c r="E1822" s="37" t="n">
        <v>43.5</v>
      </c>
      <c r="F1822" s="37" t="n">
        <v>14.1</v>
      </c>
    </row>
    <row r="1823">
      <c r="A1823" s="37" t="inlineStr">
        <is>
          <t>WL-02822</t>
        </is>
      </c>
      <c r="B1823" s="37" t="inlineStr">
        <is>
          <t>Williams</t>
        </is>
      </c>
      <c r="C1823" s="37" t="inlineStr">
        <is>
          <t>Evan</t>
        </is>
      </c>
      <c r="D1823" s="37" t="inlineStr">
        <is>
          <t>ACTIVE_WAITLIST</t>
        </is>
      </c>
      <c r="E1823" s="37" t="n">
        <v>36.7</v>
      </c>
      <c r="F1823" s="37" t="n">
        <v>11.4</v>
      </c>
    </row>
    <row r="1824">
      <c r="A1824" s="37" t="inlineStr">
        <is>
          <t>WL-02823</t>
        </is>
      </c>
      <c r="B1824" s="37" t="inlineStr">
        <is>
          <t>Nicholson</t>
        </is>
      </c>
      <c r="C1824" s="37" t="inlineStr">
        <is>
          <t>Brian</t>
        </is>
      </c>
      <c r="D1824" s="37" t="inlineStr">
        <is>
          <t>ACTIVE_WAITLIST</t>
        </is>
      </c>
      <c r="E1824" s="37" t="n">
        <v>19.3</v>
      </c>
      <c r="F1824" s="37" t="n">
        <v>6</v>
      </c>
    </row>
    <row r="1825">
      <c r="A1825" s="37" t="inlineStr">
        <is>
          <t>WL-02824</t>
        </is>
      </c>
      <c r="B1825" s="37" t="inlineStr">
        <is>
          <t>Gallegos</t>
        </is>
      </c>
      <c r="C1825" s="37" t="inlineStr">
        <is>
          <t>Carol</t>
        </is>
      </c>
      <c r="D1825" s="37" t="inlineStr">
        <is>
          <t>ACTIVE_WAITLIST</t>
        </is>
      </c>
      <c r="E1825" s="37" t="n">
        <v>51.6</v>
      </c>
      <c r="F1825" s="37" t="n">
        <v>15.9</v>
      </c>
    </row>
    <row r="1826">
      <c r="A1826" s="37" t="inlineStr">
        <is>
          <t>WL-02825</t>
        </is>
      </c>
      <c r="B1826" s="37" t="inlineStr">
        <is>
          <t>Watkins</t>
        </is>
      </c>
      <c r="C1826" s="37" t="inlineStr">
        <is>
          <t>Dustin</t>
        </is>
      </c>
      <c r="D1826" s="37" t="inlineStr">
        <is>
          <t>ACTIVE_WAITLIST</t>
        </is>
      </c>
      <c r="E1826" s="37" t="n">
        <v>58.6</v>
      </c>
      <c r="F1826" s="37" t="n">
        <v>20.2</v>
      </c>
    </row>
    <row r="1827">
      <c r="A1827" s="37" t="inlineStr">
        <is>
          <t>WL-02826</t>
        </is>
      </c>
      <c r="B1827" s="37" t="inlineStr">
        <is>
          <t>Wilson</t>
        </is>
      </c>
      <c r="C1827" s="37" t="inlineStr">
        <is>
          <t>Deborah</t>
        </is>
      </c>
      <c r="D1827" s="37" t="inlineStr">
        <is>
          <t>ACTIVE_WAITLIST</t>
        </is>
      </c>
      <c r="E1827" s="37" t="n">
        <v>34.5</v>
      </c>
      <c r="F1827" s="37" t="n">
        <v>11.2</v>
      </c>
    </row>
    <row r="1828">
      <c r="A1828" s="37" t="inlineStr">
        <is>
          <t>WL-02827</t>
        </is>
      </c>
      <c r="B1828" s="37" t="inlineStr">
        <is>
          <t>Wilson</t>
        </is>
      </c>
      <c r="C1828" s="37" t="inlineStr">
        <is>
          <t>Kimberly</t>
        </is>
      </c>
      <c r="D1828" s="37" t="inlineStr">
        <is>
          <t>ACTIVE_WAITLIST</t>
        </is>
      </c>
      <c r="E1828" s="37" t="n">
        <v>36.2</v>
      </c>
      <c r="F1828" s="37" t="n">
        <v>12.8</v>
      </c>
    </row>
    <row r="1829">
      <c r="A1829" s="37" t="inlineStr">
        <is>
          <t>WL-02828</t>
        </is>
      </c>
      <c r="B1829" s="37" t="inlineStr">
        <is>
          <t>Olsen</t>
        </is>
      </c>
      <c r="C1829" s="37" t="inlineStr">
        <is>
          <t>Desiree</t>
        </is>
      </c>
      <c r="D1829" s="37" t="inlineStr">
        <is>
          <t>ACTIVE_WAITLIST</t>
        </is>
      </c>
      <c r="E1829" s="37" t="n">
        <v>59.7</v>
      </c>
      <c r="F1829" s="37" t="n">
        <v>21</v>
      </c>
    </row>
    <row r="1830">
      <c r="A1830" s="37" t="inlineStr">
        <is>
          <t>WL-02829</t>
        </is>
      </c>
      <c r="B1830" s="37" t="inlineStr">
        <is>
          <t>Lawrence</t>
        </is>
      </c>
      <c r="C1830" s="37" t="inlineStr">
        <is>
          <t>Jenna</t>
        </is>
      </c>
      <c r="D1830" s="37" t="inlineStr">
        <is>
          <t>RETAINER</t>
        </is>
      </c>
      <c r="E1830" s="37" t="n">
        <v>18.6</v>
      </c>
      <c r="F1830" s="37" t="n">
        <v>5.3</v>
      </c>
    </row>
    <row r="1831">
      <c r="A1831" s="37" t="inlineStr">
        <is>
          <t>WL-02830</t>
        </is>
      </c>
      <c r="B1831" s="37" t="inlineStr">
        <is>
          <t>Larson</t>
        </is>
      </c>
      <c r="C1831" s="37" t="inlineStr">
        <is>
          <t>Jeffrey</t>
        </is>
      </c>
      <c r="D1831" s="37" t="inlineStr">
        <is>
          <t>ACTIVE_WAITLIST</t>
        </is>
      </c>
      <c r="E1831" s="37" t="n">
        <v>33.3</v>
      </c>
      <c r="F1831" s="37" t="n">
        <v>10.7</v>
      </c>
    </row>
    <row r="1832">
      <c r="A1832" s="37" t="inlineStr">
        <is>
          <t>WL-02831</t>
        </is>
      </c>
      <c r="B1832" s="37" t="inlineStr">
        <is>
          <t>Alexander</t>
        </is>
      </c>
      <c r="C1832" s="37" t="inlineStr">
        <is>
          <t>Benjamin</t>
        </is>
      </c>
      <c r="D1832" s="37" t="inlineStr">
        <is>
          <t>ACTIVE_WAITLIST</t>
        </is>
      </c>
      <c r="E1832" s="37" t="n">
        <v>40.3</v>
      </c>
      <c r="F1832" s="37" t="n">
        <v>11.7</v>
      </c>
    </row>
    <row r="1833">
      <c r="A1833" s="37" t="inlineStr">
        <is>
          <t>WL-02832</t>
        </is>
      </c>
      <c r="B1833" s="37" t="inlineStr">
        <is>
          <t>Schwartz</t>
        </is>
      </c>
      <c r="C1833" s="37" t="inlineStr">
        <is>
          <t>Mia</t>
        </is>
      </c>
      <c r="D1833" s="37" t="inlineStr">
        <is>
          <t>ACTIVE_WAITLIST</t>
        </is>
      </c>
      <c r="E1833" s="37" t="n">
        <v>35</v>
      </c>
      <c r="F1833" s="37" t="n">
        <v>10</v>
      </c>
    </row>
    <row r="1834">
      <c r="A1834" s="37" t="inlineStr">
        <is>
          <t>WL-02833</t>
        </is>
      </c>
      <c r="B1834" s="37" t="inlineStr">
        <is>
          <t>Davis</t>
        </is>
      </c>
      <c r="C1834" s="37" t="inlineStr">
        <is>
          <t>Anna</t>
        </is>
      </c>
      <c r="D1834" s="37" t="inlineStr">
        <is>
          <t>ACTIVE_WAITLIST</t>
        </is>
      </c>
      <c r="E1834" s="37" t="n">
        <v>45</v>
      </c>
      <c r="F1834" s="37" t="n">
        <v>14.3</v>
      </c>
    </row>
    <row r="1835">
      <c r="A1835" s="37" t="inlineStr">
        <is>
          <t>WL-02834</t>
        </is>
      </c>
      <c r="B1835" s="37" t="inlineStr">
        <is>
          <t>Chen</t>
        </is>
      </c>
      <c r="C1835" s="37" t="inlineStr">
        <is>
          <t>Gregory</t>
        </is>
      </c>
      <c r="D1835" s="37" t="inlineStr">
        <is>
          <t>ACTIVE_WAITLIST</t>
        </is>
      </c>
      <c r="E1835" s="37" t="n">
        <v>51.4</v>
      </c>
      <c r="F1835" s="37" t="n">
        <v>17.3</v>
      </c>
    </row>
    <row r="1836">
      <c r="A1836" s="37" t="inlineStr">
        <is>
          <t>WL-02835</t>
        </is>
      </c>
      <c r="B1836" s="37" t="inlineStr">
        <is>
          <t>Cox</t>
        </is>
      </c>
      <c r="C1836" s="37" t="inlineStr">
        <is>
          <t>Jennifer</t>
        </is>
      </c>
      <c r="D1836" s="37" t="inlineStr">
        <is>
          <t>ACTIVE_WAITLIST</t>
        </is>
      </c>
      <c r="E1836" s="37" t="n">
        <v>36.9</v>
      </c>
      <c r="F1836" s="37" t="n">
        <v>11.6</v>
      </c>
    </row>
    <row r="1837">
      <c r="A1837" s="37" t="inlineStr">
        <is>
          <t>WL-02836</t>
        </is>
      </c>
      <c r="B1837" s="37" t="inlineStr">
        <is>
          <t>Coffey</t>
        </is>
      </c>
      <c r="C1837" s="37" t="inlineStr">
        <is>
          <t>Kimberly</t>
        </is>
      </c>
      <c r="D1837" s="37" t="inlineStr">
        <is>
          <t>RETAINER</t>
        </is>
      </c>
      <c r="E1837" s="37" t="n">
        <v>40.1</v>
      </c>
      <c r="F1837" s="37" t="n">
        <v>13.4</v>
      </c>
    </row>
    <row r="1838">
      <c r="A1838" s="37" t="inlineStr">
        <is>
          <t>WL-02837</t>
        </is>
      </c>
      <c r="B1838" s="37" t="inlineStr">
        <is>
          <t>Elliott</t>
        </is>
      </c>
      <c r="C1838" s="37" t="inlineStr">
        <is>
          <t>Tara</t>
        </is>
      </c>
      <c r="D1838" s="37" t="inlineStr">
        <is>
          <t>ACTIVE_WAITLIST</t>
        </is>
      </c>
      <c r="E1838" s="37" t="n">
        <v>21.2</v>
      </c>
      <c r="F1838" s="37" t="n">
        <v>7.4</v>
      </c>
    </row>
    <row r="1839">
      <c r="A1839" s="37" t="inlineStr">
        <is>
          <t>WL-02838</t>
        </is>
      </c>
      <c r="B1839" s="37" t="inlineStr">
        <is>
          <t>Griffin</t>
        </is>
      </c>
      <c r="C1839" s="37" t="inlineStr">
        <is>
          <t>Kimberly</t>
        </is>
      </c>
      <c r="D1839" s="37" t="inlineStr">
        <is>
          <t>ACTIVE_WAITLIST</t>
        </is>
      </c>
      <c r="E1839" s="37" t="n">
        <v>48.5</v>
      </c>
      <c r="F1839" s="37" t="n">
        <v>15.3</v>
      </c>
    </row>
    <row r="1840">
      <c r="A1840" s="37" t="inlineStr">
        <is>
          <t>WL-02839</t>
        </is>
      </c>
      <c r="B1840" s="37" t="inlineStr">
        <is>
          <t>Reynolds</t>
        </is>
      </c>
      <c r="C1840" s="37" t="inlineStr">
        <is>
          <t>April</t>
        </is>
      </c>
      <c r="D1840" s="37" t="inlineStr">
        <is>
          <t>ACTIVE_WAITLIST</t>
        </is>
      </c>
      <c r="E1840" s="37" t="n">
        <v>46</v>
      </c>
      <c r="F1840" s="37" t="n">
        <v>15.8</v>
      </c>
    </row>
    <row r="1841">
      <c r="A1841" s="37" t="inlineStr">
        <is>
          <t>WL-02840</t>
        </is>
      </c>
      <c r="B1841" s="37" t="inlineStr">
        <is>
          <t>Mcdonald</t>
        </is>
      </c>
      <c r="C1841" s="37" t="inlineStr">
        <is>
          <t>Zachary</t>
        </is>
      </c>
      <c r="D1841" s="37" t="inlineStr">
        <is>
          <t>ACTIVE_WAITLIST</t>
        </is>
      </c>
      <c r="E1841" s="37" t="n">
        <v>53.9</v>
      </c>
      <c r="F1841" s="37" t="n">
        <v>15.5</v>
      </c>
    </row>
    <row r="1842">
      <c r="A1842" s="37" t="inlineStr">
        <is>
          <t>WL-02841</t>
        </is>
      </c>
      <c r="B1842" s="37" t="inlineStr">
        <is>
          <t>Harvey</t>
        </is>
      </c>
      <c r="C1842" s="37" t="inlineStr">
        <is>
          <t>Wendy</t>
        </is>
      </c>
      <c r="D1842" s="37" t="inlineStr">
        <is>
          <t>ACTIVE_WAITLIST</t>
        </is>
      </c>
      <c r="E1842" s="37" t="n">
        <v>43.7</v>
      </c>
      <c r="F1842" s="37" t="n">
        <v>14.9</v>
      </c>
    </row>
    <row r="1843">
      <c r="A1843" s="37" t="inlineStr">
        <is>
          <t>WL-02842</t>
        </is>
      </c>
      <c r="B1843" s="37" t="inlineStr">
        <is>
          <t>Rhodes</t>
        </is>
      </c>
      <c r="C1843" s="37" t="inlineStr">
        <is>
          <t>Henry</t>
        </is>
      </c>
      <c r="D1843" s="37" t="inlineStr">
        <is>
          <t>SUSPENDED</t>
        </is>
      </c>
      <c r="E1843" s="37" t="n">
        <v>61.2</v>
      </c>
      <c r="F1843" s="37" t="n">
        <v>21.1</v>
      </c>
    </row>
    <row r="1844">
      <c r="A1844" s="37" t="inlineStr">
        <is>
          <t>WL-02843</t>
        </is>
      </c>
      <c r="B1844" s="37" t="inlineStr">
        <is>
          <t>Navarro</t>
        </is>
      </c>
      <c r="C1844" s="37" t="inlineStr">
        <is>
          <t>Joshua</t>
        </is>
      </c>
      <c r="D1844" s="37" t="inlineStr">
        <is>
          <t>ACTIVE_WAITLIST</t>
        </is>
      </c>
      <c r="E1844" s="37" t="n">
        <v>21.9</v>
      </c>
      <c r="F1844" s="37" t="n">
        <v>7.6</v>
      </c>
    </row>
    <row r="1845">
      <c r="A1845" s="37" t="inlineStr">
        <is>
          <t>WL-02844</t>
        </is>
      </c>
      <c r="B1845" s="37" t="inlineStr">
        <is>
          <t>Richards</t>
        </is>
      </c>
      <c r="C1845" s="37" t="inlineStr">
        <is>
          <t>Michael</t>
        </is>
      </c>
      <c r="D1845" s="37" t="inlineStr">
        <is>
          <t>ACTIVE_WAITLIST</t>
        </is>
      </c>
      <c r="E1845" s="37" t="n">
        <v>43.9</v>
      </c>
      <c r="F1845" s="37" t="n">
        <v>13</v>
      </c>
    </row>
    <row r="1846">
      <c r="A1846" s="37" t="inlineStr">
        <is>
          <t>WL-02845</t>
        </is>
      </c>
      <c r="B1846" s="37" t="inlineStr">
        <is>
          <t>Ortiz</t>
        </is>
      </c>
      <c r="C1846" s="37" t="inlineStr">
        <is>
          <t>Joshua</t>
        </is>
      </c>
      <c r="D1846" s="37" t="inlineStr">
        <is>
          <t>ACTIVE_WAITLIST</t>
        </is>
      </c>
      <c r="E1846" s="37" t="n">
        <v>35.5</v>
      </c>
      <c r="F1846" s="37" t="n">
        <v>11.5</v>
      </c>
    </row>
    <row r="1847">
      <c r="A1847" s="37" t="inlineStr">
        <is>
          <t>WL-02846</t>
        </is>
      </c>
      <c r="B1847" s="37" t="inlineStr">
        <is>
          <t>Ryan</t>
        </is>
      </c>
      <c r="C1847" s="37" t="inlineStr">
        <is>
          <t>Alexander</t>
        </is>
      </c>
      <c r="D1847" s="37" t="inlineStr">
        <is>
          <t>ACTIVE_WAITLIST</t>
        </is>
      </c>
      <c r="E1847" s="37" t="n">
        <v>56.9</v>
      </c>
      <c r="F1847" s="37" t="n">
        <v>16.8</v>
      </c>
    </row>
    <row r="1848">
      <c r="A1848" s="37" t="inlineStr">
        <is>
          <t>WL-02847</t>
        </is>
      </c>
      <c r="B1848" s="37" t="inlineStr">
        <is>
          <t>Johnston</t>
        </is>
      </c>
      <c r="C1848" s="37" t="inlineStr">
        <is>
          <t>Julie</t>
        </is>
      </c>
      <c r="D1848" s="37" t="inlineStr">
        <is>
          <t>ACTIVE_WAITLIST</t>
        </is>
      </c>
      <c r="E1848" s="37" t="n">
        <v>25.7</v>
      </c>
      <c r="F1848" s="37" t="n">
        <v>8.199999999999999</v>
      </c>
    </row>
    <row r="1849">
      <c r="A1849" s="37" t="inlineStr">
        <is>
          <t>WL-02848</t>
        </is>
      </c>
      <c r="B1849" s="37" t="inlineStr">
        <is>
          <t>Myers</t>
        </is>
      </c>
      <c r="C1849" s="37" t="inlineStr">
        <is>
          <t>Abigail</t>
        </is>
      </c>
      <c r="D1849" s="37" t="inlineStr">
        <is>
          <t>ACTIVE_WAITLIST</t>
        </is>
      </c>
      <c r="E1849" s="37" t="n">
        <v>53.9</v>
      </c>
      <c r="F1849" s="37" t="n">
        <v>18.3</v>
      </c>
    </row>
    <row r="1850">
      <c r="A1850" s="37" t="inlineStr">
        <is>
          <t>WL-02849</t>
        </is>
      </c>
      <c r="B1850" s="37" t="inlineStr">
        <is>
          <t>Johnson</t>
        </is>
      </c>
      <c r="C1850" s="37" t="inlineStr">
        <is>
          <t>Peter</t>
        </is>
      </c>
      <c r="D1850" s="37" t="inlineStr">
        <is>
          <t>ACTIVE_WAITLIST</t>
        </is>
      </c>
      <c r="E1850" s="37" t="n">
        <v>20.9</v>
      </c>
      <c r="F1850" s="37" t="n">
        <v>6.1</v>
      </c>
    </row>
    <row r="1851">
      <c r="A1851" s="37" t="inlineStr">
        <is>
          <t>WL-02850</t>
        </is>
      </c>
      <c r="B1851" s="37" t="inlineStr">
        <is>
          <t>Boone</t>
        </is>
      </c>
      <c r="C1851" s="37" t="inlineStr">
        <is>
          <t>Edwin</t>
        </is>
      </c>
      <c r="D1851" s="37" t="inlineStr">
        <is>
          <t>ACTIVE_WAITLIST</t>
        </is>
      </c>
      <c r="E1851" s="37" t="n">
        <v>48.7</v>
      </c>
      <c r="F1851" s="37" t="n">
        <v>16.9</v>
      </c>
    </row>
    <row r="1852">
      <c r="A1852" s="37" t="inlineStr">
        <is>
          <t>WL-02851</t>
        </is>
      </c>
      <c r="B1852" s="37" t="inlineStr">
        <is>
          <t>Rivera</t>
        </is>
      </c>
      <c r="C1852" s="37" t="inlineStr">
        <is>
          <t>Andrew</t>
        </is>
      </c>
      <c r="D1852" s="37" t="inlineStr">
        <is>
          <t>ACTIVE_WAITLIST</t>
        </is>
      </c>
      <c r="E1852" s="37" t="n">
        <v>44.3</v>
      </c>
      <c r="F1852" s="37" t="n">
        <v>13</v>
      </c>
    </row>
    <row r="1853">
      <c r="A1853" s="37" t="inlineStr">
        <is>
          <t>WL-02852</t>
        </is>
      </c>
      <c r="B1853" s="37" t="inlineStr">
        <is>
          <t>Mendoza</t>
        </is>
      </c>
      <c r="C1853" s="37" t="inlineStr">
        <is>
          <t>Robert</t>
        </is>
      </c>
      <c r="D1853" s="37" t="inlineStr">
        <is>
          <t>SUSPENDED</t>
        </is>
      </c>
      <c r="E1853" s="37" t="n">
        <v>58.5</v>
      </c>
      <c r="F1853" s="37" t="n">
        <v>16.5</v>
      </c>
    </row>
    <row r="1854">
      <c r="A1854" s="37" t="inlineStr">
        <is>
          <t>WL-02853</t>
        </is>
      </c>
      <c r="B1854" s="37" t="inlineStr">
        <is>
          <t>Stevens</t>
        </is>
      </c>
      <c r="C1854" s="37" t="inlineStr">
        <is>
          <t>Adam</t>
        </is>
      </c>
      <c r="D1854" s="37" t="inlineStr">
        <is>
          <t>ACTIVE_WAITLIST</t>
        </is>
      </c>
      <c r="E1854" s="37" t="n">
        <v>54</v>
      </c>
      <c r="F1854" s="37" t="n">
        <v>15.7</v>
      </c>
    </row>
    <row r="1855">
      <c r="A1855" s="37" t="inlineStr">
        <is>
          <t>WL-02854</t>
        </is>
      </c>
      <c r="B1855" s="37" t="inlineStr">
        <is>
          <t>Martinez</t>
        </is>
      </c>
      <c r="C1855" s="37" t="inlineStr">
        <is>
          <t>Michael</t>
        </is>
      </c>
      <c r="D1855" s="37" t="inlineStr">
        <is>
          <t>ACTIVE_WAITLIST</t>
        </is>
      </c>
      <c r="E1855" s="37" t="n">
        <v>31.7</v>
      </c>
      <c r="F1855" s="37" t="n">
        <v>11.4</v>
      </c>
    </row>
    <row r="1856">
      <c r="A1856" s="37" t="inlineStr">
        <is>
          <t>WL-02855</t>
        </is>
      </c>
      <c r="B1856" s="37" t="inlineStr">
        <is>
          <t>Bernard</t>
        </is>
      </c>
      <c r="C1856" s="37" t="inlineStr">
        <is>
          <t>Kristy</t>
        </is>
      </c>
      <c r="D1856" s="37" t="inlineStr">
        <is>
          <t>ACTIVE_WAITLIST</t>
        </is>
      </c>
      <c r="E1856" s="37" t="n">
        <v>34.5</v>
      </c>
      <c r="F1856" s="37" t="n">
        <v>11.1</v>
      </c>
    </row>
    <row r="1857">
      <c r="A1857" s="37" t="inlineStr">
        <is>
          <t>WL-02856</t>
        </is>
      </c>
      <c r="B1857" s="37" t="inlineStr">
        <is>
          <t>Washington</t>
        </is>
      </c>
      <c r="C1857" s="37" t="inlineStr">
        <is>
          <t>Amanda</t>
        </is>
      </c>
      <c r="D1857" s="37" t="inlineStr">
        <is>
          <t>EXPIRED</t>
        </is>
      </c>
      <c r="E1857" s="37" t="n">
        <v>32.7</v>
      </c>
      <c r="F1857" s="37" t="n">
        <v>10.9</v>
      </c>
    </row>
    <row r="1858">
      <c r="A1858" s="37" t="inlineStr">
        <is>
          <t>WL-02857</t>
        </is>
      </c>
      <c r="B1858" s="37" t="inlineStr">
        <is>
          <t>Nichols</t>
        </is>
      </c>
      <c r="C1858" s="37" t="inlineStr">
        <is>
          <t>Charles</t>
        </is>
      </c>
      <c r="D1858" s="37" t="inlineStr">
        <is>
          <t>ACTIVE_WAITLIST</t>
        </is>
      </c>
      <c r="E1858" s="37" t="n">
        <v>56.3</v>
      </c>
      <c r="F1858" s="37" t="n">
        <v>15.8</v>
      </c>
    </row>
    <row r="1859">
      <c r="A1859" s="37" t="inlineStr">
        <is>
          <t>WL-02858</t>
        </is>
      </c>
      <c r="B1859" s="37" t="inlineStr">
        <is>
          <t>Bailey</t>
        </is>
      </c>
      <c r="C1859" s="37" t="inlineStr">
        <is>
          <t>Melissa</t>
        </is>
      </c>
      <c r="D1859" s="37" t="inlineStr">
        <is>
          <t>ACTIVE_WAITLIST</t>
        </is>
      </c>
      <c r="E1859" s="37" t="n">
        <v>34</v>
      </c>
      <c r="F1859" s="37" t="n">
        <v>11.1</v>
      </c>
    </row>
    <row r="1860">
      <c r="A1860" s="37" t="inlineStr">
        <is>
          <t>WL-02859</t>
        </is>
      </c>
      <c r="B1860" s="37" t="inlineStr">
        <is>
          <t>Hall</t>
        </is>
      </c>
      <c r="C1860" s="37" t="inlineStr">
        <is>
          <t>Anthony</t>
        </is>
      </c>
      <c r="D1860" s="37" t="inlineStr">
        <is>
          <t>ACTIVE_WAITLIST</t>
        </is>
      </c>
      <c r="E1860" s="37" t="n">
        <v>31.1</v>
      </c>
      <c r="F1860" s="37" t="n">
        <v>9.9</v>
      </c>
    </row>
    <row r="1861">
      <c r="A1861" s="37" t="inlineStr">
        <is>
          <t>WL-02860</t>
        </is>
      </c>
      <c r="B1861" s="37" t="inlineStr">
        <is>
          <t>Ross</t>
        </is>
      </c>
      <c r="C1861" s="37" t="inlineStr">
        <is>
          <t>Sherry</t>
        </is>
      </c>
      <c r="D1861" s="37" t="inlineStr">
        <is>
          <t>EXPIRED</t>
        </is>
      </c>
      <c r="E1861" s="37" t="n">
        <v>35.4</v>
      </c>
      <c r="F1861" s="37" t="n">
        <v>10.3</v>
      </c>
    </row>
    <row r="1862">
      <c r="A1862" s="37" t="inlineStr">
        <is>
          <t>WL-02861</t>
        </is>
      </c>
      <c r="B1862" s="37" t="inlineStr">
        <is>
          <t>Scott</t>
        </is>
      </c>
      <c r="C1862" s="37" t="inlineStr">
        <is>
          <t>Brian</t>
        </is>
      </c>
      <c r="D1862" s="37" t="inlineStr">
        <is>
          <t>ACTIVE_WAITLIST</t>
        </is>
      </c>
      <c r="E1862" s="37" t="n">
        <v>21.9</v>
      </c>
      <c r="F1862" s="37" t="n">
        <v>7.7</v>
      </c>
    </row>
    <row r="1863">
      <c r="A1863" s="37" t="inlineStr">
        <is>
          <t>WL-02862</t>
        </is>
      </c>
      <c r="B1863" s="37" t="inlineStr">
        <is>
          <t>Gentry</t>
        </is>
      </c>
      <c r="C1863" s="37" t="inlineStr">
        <is>
          <t>Catherine</t>
        </is>
      </c>
      <c r="D1863" s="37" t="inlineStr">
        <is>
          <t>EXPIRED</t>
        </is>
      </c>
      <c r="E1863" s="37" t="n">
        <v>58.6</v>
      </c>
      <c r="F1863" s="37" t="n">
        <v>18.4</v>
      </c>
    </row>
    <row r="1864">
      <c r="A1864" s="37" t="inlineStr">
        <is>
          <t>WL-02863</t>
        </is>
      </c>
      <c r="B1864" s="37" t="inlineStr">
        <is>
          <t>Martin</t>
        </is>
      </c>
      <c r="C1864" s="37" t="inlineStr">
        <is>
          <t>Amy</t>
        </is>
      </c>
      <c r="D1864" s="37" t="inlineStr">
        <is>
          <t>ACTIVE_WAITLIST</t>
        </is>
      </c>
      <c r="E1864" s="37" t="n">
        <v>31.4</v>
      </c>
      <c r="F1864" s="37" t="n">
        <v>9.300000000000001</v>
      </c>
    </row>
    <row r="1865">
      <c r="A1865" s="37" t="inlineStr">
        <is>
          <t>WL-02864</t>
        </is>
      </c>
      <c r="B1865" s="37" t="inlineStr">
        <is>
          <t>Perry</t>
        </is>
      </c>
      <c r="C1865" s="37" t="inlineStr">
        <is>
          <t>Brittany</t>
        </is>
      </c>
      <c r="D1865" s="37" t="inlineStr">
        <is>
          <t>ACTIVE_WAITLIST</t>
        </is>
      </c>
      <c r="E1865" s="37" t="n">
        <v>43.7</v>
      </c>
      <c r="F1865" s="37" t="n">
        <v>13.6</v>
      </c>
    </row>
    <row r="1866">
      <c r="A1866" s="37" t="inlineStr">
        <is>
          <t>WL-02865</t>
        </is>
      </c>
      <c r="B1866" s="37" t="inlineStr">
        <is>
          <t>Davis</t>
        </is>
      </c>
      <c r="C1866" s="37" t="inlineStr">
        <is>
          <t>Nancy</t>
        </is>
      </c>
      <c r="D1866" s="37" t="inlineStr">
        <is>
          <t>ACTIVE_WAITLIST</t>
        </is>
      </c>
      <c r="E1866" s="37" t="n">
        <v>61.2</v>
      </c>
      <c r="F1866" s="37" t="n">
        <v>20.4</v>
      </c>
    </row>
    <row r="1867">
      <c r="A1867" s="37" t="inlineStr">
        <is>
          <t>WL-02866</t>
        </is>
      </c>
      <c r="B1867" s="37" t="inlineStr">
        <is>
          <t>Snow</t>
        </is>
      </c>
      <c r="C1867" s="37" t="inlineStr">
        <is>
          <t>Jonathan</t>
        </is>
      </c>
      <c r="D1867" s="37" t="inlineStr">
        <is>
          <t>ACTIVE_WAITLIST</t>
        </is>
      </c>
      <c r="E1867" s="37" t="n">
        <v>25.3</v>
      </c>
      <c r="F1867" s="37" t="n">
        <v>8</v>
      </c>
    </row>
    <row r="1868">
      <c r="A1868" s="37" t="inlineStr">
        <is>
          <t>WL-02867</t>
        </is>
      </c>
      <c r="B1868" s="37" t="inlineStr">
        <is>
          <t>Campos</t>
        </is>
      </c>
      <c r="C1868" s="37" t="inlineStr">
        <is>
          <t>Joel</t>
        </is>
      </c>
      <c r="D1868" s="37" t="inlineStr">
        <is>
          <t>ACTIVE_WAITLIST</t>
        </is>
      </c>
      <c r="E1868" s="37" t="n">
        <v>24.2</v>
      </c>
      <c r="F1868" s="37" t="n">
        <v>7.6</v>
      </c>
    </row>
    <row r="1869">
      <c r="A1869" s="37" t="inlineStr">
        <is>
          <t>WL-02868</t>
        </is>
      </c>
      <c r="B1869" s="37" t="inlineStr">
        <is>
          <t>Lopez</t>
        </is>
      </c>
      <c r="C1869" s="37" t="inlineStr">
        <is>
          <t>Michael</t>
        </is>
      </c>
      <c r="D1869" s="37" t="inlineStr">
        <is>
          <t>ACTIVE_WAITLIST</t>
        </is>
      </c>
      <c r="E1869" s="37" t="n">
        <v>20.9</v>
      </c>
      <c r="F1869" s="37" t="n">
        <v>7.2</v>
      </c>
    </row>
    <row r="1870">
      <c r="A1870" s="37" t="inlineStr">
        <is>
          <t>WL-02869</t>
        </is>
      </c>
      <c r="B1870" s="37" t="inlineStr">
        <is>
          <t>Robbins</t>
        </is>
      </c>
      <c r="C1870" s="37" t="inlineStr">
        <is>
          <t>George</t>
        </is>
      </c>
      <c r="D1870" s="37" t="inlineStr">
        <is>
          <t>ACTIVE_WAITLIST</t>
        </is>
      </c>
      <c r="E1870" s="37" t="n">
        <v>55.2</v>
      </c>
      <c r="F1870" s="37" t="n">
        <v>16.1</v>
      </c>
    </row>
    <row r="1871">
      <c r="A1871" s="37" t="inlineStr">
        <is>
          <t>WL-02870</t>
        </is>
      </c>
      <c r="B1871" s="37" t="inlineStr">
        <is>
          <t>Summers</t>
        </is>
      </c>
      <c r="C1871" s="37" t="inlineStr">
        <is>
          <t>Jessica</t>
        </is>
      </c>
      <c r="D1871" s="37" t="inlineStr">
        <is>
          <t>ACTIVE_WAITLIST</t>
        </is>
      </c>
      <c r="E1871" s="37" t="n">
        <v>41.9</v>
      </c>
      <c r="F1871" s="37" t="n">
        <v>12.8</v>
      </c>
    </row>
    <row r="1872">
      <c r="A1872" s="37" t="inlineStr">
        <is>
          <t>WL-02871</t>
        </is>
      </c>
      <c r="B1872" s="37" t="inlineStr">
        <is>
          <t>Barnes</t>
        </is>
      </c>
      <c r="C1872" s="37" t="inlineStr">
        <is>
          <t>Bailey</t>
        </is>
      </c>
      <c r="D1872" s="37" t="inlineStr">
        <is>
          <t>ACTIVE_WAITLIST</t>
        </is>
      </c>
      <c r="E1872" s="37" t="n">
        <v>24</v>
      </c>
      <c r="F1872" s="37" t="n">
        <v>7.9</v>
      </c>
    </row>
    <row r="1873">
      <c r="A1873" s="37" t="inlineStr">
        <is>
          <t>WL-02872</t>
        </is>
      </c>
      <c r="B1873" s="37" t="inlineStr">
        <is>
          <t>Fitzgerald</t>
        </is>
      </c>
      <c r="C1873" s="37" t="inlineStr">
        <is>
          <t>Jessica</t>
        </is>
      </c>
      <c r="D1873" s="37" t="inlineStr">
        <is>
          <t>ACTIVE_WAITLIST</t>
        </is>
      </c>
      <c r="E1873" s="37" t="n">
        <v>44.2</v>
      </c>
      <c r="F1873" s="37" t="n">
        <v>14.5</v>
      </c>
    </row>
    <row r="1874">
      <c r="A1874" s="37" t="inlineStr">
        <is>
          <t>WL-02873</t>
        </is>
      </c>
      <c r="B1874" s="37" t="inlineStr">
        <is>
          <t>Wilkerson</t>
        </is>
      </c>
      <c r="C1874" s="37" t="inlineStr">
        <is>
          <t>Brittany</t>
        </is>
      </c>
      <c r="D1874" s="37" t="inlineStr">
        <is>
          <t>ACTIVE_WAITLIST</t>
        </is>
      </c>
      <c r="E1874" s="37" t="n">
        <v>45.7</v>
      </c>
      <c r="F1874" s="37" t="n">
        <v>14.8</v>
      </c>
    </row>
    <row r="1875">
      <c r="A1875" s="37" t="inlineStr">
        <is>
          <t>WL-02874</t>
        </is>
      </c>
      <c r="B1875" s="37" t="inlineStr">
        <is>
          <t>Sherman</t>
        </is>
      </c>
      <c r="C1875" s="37" t="inlineStr">
        <is>
          <t>Michael</t>
        </is>
      </c>
      <c r="D1875" s="37" t="inlineStr">
        <is>
          <t>ACTIVE_WAITLIST</t>
        </is>
      </c>
      <c r="E1875" s="37" t="n">
        <v>38.7</v>
      </c>
      <c r="F1875" s="37" t="n">
        <v>11.7</v>
      </c>
    </row>
    <row r="1876">
      <c r="A1876" s="37" t="inlineStr">
        <is>
          <t>WL-02875</t>
        </is>
      </c>
      <c r="B1876" s="37" t="inlineStr">
        <is>
          <t>Beard</t>
        </is>
      </c>
      <c r="C1876" s="37" t="inlineStr">
        <is>
          <t>Frank</t>
        </is>
      </c>
      <c r="D1876" s="37" t="inlineStr">
        <is>
          <t>ACTIVE_WAITLIST</t>
        </is>
      </c>
      <c r="E1876" s="37" t="n">
        <v>33.5</v>
      </c>
      <c r="F1876" s="37" t="n">
        <v>10.6</v>
      </c>
    </row>
    <row r="1877">
      <c r="A1877" s="37" t="inlineStr">
        <is>
          <t>WL-02876</t>
        </is>
      </c>
      <c r="B1877" s="37" t="inlineStr">
        <is>
          <t>Collins</t>
        </is>
      </c>
      <c r="C1877" s="37" t="inlineStr">
        <is>
          <t>Janice</t>
        </is>
      </c>
      <c r="D1877" s="37" t="inlineStr">
        <is>
          <t>ACTIVE_WAITLIST</t>
        </is>
      </c>
      <c r="E1877" s="37" t="n">
        <v>32.7</v>
      </c>
      <c r="F1877" s="37" t="n">
        <v>10.9</v>
      </c>
    </row>
    <row r="1878">
      <c r="A1878" s="37" t="inlineStr">
        <is>
          <t>WL-02877</t>
        </is>
      </c>
      <c r="B1878" s="37" t="inlineStr">
        <is>
          <t>Milovich</t>
        </is>
      </c>
      <c r="C1878" s="37" t="inlineStr">
        <is>
          <t>Sandra</t>
        </is>
      </c>
      <c r="D1878" s="37" t="inlineStr">
        <is>
          <t>ACTIVE_WAITLIST</t>
        </is>
      </c>
      <c r="E1878" s="37" t="n">
        <v>33.2</v>
      </c>
      <c r="F1878" s="37" t="n">
        <v>9.800000000000001</v>
      </c>
    </row>
    <row r="1879">
      <c r="A1879" s="37" t="inlineStr">
        <is>
          <t>WL-02878</t>
        </is>
      </c>
      <c r="B1879" s="37" t="inlineStr">
        <is>
          <t>Mendez</t>
        </is>
      </c>
      <c r="C1879" s="37" t="inlineStr">
        <is>
          <t>Heidi</t>
        </is>
      </c>
      <c r="D1879" s="37" t="inlineStr">
        <is>
          <t>ACTIVE_WAITLIST</t>
        </is>
      </c>
      <c r="E1879" s="37" t="n">
        <v>60.7</v>
      </c>
      <c r="F1879" s="37" t="n">
        <v>21.5</v>
      </c>
    </row>
    <row r="1880">
      <c r="A1880" s="37" t="inlineStr">
        <is>
          <t>WL-02879</t>
        </is>
      </c>
      <c r="B1880" s="37" t="inlineStr">
        <is>
          <t>Long</t>
        </is>
      </c>
      <c r="C1880" s="37" t="inlineStr">
        <is>
          <t>Vincent</t>
        </is>
      </c>
      <c r="D1880" s="37" t="inlineStr">
        <is>
          <t>ACTIVE_WAITLIST</t>
        </is>
      </c>
      <c r="E1880" s="37" t="n">
        <v>43.8</v>
      </c>
      <c r="F1880" s="37" t="n">
        <v>13.2</v>
      </c>
    </row>
    <row r="1881">
      <c r="A1881" s="37" t="inlineStr">
        <is>
          <t>WL-02880</t>
        </is>
      </c>
      <c r="B1881" s="37" t="inlineStr">
        <is>
          <t>Donaldson</t>
        </is>
      </c>
      <c r="C1881" s="37" t="inlineStr">
        <is>
          <t>Jason</t>
        </is>
      </c>
      <c r="D1881" s="37" t="inlineStr">
        <is>
          <t>SUSPENDED</t>
        </is>
      </c>
      <c r="E1881" s="37" t="n">
        <v>32.6</v>
      </c>
      <c r="F1881" s="37" t="n">
        <v>10.5</v>
      </c>
    </row>
    <row r="1882">
      <c r="A1882" s="37" t="inlineStr">
        <is>
          <t>WL-02881</t>
        </is>
      </c>
      <c r="B1882" s="37" t="inlineStr">
        <is>
          <t>Woodward</t>
        </is>
      </c>
      <c r="C1882" s="37" t="inlineStr">
        <is>
          <t>Christopher</t>
        </is>
      </c>
      <c r="D1882" s="37" t="inlineStr">
        <is>
          <t>ACTIVE_WAITLIST</t>
        </is>
      </c>
      <c r="E1882" s="37" t="n">
        <v>52</v>
      </c>
      <c r="F1882" s="37" t="n">
        <v>15.3</v>
      </c>
    </row>
    <row r="1883">
      <c r="A1883" s="37" t="inlineStr">
        <is>
          <t>WL-02882</t>
        </is>
      </c>
      <c r="B1883" s="37" t="inlineStr">
        <is>
          <t>Hernandez</t>
        </is>
      </c>
      <c r="C1883" s="37" t="inlineStr">
        <is>
          <t>Stephen</t>
        </is>
      </c>
      <c r="D1883" s="37" t="inlineStr">
        <is>
          <t>ACTIVE_WAITLIST</t>
        </is>
      </c>
      <c r="E1883" s="37" t="n">
        <v>31.5</v>
      </c>
      <c r="F1883" s="37" t="n">
        <v>9.699999999999999</v>
      </c>
    </row>
    <row r="1884">
      <c r="A1884" s="37" t="inlineStr">
        <is>
          <t>WL-02883</t>
        </is>
      </c>
      <c r="B1884" s="37" t="inlineStr">
        <is>
          <t>Drake</t>
        </is>
      </c>
      <c r="C1884" s="37" t="inlineStr">
        <is>
          <t>William</t>
        </is>
      </c>
      <c r="D1884" s="37" t="inlineStr">
        <is>
          <t>ACTIVE_WAITLIST</t>
        </is>
      </c>
      <c r="E1884" s="37" t="n">
        <v>50.9</v>
      </c>
      <c r="F1884" s="37" t="n">
        <v>16.5</v>
      </c>
    </row>
    <row r="1885">
      <c r="A1885" s="37" t="inlineStr">
        <is>
          <t>WL-02884</t>
        </is>
      </c>
      <c r="B1885" s="37" t="inlineStr">
        <is>
          <t>Barrera</t>
        </is>
      </c>
      <c r="C1885" s="37" t="inlineStr">
        <is>
          <t>Lauren</t>
        </is>
      </c>
      <c r="D1885" s="37" t="inlineStr">
        <is>
          <t>ACTIVE_WAITLIST</t>
        </is>
      </c>
      <c r="E1885" s="37" t="n">
        <v>54.5</v>
      </c>
      <c r="F1885" s="37" t="n">
        <v>16.9</v>
      </c>
    </row>
    <row r="1886">
      <c r="A1886" s="37" t="inlineStr">
        <is>
          <t>WL-02885</t>
        </is>
      </c>
      <c r="B1886" s="37" t="inlineStr">
        <is>
          <t>Rivera</t>
        </is>
      </c>
      <c r="C1886" s="37" t="inlineStr">
        <is>
          <t>James</t>
        </is>
      </c>
      <c r="D1886" s="37" t="inlineStr">
        <is>
          <t>ACTIVE_WAITLIST</t>
        </is>
      </c>
      <c r="E1886" s="37" t="n">
        <v>42.3</v>
      </c>
      <c r="F1886" s="37" t="n">
        <v>13</v>
      </c>
    </row>
    <row r="1887">
      <c r="A1887" s="37" t="inlineStr">
        <is>
          <t>WL-02886</t>
        </is>
      </c>
      <c r="B1887" s="37" t="inlineStr">
        <is>
          <t>Woods</t>
        </is>
      </c>
      <c r="C1887" s="37" t="inlineStr">
        <is>
          <t>Sarah</t>
        </is>
      </c>
      <c r="D1887" s="37" t="inlineStr">
        <is>
          <t>ACTIVE_WAITLIST</t>
        </is>
      </c>
      <c r="E1887" s="37" t="n">
        <v>61.8</v>
      </c>
      <c r="F1887" s="37" t="n">
        <v>17.4</v>
      </c>
    </row>
    <row r="1888">
      <c r="A1888" s="37" t="inlineStr">
        <is>
          <t>WL-02887</t>
        </is>
      </c>
      <c r="B1888" s="37" t="inlineStr">
        <is>
          <t>Mayer</t>
        </is>
      </c>
      <c r="C1888" s="37" t="inlineStr">
        <is>
          <t>Shelly</t>
        </is>
      </c>
      <c r="D1888" s="37" t="inlineStr">
        <is>
          <t>ACTIVE_WAITLIST</t>
        </is>
      </c>
      <c r="E1888" s="37" t="n">
        <v>48.2</v>
      </c>
      <c r="F1888" s="37" t="n">
        <v>13.7</v>
      </c>
    </row>
    <row r="1889">
      <c r="A1889" s="37" t="inlineStr">
        <is>
          <t>WL-02888</t>
        </is>
      </c>
      <c r="B1889" s="37" t="inlineStr">
        <is>
          <t>Rich</t>
        </is>
      </c>
      <c r="C1889" s="37" t="inlineStr">
        <is>
          <t>Spencer</t>
        </is>
      </c>
      <c r="D1889" s="37" t="inlineStr">
        <is>
          <t>ACTIVE_WAITLIST</t>
        </is>
      </c>
      <c r="E1889" s="37" t="n">
        <v>25.8</v>
      </c>
      <c r="F1889" s="37" t="n">
        <v>8.699999999999999</v>
      </c>
    </row>
    <row r="1890">
      <c r="A1890" s="37" t="inlineStr">
        <is>
          <t>WL-02889</t>
        </is>
      </c>
      <c r="B1890" s="37" t="inlineStr">
        <is>
          <t>Ross</t>
        </is>
      </c>
      <c r="C1890" s="37" t="inlineStr">
        <is>
          <t>Melissa</t>
        </is>
      </c>
      <c r="D1890" s="37" t="inlineStr">
        <is>
          <t>EXPIRED</t>
        </is>
      </c>
      <c r="E1890" s="37" t="n">
        <v>58</v>
      </c>
      <c r="F1890" s="37" t="n">
        <v>18</v>
      </c>
    </row>
    <row r="1891">
      <c r="A1891" s="37" t="inlineStr">
        <is>
          <t>WL-02890</t>
        </is>
      </c>
      <c r="B1891" s="37" t="inlineStr">
        <is>
          <t>Morales</t>
        </is>
      </c>
      <c r="C1891" s="37" t="inlineStr">
        <is>
          <t>Crystal</t>
        </is>
      </c>
      <c r="D1891" s="37" t="inlineStr">
        <is>
          <t>ACTIVE_WAITLIST</t>
        </is>
      </c>
      <c r="E1891" s="37" t="n">
        <v>35.2</v>
      </c>
      <c r="F1891" s="37" t="n">
        <v>12.6</v>
      </c>
    </row>
    <row r="1892">
      <c r="A1892" s="37" t="inlineStr">
        <is>
          <t>WL-02891</t>
        </is>
      </c>
      <c r="B1892" s="37" t="inlineStr">
        <is>
          <t>Suarez</t>
        </is>
      </c>
      <c r="C1892" s="37" t="inlineStr">
        <is>
          <t>Jon</t>
        </is>
      </c>
      <c r="D1892" s="37" t="inlineStr">
        <is>
          <t>ACTIVE_WAITLIST</t>
        </is>
      </c>
      <c r="E1892" s="37" t="n">
        <v>55.3</v>
      </c>
      <c r="F1892" s="37" t="n">
        <v>15.9</v>
      </c>
    </row>
    <row r="1893">
      <c r="A1893" s="37" t="inlineStr">
        <is>
          <t>WL-02892</t>
        </is>
      </c>
      <c r="B1893" s="37" t="inlineStr">
        <is>
          <t>Cook</t>
        </is>
      </c>
      <c r="C1893" s="37" t="inlineStr">
        <is>
          <t>Martha</t>
        </is>
      </c>
      <c r="D1893" s="37" t="inlineStr">
        <is>
          <t>ACTIVE_WAITLIST</t>
        </is>
      </c>
      <c r="E1893" s="37" t="n">
        <v>47.7</v>
      </c>
      <c r="F1893" s="37" t="n">
        <v>16</v>
      </c>
    </row>
    <row r="1894">
      <c r="A1894" s="37" t="inlineStr">
        <is>
          <t>WL-02893</t>
        </is>
      </c>
      <c r="B1894" s="37" t="inlineStr">
        <is>
          <t>Carrillo</t>
        </is>
      </c>
      <c r="C1894" s="37" t="inlineStr">
        <is>
          <t>Christopher</t>
        </is>
      </c>
      <c r="D1894" s="37" t="inlineStr">
        <is>
          <t>EXPIRED</t>
        </is>
      </c>
      <c r="E1894" s="37" t="n">
        <v>39.2</v>
      </c>
      <c r="F1894" s="37" t="n">
        <v>12.9</v>
      </c>
    </row>
    <row r="1895">
      <c r="A1895" s="37" t="inlineStr">
        <is>
          <t>WL-02894</t>
        </is>
      </c>
      <c r="B1895" s="37" t="inlineStr">
        <is>
          <t>Smith</t>
        </is>
      </c>
      <c r="C1895" s="37" t="inlineStr">
        <is>
          <t>Robert</t>
        </is>
      </c>
      <c r="D1895" s="37" t="inlineStr">
        <is>
          <t>ACTIVE_WAITLIST</t>
        </is>
      </c>
      <c r="E1895" s="37" t="n">
        <v>58.6</v>
      </c>
      <c r="F1895" s="37" t="n">
        <v>17.7</v>
      </c>
    </row>
    <row r="1896">
      <c r="A1896" s="37" t="inlineStr">
        <is>
          <t>WL-02895</t>
        </is>
      </c>
      <c r="B1896" s="37" t="inlineStr">
        <is>
          <t>Hensley</t>
        </is>
      </c>
      <c r="C1896" s="37" t="inlineStr">
        <is>
          <t>Madison</t>
        </is>
      </c>
      <c r="D1896" s="37" t="inlineStr">
        <is>
          <t>ACTIVE_WAITLIST</t>
        </is>
      </c>
      <c r="E1896" s="37" t="n">
        <v>61.5</v>
      </c>
      <c r="F1896" s="37" t="n">
        <v>18.6</v>
      </c>
    </row>
    <row r="1897">
      <c r="A1897" s="37" t="inlineStr">
        <is>
          <t>WL-02896</t>
        </is>
      </c>
      <c r="B1897" s="37" t="inlineStr">
        <is>
          <t>Coleman</t>
        </is>
      </c>
      <c r="C1897" s="37" t="inlineStr">
        <is>
          <t>Wanda</t>
        </is>
      </c>
      <c r="D1897" s="37" t="inlineStr">
        <is>
          <t>ACTIVE_WAITLIST</t>
        </is>
      </c>
      <c r="E1897" s="37" t="n">
        <v>24.7</v>
      </c>
      <c r="F1897" s="37" t="n">
        <v>8.6</v>
      </c>
    </row>
    <row r="1898">
      <c r="A1898" s="37" t="inlineStr">
        <is>
          <t>WL-02897</t>
        </is>
      </c>
      <c r="B1898" s="37" t="inlineStr">
        <is>
          <t>Love</t>
        </is>
      </c>
      <c r="C1898" s="37" t="inlineStr">
        <is>
          <t>Jessica</t>
        </is>
      </c>
      <c r="D1898" s="37" t="inlineStr">
        <is>
          <t>SUSPENDED</t>
        </is>
      </c>
      <c r="E1898" s="37" t="n">
        <v>40</v>
      </c>
      <c r="F1898" s="37" t="n">
        <v>11.5</v>
      </c>
    </row>
    <row r="1899">
      <c r="A1899" s="37" t="inlineStr">
        <is>
          <t>WL-02898</t>
        </is>
      </c>
      <c r="B1899" s="37" t="inlineStr">
        <is>
          <t>Lindsey</t>
        </is>
      </c>
      <c r="C1899" s="37" t="inlineStr">
        <is>
          <t>Patricia</t>
        </is>
      </c>
      <c r="D1899" s="37" t="inlineStr">
        <is>
          <t>ACTIVE_WAITLIST</t>
        </is>
      </c>
      <c r="E1899" s="37" t="n">
        <v>22.2</v>
      </c>
      <c r="F1899" s="37" t="n">
        <v>7.4</v>
      </c>
    </row>
    <row r="1900">
      <c r="A1900" s="37" t="inlineStr">
        <is>
          <t>WL-02899</t>
        </is>
      </c>
      <c r="B1900" s="37" t="inlineStr">
        <is>
          <t>Dixon</t>
        </is>
      </c>
      <c r="C1900" s="37" t="inlineStr">
        <is>
          <t>Tricia</t>
        </is>
      </c>
      <c r="D1900" s="37" t="inlineStr">
        <is>
          <t>ACTIVE_WAITLIST</t>
        </is>
      </c>
      <c r="E1900" s="37" t="n">
        <v>61.6</v>
      </c>
      <c r="F1900" s="37" t="n">
        <v>18.1</v>
      </c>
    </row>
    <row r="1901">
      <c r="A1901" s="37" t="inlineStr">
        <is>
          <t>WL-02900</t>
        </is>
      </c>
      <c r="B1901" s="37" t="inlineStr">
        <is>
          <t>Henderson</t>
        </is>
      </c>
      <c r="C1901" s="37" t="inlineStr">
        <is>
          <t>Timothy</t>
        </is>
      </c>
      <c r="D1901" s="37" t="inlineStr">
        <is>
          <t>SUSPENDED</t>
        </is>
      </c>
      <c r="E1901" s="37" t="n">
        <v>50</v>
      </c>
      <c r="F1901" s="37" t="n">
        <v>17.6</v>
      </c>
    </row>
    <row r="1902">
      <c r="A1902" s="37" t="inlineStr">
        <is>
          <t>WL-02901</t>
        </is>
      </c>
      <c r="B1902" s="37" t="inlineStr">
        <is>
          <t>Williams</t>
        </is>
      </c>
      <c r="C1902" s="37" t="inlineStr">
        <is>
          <t>Paul</t>
        </is>
      </c>
      <c r="D1902" s="37" t="inlineStr">
        <is>
          <t>ACTIVE_WAITLIST</t>
        </is>
      </c>
      <c r="E1902" s="37" t="n">
        <v>22.8</v>
      </c>
      <c r="F1902" s="37" t="n">
        <v>8.199999999999999</v>
      </c>
    </row>
    <row r="1903">
      <c r="A1903" s="37" t="inlineStr">
        <is>
          <t>WL-02902</t>
        </is>
      </c>
      <c r="B1903" s="37" t="inlineStr">
        <is>
          <t>Schultz</t>
        </is>
      </c>
      <c r="C1903" s="37" t="inlineStr">
        <is>
          <t>Lorraine</t>
        </is>
      </c>
      <c r="D1903" s="37" t="inlineStr">
        <is>
          <t>ACTIVE_WAITLIST</t>
        </is>
      </c>
      <c r="E1903" s="37" t="n">
        <v>60</v>
      </c>
      <c r="F1903" s="37" t="n">
        <v>17.7</v>
      </c>
    </row>
    <row r="1904">
      <c r="A1904" s="37" t="inlineStr">
        <is>
          <t>WL-02903</t>
        </is>
      </c>
      <c r="B1904" s="37" t="inlineStr">
        <is>
          <t>Donovan</t>
        </is>
      </c>
      <c r="C1904" s="37" t="inlineStr">
        <is>
          <t>Dawn</t>
        </is>
      </c>
      <c r="D1904" s="37" t="inlineStr">
        <is>
          <t>ACTIVE_WAITLIST</t>
        </is>
      </c>
      <c r="E1904" s="37" t="n">
        <v>30.2</v>
      </c>
      <c r="F1904" s="37" t="n">
        <v>10.8</v>
      </c>
    </row>
    <row r="1905">
      <c r="A1905" s="37" t="inlineStr">
        <is>
          <t>WL-02904</t>
        </is>
      </c>
      <c r="B1905" s="37" t="inlineStr">
        <is>
          <t>Caldwell</t>
        </is>
      </c>
      <c r="C1905" s="37" t="inlineStr">
        <is>
          <t>Tonya</t>
        </is>
      </c>
      <c r="D1905" s="37" t="inlineStr">
        <is>
          <t>ACTIVE_WAITLIST</t>
        </is>
      </c>
      <c r="E1905" s="37" t="n">
        <v>34.8</v>
      </c>
      <c r="F1905" s="37" t="n">
        <v>12.5</v>
      </c>
    </row>
    <row r="1906">
      <c r="A1906" s="37" t="inlineStr">
        <is>
          <t>WL-02905</t>
        </is>
      </c>
      <c r="B1906" s="37" t="inlineStr">
        <is>
          <t>Williams</t>
        </is>
      </c>
      <c r="C1906" s="37" t="inlineStr">
        <is>
          <t>James</t>
        </is>
      </c>
      <c r="D1906" s="37" t="inlineStr">
        <is>
          <t>ACTIVE_WAITLIST</t>
        </is>
      </c>
      <c r="E1906" s="37" t="n">
        <v>34.5</v>
      </c>
      <c r="F1906" s="37" t="n">
        <v>10.4</v>
      </c>
    </row>
    <row r="1907">
      <c r="A1907" s="37" t="inlineStr">
        <is>
          <t>WL-02906</t>
        </is>
      </c>
      <c r="B1907" s="37" t="inlineStr">
        <is>
          <t>Turner</t>
        </is>
      </c>
      <c r="C1907" s="37" t="inlineStr">
        <is>
          <t>Victor</t>
        </is>
      </c>
      <c r="D1907" s="37" t="inlineStr">
        <is>
          <t>ACTIVE_WAITLIST</t>
        </is>
      </c>
      <c r="E1907" s="37" t="n">
        <v>60.9</v>
      </c>
      <c r="F1907" s="37" t="n">
        <v>21.5</v>
      </c>
    </row>
    <row r="1908">
      <c r="A1908" s="37" t="inlineStr">
        <is>
          <t>WL-02907</t>
        </is>
      </c>
      <c r="B1908" s="37" t="inlineStr">
        <is>
          <t>Harris</t>
        </is>
      </c>
      <c r="C1908" s="37" t="inlineStr">
        <is>
          <t>Holly</t>
        </is>
      </c>
      <c r="D1908" s="37" t="inlineStr">
        <is>
          <t>ACTIVE_WAITLIST</t>
        </is>
      </c>
      <c r="E1908" s="37" t="n">
        <v>33.9</v>
      </c>
      <c r="F1908" s="37" t="n">
        <v>10.2</v>
      </c>
    </row>
    <row r="1909">
      <c r="A1909" s="37" t="inlineStr">
        <is>
          <t>WL-02908</t>
        </is>
      </c>
      <c r="B1909" s="37" t="inlineStr">
        <is>
          <t>Chang</t>
        </is>
      </c>
      <c r="C1909" s="37" t="inlineStr">
        <is>
          <t>Lynn</t>
        </is>
      </c>
      <c r="D1909" s="37" t="inlineStr">
        <is>
          <t>ACTIVE_WAITLIST</t>
        </is>
      </c>
      <c r="E1909" s="37" t="n">
        <v>42.7</v>
      </c>
      <c r="F1909" s="37" t="n">
        <v>13.4</v>
      </c>
    </row>
    <row r="1910">
      <c r="A1910" s="37" t="inlineStr">
        <is>
          <t>WL-02909</t>
        </is>
      </c>
      <c r="B1910" s="37" t="inlineStr">
        <is>
          <t>Medina</t>
        </is>
      </c>
      <c r="C1910" s="37" t="inlineStr">
        <is>
          <t>Ryan</t>
        </is>
      </c>
      <c r="D1910" s="37" t="inlineStr">
        <is>
          <t>RETAINER</t>
        </is>
      </c>
      <c r="E1910" s="37" t="n">
        <v>28.3</v>
      </c>
      <c r="F1910" s="37" t="n">
        <v>9.800000000000001</v>
      </c>
    </row>
    <row r="1911">
      <c r="A1911" s="37" t="inlineStr">
        <is>
          <t>WL-02910</t>
        </is>
      </c>
      <c r="B1911" s="37" t="inlineStr">
        <is>
          <t>Taylor</t>
        </is>
      </c>
      <c r="C1911" s="37" t="inlineStr">
        <is>
          <t>David</t>
        </is>
      </c>
      <c r="D1911" s="37" t="inlineStr">
        <is>
          <t>ACTIVE_WAITLIST</t>
        </is>
      </c>
      <c r="E1911" s="37" t="n">
        <v>29.3</v>
      </c>
      <c r="F1911" s="37" t="n">
        <v>8.9</v>
      </c>
    </row>
    <row r="1912">
      <c r="A1912" s="37" t="inlineStr">
        <is>
          <t>WL-02911</t>
        </is>
      </c>
      <c r="B1912" s="37" t="inlineStr">
        <is>
          <t>Reed</t>
        </is>
      </c>
      <c r="C1912" s="37" t="inlineStr">
        <is>
          <t>John</t>
        </is>
      </c>
      <c r="D1912" s="37" t="inlineStr">
        <is>
          <t>ACTIVE_WAITLIST</t>
        </is>
      </c>
      <c r="E1912" s="37" t="n">
        <v>60.6</v>
      </c>
      <c r="F1912" s="37" t="n">
        <v>20.7</v>
      </c>
    </row>
    <row r="1913">
      <c r="A1913" s="37" t="inlineStr">
        <is>
          <t>WL-02912</t>
        </is>
      </c>
      <c r="B1913" s="37" t="inlineStr">
        <is>
          <t>Ortiz</t>
        </is>
      </c>
      <c r="C1913" s="37" t="inlineStr">
        <is>
          <t>Alan</t>
        </is>
      </c>
      <c r="D1913" s="37" t="inlineStr">
        <is>
          <t>ACTIVE_WAITLIST</t>
        </is>
      </c>
      <c r="E1913" s="37" t="n">
        <v>52.6</v>
      </c>
      <c r="F1913" s="37" t="n">
        <v>16.7</v>
      </c>
    </row>
    <row r="1914">
      <c r="A1914" s="37" t="inlineStr">
        <is>
          <t>WL-02913</t>
        </is>
      </c>
      <c r="B1914" s="37" t="inlineStr">
        <is>
          <t>Hall</t>
        </is>
      </c>
      <c r="C1914" s="37" t="inlineStr">
        <is>
          <t>Paul</t>
        </is>
      </c>
      <c r="D1914" s="37" t="inlineStr">
        <is>
          <t>ACTIVE_WAITLIST</t>
        </is>
      </c>
      <c r="E1914" s="37" t="n">
        <v>27</v>
      </c>
      <c r="F1914" s="37" t="n">
        <v>9.300000000000001</v>
      </c>
    </row>
    <row r="1915">
      <c r="A1915" s="37" t="inlineStr">
        <is>
          <t>WL-02914</t>
        </is>
      </c>
      <c r="B1915" s="37" t="inlineStr">
        <is>
          <t>Robinson</t>
        </is>
      </c>
      <c r="C1915" s="37" t="inlineStr">
        <is>
          <t>Tanya</t>
        </is>
      </c>
      <c r="D1915" s="37" t="inlineStr">
        <is>
          <t>ACTIVE_WAITLIST</t>
        </is>
      </c>
      <c r="E1915" s="37" t="n">
        <v>41.4</v>
      </c>
      <c r="F1915" s="37" t="n">
        <v>12.6</v>
      </c>
    </row>
    <row r="1916">
      <c r="A1916" s="37" t="inlineStr">
        <is>
          <t>WL-02915</t>
        </is>
      </c>
      <c r="B1916" s="37" t="inlineStr">
        <is>
          <t>Cook</t>
        </is>
      </c>
      <c r="C1916" s="37" t="inlineStr">
        <is>
          <t>Lori</t>
        </is>
      </c>
      <c r="D1916" s="37" t="inlineStr">
        <is>
          <t>ACTIVE_WAITLIST</t>
        </is>
      </c>
      <c r="E1916" s="37" t="n">
        <v>28.3</v>
      </c>
      <c r="F1916" s="37" t="n">
        <v>9.199999999999999</v>
      </c>
    </row>
    <row r="1917">
      <c r="A1917" s="37" t="inlineStr">
        <is>
          <t>WL-02916</t>
        </is>
      </c>
      <c r="B1917" s="37" t="inlineStr">
        <is>
          <t>Kennedy</t>
        </is>
      </c>
      <c r="C1917" s="37" t="inlineStr">
        <is>
          <t>Andre</t>
        </is>
      </c>
      <c r="D1917" s="37" t="inlineStr">
        <is>
          <t>RETAINER</t>
        </is>
      </c>
      <c r="E1917" s="37" t="n">
        <v>23.8</v>
      </c>
      <c r="F1917" s="37" t="n">
        <v>7.2</v>
      </c>
    </row>
    <row r="1918">
      <c r="A1918" s="37" t="inlineStr">
        <is>
          <t>WL-02917</t>
        </is>
      </c>
      <c r="B1918" s="37" t="inlineStr">
        <is>
          <t>Benitez</t>
        </is>
      </c>
      <c r="C1918" s="37" t="inlineStr">
        <is>
          <t>Nathan</t>
        </is>
      </c>
      <c r="D1918" s="37" t="inlineStr">
        <is>
          <t>ACTIVE_WAITLIST</t>
        </is>
      </c>
      <c r="E1918" s="37" t="n">
        <v>58.4</v>
      </c>
      <c r="F1918" s="37" t="n">
        <v>16.9</v>
      </c>
    </row>
    <row r="1919">
      <c r="A1919" s="37" t="inlineStr">
        <is>
          <t>WL-02918</t>
        </is>
      </c>
      <c r="B1919" s="37" t="inlineStr">
        <is>
          <t>Aguilar</t>
        </is>
      </c>
      <c r="C1919" s="37" t="inlineStr">
        <is>
          <t>Kara</t>
        </is>
      </c>
      <c r="D1919" s="37" t="inlineStr">
        <is>
          <t>EXPIRED</t>
        </is>
      </c>
      <c r="E1919" s="37" t="n">
        <v>50.6</v>
      </c>
      <c r="F1919" s="37" t="n">
        <v>14.6</v>
      </c>
    </row>
    <row r="1920">
      <c r="A1920" s="37" t="inlineStr">
        <is>
          <t>WL-02919</t>
        </is>
      </c>
      <c r="B1920" s="37" t="inlineStr">
        <is>
          <t>Bailey</t>
        </is>
      </c>
      <c r="C1920" s="37" t="inlineStr">
        <is>
          <t>Patrick</t>
        </is>
      </c>
      <c r="D1920" s="37" t="inlineStr">
        <is>
          <t>ACTIVE_WAITLIST</t>
        </is>
      </c>
      <c r="E1920" s="37" t="n">
        <v>61</v>
      </c>
      <c r="F1920" s="37" t="n">
        <v>17.8</v>
      </c>
    </row>
    <row r="1921">
      <c r="A1921" s="37" t="inlineStr">
        <is>
          <t>WL-02920</t>
        </is>
      </c>
      <c r="B1921" s="37" t="inlineStr">
        <is>
          <t>Thomas</t>
        </is>
      </c>
      <c r="C1921" s="37" t="inlineStr">
        <is>
          <t>Richard</t>
        </is>
      </c>
      <c r="D1921" s="37" t="inlineStr">
        <is>
          <t>ACTIVE_WAITLIST</t>
        </is>
      </c>
      <c r="E1921" s="37" t="n">
        <v>19.3</v>
      </c>
      <c r="F1921" s="37" t="n">
        <v>5.6</v>
      </c>
    </row>
    <row r="1922">
      <c r="A1922" s="37" t="inlineStr">
        <is>
          <t>WL-02921</t>
        </is>
      </c>
      <c r="B1922" s="37" t="inlineStr">
        <is>
          <t>Hatfield</t>
        </is>
      </c>
      <c r="C1922" s="37" t="inlineStr">
        <is>
          <t>Marissa</t>
        </is>
      </c>
      <c r="D1922" s="37" t="inlineStr">
        <is>
          <t>ACTIVE_WAITLIST</t>
        </is>
      </c>
      <c r="E1922" s="37" t="n">
        <v>32.2</v>
      </c>
      <c r="F1922" s="37" t="n">
        <v>9.199999999999999</v>
      </c>
    </row>
    <row r="1923">
      <c r="A1923" s="37" t="inlineStr">
        <is>
          <t>WL-02922</t>
        </is>
      </c>
      <c r="B1923" s="37" t="inlineStr">
        <is>
          <t>Allen</t>
        </is>
      </c>
      <c r="C1923" s="37" t="inlineStr">
        <is>
          <t>Sandra</t>
        </is>
      </c>
      <c r="D1923" s="37" t="inlineStr">
        <is>
          <t>ACTIVE_WAITLIST</t>
        </is>
      </c>
      <c r="E1923" s="37" t="n">
        <v>58</v>
      </c>
      <c r="F1923" s="37" t="n">
        <v>17.5</v>
      </c>
    </row>
    <row r="1924">
      <c r="A1924" s="37" t="inlineStr">
        <is>
          <t>WL-02923</t>
        </is>
      </c>
      <c r="B1924" s="37" t="inlineStr">
        <is>
          <t>Cummings</t>
        </is>
      </c>
      <c r="C1924" s="37" t="inlineStr">
        <is>
          <t>Randall</t>
        </is>
      </c>
      <c r="D1924" s="37" t="inlineStr">
        <is>
          <t>ACTIVE_WAITLIST</t>
        </is>
      </c>
      <c r="E1924" s="37" t="n">
        <v>22.7</v>
      </c>
      <c r="F1924" s="37" t="n">
        <v>7.7</v>
      </c>
    </row>
    <row r="1925">
      <c r="A1925" s="37" t="inlineStr">
        <is>
          <t>WL-02924</t>
        </is>
      </c>
      <c r="B1925" s="37" t="inlineStr">
        <is>
          <t>Hall</t>
        </is>
      </c>
      <c r="C1925" s="37" t="inlineStr">
        <is>
          <t>Heather</t>
        </is>
      </c>
      <c r="D1925" s="37" t="inlineStr">
        <is>
          <t>ACTIVE_WAITLIST</t>
        </is>
      </c>
      <c r="E1925" s="37" t="n">
        <v>22.2</v>
      </c>
      <c r="F1925" s="37" t="n">
        <v>8</v>
      </c>
    </row>
    <row r="1926">
      <c r="A1926" s="37" t="inlineStr">
        <is>
          <t>WL-02925</t>
        </is>
      </c>
      <c r="B1926" s="37" t="inlineStr">
        <is>
          <t>Marsh</t>
        </is>
      </c>
      <c r="C1926" s="37" t="inlineStr">
        <is>
          <t>Leslie</t>
        </is>
      </c>
      <c r="D1926" s="37" t="inlineStr">
        <is>
          <t>ACTIVE_WAITLIST</t>
        </is>
      </c>
      <c r="E1926" s="37" t="n">
        <v>40.9</v>
      </c>
      <c r="F1926" s="37" t="n">
        <v>13.4</v>
      </c>
    </row>
    <row r="1927">
      <c r="A1927" s="37" t="inlineStr">
        <is>
          <t>WL-02926</t>
        </is>
      </c>
      <c r="B1927" s="37" t="inlineStr">
        <is>
          <t>Harris</t>
        </is>
      </c>
      <c r="C1927" s="37" t="inlineStr">
        <is>
          <t>Pamela</t>
        </is>
      </c>
      <c r="D1927" s="37" t="inlineStr">
        <is>
          <t>ACTIVE_WAITLIST</t>
        </is>
      </c>
      <c r="E1927" s="37" t="n">
        <v>44.4</v>
      </c>
      <c r="F1927" s="37" t="n">
        <v>14.6</v>
      </c>
    </row>
    <row r="1928">
      <c r="A1928" s="37" t="inlineStr">
        <is>
          <t>WL-02927</t>
        </is>
      </c>
      <c r="B1928" s="37" t="inlineStr">
        <is>
          <t>Jones</t>
        </is>
      </c>
      <c r="C1928" s="37" t="inlineStr">
        <is>
          <t>Jonathon</t>
        </is>
      </c>
      <c r="D1928" s="37" t="inlineStr">
        <is>
          <t>ACTIVE_WAITLIST</t>
        </is>
      </c>
      <c r="E1928" s="37" t="n">
        <v>46.9</v>
      </c>
      <c r="F1928" s="37" t="n">
        <v>14.4</v>
      </c>
    </row>
    <row r="1929">
      <c r="A1929" s="37" t="inlineStr">
        <is>
          <t>WL-02928</t>
        </is>
      </c>
      <c r="B1929" s="37" t="inlineStr">
        <is>
          <t>White</t>
        </is>
      </c>
      <c r="C1929" s="37" t="inlineStr">
        <is>
          <t>Christopher</t>
        </is>
      </c>
      <c r="D1929" s="37" t="inlineStr">
        <is>
          <t>ACTIVE_WAITLIST</t>
        </is>
      </c>
      <c r="E1929" s="37" t="n">
        <v>30.5</v>
      </c>
      <c r="F1929" s="37" t="n">
        <v>10.5</v>
      </c>
    </row>
    <row r="1930">
      <c r="A1930" s="37" t="inlineStr">
        <is>
          <t>WL-02929</t>
        </is>
      </c>
      <c r="B1930" s="37" t="inlineStr">
        <is>
          <t>Ayala</t>
        </is>
      </c>
      <c r="C1930" s="37" t="inlineStr">
        <is>
          <t>Daniel</t>
        </is>
      </c>
      <c r="D1930" s="37" t="inlineStr">
        <is>
          <t>ACTIVE_WAITLIST</t>
        </is>
      </c>
      <c r="E1930" s="37" t="n">
        <v>34.5</v>
      </c>
      <c r="F1930" s="37" t="n">
        <v>12</v>
      </c>
    </row>
    <row r="1931">
      <c r="A1931" s="37" t="inlineStr">
        <is>
          <t>WL-02930</t>
        </is>
      </c>
      <c r="B1931" s="37" t="inlineStr">
        <is>
          <t>Strickland</t>
        </is>
      </c>
      <c r="C1931" s="37" t="inlineStr">
        <is>
          <t>Carmen</t>
        </is>
      </c>
      <c r="D1931" s="37" t="inlineStr">
        <is>
          <t>EXPIRED</t>
        </is>
      </c>
      <c r="E1931" s="37" t="n">
        <v>33.7</v>
      </c>
      <c r="F1931" s="37" t="n">
        <v>11.9</v>
      </c>
    </row>
    <row r="1932">
      <c r="A1932" s="37" t="inlineStr">
        <is>
          <t>WL-02931</t>
        </is>
      </c>
      <c r="B1932" s="37" t="inlineStr">
        <is>
          <t>Osborne</t>
        </is>
      </c>
      <c r="C1932" s="37" t="inlineStr">
        <is>
          <t>Larry</t>
        </is>
      </c>
      <c r="D1932" s="37" t="inlineStr">
        <is>
          <t>ACTIVE_WAITLIST</t>
        </is>
      </c>
      <c r="E1932" s="37" t="n">
        <v>23.7</v>
      </c>
      <c r="F1932" s="37" t="n">
        <v>7.6</v>
      </c>
    </row>
    <row r="1933">
      <c r="A1933" s="37" t="inlineStr">
        <is>
          <t>WL-02932</t>
        </is>
      </c>
      <c r="B1933" s="37" t="inlineStr">
        <is>
          <t>Brown</t>
        </is>
      </c>
      <c r="C1933" s="37" t="inlineStr">
        <is>
          <t>Steven</t>
        </is>
      </c>
      <c r="D1933" s="37" t="inlineStr">
        <is>
          <t>ACTIVE_WAITLIST</t>
        </is>
      </c>
      <c r="E1933" s="37" t="n">
        <v>39.5</v>
      </c>
      <c r="F1933" s="37" t="n">
        <v>13</v>
      </c>
    </row>
    <row r="1934">
      <c r="A1934" s="37" t="inlineStr">
        <is>
          <t>WL-02933</t>
        </is>
      </c>
      <c r="B1934" s="37" t="inlineStr">
        <is>
          <t>Turner</t>
        </is>
      </c>
      <c r="C1934" s="37" t="inlineStr">
        <is>
          <t>Jacob</t>
        </is>
      </c>
      <c r="D1934" s="37" t="inlineStr">
        <is>
          <t>ACTIVE_WAITLIST</t>
        </is>
      </c>
      <c r="E1934" s="37" t="n">
        <v>18</v>
      </c>
      <c r="F1934" s="37" t="n">
        <v>6.1</v>
      </c>
    </row>
    <row r="1935">
      <c r="A1935" s="37" t="inlineStr">
        <is>
          <t>WL-02934</t>
        </is>
      </c>
      <c r="B1935" s="37" t="inlineStr">
        <is>
          <t>Jimenez</t>
        </is>
      </c>
      <c r="C1935" s="37" t="inlineStr">
        <is>
          <t>Lisa</t>
        </is>
      </c>
      <c r="D1935" s="37" t="inlineStr">
        <is>
          <t>ACTIVE_WAITLIST</t>
        </is>
      </c>
      <c r="E1935" s="37" t="n">
        <v>33.8</v>
      </c>
      <c r="F1935" s="37" t="n">
        <v>11.2</v>
      </c>
    </row>
    <row r="1936">
      <c r="A1936" s="37" t="inlineStr">
        <is>
          <t>WL-02935</t>
        </is>
      </c>
      <c r="B1936" s="37" t="inlineStr">
        <is>
          <t>Boyd</t>
        </is>
      </c>
      <c r="C1936" s="37" t="inlineStr">
        <is>
          <t>Jamie</t>
        </is>
      </c>
      <c r="D1936" s="37" t="inlineStr">
        <is>
          <t>RETAINER</t>
        </is>
      </c>
      <c r="E1936" s="37" t="n">
        <v>60.9</v>
      </c>
      <c r="F1936" s="37" t="n">
        <v>18</v>
      </c>
    </row>
    <row r="1937">
      <c r="A1937" s="37" t="inlineStr">
        <is>
          <t>WL-02936</t>
        </is>
      </c>
      <c r="B1937" s="37" t="inlineStr">
        <is>
          <t>Spencer</t>
        </is>
      </c>
      <c r="C1937" s="37" t="inlineStr">
        <is>
          <t>Matthew</t>
        </is>
      </c>
      <c r="D1937" s="37" t="inlineStr">
        <is>
          <t>ACTIVE_WAITLIST</t>
        </is>
      </c>
      <c r="E1937" s="37" t="n">
        <v>36.1</v>
      </c>
      <c r="F1937" s="37" t="n">
        <v>10.5</v>
      </c>
    </row>
    <row r="1938">
      <c r="A1938" s="37" t="inlineStr">
        <is>
          <t>WL-02937</t>
        </is>
      </c>
      <c r="B1938" s="37" t="inlineStr">
        <is>
          <t>Harrison</t>
        </is>
      </c>
      <c r="C1938" s="37" t="inlineStr">
        <is>
          <t>Rebecca</t>
        </is>
      </c>
      <c r="D1938" s="37" t="inlineStr">
        <is>
          <t>ACTIVE_WAITLIST</t>
        </is>
      </c>
      <c r="E1938" s="37" t="n">
        <v>25.9</v>
      </c>
      <c r="F1938" s="37" t="n">
        <v>8</v>
      </c>
    </row>
    <row r="1939">
      <c r="A1939" s="37" t="inlineStr">
        <is>
          <t>WL-02938</t>
        </is>
      </c>
      <c r="B1939" s="37" t="inlineStr">
        <is>
          <t>Perez</t>
        </is>
      </c>
      <c r="C1939" s="37" t="inlineStr">
        <is>
          <t>Micheal</t>
        </is>
      </c>
      <c r="D1939" s="37" t="inlineStr">
        <is>
          <t>ACTIVE_WAITLIST</t>
        </is>
      </c>
      <c r="E1939" s="37" t="n">
        <v>19</v>
      </c>
      <c r="F1939" s="37" t="n">
        <v>5.9</v>
      </c>
    </row>
    <row r="1940">
      <c r="A1940" s="37" t="inlineStr">
        <is>
          <t>WL-02939</t>
        </is>
      </c>
      <c r="B1940" s="37" t="inlineStr">
        <is>
          <t>Jones</t>
        </is>
      </c>
      <c r="C1940" s="37" t="inlineStr">
        <is>
          <t>Willie</t>
        </is>
      </c>
      <c r="D1940" s="37" t="inlineStr">
        <is>
          <t>ACTIVE_WAITLIST</t>
        </is>
      </c>
      <c r="E1940" s="37" t="n">
        <v>33.1</v>
      </c>
      <c r="F1940" s="37" t="n">
        <v>10.9</v>
      </c>
    </row>
    <row r="1941">
      <c r="A1941" s="37" t="inlineStr">
        <is>
          <t>WL-02940</t>
        </is>
      </c>
      <c r="B1941" s="37" t="inlineStr">
        <is>
          <t>Carter</t>
        </is>
      </c>
      <c r="C1941" s="37" t="inlineStr">
        <is>
          <t>Leah</t>
        </is>
      </c>
      <c r="D1941" s="37" t="inlineStr">
        <is>
          <t>ACTIVE_WAITLIST</t>
        </is>
      </c>
      <c r="E1941" s="37" t="n">
        <v>60.1</v>
      </c>
      <c r="F1941" s="37" t="n">
        <v>17.4</v>
      </c>
    </row>
    <row r="1942">
      <c r="A1942" s="37" t="inlineStr">
        <is>
          <t>WL-02941</t>
        </is>
      </c>
      <c r="B1942" s="37" t="inlineStr">
        <is>
          <t>Benson</t>
        </is>
      </c>
      <c r="C1942" s="37" t="inlineStr">
        <is>
          <t>Jose</t>
        </is>
      </c>
      <c r="D1942" s="37" t="inlineStr">
        <is>
          <t>ACTIVE_WAITLIST</t>
        </is>
      </c>
      <c r="E1942" s="37" t="n">
        <v>51</v>
      </c>
      <c r="F1942" s="37" t="n">
        <v>15.2</v>
      </c>
    </row>
    <row r="1943">
      <c r="A1943" s="37" t="inlineStr">
        <is>
          <t>WL-02942</t>
        </is>
      </c>
      <c r="B1943" s="37" t="inlineStr">
        <is>
          <t>Bradley</t>
        </is>
      </c>
      <c r="C1943" s="37" t="inlineStr">
        <is>
          <t>Matthew</t>
        </is>
      </c>
      <c r="D1943" s="37" t="inlineStr">
        <is>
          <t>ACTIVE_WAITLIST</t>
        </is>
      </c>
      <c r="E1943" s="37" t="n">
        <v>52.7</v>
      </c>
      <c r="F1943" s="37" t="n">
        <v>18.4</v>
      </c>
    </row>
    <row r="1944">
      <c r="A1944" s="37" t="inlineStr">
        <is>
          <t>WL-02943</t>
        </is>
      </c>
      <c r="B1944" s="37" t="inlineStr">
        <is>
          <t>Thomas</t>
        </is>
      </c>
      <c r="C1944" s="37" t="inlineStr">
        <is>
          <t>Matthew</t>
        </is>
      </c>
      <c r="D1944" s="37" t="inlineStr">
        <is>
          <t>ACTIVE_WAITLIST</t>
        </is>
      </c>
      <c r="E1944" s="37" t="n">
        <v>18.8</v>
      </c>
      <c r="F1944" s="37" t="n">
        <v>5.9</v>
      </c>
    </row>
    <row r="1945">
      <c r="A1945" s="37" t="inlineStr">
        <is>
          <t>WL-02944</t>
        </is>
      </c>
      <c r="B1945" s="37" t="inlineStr">
        <is>
          <t>Long</t>
        </is>
      </c>
      <c r="C1945" s="37" t="inlineStr">
        <is>
          <t>Terri</t>
        </is>
      </c>
      <c r="D1945" s="37" t="inlineStr">
        <is>
          <t>ACTIVE_WAITLIST</t>
        </is>
      </c>
      <c r="E1945" s="37" t="n">
        <v>29.2</v>
      </c>
      <c r="F1945" s="37" t="n">
        <v>9.800000000000001</v>
      </c>
    </row>
    <row r="1946">
      <c r="A1946" s="37" t="inlineStr">
        <is>
          <t>WL-02945</t>
        </is>
      </c>
      <c r="B1946" s="37" t="inlineStr">
        <is>
          <t>Ramirez</t>
        </is>
      </c>
      <c r="C1946" s="37" t="inlineStr">
        <is>
          <t>Jerome</t>
        </is>
      </c>
      <c r="D1946" s="37" t="inlineStr">
        <is>
          <t>ACTIVE_WAITLIST</t>
        </is>
      </c>
      <c r="E1946" s="37" t="n">
        <v>30.7</v>
      </c>
      <c r="F1946" s="37" t="n">
        <v>9.800000000000001</v>
      </c>
    </row>
    <row r="1947">
      <c r="A1947" s="37" t="inlineStr">
        <is>
          <t>WL-02946</t>
        </is>
      </c>
      <c r="B1947" s="37" t="inlineStr">
        <is>
          <t>Moore</t>
        </is>
      </c>
      <c r="C1947" s="37" t="inlineStr">
        <is>
          <t>Anita</t>
        </is>
      </c>
      <c r="D1947" s="37" t="inlineStr">
        <is>
          <t>ACTIVE_WAITLIST</t>
        </is>
      </c>
      <c r="E1947" s="37" t="n">
        <v>37.2</v>
      </c>
      <c r="F1947" s="37" t="n">
        <v>13.2</v>
      </c>
    </row>
    <row r="1948">
      <c r="A1948" s="37" t="inlineStr">
        <is>
          <t>WL-02947</t>
        </is>
      </c>
      <c r="B1948" s="37" t="inlineStr">
        <is>
          <t>Brown</t>
        </is>
      </c>
      <c r="C1948" s="37" t="inlineStr">
        <is>
          <t>Melissa</t>
        </is>
      </c>
      <c r="D1948" s="37" t="inlineStr">
        <is>
          <t>ACTIVE_WAITLIST</t>
        </is>
      </c>
      <c r="E1948" s="37" t="n">
        <v>44.8</v>
      </c>
      <c r="F1948" s="37" t="n">
        <v>14.9</v>
      </c>
    </row>
    <row r="1949">
      <c r="A1949" s="37" t="inlineStr">
        <is>
          <t>WL-02948</t>
        </is>
      </c>
      <c r="B1949" s="37" t="inlineStr">
        <is>
          <t>Salinas</t>
        </is>
      </c>
      <c r="C1949" s="37" t="inlineStr">
        <is>
          <t>Michael</t>
        </is>
      </c>
      <c r="D1949" s="37" t="inlineStr">
        <is>
          <t>ACTIVE_WAITLIST</t>
        </is>
      </c>
      <c r="E1949" s="37" t="n">
        <v>41.9</v>
      </c>
      <c r="F1949" s="37" t="n">
        <v>14</v>
      </c>
    </row>
    <row r="1950">
      <c r="A1950" s="37" t="inlineStr">
        <is>
          <t>WL-02949</t>
        </is>
      </c>
      <c r="B1950" s="37" t="inlineStr">
        <is>
          <t>Nguyen</t>
        </is>
      </c>
      <c r="C1950" s="37" t="inlineStr">
        <is>
          <t>Michael</t>
        </is>
      </c>
      <c r="D1950" s="37" t="inlineStr">
        <is>
          <t>EXPIRED</t>
        </is>
      </c>
      <c r="E1950" s="37" t="n">
        <v>47.1</v>
      </c>
      <c r="F1950" s="37" t="n">
        <v>15.6</v>
      </c>
    </row>
    <row r="1951">
      <c r="A1951" s="37" t="inlineStr">
        <is>
          <t>WL-02950</t>
        </is>
      </c>
      <c r="B1951" s="37" t="inlineStr">
        <is>
          <t>Young</t>
        </is>
      </c>
      <c r="C1951" s="37" t="inlineStr">
        <is>
          <t>Travis</t>
        </is>
      </c>
      <c r="D1951" s="37" t="inlineStr">
        <is>
          <t>ACTIVE_WAITLIST</t>
        </is>
      </c>
      <c r="E1951" s="37" t="n">
        <v>23.5</v>
      </c>
      <c r="F1951" s="37" t="n">
        <v>7.6</v>
      </c>
    </row>
    <row r="1952">
      <c r="A1952" s="37" t="inlineStr">
        <is>
          <t>WL-02951</t>
        </is>
      </c>
      <c r="B1952" s="37" t="inlineStr">
        <is>
          <t>Thompson</t>
        </is>
      </c>
      <c r="C1952" s="37" t="inlineStr">
        <is>
          <t>Evelyn</t>
        </is>
      </c>
      <c r="D1952" s="37" t="inlineStr">
        <is>
          <t>ACTIVE_WAITLIST</t>
        </is>
      </c>
      <c r="E1952" s="37" t="n">
        <v>49.8</v>
      </c>
      <c r="F1952" s="37" t="n">
        <v>16.8</v>
      </c>
    </row>
    <row r="1953">
      <c r="A1953" s="37" t="inlineStr">
        <is>
          <t>WL-02952</t>
        </is>
      </c>
      <c r="B1953" s="37" t="inlineStr">
        <is>
          <t>Schroeder</t>
        </is>
      </c>
      <c r="C1953" s="37" t="inlineStr">
        <is>
          <t>Stacy</t>
        </is>
      </c>
      <c r="D1953" s="37" t="inlineStr">
        <is>
          <t>ACTIVE_WAITLIST</t>
        </is>
      </c>
      <c r="E1953" s="37" t="n">
        <v>54.4</v>
      </c>
      <c r="F1953" s="37" t="n">
        <v>17.9</v>
      </c>
    </row>
    <row r="1954">
      <c r="A1954" s="37" t="inlineStr">
        <is>
          <t>WL-02953</t>
        </is>
      </c>
      <c r="B1954" s="37" t="inlineStr">
        <is>
          <t>Frost</t>
        </is>
      </c>
      <c r="C1954" s="37" t="inlineStr">
        <is>
          <t>Melissa</t>
        </is>
      </c>
      <c r="D1954" s="37" t="inlineStr">
        <is>
          <t>SUSPENDED</t>
        </is>
      </c>
      <c r="E1954" s="37" t="n">
        <v>36.2</v>
      </c>
      <c r="F1954" s="37" t="n">
        <v>10.8</v>
      </c>
    </row>
    <row r="1955">
      <c r="A1955" s="37" t="inlineStr">
        <is>
          <t>WL-02954</t>
        </is>
      </c>
      <c r="B1955" s="37" t="inlineStr">
        <is>
          <t>Perez</t>
        </is>
      </c>
      <c r="C1955" s="37" t="inlineStr">
        <is>
          <t>Michael</t>
        </is>
      </c>
      <c r="D1955" s="37" t="inlineStr">
        <is>
          <t>ACTIVE_WAITLIST</t>
        </is>
      </c>
      <c r="E1955" s="37" t="n">
        <v>28.5</v>
      </c>
      <c r="F1955" s="37" t="n">
        <v>9.4</v>
      </c>
    </row>
    <row r="1956">
      <c r="A1956" s="37" t="inlineStr">
        <is>
          <t>WL-02955</t>
        </is>
      </c>
      <c r="B1956" s="37" t="inlineStr">
        <is>
          <t>Phillips</t>
        </is>
      </c>
      <c r="C1956" s="37" t="inlineStr">
        <is>
          <t>Jessica</t>
        </is>
      </c>
      <c r="D1956" s="37" t="inlineStr">
        <is>
          <t>ACTIVE_WAITLIST</t>
        </is>
      </c>
      <c r="E1956" s="37" t="n">
        <v>49.6</v>
      </c>
      <c r="F1956" s="37" t="n">
        <v>14.1</v>
      </c>
    </row>
    <row r="1957">
      <c r="A1957" s="37" t="inlineStr">
        <is>
          <t>WL-02956</t>
        </is>
      </c>
      <c r="B1957" s="37" t="inlineStr">
        <is>
          <t>Johnson</t>
        </is>
      </c>
      <c r="C1957" s="37" t="inlineStr">
        <is>
          <t>Andrew</t>
        </is>
      </c>
      <c r="D1957" s="37" t="inlineStr">
        <is>
          <t>ACTIVE_WAITLIST</t>
        </is>
      </c>
      <c r="E1957" s="37" t="n">
        <v>39.6</v>
      </c>
      <c r="F1957" s="37" t="n">
        <v>14.2</v>
      </c>
    </row>
    <row r="1958">
      <c r="A1958" s="37" t="inlineStr">
        <is>
          <t>WL-02957</t>
        </is>
      </c>
      <c r="B1958" s="37" t="inlineStr">
        <is>
          <t>Montgomery</t>
        </is>
      </c>
      <c r="C1958" s="37" t="inlineStr">
        <is>
          <t>Jeanne</t>
        </is>
      </c>
      <c r="D1958" s="37" t="inlineStr">
        <is>
          <t>ACTIVE_WAITLIST</t>
        </is>
      </c>
      <c r="E1958" s="37" t="n">
        <v>61.3</v>
      </c>
      <c r="F1958" s="37" t="n">
        <v>18.1</v>
      </c>
    </row>
    <row r="1959">
      <c r="A1959" s="37" t="inlineStr">
        <is>
          <t>WL-02958</t>
        </is>
      </c>
      <c r="B1959" s="37" t="inlineStr">
        <is>
          <t>Fuentes</t>
        </is>
      </c>
      <c r="C1959" s="37" t="inlineStr">
        <is>
          <t>Holly</t>
        </is>
      </c>
      <c r="D1959" s="37" t="inlineStr">
        <is>
          <t>ACTIVE_WAITLIST</t>
        </is>
      </c>
      <c r="E1959" s="37" t="n">
        <v>24.3</v>
      </c>
      <c r="F1959" s="37" t="n">
        <v>6.9</v>
      </c>
    </row>
    <row r="1960">
      <c r="A1960" s="37" t="inlineStr">
        <is>
          <t>WL-02959</t>
        </is>
      </c>
      <c r="B1960" s="37" t="inlineStr">
        <is>
          <t>Zavala</t>
        </is>
      </c>
      <c r="C1960" s="37" t="inlineStr">
        <is>
          <t>Diamond</t>
        </is>
      </c>
      <c r="D1960" s="37" t="inlineStr">
        <is>
          <t>ACTIVE_WAITLIST</t>
        </is>
      </c>
      <c r="E1960" s="37" t="n">
        <v>31.6</v>
      </c>
      <c r="F1960" s="37" t="n">
        <v>10.5</v>
      </c>
    </row>
    <row r="1961">
      <c r="A1961" s="37" t="inlineStr">
        <is>
          <t>WL-02960</t>
        </is>
      </c>
      <c r="B1961" s="37" t="inlineStr">
        <is>
          <t>Davis</t>
        </is>
      </c>
      <c r="C1961" s="37" t="inlineStr">
        <is>
          <t>Trevor</t>
        </is>
      </c>
      <c r="D1961" s="37" t="inlineStr">
        <is>
          <t>ACTIVE_WAITLIST</t>
        </is>
      </c>
      <c r="E1961" s="37" t="n">
        <v>19.1</v>
      </c>
      <c r="F1961" s="37" t="n">
        <v>6.7</v>
      </c>
    </row>
    <row r="1962">
      <c r="A1962" s="37" t="inlineStr">
        <is>
          <t>WL-02961</t>
        </is>
      </c>
      <c r="B1962" s="37" t="inlineStr">
        <is>
          <t>Flores</t>
        </is>
      </c>
      <c r="C1962" s="37" t="inlineStr">
        <is>
          <t>Rachel</t>
        </is>
      </c>
      <c r="D1962" s="37" t="inlineStr">
        <is>
          <t>ACTIVE_WAITLIST</t>
        </is>
      </c>
      <c r="E1962" s="37" t="n">
        <v>27.2</v>
      </c>
      <c r="F1962" s="37" t="n">
        <v>7.8</v>
      </c>
    </row>
    <row r="1963">
      <c r="A1963" s="37" t="inlineStr">
        <is>
          <t>WL-02962</t>
        </is>
      </c>
      <c r="B1963" s="37" t="inlineStr">
        <is>
          <t>Powell</t>
        </is>
      </c>
      <c r="C1963" s="37" t="inlineStr">
        <is>
          <t>Allison</t>
        </is>
      </c>
      <c r="D1963" s="37" t="inlineStr">
        <is>
          <t>EXPIRED</t>
        </is>
      </c>
      <c r="E1963" s="37" t="n">
        <v>53.1</v>
      </c>
      <c r="F1963" s="37" t="n">
        <v>15.6</v>
      </c>
    </row>
    <row r="1964">
      <c r="A1964" s="37" t="inlineStr">
        <is>
          <t>WL-02963</t>
        </is>
      </c>
      <c r="B1964" s="37" t="inlineStr">
        <is>
          <t>Liu</t>
        </is>
      </c>
      <c r="C1964" s="37" t="inlineStr">
        <is>
          <t>Jennifer</t>
        </is>
      </c>
      <c r="D1964" s="37" t="inlineStr">
        <is>
          <t>ACTIVE_WAITLIST</t>
        </is>
      </c>
      <c r="E1964" s="37" t="n">
        <v>34.6</v>
      </c>
      <c r="F1964" s="37" t="n">
        <v>10.2</v>
      </c>
    </row>
    <row r="1965">
      <c r="A1965" s="37" t="inlineStr">
        <is>
          <t>WL-02964</t>
        </is>
      </c>
      <c r="B1965" s="37" t="inlineStr">
        <is>
          <t>Boyd</t>
        </is>
      </c>
      <c r="C1965" s="37" t="inlineStr">
        <is>
          <t>Christopher</t>
        </is>
      </c>
      <c r="D1965" s="37" t="inlineStr">
        <is>
          <t>ACTIVE_WAITLIST</t>
        </is>
      </c>
      <c r="E1965" s="37" t="n">
        <v>37.5</v>
      </c>
      <c r="F1965" s="37" t="n">
        <v>11.9</v>
      </c>
    </row>
    <row r="1966">
      <c r="A1966" s="37" t="inlineStr">
        <is>
          <t>WL-02965</t>
        </is>
      </c>
      <c r="B1966" s="37" t="inlineStr">
        <is>
          <t>Koch</t>
        </is>
      </c>
      <c r="C1966" s="37" t="inlineStr">
        <is>
          <t>Harry</t>
        </is>
      </c>
      <c r="D1966" s="37" t="inlineStr">
        <is>
          <t>ACTIVE_WAITLIST</t>
        </is>
      </c>
      <c r="E1966" s="37" t="n">
        <v>32.6</v>
      </c>
      <c r="F1966" s="37" t="n">
        <v>11.2</v>
      </c>
    </row>
    <row r="1967">
      <c r="A1967" s="37" t="inlineStr">
        <is>
          <t>WL-02966</t>
        </is>
      </c>
      <c r="B1967" s="37" t="inlineStr">
        <is>
          <t>Thompson</t>
        </is>
      </c>
      <c r="C1967" s="37" t="inlineStr">
        <is>
          <t>Benjamin</t>
        </is>
      </c>
      <c r="D1967" s="37" t="inlineStr">
        <is>
          <t>RETAINER</t>
        </is>
      </c>
      <c r="E1967" s="37" t="n">
        <v>19</v>
      </c>
      <c r="F1967" s="37" t="n">
        <v>5.9</v>
      </c>
    </row>
    <row r="1968">
      <c r="A1968" s="37" t="inlineStr">
        <is>
          <t>WL-02967</t>
        </is>
      </c>
      <c r="B1968" s="37" t="inlineStr">
        <is>
          <t>Thompson</t>
        </is>
      </c>
      <c r="C1968" s="37" t="inlineStr">
        <is>
          <t>Joseph</t>
        </is>
      </c>
      <c r="D1968" s="37" t="inlineStr">
        <is>
          <t>ACTIVE_WAITLIST</t>
        </is>
      </c>
      <c r="E1968" s="37" t="n">
        <v>30.8</v>
      </c>
      <c r="F1968" s="37" t="n">
        <v>8.699999999999999</v>
      </c>
    </row>
    <row r="1969">
      <c r="A1969" s="37" t="inlineStr">
        <is>
          <t>WL-02968</t>
        </is>
      </c>
      <c r="B1969" s="37" t="inlineStr">
        <is>
          <t>Blackburn</t>
        </is>
      </c>
      <c r="C1969" s="37" t="inlineStr">
        <is>
          <t>Brian</t>
        </is>
      </c>
      <c r="D1969" s="37" t="inlineStr">
        <is>
          <t>ACTIVE_WAITLIST</t>
        </is>
      </c>
      <c r="E1969" s="37" t="n">
        <v>43.2</v>
      </c>
      <c r="F1969" s="37" t="n">
        <v>14.1</v>
      </c>
    </row>
    <row r="1970">
      <c r="A1970" s="37" t="inlineStr">
        <is>
          <t>WL-02969</t>
        </is>
      </c>
      <c r="B1970" s="37" t="inlineStr">
        <is>
          <t>Davis</t>
        </is>
      </c>
      <c r="C1970" s="37" t="inlineStr">
        <is>
          <t>Anthony</t>
        </is>
      </c>
      <c r="D1970" s="37" t="inlineStr">
        <is>
          <t>ACTIVE_WAITLIST</t>
        </is>
      </c>
      <c r="E1970" s="37" t="n">
        <v>47.9</v>
      </c>
      <c r="F1970" s="37" t="n">
        <v>17.2</v>
      </c>
    </row>
    <row r="1971">
      <c r="A1971" s="37" t="inlineStr">
        <is>
          <t>WL-02970</t>
        </is>
      </c>
      <c r="B1971" s="37" t="inlineStr">
        <is>
          <t>Robles</t>
        </is>
      </c>
      <c r="C1971" s="37" t="inlineStr">
        <is>
          <t>William</t>
        </is>
      </c>
      <c r="D1971" s="37" t="inlineStr">
        <is>
          <t>ACTIVE_WAITLIST</t>
        </is>
      </c>
      <c r="E1971" s="37" t="n">
        <v>21</v>
      </c>
      <c r="F1971" s="37" t="n">
        <v>6.9</v>
      </c>
    </row>
    <row r="1972">
      <c r="A1972" s="37" t="inlineStr">
        <is>
          <t>WL-02971</t>
        </is>
      </c>
      <c r="B1972" s="37" t="inlineStr">
        <is>
          <t>Grant</t>
        </is>
      </c>
      <c r="C1972" s="37" t="inlineStr">
        <is>
          <t>Frank</t>
        </is>
      </c>
      <c r="D1972" s="37" t="inlineStr">
        <is>
          <t>ACTIVE_WAITLIST</t>
        </is>
      </c>
      <c r="E1972" s="37" t="n">
        <v>50.1</v>
      </c>
      <c r="F1972" s="37" t="n">
        <v>17.5</v>
      </c>
    </row>
    <row r="1973">
      <c r="A1973" s="37" t="inlineStr">
        <is>
          <t>WL-02972</t>
        </is>
      </c>
      <c r="B1973" s="37" t="inlineStr">
        <is>
          <t>Hamilton</t>
        </is>
      </c>
      <c r="C1973" s="37" t="inlineStr">
        <is>
          <t>John</t>
        </is>
      </c>
      <c r="D1973" s="37" t="inlineStr">
        <is>
          <t>ACTIVE_WAITLIST</t>
        </is>
      </c>
      <c r="E1973" s="37" t="n">
        <v>60.5</v>
      </c>
      <c r="F1973" s="37" t="n">
        <v>21.2</v>
      </c>
    </row>
    <row r="1974">
      <c r="A1974" s="37" t="inlineStr">
        <is>
          <t>WL-02973</t>
        </is>
      </c>
      <c r="B1974" s="37" t="inlineStr">
        <is>
          <t>Jennings</t>
        </is>
      </c>
      <c r="C1974" s="37" t="inlineStr">
        <is>
          <t>Theresa</t>
        </is>
      </c>
      <c r="D1974" s="37" t="inlineStr">
        <is>
          <t>ACTIVE_WAITLIST</t>
        </is>
      </c>
      <c r="E1974" s="37" t="n">
        <v>32.9</v>
      </c>
      <c r="F1974" s="37" t="n">
        <v>11.5</v>
      </c>
    </row>
    <row r="1975">
      <c r="A1975" s="37" t="inlineStr">
        <is>
          <t>WL-02974</t>
        </is>
      </c>
      <c r="B1975" s="37" t="inlineStr">
        <is>
          <t>Wilson</t>
        </is>
      </c>
      <c r="C1975" s="37" t="inlineStr">
        <is>
          <t>Natasha</t>
        </is>
      </c>
      <c r="D1975" s="37" t="inlineStr">
        <is>
          <t>ACTIVE_WAITLIST</t>
        </is>
      </c>
      <c r="E1975" s="37" t="n">
        <v>57.8</v>
      </c>
      <c r="F1975" s="37" t="n">
        <v>18.1</v>
      </c>
    </row>
    <row r="1976">
      <c r="A1976" s="37" t="inlineStr">
        <is>
          <t>WL-02975</t>
        </is>
      </c>
      <c r="B1976" s="37" t="inlineStr">
        <is>
          <t>Jones</t>
        </is>
      </c>
      <c r="C1976" s="37" t="inlineStr">
        <is>
          <t>Maria</t>
        </is>
      </c>
      <c r="D1976" s="37" t="inlineStr">
        <is>
          <t>ACTIVE_WAITLIST</t>
        </is>
      </c>
      <c r="E1976" s="37" t="n">
        <v>20.4</v>
      </c>
      <c r="F1976" s="37" t="n">
        <v>6</v>
      </c>
    </row>
    <row r="1977">
      <c r="A1977" s="37" t="inlineStr">
        <is>
          <t>WL-02976</t>
        </is>
      </c>
      <c r="B1977" s="37" t="inlineStr">
        <is>
          <t>Richmond</t>
        </is>
      </c>
      <c r="C1977" s="37" t="inlineStr">
        <is>
          <t>Kristen</t>
        </is>
      </c>
      <c r="D1977" s="37" t="inlineStr">
        <is>
          <t>EXPIRED</t>
        </is>
      </c>
      <c r="E1977" s="37" t="n">
        <v>53.8</v>
      </c>
      <c r="F1977" s="37" t="n">
        <v>16.5</v>
      </c>
    </row>
    <row r="1978">
      <c r="A1978" s="37" t="inlineStr">
        <is>
          <t>WL-02977</t>
        </is>
      </c>
      <c r="B1978" s="37" t="inlineStr">
        <is>
          <t>West</t>
        </is>
      </c>
      <c r="C1978" s="37" t="inlineStr">
        <is>
          <t>Candice</t>
        </is>
      </c>
      <c r="D1978" s="37" t="inlineStr">
        <is>
          <t>EXPIRED</t>
        </is>
      </c>
      <c r="E1978" s="37" t="n">
        <v>49.1</v>
      </c>
      <c r="F1978" s="37" t="n">
        <v>16.5</v>
      </c>
    </row>
    <row r="1979">
      <c r="A1979" s="37" t="inlineStr">
        <is>
          <t>WL-02978</t>
        </is>
      </c>
      <c r="B1979" s="37" t="inlineStr">
        <is>
          <t>Schmitt</t>
        </is>
      </c>
      <c r="C1979" s="37" t="inlineStr">
        <is>
          <t>Arthur</t>
        </is>
      </c>
      <c r="D1979" s="37" t="inlineStr">
        <is>
          <t>ACTIVE_WAITLIST</t>
        </is>
      </c>
      <c r="E1979" s="37" t="n">
        <v>61.1</v>
      </c>
      <c r="F1979" s="37" t="n">
        <v>20.6</v>
      </c>
    </row>
    <row r="1980">
      <c r="A1980" s="37" t="inlineStr">
        <is>
          <t>WL-02979</t>
        </is>
      </c>
      <c r="B1980" s="37" t="inlineStr">
        <is>
          <t>Reed</t>
        </is>
      </c>
      <c r="C1980" s="37" t="inlineStr">
        <is>
          <t>Catherine</t>
        </is>
      </c>
      <c r="D1980" s="37" t="inlineStr">
        <is>
          <t>ACTIVE_WAITLIST</t>
        </is>
      </c>
      <c r="E1980" s="37" t="n">
        <v>55</v>
      </c>
      <c r="F1980" s="37" t="n">
        <v>18.5</v>
      </c>
    </row>
    <row r="1981">
      <c r="A1981" s="37" t="inlineStr">
        <is>
          <t>WL-02980</t>
        </is>
      </c>
      <c r="B1981" s="37" t="inlineStr">
        <is>
          <t>Dixon</t>
        </is>
      </c>
      <c r="C1981" s="37" t="inlineStr">
        <is>
          <t>Elizabeth</t>
        </is>
      </c>
      <c r="D1981" s="37" t="inlineStr">
        <is>
          <t>ACTIVE_WAITLIST</t>
        </is>
      </c>
      <c r="E1981" s="37" t="n">
        <v>47.7</v>
      </c>
      <c r="F1981" s="37" t="n">
        <v>14.1</v>
      </c>
    </row>
    <row r="1982">
      <c r="A1982" s="37" t="inlineStr">
        <is>
          <t>WL-02981</t>
        </is>
      </c>
      <c r="B1982" s="37" t="inlineStr">
        <is>
          <t>Miller</t>
        </is>
      </c>
      <c r="C1982" s="37" t="inlineStr">
        <is>
          <t>Caroline</t>
        </is>
      </c>
      <c r="D1982" s="37" t="inlineStr">
        <is>
          <t>ACTIVE_WAITLIST</t>
        </is>
      </c>
      <c r="E1982" s="37" t="n">
        <v>26.4</v>
      </c>
      <c r="F1982" s="37" t="n">
        <v>8.1</v>
      </c>
    </row>
    <row r="1983">
      <c r="A1983" s="37" t="inlineStr">
        <is>
          <t>WL-02982</t>
        </is>
      </c>
      <c r="B1983" s="37" t="inlineStr">
        <is>
          <t>Juarez</t>
        </is>
      </c>
      <c r="C1983" s="37" t="inlineStr">
        <is>
          <t>Alan</t>
        </is>
      </c>
      <c r="D1983" s="37" t="inlineStr">
        <is>
          <t>ACTIVE_WAITLIST</t>
        </is>
      </c>
      <c r="E1983" s="37" t="n">
        <v>27.9</v>
      </c>
      <c r="F1983" s="37" t="n">
        <v>9</v>
      </c>
    </row>
    <row r="1984">
      <c r="A1984" s="37" t="inlineStr">
        <is>
          <t>WL-02983</t>
        </is>
      </c>
      <c r="B1984" s="37" t="inlineStr">
        <is>
          <t>Rodriguez</t>
        </is>
      </c>
      <c r="C1984" s="37" t="inlineStr">
        <is>
          <t>Albert</t>
        </is>
      </c>
      <c r="D1984" s="37" t="inlineStr">
        <is>
          <t>ACTIVE_WAITLIST</t>
        </is>
      </c>
      <c r="E1984" s="37" t="n">
        <v>57.3</v>
      </c>
      <c r="F1984" s="37" t="n">
        <v>19.9</v>
      </c>
    </row>
    <row r="1985">
      <c r="A1985" s="37" t="inlineStr">
        <is>
          <t>WL-02984</t>
        </is>
      </c>
      <c r="B1985" s="37" t="inlineStr">
        <is>
          <t>Jones</t>
        </is>
      </c>
      <c r="C1985" s="37" t="inlineStr">
        <is>
          <t>Bridget</t>
        </is>
      </c>
      <c r="D1985" s="37" t="inlineStr">
        <is>
          <t>ACTIVE_WAITLIST</t>
        </is>
      </c>
      <c r="E1985" s="37" t="n">
        <v>58.7</v>
      </c>
      <c r="F1985" s="37" t="n">
        <v>16.5</v>
      </c>
    </row>
    <row r="1986">
      <c r="A1986" s="37" t="inlineStr">
        <is>
          <t>WL-02985</t>
        </is>
      </c>
      <c r="B1986" s="37" t="inlineStr">
        <is>
          <t>Benjamin</t>
        </is>
      </c>
      <c r="C1986" s="37" t="inlineStr">
        <is>
          <t>Francisco</t>
        </is>
      </c>
      <c r="D1986" s="37" t="inlineStr">
        <is>
          <t>ACTIVE_WAITLIST</t>
        </is>
      </c>
      <c r="E1986" s="37" t="n">
        <v>36.6</v>
      </c>
      <c r="F1986" s="37" t="n">
        <v>12.2</v>
      </c>
    </row>
    <row r="1987">
      <c r="A1987" s="37" t="inlineStr">
        <is>
          <t>WL-02986</t>
        </is>
      </c>
      <c r="B1987" s="37" t="inlineStr">
        <is>
          <t>Hernandez</t>
        </is>
      </c>
      <c r="C1987" s="37" t="inlineStr">
        <is>
          <t>Jaime</t>
        </is>
      </c>
      <c r="D1987" s="37" t="inlineStr">
        <is>
          <t>ACTIVE_WAITLIST</t>
        </is>
      </c>
      <c r="E1987" s="37" t="n">
        <v>37</v>
      </c>
      <c r="F1987" s="37" t="n">
        <v>11.4</v>
      </c>
    </row>
    <row r="1988">
      <c r="A1988" s="37" t="inlineStr">
        <is>
          <t>WL-02987</t>
        </is>
      </c>
      <c r="B1988" s="37" t="inlineStr">
        <is>
          <t>Wolfe</t>
        </is>
      </c>
      <c r="C1988" s="37" t="inlineStr">
        <is>
          <t>Michael</t>
        </is>
      </c>
      <c r="D1988" s="37" t="inlineStr">
        <is>
          <t>RETAINER</t>
        </is>
      </c>
      <c r="E1988" s="37" t="n">
        <v>39.5</v>
      </c>
      <c r="F1988" s="37" t="n">
        <v>13.9</v>
      </c>
    </row>
    <row r="1989">
      <c r="A1989" s="37" t="inlineStr">
        <is>
          <t>WL-02988</t>
        </is>
      </c>
      <c r="B1989" s="37" t="inlineStr">
        <is>
          <t>Roberts</t>
        </is>
      </c>
      <c r="C1989" s="37" t="inlineStr">
        <is>
          <t>Jamie</t>
        </is>
      </c>
      <c r="D1989" s="37" t="inlineStr">
        <is>
          <t>ACTIVE_WAITLIST</t>
        </is>
      </c>
      <c r="E1989" s="37" t="n">
        <v>33.7</v>
      </c>
      <c r="F1989" s="37" t="n">
        <v>11.6</v>
      </c>
    </row>
    <row r="1990">
      <c r="A1990" s="37" t="inlineStr">
        <is>
          <t>WL-02989</t>
        </is>
      </c>
      <c r="B1990" s="37" t="inlineStr">
        <is>
          <t>Rojas</t>
        </is>
      </c>
      <c r="C1990" s="37" t="inlineStr">
        <is>
          <t>Levi</t>
        </is>
      </c>
      <c r="D1990" s="37" t="inlineStr">
        <is>
          <t>RETAINER</t>
        </is>
      </c>
      <c r="E1990" s="37" t="n">
        <v>56.1</v>
      </c>
      <c r="F1990" s="37" t="n">
        <v>19</v>
      </c>
    </row>
    <row r="1991">
      <c r="A1991" s="37" t="inlineStr">
        <is>
          <t>WL-02990</t>
        </is>
      </c>
      <c r="B1991" s="37" t="inlineStr">
        <is>
          <t>Sanders</t>
        </is>
      </c>
      <c r="C1991" s="37" t="inlineStr">
        <is>
          <t>Karen</t>
        </is>
      </c>
      <c r="D1991" s="37" t="inlineStr">
        <is>
          <t>ACTIVE_WAITLIST</t>
        </is>
      </c>
      <c r="E1991" s="37" t="n">
        <v>21.2</v>
      </c>
      <c r="F1991" s="37" t="n">
        <v>6.2</v>
      </c>
    </row>
    <row r="1992">
      <c r="A1992" s="37" t="inlineStr">
        <is>
          <t>WL-02991</t>
        </is>
      </c>
      <c r="B1992" s="37" t="inlineStr">
        <is>
          <t>Palmer</t>
        </is>
      </c>
      <c r="C1992" s="37" t="inlineStr">
        <is>
          <t>Cole</t>
        </is>
      </c>
      <c r="D1992" s="37" t="inlineStr">
        <is>
          <t>ACTIVE_WAITLIST</t>
        </is>
      </c>
      <c r="E1992" s="37" t="n">
        <v>33.5</v>
      </c>
      <c r="F1992" s="37" t="n">
        <v>11.7</v>
      </c>
    </row>
    <row r="1993">
      <c r="A1993" s="37" t="inlineStr">
        <is>
          <t>WL-02992</t>
        </is>
      </c>
      <c r="B1993" s="37" t="inlineStr">
        <is>
          <t>Cox</t>
        </is>
      </c>
      <c r="C1993" s="37" t="inlineStr">
        <is>
          <t>Emily</t>
        </is>
      </c>
      <c r="D1993" s="37" t="inlineStr">
        <is>
          <t>ACTIVE_WAITLIST</t>
        </is>
      </c>
      <c r="E1993" s="37" t="n">
        <v>38.3</v>
      </c>
      <c r="F1993" s="37" t="n">
        <v>11.5</v>
      </c>
    </row>
    <row r="1994">
      <c r="A1994" s="37" t="inlineStr">
        <is>
          <t>WL-02993</t>
        </is>
      </c>
      <c r="B1994" s="37" t="inlineStr">
        <is>
          <t>Mcmahon</t>
        </is>
      </c>
      <c r="C1994" s="37" t="inlineStr">
        <is>
          <t>Jaime</t>
        </is>
      </c>
      <c r="D1994" s="37" t="inlineStr">
        <is>
          <t>ACTIVE_WAITLIST</t>
        </is>
      </c>
      <c r="E1994" s="37" t="n">
        <v>29.7</v>
      </c>
      <c r="F1994" s="37" t="n">
        <v>9.800000000000001</v>
      </c>
    </row>
    <row r="1995">
      <c r="A1995" s="37" t="inlineStr">
        <is>
          <t>WL-02994</t>
        </is>
      </c>
      <c r="B1995" s="37" t="inlineStr">
        <is>
          <t>Wright</t>
        </is>
      </c>
      <c r="C1995" s="37" t="inlineStr">
        <is>
          <t>Pamela</t>
        </is>
      </c>
      <c r="D1995" s="37" t="inlineStr">
        <is>
          <t>ACTIVE_WAITLIST</t>
        </is>
      </c>
      <c r="E1995" s="37" t="n">
        <v>24.5</v>
      </c>
      <c r="F1995" s="37" t="n">
        <v>8</v>
      </c>
    </row>
    <row r="1996">
      <c r="A1996" s="37" t="inlineStr">
        <is>
          <t>WL-02995</t>
        </is>
      </c>
      <c r="B1996" s="37" t="inlineStr">
        <is>
          <t>Stanton</t>
        </is>
      </c>
      <c r="C1996" s="37" t="inlineStr">
        <is>
          <t>Angela</t>
        </is>
      </c>
      <c r="D1996" s="37" t="inlineStr">
        <is>
          <t>ACTIVE_WAITLIST</t>
        </is>
      </c>
      <c r="E1996" s="37" t="n">
        <v>41.3</v>
      </c>
      <c r="F1996" s="37" t="n">
        <v>12.7</v>
      </c>
    </row>
    <row r="1997">
      <c r="A1997" s="37" t="inlineStr">
        <is>
          <t>WL-02996</t>
        </is>
      </c>
      <c r="B1997" s="37" t="inlineStr">
        <is>
          <t>Martinez</t>
        </is>
      </c>
      <c r="C1997" s="37" t="inlineStr">
        <is>
          <t>Wayne</t>
        </is>
      </c>
      <c r="D1997" s="37" t="inlineStr">
        <is>
          <t>ACTIVE_WAITLIST</t>
        </is>
      </c>
      <c r="E1997" s="37" t="n">
        <v>41</v>
      </c>
      <c r="F1997" s="37" t="n">
        <v>13.1</v>
      </c>
    </row>
    <row r="1998">
      <c r="A1998" s="37" t="inlineStr">
        <is>
          <t>WL-02997</t>
        </is>
      </c>
      <c r="B1998" s="37" t="inlineStr">
        <is>
          <t>Underwood</t>
        </is>
      </c>
      <c r="C1998" s="37" t="inlineStr">
        <is>
          <t>Michael</t>
        </is>
      </c>
      <c r="D1998" s="37" t="inlineStr">
        <is>
          <t>ACTIVE_WAITLIST</t>
        </is>
      </c>
      <c r="E1998" s="37" t="n">
        <v>40.3</v>
      </c>
      <c r="F1998" s="37" t="n">
        <v>12.9</v>
      </c>
    </row>
    <row r="1999">
      <c r="A1999" s="37" t="inlineStr">
        <is>
          <t>WL-02998</t>
        </is>
      </c>
      <c r="B1999" s="37" t="inlineStr">
        <is>
          <t>Bradley</t>
        </is>
      </c>
      <c r="C1999" s="37" t="inlineStr">
        <is>
          <t>Luis</t>
        </is>
      </c>
      <c r="D1999" s="37" t="inlineStr">
        <is>
          <t>ACTIVE_WAITLIST</t>
        </is>
      </c>
      <c r="E1999" s="37" t="n">
        <v>45.4</v>
      </c>
      <c r="F1999" s="37" t="n">
        <v>15.5</v>
      </c>
    </row>
    <row r="2000">
      <c r="A2000" s="37" t="inlineStr">
        <is>
          <t>WL-02999</t>
        </is>
      </c>
      <c r="B2000" s="37" t="inlineStr">
        <is>
          <t>Brock</t>
        </is>
      </c>
      <c r="C2000" s="37" t="inlineStr">
        <is>
          <t>Gary</t>
        </is>
      </c>
      <c r="D2000" s="37" t="inlineStr">
        <is>
          <t>ACTIVE_WAITLIST</t>
        </is>
      </c>
      <c r="E2000" s="37" t="n">
        <v>28.6</v>
      </c>
      <c r="F2000" s="37" t="n">
        <v>8.699999999999999</v>
      </c>
    </row>
    <row r="2001">
      <c r="A2001" s="37" t="inlineStr">
        <is>
          <t>WL-03000</t>
        </is>
      </c>
      <c r="B2001" s="37" t="inlineStr">
        <is>
          <t>Gibbs</t>
        </is>
      </c>
      <c r="C2001" s="37" t="inlineStr">
        <is>
          <t>Tina</t>
        </is>
      </c>
      <c r="D2001" s="37" t="inlineStr">
        <is>
          <t>ACTIVE_WAITLIST</t>
        </is>
      </c>
      <c r="E2001" s="37" t="n">
        <v>24</v>
      </c>
      <c r="F2001" s="37" t="n">
        <v>8.4</v>
      </c>
    </row>
    <row r="2002">
      <c r="A2002" s="37" t="inlineStr">
        <is>
          <t>WL-03001</t>
        </is>
      </c>
      <c r="B2002" s="37" t="inlineStr">
        <is>
          <t>Burns</t>
        </is>
      </c>
      <c r="C2002" s="37" t="inlineStr">
        <is>
          <t>Michael</t>
        </is>
      </c>
      <c r="D2002" s="37" t="inlineStr">
        <is>
          <t>ACTIVE_WAITLIST</t>
        </is>
      </c>
      <c r="E2002" s="37" t="n">
        <v>26.5</v>
      </c>
      <c r="F2002" s="37" t="n">
        <v>8.1</v>
      </c>
    </row>
    <row r="2003">
      <c r="A2003" s="37" t="inlineStr">
        <is>
          <t>WL-03002</t>
        </is>
      </c>
      <c r="B2003" s="37" t="inlineStr">
        <is>
          <t>Wilson</t>
        </is>
      </c>
      <c r="C2003" s="37" t="inlineStr">
        <is>
          <t>Kim</t>
        </is>
      </c>
      <c r="D2003" s="37" t="inlineStr">
        <is>
          <t>ACTIVE_WAITLIST</t>
        </is>
      </c>
      <c r="E2003" s="37" t="n">
        <v>45</v>
      </c>
      <c r="F2003" s="37" t="n">
        <v>15.8</v>
      </c>
    </row>
    <row r="2004">
      <c r="A2004" s="37" t="inlineStr">
        <is>
          <t>WL-03003</t>
        </is>
      </c>
      <c r="B2004" s="37" t="inlineStr">
        <is>
          <t>Turner</t>
        </is>
      </c>
      <c r="C2004" s="37" t="inlineStr">
        <is>
          <t>Trevor</t>
        </is>
      </c>
      <c r="D2004" s="37" t="inlineStr">
        <is>
          <t>ACTIVE_WAITLIST</t>
        </is>
      </c>
      <c r="E2004" s="37" t="n">
        <v>53.6</v>
      </c>
      <c r="F2004" s="37" t="n">
        <v>18.2</v>
      </c>
    </row>
    <row r="2005">
      <c r="A2005" s="37" t="inlineStr">
        <is>
          <t>WL-03004</t>
        </is>
      </c>
      <c r="B2005" s="37" t="inlineStr">
        <is>
          <t>Vargas</t>
        </is>
      </c>
      <c r="C2005" s="37" t="inlineStr">
        <is>
          <t>Connor</t>
        </is>
      </c>
      <c r="D2005" s="37" t="inlineStr">
        <is>
          <t>ACTIVE_WAITLIST</t>
        </is>
      </c>
      <c r="E2005" s="37" t="n">
        <v>37.2</v>
      </c>
      <c r="F2005" s="37" t="n">
        <v>11.5</v>
      </c>
    </row>
    <row r="2006">
      <c r="A2006" s="37" t="inlineStr">
        <is>
          <t>WL-03005</t>
        </is>
      </c>
      <c r="B2006" s="37" t="inlineStr">
        <is>
          <t>Day</t>
        </is>
      </c>
      <c r="C2006" s="37" t="inlineStr">
        <is>
          <t>John</t>
        </is>
      </c>
      <c r="D2006" s="37" t="inlineStr">
        <is>
          <t>ACTIVE_WAITLIST</t>
        </is>
      </c>
      <c r="E2006" s="37" t="n">
        <v>52</v>
      </c>
      <c r="F2006" s="37" t="n">
        <v>14.7</v>
      </c>
    </row>
    <row r="2007">
      <c r="A2007" s="37" t="inlineStr">
        <is>
          <t>WL-03006</t>
        </is>
      </c>
      <c r="B2007" s="37" t="inlineStr">
        <is>
          <t>Diaz</t>
        </is>
      </c>
      <c r="C2007" s="37" t="inlineStr">
        <is>
          <t>Danny</t>
        </is>
      </c>
      <c r="D2007" s="37" t="inlineStr">
        <is>
          <t>ACTIVE_WAITLIST</t>
        </is>
      </c>
      <c r="E2007" s="37" t="n">
        <v>42.9</v>
      </c>
      <c r="F2007" s="37" t="n">
        <v>13.5</v>
      </c>
    </row>
    <row r="2008">
      <c r="A2008" s="37" t="inlineStr">
        <is>
          <t>WL-03007</t>
        </is>
      </c>
      <c r="B2008" s="37" t="inlineStr">
        <is>
          <t>Hart</t>
        </is>
      </c>
      <c r="C2008" s="37" t="inlineStr">
        <is>
          <t>Brandy</t>
        </is>
      </c>
      <c r="D2008" s="37" t="inlineStr">
        <is>
          <t>ACTIVE_WAITLIST</t>
        </is>
      </c>
      <c r="E2008" s="37" t="n">
        <v>24.7</v>
      </c>
      <c r="F2008" s="37" t="n">
        <v>8.300000000000001</v>
      </c>
    </row>
    <row r="2009">
      <c r="A2009" s="37" t="inlineStr">
        <is>
          <t>WL-03008</t>
        </is>
      </c>
      <c r="B2009" s="37" t="inlineStr">
        <is>
          <t>Hart</t>
        </is>
      </c>
      <c r="C2009" s="37" t="inlineStr">
        <is>
          <t>Ashley</t>
        </is>
      </c>
      <c r="D2009" s="37" t="inlineStr">
        <is>
          <t>ACTIVE_WAITLIST</t>
        </is>
      </c>
      <c r="E2009" s="37" t="n">
        <v>39.3</v>
      </c>
      <c r="F2009" s="37" t="n">
        <v>12.6</v>
      </c>
    </row>
    <row r="2010">
      <c r="A2010" s="37" t="inlineStr">
        <is>
          <t>WL-03009</t>
        </is>
      </c>
      <c r="B2010" s="37" t="inlineStr">
        <is>
          <t>Taylor</t>
        </is>
      </c>
      <c r="C2010" s="37" t="inlineStr">
        <is>
          <t>Dennis</t>
        </is>
      </c>
      <c r="D2010" s="37" t="inlineStr">
        <is>
          <t>ACTIVE_WAITLIST</t>
        </is>
      </c>
      <c r="E2010" s="37" t="n">
        <v>54.6</v>
      </c>
      <c r="F2010" s="37" t="n">
        <v>18.1</v>
      </c>
    </row>
    <row r="2011">
      <c r="A2011" s="37" t="inlineStr">
        <is>
          <t>WL-03010</t>
        </is>
      </c>
      <c r="B2011" s="37" t="inlineStr">
        <is>
          <t>Fleming</t>
        </is>
      </c>
      <c r="C2011" s="37" t="inlineStr">
        <is>
          <t>Anthony</t>
        </is>
      </c>
      <c r="D2011" s="37" t="inlineStr">
        <is>
          <t>ACTIVE_WAITLIST</t>
        </is>
      </c>
      <c r="E2011" s="37" t="n">
        <v>36</v>
      </c>
      <c r="F2011" s="37" t="n">
        <v>12.6</v>
      </c>
    </row>
    <row r="2012">
      <c r="A2012" s="37" t="inlineStr">
        <is>
          <t>WL-03011</t>
        </is>
      </c>
      <c r="B2012" s="37" t="inlineStr">
        <is>
          <t>Schultz</t>
        </is>
      </c>
      <c r="C2012" s="37" t="inlineStr">
        <is>
          <t>Christopher</t>
        </is>
      </c>
      <c r="D2012" s="37" t="inlineStr">
        <is>
          <t>ACTIVE_WAITLIST</t>
        </is>
      </c>
      <c r="E2012" s="37" t="n">
        <v>22.5</v>
      </c>
      <c r="F2012" s="37" t="n">
        <v>7</v>
      </c>
    </row>
    <row r="2013">
      <c r="A2013" s="37" t="inlineStr">
        <is>
          <t>WL-03012</t>
        </is>
      </c>
      <c r="B2013" s="37" t="inlineStr">
        <is>
          <t>Joseph</t>
        </is>
      </c>
      <c r="C2013" s="37" t="inlineStr">
        <is>
          <t>Olivia</t>
        </is>
      </c>
      <c r="D2013" s="37" t="inlineStr">
        <is>
          <t>ACTIVE_WAITLIST</t>
        </is>
      </c>
      <c r="E2013" s="37" t="n">
        <v>61.3</v>
      </c>
      <c r="F2013" s="37" t="n">
        <v>20.5</v>
      </c>
    </row>
    <row r="2014">
      <c r="A2014" s="37" t="inlineStr">
        <is>
          <t>WL-03013</t>
        </is>
      </c>
      <c r="B2014" s="37" t="inlineStr">
        <is>
          <t>Johnson</t>
        </is>
      </c>
      <c r="C2014" s="37" t="inlineStr">
        <is>
          <t>Daniel</t>
        </is>
      </c>
      <c r="D2014" s="37" t="inlineStr">
        <is>
          <t>ACTIVE_WAITLIST</t>
        </is>
      </c>
      <c r="E2014" s="37" t="n">
        <v>19.7</v>
      </c>
      <c r="F2014" s="37" t="n">
        <v>6.6</v>
      </c>
    </row>
    <row r="2015">
      <c r="A2015" s="37" t="inlineStr">
        <is>
          <t>WL-03014</t>
        </is>
      </c>
      <c r="B2015" s="37" t="inlineStr">
        <is>
          <t>Mitchell</t>
        </is>
      </c>
      <c r="C2015" s="37" t="inlineStr">
        <is>
          <t>Daniel</t>
        </is>
      </c>
      <c r="D2015" s="37" t="inlineStr">
        <is>
          <t>ACTIVE_WAITLIST</t>
        </is>
      </c>
      <c r="E2015" s="37" t="n">
        <v>52.3</v>
      </c>
      <c r="F2015" s="37" t="n">
        <v>17.6</v>
      </c>
    </row>
    <row r="2016">
      <c r="A2016" s="37" t="inlineStr">
        <is>
          <t>WL-03015</t>
        </is>
      </c>
      <c r="B2016" s="37" t="inlineStr">
        <is>
          <t>Osborne</t>
        </is>
      </c>
      <c r="C2016" s="37" t="inlineStr">
        <is>
          <t>Andrew</t>
        </is>
      </c>
      <c r="D2016" s="37" t="inlineStr">
        <is>
          <t>ACTIVE_WAITLIST</t>
        </is>
      </c>
      <c r="E2016" s="37" t="n">
        <v>41.7</v>
      </c>
      <c r="F2016" s="37" t="n">
        <v>14</v>
      </c>
    </row>
    <row r="2017">
      <c r="A2017" s="37" t="inlineStr">
        <is>
          <t>WL-03016</t>
        </is>
      </c>
      <c r="B2017" s="37" t="inlineStr">
        <is>
          <t>Martin</t>
        </is>
      </c>
      <c r="C2017" s="37" t="inlineStr">
        <is>
          <t>Joyce</t>
        </is>
      </c>
      <c r="D2017" s="37" t="inlineStr">
        <is>
          <t>ACTIVE_WAITLIST</t>
        </is>
      </c>
      <c r="E2017" s="37" t="n">
        <v>41.5</v>
      </c>
      <c r="F2017" s="37" t="n">
        <v>11.8</v>
      </c>
    </row>
    <row r="2018">
      <c r="A2018" s="37" t="inlineStr">
        <is>
          <t>WL-03017</t>
        </is>
      </c>
      <c r="B2018" s="37" t="inlineStr">
        <is>
          <t>Butler</t>
        </is>
      </c>
      <c r="C2018" s="37" t="inlineStr">
        <is>
          <t>Michael</t>
        </is>
      </c>
      <c r="D2018" s="37" t="inlineStr">
        <is>
          <t>ACTIVE_WAITLIST</t>
        </is>
      </c>
      <c r="E2018" s="37" t="n">
        <v>47.3</v>
      </c>
      <c r="F2018" s="37" t="n">
        <v>16.8</v>
      </c>
    </row>
    <row r="2019">
      <c r="A2019" s="37" t="inlineStr">
        <is>
          <t>WL-03018</t>
        </is>
      </c>
      <c r="B2019" s="37" t="inlineStr">
        <is>
          <t>Duffy</t>
        </is>
      </c>
      <c r="C2019" s="37" t="inlineStr">
        <is>
          <t>Jessica</t>
        </is>
      </c>
      <c r="D2019" s="37" t="inlineStr">
        <is>
          <t>ACTIVE_WAITLIST</t>
        </is>
      </c>
      <c r="E2019" s="37" t="n">
        <v>19.8</v>
      </c>
      <c r="F2019" s="37" t="n">
        <v>7</v>
      </c>
    </row>
    <row r="2020">
      <c r="A2020" s="37" t="inlineStr">
        <is>
          <t>WL-03019</t>
        </is>
      </c>
      <c r="B2020" s="37" t="inlineStr">
        <is>
          <t>Bonilla</t>
        </is>
      </c>
      <c r="C2020" s="37" t="inlineStr">
        <is>
          <t>Denise</t>
        </is>
      </c>
      <c r="D2020" s="37" t="inlineStr">
        <is>
          <t>ACTIVE_WAITLIST</t>
        </is>
      </c>
      <c r="E2020" s="37" t="n">
        <v>57.3</v>
      </c>
      <c r="F2020" s="37" t="n">
        <v>20.2</v>
      </c>
    </row>
    <row r="2021">
      <c r="A2021" s="37" t="inlineStr">
        <is>
          <t>WL-03020</t>
        </is>
      </c>
      <c r="B2021" s="37" t="inlineStr">
        <is>
          <t>Estrada</t>
        </is>
      </c>
      <c r="C2021" s="37" t="inlineStr">
        <is>
          <t>Cassandra</t>
        </is>
      </c>
      <c r="D2021" s="37" t="inlineStr">
        <is>
          <t>ACTIVE_WAITLIST</t>
        </is>
      </c>
      <c r="E2021" s="37" t="n">
        <v>21.1</v>
      </c>
      <c r="F2021" s="37" t="n">
        <v>6.8</v>
      </c>
    </row>
    <row r="2022">
      <c r="A2022" s="37" t="inlineStr">
        <is>
          <t>WL-03021</t>
        </is>
      </c>
      <c r="B2022" s="37" t="inlineStr">
        <is>
          <t>King</t>
        </is>
      </c>
      <c r="C2022" s="37" t="inlineStr">
        <is>
          <t>Denise</t>
        </is>
      </c>
      <c r="D2022" s="37" t="inlineStr">
        <is>
          <t>RETAINER</t>
        </is>
      </c>
      <c r="E2022" s="37" t="n">
        <v>23.2</v>
      </c>
      <c r="F2022" s="37" t="n">
        <v>7.3</v>
      </c>
    </row>
    <row r="2023">
      <c r="A2023" s="37" t="inlineStr">
        <is>
          <t>WL-03022</t>
        </is>
      </c>
      <c r="B2023" s="37" t="inlineStr">
        <is>
          <t>Patterson</t>
        </is>
      </c>
      <c r="C2023" s="37" t="inlineStr">
        <is>
          <t>Thomas</t>
        </is>
      </c>
      <c r="D2023" s="37" t="inlineStr">
        <is>
          <t>ACTIVE_WAITLIST</t>
        </is>
      </c>
      <c r="E2023" s="37" t="n">
        <v>43.7</v>
      </c>
      <c r="F2023" s="37" t="n">
        <v>14.6</v>
      </c>
    </row>
    <row r="2024">
      <c r="A2024" s="37" t="inlineStr">
        <is>
          <t>WL-03023</t>
        </is>
      </c>
      <c r="B2024" s="37" t="inlineStr">
        <is>
          <t>Andrews</t>
        </is>
      </c>
      <c r="C2024" s="37" t="inlineStr">
        <is>
          <t>Thomas</t>
        </is>
      </c>
      <c r="D2024" s="37" t="inlineStr">
        <is>
          <t>SUSPENDED</t>
        </is>
      </c>
      <c r="E2024" s="37" t="n">
        <v>55.3</v>
      </c>
      <c r="F2024" s="37" t="n">
        <v>18.1</v>
      </c>
    </row>
    <row r="2025">
      <c r="A2025" s="37" t="inlineStr">
        <is>
          <t>WL-03024</t>
        </is>
      </c>
      <c r="B2025" s="37" t="inlineStr">
        <is>
          <t>Elliott</t>
        </is>
      </c>
      <c r="C2025" s="37" t="inlineStr">
        <is>
          <t>Gregory</t>
        </is>
      </c>
      <c r="D2025" s="37" t="inlineStr">
        <is>
          <t>ACTIVE_WAITLIST</t>
        </is>
      </c>
      <c r="E2025" s="37" t="n">
        <v>45.9</v>
      </c>
      <c r="F2025" s="37" t="n">
        <v>15.7</v>
      </c>
    </row>
    <row r="2026">
      <c r="A2026" s="37" t="inlineStr">
        <is>
          <t>WL-03025</t>
        </is>
      </c>
      <c r="B2026" s="37" t="inlineStr">
        <is>
          <t>Miller</t>
        </is>
      </c>
      <c r="C2026" s="37" t="inlineStr">
        <is>
          <t>Patrick</t>
        </is>
      </c>
      <c r="D2026" s="37" t="inlineStr">
        <is>
          <t>EXPIRED</t>
        </is>
      </c>
      <c r="E2026" s="37" t="n">
        <v>32.2</v>
      </c>
      <c r="F2026" s="37" t="n">
        <v>9.5</v>
      </c>
    </row>
    <row r="2027">
      <c r="A2027" s="37" t="inlineStr">
        <is>
          <t>WL-03026</t>
        </is>
      </c>
      <c r="B2027" s="37" t="inlineStr">
        <is>
          <t>Taylor</t>
        </is>
      </c>
      <c r="C2027" s="37" t="inlineStr">
        <is>
          <t>Amanda</t>
        </is>
      </c>
      <c r="D2027" s="37" t="inlineStr">
        <is>
          <t>ACTIVE_WAITLIST</t>
        </is>
      </c>
      <c r="E2027" s="37" t="n">
        <v>25.8</v>
      </c>
      <c r="F2027" s="37" t="n">
        <v>7.6</v>
      </c>
    </row>
    <row r="2028">
      <c r="A2028" s="37" t="inlineStr">
        <is>
          <t>WL-03027</t>
        </is>
      </c>
      <c r="B2028" s="37" t="inlineStr">
        <is>
          <t>Lewis</t>
        </is>
      </c>
      <c r="C2028" s="37" t="inlineStr">
        <is>
          <t>Gavin</t>
        </is>
      </c>
      <c r="D2028" s="37" t="inlineStr">
        <is>
          <t>EXPIRED</t>
        </is>
      </c>
      <c r="E2028" s="37" t="n">
        <v>39.4</v>
      </c>
      <c r="F2028" s="37" t="n">
        <v>13.1</v>
      </c>
    </row>
    <row r="2029">
      <c r="A2029" s="37" t="inlineStr">
        <is>
          <t>WL-03028</t>
        </is>
      </c>
      <c r="B2029" s="37" t="inlineStr">
        <is>
          <t>Douglas</t>
        </is>
      </c>
      <c r="C2029" s="37" t="inlineStr">
        <is>
          <t>Cathy</t>
        </is>
      </c>
      <c r="D2029" s="37" t="inlineStr">
        <is>
          <t>ACTIVE_WAITLIST</t>
        </is>
      </c>
      <c r="E2029" s="37" t="n">
        <v>51.7</v>
      </c>
      <c r="F2029" s="37" t="n">
        <v>17</v>
      </c>
    </row>
    <row r="2030">
      <c r="A2030" s="37" t="inlineStr">
        <is>
          <t>WL-03029</t>
        </is>
      </c>
      <c r="B2030" s="37" t="inlineStr">
        <is>
          <t>Norris</t>
        </is>
      </c>
      <c r="C2030" s="37" t="inlineStr">
        <is>
          <t>Cheryl</t>
        </is>
      </c>
      <c r="D2030" s="37" t="inlineStr">
        <is>
          <t>RETAINER</t>
        </is>
      </c>
      <c r="E2030" s="37" t="n">
        <v>51.3</v>
      </c>
      <c r="F2030" s="37" t="n">
        <v>18.3</v>
      </c>
    </row>
    <row r="2031">
      <c r="A2031" s="37" t="inlineStr">
        <is>
          <t>WL-03030</t>
        </is>
      </c>
      <c r="B2031" s="37" t="inlineStr">
        <is>
          <t>Ramirez</t>
        </is>
      </c>
      <c r="C2031" s="37" t="inlineStr">
        <is>
          <t>Ryan</t>
        </is>
      </c>
      <c r="D2031" s="37" t="inlineStr">
        <is>
          <t>RETAINER</t>
        </is>
      </c>
      <c r="E2031" s="37" t="n">
        <v>44</v>
      </c>
      <c r="F2031" s="37" t="n">
        <v>15.6</v>
      </c>
    </row>
    <row r="2032">
      <c r="A2032" s="37" t="inlineStr">
        <is>
          <t>WL-03031</t>
        </is>
      </c>
      <c r="B2032" s="37" t="inlineStr">
        <is>
          <t>House</t>
        </is>
      </c>
      <c r="C2032" s="37" t="inlineStr">
        <is>
          <t>Kevin</t>
        </is>
      </c>
      <c r="D2032" s="37" t="inlineStr">
        <is>
          <t>ACTIVE_WAITLIST</t>
        </is>
      </c>
      <c r="E2032" s="37" t="n">
        <v>28.3</v>
      </c>
      <c r="F2032" s="37" t="n">
        <v>8.800000000000001</v>
      </c>
    </row>
    <row r="2033">
      <c r="A2033" s="37" t="inlineStr">
        <is>
          <t>WL-03032</t>
        </is>
      </c>
      <c r="B2033" s="37" t="inlineStr">
        <is>
          <t>Caldwell</t>
        </is>
      </c>
      <c r="C2033" s="37" t="inlineStr">
        <is>
          <t>Paula</t>
        </is>
      </c>
      <c r="D2033" s="37" t="inlineStr">
        <is>
          <t>ACTIVE_WAITLIST</t>
        </is>
      </c>
      <c r="E2033" s="37" t="n">
        <v>19</v>
      </c>
      <c r="F2033" s="37" t="n">
        <v>6.8</v>
      </c>
    </row>
    <row r="2034">
      <c r="A2034" s="37" t="inlineStr">
        <is>
          <t>WL-03033</t>
        </is>
      </c>
      <c r="B2034" s="37" t="inlineStr">
        <is>
          <t>Sellers</t>
        </is>
      </c>
      <c r="C2034" s="37" t="inlineStr">
        <is>
          <t>Brian</t>
        </is>
      </c>
      <c r="D2034" s="37" t="inlineStr">
        <is>
          <t>ACTIVE_WAITLIST</t>
        </is>
      </c>
      <c r="E2034" s="37" t="n">
        <v>26.6</v>
      </c>
      <c r="F2034" s="37" t="n">
        <v>9</v>
      </c>
    </row>
    <row r="2035">
      <c r="A2035" s="37" t="inlineStr">
        <is>
          <t>WL-03034</t>
        </is>
      </c>
      <c r="B2035" s="37" t="inlineStr">
        <is>
          <t>Smith</t>
        </is>
      </c>
      <c r="C2035" s="37" t="inlineStr">
        <is>
          <t>Michelle</t>
        </is>
      </c>
      <c r="D2035" s="37" t="inlineStr">
        <is>
          <t>ACTIVE_WAITLIST</t>
        </is>
      </c>
      <c r="E2035" s="37" t="n">
        <v>50.6</v>
      </c>
      <c r="F2035" s="37" t="n">
        <v>17.3</v>
      </c>
    </row>
    <row r="2036">
      <c r="A2036" s="37" t="inlineStr">
        <is>
          <t>WL-03035</t>
        </is>
      </c>
      <c r="B2036" s="37" t="inlineStr">
        <is>
          <t>Osborn</t>
        </is>
      </c>
      <c r="C2036" s="37" t="inlineStr">
        <is>
          <t>Robert</t>
        </is>
      </c>
      <c r="D2036" s="37" t="inlineStr">
        <is>
          <t>ACTIVE_WAITLIST</t>
        </is>
      </c>
      <c r="E2036" s="37" t="n">
        <v>41.7</v>
      </c>
      <c r="F2036" s="37" t="n">
        <v>14.6</v>
      </c>
    </row>
    <row r="2037">
      <c r="A2037" s="37" t="inlineStr">
        <is>
          <t>WL-03036</t>
        </is>
      </c>
      <c r="B2037" s="37" t="inlineStr">
        <is>
          <t>Ford</t>
        </is>
      </c>
      <c r="C2037" s="37" t="inlineStr">
        <is>
          <t>Justin</t>
        </is>
      </c>
      <c r="D2037" s="37" t="inlineStr">
        <is>
          <t>ACTIVE_WAITLIST</t>
        </is>
      </c>
      <c r="E2037" s="37" t="n">
        <v>48.8</v>
      </c>
      <c r="F2037" s="37" t="n">
        <v>16.9</v>
      </c>
    </row>
    <row r="2038">
      <c r="A2038" s="37" t="inlineStr">
        <is>
          <t>WL-03037</t>
        </is>
      </c>
      <c r="B2038" s="37" t="inlineStr">
        <is>
          <t>Andrews</t>
        </is>
      </c>
      <c r="C2038" s="37" t="inlineStr">
        <is>
          <t>Tina</t>
        </is>
      </c>
      <c r="D2038" s="37" t="inlineStr">
        <is>
          <t>ACTIVE_WAITLIST</t>
        </is>
      </c>
      <c r="E2038" s="37" t="n">
        <v>26.1</v>
      </c>
      <c r="F2038" s="37" t="n">
        <v>7.8</v>
      </c>
    </row>
    <row r="2039">
      <c r="A2039" s="37" t="inlineStr">
        <is>
          <t>WL-03038</t>
        </is>
      </c>
      <c r="B2039" s="37" t="inlineStr">
        <is>
          <t>Hanson</t>
        </is>
      </c>
      <c r="C2039" s="37" t="inlineStr">
        <is>
          <t>Max</t>
        </is>
      </c>
      <c r="D2039" s="37" t="inlineStr">
        <is>
          <t>ACTIVE_WAITLIST</t>
        </is>
      </c>
      <c r="E2039" s="37" t="n">
        <v>48.2</v>
      </c>
      <c r="F2039" s="37" t="n">
        <v>16.2</v>
      </c>
    </row>
    <row r="2040">
      <c r="A2040" s="37" t="inlineStr">
        <is>
          <t>WL-03039</t>
        </is>
      </c>
      <c r="B2040" s="37" t="inlineStr">
        <is>
          <t>Lopez</t>
        </is>
      </c>
      <c r="C2040" s="37" t="inlineStr">
        <is>
          <t>Alexander</t>
        </is>
      </c>
      <c r="D2040" s="37" t="inlineStr">
        <is>
          <t>SUSPENDED</t>
        </is>
      </c>
      <c r="E2040" s="37" t="n">
        <v>19.9</v>
      </c>
      <c r="F2040" s="37" t="n">
        <v>5.7</v>
      </c>
    </row>
    <row r="2041">
      <c r="A2041" s="37" t="inlineStr">
        <is>
          <t>WL-03040</t>
        </is>
      </c>
      <c r="B2041" s="37" t="inlineStr">
        <is>
          <t>Bryant</t>
        </is>
      </c>
      <c r="C2041" s="37" t="inlineStr">
        <is>
          <t>Linda</t>
        </is>
      </c>
      <c r="D2041" s="37" t="inlineStr">
        <is>
          <t>ACTIVE_WAITLIST</t>
        </is>
      </c>
      <c r="E2041" s="37" t="n">
        <v>19.5</v>
      </c>
      <c r="F2041" s="37" t="n">
        <v>5.7</v>
      </c>
    </row>
    <row r="2042">
      <c r="A2042" s="37" t="inlineStr">
        <is>
          <t>WL-03041</t>
        </is>
      </c>
      <c r="B2042" s="37" t="inlineStr">
        <is>
          <t>Harris</t>
        </is>
      </c>
      <c r="C2042" s="37" t="inlineStr">
        <is>
          <t>Anthony</t>
        </is>
      </c>
      <c r="D2042" s="37" t="inlineStr">
        <is>
          <t>ACTIVE_WAITLIST</t>
        </is>
      </c>
      <c r="E2042" s="37" t="n">
        <v>19.2</v>
      </c>
      <c r="F2042" s="37" t="n">
        <v>5.9</v>
      </c>
    </row>
    <row r="2043">
      <c r="A2043" s="37" t="inlineStr">
        <is>
          <t>WL-03042</t>
        </is>
      </c>
      <c r="B2043" s="37" t="inlineStr">
        <is>
          <t>Stone</t>
        </is>
      </c>
      <c r="C2043" s="37" t="inlineStr">
        <is>
          <t>Cheryl</t>
        </is>
      </c>
      <c r="D2043" s="37" t="inlineStr">
        <is>
          <t>ACTIVE_WAITLIST</t>
        </is>
      </c>
      <c r="E2043" s="37" t="n">
        <v>46.9</v>
      </c>
      <c r="F2043" s="37" t="n">
        <v>15</v>
      </c>
    </row>
    <row r="2044">
      <c r="A2044" s="37" t="inlineStr">
        <is>
          <t>WL-03043</t>
        </is>
      </c>
      <c r="B2044" s="37" t="inlineStr">
        <is>
          <t>Jones</t>
        </is>
      </c>
      <c r="C2044" s="37" t="inlineStr">
        <is>
          <t>Donald</t>
        </is>
      </c>
      <c r="D2044" s="37" t="inlineStr">
        <is>
          <t>ACTIVE_WAITLIST</t>
        </is>
      </c>
      <c r="E2044" s="37" t="n">
        <v>49.9</v>
      </c>
      <c r="F2044" s="37" t="n">
        <v>14.1</v>
      </c>
    </row>
    <row r="2045">
      <c r="A2045" s="37" t="inlineStr">
        <is>
          <t>WL-03044</t>
        </is>
      </c>
      <c r="B2045" s="37" t="inlineStr">
        <is>
          <t>Quan</t>
        </is>
      </c>
      <c r="C2045" s="37" t="inlineStr">
        <is>
          <t>Iris</t>
        </is>
      </c>
      <c r="D2045" s="37" t="inlineStr">
        <is>
          <t>ACTIVE_WAITLIST</t>
        </is>
      </c>
      <c r="E2045" s="37" t="n">
        <v>23.6</v>
      </c>
      <c r="F2045" s="37" t="n">
        <v>6.8</v>
      </c>
    </row>
    <row r="2046">
      <c r="A2046" s="37" t="inlineStr">
        <is>
          <t>WL-03045</t>
        </is>
      </c>
      <c r="B2046" s="37" t="inlineStr">
        <is>
          <t>Davis</t>
        </is>
      </c>
      <c r="C2046" s="37" t="inlineStr">
        <is>
          <t>Karen</t>
        </is>
      </c>
      <c r="D2046" s="37" t="inlineStr">
        <is>
          <t>ACTIVE_WAITLIST</t>
        </is>
      </c>
      <c r="E2046" s="37" t="n">
        <v>51.6</v>
      </c>
      <c r="F2046" s="37" t="n">
        <v>15.8</v>
      </c>
    </row>
    <row r="2047">
      <c r="A2047" s="37" t="inlineStr">
        <is>
          <t>WL-03046</t>
        </is>
      </c>
      <c r="B2047" s="37" t="inlineStr">
        <is>
          <t>Jones</t>
        </is>
      </c>
      <c r="C2047" s="37" t="inlineStr">
        <is>
          <t>Philip</t>
        </is>
      </c>
      <c r="D2047" s="37" t="inlineStr">
        <is>
          <t>RETAINER</t>
        </is>
      </c>
      <c r="E2047" s="37" t="n">
        <v>43.5</v>
      </c>
      <c r="F2047" s="37" t="n">
        <v>14.1</v>
      </c>
    </row>
    <row r="2048">
      <c r="A2048" s="37" t="inlineStr">
        <is>
          <t>WL-03047</t>
        </is>
      </c>
      <c r="B2048" s="37" t="inlineStr">
        <is>
          <t>Collins</t>
        </is>
      </c>
      <c r="C2048" s="37" t="inlineStr">
        <is>
          <t>Lauren</t>
        </is>
      </c>
      <c r="D2048" s="37" t="inlineStr">
        <is>
          <t>ACTIVE_WAITLIST</t>
        </is>
      </c>
      <c r="E2048" s="37" t="n">
        <v>30.5</v>
      </c>
      <c r="F2048" s="37" t="n">
        <v>9.4</v>
      </c>
    </row>
    <row r="2049">
      <c r="A2049" s="37" t="inlineStr">
        <is>
          <t>WL-03048</t>
        </is>
      </c>
      <c r="B2049" s="37" t="inlineStr">
        <is>
          <t>Campbell</t>
        </is>
      </c>
      <c r="C2049" s="37" t="inlineStr">
        <is>
          <t>Brian</t>
        </is>
      </c>
      <c r="D2049" s="37" t="inlineStr">
        <is>
          <t>ACTIVE_WAITLIST</t>
        </is>
      </c>
      <c r="E2049" s="37" t="n">
        <v>37.3</v>
      </c>
      <c r="F2049" s="37" t="n">
        <v>11.6</v>
      </c>
    </row>
    <row r="2050">
      <c r="A2050" s="37" t="inlineStr">
        <is>
          <t>WL-03049</t>
        </is>
      </c>
      <c r="B2050" s="37" t="inlineStr">
        <is>
          <t>Nixon</t>
        </is>
      </c>
      <c r="C2050" s="37" t="inlineStr">
        <is>
          <t>Tyler</t>
        </is>
      </c>
      <c r="D2050" s="37" t="inlineStr">
        <is>
          <t>ACTIVE_WAITLIST</t>
        </is>
      </c>
      <c r="E2050" s="37" t="n">
        <v>25.8</v>
      </c>
      <c r="F2050" s="37" t="n">
        <v>8.6</v>
      </c>
    </row>
    <row r="2051">
      <c r="A2051" s="37" t="inlineStr">
        <is>
          <t>WL-03050</t>
        </is>
      </c>
      <c r="B2051" s="37" t="inlineStr">
        <is>
          <t>Pearson</t>
        </is>
      </c>
      <c r="C2051" s="37" t="inlineStr">
        <is>
          <t>Justin</t>
        </is>
      </c>
      <c r="D2051" s="37" t="inlineStr">
        <is>
          <t>ACTIVE_WAITLIST</t>
        </is>
      </c>
      <c r="E2051" s="37" t="n">
        <v>21.8</v>
      </c>
      <c r="F2051" s="37" t="n">
        <v>6.4</v>
      </c>
    </row>
    <row r="2052">
      <c r="A2052" s="37" t="inlineStr">
        <is>
          <t>WL-03051</t>
        </is>
      </c>
      <c r="B2052" s="37" t="inlineStr">
        <is>
          <t>Reyes</t>
        </is>
      </c>
      <c r="C2052" s="37" t="inlineStr">
        <is>
          <t>Edward</t>
        </is>
      </c>
      <c r="D2052" s="37" t="inlineStr">
        <is>
          <t>EXPIRED</t>
        </is>
      </c>
      <c r="E2052" s="37" t="n">
        <v>43.3</v>
      </c>
      <c r="F2052" s="37" t="n">
        <v>13.3</v>
      </c>
    </row>
    <row r="2053">
      <c r="A2053" s="37" t="inlineStr">
        <is>
          <t>WL-03052</t>
        </is>
      </c>
      <c r="B2053" s="37" t="inlineStr">
        <is>
          <t>Marsh</t>
        </is>
      </c>
      <c r="C2053" s="37" t="inlineStr">
        <is>
          <t>Jenna</t>
        </is>
      </c>
      <c r="D2053" s="37" t="inlineStr">
        <is>
          <t>ACTIVE_WAITLIST</t>
        </is>
      </c>
      <c r="E2053" s="37" t="n">
        <v>19</v>
      </c>
      <c r="F2053" s="37" t="n">
        <v>6.7</v>
      </c>
    </row>
    <row r="2054">
      <c r="A2054" s="37" t="inlineStr">
        <is>
          <t>WL-03053</t>
        </is>
      </c>
      <c r="B2054" s="37" t="inlineStr">
        <is>
          <t>Miller</t>
        </is>
      </c>
      <c r="C2054" s="37" t="inlineStr">
        <is>
          <t>Matthew</t>
        </is>
      </c>
      <c r="D2054" s="37" t="inlineStr">
        <is>
          <t>ACTIVE_WAITLIST</t>
        </is>
      </c>
      <c r="E2054" s="37" t="n">
        <v>33.6</v>
      </c>
      <c r="F2054" s="37" t="n">
        <v>11.8</v>
      </c>
    </row>
    <row r="2055">
      <c r="A2055" s="37" t="inlineStr">
        <is>
          <t>WL-03054</t>
        </is>
      </c>
      <c r="B2055" s="37" t="inlineStr">
        <is>
          <t>Schmidt</t>
        </is>
      </c>
      <c r="C2055" s="37" t="inlineStr">
        <is>
          <t>Amanda</t>
        </is>
      </c>
      <c r="D2055" s="37" t="inlineStr">
        <is>
          <t>ACTIVE_WAITLIST</t>
        </is>
      </c>
      <c r="E2055" s="37" t="n">
        <v>30.1</v>
      </c>
      <c r="F2055" s="37" t="n">
        <v>8.6</v>
      </c>
    </row>
    <row r="2056">
      <c r="A2056" s="37" t="inlineStr">
        <is>
          <t>WL-03055</t>
        </is>
      </c>
      <c r="B2056" s="37" t="inlineStr">
        <is>
          <t>Mathis</t>
        </is>
      </c>
      <c r="C2056" s="37" t="inlineStr">
        <is>
          <t>Amanda</t>
        </is>
      </c>
      <c r="D2056" s="37" t="inlineStr">
        <is>
          <t>ACTIVE_WAITLIST</t>
        </is>
      </c>
      <c r="E2056" s="37" t="n">
        <v>59.7</v>
      </c>
      <c r="F2056" s="37" t="n">
        <v>18.1</v>
      </c>
    </row>
    <row r="2057">
      <c r="A2057" s="37" t="inlineStr">
        <is>
          <t>WL-03056</t>
        </is>
      </c>
      <c r="B2057" s="37" t="inlineStr">
        <is>
          <t>Jones</t>
        </is>
      </c>
      <c r="C2057" s="37" t="inlineStr">
        <is>
          <t>Kristi</t>
        </is>
      </c>
      <c r="D2057" s="37" t="inlineStr">
        <is>
          <t>EXPIRED</t>
        </is>
      </c>
      <c r="E2057" s="37" t="n">
        <v>40.7</v>
      </c>
      <c r="F2057" s="37" t="n">
        <v>13.5</v>
      </c>
    </row>
    <row r="2058">
      <c r="A2058" s="37" t="inlineStr">
        <is>
          <t>WL-03057</t>
        </is>
      </c>
      <c r="B2058" s="37" t="inlineStr">
        <is>
          <t>Stout</t>
        </is>
      </c>
      <c r="C2058" s="37" t="inlineStr">
        <is>
          <t>Jennifer</t>
        </is>
      </c>
      <c r="D2058" s="37" t="inlineStr">
        <is>
          <t>ACTIVE_WAITLIST</t>
        </is>
      </c>
      <c r="E2058" s="37" t="n">
        <v>38.3</v>
      </c>
      <c r="F2058" s="37" t="n">
        <v>12.9</v>
      </c>
    </row>
    <row r="2059">
      <c r="A2059" s="37" t="inlineStr">
        <is>
          <t>WL-03058</t>
        </is>
      </c>
      <c r="B2059" s="37" t="inlineStr">
        <is>
          <t>Thomas</t>
        </is>
      </c>
      <c r="C2059" s="37" t="inlineStr">
        <is>
          <t>Mary</t>
        </is>
      </c>
      <c r="D2059" s="37" t="inlineStr">
        <is>
          <t>ACTIVE_WAITLIST</t>
        </is>
      </c>
      <c r="E2059" s="37" t="n">
        <v>59.6</v>
      </c>
      <c r="F2059" s="37" t="n">
        <v>17.3</v>
      </c>
    </row>
    <row r="2060">
      <c r="A2060" s="37" t="inlineStr">
        <is>
          <t>WL-03059</t>
        </is>
      </c>
      <c r="B2060" s="37" t="inlineStr">
        <is>
          <t>Daniels</t>
        </is>
      </c>
      <c r="C2060" s="37" t="inlineStr">
        <is>
          <t>Jonathan</t>
        </is>
      </c>
      <c r="D2060" s="37" t="inlineStr">
        <is>
          <t>EXPIRED</t>
        </is>
      </c>
      <c r="E2060" s="37" t="n">
        <v>48.2</v>
      </c>
      <c r="F2060" s="37" t="n">
        <v>16.4</v>
      </c>
    </row>
    <row r="2061">
      <c r="A2061" s="37" t="inlineStr">
        <is>
          <t>WL-03060</t>
        </is>
      </c>
      <c r="B2061" s="37" t="inlineStr">
        <is>
          <t>Johnson</t>
        </is>
      </c>
      <c r="C2061" s="37" t="inlineStr">
        <is>
          <t>Lisa</t>
        </is>
      </c>
      <c r="D2061" s="37" t="inlineStr">
        <is>
          <t>ACTIVE_WAITLIST</t>
        </is>
      </c>
      <c r="E2061" s="37" t="n">
        <v>27.6</v>
      </c>
      <c r="F2061" s="37" t="n">
        <v>8.199999999999999</v>
      </c>
    </row>
    <row r="2062">
      <c r="A2062" s="37" t="inlineStr">
        <is>
          <t>WL-03061</t>
        </is>
      </c>
      <c r="B2062" s="37" t="inlineStr">
        <is>
          <t>Jones</t>
        </is>
      </c>
      <c r="C2062" s="37" t="inlineStr">
        <is>
          <t>Richard</t>
        </is>
      </c>
      <c r="D2062" s="37" t="inlineStr">
        <is>
          <t>ACTIVE_WAITLIST</t>
        </is>
      </c>
      <c r="E2062" s="37" t="n">
        <v>43.3</v>
      </c>
      <c r="F2062" s="37" t="n">
        <v>15.5</v>
      </c>
    </row>
    <row r="2063">
      <c r="A2063" s="37" t="inlineStr">
        <is>
          <t>WL-03062</t>
        </is>
      </c>
      <c r="B2063" s="37" t="inlineStr">
        <is>
          <t>Garcia</t>
        </is>
      </c>
      <c r="C2063" s="37" t="inlineStr">
        <is>
          <t>Donna</t>
        </is>
      </c>
      <c r="D2063" s="37" t="inlineStr">
        <is>
          <t>ACTIVE_WAITLIST</t>
        </is>
      </c>
      <c r="E2063" s="37" t="n">
        <v>47</v>
      </c>
      <c r="F2063" s="37" t="n">
        <v>15</v>
      </c>
    </row>
    <row r="2064">
      <c r="A2064" s="37" t="inlineStr">
        <is>
          <t>WL-03063</t>
        </is>
      </c>
      <c r="B2064" s="37" t="inlineStr">
        <is>
          <t>Stout</t>
        </is>
      </c>
      <c r="C2064" s="37" t="inlineStr">
        <is>
          <t>Natalie</t>
        </is>
      </c>
      <c r="D2064" s="37" t="inlineStr">
        <is>
          <t>ACTIVE_WAITLIST</t>
        </is>
      </c>
      <c r="E2064" s="37" t="n">
        <v>31.6</v>
      </c>
      <c r="F2064" s="37" t="n">
        <v>10.3</v>
      </c>
    </row>
    <row r="2065">
      <c r="A2065" s="37" t="inlineStr">
        <is>
          <t>WL-03064</t>
        </is>
      </c>
      <c r="B2065" s="37" t="inlineStr">
        <is>
          <t>Hendricks</t>
        </is>
      </c>
      <c r="C2065" s="37" t="inlineStr">
        <is>
          <t>Megan</t>
        </is>
      </c>
      <c r="D2065" s="37" t="inlineStr">
        <is>
          <t>ACTIVE_WAITLIST</t>
        </is>
      </c>
      <c r="E2065" s="37" t="n">
        <v>40.3</v>
      </c>
      <c r="F2065" s="37" t="n">
        <v>12.1</v>
      </c>
    </row>
    <row r="2066">
      <c r="A2066" s="37" t="inlineStr">
        <is>
          <t>WL-03065</t>
        </is>
      </c>
      <c r="B2066" s="37" t="inlineStr">
        <is>
          <t>Ward</t>
        </is>
      </c>
      <c r="C2066" s="37" t="inlineStr">
        <is>
          <t>Patricia</t>
        </is>
      </c>
      <c r="D2066" s="37" t="inlineStr">
        <is>
          <t>ACTIVE_WAITLIST</t>
        </is>
      </c>
      <c r="E2066" s="37" t="n">
        <v>58.2</v>
      </c>
      <c r="F2066" s="37" t="n">
        <v>17.4</v>
      </c>
    </row>
    <row r="2067">
      <c r="A2067" s="37" t="inlineStr">
        <is>
          <t>WL-03066</t>
        </is>
      </c>
      <c r="B2067" s="37" t="inlineStr">
        <is>
          <t>Cain</t>
        </is>
      </c>
      <c r="C2067" s="37" t="inlineStr">
        <is>
          <t>Shawna</t>
        </is>
      </c>
      <c r="D2067" s="37" t="inlineStr">
        <is>
          <t>ACTIVE_WAITLIST</t>
        </is>
      </c>
      <c r="E2067" s="37" t="n">
        <v>53.8</v>
      </c>
      <c r="F2067" s="37" t="n">
        <v>19.3</v>
      </c>
    </row>
    <row r="2068">
      <c r="A2068" s="37" t="inlineStr">
        <is>
          <t>WL-03067</t>
        </is>
      </c>
      <c r="B2068" s="37" t="inlineStr">
        <is>
          <t>Thomas</t>
        </is>
      </c>
      <c r="C2068" s="37" t="inlineStr">
        <is>
          <t>Eric</t>
        </is>
      </c>
      <c r="D2068" s="37" t="inlineStr">
        <is>
          <t>ACTIVE_WAITLIST</t>
        </is>
      </c>
      <c r="E2068" s="37" t="n">
        <v>30.6</v>
      </c>
      <c r="F2068" s="37" t="n">
        <v>9.4</v>
      </c>
    </row>
    <row r="2069">
      <c r="A2069" s="37" t="inlineStr">
        <is>
          <t>WL-03068</t>
        </is>
      </c>
      <c r="B2069" s="37" t="inlineStr">
        <is>
          <t>Dickson</t>
        </is>
      </c>
      <c r="C2069" s="37" t="inlineStr">
        <is>
          <t>Monica</t>
        </is>
      </c>
      <c r="D2069" s="37" t="inlineStr">
        <is>
          <t>ACTIVE_WAITLIST</t>
        </is>
      </c>
      <c r="E2069" s="37" t="n">
        <v>58.9</v>
      </c>
      <c r="F2069" s="37" t="n">
        <v>17.1</v>
      </c>
    </row>
    <row r="2070">
      <c r="A2070" s="37" t="inlineStr">
        <is>
          <t>WL-03069</t>
        </is>
      </c>
      <c r="B2070" s="37" t="inlineStr">
        <is>
          <t>Brown</t>
        </is>
      </c>
      <c r="C2070" s="37" t="inlineStr">
        <is>
          <t>Bridget</t>
        </is>
      </c>
      <c r="D2070" s="37" t="inlineStr">
        <is>
          <t>ACTIVE_WAITLIST</t>
        </is>
      </c>
      <c r="E2070" s="37" t="n">
        <v>34.1</v>
      </c>
      <c r="F2070" s="37" t="n">
        <v>11.4</v>
      </c>
    </row>
    <row r="2071">
      <c r="A2071" s="37" t="inlineStr">
        <is>
          <t>WL-03070</t>
        </is>
      </c>
      <c r="B2071" s="37" t="inlineStr">
        <is>
          <t>Alvarez</t>
        </is>
      </c>
      <c r="C2071" s="37" t="inlineStr">
        <is>
          <t>Andrew</t>
        </is>
      </c>
      <c r="D2071" s="37" t="inlineStr">
        <is>
          <t>ACTIVE_WAITLIST</t>
        </is>
      </c>
      <c r="E2071" s="37" t="n">
        <v>46.9</v>
      </c>
      <c r="F2071" s="37" t="n">
        <v>15.2</v>
      </c>
    </row>
    <row r="2072">
      <c r="A2072" s="37" t="inlineStr">
        <is>
          <t>WL-03071</t>
        </is>
      </c>
      <c r="B2072" s="37" t="inlineStr">
        <is>
          <t>Jones</t>
        </is>
      </c>
      <c r="C2072" s="37" t="inlineStr">
        <is>
          <t>Kenneth</t>
        </is>
      </c>
      <c r="D2072" s="37" t="inlineStr">
        <is>
          <t>ACTIVE_WAITLIST</t>
        </is>
      </c>
      <c r="E2072" s="37" t="n">
        <v>21</v>
      </c>
      <c r="F2072" s="37" t="n">
        <v>7.2</v>
      </c>
    </row>
    <row r="2073">
      <c r="A2073" s="37" t="inlineStr">
        <is>
          <t>WL-03072</t>
        </is>
      </c>
      <c r="B2073" s="37" t="inlineStr">
        <is>
          <t>Griffin</t>
        </is>
      </c>
      <c r="C2073" s="37" t="inlineStr">
        <is>
          <t>Jennifer</t>
        </is>
      </c>
      <c r="D2073" s="37" t="inlineStr">
        <is>
          <t>ACTIVE_WAITLIST</t>
        </is>
      </c>
      <c r="E2073" s="37" t="n">
        <v>52.3</v>
      </c>
      <c r="F2073" s="37" t="n">
        <v>17.6</v>
      </c>
    </row>
    <row r="2074">
      <c r="A2074" s="37" t="inlineStr">
        <is>
          <t>WL-03073</t>
        </is>
      </c>
      <c r="B2074" s="37" t="inlineStr">
        <is>
          <t>Silva</t>
        </is>
      </c>
      <c r="C2074" s="37" t="inlineStr">
        <is>
          <t>Donna</t>
        </is>
      </c>
      <c r="D2074" s="37" t="inlineStr">
        <is>
          <t>ACTIVE_WAITLIST</t>
        </is>
      </c>
      <c r="E2074" s="37" t="n">
        <v>49.8</v>
      </c>
      <c r="F2074" s="37" t="n">
        <v>16.9</v>
      </c>
    </row>
    <row r="2075">
      <c r="A2075" s="37" t="inlineStr">
        <is>
          <t>WL-03074</t>
        </is>
      </c>
      <c r="B2075" s="37" t="inlineStr">
        <is>
          <t>Rodriguez</t>
        </is>
      </c>
      <c r="C2075" s="37" t="inlineStr">
        <is>
          <t>Michael</t>
        </is>
      </c>
      <c r="D2075" s="37" t="inlineStr">
        <is>
          <t>ACTIVE_WAITLIST</t>
        </is>
      </c>
      <c r="E2075" s="37" t="n">
        <v>31.9</v>
      </c>
      <c r="F2075" s="37" t="n">
        <v>10.7</v>
      </c>
    </row>
    <row r="2076">
      <c r="A2076" s="37" t="inlineStr">
        <is>
          <t>WL-03075</t>
        </is>
      </c>
      <c r="B2076" s="37" t="inlineStr">
        <is>
          <t>Cruz</t>
        </is>
      </c>
      <c r="C2076" s="37" t="inlineStr">
        <is>
          <t>Jay</t>
        </is>
      </c>
      <c r="D2076" s="37" t="inlineStr">
        <is>
          <t>ACTIVE_WAITLIST</t>
        </is>
      </c>
      <c r="E2076" s="37" t="n">
        <v>52.3</v>
      </c>
      <c r="F2076" s="37" t="n">
        <v>18.8</v>
      </c>
    </row>
    <row r="2077">
      <c r="A2077" s="37" t="inlineStr">
        <is>
          <t>WL-03076</t>
        </is>
      </c>
      <c r="B2077" s="37" t="inlineStr">
        <is>
          <t>Davis</t>
        </is>
      </c>
      <c r="C2077" s="37" t="inlineStr">
        <is>
          <t>Jennifer</t>
        </is>
      </c>
      <c r="D2077" s="37" t="inlineStr">
        <is>
          <t>ACTIVE_WAITLIST</t>
        </is>
      </c>
      <c r="E2077" s="37" t="n">
        <v>48.2</v>
      </c>
      <c r="F2077" s="37" t="n">
        <v>16.1</v>
      </c>
    </row>
    <row r="2078">
      <c r="A2078" s="37" t="inlineStr">
        <is>
          <t>WL-03077</t>
        </is>
      </c>
      <c r="B2078" s="37" t="inlineStr">
        <is>
          <t>Jensen</t>
        </is>
      </c>
      <c r="C2078" s="37" t="inlineStr">
        <is>
          <t>Lisa</t>
        </is>
      </c>
      <c r="D2078" s="37" t="inlineStr">
        <is>
          <t>ACTIVE_WAITLIST</t>
        </is>
      </c>
      <c r="E2078" s="37" t="n">
        <v>48.1</v>
      </c>
      <c r="F2078" s="37" t="n">
        <v>14.5</v>
      </c>
    </row>
    <row r="2079">
      <c r="A2079" s="37" t="inlineStr">
        <is>
          <t>WL-03078</t>
        </is>
      </c>
      <c r="B2079" s="37" t="inlineStr">
        <is>
          <t>Mitchell</t>
        </is>
      </c>
      <c r="C2079" s="37" t="inlineStr">
        <is>
          <t>Rachael</t>
        </is>
      </c>
      <c r="D2079" s="37" t="inlineStr">
        <is>
          <t>ACTIVE_WAITLIST</t>
        </is>
      </c>
      <c r="E2079" s="37" t="n">
        <v>50</v>
      </c>
      <c r="F2079" s="37" t="n">
        <v>15.1</v>
      </c>
    </row>
    <row r="2080">
      <c r="A2080" s="37" t="inlineStr">
        <is>
          <t>WL-03079</t>
        </is>
      </c>
      <c r="B2080" s="37" t="inlineStr">
        <is>
          <t>Glover</t>
        </is>
      </c>
      <c r="C2080" s="37" t="inlineStr">
        <is>
          <t>Crystal</t>
        </is>
      </c>
      <c r="D2080" s="37" t="inlineStr">
        <is>
          <t>ACTIVE_WAITLIST</t>
        </is>
      </c>
      <c r="E2080" s="37" t="n">
        <v>41.4</v>
      </c>
      <c r="F2080" s="37" t="n">
        <v>11.6</v>
      </c>
    </row>
    <row r="2081">
      <c r="A2081" s="37" t="inlineStr">
        <is>
          <t>WL-03080</t>
        </is>
      </c>
      <c r="B2081" s="37" t="inlineStr">
        <is>
          <t>Lester</t>
        </is>
      </c>
      <c r="C2081" s="37" t="inlineStr">
        <is>
          <t>Cynthia</t>
        </is>
      </c>
      <c r="D2081" s="37" t="inlineStr">
        <is>
          <t>ACTIVE_WAITLIST</t>
        </is>
      </c>
      <c r="E2081" s="37" t="n">
        <v>22.6</v>
      </c>
      <c r="F2081" s="37" t="n">
        <v>6.4</v>
      </c>
    </row>
    <row r="2082">
      <c r="A2082" s="37" t="inlineStr">
        <is>
          <t>WL-03081</t>
        </is>
      </c>
      <c r="B2082" s="37" t="inlineStr">
        <is>
          <t>Ortiz</t>
        </is>
      </c>
      <c r="C2082" s="37" t="inlineStr">
        <is>
          <t>Casey</t>
        </is>
      </c>
      <c r="D2082" s="37" t="inlineStr">
        <is>
          <t>ACTIVE_WAITLIST</t>
        </is>
      </c>
      <c r="E2082" s="37" t="n">
        <v>56</v>
      </c>
      <c r="F2082" s="37" t="n">
        <v>19.9</v>
      </c>
    </row>
    <row r="2083">
      <c r="A2083" s="37" t="inlineStr">
        <is>
          <t>WL-03082</t>
        </is>
      </c>
      <c r="B2083" s="37" t="inlineStr">
        <is>
          <t>Thompson</t>
        </is>
      </c>
      <c r="C2083" s="37" t="inlineStr">
        <is>
          <t>Brian</t>
        </is>
      </c>
      <c r="D2083" s="37" t="inlineStr">
        <is>
          <t>SUSPENDED</t>
        </is>
      </c>
      <c r="E2083" s="37" t="n">
        <v>29.6</v>
      </c>
      <c r="F2083" s="37" t="n">
        <v>10.6</v>
      </c>
    </row>
    <row r="2084">
      <c r="A2084" s="37" t="inlineStr">
        <is>
          <t>WL-03083</t>
        </is>
      </c>
      <c r="B2084" s="37" t="inlineStr">
        <is>
          <t>Smith</t>
        </is>
      </c>
      <c r="C2084" s="37" t="inlineStr">
        <is>
          <t>Gregory</t>
        </is>
      </c>
      <c r="D2084" s="37" t="inlineStr">
        <is>
          <t>ACTIVE_WAITLIST</t>
        </is>
      </c>
      <c r="E2084" s="37" t="n">
        <v>33.1</v>
      </c>
      <c r="F2084" s="37" t="n">
        <v>9.4</v>
      </c>
    </row>
    <row r="2085">
      <c r="A2085" s="37" t="inlineStr">
        <is>
          <t>WL-03084</t>
        </is>
      </c>
      <c r="B2085" s="37" t="inlineStr">
        <is>
          <t>Johnson</t>
        </is>
      </c>
      <c r="C2085" s="37" t="inlineStr">
        <is>
          <t>Timothy</t>
        </is>
      </c>
      <c r="D2085" s="37" t="inlineStr">
        <is>
          <t>ACTIVE_WAITLIST</t>
        </is>
      </c>
      <c r="E2085" s="37" t="n">
        <v>58.9</v>
      </c>
      <c r="F2085" s="37" t="n">
        <v>19</v>
      </c>
    </row>
    <row r="2086">
      <c r="A2086" s="37" t="inlineStr">
        <is>
          <t>WL-03085</t>
        </is>
      </c>
      <c r="B2086" s="37" t="inlineStr">
        <is>
          <t>Robertson</t>
        </is>
      </c>
      <c r="C2086" s="37" t="inlineStr">
        <is>
          <t>Tiffany</t>
        </is>
      </c>
      <c r="D2086" s="37" t="inlineStr">
        <is>
          <t>ACTIVE_WAITLIST</t>
        </is>
      </c>
      <c r="E2086" s="37" t="n">
        <v>29</v>
      </c>
      <c r="F2086" s="37" t="n">
        <v>8.199999999999999</v>
      </c>
    </row>
    <row r="2087">
      <c r="A2087" s="37" t="inlineStr">
        <is>
          <t>WL-03086</t>
        </is>
      </c>
      <c r="B2087" s="37" t="inlineStr">
        <is>
          <t>Daugherty</t>
        </is>
      </c>
      <c r="C2087" s="37" t="inlineStr">
        <is>
          <t>William</t>
        </is>
      </c>
      <c r="D2087" s="37" t="inlineStr">
        <is>
          <t>ACTIVE_WAITLIST</t>
        </is>
      </c>
      <c r="E2087" s="37" t="n">
        <v>58.2</v>
      </c>
      <c r="F2087" s="37" t="n">
        <v>17.3</v>
      </c>
    </row>
    <row r="2088">
      <c r="A2088" s="37" t="inlineStr">
        <is>
          <t>WL-03087</t>
        </is>
      </c>
      <c r="B2088" s="37" t="inlineStr">
        <is>
          <t>Holland</t>
        </is>
      </c>
      <c r="C2088" s="37" t="inlineStr">
        <is>
          <t>Andrea</t>
        </is>
      </c>
      <c r="D2088" s="37" t="inlineStr">
        <is>
          <t>ACTIVE_WAITLIST</t>
        </is>
      </c>
      <c r="E2088" s="37" t="n">
        <v>18.8</v>
      </c>
      <c r="F2088" s="37" t="n">
        <v>5.8</v>
      </c>
    </row>
    <row r="2089">
      <c r="A2089" s="37" t="inlineStr">
        <is>
          <t>WL-03088</t>
        </is>
      </c>
      <c r="B2089" s="37" t="inlineStr">
        <is>
          <t>Williams</t>
        </is>
      </c>
      <c r="C2089" s="37" t="inlineStr">
        <is>
          <t>Heather</t>
        </is>
      </c>
      <c r="D2089" s="37" t="inlineStr">
        <is>
          <t>ACTIVE_WAITLIST</t>
        </is>
      </c>
      <c r="E2089" s="37" t="n">
        <v>52.8</v>
      </c>
      <c r="F2089" s="37" t="n">
        <v>15.8</v>
      </c>
    </row>
    <row r="2090">
      <c r="A2090" s="37" t="inlineStr">
        <is>
          <t>WL-03089</t>
        </is>
      </c>
      <c r="B2090" s="37" t="inlineStr">
        <is>
          <t>Rivera</t>
        </is>
      </c>
      <c r="C2090" s="37" t="inlineStr">
        <is>
          <t>Joshua</t>
        </is>
      </c>
      <c r="D2090" s="37" t="inlineStr">
        <is>
          <t>ACTIVE_WAITLIST</t>
        </is>
      </c>
      <c r="E2090" s="37" t="n">
        <v>25.9</v>
      </c>
      <c r="F2090" s="37" t="n">
        <v>8.6</v>
      </c>
    </row>
    <row r="2091">
      <c r="A2091" s="37" t="inlineStr">
        <is>
          <t>WL-03090</t>
        </is>
      </c>
      <c r="B2091" s="37" t="inlineStr">
        <is>
          <t>Price</t>
        </is>
      </c>
      <c r="C2091" s="37" t="inlineStr">
        <is>
          <t>Erin</t>
        </is>
      </c>
      <c r="D2091" s="37" t="inlineStr">
        <is>
          <t>ACTIVE_WAITLIST</t>
        </is>
      </c>
      <c r="E2091" s="37" t="n">
        <v>47.5</v>
      </c>
      <c r="F2091" s="37" t="n">
        <v>16.4</v>
      </c>
    </row>
    <row r="2092">
      <c r="A2092" s="37" t="inlineStr">
        <is>
          <t>WL-03091</t>
        </is>
      </c>
      <c r="B2092" s="37" t="inlineStr">
        <is>
          <t>Barber</t>
        </is>
      </c>
      <c r="C2092" s="37" t="inlineStr">
        <is>
          <t>Sandra</t>
        </is>
      </c>
      <c r="D2092" s="37" t="inlineStr">
        <is>
          <t>ACTIVE_WAITLIST</t>
        </is>
      </c>
      <c r="E2092" s="37" t="n">
        <v>61.6</v>
      </c>
      <c r="F2092" s="37" t="n">
        <v>20.5</v>
      </c>
    </row>
    <row r="2093">
      <c r="A2093" s="37" t="inlineStr">
        <is>
          <t>WL-03092</t>
        </is>
      </c>
      <c r="B2093" s="37" t="inlineStr">
        <is>
          <t>Houston</t>
        </is>
      </c>
      <c r="C2093" s="37" t="inlineStr">
        <is>
          <t>Teresa</t>
        </is>
      </c>
      <c r="D2093" s="37" t="inlineStr">
        <is>
          <t>ACTIVE_WAITLIST</t>
        </is>
      </c>
      <c r="E2093" s="37" t="n">
        <v>38.8</v>
      </c>
      <c r="F2093" s="37" t="n">
        <v>12.8</v>
      </c>
    </row>
    <row r="2094">
      <c r="A2094" s="37" t="inlineStr">
        <is>
          <t>WL-03093</t>
        </is>
      </c>
      <c r="B2094" s="37" t="inlineStr">
        <is>
          <t>West</t>
        </is>
      </c>
      <c r="C2094" s="37" t="inlineStr">
        <is>
          <t>Gina</t>
        </is>
      </c>
      <c r="D2094" s="37" t="inlineStr">
        <is>
          <t>RETAINER</t>
        </is>
      </c>
      <c r="E2094" s="37" t="n">
        <v>54.9</v>
      </c>
      <c r="F2094" s="37" t="n">
        <v>16.8</v>
      </c>
    </row>
    <row r="2095">
      <c r="A2095" s="37" t="inlineStr">
        <is>
          <t>WL-03094</t>
        </is>
      </c>
      <c r="B2095" s="37" t="inlineStr">
        <is>
          <t>Cook</t>
        </is>
      </c>
      <c r="C2095" s="37" t="inlineStr">
        <is>
          <t>Christine</t>
        </is>
      </c>
      <c r="D2095" s="37" t="inlineStr">
        <is>
          <t>ACTIVE_WAITLIST</t>
        </is>
      </c>
      <c r="E2095" s="37" t="n">
        <v>26.2</v>
      </c>
      <c r="F2095" s="37" t="n">
        <v>8</v>
      </c>
    </row>
    <row r="2096">
      <c r="A2096" s="37" t="inlineStr">
        <is>
          <t>WL-03095</t>
        </is>
      </c>
      <c r="B2096" s="37" t="inlineStr">
        <is>
          <t>Jones</t>
        </is>
      </c>
      <c r="C2096" s="37" t="inlineStr">
        <is>
          <t>Christopher</t>
        </is>
      </c>
      <c r="D2096" s="37" t="inlineStr">
        <is>
          <t>ACTIVE_WAITLIST</t>
        </is>
      </c>
      <c r="E2096" s="37" t="n">
        <v>46.1</v>
      </c>
      <c r="F2096" s="37" t="n">
        <v>13.9</v>
      </c>
    </row>
    <row r="2097">
      <c r="A2097" s="37" t="inlineStr">
        <is>
          <t>WL-03096</t>
        </is>
      </c>
      <c r="B2097" s="37" t="inlineStr">
        <is>
          <t>Kelley</t>
        </is>
      </c>
      <c r="C2097" s="37" t="inlineStr">
        <is>
          <t>Craig</t>
        </is>
      </c>
      <c r="D2097" s="37" t="inlineStr">
        <is>
          <t>ACTIVE_WAITLIST</t>
        </is>
      </c>
      <c r="E2097" s="37" t="n">
        <v>53.9</v>
      </c>
      <c r="F2097" s="37" t="n">
        <v>17.1</v>
      </c>
    </row>
    <row r="2098">
      <c r="A2098" s="37" t="inlineStr">
        <is>
          <t>WL-03097</t>
        </is>
      </c>
      <c r="B2098" s="37" t="inlineStr">
        <is>
          <t>Sanchez</t>
        </is>
      </c>
      <c r="C2098" s="37" t="inlineStr">
        <is>
          <t>John</t>
        </is>
      </c>
      <c r="D2098" s="37" t="inlineStr">
        <is>
          <t>ACTIVE_WAITLIST</t>
        </is>
      </c>
      <c r="E2098" s="37" t="n">
        <v>35.3</v>
      </c>
      <c r="F2098" s="37" t="n">
        <v>10.2</v>
      </c>
    </row>
    <row r="2099">
      <c r="A2099" s="37" t="inlineStr">
        <is>
          <t>WL-03098</t>
        </is>
      </c>
      <c r="B2099" s="37" t="inlineStr">
        <is>
          <t>Phillips</t>
        </is>
      </c>
      <c r="C2099" s="37" t="inlineStr">
        <is>
          <t>Michelle</t>
        </is>
      </c>
      <c r="D2099" s="37" t="inlineStr">
        <is>
          <t>ACTIVE_WAITLIST</t>
        </is>
      </c>
      <c r="E2099" s="37" t="n">
        <v>43.6</v>
      </c>
      <c r="F2099" s="37" t="n">
        <v>13.8</v>
      </c>
    </row>
    <row r="2100">
      <c r="A2100" s="37" t="inlineStr">
        <is>
          <t>WL-03099</t>
        </is>
      </c>
      <c r="B2100" s="37" t="inlineStr">
        <is>
          <t>Robertson</t>
        </is>
      </c>
      <c r="C2100" s="37" t="inlineStr">
        <is>
          <t>Ryan</t>
        </is>
      </c>
      <c r="D2100" s="37" t="inlineStr">
        <is>
          <t>ACTIVE_WAITLIST</t>
        </is>
      </c>
      <c r="E2100" s="37" t="n">
        <v>53</v>
      </c>
      <c r="F2100" s="37" t="n">
        <v>17.6</v>
      </c>
    </row>
    <row r="2101">
      <c r="A2101" s="37" t="inlineStr">
        <is>
          <t>WL-03100</t>
        </is>
      </c>
      <c r="B2101" s="37" t="inlineStr">
        <is>
          <t>Contreras</t>
        </is>
      </c>
      <c r="C2101" s="37" t="inlineStr">
        <is>
          <t>Andrew</t>
        </is>
      </c>
      <c r="D2101" s="37" t="inlineStr">
        <is>
          <t>ACTIVE_WAITLIST</t>
        </is>
      </c>
      <c r="E2101" s="37" t="n">
        <v>52.1</v>
      </c>
      <c r="F2101" s="37" t="n">
        <v>15</v>
      </c>
    </row>
    <row r="2102">
      <c r="A2102" s="37" t="inlineStr">
        <is>
          <t>WL-03101</t>
        </is>
      </c>
      <c r="B2102" s="37" t="inlineStr">
        <is>
          <t>Cunningham</t>
        </is>
      </c>
      <c r="C2102" s="37" t="inlineStr">
        <is>
          <t>Kristie</t>
        </is>
      </c>
      <c r="D2102" s="37" t="inlineStr">
        <is>
          <t>ACTIVE_WAITLIST</t>
        </is>
      </c>
      <c r="E2102" s="37" t="n">
        <v>24.5</v>
      </c>
      <c r="F2102" s="37" t="n">
        <v>7.9</v>
      </c>
    </row>
    <row r="2103">
      <c r="A2103" s="37" t="inlineStr">
        <is>
          <t>WL-03102</t>
        </is>
      </c>
      <c r="B2103" s="37" t="inlineStr">
        <is>
          <t>Farlow</t>
        </is>
      </c>
      <c r="C2103" s="37" t="inlineStr">
        <is>
          <t>Dennis</t>
        </is>
      </c>
      <c r="D2103" s="37" t="inlineStr">
        <is>
          <t>ACTIVE_WAITLIST</t>
        </is>
      </c>
      <c r="E2103" s="37" t="n">
        <v>35.8</v>
      </c>
      <c r="F2103" s="37" t="n">
        <v>11.1</v>
      </c>
    </row>
    <row r="2104">
      <c r="A2104" s="37" t="inlineStr">
        <is>
          <t>WL-03103</t>
        </is>
      </c>
      <c r="B2104" s="37" t="inlineStr">
        <is>
          <t>Roman</t>
        </is>
      </c>
      <c r="C2104" s="37" t="inlineStr">
        <is>
          <t>Thomas</t>
        </is>
      </c>
      <c r="D2104" s="37" t="inlineStr">
        <is>
          <t>ACTIVE_WAITLIST</t>
        </is>
      </c>
      <c r="E2104" s="37" t="n">
        <v>48.8</v>
      </c>
      <c r="F2104" s="37" t="n">
        <v>16.2</v>
      </c>
    </row>
    <row r="2105">
      <c r="A2105" s="37" t="inlineStr">
        <is>
          <t>WL-03104</t>
        </is>
      </c>
      <c r="B2105" s="37" t="inlineStr">
        <is>
          <t>Maldonado</t>
        </is>
      </c>
      <c r="C2105" s="37" t="inlineStr">
        <is>
          <t>Jill</t>
        </is>
      </c>
      <c r="D2105" s="37" t="inlineStr">
        <is>
          <t>ACTIVE_WAITLIST</t>
        </is>
      </c>
      <c r="E2105" s="37" t="n">
        <v>34.6</v>
      </c>
      <c r="F2105" s="37" t="n">
        <v>11.1</v>
      </c>
    </row>
    <row r="2106">
      <c r="A2106" s="37" t="inlineStr">
        <is>
          <t>WL-03105</t>
        </is>
      </c>
      <c r="B2106" s="37" t="inlineStr">
        <is>
          <t>Zhang</t>
        </is>
      </c>
      <c r="C2106" s="37" t="inlineStr">
        <is>
          <t>Elizabeth</t>
        </is>
      </c>
      <c r="D2106" s="37" t="inlineStr">
        <is>
          <t>ACTIVE_WAITLIST</t>
        </is>
      </c>
      <c r="E2106" s="37" t="n">
        <v>48.2</v>
      </c>
      <c r="F2106" s="37" t="n">
        <v>17</v>
      </c>
    </row>
    <row r="2107">
      <c r="A2107" s="37" t="inlineStr">
        <is>
          <t>WL-03106</t>
        </is>
      </c>
      <c r="B2107" s="37" t="inlineStr">
        <is>
          <t>Morales</t>
        </is>
      </c>
      <c r="C2107" s="37" t="inlineStr">
        <is>
          <t>Shannon</t>
        </is>
      </c>
      <c r="D2107" s="37" t="inlineStr">
        <is>
          <t>ACTIVE_WAITLIST</t>
        </is>
      </c>
      <c r="E2107" s="37" t="n">
        <v>45.1</v>
      </c>
      <c r="F2107" s="37" t="n">
        <v>14</v>
      </c>
    </row>
    <row r="2108">
      <c r="A2108" s="37" t="inlineStr">
        <is>
          <t>WL-03107</t>
        </is>
      </c>
      <c r="B2108" s="37" t="inlineStr">
        <is>
          <t>Fleming</t>
        </is>
      </c>
      <c r="C2108" s="37" t="inlineStr">
        <is>
          <t>John</t>
        </is>
      </c>
      <c r="D2108" s="37" t="inlineStr">
        <is>
          <t>ACTIVE_WAITLIST</t>
        </is>
      </c>
      <c r="E2108" s="37" t="n">
        <v>26.9</v>
      </c>
      <c r="F2108" s="37" t="n">
        <v>8.199999999999999</v>
      </c>
    </row>
    <row r="2109">
      <c r="A2109" s="37" t="inlineStr">
        <is>
          <t>WL-03108</t>
        </is>
      </c>
      <c r="B2109" s="37" t="inlineStr">
        <is>
          <t>Adams</t>
        </is>
      </c>
      <c r="C2109" s="37" t="inlineStr">
        <is>
          <t>Danielle</t>
        </is>
      </c>
      <c r="D2109" s="37" t="inlineStr">
        <is>
          <t>ACTIVE_WAITLIST</t>
        </is>
      </c>
      <c r="E2109" s="37" t="n">
        <v>58.4</v>
      </c>
      <c r="F2109" s="37" t="n">
        <v>18.4</v>
      </c>
    </row>
    <row r="2110">
      <c r="A2110" s="37" t="inlineStr">
        <is>
          <t>WL-03109</t>
        </is>
      </c>
      <c r="B2110" s="37" t="inlineStr">
        <is>
          <t>Murphy</t>
        </is>
      </c>
      <c r="C2110" s="37" t="inlineStr">
        <is>
          <t>Matthew</t>
        </is>
      </c>
      <c r="D2110" s="37" t="inlineStr">
        <is>
          <t>RETAINER</t>
        </is>
      </c>
      <c r="E2110" s="37" t="n">
        <v>35.8</v>
      </c>
      <c r="F2110" s="37" t="n">
        <v>12.8</v>
      </c>
    </row>
    <row r="2111">
      <c r="A2111" s="37" t="inlineStr">
        <is>
          <t>WL-03110</t>
        </is>
      </c>
      <c r="B2111" s="37" t="inlineStr">
        <is>
          <t>Ramos</t>
        </is>
      </c>
      <c r="C2111" s="37" t="inlineStr">
        <is>
          <t>Randy</t>
        </is>
      </c>
      <c r="D2111" s="37" t="inlineStr">
        <is>
          <t>ACTIVE_WAITLIST</t>
        </is>
      </c>
      <c r="E2111" s="37" t="n">
        <v>28.6</v>
      </c>
      <c r="F2111" s="37" t="n">
        <v>9.300000000000001</v>
      </c>
    </row>
    <row r="2112">
      <c r="A2112" s="37" t="inlineStr">
        <is>
          <t>WL-03111</t>
        </is>
      </c>
      <c r="B2112" s="37" t="inlineStr">
        <is>
          <t>Gilbert</t>
        </is>
      </c>
      <c r="C2112" s="37" t="inlineStr">
        <is>
          <t>Kevin</t>
        </is>
      </c>
      <c r="D2112" s="37" t="inlineStr">
        <is>
          <t>EXPIRED</t>
        </is>
      </c>
      <c r="E2112" s="37" t="n">
        <v>36.4</v>
      </c>
      <c r="F2112" s="37" t="n">
        <v>12.2</v>
      </c>
    </row>
    <row r="2113">
      <c r="A2113" s="37" t="inlineStr">
        <is>
          <t>WL-03112</t>
        </is>
      </c>
      <c r="B2113" s="37" t="inlineStr">
        <is>
          <t>Scott</t>
        </is>
      </c>
      <c r="C2113" s="37" t="inlineStr">
        <is>
          <t>Lauren</t>
        </is>
      </c>
      <c r="D2113" s="37" t="inlineStr">
        <is>
          <t>ACTIVE_WAITLIST</t>
        </is>
      </c>
      <c r="E2113" s="37" t="n">
        <v>56.1</v>
      </c>
      <c r="F2113" s="37" t="n">
        <v>18.4</v>
      </c>
    </row>
    <row r="2114">
      <c r="A2114" s="37" t="inlineStr">
        <is>
          <t>WL-03113</t>
        </is>
      </c>
      <c r="B2114" s="37" t="inlineStr">
        <is>
          <t>Martin</t>
        </is>
      </c>
      <c r="C2114" s="37" t="inlineStr">
        <is>
          <t>Dale</t>
        </is>
      </c>
      <c r="D2114" s="37" t="inlineStr">
        <is>
          <t>ACTIVE_WAITLIST</t>
        </is>
      </c>
      <c r="E2114" s="37" t="n">
        <v>55.4</v>
      </c>
      <c r="F2114" s="37" t="n">
        <v>17.3</v>
      </c>
    </row>
    <row r="2115">
      <c r="A2115" s="37" t="inlineStr">
        <is>
          <t>WL-03114</t>
        </is>
      </c>
      <c r="B2115" s="37" t="inlineStr">
        <is>
          <t>Goodman</t>
        </is>
      </c>
      <c r="C2115" s="37" t="inlineStr">
        <is>
          <t>Jennifer</t>
        </is>
      </c>
      <c r="D2115" s="37" t="inlineStr">
        <is>
          <t>ACTIVE_WAITLIST</t>
        </is>
      </c>
      <c r="E2115" s="37" t="n">
        <v>48.8</v>
      </c>
      <c r="F2115" s="37" t="n">
        <v>16</v>
      </c>
    </row>
    <row r="2116">
      <c r="A2116" s="37" t="inlineStr">
        <is>
          <t>WL-03115</t>
        </is>
      </c>
      <c r="B2116" s="37" t="inlineStr">
        <is>
          <t>Bray</t>
        </is>
      </c>
      <c r="C2116" s="37" t="inlineStr">
        <is>
          <t>Ariel</t>
        </is>
      </c>
      <c r="D2116" s="37" t="inlineStr">
        <is>
          <t>ACTIVE_WAITLIST</t>
        </is>
      </c>
      <c r="E2116" s="37" t="n">
        <v>23.9</v>
      </c>
      <c r="F2116" s="37" t="n">
        <v>7.1</v>
      </c>
    </row>
    <row r="2117">
      <c r="A2117" s="37" t="inlineStr">
        <is>
          <t>WL-03116</t>
        </is>
      </c>
      <c r="B2117" s="37" t="inlineStr">
        <is>
          <t>Kennedy</t>
        </is>
      </c>
      <c r="C2117" s="37" t="inlineStr">
        <is>
          <t>Anthony</t>
        </is>
      </c>
      <c r="D2117" s="37" t="inlineStr">
        <is>
          <t>ACTIVE_WAITLIST</t>
        </is>
      </c>
      <c r="E2117" s="37" t="n">
        <v>48.6</v>
      </c>
      <c r="F2117" s="37" t="n">
        <v>16.9</v>
      </c>
    </row>
    <row r="2118">
      <c r="A2118" s="37" t="inlineStr">
        <is>
          <t>WL-03117</t>
        </is>
      </c>
      <c r="B2118" s="37" t="inlineStr">
        <is>
          <t>Hawkins</t>
        </is>
      </c>
      <c r="C2118" s="37" t="inlineStr">
        <is>
          <t>Stephanie</t>
        </is>
      </c>
      <c r="D2118" s="37" t="inlineStr">
        <is>
          <t>ACTIVE_WAITLIST</t>
        </is>
      </c>
      <c r="E2118" s="37" t="n">
        <v>43.5</v>
      </c>
      <c r="F2118" s="37" t="n">
        <v>14.8</v>
      </c>
    </row>
    <row r="2119">
      <c r="A2119" s="37" t="inlineStr">
        <is>
          <t>WL-03118</t>
        </is>
      </c>
      <c r="B2119" s="37" t="inlineStr">
        <is>
          <t>Clayton</t>
        </is>
      </c>
      <c r="C2119" s="37" t="inlineStr">
        <is>
          <t>Amanda</t>
        </is>
      </c>
      <c r="D2119" s="37" t="inlineStr">
        <is>
          <t>ACTIVE_WAITLIST</t>
        </is>
      </c>
      <c r="E2119" s="37" t="n">
        <v>23.2</v>
      </c>
      <c r="F2119" s="37" t="n">
        <v>7.6</v>
      </c>
    </row>
    <row r="2120">
      <c r="A2120" s="37" t="inlineStr">
        <is>
          <t>WL-03119</t>
        </is>
      </c>
      <c r="B2120" s="37" t="inlineStr">
        <is>
          <t>Harris</t>
        </is>
      </c>
      <c r="C2120" s="37" t="inlineStr">
        <is>
          <t>Karen</t>
        </is>
      </c>
      <c r="D2120" s="37" t="inlineStr">
        <is>
          <t>ACTIVE_WAITLIST</t>
        </is>
      </c>
      <c r="E2120" s="37" t="n">
        <v>25.5</v>
      </c>
      <c r="F2120" s="37" t="n">
        <v>7.7</v>
      </c>
    </row>
    <row r="2121">
      <c r="A2121" s="37" t="inlineStr">
        <is>
          <t>WL-03120</t>
        </is>
      </c>
      <c r="B2121" s="37" t="inlineStr">
        <is>
          <t>Peterson</t>
        </is>
      </c>
      <c r="C2121" s="37" t="inlineStr">
        <is>
          <t>Stacey</t>
        </is>
      </c>
      <c r="D2121" s="37" t="inlineStr">
        <is>
          <t>RETAINER</t>
        </is>
      </c>
      <c r="E2121" s="37" t="n">
        <v>18.4</v>
      </c>
      <c r="F2121" s="37" t="n">
        <v>6.6</v>
      </c>
    </row>
    <row r="2122">
      <c r="A2122" s="37" t="inlineStr">
        <is>
          <t>WL-03121</t>
        </is>
      </c>
      <c r="B2122" s="37" t="inlineStr">
        <is>
          <t>Ellis</t>
        </is>
      </c>
      <c r="C2122" s="37" t="inlineStr">
        <is>
          <t>Joel</t>
        </is>
      </c>
      <c r="D2122" s="37" t="inlineStr">
        <is>
          <t>ACTIVE_WAITLIST</t>
        </is>
      </c>
      <c r="E2122" s="37" t="n">
        <v>60.4</v>
      </c>
      <c r="F2122" s="37" t="n">
        <v>20.9</v>
      </c>
    </row>
    <row r="2123">
      <c r="A2123" s="37" t="inlineStr">
        <is>
          <t>WL-03122</t>
        </is>
      </c>
      <c r="B2123" s="37" t="inlineStr">
        <is>
          <t>Owens</t>
        </is>
      </c>
      <c r="C2123" s="37" t="inlineStr">
        <is>
          <t>Larry</t>
        </is>
      </c>
      <c r="D2123" s="37" t="inlineStr">
        <is>
          <t>ACTIVE_WAITLIST</t>
        </is>
      </c>
      <c r="E2123" s="37" t="n">
        <v>26.9</v>
      </c>
      <c r="F2123" s="37" t="n">
        <v>9.5</v>
      </c>
    </row>
    <row r="2124">
      <c r="A2124" s="37" t="inlineStr">
        <is>
          <t>WL-03123</t>
        </is>
      </c>
      <c r="B2124" s="37" t="inlineStr">
        <is>
          <t>Johnson</t>
        </is>
      </c>
      <c r="C2124" s="37" t="inlineStr">
        <is>
          <t>Michael</t>
        </is>
      </c>
      <c r="D2124" s="37" t="inlineStr">
        <is>
          <t>EXPIRED</t>
        </is>
      </c>
      <c r="E2124" s="37" t="n">
        <v>40</v>
      </c>
      <c r="F2124" s="37" t="n">
        <v>14.3</v>
      </c>
    </row>
    <row r="2125">
      <c r="A2125" s="37" t="inlineStr">
        <is>
          <t>WL-03124</t>
        </is>
      </c>
      <c r="B2125" s="37" t="inlineStr">
        <is>
          <t>Taylor</t>
        </is>
      </c>
      <c r="C2125" s="37" t="inlineStr">
        <is>
          <t>Heather</t>
        </is>
      </c>
      <c r="D2125" s="37" t="inlineStr">
        <is>
          <t>EXPIRED</t>
        </is>
      </c>
      <c r="E2125" s="37" t="n">
        <v>45</v>
      </c>
      <c r="F2125" s="37" t="n">
        <v>13.8</v>
      </c>
    </row>
    <row r="2126">
      <c r="A2126" s="37" t="inlineStr">
        <is>
          <t>WL-03125</t>
        </is>
      </c>
      <c r="B2126" s="37" t="inlineStr">
        <is>
          <t>Wright</t>
        </is>
      </c>
      <c r="C2126" s="37" t="inlineStr">
        <is>
          <t>Ronald</t>
        </is>
      </c>
      <c r="D2126" s="37" t="inlineStr">
        <is>
          <t>RETAINER</t>
        </is>
      </c>
      <c r="E2126" s="37" t="n">
        <v>39.8</v>
      </c>
      <c r="F2126" s="37" t="n">
        <v>12.3</v>
      </c>
    </row>
    <row r="2127">
      <c r="A2127" s="37" t="inlineStr">
        <is>
          <t>WL-03126</t>
        </is>
      </c>
      <c r="B2127" s="37" t="inlineStr">
        <is>
          <t>Mejia</t>
        </is>
      </c>
      <c r="C2127" s="37" t="inlineStr">
        <is>
          <t>Cheryl</t>
        </is>
      </c>
      <c r="D2127" s="37" t="inlineStr">
        <is>
          <t>RETAINER</t>
        </is>
      </c>
      <c r="E2127" s="37" t="n">
        <v>60.1</v>
      </c>
      <c r="F2127" s="37" t="n">
        <v>16.9</v>
      </c>
    </row>
    <row r="2128">
      <c r="A2128" s="37" t="inlineStr">
        <is>
          <t>WL-03127</t>
        </is>
      </c>
      <c r="B2128" s="37" t="inlineStr">
        <is>
          <t>Dixon</t>
        </is>
      </c>
      <c r="C2128" s="37" t="inlineStr">
        <is>
          <t>Lindsay</t>
        </is>
      </c>
      <c r="D2128" s="37" t="inlineStr">
        <is>
          <t>ACTIVE_WAITLIST</t>
        </is>
      </c>
      <c r="E2128" s="37" t="n">
        <v>32.8</v>
      </c>
      <c r="F2128" s="37" t="n">
        <v>11.7</v>
      </c>
    </row>
    <row r="2129">
      <c r="A2129" s="37" t="inlineStr">
        <is>
          <t>WL-03128</t>
        </is>
      </c>
      <c r="B2129" s="37" t="inlineStr">
        <is>
          <t>Johnson</t>
        </is>
      </c>
      <c r="C2129" s="37" t="inlineStr">
        <is>
          <t>Kayla</t>
        </is>
      </c>
      <c r="D2129" s="37" t="inlineStr">
        <is>
          <t>ACTIVE_WAITLIST</t>
        </is>
      </c>
      <c r="E2129" s="37" t="n">
        <v>30.8</v>
      </c>
      <c r="F2129" s="37" t="n">
        <v>8.699999999999999</v>
      </c>
    </row>
    <row r="2130">
      <c r="A2130" s="37" t="inlineStr">
        <is>
          <t>WL-03129</t>
        </is>
      </c>
      <c r="B2130" s="37" t="inlineStr">
        <is>
          <t>Fischer</t>
        </is>
      </c>
      <c r="C2130" s="37" t="inlineStr">
        <is>
          <t>Jennifer</t>
        </is>
      </c>
      <c r="D2130" s="37" t="inlineStr">
        <is>
          <t>ACTIVE_WAITLIST</t>
        </is>
      </c>
      <c r="E2130" s="37" t="n">
        <v>49.4</v>
      </c>
      <c r="F2130" s="37" t="n">
        <v>15.8</v>
      </c>
    </row>
    <row r="2131">
      <c r="A2131" s="37" t="inlineStr">
        <is>
          <t>WL-03130</t>
        </is>
      </c>
      <c r="B2131" s="37" t="inlineStr">
        <is>
          <t>Berger</t>
        </is>
      </c>
      <c r="C2131" s="37" t="inlineStr">
        <is>
          <t>Nicole</t>
        </is>
      </c>
      <c r="D2131" s="37" t="inlineStr">
        <is>
          <t>ACTIVE_WAITLIST</t>
        </is>
      </c>
      <c r="E2131" s="37" t="n">
        <v>24.5</v>
      </c>
      <c r="F2131" s="37" t="n">
        <v>8</v>
      </c>
    </row>
    <row r="2132">
      <c r="A2132" s="37" t="inlineStr">
        <is>
          <t>WL-03131</t>
        </is>
      </c>
      <c r="B2132" s="37" t="inlineStr">
        <is>
          <t>Quinn</t>
        </is>
      </c>
      <c r="C2132" s="37" t="inlineStr">
        <is>
          <t>Jose</t>
        </is>
      </c>
      <c r="D2132" s="37" t="inlineStr">
        <is>
          <t>ACTIVE_WAITLIST</t>
        </is>
      </c>
      <c r="E2132" s="37" t="n">
        <v>30</v>
      </c>
      <c r="F2132" s="37" t="n">
        <v>10.7</v>
      </c>
    </row>
    <row r="2133">
      <c r="A2133" s="37" t="inlineStr">
        <is>
          <t>WL-03132</t>
        </is>
      </c>
      <c r="B2133" s="37" t="inlineStr">
        <is>
          <t>Fox</t>
        </is>
      </c>
      <c r="C2133" s="37" t="inlineStr">
        <is>
          <t>David</t>
        </is>
      </c>
      <c r="D2133" s="37" t="inlineStr">
        <is>
          <t>ACTIVE_WAITLIST</t>
        </is>
      </c>
      <c r="E2133" s="37" t="n">
        <v>56.2</v>
      </c>
      <c r="F2133" s="37" t="n">
        <v>18.5</v>
      </c>
    </row>
    <row r="2134">
      <c r="A2134" s="37" t="inlineStr">
        <is>
          <t>WL-03133</t>
        </is>
      </c>
      <c r="B2134" s="37" t="inlineStr">
        <is>
          <t>Zuniga</t>
        </is>
      </c>
      <c r="C2134" s="37" t="inlineStr">
        <is>
          <t>Catherine</t>
        </is>
      </c>
      <c r="D2134" s="37" t="inlineStr">
        <is>
          <t>RETAINER</t>
        </is>
      </c>
      <c r="E2134" s="37" t="n">
        <v>23</v>
      </c>
      <c r="F2134" s="37" t="n">
        <v>7.7</v>
      </c>
    </row>
    <row r="2135">
      <c r="A2135" s="37" t="inlineStr">
        <is>
          <t>WL-03134</t>
        </is>
      </c>
      <c r="B2135" s="37" t="inlineStr">
        <is>
          <t>Larson</t>
        </is>
      </c>
      <c r="C2135" s="37" t="inlineStr">
        <is>
          <t>Laurie</t>
        </is>
      </c>
      <c r="D2135" s="37" t="inlineStr">
        <is>
          <t>RETAINER</t>
        </is>
      </c>
      <c r="E2135" s="37" t="n">
        <v>22</v>
      </c>
      <c r="F2135" s="37" t="n">
        <v>6.6</v>
      </c>
    </row>
    <row r="2136">
      <c r="A2136" s="37" t="inlineStr">
        <is>
          <t>WL-03135</t>
        </is>
      </c>
      <c r="B2136" s="37" t="inlineStr">
        <is>
          <t>Rodgers</t>
        </is>
      </c>
      <c r="C2136" s="37" t="inlineStr">
        <is>
          <t>Mallory</t>
        </is>
      </c>
      <c r="D2136" s="37" t="inlineStr">
        <is>
          <t>ACTIVE_WAITLIST</t>
        </is>
      </c>
      <c r="E2136" s="37" t="n">
        <v>18.9</v>
      </c>
      <c r="F2136" s="37" t="n">
        <v>5.6</v>
      </c>
    </row>
    <row r="2137">
      <c r="A2137" s="37" t="inlineStr">
        <is>
          <t>WL-03136</t>
        </is>
      </c>
      <c r="B2137" s="37" t="inlineStr">
        <is>
          <t>Hawkins</t>
        </is>
      </c>
      <c r="C2137" s="37" t="inlineStr">
        <is>
          <t>Brittney</t>
        </is>
      </c>
      <c r="D2137" s="37" t="inlineStr">
        <is>
          <t>ACTIVE_WAITLIST</t>
        </is>
      </c>
      <c r="E2137" s="37" t="n">
        <v>44.5</v>
      </c>
      <c r="F2137" s="37" t="n">
        <v>15.5</v>
      </c>
    </row>
    <row r="2138">
      <c r="A2138" s="37" t="inlineStr">
        <is>
          <t>WL-03137</t>
        </is>
      </c>
      <c r="B2138" s="37" t="inlineStr">
        <is>
          <t>Hamilton</t>
        </is>
      </c>
      <c r="C2138" s="37" t="inlineStr">
        <is>
          <t>Matthew</t>
        </is>
      </c>
      <c r="D2138" s="37" t="inlineStr">
        <is>
          <t>RETAINER</t>
        </is>
      </c>
      <c r="E2138" s="37" t="n">
        <v>51.5</v>
      </c>
      <c r="F2138" s="37" t="n">
        <v>15.3</v>
      </c>
    </row>
    <row r="2139">
      <c r="A2139" s="37" t="inlineStr">
        <is>
          <t>WL-03138</t>
        </is>
      </c>
      <c r="B2139" s="37" t="inlineStr">
        <is>
          <t>Lewis</t>
        </is>
      </c>
      <c r="C2139" s="37" t="inlineStr">
        <is>
          <t>Dominique</t>
        </is>
      </c>
      <c r="D2139" s="37" t="inlineStr">
        <is>
          <t>EXPIRED</t>
        </is>
      </c>
      <c r="E2139" s="37" t="n">
        <v>55.1</v>
      </c>
      <c r="F2139" s="37" t="n">
        <v>17.4</v>
      </c>
    </row>
    <row r="2140">
      <c r="A2140" s="37" t="inlineStr">
        <is>
          <t>WL-03139</t>
        </is>
      </c>
      <c r="B2140" s="37" t="inlineStr">
        <is>
          <t>Peterson</t>
        </is>
      </c>
      <c r="C2140" s="37" t="inlineStr">
        <is>
          <t>Stanley</t>
        </is>
      </c>
      <c r="D2140" s="37" t="inlineStr">
        <is>
          <t>ACTIVE_WAITLIST</t>
        </is>
      </c>
      <c r="E2140" s="37" t="n">
        <v>22.7</v>
      </c>
      <c r="F2140" s="37" t="n">
        <v>7.3</v>
      </c>
    </row>
    <row r="2141">
      <c r="A2141" s="37" t="inlineStr">
        <is>
          <t>WL-03140</t>
        </is>
      </c>
      <c r="B2141" s="37" t="inlineStr">
        <is>
          <t>Martinez</t>
        </is>
      </c>
      <c r="C2141" s="37" t="inlineStr">
        <is>
          <t>Jason</t>
        </is>
      </c>
      <c r="D2141" s="37" t="inlineStr">
        <is>
          <t>ACTIVE_WAITLIST</t>
        </is>
      </c>
      <c r="E2141" s="37" t="n">
        <v>26</v>
      </c>
      <c r="F2141" s="37" t="n">
        <v>9.300000000000001</v>
      </c>
    </row>
    <row r="2142">
      <c r="A2142" s="37" t="inlineStr">
        <is>
          <t>WL-03141</t>
        </is>
      </c>
      <c r="B2142" s="37" t="inlineStr">
        <is>
          <t>Green</t>
        </is>
      </c>
      <c r="C2142" s="37" t="inlineStr">
        <is>
          <t>Joseph</t>
        </is>
      </c>
      <c r="D2142" s="37" t="inlineStr">
        <is>
          <t>ACTIVE_WAITLIST</t>
        </is>
      </c>
      <c r="E2142" s="37" t="n">
        <v>32.8</v>
      </c>
      <c r="F2142" s="37" t="n">
        <v>11.3</v>
      </c>
    </row>
    <row r="2143">
      <c r="A2143" s="37" t="inlineStr">
        <is>
          <t>WL-03142</t>
        </is>
      </c>
      <c r="B2143" s="37" t="inlineStr">
        <is>
          <t>Bennett</t>
        </is>
      </c>
      <c r="C2143" s="37" t="inlineStr">
        <is>
          <t>Tommy</t>
        </is>
      </c>
      <c r="D2143" s="37" t="inlineStr">
        <is>
          <t>ACTIVE_WAITLIST</t>
        </is>
      </c>
      <c r="E2143" s="37" t="n">
        <v>40.5</v>
      </c>
      <c r="F2143" s="37" t="n">
        <v>13.4</v>
      </c>
    </row>
    <row r="2144">
      <c r="A2144" s="37" t="inlineStr">
        <is>
          <t>WL-03143</t>
        </is>
      </c>
      <c r="B2144" s="37" t="inlineStr">
        <is>
          <t>Jennings</t>
        </is>
      </c>
      <c r="C2144" s="37" t="inlineStr">
        <is>
          <t>Timothy</t>
        </is>
      </c>
      <c r="D2144" s="37" t="inlineStr">
        <is>
          <t>ACTIVE_WAITLIST</t>
        </is>
      </c>
      <c r="E2144" s="37" t="n">
        <v>32.5</v>
      </c>
      <c r="F2144" s="37" t="n">
        <v>10.4</v>
      </c>
    </row>
    <row r="2145">
      <c r="A2145" s="37" t="inlineStr">
        <is>
          <t>WL-03144</t>
        </is>
      </c>
      <c r="B2145" s="37" t="inlineStr">
        <is>
          <t>Jackson</t>
        </is>
      </c>
      <c r="C2145" s="37" t="inlineStr">
        <is>
          <t>Brandi</t>
        </is>
      </c>
      <c r="D2145" s="37" t="inlineStr">
        <is>
          <t>ACTIVE_WAITLIST</t>
        </is>
      </c>
      <c r="E2145" s="37" t="n">
        <v>28.3</v>
      </c>
      <c r="F2145" s="37" t="n">
        <v>8</v>
      </c>
    </row>
    <row r="2146">
      <c r="A2146" s="37" t="inlineStr">
        <is>
          <t>WL-03145</t>
        </is>
      </c>
      <c r="B2146" s="37" t="inlineStr">
        <is>
          <t>Hernandez</t>
        </is>
      </c>
      <c r="C2146" s="37" t="inlineStr">
        <is>
          <t>Connie</t>
        </is>
      </c>
      <c r="D2146" s="37" t="inlineStr">
        <is>
          <t>ACTIVE_WAITLIST</t>
        </is>
      </c>
      <c r="E2146" s="37" t="n">
        <v>46.9</v>
      </c>
      <c r="F2146" s="37" t="n">
        <v>15.6</v>
      </c>
    </row>
    <row r="2147">
      <c r="A2147" s="37" t="inlineStr">
        <is>
          <t>WL-03146</t>
        </is>
      </c>
      <c r="B2147" s="37" t="inlineStr">
        <is>
          <t>Dalton</t>
        </is>
      </c>
      <c r="C2147" s="37" t="inlineStr">
        <is>
          <t>Jose</t>
        </is>
      </c>
      <c r="D2147" s="37" t="inlineStr">
        <is>
          <t>RETAINER</t>
        </is>
      </c>
      <c r="E2147" s="37" t="n">
        <v>43.9</v>
      </c>
      <c r="F2147" s="37" t="n">
        <v>14.6</v>
      </c>
    </row>
    <row r="2148">
      <c r="A2148" s="37" t="inlineStr">
        <is>
          <t>WL-03147</t>
        </is>
      </c>
      <c r="B2148" s="37" t="inlineStr">
        <is>
          <t>Bean</t>
        </is>
      </c>
      <c r="C2148" s="37" t="inlineStr">
        <is>
          <t>Jonathan</t>
        </is>
      </c>
      <c r="D2148" s="37" t="inlineStr">
        <is>
          <t>ACTIVE_WAITLIST</t>
        </is>
      </c>
      <c r="E2148" s="37" t="n">
        <v>51.3</v>
      </c>
      <c r="F2148" s="37" t="n">
        <v>15.1</v>
      </c>
    </row>
    <row r="2149">
      <c r="A2149" s="37" t="inlineStr">
        <is>
          <t>WL-03148</t>
        </is>
      </c>
      <c r="B2149" s="37" t="inlineStr">
        <is>
          <t>Wilcox</t>
        </is>
      </c>
      <c r="C2149" s="37" t="inlineStr">
        <is>
          <t>Stephanie</t>
        </is>
      </c>
      <c r="D2149" s="37" t="inlineStr">
        <is>
          <t>ACTIVE_WAITLIST</t>
        </is>
      </c>
      <c r="E2149" s="37" t="n">
        <v>47.2</v>
      </c>
      <c r="F2149" s="37" t="n">
        <v>15.7</v>
      </c>
    </row>
    <row r="2150">
      <c r="A2150" s="37" t="inlineStr">
        <is>
          <t>WL-03149</t>
        </is>
      </c>
      <c r="B2150" s="37" t="inlineStr">
        <is>
          <t>Williams</t>
        </is>
      </c>
      <c r="C2150" s="37" t="inlineStr">
        <is>
          <t>Todd</t>
        </is>
      </c>
      <c r="D2150" s="37" t="inlineStr">
        <is>
          <t>ACTIVE_WAITLIST</t>
        </is>
      </c>
      <c r="E2150" s="37" t="n">
        <v>25.8</v>
      </c>
      <c r="F2150" s="37" t="n">
        <v>8.199999999999999</v>
      </c>
    </row>
    <row r="2151">
      <c r="A2151" s="37" t="inlineStr">
        <is>
          <t>WL-03150</t>
        </is>
      </c>
      <c r="B2151" s="37" t="inlineStr">
        <is>
          <t>Holmes</t>
        </is>
      </c>
      <c r="C2151" s="37" t="inlineStr">
        <is>
          <t>Dave</t>
        </is>
      </c>
      <c r="D2151" s="37" t="inlineStr">
        <is>
          <t>ACTIVE_WAITLIST</t>
        </is>
      </c>
      <c r="E2151" s="37" t="n">
        <v>39.7</v>
      </c>
      <c r="F2151" s="37" t="n">
        <v>12.9</v>
      </c>
    </row>
    <row r="2152">
      <c r="A2152" s="37" t="inlineStr">
        <is>
          <t>WL-03151</t>
        </is>
      </c>
      <c r="B2152" s="37" t="inlineStr">
        <is>
          <t>King</t>
        </is>
      </c>
      <c r="C2152" s="37" t="inlineStr">
        <is>
          <t>Elizabeth</t>
        </is>
      </c>
      <c r="D2152" s="37" t="inlineStr">
        <is>
          <t>ACTIVE_WAITLIST</t>
        </is>
      </c>
      <c r="E2152" s="37" t="n">
        <v>59.5</v>
      </c>
      <c r="F2152" s="37" t="n">
        <v>18.1</v>
      </c>
    </row>
    <row r="2153">
      <c r="A2153" s="37" t="inlineStr">
        <is>
          <t>WL-03152</t>
        </is>
      </c>
      <c r="B2153" s="37" t="inlineStr">
        <is>
          <t>Simmons</t>
        </is>
      </c>
      <c r="C2153" s="37" t="inlineStr">
        <is>
          <t>Kenneth</t>
        </is>
      </c>
      <c r="D2153" s="37" t="inlineStr">
        <is>
          <t>ACTIVE_WAITLIST</t>
        </is>
      </c>
      <c r="E2153" s="37" t="n">
        <v>38.9</v>
      </c>
      <c r="F2153" s="37" t="n">
        <v>12.4</v>
      </c>
    </row>
    <row r="2154">
      <c r="A2154" s="37" t="inlineStr">
        <is>
          <t>WL-03153</t>
        </is>
      </c>
      <c r="B2154" s="37" t="inlineStr">
        <is>
          <t>Webb</t>
        </is>
      </c>
      <c r="C2154" s="37" t="inlineStr">
        <is>
          <t>Derrick</t>
        </is>
      </c>
      <c r="D2154" s="37" t="inlineStr">
        <is>
          <t>ACTIVE_WAITLIST</t>
        </is>
      </c>
      <c r="E2154" s="37" t="n">
        <v>31.3</v>
      </c>
      <c r="F2154" s="37" t="n">
        <v>11.1</v>
      </c>
    </row>
    <row r="2155">
      <c r="A2155" s="37" t="inlineStr">
        <is>
          <t>WL-03154</t>
        </is>
      </c>
      <c r="B2155" s="37" t="inlineStr">
        <is>
          <t>Stevens</t>
        </is>
      </c>
      <c r="C2155" s="37" t="inlineStr">
        <is>
          <t>Michael</t>
        </is>
      </c>
      <c r="D2155" s="37" t="inlineStr">
        <is>
          <t>ACTIVE_WAITLIST</t>
        </is>
      </c>
      <c r="E2155" s="37" t="n">
        <v>39.5</v>
      </c>
      <c r="F2155" s="37" t="n">
        <v>12.7</v>
      </c>
    </row>
    <row r="2156">
      <c r="A2156" s="37" t="inlineStr">
        <is>
          <t>WL-03155</t>
        </is>
      </c>
      <c r="B2156" s="37" t="inlineStr">
        <is>
          <t>Harvey</t>
        </is>
      </c>
      <c r="C2156" s="37" t="inlineStr">
        <is>
          <t>Mark</t>
        </is>
      </c>
      <c r="D2156" s="37" t="inlineStr">
        <is>
          <t>ACTIVE_WAITLIST</t>
        </is>
      </c>
      <c r="E2156" s="37" t="n">
        <v>55.5</v>
      </c>
      <c r="F2156" s="37" t="n">
        <v>18</v>
      </c>
    </row>
    <row r="2157">
      <c r="A2157" s="37" t="inlineStr">
        <is>
          <t>WL-03156</t>
        </is>
      </c>
      <c r="B2157" s="37" t="inlineStr">
        <is>
          <t>Riley</t>
        </is>
      </c>
      <c r="C2157" s="37" t="inlineStr">
        <is>
          <t>Stephen</t>
        </is>
      </c>
      <c r="D2157" s="37" t="inlineStr">
        <is>
          <t>ACTIVE_WAITLIST</t>
        </is>
      </c>
      <c r="E2157" s="37" t="n">
        <v>37.2</v>
      </c>
      <c r="F2157" s="37" t="n">
        <v>12</v>
      </c>
    </row>
    <row r="2158">
      <c r="A2158" s="37" t="inlineStr">
        <is>
          <t>WL-03157</t>
        </is>
      </c>
      <c r="B2158" s="37" t="inlineStr">
        <is>
          <t>Dean</t>
        </is>
      </c>
      <c r="C2158" s="37" t="inlineStr">
        <is>
          <t>Robert</t>
        </is>
      </c>
      <c r="D2158" s="37" t="inlineStr">
        <is>
          <t>ACTIVE_WAITLIST</t>
        </is>
      </c>
      <c r="E2158" s="37" t="n">
        <v>56</v>
      </c>
      <c r="F2158" s="37" t="n">
        <v>17.7</v>
      </c>
    </row>
    <row r="2159">
      <c r="A2159" s="37" t="inlineStr">
        <is>
          <t>WL-03158</t>
        </is>
      </c>
      <c r="B2159" s="37" t="inlineStr">
        <is>
          <t>Lopez</t>
        </is>
      </c>
      <c r="C2159" s="37" t="inlineStr">
        <is>
          <t>Andrea</t>
        </is>
      </c>
      <c r="D2159" s="37" t="inlineStr">
        <is>
          <t>ACTIVE_WAITLIST</t>
        </is>
      </c>
      <c r="E2159" s="37" t="n">
        <v>57.9</v>
      </c>
      <c r="F2159" s="37" t="n">
        <v>20.4</v>
      </c>
    </row>
    <row r="2160">
      <c r="A2160" s="37" t="inlineStr">
        <is>
          <t>WL-03159</t>
        </is>
      </c>
      <c r="B2160" s="37" t="inlineStr">
        <is>
          <t>Williams</t>
        </is>
      </c>
      <c r="C2160" s="37" t="inlineStr">
        <is>
          <t>William</t>
        </is>
      </c>
      <c r="D2160" s="37" t="inlineStr">
        <is>
          <t>ACTIVE_WAITLIST</t>
        </is>
      </c>
      <c r="E2160" s="37" t="n">
        <v>30.2</v>
      </c>
      <c r="F2160" s="37" t="n">
        <v>8.6</v>
      </c>
    </row>
    <row r="2161">
      <c r="A2161" s="37" t="inlineStr">
        <is>
          <t>WL-03160</t>
        </is>
      </c>
      <c r="B2161" s="37" t="inlineStr">
        <is>
          <t>Mann</t>
        </is>
      </c>
      <c r="C2161" s="37" t="inlineStr">
        <is>
          <t>Kyle</t>
        </is>
      </c>
      <c r="D2161" s="37" t="inlineStr">
        <is>
          <t>SUSPENDED</t>
        </is>
      </c>
      <c r="E2161" s="37" t="n">
        <v>20.2</v>
      </c>
      <c r="F2161" s="37" t="n">
        <v>6.7</v>
      </c>
    </row>
    <row r="2162">
      <c r="A2162" s="37" t="inlineStr">
        <is>
          <t>WL-03161</t>
        </is>
      </c>
      <c r="B2162" s="37" t="inlineStr">
        <is>
          <t>Hall</t>
        </is>
      </c>
      <c r="C2162" s="37" t="inlineStr">
        <is>
          <t>Ashley</t>
        </is>
      </c>
      <c r="D2162" s="37" t="inlineStr">
        <is>
          <t>ACTIVE_WAITLIST</t>
        </is>
      </c>
      <c r="E2162" s="37" t="n">
        <v>39.5</v>
      </c>
      <c r="F2162" s="37" t="n">
        <v>13.8</v>
      </c>
    </row>
    <row r="2163">
      <c r="A2163" s="37" t="inlineStr">
        <is>
          <t>WL-03162</t>
        </is>
      </c>
      <c r="B2163" s="37" t="inlineStr">
        <is>
          <t>Edwards</t>
        </is>
      </c>
      <c r="C2163" s="37" t="inlineStr">
        <is>
          <t>Sarah</t>
        </is>
      </c>
      <c r="D2163" s="37" t="inlineStr">
        <is>
          <t>ACTIVE_WAITLIST</t>
        </is>
      </c>
      <c r="E2163" s="37" t="n">
        <v>37</v>
      </c>
      <c r="F2163" s="37" t="n">
        <v>12.9</v>
      </c>
    </row>
    <row r="2164">
      <c r="A2164" s="37" t="inlineStr">
        <is>
          <t>WL-03163</t>
        </is>
      </c>
      <c r="B2164" s="37" t="inlineStr">
        <is>
          <t>Dunn</t>
        </is>
      </c>
      <c r="C2164" s="37" t="inlineStr">
        <is>
          <t>Julia</t>
        </is>
      </c>
      <c r="D2164" s="37" t="inlineStr">
        <is>
          <t>ACTIVE_WAITLIST</t>
        </is>
      </c>
      <c r="E2164" s="37" t="n">
        <v>43.5</v>
      </c>
      <c r="F2164" s="37" t="n">
        <v>14.6</v>
      </c>
    </row>
    <row r="2165">
      <c r="A2165" s="37" t="inlineStr">
        <is>
          <t>WL-03164</t>
        </is>
      </c>
      <c r="B2165" s="37" t="inlineStr">
        <is>
          <t>Rivera</t>
        </is>
      </c>
      <c r="C2165" s="37" t="inlineStr">
        <is>
          <t>Daniel</t>
        </is>
      </c>
      <c r="D2165" s="37" t="inlineStr">
        <is>
          <t>ACTIVE_WAITLIST</t>
        </is>
      </c>
      <c r="E2165" s="37" t="n">
        <v>24.5</v>
      </c>
      <c r="F2165" s="37" t="n">
        <v>6.9</v>
      </c>
    </row>
    <row r="2166">
      <c r="A2166" s="37" t="inlineStr">
        <is>
          <t>WL-03165</t>
        </is>
      </c>
      <c r="B2166" s="37" t="inlineStr">
        <is>
          <t>Durham</t>
        </is>
      </c>
      <c r="C2166" s="37" t="inlineStr">
        <is>
          <t>Brendan</t>
        </is>
      </c>
      <c r="D2166" s="37" t="inlineStr">
        <is>
          <t>ACTIVE_WAITLIST</t>
        </is>
      </c>
      <c r="E2166" s="37" t="n">
        <v>24.4</v>
      </c>
      <c r="F2166" s="37" t="n">
        <v>7.1</v>
      </c>
    </row>
    <row r="2167">
      <c r="A2167" s="37" t="inlineStr">
        <is>
          <t>WL-03166</t>
        </is>
      </c>
      <c r="B2167" s="37" t="inlineStr">
        <is>
          <t>Gonzales</t>
        </is>
      </c>
      <c r="C2167" s="37" t="inlineStr">
        <is>
          <t>Victoria</t>
        </is>
      </c>
      <c r="D2167" s="37" t="inlineStr">
        <is>
          <t>SUSPENDED</t>
        </is>
      </c>
      <c r="E2167" s="37" t="n">
        <v>21.2</v>
      </c>
      <c r="F2167" s="37" t="n">
        <v>7.4</v>
      </c>
    </row>
    <row r="2168">
      <c r="A2168" s="37" t="inlineStr">
        <is>
          <t>WL-03167</t>
        </is>
      </c>
      <c r="B2168" s="37" t="inlineStr">
        <is>
          <t>Rhodes</t>
        </is>
      </c>
      <c r="C2168" s="37" t="inlineStr">
        <is>
          <t>Sara</t>
        </is>
      </c>
      <c r="D2168" s="37" t="inlineStr">
        <is>
          <t>ACTIVE_WAITLIST</t>
        </is>
      </c>
      <c r="E2168" s="37" t="n">
        <v>27.1</v>
      </c>
      <c r="F2168" s="37" t="n">
        <v>9.1</v>
      </c>
    </row>
    <row r="2169">
      <c r="A2169" s="37" t="inlineStr">
        <is>
          <t>WL-03168</t>
        </is>
      </c>
      <c r="B2169" s="37" t="inlineStr">
        <is>
          <t>Mckinney</t>
        </is>
      </c>
      <c r="C2169" s="37" t="inlineStr">
        <is>
          <t>Danielle</t>
        </is>
      </c>
      <c r="D2169" s="37" t="inlineStr">
        <is>
          <t>ACTIVE_WAITLIST</t>
        </is>
      </c>
      <c r="E2169" s="37" t="n">
        <v>58.6</v>
      </c>
      <c r="F2169" s="37" t="n">
        <v>16.7</v>
      </c>
    </row>
    <row r="2170">
      <c r="A2170" s="37" t="inlineStr">
        <is>
          <t>WL-03169</t>
        </is>
      </c>
      <c r="B2170" s="37" t="inlineStr">
        <is>
          <t>Clark</t>
        </is>
      </c>
      <c r="C2170" s="37" t="inlineStr">
        <is>
          <t>William</t>
        </is>
      </c>
      <c r="D2170" s="37" t="inlineStr">
        <is>
          <t>ACTIVE_WAITLIST</t>
        </is>
      </c>
      <c r="E2170" s="37" t="n">
        <v>32.8</v>
      </c>
      <c r="F2170" s="37" t="n">
        <v>10.8</v>
      </c>
    </row>
    <row r="2171">
      <c r="A2171" s="37" t="inlineStr">
        <is>
          <t>WL-03170</t>
        </is>
      </c>
      <c r="B2171" s="37" t="inlineStr">
        <is>
          <t>Chen</t>
        </is>
      </c>
      <c r="C2171" s="37" t="inlineStr">
        <is>
          <t>Kyle</t>
        </is>
      </c>
      <c r="D2171" s="37" t="inlineStr">
        <is>
          <t>ACTIVE_WAITLIST</t>
        </is>
      </c>
      <c r="E2171" s="37" t="n">
        <v>49.5</v>
      </c>
      <c r="F2171" s="37" t="n">
        <v>15.3</v>
      </c>
    </row>
    <row r="2172">
      <c r="A2172" s="37" t="inlineStr">
        <is>
          <t>WL-03171</t>
        </is>
      </c>
      <c r="B2172" s="37" t="inlineStr">
        <is>
          <t>Tucker</t>
        </is>
      </c>
      <c r="C2172" s="37" t="inlineStr">
        <is>
          <t>Destiny</t>
        </is>
      </c>
      <c r="D2172" s="37" t="inlineStr">
        <is>
          <t>ACTIVE_WAITLIST</t>
        </is>
      </c>
      <c r="E2172" s="37" t="n">
        <v>58.8</v>
      </c>
      <c r="F2172" s="37" t="n">
        <v>20</v>
      </c>
    </row>
    <row r="2173">
      <c r="A2173" s="37" t="inlineStr">
        <is>
          <t>WL-03172</t>
        </is>
      </c>
      <c r="B2173" s="37" t="inlineStr">
        <is>
          <t>Sanford</t>
        </is>
      </c>
      <c r="C2173" s="37" t="inlineStr">
        <is>
          <t>Jessica</t>
        </is>
      </c>
      <c r="D2173" s="37" t="inlineStr">
        <is>
          <t>ACTIVE_WAITLIST</t>
        </is>
      </c>
      <c r="E2173" s="37" t="n">
        <v>61.6</v>
      </c>
      <c r="F2173" s="37" t="n">
        <v>20.7</v>
      </c>
    </row>
    <row r="2174">
      <c r="A2174" s="37" t="inlineStr">
        <is>
          <t>WL-03173</t>
        </is>
      </c>
      <c r="B2174" s="37" t="inlineStr">
        <is>
          <t>Wood</t>
        </is>
      </c>
      <c r="C2174" s="37" t="inlineStr">
        <is>
          <t>Timothy</t>
        </is>
      </c>
      <c r="D2174" s="37" t="inlineStr">
        <is>
          <t>ACTIVE_WAITLIST</t>
        </is>
      </c>
      <c r="E2174" s="37" t="n">
        <v>27.1</v>
      </c>
      <c r="F2174" s="37" t="n">
        <v>8.199999999999999</v>
      </c>
    </row>
    <row r="2175">
      <c r="A2175" s="37" t="inlineStr">
        <is>
          <t>WL-03174</t>
        </is>
      </c>
      <c r="B2175" s="37" t="inlineStr">
        <is>
          <t>Perry</t>
        </is>
      </c>
      <c r="C2175" s="37" t="inlineStr">
        <is>
          <t>Russell</t>
        </is>
      </c>
      <c r="D2175" s="37" t="inlineStr">
        <is>
          <t>RETAINER</t>
        </is>
      </c>
      <c r="E2175" s="37" t="n">
        <v>58.9</v>
      </c>
      <c r="F2175" s="37" t="n">
        <v>19.5</v>
      </c>
    </row>
    <row r="2176">
      <c r="A2176" s="37" t="inlineStr">
        <is>
          <t>WL-03175</t>
        </is>
      </c>
      <c r="B2176" s="37" t="inlineStr">
        <is>
          <t>Lawrence</t>
        </is>
      </c>
      <c r="C2176" s="37" t="inlineStr">
        <is>
          <t>Robert</t>
        </is>
      </c>
      <c r="D2176" s="37" t="inlineStr">
        <is>
          <t>ACTIVE_WAITLIST</t>
        </is>
      </c>
      <c r="E2176" s="37" t="n">
        <v>57.5</v>
      </c>
      <c r="F2176" s="37" t="n">
        <v>16.5</v>
      </c>
    </row>
    <row r="2177">
      <c r="A2177" s="37" t="inlineStr">
        <is>
          <t>WL-03176</t>
        </is>
      </c>
      <c r="B2177" s="37" t="inlineStr">
        <is>
          <t>Kelly</t>
        </is>
      </c>
      <c r="C2177" s="37" t="inlineStr">
        <is>
          <t>Elizabeth</t>
        </is>
      </c>
      <c r="D2177" s="37" t="inlineStr">
        <is>
          <t>ACTIVE_WAITLIST</t>
        </is>
      </c>
      <c r="E2177" s="37" t="n">
        <v>27.6</v>
      </c>
      <c r="F2177" s="37" t="n">
        <v>8.6</v>
      </c>
    </row>
    <row r="2178">
      <c r="A2178" s="37" t="inlineStr">
        <is>
          <t>WL-03177</t>
        </is>
      </c>
      <c r="B2178" s="37" t="inlineStr">
        <is>
          <t>Lee</t>
        </is>
      </c>
      <c r="C2178" s="37" t="inlineStr">
        <is>
          <t>Alexandra</t>
        </is>
      </c>
      <c r="D2178" s="37" t="inlineStr">
        <is>
          <t>ACTIVE_WAITLIST</t>
        </is>
      </c>
      <c r="E2178" s="37" t="n">
        <v>25.2</v>
      </c>
      <c r="F2178" s="37" t="n">
        <v>9.1</v>
      </c>
    </row>
    <row r="2179">
      <c r="A2179" s="37" t="inlineStr">
        <is>
          <t>WL-03178</t>
        </is>
      </c>
      <c r="B2179" s="37" t="inlineStr">
        <is>
          <t>Schneider</t>
        </is>
      </c>
      <c r="C2179" s="37" t="inlineStr">
        <is>
          <t>Kristen</t>
        </is>
      </c>
      <c r="D2179" s="37" t="inlineStr">
        <is>
          <t>RETAINER</t>
        </is>
      </c>
      <c r="E2179" s="37" t="n">
        <v>34.2</v>
      </c>
      <c r="F2179" s="37" t="n">
        <v>12.1</v>
      </c>
    </row>
    <row r="2180">
      <c r="A2180" s="37" t="inlineStr">
        <is>
          <t>WL-03179</t>
        </is>
      </c>
      <c r="B2180" s="37" t="inlineStr">
        <is>
          <t>Ball</t>
        </is>
      </c>
      <c r="C2180" s="37" t="inlineStr">
        <is>
          <t>Denise</t>
        </is>
      </c>
      <c r="D2180" s="37" t="inlineStr">
        <is>
          <t>ACTIVE_WAITLIST</t>
        </is>
      </c>
      <c r="E2180" s="37" t="n">
        <v>43.5</v>
      </c>
      <c r="F2180" s="37" t="n">
        <v>12.6</v>
      </c>
    </row>
    <row r="2181">
      <c r="A2181" s="37" t="inlineStr">
        <is>
          <t>WL-03180</t>
        </is>
      </c>
      <c r="B2181" s="37" t="inlineStr">
        <is>
          <t>Jimenez</t>
        </is>
      </c>
      <c r="C2181" s="37" t="inlineStr">
        <is>
          <t>Teresa</t>
        </is>
      </c>
      <c r="D2181" s="37" t="inlineStr">
        <is>
          <t>ACTIVE_WAITLIST</t>
        </is>
      </c>
      <c r="E2181" s="37" t="n">
        <v>33.7</v>
      </c>
      <c r="F2181" s="37" t="n">
        <v>11.4</v>
      </c>
    </row>
    <row r="2182">
      <c r="A2182" s="37" t="inlineStr">
        <is>
          <t>WL-03181</t>
        </is>
      </c>
      <c r="B2182" s="37" t="inlineStr">
        <is>
          <t>Collins</t>
        </is>
      </c>
      <c r="C2182" s="37" t="inlineStr">
        <is>
          <t>Annette</t>
        </is>
      </c>
      <c r="D2182" s="37" t="inlineStr">
        <is>
          <t>ACTIVE_WAITLIST</t>
        </is>
      </c>
      <c r="E2182" s="37" t="n">
        <v>36.5</v>
      </c>
      <c r="F2182" s="37" t="n">
        <v>11.4</v>
      </c>
    </row>
    <row r="2183">
      <c r="A2183" s="37" t="inlineStr">
        <is>
          <t>WL-03182</t>
        </is>
      </c>
      <c r="B2183" s="37" t="inlineStr">
        <is>
          <t>Gonzalez</t>
        </is>
      </c>
      <c r="C2183" s="37" t="inlineStr">
        <is>
          <t>Matthew</t>
        </is>
      </c>
      <c r="D2183" s="37" t="inlineStr">
        <is>
          <t>ACTIVE_WAITLIST</t>
        </is>
      </c>
      <c r="E2183" s="37" t="n">
        <v>29.3</v>
      </c>
      <c r="F2183" s="37" t="n">
        <v>9.6</v>
      </c>
    </row>
    <row r="2184">
      <c r="A2184" s="37" t="inlineStr">
        <is>
          <t>WL-03183</t>
        </is>
      </c>
      <c r="B2184" s="37" t="inlineStr">
        <is>
          <t>Stevens</t>
        </is>
      </c>
      <c r="C2184" s="37" t="inlineStr">
        <is>
          <t>Daniel</t>
        </is>
      </c>
      <c r="D2184" s="37" t="inlineStr">
        <is>
          <t>ACTIVE_WAITLIST</t>
        </is>
      </c>
      <c r="E2184" s="37" t="n">
        <v>46.7</v>
      </c>
      <c r="F2184" s="37" t="n">
        <v>13.5</v>
      </c>
    </row>
    <row r="2185">
      <c r="A2185" s="37" t="inlineStr">
        <is>
          <t>WL-03184</t>
        </is>
      </c>
      <c r="B2185" s="37" t="inlineStr">
        <is>
          <t>Alexander</t>
        </is>
      </c>
      <c r="C2185" s="37" t="inlineStr">
        <is>
          <t>Lindsay</t>
        </is>
      </c>
      <c r="D2185" s="37" t="inlineStr">
        <is>
          <t>ACTIVE_WAITLIST</t>
        </is>
      </c>
      <c r="E2185" s="37" t="n">
        <v>54.4</v>
      </c>
      <c r="F2185" s="37" t="n">
        <v>18.3</v>
      </c>
    </row>
    <row r="2186">
      <c r="A2186" s="37" t="inlineStr">
        <is>
          <t>WL-03185</t>
        </is>
      </c>
      <c r="B2186" s="37" t="inlineStr">
        <is>
          <t>Davis</t>
        </is>
      </c>
      <c r="C2186" s="37" t="inlineStr">
        <is>
          <t>Sarah</t>
        </is>
      </c>
      <c r="D2186" s="37" t="inlineStr">
        <is>
          <t>ACTIVE_WAITLIST</t>
        </is>
      </c>
      <c r="E2186" s="37" t="n">
        <v>34.5</v>
      </c>
      <c r="F2186" s="37" t="n">
        <v>11</v>
      </c>
    </row>
    <row r="2187">
      <c r="A2187" s="37" t="inlineStr">
        <is>
          <t>WL-03186</t>
        </is>
      </c>
      <c r="B2187" s="37" t="inlineStr">
        <is>
          <t>Murray</t>
        </is>
      </c>
      <c r="C2187" s="37" t="inlineStr">
        <is>
          <t>Kevin</t>
        </is>
      </c>
      <c r="D2187" s="37" t="inlineStr">
        <is>
          <t>RETAINER</t>
        </is>
      </c>
      <c r="E2187" s="37" t="n">
        <v>34.4</v>
      </c>
      <c r="F2187" s="37" t="n">
        <v>10</v>
      </c>
    </row>
    <row r="2188">
      <c r="A2188" s="37" t="inlineStr">
        <is>
          <t>WL-03187</t>
        </is>
      </c>
      <c r="B2188" s="37" t="inlineStr">
        <is>
          <t>Brown</t>
        </is>
      </c>
      <c r="C2188" s="37" t="inlineStr">
        <is>
          <t>Cynthia</t>
        </is>
      </c>
      <c r="D2188" s="37" t="inlineStr">
        <is>
          <t>ACTIVE_WAITLIST</t>
        </is>
      </c>
      <c r="E2188" s="37" t="n">
        <v>49</v>
      </c>
      <c r="F2188" s="37" t="n">
        <v>16.2</v>
      </c>
    </row>
    <row r="2189">
      <c r="A2189" s="37" t="inlineStr">
        <is>
          <t>WL-03188</t>
        </is>
      </c>
      <c r="B2189" s="37" t="inlineStr">
        <is>
          <t>Alexander</t>
        </is>
      </c>
      <c r="C2189" s="37" t="inlineStr">
        <is>
          <t>Juan</t>
        </is>
      </c>
      <c r="D2189" s="37" t="inlineStr">
        <is>
          <t>ACTIVE_WAITLIST</t>
        </is>
      </c>
      <c r="E2189" s="37" t="n">
        <v>38.3</v>
      </c>
      <c r="F2189" s="37" t="n">
        <v>13.6</v>
      </c>
    </row>
    <row r="2190">
      <c r="A2190" s="37" t="inlineStr">
        <is>
          <t>WL-03189</t>
        </is>
      </c>
      <c r="B2190" s="37" t="inlineStr">
        <is>
          <t>Johnson</t>
        </is>
      </c>
      <c r="C2190" s="37" t="inlineStr">
        <is>
          <t>Gregory</t>
        </is>
      </c>
      <c r="D2190" s="37" t="inlineStr">
        <is>
          <t>RETAINER</t>
        </is>
      </c>
      <c r="E2190" s="37" t="n">
        <v>25.7</v>
      </c>
      <c r="F2190" s="37" t="n">
        <v>7.9</v>
      </c>
    </row>
    <row r="2191">
      <c r="A2191" s="37" t="inlineStr">
        <is>
          <t>WL-03190</t>
        </is>
      </c>
      <c r="B2191" s="37" t="inlineStr">
        <is>
          <t>Pearson</t>
        </is>
      </c>
      <c r="C2191" s="37" t="inlineStr">
        <is>
          <t>John</t>
        </is>
      </c>
      <c r="D2191" s="37" t="inlineStr">
        <is>
          <t>RETAINER</t>
        </is>
      </c>
      <c r="E2191" s="37" t="n">
        <v>35.7</v>
      </c>
      <c r="F2191" s="37" t="n">
        <v>11.5</v>
      </c>
    </row>
    <row r="2192">
      <c r="A2192" s="37" t="inlineStr">
        <is>
          <t>WL-03191</t>
        </is>
      </c>
      <c r="B2192" s="37" t="inlineStr">
        <is>
          <t>Lam</t>
        </is>
      </c>
      <c r="C2192" s="37" t="inlineStr">
        <is>
          <t>William</t>
        </is>
      </c>
      <c r="D2192" s="37" t="inlineStr">
        <is>
          <t>ACTIVE_WAITLIST</t>
        </is>
      </c>
      <c r="E2192" s="37" t="n">
        <v>58.4</v>
      </c>
      <c r="F2192" s="37" t="n">
        <v>17</v>
      </c>
    </row>
    <row r="2193">
      <c r="A2193" s="37" t="inlineStr">
        <is>
          <t>WL-03192</t>
        </is>
      </c>
      <c r="B2193" s="37" t="inlineStr">
        <is>
          <t>Johnson</t>
        </is>
      </c>
      <c r="C2193" s="37" t="inlineStr">
        <is>
          <t>Aaron</t>
        </is>
      </c>
      <c r="D2193" s="37" t="inlineStr">
        <is>
          <t>ACTIVE_WAITLIST</t>
        </is>
      </c>
      <c r="E2193" s="37" t="n">
        <v>55.2</v>
      </c>
      <c r="F2193" s="37" t="n">
        <v>15.6</v>
      </c>
    </row>
    <row r="2194">
      <c r="A2194" s="37" t="inlineStr">
        <is>
          <t>WL-03193</t>
        </is>
      </c>
      <c r="B2194" s="37" t="inlineStr">
        <is>
          <t>Williams</t>
        </is>
      </c>
      <c r="C2194" s="37" t="inlineStr">
        <is>
          <t>Tammy</t>
        </is>
      </c>
      <c r="D2194" s="37" t="inlineStr">
        <is>
          <t>ACTIVE_WAITLIST</t>
        </is>
      </c>
      <c r="E2194" s="37" t="n">
        <v>33.2</v>
      </c>
      <c r="F2194" s="37" t="n">
        <v>10.6</v>
      </c>
    </row>
    <row r="2195">
      <c r="A2195" s="37" t="inlineStr">
        <is>
          <t>WL-03194</t>
        </is>
      </c>
      <c r="B2195" s="37" t="inlineStr">
        <is>
          <t>White</t>
        </is>
      </c>
      <c r="C2195" s="37" t="inlineStr">
        <is>
          <t>Jonathon</t>
        </is>
      </c>
      <c r="D2195" s="37" t="inlineStr">
        <is>
          <t>ACTIVE_WAITLIST</t>
        </is>
      </c>
      <c r="E2195" s="37" t="n">
        <v>20.8</v>
      </c>
      <c r="F2195" s="37" t="n">
        <v>7</v>
      </c>
    </row>
    <row r="2196">
      <c r="A2196" s="37" t="inlineStr">
        <is>
          <t>WL-03195</t>
        </is>
      </c>
      <c r="B2196" s="37" t="inlineStr">
        <is>
          <t>Burns</t>
        </is>
      </c>
      <c r="C2196" s="37" t="inlineStr">
        <is>
          <t>Matthew</t>
        </is>
      </c>
      <c r="D2196" s="37" t="inlineStr">
        <is>
          <t>RETAINER</t>
        </is>
      </c>
      <c r="E2196" s="37" t="n">
        <v>29.6</v>
      </c>
      <c r="F2196" s="37" t="n">
        <v>9.6</v>
      </c>
    </row>
    <row r="2197">
      <c r="A2197" s="37" t="inlineStr">
        <is>
          <t>WL-03196</t>
        </is>
      </c>
      <c r="B2197" s="37" t="inlineStr">
        <is>
          <t>Tate</t>
        </is>
      </c>
      <c r="C2197" s="37" t="inlineStr">
        <is>
          <t>Nicholas</t>
        </is>
      </c>
      <c r="D2197" s="37" t="inlineStr">
        <is>
          <t>EXPIRED</t>
        </is>
      </c>
      <c r="E2197" s="37" t="n">
        <v>54.6</v>
      </c>
      <c r="F2197" s="37" t="n">
        <v>17.2</v>
      </c>
    </row>
    <row r="2198">
      <c r="A2198" s="37" t="inlineStr">
        <is>
          <t>WL-03197</t>
        </is>
      </c>
      <c r="B2198" s="37" t="inlineStr">
        <is>
          <t>Lee</t>
        </is>
      </c>
      <c r="C2198" s="37" t="inlineStr">
        <is>
          <t>Thomas</t>
        </is>
      </c>
      <c r="D2198" s="37" t="inlineStr">
        <is>
          <t>ACTIVE_WAITLIST</t>
        </is>
      </c>
      <c r="E2198" s="37" t="n">
        <v>23</v>
      </c>
      <c r="F2198" s="37" t="n">
        <v>8.1</v>
      </c>
    </row>
    <row r="2199">
      <c r="A2199" s="37" t="inlineStr">
        <is>
          <t>WL-03198</t>
        </is>
      </c>
      <c r="B2199" s="37" t="inlineStr">
        <is>
          <t>Bailey</t>
        </is>
      </c>
      <c r="C2199" s="37" t="inlineStr">
        <is>
          <t>Katherine</t>
        </is>
      </c>
      <c r="D2199" s="37" t="inlineStr">
        <is>
          <t>ACTIVE_WAITLIST</t>
        </is>
      </c>
      <c r="E2199" s="37" t="n">
        <v>23</v>
      </c>
      <c r="F2199" s="37" t="n">
        <v>8</v>
      </c>
    </row>
    <row r="2200">
      <c r="A2200" s="37" t="inlineStr">
        <is>
          <t>WL-03199</t>
        </is>
      </c>
      <c r="B2200" s="37" t="inlineStr">
        <is>
          <t>Tucker</t>
        </is>
      </c>
      <c r="C2200" s="37" t="inlineStr">
        <is>
          <t>Miguel</t>
        </is>
      </c>
      <c r="D2200" s="37" t="inlineStr">
        <is>
          <t>ACTIVE_WAITLIST</t>
        </is>
      </c>
      <c r="E2200" s="37" t="n">
        <v>59</v>
      </c>
      <c r="F2200" s="37" t="n">
        <v>18.6</v>
      </c>
    </row>
    <row r="2201">
      <c r="A2201" s="37" t="inlineStr">
        <is>
          <t>WL-03200</t>
        </is>
      </c>
      <c r="B2201" s="37" t="inlineStr">
        <is>
          <t>Callahan</t>
        </is>
      </c>
      <c r="C2201" s="37" t="inlineStr">
        <is>
          <t>Dustin</t>
        </is>
      </c>
      <c r="D2201" s="37" t="inlineStr">
        <is>
          <t>EXPIRED</t>
        </is>
      </c>
      <c r="E2201" s="37" t="n">
        <v>57.2</v>
      </c>
      <c r="F2201" s="37" t="n">
        <v>18.5</v>
      </c>
    </row>
    <row r="2202">
      <c r="A2202" s="37" t="inlineStr">
        <is>
          <t>WL-03201</t>
        </is>
      </c>
      <c r="B2202" s="37" t="inlineStr">
        <is>
          <t>Montgomery</t>
        </is>
      </c>
      <c r="C2202" s="37" t="inlineStr">
        <is>
          <t>Nancy</t>
        </is>
      </c>
      <c r="D2202" s="37" t="inlineStr">
        <is>
          <t>ACTIVE_WAITLIST</t>
        </is>
      </c>
      <c r="E2202" s="37" t="n">
        <v>54.2</v>
      </c>
      <c r="F2202" s="37" t="n">
        <v>16.7</v>
      </c>
    </row>
    <row r="2203">
      <c r="A2203" s="37" t="inlineStr">
        <is>
          <t>WL-03202</t>
        </is>
      </c>
      <c r="B2203" s="37" t="inlineStr">
        <is>
          <t>Scott</t>
        </is>
      </c>
      <c r="C2203" s="37" t="inlineStr">
        <is>
          <t>Brian</t>
        </is>
      </c>
      <c r="D2203" s="37" t="inlineStr">
        <is>
          <t>ACTIVE_WAITLIST</t>
        </is>
      </c>
      <c r="E2203" s="37" t="n">
        <v>56.9</v>
      </c>
      <c r="F2203" s="37" t="n">
        <v>18</v>
      </c>
    </row>
    <row r="2204">
      <c r="A2204" s="37" t="inlineStr">
        <is>
          <t>WL-03203</t>
        </is>
      </c>
      <c r="B2204" s="37" t="inlineStr">
        <is>
          <t>Shepard</t>
        </is>
      </c>
      <c r="C2204" s="37" t="inlineStr">
        <is>
          <t>Kyle</t>
        </is>
      </c>
      <c r="D2204" s="37" t="inlineStr">
        <is>
          <t>ACTIVE_WAITLIST</t>
        </is>
      </c>
      <c r="E2204" s="37" t="n">
        <v>44.4</v>
      </c>
      <c r="F2204" s="37" t="n">
        <v>12.8</v>
      </c>
    </row>
    <row r="2205">
      <c r="A2205" s="37" t="inlineStr">
        <is>
          <t>WL-03204</t>
        </is>
      </c>
      <c r="B2205" s="37" t="inlineStr">
        <is>
          <t>Hall</t>
        </is>
      </c>
      <c r="C2205" s="37" t="inlineStr">
        <is>
          <t>Steven</t>
        </is>
      </c>
      <c r="D2205" s="37" t="inlineStr">
        <is>
          <t>ACTIVE_WAITLIST</t>
        </is>
      </c>
      <c r="E2205" s="37" t="n">
        <v>43.4</v>
      </c>
      <c r="F2205" s="37" t="n">
        <v>15.1</v>
      </c>
    </row>
    <row r="2206">
      <c r="A2206" s="37" t="inlineStr">
        <is>
          <t>WL-03205</t>
        </is>
      </c>
      <c r="B2206" s="37" t="inlineStr">
        <is>
          <t>Hampton</t>
        </is>
      </c>
      <c r="C2206" s="37" t="inlineStr">
        <is>
          <t>Matthew</t>
        </is>
      </c>
      <c r="D2206" s="37" t="inlineStr">
        <is>
          <t>ACTIVE_WAITLIST</t>
        </is>
      </c>
      <c r="E2206" s="37" t="n">
        <v>43.4</v>
      </c>
      <c r="F2206" s="37" t="n">
        <v>14</v>
      </c>
    </row>
    <row r="2207">
      <c r="A2207" s="37" t="inlineStr">
        <is>
          <t>WL-03206</t>
        </is>
      </c>
      <c r="B2207" s="37" t="inlineStr">
        <is>
          <t>Thomas</t>
        </is>
      </c>
      <c r="C2207" s="37" t="inlineStr">
        <is>
          <t>Edward</t>
        </is>
      </c>
      <c r="D2207" s="37" t="inlineStr">
        <is>
          <t>ACTIVE_WAITLIST</t>
        </is>
      </c>
      <c r="E2207" s="37" t="n">
        <v>56.8</v>
      </c>
      <c r="F2207" s="37" t="n">
        <v>16.6</v>
      </c>
    </row>
    <row r="2208">
      <c r="A2208" s="37" t="inlineStr">
        <is>
          <t>WL-03207</t>
        </is>
      </c>
      <c r="B2208" s="37" t="inlineStr">
        <is>
          <t>Garza</t>
        </is>
      </c>
      <c r="C2208" s="37" t="inlineStr">
        <is>
          <t>Stephanie</t>
        </is>
      </c>
      <c r="D2208" s="37" t="inlineStr">
        <is>
          <t>ACTIVE_WAITLIST</t>
        </is>
      </c>
      <c r="E2208" s="37" t="n">
        <v>22.6</v>
      </c>
      <c r="F2208" s="37" t="n">
        <v>6.8</v>
      </c>
    </row>
    <row r="2209">
      <c r="A2209" s="37" t="inlineStr">
        <is>
          <t>WL-03208</t>
        </is>
      </c>
      <c r="B2209" s="37" t="inlineStr">
        <is>
          <t>Zavala</t>
        </is>
      </c>
      <c r="C2209" s="37" t="inlineStr">
        <is>
          <t>Anthony</t>
        </is>
      </c>
      <c r="D2209" s="37" t="inlineStr">
        <is>
          <t>ACTIVE_WAITLIST</t>
        </is>
      </c>
      <c r="E2209" s="37" t="n">
        <v>43.3</v>
      </c>
      <c r="F2209" s="37" t="n">
        <v>13.7</v>
      </c>
    </row>
    <row r="2210">
      <c r="A2210" s="37" t="inlineStr">
        <is>
          <t>WL-03209</t>
        </is>
      </c>
      <c r="B2210" s="37" t="inlineStr">
        <is>
          <t>Velazquez</t>
        </is>
      </c>
      <c r="C2210" s="37" t="inlineStr">
        <is>
          <t>Eric</t>
        </is>
      </c>
      <c r="D2210" s="37" t="inlineStr">
        <is>
          <t>ACTIVE_WAITLIST</t>
        </is>
      </c>
      <c r="E2210" s="37" t="n">
        <v>36.1</v>
      </c>
      <c r="F2210" s="37" t="n">
        <v>12.6</v>
      </c>
    </row>
    <row r="2211">
      <c r="A2211" s="37" t="inlineStr">
        <is>
          <t>WL-03210</t>
        </is>
      </c>
      <c r="B2211" s="37" t="inlineStr">
        <is>
          <t>Calderon</t>
        </is>
      </c>
      <c r="C2211" s="37" t="inlineStr">
        <is>
          <t>James</t>
        </is>
      </c>
      <c r="D2211" s="37" t="inlineStr">
        <is>
          <t>ACTIVE_WAITLIST</t>
        </is>
      </c>
      <c r="E2211" s="37" t="n">
        <v>33.8</v>
      </c>
      <c r="F2211" s="37" t="n">
        <v>11</v>
      </c>
    </row>
    <row r="2212">
      <c r="A2212" s="37" t="inlineStr">
        <is>
          <t>WL-03211</t>
        </is>
      </c>
      <c r="B2212" s="37" t="inlineStr">
        <is>
          <t>Murray</t>
        </is>
      </c>
      <c r="C2212" s="37" t="inlineStr">
        <is>
          <t>Spencer</t>
        </is>
      </c>
      <c r="D2212" s="37" t="inlineStr">
        <is>
          <t>ACTIVE_WAITLIST</t>
        </is>
      </c>
      <c r="E2212" s="37" t="n">
        <v>23.6</v>
      </c>
      <c r="F2212" s="37" t="n">
        <v>7.8</v>
      </c>
    </row>
    <row r="2213">
      <c r="A2213" s="37" t="inlineStr">
        <is>
          <t>WL-03212</t>
        </is>
      </c>
      <c r="B2213" s="37" t="inlineStr">
        <is>
          <t>Garcia</t>
        </is>
      </c>
      <c r="C2213" s="37" t="inlineStr">
        <is>
          <t>Damon</t>
        </is>
      </c>
      <c r="D2213" s="37" t="inlineStr">
        <is>
          <t>ACTIVE_WAITLIST</t>
        </is>
      </c>
      <c r="E2213" s="37" t="n">
        <v>24.2</v>
      </c>
      <c r="F2213" s="37" t="n">
        <v>8.1</v>
      </c>
    </row>
    <row r="2214">
      <c r="A2214" s="37" t="inlineStr">
        <is>
          <t>WL-03213</t>
        </is>
      </c>
      <c r="B2214" s="37" t="inlineStr">
        <is>
          <t>Singh</t>
        </is>
      </c>
      <c r="C2214" s="37" t="inlineStr">
        <is>
          <t>William</t>
        </is>
      </c>
      <c r="D2214" s="37" t="inlineStr">
        <is>
          <t>ACTIVE_WAITLIST</t>
        </is>
      </c>
      <c r="E2214" s="37" t="n">
        <v>56.9</v>
      </c>
      <c r="F2214" s="37" t="n">
        <v>16.3</v>
      </c>
    </row>
    <row r="2215">
      <c r="A2215" s="37" t="inlineStr">
        <is>
          <t>WL-03214</t>
        </is>
      </c>
      <c r="B2215" s="37" t="inlineStr">
        <is>
          <t>Armstrong</t>
        </is>
      </c>
      <c r="C2215" s="37" t="inlineStr">
        <is>
          <t>Michael</t>
        </is>
      </c>
      <c r="D2215" s="37" t="inlineStr">
        <is>
          <t>ACTIVE_WAITLIST</t>
        </is>
      </c>
      <c r="E2215" s="37" t="n">
        <v>20.5</v>
      </c>
      <c r="F2215" s="37" t="n">
        <v>7.1</v>
      </c>
    </row>
    <row r="2216">
      <c r="A2216" s="37" t="inlineStr">
        <is>
          <t>WL-03215</t>
        </is>
      </c>
      <c r="B2216" s="37" t="inlineStr">
        <is>
          <t>Simmons</t>
        </is>
      </c>
      <c r="C2216" s="37" t="inlineStr">
        <is>
          <t>Eric</t>
        </is>
      </c>
      <c r="D2216" s="37" t="inlineStr">
        <is>
          <t>ACTIVE_WAITLIST</t>
        </is>
      </c>
      <c r="E2216" s="37" t="n">
        <v>59.7</v>
      </c>
      <c r="F2216" s="37" t="n">
        <v>20.3</v>
      </c>
    </row>
    <row r="2217">
      <c r="A2217" s="37" t="inlineStr">
        <is>
          <t>WL-03216</t>
        </is>
      </c>
      <c r="B2217" s="37" t="inlineStr">
        <is>
          <t>Branch</t>
        </is>
      </c>
      <c r="C2217" s="37" t="inlineStr">
        <is>
          <t>Nancy</t>
        </is>
      </c>
      <c r="D2217" s="37" t="inlineStr">
        <is>
          <t>ACTIVE_WAITLIST</t>
        </is>
      </c>
      <c r="E2217" s="37" t="n">
        <v>58.3</v>
      </c>
      <c r="F2217" s="37" t="n">
        <v>19.1</v>
      </c>
    </row>
    <row r="2218">
      <c r="A2218" s="37" t="inlineStr">
        <is>
          <t>WL-03217</t>
        </is>
      </c>
      <c r="B2218" s="37" t="inlineStr">
        <is>
          <t>Williams</t>
        </is>
      </c>
      <c r="C2218" s="37" t="inlineStr">
        <is>
          <t>Steven</t>
        </is>
      </c>
      <c r="D2218" s="37" t="inlineStr">
        <is>
          <t>ACTIVE_WAITLIST</t>
        </is>
      </c>
      <c r="E2218" s="37" t="n">
        <v>29.2</v>
      </c>
      <c r="F2218" s="37" t="n">
        <v>9</v>
      </c>
    </row>
    <row r="2219">
      <c r="A2219" s="37" t="inlineStr">
        <is>
          <t>WL-03218</t>
        </is>
      </c>
      <c r="B2219" s="37" t="inlineStr">
        <is>
          <t>Williams</t>
        </is>
      </c>
      <c r="C2219" s="37" t="inlineStr">
        <is>
          <t>Brittany</t>
        </is>
      </c>
      <c r="D2219" s="37" t="inlineStr">
        <is>
          <t>EXPIRED</t>
        </is>
      </c>
      <c r="E2219" s="37" t="n">
        <v>54.8</v>
      </c>
      <c r="F2219" s="37" t="n">
        <v>17.6</v>
      </c>
    </row>
    <row r="2220">
      <c r="A2220" s="37" t="inlineStr">
        <is>
          <t>WL-03219</t>
        </is>
      </c>
      <c r="B2220" s="37" t="inlineStr">
        <is>
          <t>Sanders</t>
        </is>
      </c>
      <c r="C2220" s="37" t="inlineStr">
        <is>
          <t>Tara</t>
        </is>
      </c>
      <c r="D2220" s="37" t="inlineStr">
        <is>
          <t>ACTIVE_WAITLIST</t>
        </is>
      </c>
      <c r="E2220" s="37" t="n">
        <v>21.2</v>
      </c>
      <c r="F2220" s="37" t="n">
        <v>7.2</v>
      </c>
    </row>
    <row r="2221">
      <c r="A2221" s="37" t="inlineStr">
        <is>
          <t>WL-03220</t>
        </is>
      </c>
      <c r="B2221" s="37" t="inlineStr">
        <is>
          <t>Kirby</t>
        </is>
      </c>
      <c r="C2221" s="37" t="inlineStr">
        <is>
          <t>Daniel</t>
        </is>
      </c>
      <c r="D2221" s="37" t="inlineStr">
        <is>
          <t>ACTIVE_WAITLIST</t>
        </is>
      </c>
      <c r="E2221" s="37" t="n">
        <v>36.1</v>
      </c>
      <c r="F2221" s="37" t="n">
        <v>10.3</v>
      </c>
    </row>
    <row r="2222">
      <c r="A2222" s="37" t="inlineStr">
        <is>
          <t>WL-03221</t>
        </is>
      </c>
      <c r="B2222" s="37" t="inlineStr">
        <is>
          <t>Shepherd</t>
        </is>
      </c>
      <c r="C2222" s="37" t="inlineStr">
        <is>
          <t>Christopher</t>
        </is>
      </c>
      <c r="D2222" s="37" t="inlineStr">
        <is>
          <t>ACTIVE_WAITLIST</t>
        </is>
      </c>
      <c r="E2222" s="37" t="n">
        <v>48.3</v>
      </c>
      <c r="F2222" s="37" t="n">
        <v>16.8</v>
      </c>
    </row>
    <row r="2223">
      <c r="A2223" s="37" t="inlineStr">
        <is>
          <t>WL-03222</t>
        </is>
      </c>
      <c r="B2223" s="37" t="inlineStr">
        <is>
          <t>Scott</t>
        </is>
      </c>
      <c r="C2223" s="37" t="inlineStr">
        <is>
          <t>Teresa</t>
        </is>
      </c>
      <c r="D2223" s="37" t="inlineStr">
        <is>
          <t>ACTIVE_WAITLIST</t>
        </is>
      </c>
      <c r="E2223" s="37" t="n">
        <v>20.8</v>
      </c>
      <c r="F2223" s="37" t="n">
        <v>7.4</v>
      </c>
    </row>
    <row r="2224">
      <c r="A2224" s="37" t="inlineStr">
        <is>
          <t>WL-03223</t>
        </is>
      </c>
      <c r="B2224" s="37" t="inlineStr">
        <is>
          <t>King</t>
        </is>
      </c>
      <c r="C2224" s="37" t="inlineStr">
        <is>
          <t>Tony</t>
        </is>
      </c>
      <c r="D2224" s="37" t="inlineStr">
        <is>
          <t>RETAINER</t>
        </is>
      </c>
      <c r="E2224" s="37" t="n">
        <v>32.5</v>
      </c>
      <c r="F2224" s="37" t="n">
        <v>11.4</v>
      </c>
    </row>
    <row r="2225">
      <c r="A2225" s="37" t="inlineStr">
        <is>
          <t>WL-03224</t>
        </is>
      </c>
      <c r="B2225" s="37" t="inlineStr">
        <is>
          <t>Flynn</t>
        </is>
      </c>
      <c r="C2225" s="37" t="inlineStr">
        <is>
          <t>Catherine</t>
        </is>
      </c>
      <c r="D2225" s="37" t="inlineStr">
        <is>
          <t>ACTIVE_WAITLIST</t>
        </is>
      </c>
      <c r="E2225" s="37" t="n">
        <v>56.6</v>
      </c>
      <c r="F2225" s="37" t="n">
        <v>15.9</v>
      </c>
    </row>
    <row r="2226">
      <c r="A2226" s="37" t="inlineStr">
        <is>
          <t>WL-03225</t>
        </is>
      </c>
      <c r="B2226" s="37" t="inlineStr">
        <is>
          <t>Duarte</t>
        </is>
      </c>
      <c r="C2226" s="37" t="inlineStr">
        <is>
          <t>Tommy</t>
        </is>
      </c>
      <c r="D2226" s="37" t="inlineStr">
        <is>
          <t>ACTIVE_WAITLIST</t>
        </is>
      </c>
      <c r="E2226" s="37" t="n">
        <v>34.2</v>
      </c>
      <c r="F2226" s="37" t="n">
        <v>12</v>
      </c>
    </row>
    <row r="2227">
      <c r="A2227" s="37" t="inlineStr">
        <is>
          <t>WL-03226</t>
        </is>
      </c>
      <c r="B2227" s="37" t="inlineStr">
        <is>
          <t>Snow</t>
        </is>
      </c>
      <c r="C2227" s="37" t="inlineStr">
        <is>
          <t>Kari</t>
        </is>
      </c>
      <c r="D2227" s="37" t="inlineStr">
        <is>
          <t>ACTIVE_WAITLIST</t>
        </is>
      </c>
      <c r="E2227" s="37" t="n">
        <v>23.9</v>
      </c>
      <c r="F2227" s="37" t="n">
        <v>7.9</v>
      </c>
    </row>
    <row r="2228">
      <c r="A2228" s="37" t="inlineStr">
        <is>
          <t>WL-03227</t>
        </is>
      </c>
      <c r="B2228" s="37" t="inlineStr">
        <is>
          <t>Herrera</t>
        </is>
      </c>
      <c r="C2228" s="37" t="inlineStr">
        <is>
          <t>Carrie</t>
        </is>
      </c>
      <c r="D2228" s="37" t="inlineStr">
        <is>
          <t>ACTIVE_WAITLIST</t>
        </is>
      </c>
      <c r="E2228" s="37" t="n">
        <v>58.9</v>
      </c>
      <c r="F2228" s="37" t="n">
        <v>18.6</v>
      </c>
    </row>
    <row r="2229">
      <c r="A2229" s="37" t="inlineStr">
        <is>
          <t>WL-03228</t>
        </is>
      </c>
      <c r="B2229" s="37" t="inlineStr">
        <is>
          <t>Stuart</t>
        </is>
      </c>
      <c r="C2229" s="37" t="inlineStr">
        <is>
          <t>Roy</t>
        </is>
      </c>
      <c r="D2229" s="37" t="inlineStr">
        <is>
          <t>ACTIVE_WAITLIST</t>
        </is>
      </c>
      <c r="E2229" s="37" t="n">
        <v>47.5</v>
      </c>
      <c r="F2229" s="37" t="n">
        <v>15</v>
      </c>
    </row>
    <row r="2230">
      <c r="A2230" s="37" t="inlineStr">
        <is>
          <t>WL-03229</t>
        </is>
      </c>
      <c r="B2230" s="37" t="inlineStr">
        <is>
          <t>Alvarez</t>
        </is>
      </c>
      <c r="C2230" s="37" t="inlineStr">
        <is>
          <t>Monica</t>
        </is>
      </c>
      <c r="D2230" s="37" t="inlineStr">
        <is>
          <t>ACTIVE_WAITLIST</t>
        </is>
      </c>
      <c r="E2230" s="37" t="n">
        <v>59.8</v>
      </c>
      <c r="F2230" s="37" t="n">
        <v>20.6</v>
      </c>
    </row>
    <row r="2231">
      <c r="A2231" s="37" t="inlineStr">
        <is>
          <t>WL-03230</t>
        </is>
      </c>
      <c r="B2231" s="37" t="inlineStr">
        <is>
          <t>Park</t>
        </is>
      </c>
      <c r="C2231" s="37" t="inlineStr">
        <is>
          <t>Cory</t>
        </is>
      </c>
      <c r="D2231" s="37" t="inlineStr">
        <is>
          <t>ACTIVE_WAITLIST</t>
        </is>
      </c>
      <c r="E2231" s="37" t="n">
        <v>60.7</v>
      </c>
      <c r="F2231" s="37" t="n">
        <v>17.5</v>
      </c>
    </row>
    <row r="2232">
      <c r="A2232" s="37" t="inlineStr">
        <is>
          <t>WL-03231</t>
        </is>
      </c>
      <c r="B2232" s="37" t="inlineStr">
        <is>
          <t>Simpson</t>
        </is>
      </c>
      <c r="C2232" s="37" t="inlineStr">
        <is>
          <t>Roberto</t>
        </is>
      </c>
      <c r="D2232" s="37" t="inlineStr">
        <is>
          <t>ACTIVE_WAITLIST</t>
        </is>
      </c>
      <c r="E2232" s="37" t="n">
        <v>21.9</v>
      </c>
      <c r="F2232" s="37" t="n">
        <v>6.4</v>
      </c>
    </row>
    <row r="2233">
      <c r="A2233" s="37" t="inlineStr">
        <is>
          <t>WL-03232</t>
        </is>
      </c>
      <c r="B2233" s="37" t="inlineStr">
        <is>
          <t>Christensen</t>
        </is>
      </c>
      <c r="C2233" s="37" t="inlineStr">
        <is>
          <t>Johnathan</t>
        </is>
      </c>
      <c r="D2233" s="37" t="inlineStr">
        <is>
          <t>ACTIVE_WAITLIST</t>
        </is>
      </c>
      <c r="E2233" s="37" t="n">
        <v>23.5</v>
      </c>
      <c r="F2233" s="37" t="n">
        <v>6.9</v>
      </c>
    </row>
    <row r="2234">
      <c r="A2234" s="37" t="inlineStr">
        <is>
          <t>WL-03233</t>
        </is>
      </c>
      <c r="B2234" s="37" t="inlineStr">
        <is>
          <t>Williams</t>
        </is>
      </c>
      <c r="C2234" s="37" t="inlineStr">
        <is>
          <t>Erin</t>
        </is>
      </c>
      <c r="D2234" s="37" t="inlineStr">
        <is>
          <t>ACTIVE_WAITLIST</t>
        </is>
      </c>
      <c r="E2234" s="37" t="n">
        <v>19.2</v>
      </c>
      <c r="F2234" s="37" t="n">
        <v>6.6</v>
      </c>
    </row>
    <row r="2235">
      <c r="A2235" s="37" t="inlineStr">
        <is>
          <t>WL-03234</t>
        </is>
      </c>
      <c r="B2235" s="37" t="inlineStr">
        <is>
          <t>Thomas</t>
        </is>
      </c>
      <c r="C2235" s="37" t="inlineStr">
        <is>
          <t>Logan</t>
        </is>
      </c>
      <c r="D2235" s="37" t="inlineStr">
        <is>
          <t>ACTIVE_WAITLIST</t>
        </is>
      </c>
      <c r="E2235" s="37" t="n">
        <v>39.1</v>
      </c>
      <c r="F2235" s="37" t="n">
        <v>11.7</v>
      </c>
    </row>
    <row r="2236">
      <c r="A2236" s="37" t="inlineStr">
        <is>
          <t>WL-03235</t>
        </is>
      </c>
      <c r="B2236" s="37" t="inlineStr">
        <is>
          <t>Rodriguez</t>
        </is>
      </c>
      <c r="C2236" s="37" t="inlineStr">
        <is>
          <t>Andrea</t>
        </is>
      </c>
      <c r="D2236" s="37" t="inlineStr">
        <is>
          <t>ACTIVE_WAITLIST</t>
        </is>
      </c>
      <c r="E2236" s="37" t="n">
        <v>60.7</v>
      </c>
      <c r="F2236" s="37" t="n">
        <v>19.6</v>
      </c>
    </row>
    <row r="2237">
      <c r="A2237" s="37" t="inlineStr">
        <is>
          <t>WL-03236</t>
        </is>
      </c>
      <c r="B2237" s="37" t="inlineStr">
        <is>
          <t>Brock</t>
        </is>
      </c>
      <c r="C2237" s="37" t="inlineStr">
        <is>
          <t>Danielle</t>
        </is>
      </c>
      <c r="D2237" s="37" t="inlineStr">
        <is>
          <t>ACTIVE_WAITLIST</t>
        </is>
      </c>
      <c r="E2237" s="37" t="n">
        <v>47.7</v>
      </c>
      <c r="F2237" s="37" t="n">
        <v>14.1</v>
      </c>
    </row>
    <row r="2238">
      <c r="A2238" s="37" t="inlineStr">
        <is>
          <t>WL-03237</t>
        </is>
      </c>
      <c r="B2238" s="37" t="inlineStr">
        <is>
          <t>Martin</t>
        </is>
      </c>
      <c r="C2238" s="37" t="inlineStr">
        <is>
          <t>Amber</t>
        </is>
      </c>
      <c r="D2238" s="37" t="inlineStr">
        <is>
          <t>ACTIVE_WAITLIST</t>
        </is>
      </c>
      <c r="E2238" s="37" t="n">
        <v>29</v>
      </c>
      <c r="F2238" s="37" t="n">
        <v>9.4</v>
      </c>
    </row>
    <row r="2239">
      <c r="A2239" s="37" t="inlineStr">
        <is>
          <t>WL-03238</t>
        </is>
      </c>
      <c r="B2239" s="37" t="inlineStr">
        <is>
          <t>Carter</t>
        </is>
      </c>
      <c r="C2239" s="37" t="inlineStr">
        <is>
          <t>Justin</t>
        </is>
      </c>
      <c r="D2239" s="37" t="inlineStr">
        <is>
          <t>ACTIVE_WAITLIST</t>
        </is>
      </c>
      <c r="E2239" s="37" t="n">
        <v>44.9</v>
      </c>
      <c r="F2239" s="37" t="n">
        <v>13.2</v>
      </c>
    </row>
    <row r="2240">
      <c r="A2240" s="37" t="inlineStr">
        <is>
          <t>WL-03239</t>
        </is>
      </c>
      <c r="B2240" s="37" t="inlineStr">
        <is>
          <t>Delgado</t>
        </is>
      </c>
      <c r="C2240" s="37" t="inlineStr">
        <is>
          <t>Carla</t>
        </is>
      </c>
      <c r="D2240" s="37" t="inlineStr">
        <is>
          <t>ACTIVE_WAITLIST</t>
        </is>
      </c>
      <c r="E2240" s="37" t="n">
        <v>21.7</v>
      </c>
      <c r="F2240" s="37" t="n">
        <v>6.6</v>
      </c>
    </row>
    <row r="2241">
      <c r="A2241" s="37" t="inlineStr">
        <is>
          <t>WL-03240</t>
        </is>
      </c>
      <c r="B2241" s="37" t="inlineStr">
        <is>
          <t>Booth</t>
        </is>
      </c>
      <c r="C2241" s="37" t="inlineStr">
        <is>
          <t>Lisa</t>
        </is>
      </c>
      <c r="D2241" s="37" t="inlineStr">
        <is>
          <t>ACTIVE_WAITLIST</t>
        </is>
      </c>
      <c r="E2241" s="37" t="n">
        <v>31.3</v>
      </c>
      <c r="F2241" s="37" t="n">
        <v>9.9</v>
      </c>
    </row>
    <row r="2242">
      <c r="A2242" s="37" t="inlineStr">
        <is>
          <t>WL-03241</t>
        </is>
      </c>
      <c r="B2242" s="37" t="inlineStr">
        <is>
          <t>Ford</t>
        </is>
      </c>
      <c r="C2242" s="37" t="inlineStr">
        <is>
          <t>Michael</t>
        </is>
      </c>
      <c r="D2242" s="37" t="inlineStr">
        <is>
          <t>ACTIVE_WAITLIST</t>
        </is>
      </c>
      <c r="E2242" s="37" t="n">
        <v>39.8</v>
      </c>
      <c r="F2242" s="37" t="n">
        <v>12.7</v>
      </c>
    </row>
    <row r="2243">
      <c r="A2243" s="37" t="inlineStr">
        <is>
          <t>WL-03242</t>
        </is>
      </c>
      <c r="B2243" s="37" t="inlineStr">
        <is>
          <t>Navarro</t>
        </is>
      </c>
      <c r="C2243" s="37" t="inlineStr">
        <is>
          <t>Micheal</t>
        </is>
      </c>
      <c r="D2243" s="37" t="inlineStr">
        <is>
          <t>ACTIVE_WAITLIST</t>
        </is>
      </c>
      <c r="E2243" s="37" t="n">
        <v>60.2</v>
      </c>
      <c r="F2243" s="37" t="n">
        <v>19.9</v>
      </c>
    </row>
    <row r="2244">
      <c r="A2244" s="37" t="inlineStr">
        <is>
          <t>WL-03243</t>
        </is>
      </c>
      <c r="B2244" s="37" t="inlineStr">
        <is>
          <t>Long</t>
        </is>
      </c>
      <c r="C2244" s="37" t="inlineStr">
        <is>
          <t>Jessica</t>
        </is>
      </c>
      <c r="D2244" s="37" t="inlineStr">
        <is>
          <t>ACTIVE_WAITLIST</t>
        </is>
      </c>
      <c r="E2244" s="37" t="n">
        <v>47.4</v>
      </c>
      <c r="F2244" s="37" t="n">
        <v>16.6</v>
      </c>
    </row>
    <row r="2245">
      <c r="A2245" s="37" t="inlineStr">
        <is>
          <t>WL-03244</t>
        </is>
      </c>
      <c r="B2245" s="37" t="inlineStr">
        <is>
          <t>Brown</t>
        </is>
      </c>
      <c r="C2245" s="37" t="inlineStr">
        <is>
          <t>Norma</t>
        </is>
      </c>
      <c r="D2245" s="37" t="inlineStr">
        <is>
          <t>ACTIVE_WAITLIST</t>
        </is>
      </c>
      <c r="E2245" s="37" t="n">
        <v>43.4</v>
      </c>
      <c r="F2245" s="37" t="n">
        <v>15</v>
      </c>
    </row>
    <row r="2246">
      <c r="A2246" s="37" t="inlineStr">
        <is>
          <t>WL-03245</t>
        </is>
      </c>
      <c r="B2246" s="37" t="inlineStr">
        <is>
          <t>Sellers</t>
        </is>
      </c>
      <c r="C2246" s="37" t="inlineStr">
        <is>
          <t>Howard</t>
        </is>
      </c>
      <c r="D2246" s="37" t="inlineStr">
        <is>
          <t>ACTIVE_WAITLIST</t>
        </is>
      </c>
      <c r="E2246" s="37" t="n">
        <v>39.6</v>
      </c>
      <c r="F2246" s="37" t="n">
        <v>12</v>
      </c>
    </row>
    <row r="2247">
      <c r="A2247" s="37" t="inlineStr">
        <is>
          <t>WL-03246</t>
        </is>
      </c>
      <c r="B2247" s="37" t="inlineStr">
        <is>
          <t>Martin</t>
        </is>
      </c>
      <c r="C2247" s="37" t="inlineStr">
        <is>
          <t>Robert</t>
        </is>
      </c>
      <c r="D2247" s="37" t="inlineStr">
        <is>
          <t>RETAINER</t>
        </is>
      </c>
      <c r="E2247" s="37" t="n">
        <v>29.2</v>
      </c>
      <c r="F2247" s="37" t="n">
        <v>9.699999999999999</v>
      </c>
    </row>
    <row r="2248">
      <c r="A2248" s="37" t="inlineStr">
        <is>
          <t>WL-03247</t>
        </is>
      </c>
      <c r="B2248" s="37" t="inlineStr">
        <is>
          <t>Armstrong</t>
        </is>
      </c>
      <c r="C2248" s="37" t="inlineStr">
        <is>
          <t>Tina</t>
        </is>
      </c>
      <c r="D2248" s="37" t="inlineStr">
        <is>
          <t>SUSPENDED</t>
        </is>
      </c>
      <c r="E2248" s="37" t="n">
        <v>33.5</v>
      </c>
      <c r="F2248" s="37" t="n">
        <v>10.5</v>
      </c>
    </row>
    <row r="2249">
      <c r="A2249" s="37" t="inlineStr">
        <is>
          <t>WL-03248</t>
        </is>
      </c>
      <c r="B2249" s="37" t="inlineStr">
        <is>
          <t>Grant</t>
        </is>
      </c>
      <c r="C2249" s="37" t="inlineStr">
        <is>
          <t>Theresa</t>
        </is>
      </c>
      <c r="D2249" s="37" t="inlineStr">
        <is>
          <t>ACTIVE_WAITLIST</t>
        </is>
      </c>
      <c r="E2249" s="37" t="n">
        <v>20.5</v>
      </c>
      <c r="F2249" s="37" t="n">
        <v>7.4</v>
      </c>
    </row>
    <row r="2250">
      <c r="A2250" s="37" t="inlineStr">
        <is>
          <t>WL-03249</t>
        </is>
      </c>
      <c r="B2250" s="37" t="inlineStr">
        <is>
          <t>Anderson</t>
        </is>
      </c>
      <c r="C2250" s="37" t="inlineStr">
        <is>
          <t>Julia</t>
        </is>
      </c>
      <c r="D2250" s="37" t="inlineStr">
        <is>
          <t>ACTIVE_WAITLIST</t>
        </is>
      </c>
      <c r="E2250" s="37" t="n">
        <v>60.8</v>
      </c>
      <c r="F2250" s="37" t="n">
        <v>19.4</v>
      </c>
    </row>
    <row r="2251">
      <c r="A2251" s="37" t="inlineStr">
        <is>
          <t>WL-03250</t>
        </is>
      </c>
      <c r="B2251" s="37" t="inlineStr">
        <is>
          <t>Garcia</t>
        </is>
      </c>
      <c r="C2251" s="37" t="inlineStr">
        <is>
          <t>Philip</t>
        </is>
      </c>
      <c r="D2251" s="37" t="inlineStr">
        <is>
          <t>ACTIVE_WAITLIST</t>
        </is>
      </c>
      <c r="E2251" s="37" t="n">
        <v>38.3</v>
      </c>
      <c r="F2251" s="37" t="n">
        <v>11.9</v>
      </c>
    </row>
    <row r="2252">
      <c r="A2252" s="37" t="inlineStr">
        <is>
          <t>WL-03251</t>
        </is>
      </c>
      <c r="B2252" s="37" t="inlineStr">
        <is>
          <t>Cook</t>
        </is>
      </c>
      <c r="C2252" s="37" t="inlineStr">
        <is>
          <t>Katelyn</t>
        </is>
      </c>
      <c r="D2252" s="37" t="inlineStr">
        <is>
          <t>ACTIVE_WAITLIST</t>
        </is>
      </c>
      <c r="E2252" s="37" t="n">
        <v>29</v>
      </c>
      <c r="F2252" s="37" t="n">
        <v>10</v>
      </c>
    </row>
    <row r="2253">
      <c r="A2253" s="37" t="inlineStr">
        <is>
          <t>WL-03252</t>
        </is>
      </c>
      <c r="B2253" s="37" t="inlineStr">
        <is>
          <t>Gregory</t>
        </is>
      </c>
      <c r="C2253" s="37" t="inlineStr">
        <is>
          <t>John</t>
        </is>
      </c>
      <c r="D2253" s="37" t="inlineStr">
        <is>
          <t>ACTIVE_WAITLIST</t>
        </is>
      </c>
      <c r="E2253" s="37" t="n">
        <v>41.3</v>
      </c>
      <c r="F2253" s="37" t="n">
        <v>14.4</v>
      </c>
    </row>
    <row r="2254">
      <c r="A2254" s="37" t="inlineStr">
        <is>
          <t>WL-03253</t>
        </is>
      </c>
      <c r="B2254" s="37" t="inlineStr">
        <is>
          <t>Butler</t>
        </is>
      </c>
      <c r="C2254" s="37" t="inlineStr">
        <is>
          <t>Jennifer</t>
        </is>
      </c>
      <c r="D2254" s="37" t="inlineStr">
        <is>
          <t>ACTIVE_WAITLIST</t>
        </is>
      </c>
      <c r="E2254" s="37" t="n">
        <v>37.1</v>
      </c>
      <c r="F2254" s="37" t="n">
        <v>12.4</v>
      </c>
    </row>
    <row r="2255">
      <c r="A2255" s="37" t="inlineStr">
        <is>
          <t>WL-03254</t>
        </is>
      </c>
      <c r="B2255" s="37" t="inlineStr">
        <is>
          <t>Garza</t>
        </is>
      </c>
      <c r="C2255" s="37" t="inlineStr">
        <is>
          <t>Linda</t>
        </is>
      </c>
      <c r="D2255" s="37" t="inlineStr">
        <is>
          <t>ACTIVE_WAITLIST</t>
        </is>
      </c>
      <c r="E2255" s="37" t="n">
        <v>19.9</v>
      </c>
      <c r="F2255" s="37" t="n">
        <v>6.9</v>
      </c>
    </row>
    <row r="2256">
      <c r="A2256" s="37" t="inlineStr">
        <is>
          <t>WL-03255</t>
        </is>
      </c>
      <c r="B2256" s="37" t="inlineStr">
        <is>
          <t>Howard</t>
        </is>
      </c>
      <c r="C2256" s="37" t="inlineStr">
        <is>
          <t>Meghan</t>
        </is>
      </c>
      <c r="D2256" s="37" t="inlineStr">
        <is>
          <t>ACTIVE_WAITLIST</t>
        </is>
      </c>
      <c r="E2256" s="37" t="n">
        <v>56.7</v>
      </c>
      <c r="F2256" s="37" t="n">
        <v>19.9</v>
      </c>
    </row>
    <row r="2257">
      <c r="A2257" s="37" t="inlineStr">
        <is>
          <t>WL-03256</t>
        </is>
      </c>
      <c r="B2257" s="37" t="inlineStr">
        <is>
          <t>Frazier</t>
        </is>
      </c>
      <c r="C2257" s="37" t="inlineStr">
        <is>
          <t>Taylor</t>
        </is>
      </c>
      <c r="D2257" s="37" t="inlineStr">
        <is>
          <t>ACTIVE_WAITLIST</t>
        </is>
      </c>
      <c r="E2257" s="37" t="n">
        <v>50.7</v>
      </c>
      <c r="F2257" s="37" t="n">
        <v>16.4</v>
      </c>
    </row>
    <row r="2258">
      <c r="A2258" s="37" t="inlineStr">
        <is>
          <t>WL-03257</t>
        </is>
      </c>
      <c r="B2258" s="37" t="inlineStr">
        <is>
          <t>Robinson</t>
        </is>
      </c>
      <c r="C2258" s="37" t="inlineStr">
        <is>
          <t>Eric</t>
        </is>
      </c>
      <c r="D2258" s="37" t="inlineStr">
        <is>
          <t>ACTIVE_WAITLIST</t>
        </is>
      </c>
      <c r="E2258" s="37" t="n">
        <v>37.1</v>
      </c>
      <c r="F2258" s="37" t="n">
        <v>13</v>
      </c>
    </row>
    <row r="2259">
      <c r="A2259" s="37" t="inlineStr">
        <is>
          <t>WL-03258</t>
        </is>
      </c>
      <c r="B2259" s="37" t="inlineStr">
        <is>
          <t>Williams</t>
        </is>
      </c>
      <c r="C2259" s="37" t="inlineStr">
        <is>
          <t>Robert</t>
        </is>
      </c>
      <c r="D2259" s="37" t="inlineStr">
        <is>
          <t>ACTIVE_WAITLIST</t>
        </is>
      </c>
      <c r="E2259" s="37" t="n">
        <v>21.6</v>
      </c>
      <c r="F2259" s="37" t="n">
        <v>7.4</v>
      </c>
    </row>
    <row r="2260">
      <c r="A2260" s="37" t="inlineStr">
        <is>
          <t>WL-03259</t>
        </is>
      </c>
      <c r="B2260" s="37" t="inlineStr">
        <is>
          <t>Thomas</t>
        </is>
      </c>
      <c r="C2260" s="37" t="inlineStr">
        <is>
          <t>Luke</t>
        </is>
      </c>
      <c r="D2260" s="37" t="inlineStr">
        <is>
          <t>ACTIVE_WAITLIST</t>
        </is>
      </c>
      <c r="E2260" s="37" t="n">
        <v>32.8</v>
      </c>
      <c r="F2260" s="37" t="n">
        <v>11.1</v>
      </c>
    </row>
    <row r="2261">
      <c r="A2261" s="37" t="inlineStr">
        <is>
          <t>WL-03260</t>
        </is>
      </c>
      <c r="B2261" s="37" t="inlineStr">
        <is>
          <t>Thomas</t>
        </is>
      </c>
      <c r="C2261" s="37" t="inlineStr">
        <is>
          <t>Joel</t>
        </is>
      </c>
      <c r="D2261" s="37" t="inlineStr">
        <is>
          <t>ACTIVE_WAITLIST</t>
        </is>
      </c>
      <c r="E2261" s="37" t="n">
        <v>58</v>
      </c>
      <c r="F2261" s="37" t="n">
        <v>18.3</v>
      </c>
    </row>
    <row r="2262">
      <c r="A2262" s="37" t="inlineStr">
        <is>
          <t>WL-03261</t>
        </is>
      </c>
      <c r="B2262" s="37" t="inlineStr">
        <is>
          <t>Wright</t>
        </is>
      </c>
      <c r="C2262" s="37" t="inlineStr">
        <is>
          <t>Eric</t>
        </is>
      </c>
      <c r="D2262" s="37" t="inlineStr">
        <is>
          <t>ACTIVE_WAITLIST</t>
        </is>
      </c>
      <c r="E2262" s="37" t="n">
        <v>57</v>
      </c>
      <c r="F2262" s="37" t="n">
        <v>16.9</v>
      </c>
    </row>
    <row r="2263">
      <c r="A2263" s="37" t="inlineStr">
        <is>
          <t>WL-03262</t>
        </is>
      </c>
      <c r="B2263" s="37" t="inlineStr">
        <is>
          <t>Kerr</t>
        </is>
      </c>
      <c r="C2263" s="37" t="inlineStr">
        <is>
          <t>Melissa</t>
        </is>
      </c>
      <c r="D2263" s="37" t="inlineStr">
        <is>
          <t>ACTIVE_WAITLIST</t>
        </is>
      </c>
      <c r="E2263" s="37" t="n">
        <v>26</v>
      </c>
      <c r="F2263" s="37" t="n">
        <v>8.4</v>
      </c>
    </row>
    <row r="2264">
      <c r="A2264" s="37" t="inlineStr">
        <is>
          <t>WL-03263</t>
        </is>
      </c>
      <c r="B2264" s="37" t="inlineStr">
        <is>
          <t>Gutierrez</t>
        </is>
      </c>
      <c r="C2264" s="37" t="inlineStr">
        <is>
          <t>Curtis</t>
        </is>
      </c>
      <c r="D2264" s="37" t="inlineStr">
        <is>
          <t>ACTIVE_WAITLIST</t>
        </is>
      </c>
      <c r="E2264" s="37" t="n">
        <v>33.6</v>
      </c>
      <c r="F2264" s="37" t="n">
        <v>10.2</v>
      </c>
    </row>
    <row r="2265">
      <c r="A2265" s="37" t="inlineStr">
        <is>
          <t>WL-03264</t>
        </is>
      </c>
      <c r="B2265" s="37" t="inlineStr">
        <is>
          <t>Hernandez</t>
        </is>
      </c>
      <c r="C2265" s="37" t="inlineStr">
        <is>
          <t>Cathy</t>
        </is>
      </c>
      <c r="D2265" s="37" t="inlineStr">
        <is>
          <t>ACTIVE_WAITLIST</t>
        </is>
      </c>
      <c r="E2265" s="37" t="n">
        <v>40.1</v>
      </c>
      <c r="F2265" s="37" t="n">
        <v>12.5</v>
      </c>
    </row>
    <row r="2266">
      <c r="A2266" s="37" t="inlineStr">
        <is>
          <t>WL-03265</t>
        </is>
      </c>
      <c r="B2266" s="37" t="inlineStr">
        <is>
          <t>Espinoza</t>
        </is>
      </c>
      <c r="C2266" s="37" t="inlineStr">
        <is>
          <t>Melvin</t>
        </is>
      </c>
      <c r="D2266" s="37" t="inlineStr">
        <is>
          <t>ACTIVE_WAITLIST</t>
        </is>
      </c>
      <c r="E2266" s="37" t="n">
        <v>50.5</v>
      </c>
      <c r="F2266" s="37" t="n">
        <v>14.9</v>
      </c>
    </row>
    <row r="2267">
      <c r="A2267" s="37" t="inlineStr">
        <is>
          <t>WL-03266</t>
        </is>
      </c>
      <c r="B2267" s="37" t="inlineStr">
        <is>
          <t>Newman</t>
        </is>
      </c>
      <c r="C2267" s="37" t="inlineStr">
        <is>
          <t>Jason</t>
        </is>
      </c>
      <c r="D2267" s="37" t="inlineStr">
        <is>
          <t>RETAINER</t>
        </is>
      </c>
      <c r="E2267" s="37" t="n">
        <v>20.6</v>
      </c>
      <c r="F2267" s="37" t="n">
        <v>6.8</v>
      </c>
    </row>
    <row r="2268">
      <c r="A2268" s="37" t="inlineStr">
        <is>
          <t>WL-03267</t>
        </is>
      </c>
      <c r="B2268" s="37" t="inlineStr">
        <is>
          <t>Perez</t>
        </is>
      </c>
      <c r="C2268" s="37" t="inlineStr">
        <is>
          <t>Donna</t>
        </is>
      </c>
      <c r="D2268" s="37" t="inlineStr">
        <is>
          <t>ACTIVE_WAITLIST</t>
        </is>
      </c>
      <c r="E2268" s="37" t="n">
        <v>54</v>
      </c>
      <c r="F2268" s="37" t="n">
        <v>15.4</v>
      </c>
    </row>
    <row r="2269">
      <c r="A2269" s="37" t="inlineStr">
        <is>
          <t>WL-03268</t>
        </is>
      </c>
      <c r="B2269" s="37" t="inlineStr">
        <is>
          <t>Parker</t>
        </is>
      </c>
      <c r="C2269" s="37" t="inlineStr">
        <is>
          <t>Charles</t>
        </is>
      </c>
      <c r="D2269" s="37" t="inlineStr">
        <is>
          <t>ACTIVE_WAITLIST</t>
        </is>
      </c>
      <c r="E2269" s="37" t="n">
        <v>53.1</v>
      </c>
      <c r="F2269" s="37" t="n">
        <v>17</v>
      </c>
    </row>
    <row r="2270">
      <c r="A2270" s="37" t="inlineStr">
        <is>
          <t>WL-03269</t>
        </is>
      </c>
      <c r="B2270" s="37" t="inlineStr">
        <is>
          <t>Schultz</t>
        </is>
      </c>
      <c r="C2270" s="37" t="inlineStr">
        <is>
          <t>Maria</t>
        </is>
      </c>
      <c r="D2270" s="37" t="inlineStr">
        <is>
          <t>ACTIVE_WAITLIST</t>
        </is>
      </c>
      <c r="E2270" s="37" t="n">
        <v>33.7</v>
      </c>
      <c r="F2270" s="37" t="n">
        <v>10.8</v>
      </c>
    </row>
    <row r="2271">
      <c r="A2271" s="37" t="inlineStr">
        <is>
          <t>WL-03270</t>
        </is>
      </c>
      <c r="B2271" s="37" t="inlineStr">
        <is>
          <t>Baker</t>
        </is>
      </c>
      <c r="C2271" s="37" t="inlineStr">
        <is>
          <t>Michael</t>
        </is>
      </c>
      <c r="D2271" s="37" t="inlineStr">
        <is>
          <t>RETAINER</t>
        </is>
      </c>
      <c r="E2271" s="37" t="n">
        <v>45.7</v>
      </c>
      <c r="F2271" s="37" t="n">
        <v>14.7</v>
      </c>
    </row>
    <row r="2272">
      <c r="A2272" s="37" t="inlineStr">
        <is>
          <t>WL-03271</t>
        </is>
      </c>
      <c r="B2272" s="37" t="inlineStr">
        <is>
          <t>Mejia</t>
        </is>
      </c>
      <c r="C2272" s="37" t="inlineStr">
        <is>
          <t>Luke</t>
        </is>
      </c>
      <c r="D2272" s="37" t="inlineStr">
        <is>
          <t>ACTIVE_WAITLIST</t>
        </is>
      </c>
      <c r="E2272" s="37" t="n">
        <v>24.9</v>
      </c>
      <c r="F2272" s="37" t="n">
        <v>7</v>
      </c>
    </row>
    <row r="2273">
      <c r="A2273" s="37" t="inlineStr">
        <is>
          <t>WL-03272</t>
        </is>
      </c>
      <c r="B2273" s="37" t="inlineStr">
        <is>
          <t>Contreras</t>
        </is>
      </c>
      <c r="C2273" s="37" t="inlineStr">
        <is>
          <t>Matthew</t>
        </is>
      </c>
      <c r="D2273" s="37" t="inlineStr">
        <is>
          <t>SUSPENDED</t>
        </is>
      </c>
      <c r="E2273" s="37" t="n">
        <v>46.9</v>
      </c>
      <c r="F2273" s="37" t="n">
        <v>13.9</v>
      </c>
    </row>
    <row r="2274">
      <c r="A2274" s="37" t="inlineStr">
        <is>
          <t>WL-03273</t>
        </is>
      </c>
      <c r="B2274" s="37" t="inlineStr">
        <is>
          <t>Dodson</t>
        </is>
      </c>
      <c r="C2274" s="37" t="inlineStr">
        <is>
          <t>Daniel</t>
        </is>
      </c>
      <c r="D2274" s="37" t="inlineStr">
        <is>
          <t>ACTIVE_WAITLIST</t>
        </is>
      </c>
      <c r="E2274" s="37" t="n">
        <v>29.3</v>
      </c>
      <c r="F2274" s="37" t="n">
        <v>8.800000000000001</v>
      </c>
    </row>
    <row r="2275">
      <c r="A2275" s="37" t="inlineStr">
        <is>
          <t>WL-03274</t>
        </is>
      </c>
      <c r="B2275" s="37" t="inlineStr">
        <is>
          <t>Matthews</t>
        </is>
      </c>
      <c r="C2275" s="37" t="inlineStr">
        <is>
          <t>Brenda</t>
        </is>
      </c>
      <c r="D2275" s="37" t="inlineStr">
        <is>
          <t>ACTIVE_WAITLIST</t>
        </is>
      </c>
      <c r="E2275" s="37" t="n">
        <v>26.3</v>
      </c>
      <c r="F2275" s="37" t="n">
        <v>9.199999999999999</v>
      </c>
    </row>
    <row r="2276">
      <c r="A2276" s="37" t="inlineStr">
        <is>
          <t>WL-03275</t>
        </is>
      </c>
      <c r="B2276" s="37" t="inlineStr">
        <is>
          <t>Wilson</t>
        </is>
      </c>
      <c r="C2276" s="37" t="inlineStr">
        <is>
          <t>Michael</t>
        </is>
      </c>
      <c r="D2276" s="37" t="inlineStr">
        <is>
          <t>ACTIVE_WAITLIST</t>
        </is>
      </c>
      <c r="E2276" s="37" t="n">
        <v>40.5</v>
      </c>
      <c r="F2276" s="37" t="n">
        <v>13.8</v>
      </c>
    </row>
    <row r="2277">
      <c r="A2277" s="37" t="inlineStr">
        <is>
          <t>WL-03276</t>
        </is>
      </c>
      <c r="B2277" s="37" t="inlineStr">
        <is>
          <t>Lewis</t>
        </is>
      </c>
      <c r="C2277" s="37" t="inlineStr">
        <is>
          <t>Kimberly</t>
        </is>
      </c>
      <c r="D2277" s="37" t="inlineStr">
        <is>
          <t>SUSPENDED</t>
        </is>
      </c>
      <c r="E2277" s="37" t="n">
        <v>54.9</v>
      </c>
      <c r="F2277" s="37" t="n">
        <v>17.4</v>
      </c>
    </row>
    <row r="2278">
      <c r="A2278" s="37" t="inlineStr">
        <is>
          <t>WL-03277</t>
        </is>
      </c>
      <c r="B2278" s="37" t="inlineStr">
        <is>
          <t>Young</t>
        </is>
      </c>
      <c r="C2278" s="37" t="inlineStr">
        <is>
          <t>Ashley</t>
        </is>
      </c>
      <c r="D2278" s="37" t="inlineStr">
        <is>
          <t>ACTIVE_WAITLIST</t>
        </is>
      </c>
      <c r="E2278" s="37" t="n">
        <v>61.5</v>
      </c>
      <c r="F2278" s="37" t="n">
        <v>20.9</v>
      </c>
    </row>
    <row r="2279">
      <c r="A2279" s="37" t="inlineStr">
        <is>
          <t>WL-03278</t>
        </is>
      </c>
      <c r="B2279" s="37" t="inlineStr">
        <is>
          <t>Fleming</t>
        </is>
      </c>
      <c r="C2279" s="37" t="inlineStr">
        <is>
          <t>Stacie</t>
        </is>
      </c>
      <c r="D2279" s="37" t="inlineStr">
        <is>
          <t>ACTIVE_WAITLIST</t>
        </is>
      </c>
      <c r="E2279" s="37" t="n">
        <v>31.4</v>
      </c>
      <c r="F2279" s="37" t="n">
        <v>9</v>
      </c>
    </row>
    <row r="2280">
      <c r="A2280" s="37" t="inlineStr">
        <is>
          <t>WL-03279</t>
        </is>
      </c>
      <c r="B2280" s="37" t="inlineStr">
        <is>
          <t>Marshall</t>
        </is>
      </c>
      <c r="C2280" s="37" t="inlineStr">
        <is>
          <t>David</t>
        </is>
      </c>
      <c r="D2280" s="37" t="inlineStr">
        <is>
          <t>ACTIVE_WAITLIST</t>
        </is>
      </c>
      <c r="E2280" s="37" t="n">
        <v>51.4</v>
      </c>
      <c r="F2280" s="37" t="n">
        <v>14.7</v>
      </c>
    </row>
    <row r="2281">
      <c r="A2281" s="37" t="inlineStr">
        <is>
          <t>WL-03280</t>
        </is>
      </c>
      <c r="B2281" s="37" t="inlineStr">
        <is>
          <t>Clark</t>
        </is>
      </c>
      <c r="C2281" s="37" t="inlineStr">
        <is>
          <t>Christine</t>
        </is>
      </c>
      <c r="D2281" s="37" t="inlineStr">
        <is>
          <t>ACTIVE_WAITLIST</t>
        </is>
      </c>
      <c r="E2281" s="37" t="n">
        <v>32.9</v>
      </c>
      <c r="F2281" s="37" t="n">
        <v>9.300000000000001</v>
      </c>
    </row>
    <row r="2282">
      <c r="A2282" s="37" t="inlineStr">
        <is>
          <t>WL-03281</t>
        </is>
      </c>
      <c r="B2282" s="37" t="inlineStr">
        <is>
          <t>Evans</t>
        </is>
      </c>
      <c r="C2282" s="37" t="inlineStr">
        <is>
          <t>Vanessa</t>
        </is>
      </c>
      <c r="D2282" s="37" t="inlineStr">
        <is>
          <t>ACTIVE_WAITLIST</t>
        </is>
      </c>
      <c r="E2282" s="37" t="n">
        <v>39.9</v>
      </c>
      <c r="F2282" s="37" t="n">
        <v>13.1</v>
      </c>
    </row>
    <row r="2283">
      <c r="A2283" s="37" t="inlineStr">
        <is>
          <t>WL-03282</t>
        </is>
      </c>
      <c r="B2283" s="37" t="inlineStr">
        <is>
          <t>Curry</t>
        </is>
      </c>
      <c r="C2283" s="37" t="inlineStr">
        <is>
          <t>Jillian</t>
        </is>
      </c>
      <c r="D2283" s="37" t="inlineStr">
        <is>
          <t>ACTIVE_WAITLIST</t>
        </is>
      </c>
      <c r="E2283" s="37" t="n">
        <v>43.8</v>
      </c>
      <c r="F2283" s="37" t="n">
        <v>12.8</v>
      </c>
    </row>
    <row r="2284">
      <c r="A2284" s="37" t="inlineStr">
        <is>
          <t>WL-03283</t>
        </is>
      </c>
      <c r="B2284" s="37" t="inlineStr">
        <is>
          <t>King</t>
        </is>
      </c>
      <c r="C2284" s="37" t="inlineStr">
        <is>
          <t>David</t>
        </is>
      </c>
      <c r="D2284" s="37" t="inlineStr">
        <is>
          <t>ACTIVE_WAITLIST</t>
        </is>
      </c>
      <c r="E2284" s="37" t="n">
        <v>31.5</v>
      </c>
      <c r="F2284" s="37" t="n">
        <v>10.6</v>
      </c>
    </row>
    <row r="2285">
      <c r="A2285" s="37" t="inlineStr">
        <is>
          <t>WL-03284</t>
        </is>
      </c>
      <c r="B2285" s="37" t="inlineStr">
        <is>
          <t>Brown</t>
        </is>
      </c>
      <c r="C2285" s="37" t="inlineStr">
        <is>
          <t>Regina</t>
        </is>
      </c>
      <c r="D2285" s="37" t="inlineStr">
        <is>
          <t>ACTIVE_WAITLIST</t>
        </is>
      </c>
      <c r="E2285" s="37" t="n">
        <v>31.4</v>
      </c>
      <c r="F2285" s="37" t="n">
        <v>9.4</v>
      </c>
    </row>
    <row r="2286">
      <c r="A2286" s="37" t="inlineStr">
        <is>
          <t>WL-03285</t>
        </is>
      </c>
      <c r="B2286" s="37" t="inlineStr">
        <is>
          <t>Hughes</t>
        </is>
      </c>
      <c r="C2286" s="37" t="inlineStr">
        <is>
          <t>Seth</t>
        </is>
      </c>
      <c r="D2286" s="37" t="inlineStr">
        <is>
          <t>ACTIVE_WAITLIST</t>
        </is>
      </c>
      <c r="E2286" s="37" t="n">
        <v>34</v>
      </c>
      <c r="F2286" s="37" t="n">
        <v>10.7</v>
      </c>
    </row>
    <row r="2287">
      <c r="A2287" s="37" t="inlineStr">
        <is>
          <t>WL-03286</t>
        </is>
      </c>
      <c r="B2287" s="37" t="inlineStr">
        <is>
          <t>Wright</t>
        </is>
      </c>
      <c r="C2287" s="37" t="inlineStr">
        <is>
          <t>Robert</t>
        </is>
      </c>
      <c r="D2287" s="37" t="inlineStr">
        <is>
          <t>ACTIVE_WAITLIST</t>
        </is>
      </c>
      <c r="E2287" s="37" t="n">
        <v>26.2</v>
      </c>
      <c r="F2287" s="37" t="n">
        <v>9.300000000000001</v>
      </c>
    </row>
    <row r="2288">
      <c r="A2288" s="37" t="inlineStr">
        <is>
          <t>WL-03287</t>
        </is>
      </c>
      <c r="B2288" s="37" t="inlineStr">
        <is>
          <t>Holmes</t>
        </is>
      </c>
      <c r="C2288" s="37" t="inlineStr">
        <is>
          <t>Deborah</t>
        </is>
      </c>
      <c r="D2288" s="37" t="inlineStr">
        <is>
          <t>ACTIVE_WAITLIST</t>
        </is>
      </c>
      <c r="E2288" s="37" t="n">
        <v>35.3</v>
      </c>
      <c r="F2288" s="37" t="n">
        <v>11.2</v>
      </c>
    </row>
    <row r="2289">
      <c r="A2289" s="37" t="inlineStr">
        <is>
          <t>WL-03288</t>
        </is>
      </c>
      <c r="B2289" s="37" t="inlineStr">
        <is>
          <t>Ingram</t>
        </is>
      </c>
      <c r="C2289" s="37" t="inlineStr">
        <is>
          <t>Jaclyn</t>
        </is>
      </c>
      <c r="D2289" s="37" t="inlineStr">
        <is>
          <t>ACTIVE_WAITLIST</t>
        </is>
      </c>
      <c r="E2289" s="37" t="n">
        <v>58.7</v>
      </c>
      <c r="F2289" s="37" t="n">
        <v>17.6</v>
      </c>
    </row>
    <row r="2290">
      <c r="A2290" s="37" t="inlineStr">
        <is>
          <t>WL-03289</t>
        </is>
      </c>
      <c r="B2290" s="37" t="inlineStr">
        <is>
          <t>Bishop</t>
        </is>
      </c>
      <c r="C2290" s="37" t="inlineStr">
        <is>
          <t>Kaitlin</t>
        </is>
      </c>
      <c r="D2290" s="37" t="inlineStr">
        <is>
          <t>ACTIVE_WAITLIST</t>
        </is>
      </c>
      <c r="E2290" s="37" t="n">
        <v>33.9</v>
      </c>
      <c r="F2290" s="37" t="n">
        <v>10.8</v>
      </c>
    </row>
    <row r="2291">
      <c r="A2291" s="37" t="inlineStr">
        <is>
          <t>WL-03290</t>
        </is>
      </c>
      <c r="B2291" s="37" t="inlineStr">
        <is>
          <t>Chavez</t>
        </is>
      </c>
      <c r="C2291" s="37" t="inlineStr">
        <is>
          <t>Caitlin</t>
        </is>
      </c>
      <c r="D2291" s="37" t="inlineStr">
        <is>
          <t>ACTIVE_WAITLIST</t>
        </is>
      </c>
      <c r="E2291" s="37" t="n">
        <v>48.5</v>
      </c>
      <c r="F2291" s="37" t="n">
        <v>14.8</v>
      </c>
    </row>
    <row r="2292">
      <c r="A2292" s="37" t="inlineStr">
        <is>
          <t>WL-03291</t>
        </is>
      </c>
      <c r="B2292" s="37" t="inlineStr">
        <is>
          <t>Marshall</t>
        </is>
      </c>
      <c r="C2292" s="37" t="inlineStr">
        <is>
          <t>Nicholas</t>
        </is>
      </c>
      <c r="D2292" s="37" t="inlineStr">
        <is>
          <t>ACTIVE_WAITLIST</t>
        </is>
      </c>
      <c r="E2292" s="37" t="n">
        <v>33.3</v>
      </c>
      <c r="F2292" s="37" t="n">
        <v>9.4</v>
      </c>
    </row>
    <row r="2293">
      <c r="A2293" s="37" t="inlineStr">
        <is>
          <t>WL-03292</t>
        </is>
      </c>
      <c r="B2293" s="37" t="inlineStr">
        <is>
          <t>Hanson</t>
        </is>
      </c>
      <c r="C2293" s="37" t="inlineStr">
        <is>
          <t>Vincent</t>
        </is>
      </c>
      <c r="D2293" s="37" t="inlineStr">
        <is>
          <t>ACTIVE_WAITLIST</t>
        </is>
      </c>
      <c r="E2293" s="37" t="n">
        <v>37.7</v>
      </c>
      <c r="F2293" s="37" t="n">
        <v>13</v>
      </c>
    </row>
    <row r="2294">
      <c r="A2294" s="37" t="inlineStr">
        <is>
          <t>WL-03293</t>
        </is>
      </c>
      <c r="B2294" s="37" t="inlineStr">
        <is>
          <t>Huerta</t>
        </is>
      </c>
      <c r="C2294" s="37" t="inlineStr">
        <is>
          <t>Laurie</t>
        </is>
      </c>
      <c r="D2294" s="37" t="inlineStr">
        <is>
          <t>ACTIVE_WAITLIST</t>
        </is>
      </c>
      <c r="E2294" s="37" t="n">
        <v>23.2</v>
      </c>
      <c r="F2294" s="37" t="n">
        <v>7.7</v>
      </c>
    </row>
    <row r="2295">
      <c r="A2295" s="37" t="inlineStr">
        <is>
          <t>WL-03294</t>
        </is>
      </c>
      <c r="B2295" s="37" t="inlineStr">
        <is>
          <t>Nguyen</t>
        </is>
      </c>
      <c r="C2295" s="37" t="inlineStr">
        <is>
          <t>Megan</t>
        </is>
      </c>
      <c r="D2295" s="37" t="inlineStr">
        <is>
          <t>ACTIVE_WAITLIST</t>
        </is>
      </c>
      <c r="E2295" s="37" t="n">
        <v>28.9</v>
      </c>
      <c r="F2295" s="37" t="n">
        <v>10</v>
      </c>
    </row>
    <row r="2296">
      <c r="A2296" s="37" t="inlineStr">
        <is>
          <t>WL-03295</t>
        </is>
      </c>
      <c r="B2296" s="37" t="inlineStr">
        <is>
          <t>Fry</t>
        </is>
      </c>
      <c r="C2296" s="37" t="inlineStr">
        <is>
          <t>Heidi</t>
        </is>
      </c>
      <c r="D2296" s="37" t="inlineStr">
        <is>
          <t>RETAINER</t>
        </is>
      </c>
      <c r="E2296" s="37" t="n">
        <v>22.4</v>
      </c>
      <c r="F2296" s="37" t="n">
        <v>7.6</v>
      </c>
    </row>
    <row r="2297">
      <c r="A2297" s="37" t="inlineStr">
        <is>
          <t>WL-03296</t>
        </is>
      </c>
      <c r="B2297" s="37" t="inlineStr">
        <is>
          <t>Fox</t>
        </is>
      </c>
      <c r="C2297" s="37" t="inlineStr">
        <is>
          <t>Sergio</t>
        </is>
      </c>
      <c r="D2297" s="37" t="inlineStr">
        <is>
          <t>ACTIVE_WAITLIST</t>
        </is>
      </c>
      <c r="E2297" s="37" t="n">
        <v>37.3</v>
      </c>
      <c r="F2297" s="37" t="n">
        <v>12.8</v>
      </c>
    </row>
    <row r="2298">
      <c r="A2298" s="37" t="inlineStr">
        <is>
          <t>WL-03297</t>
        </is>
      </c>
      <c r="B2298" s="37" t="inlineStr">
        <is>
          <t>Johnston</t>
        </is>
      </c>
      <c r="C2298" s="37" t="inlineStr">
        <is>
          <t>Lindsey</t>
        </is>
      </c>
      <c r="D2298" s="37" t="inlineStr">
        <is>
          <t>ACTIVE_WAITLIST</t>
        </is>
      </c>
      <c r="E2298" s="37" t="n">
        <v>29.4</v>
      </c>
      <c r="F2298" s="37" t="n">
        <v>9.9</v>
      </c>
    </row>
    <row r="2299">
      <c r="A2299" s="37" t="inlineStr">
        <is>
          <t>WL-03298</t>
        </is>
      </c>
      <c r="B2299" s="37" t="inlineStr">
        <is>
          <t>Thompson</t>
        </is>
      </c>
      <c r="C2299" s="37" t="inlineStr">
        <is>
          <t>Alyssa</t>
        </is>
      </c>
      <c r="D2299" s="37" t="inlineStr">
        <is>
          <t>ACTIVE_WAITLIST</t>
        </is>
      </c>
      <c r="E2299" s="37" t="n">
        <v>24</v>
      </c>
      <c r="F2299" s="37" t="n">
        <v>8.6</v>
      </c>
    </row>
    <row r="2300">
      <c r="A2300" s="37" t="inlineStr">
        <is>
          <t>WL-03299</t>
        </is>
      </c>
      <c r="B2300" s="37" t="inlineStr">
        <is>
          <t>Fisher</t>
        </is>
      </c>
      <c r="C2300" s="37" t="inlineStr">
        <is>
          <t>Lisa</t>
        </is>
      </c>
      <c r="D2300" s="37" t="inlineStr">
        <is>
          <t>ACTIVE_WAITLIST</t>
        </is>
      </c>
      <c r="E2300" s="37" t="n">
        <v>59.1</v>
      </c>
      <c r="F2300" s="37" t="n">
        <v>20.4</v>
      </c>
    </row>
    <row r="2301">
      <c r="A2301" s="37" t="inlineStr">
        <is>
          <t>WL-03300</t>
        </is>
      </c>
      <c r="B2301" s="37" t="inlineStr">
        <is>
          <t>Levine</t>
        </is>
      </c>
      <c r="C2301" s="37" t="inlineStr">
        <is>
          <t>Anthony</t>
        </is>
      </c>
      <c r="D2301" s="37" t="inlineStr">
        <is>
          <t>ACTIVE_WAITLIST</t>
        </is>
      </c>
      <c r="E2301" s="37" t="n">
        <v>26</v>
      </c>
      <c r="F2301" s="37" t="n">
        <v>7.5</v>
      </c>
    </row>
    <row r="2302">
      <c r="A2302" s="37" t="inlineStr">
        <is>
          <t>WL-03301</t>
        </is>
      </c>
      <c r="B2302" s="37" t="inlineStr">
        <is>
          <t>Gordon</t>
        </is>
      </c>
      <c r="C2302" s="37" t="inlineStr">
        <is>
          <t>Michael</t>
        </is>
      </c>
      <c r="D2302" s="37" t="inlineStr">
        <is>
          <t>SUSPENDED</t>
        </is>
      </c>
      <c r="E2302" s="37" t="n">
        <v>31.5</v>
      </c>
      <c r="F2302" s="37" t="n">
        <v>10.2</v>
      </c>
    </row>
    <row r="2303">
      <c r="A2303" s="37" t="inlineStr">
        <is>
          <t>WL-03302</t>
        </is>
      </c>
      <c r="B2303" s="37" t="inlineStr">
        <is>
          <t>Miller</t>
        </is>
      </c>
      <c r="C2303" s="37" t="inlineStr">
        <is>
          <t>Thomas</t>
        </is>
      </c>
      <c r="D2303" s="37" t="inlineStr">
        <is>
          <t>ACTIVE_WAITLIST</t>
        </is>
      </c>
      <c r="E2303" s="37" t="n">
        <v>57.8</v>
      </c>
      <c r="F2303" s="37" t="n">
        <v>16.9</v>
      </c>
    </row>
    <row r="2304">
      <c r="A2304" s="37" t="inlineStr">
        <is>
          <t>WL-03303</t>
        </is>
      </c>
      <c r="B2304" s="37" t="inlineStr">
        <is>
          <t>Norris</t>
        </is>
      </c>
      <c r="C2304" s="37" t="inlineStr">
        <is>
          <t>Eileen</t>
        </is>
      </c>
      <c r="D2304" s="37" t="inlineStr">
        <is>
          <t>ACTIVE_WAITLIST</t>
        </is>
      </c>
      <c r="E2304" s="37" t="n">
        <v>59.9</v>
      </c>
      <c r="F2304" s="37" t="n">
        <v>17.2</v>
      </c>
    </row>
    <row r="2305">
      <c r="A2305" s="37" t="inlineStr">
        <is>
          <t>WL-03304</t>
        </is>
      </c>
      <c r="B2305" s="37" t="inlineStr">
        <is>
          <t>Brown</t>
        </is>
      </c>
      <c r="C2305" s="37" t="inlineStr">
        <is>
          <t>Heather</t>
        </is>
      </c>
      <c r="D2305" s="37" t="inlineStr">
        <is>
          <t>ACTIVE_WAITLIST</t>
        </is>
      </c>
      <c r="E2305" s="37" t="n">
        <v>19.5</v>
      </c>
      <c r="F2305" s="37" t="n">
        <v>6.8</v>
      </c>
    </row>
    <row r="2306">
      <c r="A2306" s="37" t="inlineStr">
        <is>
          <t>WL-03305</t>
        </is>
      </c>
      <c r="B2306" s="37" t="inlineStr">
        <is>
          <t>Garcia</t>
        </is>
      </c>
      <c r="C2306" s="37" t="inlineStr">
        <is>
          <t>Monica</t>
        </is>
      </c>
      <c r="D2306" s="37" t="inlineStr">
        <is>
          <t>ACTIVE_WAITLIST</t>
        </is>
      </c>
      <c r="E2306" s="37" t="n">
        <v>52.9</v>
      </c>
      <c r="F2306" s="37" t="n">
        <v>18.5</v>
      </c>
    </row>
    <row r="2307">
      <c r="A2307" s="37" t="inlineStr">
        <is>
          <t>WL-03306</t>
        </is>
      </c>
      <c r="B2307" s="37" t="inlineStr">
        <is>
          <t>Martin</t>
        </is>
      </c>
      <c r="C2307" s="37" t="inlineStr">
        <is>
          <t>Rebecca</t>
        </is>
      </c>
      <c r="D2307" s="37" t="inlineStr">
        <is>
          <t>ACTIVE_WAITLIST</t>
        </is>
      </c>
      <c r="E2307" s="37" t="n">
        <v>58.4</v>
      </c>
      <c r="F2307" s="37" t="n">
        <v>20.7</v>
      </c>
    </row>
    <row r="2308">
      <c r="A2308" s="37" t="inlineStr">
        <is>
          <t>WL-03307</t>
        </is>
      </c>
      <c r="B2308" s="37" t="inlineStr">
        <is>
          <t>Jackson</t>
        </is>
      </c>
      <c r="C2308" s="37" t="inlineStr">
        <is>
          <t>Michael</t>
        </is>
      </c>
      <c r="D2308" s="37" t="inlineStr">
        <is>
          <t>ACTIVE_WAITLIST</t>
        </is>
      </c>
      <c r="E2308" s="37" t="n">
        <v>29.9</v>
      </c>
      <c r="F2308" s="37" t="n">
        <v>9.199999999999999</v>
      </c>
    </row>
    <row r="2309">
      <c r="A2309" s="37" t="inlineStr">
        <is>
          <t>WL-03308</t>
        </is>
      </c>
      <c r="B2309" s="37" t="inlineStr">
        <is>
          <t>Hunt</t>
        </is>
      </c>
      <c r="C2309" s="37" t="inlineStr">
        <is>
          <t>Tanya</t>
        </is>
      </c>
      <c r="D2309" s="37" t="inlineStr">
        <is>
          <t>ACTIVE_WAITLIST</t>
        </is>
      </c>
      <c r="E2309" s="37" t="n">
        <v>61</v>
      </c>
      <c r="F2309" s="37" t="n">
        <v>18.6</v>
      </c>
    </row>
    <row r="2310">
      <c r="A2310" s="37" t="inlineStr">
        <is>
          <t>WL-03309</t>
        </is>
      </c>
      <c r="B2310" s="37" t="inlineStr">
        <is>
          <t>Reid</t>
        </is>
      </c>
      <c r="C2310" s="37" t="inlineStr">
        <is>
          <t>Angela</t>
        </is>
      </c>
      <c r="D2310" s="37" t="inlineStr">
        <is>
          <t>ACTIVE_WAITLIST</t>
        </is>
      </c>
      <c r="E2310" s="37" t="n">
        <v>34.8</v>
      </c>
      <c r="F2310" s="37" t="n">
        <v>11.7</v>
      </c>
    </row>
    <row r="2311">
      <c r="A2311" s="37" t="inlineStr">
        <is>
          <t>WL-03310</t>
        </is>
      </c>
      <c r="B2311" s="37" t="inlineStr">
        <is>
          <t>Kim</t>
        </is>
      </c>
      <c r="C2311" s="37" t="inlineStr">
        <is>
          <t>Ronald</t>
        </is>
      </c>
      <c r="D2311" s="37" t="inlineStr">
        <is>
          <t>ACTIVE_WAITLIST</t>
        </is>
      </c>
      <c r="E2311" s="37" t="n">
        <v>40.7</v>
      </c>
      <c r="F2311" s="37" t="n">
        <v>11.8</v>
      </c>
    </row>
    <row r="2312">
      <c r="A2312" s="37" t="inlineStr">
        <is>
          <t>WL-03311</t>
        </is>
      </c>
      <c r="B2312" s="37" t="inlineStr">
        <is>
          <t>Lee</t>
        </is>
      </c>
      <c r="C2312" s="37" t="inlineStr">
        <is>
          <t>Shane</t>
        </is>
      </c>
      <c r="D2312" s="37" t="inlineStr">
        <is>
          <t>ACTIVE_WAITLIST</t>
        </is>
      </c>
      <c r="E2312" s="37" t="n">
        <v>41</v>
      </c>
      <c r="F2312" s="37" t="n">
        <v>12.3</v>
      </c>
    </row>
    <row r="2313">
      <c r="A2313" s="37" t="inlineStr">
        <is>
          <t>WL-03312</t>
        </is>
      </c>
      <c r="B2313" s="37" t="inlineStr">
        <is>
          <t>Thomas</t>
        </is>
      </c>
      <c r="C2313" s="37" t="inlineStr">
        <is>
          <t>Karla</t>
        </is>
      </c>
      <c r="D2313" s="37" t="inlineStr">
        <is>
          <t>ACTIVE_WAITLIST</t>
        </is>
      </c>
      <c r="E2313" s="37" t="n">
        <v>37.4</v>
      </c>
      <c r="F2313" s="37" t="n">
        <v>13.5</v>
      </c>
    </row>
    <row r="2314">
      <c r="A2314" s="37" t="inlineStr">
        <is>
          <t>WL-03313</t>
        </is>
      </c>
      <c r="B2314" s="37" t="inlineStr">
        <is>
          <t>Jimenez</t>
        </is>
      </c>
      <c r="C2314" s="37" t="inlineStr">
        <is>
          <t>Jose</t>
        </is>
      </c>
      <c r="D2314" s="37" t="inlineStr">
        <is>
          <t>ACTIVE_WAITLIST</t>
        </is>
      </c>
      <c r="E2314" s="37" t="n">
        <v>38.6</v>
      </c>
      <c r="F2314" s="37" t="n">
        <v>10.8</v>
      </c>
    </row>
    <row r="2315">
      <c r="A2315" s="37" t="inlineStr">
        <is>
          <t>WL-03314</t>
        </is>
      </c>
      <c r="B2315" s="37" t="inlineStr">
        <is>
          <t>Orozco</t>
        </is>
      </c>
      <c r="C2315" s="37" t="inlineStr">
        <is>
          <t>Hannah</t>
        </is>
      </c>
      <c r="D2315" s="37" t="inlineStr">
        <is>
          <t>ACTIVE_WAITLIST</t>
        </is>
      </c>
      <c r="E2315" s="37" t="n">
        <v>57</v>
      </c>
      <c r="F2315" s="37" t="n">
        <v>18.6</v>
      </c>
    </row>
    <row r="2316">
      <c r="A2316" s="37" t="inlineStr">
        <is>
          <t>WL-03315</t>
        </is>
      </c>
      <c r="B2316" s="37" t="inlineStr">
        <is>
          <t>Miranda</t>
        </is>
      </c>
      <c r="C2316" s="37" t="inlineStr">
        <is>
          <t>Marvin</t>
        </is>
      </c>
      <c r="D2316" s="37" t="inlineStr">
        <is>
          <t>ACTIVE_WAITLIST</t>
        </is>
      </c>
      <c r="E2316" s="37" t="n">
        <v>20.4</v>
      </c>
      <c r="F2316" s="37" t="n">
        <v>6.4</v>
      </c>
    </row>
    <row r="2317">
      <c r="A2317" s="37" t="inlineStr">
        <is>
          <t>WL-03316</t>
        </is>
      </c>
      <c r="B2317" s="37" t="inlineStr">
        <is>
          <t>Nguyen</t>
        </is>
      </c>
      <c r="C2317" s="37" t="inlineStr">
        <is>
          <t>Theresa</t>
        </is>
      </c>
      <c r="D2317" s="37" t="inlineStr">
        <is>
          <t>RETAINER</t>
        </is>
      </c>
      <c r="E2317" s="37" t="n">
        <v>42.9</v>
      </c>
      <c r="F2317" s="37" t="n">
        <v>14</v>
      </c>
    </row>
    <row r="2318">
      <c r="A2318" s="37" t="inlineStr">
        <is>
          <t>WL-03317</t>
        </is>
      </c>
      <c r="B2318" s="37" t="inlineStr">
        <is>
          <t>Jordan</t>
        </is>
      </c>
      <c r="C2318" s="37" t="inlineStr">
        <is>
          <t>Theresa</t>
        </is>
      </c>
      <c r="D2318" s="37" t="inlineStr">
        <is>
          <t>RETAINER</t>
        </is>
      </c>
      <c r="E2318" s="37" t="n">
        <v>47.7</v>
      </c>
      <c r="F2318" s="37" t="n">
        <v>15</v>
      </c>
    </row>
    <row r="2319">
      <c r="A2319" s="37" t="inlineStr">
        <is>
          <t>WL-03318</t>
        </is>
      </c>
      <c r="B2319" s="37" t="inlineStr">
        <is>
          <t>Jordan</t>
        </is>
      </c>
      <c r="C2319" s="37" t="inlineStr">
        <is>
          <t>Denise</t>
        </is>
      </c>
      <c r="D2319" s="37" t="inlineStr">
        <is>
          <t>ACTIVE_WAITLIST</t>
        </is>
      </c>
      <c r="E2319" s="37" t="n">
        <v>42.3</v>
      </c>
      <c r="F2319" s="37" t="n">
        <v>13.3</v>
      </c>
    </row>
    <row r="2320">
      <c r="A2320" s="37" t="inlineStr">
        <is>
          <t>WL-03319</t>
        </is>
      </c>
      <c r="B2320" s="37" t="inlineStr">
        <is>
          <t>Hall</t>
        </is>
      </c>
      <c r="C2320" s="37" t="inlineStr">
        <is>
          <t>Darrell</t>
        </is>
      </c>
      <c r="D2320" s="37" t="inlineStr">
        <is>
          <t>ACTIVE_WAITLIST</t>
        </is>
      </c>
      <c r="E2320" s="37" t="n">
        <v>53.7</v>
      </c>
      <c r="F2320" s="37" t="n">
        <v>17.3</v>
      </c>
    </row>
    <row r="2321">
      <c r="A2321" s="37" t="inlineStr">
        <is>
          <t>WL-03320</t>
        </is>
      </c>
      <c r="B2321" s="37" t="inlineStr">
        <is>
          <t>Robinson</t>
        </is>
      </c>
      <c r="C2321" s="37" t="inlineStr">
        <is>
          <t>Maria</t>
        </is>
      </c>
      <c r="D2321" s="37" t="inlineStr">
        <is>
          <t>ACTIVE_WAITLIST</t>
        </is>
      </c>
      <c r="E2321" s="37" t="n">
        <v>42.5</v>
      </c>
      <c r="F2321" s="37" t="n">
        <v>13.5</v>
      </c>
    </row>
    <row r="2322">
      <c r="A2322" s="37" t="inlineStr">
        <is>
          <t>WL-03321</t>
        </is>
      </c>
      <c r="B2322" s="37" t="inlineStr">
        <is>
          <t>Medina</t>
        </is>
      </c>
      <c r="C2322" s="37" t="inlineStr">
        <is>
          <t>Casey</t>
        </is>
      </c>
      <c r="D2322" s="37" t="inlineStr">
        <is>
          <t>ACTIVE_WAITLIST</t>
        </is>
      </c>
      <c r="E2322" s="37" t="n">
        <v>22.8</v>
      </c>
      <c r="F2322" s="37" t="n">
        <v>6.6</v>
      </c>
    </row>
    <row r="2323">
      <c r="A2323" s="37" t="inlineStr">
        <is>
          <t>WL-03322</t>
        </is>
      </c>
      <c r="B2323" s="37" t="inlineStr">
        <is>
          <t>Robles</t>
        </is>
      </c>
      <c r="C2323" s="37" t="inlineStr">
        <is>
          <t>Reginald</t>
        </is>
      </c>
      <c r="D2323" s="37" t="inlineStr">
        <is>
          <t>ACTIVE_WAITLIST</t>
        </is>
      </c>
      <c r="E2323" s="37" t="n">
        <v>56.9</v>
      </c>
      <c r="F2323" s="37" t="n">
        <v>18.7</v>
      </c>
    </row>
    <row r="2324">
      <c r="A2324" s="37" t="inlineStr">
        <is>
          <t>WL-03323</t>
        </is>
      </c>
      <c r="B2324" s="37" t="inlineStr">
        <is>
          <t>Dickerson</t>
        </is>
      </c>
      <c r="C2324" s="37" t="inlineStr">
        <is>
          <t>Wesley</t>
        </is>
      </c>
      <c r="D2324" s="37" t="inlineStr">
        <is>
          <t>ACTIVE_WAITLIST</t>
        </is>
      </c>
      <c r="E2324" s="37" t="n">
        <v>38</v>
      </c>
      <c r="F2324" s="37" t="n">
        <v>11.3</v>
      </c>
    </row>
    <row r="2325">
      <c r="A2325" s="37" t="inlineStr">
        <is>
          <t>WL-03324</t>
        </is>
      </c>
      <c r="B2325" s="37" t="inlineStr">
        <is>
          <t>Hanna</t>
        </is>
      </c>
      <c r="C2325" s="37" t="inlineStr">
        <is>
          <t>Jacob</t>
        </is>
      </c>
      <c r="D2325" s="37" t="inlineStr">
        <is>
          <t>ACTIVE_WAITLIST</t>
        </is>
      </c>
      <c r="E2325" s="37" t="n">
        <v>41.9</v>
      </c>
      <c r="F2325" s="37" t="n">
        <v>12.3</v>
      </c>
    </row>
    <row r="2326">
      <c r="A2326" s="37" t="inlineStr">
        <is>
          <t>WL-03325</t>
        </is>
      </c>
      <c r="B2326" s="37" t="inlineStr">
        <is>
          <t>Vaughn</t>
        </is>
      </c>
      <c r="C2326" s="37" t="inlineStr">
        <is>
          <t>Brian</t>
        </is>
      </c>
      <c r="D2326" s="37" t="inlineStr">
        <is>
          <t>ACTIVE_WAITLIST</t>
        </is>
      </c>
      <c r="E2326" s="37" t="n">
        <v>56.3</v>
      </c>
      <c r="F2326" s="37" t="n">
        <v>19.8</v>
      </c>
    </row>
    <row r="2327">
      <c r="A2327" s="37" t="inlineStr">
        <is>
          <t>WL-03326</t>
        </is>
      </c>
      <c r="B2327" s="37" t="inlineStr">
        <is>
          <t>Brock</t>
        </is>
      </c>
      <c r="C2327" s="37" t="inlineStr">
        <is>
          <t>Christopher</t>
        </is>
      </c>
      <c r="D2327" s="37" t="inlineStr">
        <is>
          <t>ACTIVE_WAITLIST</t>
        </is>
      </c>
      <c r="E2327" s="37" t="n">
        <v>40</v>
      </c>
      <c r="F2327" s="37" t="n">
        <v>11.2</v>
      </c>
    </row>
    <row r="2328">
      <c r="A2328" s="37" t="inlineStr">
        <is>
          <t>WL-03327</t>
        </is>
      </c>
      <c r="B2328" s="37" t="inlineStr">
        <is>
          <t>Zamora</t>
        </is>
      </c>
      <c r="C2328" s="37" t="inlineStr">
        <is>
          <t>Laura</t>
        </is>
      </c>
      <c r="D2328" s="37" t="inlineStr">
        <is>
          <t>ACTIVE_WAITLIST</t>
        </is>
      </c>
      <c r="E2328" s="37" t="n">
        <v>53.3</v>
      </c>
      <c r="F2328" s="37" t="n">
        <v>16.5</v>
      </c>
    </row>
    <row r="2329">
      <c r="A2329" s="37" t="inlineStr">
        <is>
          <t>WL-03328</t>
        </is>
      </c>
      <c r="B2329" s="37" t="inlineStr">
        <is>
          <t>Perry</t>
        </is>
      </c>
      <c r="C2329" s="37" t="inlineStr">
        <is>
          <t>Beth</t>
        </is>
      </c>
      <c r="D2329" s="37" t="inlineStr">
        <is>
          <t>ACTIVE_WAITLIST</t>
        </is>
      </c>
      <c r="E2329" s="37" t="n">
        <v>55.8</v>
      </c>
      <c r="F2329" s="37" t="n">
        <v>19.5</v>
      </c>
    </row>
    <row r="2330">
      <c r="A2330" s="37" t="inlineStr">
        <is>
          <t>WL-03329</t>
        </is>
      </c>
      <c r="B2330" s="37" t="inlineStr">
        <is>
          <t>Davis</t>
        </is>
      </c>
      <c r="C2330" s="37" t="inlineStr">
        <is>
          <t>Anne</t>
        </is>
      </c>
      <c r="D2330" s="37" t="inlineStr">
        <is>
          <t>ACTIVE_WAITLIST</t>
        </is>
      </c>
      <c r="E2330" s="37" t="n">
        <v>36.6</v>
      </c>
      <c r="F2330" s="37" t="n">
        <v>10.8</v>
      </c>
    </row>
    <row r="2331">
      <c r="A2331" s="37" t="inlineStr">
        <is>
          <t>WL-03330</t>
        </is>
      </c>
      <c r="B2331" s="37" t="inlineStr">
        <is>
          <t>Bauer</t>
        </is>
      </c>
      <c r="C2331" s="37" t="inlineStr">
        <is>
          <t>Lori</t>
        </is>
      </c>
      <c r="D2331" s="37" t="inlineStr">
        <is>
          <t>ACTIVE_WAITLIST</t>
        </is>
      </c>
      <c r="E2331" s="37" t="n">
        <v>56.7</v>
      </c>
      <c r="F2331" s="37" t="n">
        <v>17.8</v>
      </c>
    </row>
    <row r="2332">
      <c r="A2332" s="37" t="inlineStr">
        <is>
          <t>WL-03331</t>
        </is>
      </c>
      <c r="B2332" s="37" t="inlineStr">
        <is>
          <t>Lane</t>
        </is>
      </c>
      <c r="C2332" s="37" t="inlineStr">
        <is>
          <t>Samuel</t>
        </is>
      </c>
      <c r="D2332" s="37" t="inlineStr">
        <is>
          <t>ACTIVE_WAITLIST</t>
        </is>
      </c>
      <c r="E2332" s="37" t="n">
        <v>54</v>
      </c>
      <c r="F2332" s="37" t="n">
        <v>15.2</v>
      </c>
    </row>
    <row r="2333">
      <c r="A2333" s="37" t="inlineStr">
        <is>
          <t>WL-03332</t>
        </is>
      </c>
      <c r="B2333" s="37" t="inlineStr">
        <is>
          <t>Rodgers</t>
        </is>
      </c>
      <c r="C2333" s="37" t="inlineStr">
        <is>
          <t>Amanda</t>
        </is>
      </c>
      <c r="D2333" s="37" t="inlineStr">
        <is>
          <t>ACTIVE_WAITLIST</t>
        </is>
      </c>
      <c r="E2333" s="37" t="n">
        <v>49.2</v>
      </c>
      <c r="F2333" s="37" t="n">
        <v>17.6</v>
      </c>
    </row>
    <row r="2334">
      <c r="A2334" s="37" t="inlineStr">
        <is>
          <t>WL-03333</t>
        </is>
      </c>
      <c r="B2334" s="37" t="inlineStr">
        <is>
          <t>Greene</t>
        </is>
      </c>
      <c r="C2334" s="37" t="inlineStr">
        <is>
          <t>Steven</t>
        </is>
      </c>
      <c r="D2334" s="37" t="inlineStr">
        <is>
          <t>ACTIVE_WAITLIST</t>
        </is>
      </c>
      <c r="E2334" s="37" t="n">
        <v>31.1</v>
      </c>
      <c r="F2334" s="37" t="n">
        <v>9.800000000000001</v>
      </c>
    </row>
    <row r="2335">
      <c r="A2335" s="37" t="inlineStr">
        <is>
          <t>WL-03334</t>
        </is>
      </c>
      <c r="B2335" s="37" t="inlineStr">
        <is>
          <t>Friedman</t>
        </is>
      </c>
      <c r="C2335" s="37" t="inlineStr">
        <is>
          <t>Samantha</t>
        </is>
      </c>
      <c r="D2335" s="37" t="inlineStr">
        <is>
          <t>EXPIRED</t>
        </is>
      </c>
      <c r="E2335" s="37" t="n">
        <v>36.1</v>
      </c>
      <c r="F2335" s="37" t="n">
        <v>10.2</v>
      </c>
    </row>
    <row r="2336">
      <c r="A2336" s="37" t="inlineStr">
        <is>
          <t>WL-03335</t>
        </is>
      </c>
      <c r="B2336" s="37" t="inlineStr">
        <is>
          <t>Johnson</t>
        </is>
      </c>
      <c r="C2336" s="37" t="inlineStr">
        <is>
          <t>Adrian</t>
        </is>
      </c>
      <c r="D2336" s="37" t="inlineStr">
        <is>
          <t>RETAINER</t>
        </is>
      </c>
      <c r="E2336" s="37" t="n">
        <v>54.7</v>
      </c>
      <c r="F2336" s="37" t="n">
        <v>16.2</v>
      </c>
    </row>
    <row r="2337">
      <c r="A2337" s="37" t="inlineStr">
        <is>
          <t>WL-03336</t>
        </is>
      </c>
      <c r="B2337" s="37" t="inlineStr">
        <is>
          <t>Bailey</t>
        </is>
      </c>
      <c r="C2337" s="37" t="inlineStr">
        <is>
          <t>Jason</t>
        </is>
      </c>
      <c r="D2337" s="37" t="inlineStr">
        <is>
          <t>EXPIRED</t>
        </is>
      </c>
      <c r="E2337" s="37" t="n">
        <v>19.6</v>
      </c>
      <c r="F2337" s="37" t="n">
        <v>5.6</v>
      </c>
    </row>
    <row r="2338">
      <c r="A2338" s="37" t="inlineStr">
        <is>
          <t>WL-03337</t>
        </is>
      </c>
      <c r="B2338" s="37" t="inlineStr">
        <is>
          <t>Little</t>
        </is>
      </c>
      <c r="C2338" s="37" t="inlineStr">
        <is>
          <t>Daniel</t>
        </is>
      </c>
      <c r="D2338" s="37" t="inlineStr">
        <is>
          <t>EXPIRED</t>
        </is>
      </c>
      <c r="E2338" s="37" t="n">
        <v>28.6</v>
      </c>
      <c r="F2338" s="37" t="n">
        <v>9.199999999999999</v>
      </c>
    </row>
    <row r="2339">
      <c r="A2339" s="37" t="inlineStr">
        <is>
          <t>WL-03338</t>
        </is>
      </c>
      <c r="B2339" s="37" t="inlineStr">
        <is>
          <t>Hall</t>
        </is>
      </c>
      <c r="C2339" s="37" t="inlineStr">
        <is>
          <t>Justin</t>
        </is>
      </c>
      <c r="D2339" s="37" t="inlineStr">
        <is>
          <t>ACTIVE_WAITLIST</t>
        </is>
      </c>
      <c r="E2339" s="37" t="n">
        <v>29.8</v>
      </c>
      <c r="F2339" s="37" t="n">
        <v>9.1</v>
      </c>
    </row>
    <row r="2340">
      <c r="A2340" s="37" t="inlineStr">
        <is>
          <t>WL-03339</t>
        </is>
      </c>
      <c r="B2340" s="37" t="inlineStr">
        <is>
          <t>Andrews</t>
        </is>
      </c>
      <c r="C2340" s="37" t="inlineStr">
        <is>
          <t>Joy</t>
        </is>
      </c>
      <c r="D2340" s="37" t="inlineStr">
        <is>
          <t>ACTIVE_WAITLIST</t>
        </is>
      </c>
      <c r="E2340" s="37" t="n">
        <v>37.1</v>
      </c>
      <c r="F2340" s="37" t="n">
        <v>11</v>
      </c>
    </row>
    <row r="2341">
      <c r="A2341" s="37" t="inlineStr">
        <is>
          <t>WL-03340</t>
        </is>
      </c>
      <c r="B2341" s="37" t="inlineStr">
        <is>
          <t>Gonzalez</t>
        </is>
      </c>
      <c r="C2341" s="37" t="inlineStr">
        <is>
          <t>Linda</t>
        </is>
      </c>
      <c r="D2341" s="37" t="inlineStr">
        <is>
          <t>ACTIVE_WAITLIST</t>
        </is>
      </c>
      <c r="E2341" s="37" t="n">
        <v>41.6</v>
      </c>
      <c r="F2341" s="37" t="n">
        <v>14.1</v>
      </c>
    </row>
    <row r="2342">
      <c r="A2342" s="37" t="inlineStr">
        <is>
          <t>WL-03341</t>
        </is>
      </c>
      <c r="B2342" s="37" t="inlineStr">
        <is>
          <t>Johnston</t>
        </is>
      </c>
      <c r="C2342" s="37" t="inlineStr">
        <is>
          <t>Terri</t>
        </is>
      </c>
      <c r="D2342" s="37" t="inlineStr">
        <is>
          <t>ACTIVE_WAITLIST</t>
        </is>
      </c>
      <c r="E2342" s="37" t="n">
        <v>34.6</v>
      </c>
      <c r="F2342" s="37" t="n">
        <v>9.9</v>
      </c>
    </row>
    <row r="2343">
      <c r="A2343" s="37" t="inlineStr">
        <is>
          <t>WL-03342</t>
        </is>
      </c>
      <c r="B2343" s="37" t="inlineStr">
        <is>
          <t>Howe</t>
        </is>
      </c>
      <c r="C2343" s="37" t="inlineStr">
        <is>
          <t>Margaret</t>
        </is>
      </c>
      <c r="D2343" s="37" t="inlineStr">
        <is>
          <t>ACTIVE_WAITLIST</t>
        </is>
      </c>
      <c r="E2343" s="37" t="n">
        <v>38</v>
      </c>
      <c r="F2343" s="37" t="n">
        <v>12.1</v>
      </c>
    </row>
    <row r="2344">
      <c r="A2344" s="37" t="inlineStr">
        <is>
          <t>WL-03343</t>
        </is>
      </c>
      <c r="B2344" s="37" t="inlineStr">
        <is>
          <t>Mckinney</t>
        </is>
      </c>
      <c r="C2344" s="37" t="inlineStr">
        <is>
          <t>Justin</t>
        </is>
      </c>
      <c r="D2344" s="37" t="inlineStr">
        <is>
          <t>ACTIVE_WAITLIST</t>
        </is>
      </c>
      <c r="E2344" s="37" t="n">
        <v>54.4</v>
      </c>
      <c r="F2344" s="37" t="n">
        <v>19.1</v>
      </c>
    </row>
    <row r="2345">
      <c r="A2345" s="37" t="inlineStr">
        <is>
          <t>WL-03344</t>
        </is>
      </c>
      <c r="B2345" s="37" t="inlineStr">
        <is>
          <t>Butler</t>
        </is>
      </c>
      <c r="C2345" s="37" t="inlineStr">
        <is>
          <t>Ryan</t>
        </is>
      </c>
      <c r="D2345" s="37" t="inlineStr">
        <is>
          <t>ACTIVE_WAITLIST</t>
        </is>
      </c>
      <c r="E2345" s="37" t="n">
        <v>47.1</v>
      </c>
      <c r="F2345" s="37" t="n">
        <v>15</v>
      </c>
    </row>
    <row r="2346">
      <c r="A2346" s="37" t="inlineStr">
        <is>
          <t>WL-03345</t>
        </is>
      </c>
      <c r="B2346" s="37" t="inlineStr">
        <is>
          <t>Jackson</t>
        </is>
      </c>
      <c r="C2346" s="37" t="inlineStr">
        <is>
          <t>Cody</t>
        </is>
      </c>
      <c r="D2346" s="37" t="inlineStr">
        <is>
          <t>ACTIVE_WAITLIST</t>
        </is>
      </c>
      <c r="E2346" s="37" t="n">
        <v>53.3</v>
      </c>
      <c r="F2346" s="37" t="n">
        <v>16.1</v>
      </c>
    </row>
    <row r="2347">
      <c r="A2347" s="37" t="inlineStr">
        <is>
          <t>WL-03346</t>
        </is>
      </c>
      <c r="B2347" s="37" t="inlineStr">
        <is>
          <t>Miller</t>
        </is>
      </c>
      <c r="C2347" s="37" t="inlineStr">
        <is>
          <t>Andrew</t>
        </is>
      </c>
      <c r="D2347" s="37" t="inlineStr">
        <is>
          <t>ACTIVE_WAITLIST</t>
        </is>
      </c>
      <c r="E2347" s="37" t="n">
        <v>52.5</v>
      </c>
      <c r="F2347" s="37" t="n">
        <v>16</v>
      </c>
    </row>
    <row r="2348">
      <c r="A2348" s="37" t="inlineStr">
        <is>
          <t>WL-03347</t>
        </is>
      </c>
      <c r="B2348" s="37" t="inlineStr">
        <is>
          <t>Ross</t>
        </is>
      </c>
      <c r="C2348" s="37" t="inlineStr">
        <is>
          <t>Toni</t>
        </is>
      </c>
      <c r="D2348" s="37" t="inlineStr">
        <is>
          <t>RETAINER</t>
        </is>
      </c>
      <c r="E2348" s="37" t="n">
        <v>52.2</v>
      </c>
      <c r="F2348" s="37" t="n">
        <v>17.4</v>
      </c>
    </row>
    <row r="2349">
      <c r="A2349" s="37" t="inlineStr">
        <is>
          <t>WL-03348</t>
        </is>
      </c>
      <c r="B2349" s="37" t="inlineStr">
        <is>
          <t>Jackson</t>
        </is>
      </c>
      <c r="C2349" s="37" t="inlineStr">
        <is>
          <t>Sandra</t>
        </is>
      </c>
      <c r="D2349" s="37" t="inlineStr">
        <is>
          <t>ACTIVE_WAITLIST</t>
        </is>
      </c>
      <c r="E2349" s="37" t="n">
        <v>57.4</v>
      </c>
      <c r="F2349" s="37" t="n">
        <v>19.4</v>
      </c>
    </row>
    <row r="2350">
      <c r="A2350" s="37" t="inlineStr">
        <is>
          <t>WL-03349</t>
        </is>
      </c>
      <c r="B2350" s="37" t="inlineStr">
        <is>
          <t>Jimenez</t>
        </is>
      </c>
      <c r="C2350" s="37" t="inlineStr">
        <is>
          <t>Andrew</t>
        </is>
      </c>
      <c r="D2350" s="37" t="inlineStr">
        <is>
          <t>EXPIRED</t>
        </is>
      </c>
      <c r="E2350" s="37" t="n">
        <v>35.8</v>
      </c>
      <c r="F2350" s="37" t="n">
        <v>10.2</v>
      </c>
    </row>
    <row r="2351">
      <c r="A2351" s="37" t="inlineStr">
        <is>
          <t>WL-03350</t>
        </is>
      </c>
      <c r="B2351" s="37" t="inlineStr">
        <is>
          <t>Jones</t>
        </is>
      </c>
      <c r="C2351" s="37" t="inlineStr">
        <is>
          <t>Edwin</t>
        </is>
      </c>
      <c r="D2351" s="37" t="inlineStr">
        <is>
          <t>ACTIVE_WAITLIST</t>
        </is>
      </c>
      <c r="E2351" s="37" t="n">
        <v>49.1</v>
      </c>
      <c r="F2351" s="37" t="n">
        <v>16.3</v>
      </c>
    </row>
    <row r="2352">
      <c r="A2352" s="37" t="inlineStr">
        <is>
          <t>WL-03351</t>
        </is>
      </c>
      <c r="B2352" s="37" t="inlineStr">
        <is>
          <t>Mejia</t>
        </is>
      </c>
      <c r="C2352" s="37" t="inlineStr">
        <is>
          <t>Justin</t>
        </is>
      </c>
      <c r="D2352" s="37" t="inlineStr">
        <is>
          <t>ACTIVE_WAITLIST</t>
        </is>
      </c>
      <c r="E2352" s="37" t="n">
        <v>40.6</v>
      </c>
      <c r="F2352" s="37" t="n">
        <v>14</v>
      </c>
    </row>
    <row r="2353">
      <c r="A2353" s="37" t="inlineStr">
        <is>
          <t>WL-03352</t>
        </is>
      </c>
      <c r="B2353" s="37" t="inlineStr">
        <is>
          <t>Sutton</t>
        </is>
      </c>
      <c r="C2353" s="37" t="inlineStr">
        <is>
          <t>Isabella</t>
        </is>
      </c>
      <c r="D2353" s="37" t="inlineStr">
        <is>
          <t>ACTIVE_WAITLIST</t>
        </is>
      </c>
      <c r="E2353" s="37" t="n">
        <v>55.9</v>
      </c>
      <c r="F2353" s="37" t="n">
        <v>18</v>
      </c>
    </row>
    <row r="2354">
      <c r="A2354" s="37" t="inlineStr">
        <is>
          <t>WL-03353</t>
        </is>
      </c>
      <c r="B2354" s="37" t="inlineStr">
        <is>
          <t>Adkins</t>
        </is>
      </c>
      <c r="C2354" s="37" t="inlineStr">
        <is>
          <t>Patricia</t>
        </is>
      </c>
      <c r="D2354" s="37" t="inlineStr">
        <is>
          <t>ACTIVE_WAITLIST</t>
        </is>
      </c>
      <c r="E2354" s="37" t="n">
        <v>20.7</v>
      </c>
      <c r="F2354" s="37" t="n">
        <v>6.3</v>
      </c>
    </row>
    <row r="2355">
      <c r="A2355" s="37" t="inlineStr">
        <is>
          <t>WL-03354</t>
        </is>
      </c>
      <c r="B2355" s="37" t="inlineStr">
        <is>
          <t>Roberts</t>
        </is>
      </c>
      <c r="C2355" s="37" t="inlineStr">
        <is>
          <t>James</t>
        </is>
      </c>
      <c r="D2355" s="37" t="inlineStr">
        <is>
          <t>ACTIVE_WAITLIST</t>
        </is>
      </c>
      <c r="E2355" s="37" t="n">
        <v>19.4</v>
      </c>
      <c r="F2355" s="37" t="n">
        <v>6.9</v>
      </c>
    </row>
    <row r="2356">
      <c r="A2356" s="37" t="inlineStr">
        <is>
          <t>WL-03355</t>
        </is>
      </c>
      <c r="B2356" s="37" t="inlineStr">
        <is>
          <t>King</t>
        </is>
      </c>
      <c r="C2356" s="37" t="inlineStr">
        <is>
          <t>Sarah</t>
        </is>
      </c>
      <c r="D2356" s="37" t="inlineStr">
        <is>
          <t>ACTIVE_WAITLIST</t>
        </is>
      </c>
      <c r="E2356" s="37" t="n">
        <v>57.4</v>
      </c>
      <c r="F2356" s="37" t="n">
        <v>17.2</v>
      </c>
    </row>
    <row r="2357">
      <c r="A2357" s="37" t="inlineStr">
        <is>
          <t>WL-03356</t>
        </is>
      </c>
      <c r="B2357" s="37" t="inlineStr">
        <is>
          <t>Flores</t>
        </is>
      </c>
      <c r="C2357" s="37" t="inlineStr">
        <is>
          <t>Nathaniel</t>
        </is>
      </c>
      <c r="D2357" s="37" t="inlineStr">
        <is>
          <t>ACTIVE_WAITLIST</t>
        </is>
      </c>
      <c r="E2357" s="37" t="n">
        <v>33.2</v>
      </c>
      <c r="F2357" s="37" t="n">
        <v>9.699999999999999</v>
      </c>
    </row>
    <row r="2358">
      <c r="A2358" s="37" t="inlineStr">
        <is>
          <t>WL-03357</t>
        </is>
      </c>
      <c r="B2358" s="37" t="inlineStr">
        <is>
          <t>Scott</t>
        </is>
      </c>
      <c r="C2358" s="37" t="inlineStr">
        <is>
          <t>Mary</t>
        </is>
      </c>
      <c r="D2358" s="37" t="inlineStr">
        <is>
          <t>ACTIVE_WAITLIST</t>
        </is>
      </c>
      <c r="E2358" s="37" t="n">
        <v>23.3</v>
      </c>
      <c r="F2358" s="37" t="n">
        <v>7.6</v>
      </c>
    </row>
    <row r="2359">
      <c r="A2359" s="37" t="inlineStr">
        <is>
          <t>WL-03358</t>
        </is>
      </c>
      <c r="B2359" s="37" t="inlineStr">
        <is>
          <t>Cruz</t>
        </is>
      </c>
      <c r="C2359" s="37" t="inlineStr">
        <is>
          <t>Jeremiah</t>
        </is>
      </c>
      <c r="D2359" s="37" t="inlineStr">
        <is>
          <t>ACTIVE_WAITLIST</t>
        </is>
      </c>
      <c r="E2359" s="37" t="n">
        <v>25.7</v>
      </c>
      <c r="F2359" s="37" t="n">
        <v>7.3</v>
      </c>
    </row>
    <row r="2360">
      <c r="A2360" s="37" t="inlineStr">
        <is>
          <t>WL-03359</t>
        </is>
      </c>
      <c r="B2360" s="37" t="inlineStr">
        <is>
          <t>Larsen</t>
        </is>
      </c>
      <c r="C2360" s="37" t="inlineStr">
        <is>
          <t>Scott</t>
        </is>
      </c>
      <c r="D2360" s="37" t="inlineStr">
        <is>
          <t>ACTIVE_WAITLIST</t>
        </is>
      </c>
      <c r="E2360" s="37" t="n">
        <v>58.8</v>
      </c>
      <c r="F2360" s="37" t="n">
        <v>19.5</v>
      </c>
    </row>
    <row r="2361">
      <c r="A2361" s="37" t="inlineStr">
        <is>
          <t>WL-03360</t>
        </is>
      </c>
      <c r="B2361" s="37" t="inlineStr">
        <is>
          <t>Ramos</t>
        </is>
      </c>
      <c r="C2361" s="37" t="inlineStr">
        <is>
          <t>Morgan</t>
        </is>
      </c>
      <c r="D2361" s="37" t="inlineStr">
        <is>
          <t>ACTIVE_WAITLIST</t>
        </is>
      </c>
      <c r="E2361" s="37" t="n">
        <v>56.4</v>
      </c>
      <c r="F2361" s="37" t="n">
        <v>19.4</v>
      </c>
    </row>
    <row r="2362">
      <c r="A2362" s="37" t="inlineStr">
        <is>
          <t>WL-03361</t>
        </is>
      </c>
      <c r="B2362" s="37" t="inlineStr">
        <is>
          <t>Robertson</t>
        </is>
      </c>
      <c r="C2362" s="37" t="inlineStr">
        <is>
          <t>Donna</t>
        </is>
      </c>
      <c r="D2362" s="37" t="inlineStr">
        <is>
          <t>ACTIVE_WAITLIST</t>
        </is>
      </c>
      <c r="E2362" s="37" t="n">
        <v>55.7</v>
      </c>
      <c r="F2362" s="37" t="n">
        <v>17.9</v>
      </c>
    </row>
    <row r="2363">
      <c r="A2363" s="37" t="inlineStr">
        <is>
          <t>WL-03362</t>
        </is>
      </c>
      <c r="B2363" s="37" t="inlineStr">
        <is>
          <t>Porter</t>
        </is>
      </c>
      <c r="C2363" s="37" t="inlineStr">
        <is>
          <t>Crystal</t>
        </is>
      </c>
      <c r="D2363" s="37" t="inlineStr">
        <is>
          <t>ACTIVE_WAITLIST</t>
        </is>
      </c>
      <c r="E2363" s="37" t="n">
        <v>21</v>
      </c>
      <c r="F2363" s="37" t="n">
        <v>6.1</v>
      </c>
    </row>
    <row r="2364">
      <c r="A2364" s="37" t="inlineStr">
        <is>
          <t>WL-03363</t>
        </is>
      </c>
      <c r="B2364" s="37" t="inlineStr">
        <is>
          <t>Lopez</t>
        </is>
      </c>
      <c r="C2364" s="37" t="inlineStr">
        <is>
          <t>Benjamin</t>
        </is>
      </c>
      <c r="D2364" s="37" t="inlineStr">
        <is>
          <t>ACTIVE_WAITLIST</t>
        </is>
      </c>
      <c r="E2364" s="37" t="n">
        <v>39.8</v>
      </c>
      <c r="F2364" s="37" t="n">
        <v>11.9</v>
      </c>
    </row>
    <row r="2365">
      <c r="A2365" s="37" t="inlineStr">
        <is>
          <t>WL-03364</t>
        </is>
      </c>
      <c r="B2365" s="37" t="inlineStr">
        <is>
          <t>Patel</t>
        </is>
      </c>
      <c r="C2365" s="37" t="inlineStr">
        <is>
          <t>Brenda</t>
        </is>
      </c>
      <c r="D2365" s="37" t="inlineStr">
        <is>
          <t>ACTIVE_WAITLIST</t>
        </is>
      </c>
      <c r="E2365" s="37" t="n">
        <v>18.3</v>
      </c>
      <c r="F2365" s="37" t="n">
        <v>5.4</v>
      </c>
    </row>
    <row r="2366">
      <c r="A2366" s="37" t="inlineStr">
        <is>
          <t>WL-03365</t>
        </is>
      </c>
      <c r="B2366" s="37" t="inlineStr">
        <is>
          <t>Pennington</t>
        </is>
      </c>
      <c r="C2366" s="37" t="inlineStr">
        <is>
          <t>Elizabeth</t>
        </is>
      </c>
      <c r="D2366" s="37" t="inlineStr">
        <is>
          <t>ACTIVE_WAITLIST</t>
        </is>
      </c>
      <c r="E2366" s="37" t="n">
        <v>19.1</v>
      </c>
      <c r="F2366" s="37" t="n">
        <v>6</v>
      </c>
    </row>
    <row r="2367">
      <c r="A2367" s="37" t="inlineStr">
        <is>
          <t>WL-03366</t>
        </is>
      </c>
      <c r="B2367" s="37" t="inlineStr">
        <is>
          <t>Mckinney</t>
        </is>
      </c>
      <c r="C2367" s="37" t="inlineStr">
        <is>
          <t>Jose</t>
        </is>
      </c>
      <c r="D2367" s="37" t="inlineStr">
        <is>
          <t>ACTIVE_WAITLIST</t>
        </is>
      </c>
      <c r="E2367" s="37" t="n">
        <v>60.9</v>
      </c>
      <c r="F2367" s="37" t="n">
        <v>18.9</v>
      </c>
    </row>
    <row r="2368">
      <c r="A2368" s="37" t="inlineStr">
        <is>
          <t>WL-03367</t>
        </is>
      </c>
      <c r="B2368" s="37" t="inlineStr">
        <is>
          <t>Stevenson</t>
        </is>
      </c>
      <c r="C2368" s="37" t="inlineStr">
        <is>
          <t>Jill</t>
        </is>
      </c>
      <c r="D2368" s="37" t="inlineStr">
        <is>
          <t>ACTIVE_WAITLIST</t>
        </is>
      </c>
      <c r="E2368" s="37" t="n">
        <v>47.8</v>
      </c>
      <c r="F2368" s="37" t="n">
        <v>13.4</v>
      </c>
    </row>
    <row r="2369">
      <c r="A2369" s="37" t="inlineStr">
        <is>
          <t>WL-03368</t>
        </is>
      </c>
      <c r="B2369" s="37" t="inlineStr">
        <is>
          <t>Bowen</t>
        </is>
      </c>
      <c r="C2369" s="37" t="inlineStr">
        <is>
          <t>Daniel</t>
        </is>
      </c>
      <c r="D2369" s="37" t="inlineStr">
        <is>
          <t>ACTIVE_WAITLIST</t>
        </is>
      </c>
      <c r="E2369" s="37" t="n">
        <v>41.7</v>
      </c>
      <c r="F2369" s="37" t="n">
        <v>11.7</v>
      </c>
    </row>
    <row r="2370">
      <c r="A2370" s="37" t="inlineStr">
        <is>
          <t>WL-03369</t>
        </is>
      </c>
      <c r="B2370" s="37" t="inlineStr">
        <is>
          <t>Jones</t>
        </is>
      </c>
      <c r="C2370" s="37" t="inlineStr">
        <is>
          <t>Sara</t>
        </is>
      </c>
      <c r="D2370" s="37" t="inlineStr">
        <is>
          <t>ACTIVE_WAITLIST</t>
        </is>
      </c>
      <c r="E2370" s="37" t="n">
        <v>47.9</v>
      </c>
      <c r="F2370" s="37" t="n">
        <v>17</v>
      </c>
    </row>
    <row r="2371">
      <c r="A2371" s="37" t="inlineStr">
        <is>
          <t>WL-03370</t>
        </is>
      </c>
      <c r="B2371" s="37" t="inlineStr">
        <is>
          <t>Adkins</t>
        </is>
      </c>
      <c r="C2371" s="37" t="inlineStr">
        <is>
          <t>Denise</t>
        </is>
      </c>
      <c r="D2371" s="37" t="inlineStr">
        <is>
          <t>ACTIVE_WAITLIST</t>
        </is>
      </c>
      <c r="E2371" s="37" t="n">
        <v>42.5</v>
      </c>
      <c r="F2371" s="37" t="n">
        <v>15.2</v>
      </c>
    </row>
    <row r="2372">
      <c r="A2372" s="37" t="inlineStr">
        <is>
          <t>WL-03371</t>
        </is>
      </c>
      <c r="B2372" s="37" t="inlineStr">
        <is>
          <t>Barber</t>
        </is>
      </c>
      <c r="C2372" s="37" t="inlineStr">
        <is>
          <t>Scott</t>
        </is>
      </c>
      <c r="D2372" s="37" t="inlineStr">
        <is>
          <t>ACTIVE_WAITLIST</t>
        </is>
      </c>
      <c r="E2372" s="37" t="n">
        <v>24.6</v>
      </c>
      <c r="F2372" s="37" t="n">
        <v>7.6</v>
      </c>
    </row>
    <row r="2373">
      <c r="A2373" s="37" t="inlineStr">
        <is>
          <t>WL-03372</t>
        </is>
      </c>
      <c r="B2373" s="37" t="inlineStr">
        <is>
          <t>Alexander</t>
        </is>
      </c>
      <c r="C2373" s="37" t="inlineStr">
        <is>
          <t>Kristin</t>
        </is>
      </c>
      <c r="D2373" s="37" t="inlineStr">
        <is>
          <t>ACTIVE_WAITLIST</t>
        </is>
      </c>
      <c r="E2373" s="37" t="n">
        <v>25.7</v>
      </c>
      <c r="F2373" s="37" t="n">
        <v>8.800000000000001</v>
      </c>
    </row>
    <row r="2374">
      <c r="A2374" s="37" t="inlineStr">
        <is>
          <t>WL-03373</t>
        </is>
      </c>
      <c r="B2374" s="37" t="inlineStr">
        <is>
          <t>Mcgee</t>
        </is>
      </c>
      <c r="C2374" s="37" t="inlineStr">
        <is>
          <t>Sara</t>
        </is>
      </c>
      <c r="D2374" s="37" t="inlineStr">
        <is>
          <t>ACTIVE_WAITLIST</t>
        </is>
      </c>
      <c r="E2374" s="37" t="n">
        <v>36.7</v>
      </c>
      <c r="F2374" s="37" t="n">
        <v>11.3</v>
      </c>
    </row>
    <row r="2375">
      <c r="A2375" s="37" t="inlineStr">
        <is>
          <t>WL-03374</t>
        </is>
      </c>
      <c r="B2375" s="37" t="inlineStr">
        <is>
          <t>Ward</t>
        </is>
      </c>
      <c r="C2375" s="37" t="inlineStr">
        <is>
          <t>Tina</t>
        </is>
      </c>
      <c r="D2375" s="37" t="inlineStr">
        <is>
          <t>ACTIVE_WAITLIST</t>
        </is>
      </c>
      <c r="E2375" s="37" t="n">
        <v>48.6</v>
      </c>
      <c r="F2375" s="37" t="n">
        <v>15.4</v>
      </c>
    </row>
    <row r="2376">
      <c r="A2376" s="37" t="inlineStr">
        <is>
          <t>WL-03375</t>
        </is>
      </c>
      <c r="B2376" s="37" t="inlineStr">
        <is>
          <t>Rogers</t>
        </is>
      </c>
      <c r="C2376" s="37" t="inlineStr">
        <is>
          <t>Debra</t>
        </is>
      </c>
      <c r="D2376" s="37" t="inlineStr">
        <is>
          <t>ACTIVE_WAITLIST</t>
        </is>
      </c>
      <c r="E2376" s="37" t="n">
        <v>53.2</v>
      </c>
      <c r="F2376" s="37" t="n">
        <v>15.4</v>
      </c>
    </row>
    <row r="2377">
      <c r="A2377" s="37" t="inlineStr">
        <is>
          <t>WL-03376</t>
        </is>
      </c>
      <c r="B2377" s="37" t="inlineStr">
        <is>
          <t>Diaz</t>
        </is>
      </c>
      <c r="C2377" s="37" t="inlineStr">
        <is>
          <t>Vicki</t>
        </is>
      </c>
      <c r="D2377" s="37" t="inlineStr">
        <is>
          <t>ACTIVE_WAITLIST</t>
        </is>
      </c>
      <c r="E2377" s="37" t="n">
        <v>46.2</v>
      </c>
      <c r="F2377" s="37" t="n">
        <v>16.1</v>
      </c>
    </row>
    <row r="2378">
      <c r="A2378" s="37" t="inlineStr">
        <is>
          <t>WL-03377</t>
        </is>
      </c>
      <c r="B2378" s="37" t="inlineStr">
        <is>
          <t>Harris</t>
        </is>
      </c>
      <c r="C2378" s="37" t="inlineStr">
        <is>
          <t>Cynthia</t>
        </is>
      </c>
      <c r="D2378" s="37" t="inlineStr">
        <is>
          <t>ACTIVE_WAITLIST</t>
        </is>
      </c>
      <c r="E2378" s="37" t="n">
        <v>53.2</v>
      </c>
      <c r="F2378" s="37" t="n">
        <v>15.3</v>
      </c>
    </row>
    <row r="2379">
      <c r="A2379" s="37" t="inlineStr">
        <is>
          <t>WL-03378</t>
        </is>
      </c>
      <c r="B2379" s="37" t="inlineStr">
        <is>
          <t>Lewis</t>
        </is>
      </c>
      <c r="C2379" s="37" t="inlineStr">
        <is>
          <t>Jessica</t>
        </is>
      </c>
      <c r="D2379" s="37" t="inlineStr">
        <is>
          <t>ACTIVE_WAITLIST</t>
        </is>
      </c>
      <c r="E2379" s="37" t="n">
        <v>34.6</v>
      </c>
      <c r="F2379" s="37" t="n">
        <v>12.4</v>
      </c>
    </row>
    <row r="2380">
      <c r="A2380" s="37" t="inlineStr">
        <is>
          <t>WL-03379</t>
        </is>
      </c>
      <c r="B2380" s="37" t="inlineStr">
        <is>
          <t>Cole</t>
        </is>
      </c>
      <c r="C2380" s="37" t="inlineStr">
        <is>
          <t>Matthew</t>
        </is>
      </c>
      <c r="D2380" s="37" t="inlineStr">
        <is>
          <t>ACTIVE_WAITLIST</t>
        </is>
      </c>
      <c r="E2380" s="37" t="n">
        <v>61.8</v>
      </c>
      <c r="F2380" s="37" t="n">
        <v>17.6</v>
      </c>
    </row>
    <row r="2381">
      <c r="A2381" s="37" t="inlineStr">
        <is>
          <t>WL-03380</t>
        </is>
      </c>
      <c r="B2381" s="37" t="inlineStr">
        <is>
          <t>Snyder</t>
        </is>
      </c>
      <c r="C2381" s="37" t="inlineStr">
        <is>
          <t>Charles</t>
        </is>
      </c>
      <c r="D2381" s="37" t="inlineStr">
        <is>
          <t>ACTIVE_WAITLIST</t>
        </is>
      </c>
      <c r="E2381" s="37" t="n">
        <v>47.5</v>
      </c>
      <c r="F2381" s="37" t="n">
        <v>15.8</v>
      </c>
    </row>
    <row r="2382">
      <c r="A2382" s="37" t="inlineStr">
        <is>
          <t>WL-03381</t>
        </is>
      </c>
      <c r="B2382" s="37" t="inlineStr">
        <is>
          <t>Jackson</t>
        </is>
      </c>
      <c r="C2382" s="37" t="inlineStr">
        <is>
          <t>Julie</t>
        </is>
      </c>
      <c r="D2382" s="37" t="inlineStr">
        <is>
          <t>ACTIVE_WAITLIST</t>
        </is>
      </c>
      <c r="E2382" s="37" t="n">
        <v>36.4</v>
      </c>
      <c r="F2382" s="37" t="n">
        <v>10.5</v>
      </c>
    </row>
    <row r="2383">
      <c r="A2383" s="37" t="inlineStr">
        <is>
          <t>WL-03382</t>
        </is>
      </c>
      <c r="B2383" s="37" t="inlineStr">
        <is>
          <t>Noble</t>
        </is>
      </c>
      <c r="C2383" s="37" t="inlineStr">
        <is>
          <t>Katherine</t>
        </is>
      </c>
      <c r="D2383" s="37" t="inlineStr">
        <is>
          <t>ACTIVE_WAITLIST</t>
        </is>
      </c>
      <c r="E2383" s="37" t="n">
        <v>42.8</v>
      </c>
      <c r="F2383" s="37" t="n">
        <v>14.1</v>
      </c>
    </row>
    <row r="2384">
      <c r="A2384" s="37" t="inlineStr">
        <is>
          <t>WL-03383</t>
        </is>
      </c>
      <c r="B2384" s="37" t="inlineStr">
        <is>
          <t>Potter</t>
        </is>
      </c>
      <c r="C2384" s="37" t="inlineStr">
        <is>
          <t>Michelle</t>
        </is>
      </c>
      <c r="D2384" s="37" t="inlineStr">
        <is>
          <t>ACTIVE_WAITLIST</t>
        </is>
      </c>
      <c r="E2384" s="37" t="n">
        <v>38.5</v>
      </c>
      <c r="F2384" s="37" t="n">
        <v>12.9</v>
      </c>
    </row>
    <row r="2385">
      <c r="A2385" s="37" t="inlineStr">
        <is>
          <t>WL-03384</t>
        </is>
      </c>
      <c r="B2385" s="37" t="inlineStr">
        <is>
          <t>Fleming</t>
        </is>
      </c>
      <c r="C2385" s="37" t="inlineStr">
        <is>
          <t>Luke</t>
        </is>
      </c>
      <c r="D2385" s="37" t="inlineStr">
        <is>
          <t>ACTIVE_WAITLIST</t>
        </is>
      </c>
      <c r="E2385" s="37" t="n">
        <v>54.3</v>
      </c>
      <c r="F2385" s="37" t="n">
        <v>19</v>
      </c>
    </row>
    <row r="2386">
      <c r="A2386" s="37" t="inlineStr">
        <is>
          <t>WL-03385</t>
        </is>
      </c>
      <c r="B2386" s="37" t="inlineStr">
        <is>
          <t>Chen</t>
        </is>
      </c>
      <c r="C2386" s="37" t="inlineStr">
        <is>
          <t>Anthony</t>
        </is>
      </c>
      <c r="D2386" s="37" t="inlineStr">
        <is>
          <t>ACTIVE_WAITLIST</t>
        </is>
      </c>
      <c r="E2386" s="37" t="n">
        <v>18.2</v>
      </c>
      <c r="F2386" s="37" t="n">
        <v>5.4</v>
      </c>
    </row>
    <row r="2387">
      <c r="A2387" s="37" t="inlineStr">
        <is>
          <t>WL-03386</t>
        </is>
      </c>
      <c r="B2387" s="37" t="inlineStr">
        <is>
          <t>Sullivan</t>
        </is>
      </c>
      <c r="C2387" s="37" t="inlineStr">
        <is>
          <t>John</t>
        </is>
      </c>
      <c r="D2387" s="37" t="inlineStr">
        <is>
          <t>RETAINER</t>
        </is>
      </c>
      <c r="E2387" s="37" t="n">
        <v>25</v>
      </c>
      <c r="F2387" s="37" t="n">
        <v>7</v>
      </c>
    </row>
    <row r="2388">
      <c r="A2388" s="37" t="inlineStr">
        <is>
          <t>WL-03387</t>
        </is>
      </c>
      <c r="B2388" s="37" t="inlineStr">
        <is>
          <t>Rowe</t>
        </is>
      </c>
      <c r="C2388" s="37" t="inlineStr">
        <is>
          <t>Paul</t>
        </is>
      </c>
      <c r="D2388" s="37" t="inlineStr">
        <is>
          <t>ACTIVE_WAITLIST</t>
        </is>
      </c>
      <c r="E2388" s="37" t="n">
        <v>54.4</v>
      </c>
      <c r="F2388" s="37" t="n">
        <v>16.7</v>
      </c>
    </row>
    <row r="2389">
      <c r="A2389" s="37" t="inlineStr">
        <is>
          <t>WL-03388</t>
        </is>
      </c>
      <c r="B2389" s="37" t="inlineStr">
        <is>
          <t>Cook</t>
        </is>
      </c>
      <c r="C2389" s="37" t="inlineStr">
        <is>
          <t>Benjamin</t>
        </is>
      </c>
      <c r="D2389" s="37" t="inlineStr">
        <is>
          <t>ACTIVE_WAITLIST</t>
        </is>
      </c>
      <c r="E2389" s="37" t="n">
        <v>43.8</v>
      </c>
      <c r="F2389" s="37" t="n">
        <v>12.7</v>
      </c>
    </row>
    <row r="2390">
      <c r="A2390" s="37" t="inlineStr">
        <is>
          <t>WL-03389</t>
        </is>
      </c>
      <c r="B2390" s="37" t="inlineStr">
        <is>
          <t>Reyes</t>
        </is>
      </c>
      <c r="C2390" s="37" t="inlineStr">
        <is>
          <t>Christina</t>
        </is>
      </c>
      <c r="D2390" s="37" t="inlineStr">
        <is>
          <t>ACTIVE_WAITLIST</t>
        </is>
      </c>
      <c r="E2390" s="37" t="n">
        <v>24.6</v>
      </c>
      <c r="F2390" s="37" t="n">
        <v>7.2</v>
      </c>
    </row>
    <row r="2391">
      <c r="A2391" s="37" t="inlineStr">
        <is>
          <t>WL-03390</t>
        </is>
      </c>
      <c r="B2391" s="37" t="inlineStr">
        <is>
          <t>Ard</t>
        </is>
      </c>
      <c r="C2391" s="37" t="inlineStr">
        <is>
          <t>Phillip</t>
        </is>
      </c>
      <c r="D2391" s="37" t="inlineStr">
        <is>
          <t>RETAINER</t>
        </is>
      </c>
      <c r="E2391" s="37" t="n">
        <v>29.9</v>
      </c>
      <c r="F2391" s="37" t="n">
        <v>10</v>
      </c>
    </row>
    <row r="2392">
      <c r="A2392" s="37" t="inlineStr">
        <is>
          <t>WL-03391</t>
        </is>
      </c>
      <c r="B2392" s="37" t="inlineStr">
        <is>
          <t>Gonzales</t>
        </is>
      </c>
      <c r="C2392" s="37" t="inlineStr">
        <is>
          <t>Michael</t>
        </is>
      </c>
      <c r="D2392" s="37" t="inlineStr">
        <is>
          <t>ACTIVE_WAITLIST</t>
        </is>
      </c>
      <c r="E2392" s="37" t="n">
        <v>40.1</v>
      </c>
      <c r="F2392" s="37" t="n">
        <v>12.3</v>
      </c>
    </row>
    <row r="2393">
      <c r="A2393" s="37" t="inlineStr">
        <is>
          <t>WL-03392</t>
        </is>
      </c>
      <c r="B2393" s="37" t="inlineStr">
        <is>
          <t>Hart</t>
        </is>
      </c>
      <c r="C2393" s="37" t="inlineStr">
        <is>
          <t>Matthew</t>
        </is>
      </c>
      <c r="D2393" s="37" t="inlineStr">
        <is>
          <t>ACTIVE_WAITLIST</t>
        </is>
      </c>
      <c r="E2393" s="37" t="n">
        <v>32.3</v>
      </c>
      <c r="F2393" s="37" t="n">
        <v>9.800000000000001</v>
      </c>
    </row>
    <row r="2394">
      <c r="A2394" s="37" t="inlineStr">
        <is>
          <t>WL-03393</t>
        </is>
      </c>
      <c r="B2394" s="37" t="inlineStr">
        <is>
          <t>Norris</t>
        </is>
      </c>
      <c r="C2394" s="37" t="inlineStr">
        <is>
          <t>Richard</t>
        </is>
      </c>
      <c r="D2394" s="37" t="inlineStr">
        <is>
          <t>ACTIVE_WAITLIST</t>
        </is>
      </c>
      <c r="E2394" s="37" t="n">
        <v>62</v>
      </c>
      <c r="F2394" s="37" t="n">
        <v>20.2</v>
      </c>
    </row>
    <row r="2395">
      <c r="A2395" s="37" t="inlineStr">
        <is>
          <t>WL-03394</t>
        </is>
      </c>
      <c r="B2395" s="37" t="inlineStr">
        <is>
          <t>Robinson</t>
        </is>
      </c>
      <c r="C2395" s="37" t="inlineStr">
        <is>
          <t>Alyssa</t>
        </is>
      </c>
      <c r="D2395" s="37" t="inlineStr">
        <is>
          <t>ACTIVE_WAITLIST</t>
        </is>
      </c>
      <c r="E2395" s="37" t="n">
        <v>28.5</v>
      </c>
      <c r="F2395" s="37" t="n">
        <v>8.9</v>
      </c>
    </row>
    <row r="2396">
      <c r="A2396" s="37" t="inlineStr">
        <is>
          <t>WL-03395</t>
        </is>
      </c>
      <c r="B2396" s="37" t="inlineStr">
        <is>
          <t>Summers</t>
        </is>
      </c>
      <c r="C2396" s="37" t="inlineStr">
        <is>
          <t>Matthew</t>
        </is>
      </c>
      <c r="D2396" s="37" t="inlineStr">
        <is>
          <t>ACTIVE_WAITLIST</t>
        </is>
      </c>
      <c r="E2396" s="37" t="n">
        <v>42.2</v>
      </c>
      <c r="F2396" s="37" t="n">
        <v>13.1</v>
      </c>
    </row>
    <row r="2397">
      <c r="A2397" s="37" t="inlineStr">
        <is>
          <t>WL-03396</t>
        </is>
      </c>
      <c r="B2397" s="37" t="inlineStr">
        <is>
          <t>Woods</t>
        </is>
      </c>
      <c r="C2397" s="37" t="inlineStr">
        <is>
          <t>Tanya</t>
        </is>
      </c>
      <c r="D2397" s="37" t="inlineStr">
        <is>
          <t>ACTIVE_WAITLIST</t>
        </is>
      </c>
      <c r="E2397" s="37" t="n">
        <v>24.6</v>
      </c>
      <c r="F2397" s="37" t="n">
        <v>7</v>
      </c>
    </row>
    <row r="2398">
      <c r="A2398" s="37" t="inlineStr">
        <is>
          <t>WL-03397</t>
        </is>
      </c>
      <c r="B2398" s="37" t="inlineStr">
        <is>
          <t>Daugherty</t>
        </is>
      </c>
      <c r="C2398" s="37" t="inlineStr">
        <is>
          <t>Jessica</t>
        </is>
      </c>
      <c r="D2398" s="37" t="inlineStr">
        <is>
          <t>ACTIVE_WAITLIST</t>
        </is>
      </c>
      <c r="E2398" s="37" t="n">
        <v>18.3</v>
      </c>
      <c r="F2398" s="37" t="n">
        <v>5.5</v>
      </c>
    </row>
    <row r="2399">
      <c r="A2399" s="37" t="inlineStr">
        <is>
          <t>WL-03398</t>
        </is>
      </c>
      <c r="B2399" s="37" t="inlineStr">
        <is>
          <t>Cannon</t>
        </is>
      </c>
      <c r="C2399" s="37" t="inlineStr">
        <is>
          <t>Jeffery</t>
        </is>
      </c>
      <c r="D2399" s="37" t="inlineStr">
        <is>
          <t>ACTIVE_WAITLIST</t>
        </is>
      </c>
      <c r="E2399" s="37" t="n">
        <v>34.4</v>
      </c>
      <c r="F2399" s="37" t="n">
        <v>10.2</v>
      </c>
    </row>
    <row r="2400">
      <c r="A2400" s="37" t="inlineStr">
        <is>
          <t>WL-03399</t>
        </is>
      </c>
      <c r="B2400" s="37" t="inlineStr">
        <is>
          <t>Case</t>
        </is>
      </c>
      <c r="C2400" s="37" t="inlineStr">
        <is>
          <t>Charles</t>
        </is>
      </c>
      <c r="D2400" s="37" t="inlineStr">
        <is>
          <t>ACTIVE_WAITLIST</t>
        </is>
      </c>
      <c r="E2400" s="37" t="n">
        <v>25.4</v>
      </c>
      <c r="F2400" s="37" t="n">
        <v>7.9</v>
      </c>
    </row>
    <row r="2401">
      <c r="A2401" s="37" t="inlineStr">
        <is>
          <t>WL-03400</t>
        </is>
      </c>
      <c r="B2401" s="37" t="inlineStr">
        <is>
          <t>Blair</t>
        </is>
      </c>
      <c r="C2401" s="37" t="inlineStr">
        <is>
          <t>Danielle</t>
        </is>
      </c>
      <c r="D2401" s="37" t="inlineStr">
        <is>
          <t>SUSPENDED</t>
        </is>
      </c>
      <c r="E2401" s="37" t="n">
        <v>60.6</v>
      </c>
      <c r="F2401" s="37" t="n">
        <v>20.1</v>
      </c>
    </row>
    <row r="2402">
      <c r="A2402" s="37" t="inlineStr">
        <is>
          <t>WL-03401</t>
        </is>
      </c>
      <c r="B2402" s="37" t="inlineStr">
        <is>
          <t>Chambers</t>
        </is>
      </c>
      <c r="C2402" s="37" t="inlineStr">
        <is>
          <t>Shawn</t>
        </is>
      </c>
      <c r="D2402" s="37" t="inlineStr">
        <is>
          <t>ACTIVE_WAITLIST</t>
        </is>
      </c>
      <c r="E2402" s="37" t="n">
        <v>34.6</v>
      </c>
      <c r="F2402" s="37" t="n">
        <v>11.7</v>
      </c>
    </row>
    <row r="2403">
      <c r="A2403" s="37" t="inlineStr">
        <is>
          <t>WL-03402</t>
        </is>
      </c>
      <c r="B2403" s="37" t="inlineStr">
        <is>
          <t>Brennan</t>
        </is>
      </c>
      <c r="C2403" s="37" t="inlineStr">
        <is>
          <t>Jennifer</t>
        </is>
      </c>
      <c r="D2403" s="37" t="inlineStr">
        <is>
          <t>ACTIVE_WAITLIST</t>
        </is>
      </c>
      <c r="E2403" s="37" t="n">
        <v>60.7</v>
      </c>
      <c r="F2403" s="37" t="n">
        <v>17.6</v>
      </c>
    </row>
    <row r="2404">
      <c r="A2404" s="37" t="inlineStr">
        <is>
          <t>WL-03403</t>
        </is>
      </c>
      <c r="B2404" s="37" t="inlineStr">
        <is>
          <t>Mcpherson</t>
        </is>
      </c>
      <c r="C2404" s="37" t="inlineStr">
        <is>
          <t>Christopher</t>
        </is>
      </c>
      <c r="D2404" s="37" t="inlineStr">
        <is>
          <t>ACTIVE_WAITLIST</t>
        </is>
      </c>
      <c r="E2404" s="37" t="n">
        <v>61.6</v>
      </c>
      <c r="F2404" s="37" t="n">
        <v>22.1</v>
      </c>
    </row>
    <row r="2405">
      <c r="A2405" s="37" t="inlineStr">
        <is>
          <t>WL-03404</t>
        </is>
      </c>
      <c r="B2405" s="37" t="inlineStr">
        <is>
          <t>Hernandez</t>
        </is>
      </c>
      <c r="C2405" s="37" t="inlineStr">
        <is>
          <t>Sean</t>
        </is>
      </c>
      <c r="D2405" s="37" t="inlineStr">
        <is>
          <t>ACTIVE_WAITLIST</t>
        </is>
      </c>
      <c r="E2405" s="37" t="n">
        <v>52.9</v>
      </c>
      <c r="F2405" s="37" t="n">
        <v>15.7</v>
      </c>
    </row>
    <row r="2406">
      <c r="A2406" s="37" t="inlineStr">
        <is>
          <t>WL-03405</t>
        </is>
      </c>
      <c r="B2406" s="37" t="inlineStr">
        <is>
          <t>Bradford</t>
        </is>
      </c>
      <c r="C2406" s="37" t="inlineStr">
        <is>
          <t>Charles</t>
        </is>
      </c>
      <c r="D2406" s="37" t="inlineStr">
        <is>
          <t>ACTIVE_WAITLIST</t>
        </is>
      </c>
      <c r="E2406" s="37" t="n">
        <v>38</v>
      </c>
      <c r="F2406" s="37" t="n">
        <v>11.8</v>
      </c>
    </row>
    <row r="2407">
      <c r="A2407" s="37" t="inlineStr">
        <is>
          <t>WL-03406</t>
        </is>
      </c>
      <c r="B2407" s="37" t="inlineStr">
        <is>
          <t>Brown</t>
        </is>
      </c>
      <c r="C2407" s="37" t="inlineStr">
        <is>
          <t>Richard</t>
        </is>
      </c>
      <c r="D2407" s="37" t="inlineStr">
        <is>
          <t>ACTIVE_WAITLIST</t>
        </is>
      </c>
      <c r="E2407" s="37" t="n">
        <v>49.4</v>
      </c>
      <c r="F2407" s="37" t="n">
        <v>14.4</v>
      </c>
    </row>
    <row r="2408">
      <c r="A2408" s="37" t="inlineStr">
        <is>
          <t>WL-03407</t>
        </is>
      </c>
      <c r="B2408" s="37" t="inlineStr">
        <is>
          <t>Anthony</t>
        </is>
      </c>
      <c r="C2408" s="37" t="inlineStr">
        <is>
          <t>Allison</t>
        </is>
      </c>
      <c r="D2408" s="37" t="inlineStr">
        <is>
          <t>ACTIVE_WAITLIST</t>
        </is>
      </c>
      <c r="E2408" s="37" t="n">
        <v>57.8</v>
      </c>
      <c r="F2408" s="37" t="n">
        <v>19.1</v>
      </c>
    </row>
    <row r="2409">
      <c r="A2409" s="37" t="inlineStr">
        <is>
          <t>WL-03408</t>
        </is>
      </c>
      <c r="B2409" s="37" t="inlineStr">
        <is>
          <t>Phillips</t>
        </is>
      </c>
      <c r="C2409" s="37" t="inlineStr">
        <is>
          <t>Mark</t>
        </is>
      </c>
      <c r="D2409" s="37" t="inlineStr">
        <is>
          <t>ACTIVE_WAITLIST</t>
        </is>
      </c>
      <c r="E2409" s="37" t="n">
        <v>56.6</v>
      </c>
      <c r="F2409" s="37" t="n">
        <v>18.8</v>
      </c>
    </row>
    <row r="2410">
      <c r="A2410" s="37" t="inlineStr">
        <is>
          <t>WL-03409</t>
        </is>
      </c>
      <c r="B2410" s="37" t="inlineStr">
        <is>
          <t>Franklin</t>
        </is>
      </c>
      <c r="C2410" s="37" t="inlineStr">
        <is>
          <t>Linda</t>
        </is>
      </c>
      <c r="D2410" s="37" t="inlineStr">
        <is>
          <t>ACTIVE_WAITLIST</t>
        </is>
      </c>
      <c r="E2410" s="37" t="n">
        <v>35.5</v>
      </c>
      <c r="F2410" s="37" t="n">
        <v>11.6</v>
      </c>
    </row>
    <row r="2411">
      <c r="A2411" s="37" t="inlineStr">
        <is>
          <t>WL-03410</t>
        </is>
      </c>
      <c r="B2411" s="37" t="inlineStr">
        <is>
          <t>Smith</t>
        </is>
      </c>
      <c r="C2411" s="37" t="inlineStr">
        <is>
          <t>Cindy</t>
        </is>
      </c>
      <c r="D2411" s="37" t="inlineStr">
        <is>
          <t>SUSPENDED</t>
        </is>
      </c>
      <c r="E2411" s="37" t="n">
        <v>24</v>
      </c>
      <c r="F2411" s="37" t="n">
        <v>6.9</v>
      </c>
    </row>
    <row r="2412">
      <c r="A2412" s="37" t="inlineStr">
        <is>
          <t>WL-03411</t>
        </is>
      </c>
      <c r="B2412" s="37" t="inlineStr">
        <is>
          <t>Boyd</t>
        </is>
      </c>
      <c r="C2412" s="37" t="inlineStr">
        <is>
          <t>Miguel</t>
        </is>
      </c>
      <c r="D2412" s="37" t="inlineStr">
        <is>
          <t>ACTIVE_WAITLIST</t>
        </is>
      </c>
      <c r="E2412" s="37" t="n">
        <v>42.4</v>
      </c>
      <c r="F2412" s="37" t="n">
        <v>12.2</v>
      </c>
    </row>
    <row r="2413">
      <c r="A2413" s="37" t="inlineStr">
        <is>
          <t>WL-03412</t>
        </is>
      </c>
      <c r="B2413" s="37" t="inlineStr">
        <is>
          <t>Smith</t>
        </is>
      </c>
      <c r="C2413" s="37" t="inlineStr">
        <is>
          <t>Seth</t>
        </is>
      </c>
      <c r="D2413" s="37" t="inlineStr">
        <is>
          <t>ACTIVE_WAITLIST</t>
        </is>
      </c>
      <c r="E2413" s="37" t="n">
        <v>38.3</v>
      </c>
      <c r="F2413" s="37" t="n">
        <v>12.4</v>
      </c>
    </row>
    <row r="2414">
      <c r="A2414" s="37" t="inlineStr">
        <is>
          <t>WL-03413</t>
        </is>
      </c>
      <c r="B2414" s="37" t="inlineStr">
        <is>
          <t>Moran</t>
        </is>
      </c>
      <c r="C2414" s="37" t="inlineStr">
        <is>
          <t>Timothy</t>
        </is>
      </c>
      <c r="D2414" s="37" t="inlineStr">
        <is>
          <t>ACTIVE_WAITLIST</t>
        </is>
      </c>
      <c r="E2414" s="37" t="n">
        <v>54</v>
      </c>
      <c r="F2414" s="37" t="n">
        <v>18.2</v>
      </c>
    </row>
    <row r="2415">
      <c r="A2415" s="37" t="inlineStr">
        <is>
          <t>WL-03414</t>
        </is>
      </c>
      <c r="B2415" s="37" t="inlineStr">
        <is>
          <t>Nelson</t>
        </is>
      </c>
      <c r="C2415" s="37" t="inlineStr">
        <is>
          <t>Charles</t>
        </is>
      </c>
      <c r="D2415" s="37" t="inlineStr">
        <is>
          <t>EXPIRED</t>
        </is>
      </c>
      <c r="E2415" s="37" t="n">
        <v>45.5</v>
      </c>
      <c r="F2415" s="37" t="n">
        <v>13.9</v>
      </c>
    </row>
    <row r="2416">
      <c r="A2416" s="37" t="inlineStr">
        <is>
          <t>WL-03415</t>
        </is>
      </c>
      <c r="B2416" s="37" t="inlineStr">
        <is>
          <t>Leonard</t>
        </is>
      </c>
      <c r="C2416" s="37" t="inlineStr">
        <is>
          <t>Jennifer</t>
        </is>
      </c>
      <c r="D2416" s="37" t="inlineStr">
        <is>
          <t>ACTIVE_WAITLIST</t>
        </is>
      </c>
      <c r="E2416" s="37" t="n">
        <v>34.2</v>
      </c>
      <c r="F2416" s="37" t="n">
        <v>10.8</v>
      </c>
    </row>
    <row r="2417">
      <c r="A2417" s="37" t="inlineStr">
        <is>
          <t>WL-03416</t>
        </is>
      </c>
      <c r="B2417" s="37" t="inlineStr">
        <is>
          <t>Miles</t>
        </is>
      </c>
      <c r="C2417" s="37" t="inlineStr">
        <is>
          <t>Andrew</t>
        </is>
      </c>
      <c r="D2417" s="37" t="inlineStr">
        <is>
          <t>ACTIVE_WAITLIST</t>
        </is>
      </c>
      <c r="E2417" s="37" t="n">
        <v>57.6</v>
      </c>
      <c r="F2417" s="37" t="n">
        <v>20.3</v>
      </c>
    </row>
    <row r="2418">
      <c r="A2418" s="37" t="inlineStr">
        <is>
          <t>WL-03417</t>
        </is>
      </c>
      <c r="B2418" s="37" t="inlineStr">
        <is>
          <t>Cannon</t>
        </is>
      </c>
      <c r="C2418" s="37" t="inlineStr">
        <is>
          <t>Carl</t>
        </is>
      </c>
      <c r="D2418" s="37" t="inlineStr">
        <is>
          <t>ACTIVE_WAITLIST</t>
        </is>
      </c>
      <c r="E2418" s="37" t="n">
        <v>61</v>
      </c>
      <c r="F2418" s="37" t="n">
        <v>18.3</v>
      </c>
    </row>
    <row r="2419">
      <c r="A2419" s="37" t="inlineStr">
        <is>
          <t>WL-03418</t>
        </is>
      </c>
      <c r="B2419" s="37" t="inlineStr">
        <is>
          <t>Ford</t>
        </is>
      </c>
      <c r="C2419" s="37" t="inlineStr">
        <is>
          <t>Mary</t>
        </is>
      </c>
      <c r="D2419" s="37" t="inlineStr">
        <is>
          <t>ACTIVE_WAITLIST</t>
        </is>
      </c>
      <c r="E2419" s="37" t="n">
        <v>33.9</v>
      </c>
      <c r="F2419" s="37" t="n">
        <v>9.699999999999999</v>
      </c>
    </row>
    <row r="2420">
      <c r="A2420" s="37" t="inlineStr">
        <is>
          <t>WL-03419</t>
        </is>
      </c>
      <c r="B2420" s="37" t="inlineStr">
        <is>
          <t>Mason</t>
        </is>
      </c>
      <c r="C2420" s="37" t="inlineStr">
        <is>
          <t>Kyle</t>
        </is>
      </c>
      <c r="D2420" s="37" t="inlineStr">
        <is>
          <t>ACTIVE_WAITLIST</t>
        </is>
      </c>
      <c r="E2420" s="37" t="n">
        <v>32.8</v>
      </c>
      <c r="F2420" s="37" t="n">
        <v>9.300000000000001</v>
      </c>
    </row>
    <row r="2421">
      <c r="A2421" s="37" t="inlineStr">
        <is>
          <t>WL-03420</t>
        </is>
      </c>
      <c r="B2421" s="37" t="inlineStr">
        <is>
          <t>Franklin</t>
        </is>
      </c>
      <c r="C2421" s="37" t="inlineStr">
        <is>
          <t>Laura</t>
        </is>
      </c>
      <c r="D2421" s="37" t="inlineStr">
        <is>
          <t>ACTIVE_WAITLIST</t>
        </is>
      </c>
      <c r="E2421" s="37" t="n">
        <v>56.6</v>
      </c>
      <c r="F2421" s="37" t="n">
        <v>18.7</v>
      </c>
    </row>
    <row r="2422">
      <c r="A2422" s="37" t="inlineStr">
        <is>
          <t>WL-03421</t>
        </is>
      </c>
      <c r="B2422" s="37" t="inlineStr">
        <is>
          <t>Harris</t>
        </is>
      </c>
      <c r="C2422" s="37" t="inlineStr">
        <is>
          <t>Timothy</t>
        </is>
      </c>
      <c r="D2422" s="37" t="inlineStr">
        <is>
          <t>RETAINER</t>
        </is>
      </c>
      <c r="E2422" s="37" t="n">
        <v>41.2</v>
      </c>
      <c r="F2422" s="37" t="n">
        <v>11.8</v>
      </c>
    </row>
    <row r="2423">
      <c r="A2423" s="37" t="inlineStr">
        <is>
          <t>WL-03422</t>
        </is>
      </c>
      <c r="B2423" s="37" t="inlineStr">
        <is>
          <t>Jones</t>
        </is>
      </c>
      <c r="C2423" s="37" t="inlineStr">
        <is>
          <t>Robin</t>
        </is>
      </c>
      <c r="D2423" s="37" t="inlineStr">
        <is>
          <t>ACTIVE_WAITLIST</t>
        </is>
      </c>
      <c r="E2423" s="37" t="n">
        <v>54.5</v>
      </c>
      <c r="F2423" s="37" t="n">
        <v>15.9</v>
      </c>
    </row>
    <row r="2424">
      <c r="A2424" s="37" t="inlineStr">
        <is>
          <t>WL-03423</t>
        </is>
      </c>
      <c r="B2424" s="37" t="inlineStr">
        <is>
          <t>Walker</t>
        </is>
      </c>
      <c r="C2424" s="37" t="inlineStr">
        <is>
          <t>Sarah</t>
        </is>
      </c>
      <c r="D2424" s="37" t="inlineStr">
        <is>
          <t>ACTIVE_WAITLIST</t>
        </is>
      </c>
      <c r="E2424" s="37" t="n">
        <v>61</v>
      </c>
      <c r="F2424" s="37" t="n">
        <v>17.6</v>
      </c>
    </row>
    <row r="2425">
      <c r="A2425" s="37" t="inlineStr">
        <is>
          <t>WL-03424</t>
        </is>
      </c>
      <c r="B2425" s="37" t="inlineStr">
        <is>
          <t>Hawkins</t>
        </is>
      </c>
      <c r="C2425" s="37" t="inlineStr">
        <is>
          <t>Craig</t>
        </is>
      </c>
      <c r="D2425" s="37" t="inlineStr">
        <is>
          <t>ACTIVE_WAITLIST</t>
        </is>
      </c>
      <c r="E2425" s="37" t="n">
        <v>32.4</v>
      </c>
      <c r="F2425" s="37" t="n">
        <v>9.1</v>
      </c>
    </row>
    <row r="2426">
      <c r="A2426" s="37" t="inlineStr">
        <is>
          <t>WL-03425</t>
        </is>
      </c>
      <c r="B2426" s="37" t="inlineStr">
        <is>
          <t>Neal</t>
        </is>
      </c>
      <c r="C2426" s="37" t="inlineStr">
        <is>
          <t>Miranda</t>
        </is>
      </c>
      <c r="D2426" s="37" t="inlineStr">
        <is>
          <t>ACTIVE_WAITLIST</t>
        </is>
      </c>
      <c r="E2426" s="37" t="n">
        <v>18.4</v>
      </c>
      <c r="F2426" s="37" t="n">
        <v>5.3</v>
      </c>
    </row>
    <row r="2427">
      <c r="A2427" s="37" t="inlineStr">
        <is>
          <t>WL-03426</t>
        </is>
      </c>
      <c r="B2427" s="37" t="inlineStr">
        <is>
          <t>Jackson</t>
        </is>
      </c>
      <c r="C2427" s="37" t="inlineStr">
        <is>
          <t>Amanda</t>
        </is>
      </c>
      <c r="D2427" s="37" t="inlineStr">
        <is>
          <t>ACTIVE_WAITLIST</t>
        </is>
      </c>
      <c r="E2427" s="37" t="n">
        <v>54.6</v>
      </c>
      <c r="F2427" s="37" t="n">
        <v>16.7</v>
      </c>
    </row>
    <row r="2428">
      <c r="A2428" s="37" t="inlineStr">
        <is>
          <t>WL-03427</t>
        </is>
      </c>
      <c r="B2428" s="37" t="inlineStr">
        <is>
          <t>Wise</t>
        </is>
      </c>
      <c r="C2428" s="37" t="inlineStr">
        <is>
          <t>Austin</t>
        </is>
      </c>
      <c r="D2428" s="37" t="inlineStr">
        <is>
          <t>ACTIVE_WAITLIST</t>
        </is>
      </c>
      <c r="E2428" s="37" t="n">
        <v>50</v>
      </c>
      <c r="F2428" s="37" t="n">
        <v>15.8</v>
      </c>
    </row>
    <row r="2429">
      <c r="A2429" s="37" t="inlineStr">
        <is>
          <t>WL-03428</t>
        </is>
      </c>
      <c r="B2429" s="37" t="inlineStr">
        <is>
          <t>Bentley</t>
        </is>
      </c>
      <c r="C2429" s="37" t="inlineStr">
        <is>
          <t>Ryan</t>
        </is>
      </c>
      <c r="D2429" s="37" t="inlineStr">
        <is>
          <t>ACTIVE_WAITLIST</t>
        </is>
      </c>
      <c r="E2429" s="37" t="n">
        <v>44.7</v>
      </c>
      <c r="F2429" s="37" t="n">
        <v>15.2</v>
      </c>
    </row>
    <row r="2430">
      <c r="A2430" s="37" t="inlineStr">
        <is>
          <t>WL-03429</t>
        </is>
      </c>
      <c r="B2430" s="37" t="inlineStr">
        <is>
          <t>Perez</t>
        </is>
      </c>
      <c r="C2430" s="37" t="inlineStr">
        <is>
          <t>Daniel</t>
        </is>
      </c>
      <c r="D2430" s="37" t="inlineStr">
        <is>
          <t>ACTIVE_WAITLIST</t>
        </is>
      </c>
      <c r="E2430" s="37" t="n">
        <v>59.9</v>
      </c>
      <c r="F2430" s="37" t="n">
        <v>21.5</v>
      </c>
    </row>
    <row r="2431">
      <c r="A2431" s="37" t="inlineStr">
        <is>
          <t>WL-03430</t>
        </is>
      </c>
      <c r="B2431" s="37" t="inlineStr">
        <is>
          <t>Camacho</t>
        </is>
      </c>
      <c r="C2431" s="37" t="inlineStr">
        <is>
          <t>David</t>
        </is>
      </c>
      <c r="D2431" s="37" t="inlineStr">
        <is>
          <t>RETAINER</t>
        </is>
      </c>
      <c r="E2431" s="37" t="n">
        <v>32.6</v>
      </c>
      <c r="F2431" s="37" t="n">
        <v>10.1</v>
      </c>
    </row>
    <row r="2432">
      <c r="A2432" s="37" t="inlineStr">
        <is>
          <t>WL-03431</t>
        </is>
      </c>
      <c r="B2432" s="37" t="inlineStr">
        <is>
          <t>Cochran</t>
        </is>
      </c>
      <c r="C2432" s="37" t="inlineStr">
        <is>
          <t>Lisa</t>
        </is>
      </c>
      <c r="D2432" s="37" t="inlineStr">
        <is>
          <t>ACTIVE_WAITLIST</t>
        </is>
      </c>
      <c r="E2432" s="37" t="n">
        <v>53.8</v>
      </c>
      <c r="F2432" s="37" t="n">
        <v>17.6</v>
      </c>
    </row>
    <row r="2433">
      <c r="A2433" s="37" t="inlineStr">
        <is>
          <t>WL-03432</t>
        </is>
      </c>
      <c r="B2433" s="37" t="inlineStr">
        <is>
          <t>Duarte</t>
        </is>
      </c>
      <c r="C2433" s="37" t="inlineStr">
        <is>
          <t>Sarah</t>
        </is>
      </c>
      <c r="D2433" s="37" t="inlineStr">
        <is>
          <t>ACTIVE_WAITLIST</t>
        </is>
      </c>
      <c r="E2433" s="37" t="n">
        <v>23.5</v>
      </c>
      <c r="F2433" s="37" t="n">
        <v>7.4</v>
      </c>
    </row>
    <row r="2434">
      <c r="A2434" s="37" t="inlineStr">
        <is>
          <t>WL-03433</t>
        </is>
      </c>
      <c r="B2434" s="37" t="inlineStr">
        <is>
          <t>Taylor</t>
        </is>
      </c>
      <c r="C2434" s="37" t="inlineStr">
        <is>
          <t>Ruben</t>
        </is>
      </c>
      <c r="D2434" s="37" t="inlineStr">
        <is>
          <t>ACTIVE_WAITLIST</t>
        </is>
      </c>
      <c r="E2434" s="37" t="n">
        <v>21.2</v>
      </c>
      <c r="F2434" s="37" t="n">
        <v>7.1</v>
      </c>
    </row>
    <row r="2435">
      <c r="A2435" s="37" t="inlineStr">
        <is>
          <t>WL-03434</t>
        </is>
      </c>
      <c r="B2435" s="37" t="inlineStr">
        <is>
          <t>Caldwell</t>
        </is>
      </c>
      <c r="C2435" s="37" t="inlineStr">
        <is>
          <t>Michelle</t>
        </is>
      </c>
      <c r="D2435" s="37" t="inlineStr">
        <is>
          <t>ACTIVE_WAITLIST</t>
        </is>
      </c>
      <c r="E2435" s="37" t="n">
        <v>35.5</v>
      </c>
      <c r="F2435" s="37" t="n">
        <v>12.5</v>
      </c>
    </row>
    <row r="2436">
      <c r="A2436" s="37" t="inlineStr">
        <is>
          <t>WL-03435</t>
        </is>
      </c>
      <c r="B2436" s="37" t="inlineStr">
        <is>
          <t>Alexander</t>
        </is>
      </c>
      <c r="C2436" s="37" t="inlineStr">
        <is>
          <t>Shawn</t>
        </is>
      </c>
      <c r="D2436" s="37" t="inlineStr">
        <is>
          <t>ACTIVE_WAITLIST</t>
        </is>
      </c>
      <c r="E2436" s="37" t="n">
        <v>22.8</v>
      </c>
      <c r="F2436" s="37" t="n">
        <v>6.5</v>
      </c>
    </row>
    <row r="2437">
      <c r="A2437" s="37" t="inlineStr">
        <is>
          <t>WL-03436</t>
        </is>
      </c>
      <c r="B2437" s="37" t="inlineStr">
        <is>
          <t>Hunter</t>
        </is>
      </c>
      <c r="C2437" s="37" t="inlineStr">
        <is>
          <t>Katherine</t>
        </is>
      </c>
      <c r="D2437" s="37" t="inlineStr">
        <is>
          <t>ACTIVE_WAITLIST</t>
        </is>
      </c>
      <c r="E2437" s="37" t="n">
        <v>47.2</v>
      </c>
      <c r="F2437" s="37" t="n">
        <v>16.9</v>
      </c>
    </row>
    <row r="2438">
      <c r="A2438" s="37" t="inlineStr">
        <is>
          <t>WL-03437</t>
        </is>
      </c>
      <c r="B2438" s="37" t="inlineStr">
        <is>
          <t>Noble</t>
        </is>
      </c>
      <c r="C2438" s="37" t="inlineStr">
        <is>
          <t>David</t>
        </is>
      </c>
      <c r="D2438" s="37" t="inlineStr">
        <is>
          <t>SUSPENDED</t>
        </is>
      </c>
      <c r="E2438" s="37" t="n">
        <v>36</v>
      </c>
      <c r="F2438" s="37" t="n">
        <v>11.5</v>
      </c>
    </row>
    <row r="2439">
      <c r="A2439" s="37" t="inlineStr">
        <is>
          <t>WL-03438</t>
        </is>
      </c>
      <c r="B2439" s="37" t="inlineStr">
        <is>
          <t>Mitchell</t>
        </is>
      </c>
      <c r="C2439" s="37" t="inlineStr">
        <is>
          <t>Stacey</t>
        </is>
      </c>
      <c r="D2439" s="37" t="inlineStr">
        <is>
          <t>ACTIVE_WAITLIST</t>
        </is>
      </c>
      <c r="E2439" s="37" t="n">
        <v>39.1</v>
      </c>
      <c r="F2439" s="37" t="n">
        <v>13.6</v>
      </c>
    </row>
    <row r="2440">
      <c r="A2440" s="37" t="inlineStr">
        <is>
          <t>WL-03439</t>
        </is>
      </c>
      <c r="B2440" s="37" t="inlineStr">
        <is>
          <t>Stewart</t>
        </is>
      </c>
      <c r="C2440" s="37" t="inlineStr">
        <is>
          <t>Willie</t>
        </is>
      </c>
      <c r="D2440" s="37" t="inlineStr">
        <is>
          <t>ACTIVE_WAITLIST</t>
        </is>
      </c>
      <c r="E2440" s="37" t="n">
        <v>38.7</v>
      </c>
      <c r="F2440" s="37" t="n">
        <v>13.9</v>
      </c>
    </row>
    <row r="2441">
      <c r="A2441" s="37" t="inlineStr">
        <is>
          <t>WL-03440</t>
        </is>
      </c>
      <c r="B2441" s="37" t="inlineStr">
        <is>
          <t>Alvarez</t>
        </is>
      </c>
      <c r="C2441" s="37" t="inlineStr">
        <is>
          <t>Lisa</t>
        </is>
      </c>
      <c r="D2441" s="37" t="inlineStr">
        <is>
          <t>ACTIVE_WAITLIST</t>
        </is>
      </c>
      <c r="E2441" s="37" t="n">
        <v>24.1</v>
      </c>
      <c r="F2441" s="37" t="n">
        <v>8.5</v>
      </c>
    </row>
    <row r="2442">
      <c r="A2442" s="37" t="inlineStr">
        <is>
          <t>WL-03441</t>
        </is>
      </c>
      <c r="B2442" s="37" t="inlineStr">
        <is>
          <t>Schultz</t>
        </is>
      </c>
      <c r="C2442" s="37" t="inlineStr">
        <is>
          <t>Jose</t>
        </is>
      </c>
      <c r="D2442" s="37" t="inlineStr">
        <is>
          <t>ACTIVE_WAITLIST</t>
        </is>
      </c>
      <c r="E2442" s="37" t="n">
        <v>52.5</v>
      </c>
      <c r="F2442" s="37" t="n">
        <v>16.9</v>
      </c>
    </row>
    <row r="2443">
      <c r="A2443" s="37" t="inlineStr">
        <is>
          <t>WL-03442</t>
        </is>
      </c>
      <c r="B2443" s="37" t="inlineStr">
        <is>
          <t>Russo</t>
        </is>
      </c>
      <c r="C2443" s="37" t="inlineStr">
        <is>
          <t>Gary</t>
        </is>
      </c>
      <c r="D2443" s="37" t="inlineStr">
        <is>
          <t>ACTIVE_WAITLIST</t>
        </is>
      </c>
      <c r="E2443" s="37" t="n">
        <v>29.5</v>
      </c>
      <c r="F2443" s="37" t="n">
        <v>9.6</v>
      </c>
    </row>
    <row r="2444">
      <c r="A2444" s="37" t="inlineStr">
        <is>
          <t>WL-03443</t>
        </is>
      </c>
      <c r="B2444" s="37" t="inlineStr">
        <is>
          <t>Mccann</t>
        </is>
      </c>
      <c r="C2444" s="37" t="inlineStr">
        <is>
          <t>Katie</t>
        </is>
      </c>
      <c r="D2444" s="37" t="inlineStr">
        <is>
          <t>RETAINER</t>
        </is>
      </c>
      <c r="E2444" s="37" t="n">
        <v>51</v>
      </c>
      <c r="F2444" s="37" t="n">
        <v>17.6</v>
      </c>
    </row>
    <row r="2445">
      <c r="A2445" s="37" t="inlineStr">
        <is>
          <t>WL-03444</t>
        </is>
      </c>
      <c r="B2445" s="37" t="inlineStr">
        <is>
          <t>Lopez</t>
        </is>
      </c>
      <c r="C2445" s="37" t="inlineStr">
        <is>
          <t>Danielle</t>
        </is>
      </c>
      <c r="D2445" s="37" t="inlineStr">
        <is>
          <t>ACTIVE_WAITLIST</t>
        </is>
      </c>
      <c r="E2445" s="37" t="n">
        <v>41.6</v>
      </c>
      <c r="F2445" s="37" t="n">
        <v>14</v>
      </c>
    </row>
    <row r="2446">
      <c r="A2446" s="37" t="inlineStr">
        <is>
          <t>WL-03445</t>
        </is>
      </c>
      <c r="B2446" s="37" t="inlineStr">
        <is>
          <t>Ball</t>
        </is>
      </c>
      <c r="C2446" s="37" t="inlineStr">
        <is>
          <t>Gregory</t>
        </is>
      </c>
      <c r="D2446" s="37" t="inlineStr">
        <is>
          <t>RETAINER</t>
        </is>
      </c>
      <c r="E2446" s="37" t="n">
        <v>25.8</v>
      </c>
      <c r="F2446" s="37" t="n">
        <v>7.2</v>
      </c>
    </row>
    <row r="2447">
      <c r="A2447" s="37" t="inlineStr">
        <is>
          <t>WL-03446</t>
        </is>
      </c>
      <c r="B2447" s="37" t="inlineStr">
        <is>
          <t>Weaver</t>
        </is>
      </c>
      <c r="C2447" s="37" t="inlineStr">
        <is>
          <t>Joshua</t>
        </is>
      </c>
      <c r="D2447" s="37" t="inlineStr">
        <is>
          <t>ACTIVE_WAITLIST</t>
        </is>
      </c>
      <c r="E2447" s="37" t="n">
        <v>46.5</v>
      </c>
      <c r="F2447" s="37" t="n">
        <v>15.4</v>
      </c>
    </row>
    <row r="2448">
      <c r="A2448" s="37" t="inlineStr">
        <is>
          <t>WL-03447</t>
        </is>
      </c>
      <c r="B2448" s="37" t="inlineStr">
        <is>
          <t>Mcdonald</t>
        </is>
      </c>
      <c r="C2448" s="37" t="inlineStr">
        <is>
          <t>Matthew</t>
        </is>
      </c>
      <c r="D2448" s="37" t="inlineStr">
        <is>
          <t>ACTIVE_WAITLIST</t>
        </is>
      </c>
      <c r="E2448" s="37" t="n">
        <v>52.8</v>
      </c>
      <c r="F2448" s="37" t="n">
        <v>15.5</v>
      </c>
    </row>
    <row r="2449">
      <c r="A2449" s="37" t="inlineStr">
        <is>
          <t>WL-03448</t>
        </is>
      </c>
      <c r="B2449" s="37" t="inlineStr">
        <is>
          <t>Marshall</t>
        </is>
      </c>
      <c r="C2449" s="37" t="inlineStr">
        <is>
          <t>Christopher</t>
        </is>
      </c>
      <c r="D2449" s="37" t="inlineStr">
        <is>
          <t>SUSPENDED</t>
        </is>
      </c>
      <c r="E2449" s="37" t="n">
        <v>48.5</v>
      </c>
      <c r="F2449" s="37" t="n">
        <v>15.2</v>
      </c>
    </row>
    <row r="2450">
      <c r="A2450" s="37" t="inlineStr">
        <is>
          <t>WL-03449</t>
        </is>
      </c>
      <c r="B2450" s="37" t="inlineStr">
        <is>
          <t>Fox</t>
        </is>
      </c>
      <c r="C2450" s="37" t="inlineStr">
        <is>
          <t>Chris</t>
        </is>
      </c>
      <c r="D2450" s="37" t="inlineStr">
        <is>
          <t>ACTIVE_WAITLIST</t>
        </is>
      </c>
      <c r="E2450" s="37" t="n">
        <v>56.3</v>
      </c>
      <c r="F2450" s="37" t="n">
        <v>19.3</v>
      </c>
    </row>
    <row r="2451">
      <c r="A2451" s="37" t="inlineStr">
        <is>
          <t>WL-03450</t>
        </is>
      </c>
      <c r="B2451" s="37" t="inlineStr">
        <is>
          <t>Harris</t>
        </is>
      </c>
      <c r="C2451" s="37" t="inlineStr">
        <is>
          <t>Mallory</t>
        </is>
      </c>
      <c r="D2451" s="37" t="inlineStr">
        <is>
          <t>ACTIVE_WAITLIST</t>
        </is>
      </c>
      <c r="E2451" s="37" t="n">
        <v>38.2</v>
      </c>
      <c r="F2451" s="37" t="n">
        <v>13</v>
      </c>
    </row>
    <row r="2452">
      <c r="A2452" s="37" t="inlineStr">
        <is>
          <t>WL-03451</t>
        </is>
      </c>
      <c r="B2452" s="37" t="inlineStr">
        <is>
          <t>Jones</t>
        </is>
      </c>
      <c r="C2452" s="37" t="inlineStr">
        <is>
          <t>Samantha</t>
        </is>
      </c>
      <c r="D2452" s="37" t="inlineStr">
        <is>
          <t>ACTIVE_WAITLIST</t>
        </is>
      </c>
      <c r="E2452" s="37" t="n">
        <v>50.3</v>
      </c>
      <c r="F2452" s="37" t="n">
        <v>16.3</v>
      </c>
    </row>
    <row r="2453">
      <c r="A2453" s="37" t="inlineStr">
        <is>
          <t>WL-03452</t>
        </is>
      </c>
      <c r="B2453" s="37" t="inlineStr">
        <is>
          <t>Wood</t>
        </is>
      </c>
      <c r="C2453" s="37" t="inlineStr">
        <is>
          <t>Nicole</t>
        </is>
      </c>
      <c r="D2453" s="37" t="inlineStr">
        <is>
          <t>ACTIVE_WAITLIST</t>
        </is>
      </c>
      <c r="E2453" s="37" t="n">
        <v>34</v>
      </c>
      <c r="F2453" s="37" t="n">
        <v>11.3</v>
      </c>
    </row>
    <row r="2454">
      <c r="A2454" s="37" t="inlineStr">
        <is>
          <t>WL-03453</t>
        </is>
      </c>
      <c r="B2454" s="37" t="inlineStr">
        <is>
          <t>Johnson</t>
        </is>
      </c>
      <c r="C2454" s="37" t="inlineStr">
        <is>
          <t>Kelly</t>
        </is>
      </c>
      <c r="D2454" s="37" t="inlineStr">
        <is>
          <t>ACTIVE_WAITLIST</t>
        </is>
      </c>
      <c r="E2454" s="37" t="n">
        <v>36.8</v>
      </c>
      <c r="F2454" s="37" t="n">
        <v>12.8</v>
      </c>
    </row>
    <row r="2455">
      <c r="A2455" s="37" t="inlineStr">
        <is>
          <t>WL-03454</t>
        </is>
      </c>
      <c r="B2455" s="37" t="inlineStr">
        <is>
          <t>Ramirez</t>
        </is>
      </c>
      <c r="C2455" s="37" t="inlineStr">
        <is>
          <t>Jason</t>
        </is>
      </c>
      <c r="D2455" s="37" t="inlineStr">
        <is>
          <t>ACTIVE_WAITLIST</t>
        </is>
      </c>
      <c r="E2455" s="37" t="n">
        <v>55.9</v>
      </c>
      <c r="F2455" s="37" t="n">
        <v>16.7</v>
      </c>
    </row>
    <row r="2456">
      <c r="A2456" s="37" t="inlineStr">
        <is>
          <t>WL-03455</t>
        </is>
      </c>
      <c r="B2456" s="37" t="inlineStr">
        <is>
          <t>George</t>
        </is>
      </c>
      <c r="C2456" s="37" t="inlineStr">
        <is>
          <t>Taylor</t>
        </is>
      </c>
      <c r="D2456" s="37" t="inlineStr">
        <is>
          <t>ACTIVE_WAITLIST</t>
        </is>
      </c>
      <c r="E2456" s="37" t="n">
        <v>60.7</v>
      </c>
      <c r="F2456" s="37" t="n">
        <v>18.6</v>
      </c>
    </row>
    <row r="2457">
      <c r="A2457" s="37" t="inlineStr">
        <is>
          <t>WL-03456</t>
        </is>
      </c>
      <c r="B2457" s="37" t="inlineStr">
        <is>
          <t>Wilson</t>
        </is>
      </c>
      <c r="C2457" s="37" t="inlineStr">
        <is>
          <t>Stephanie</t>
        </is>
      </c>
      <c r="D2457" s="37" t="inlineStr">
        <is>
          <t>ACTIVE_WAITLIST</t>
        </is>
      </c>
      <c r="E2457" s="37" t="n">
        <v>52.2</v>
      </c>
      <c r="F2457" s="37" t="n">
        <v>17.4</v>
      </c>
    </row>
    <row r="2458">
      <c r="A2458" s="37" t="inlineStr">
        <is>
          <t>WL-03457</t>
        </is>
      </c>
      <c r="B2458" s="37" t="inlineStr">
        <is>
          <t>Davis</t>
        </is>
      </c>
      <c r="C2458" s="37" t="inlineStr">
        <is>
          <t>Teresa</t>
        </is>
      </c>
      <c r="D2458" s="37" t="inlineStr">
        <is>
          <t>ACTIVE_WAITLIST</t>
        </is>
      </c>
      <c r="E2458" s="37" t="n">
        <v>44.8</v>
      </c>
      <c r="F2458" s="37" t="n">
        <v>15.4</v>
      </c>
    </row>
    <row r="2459">
      <c r="A2459" s="37" t="inlineStr">
        <is>
          <t>WL-03458</t>
        </is>
      </c>
      <c r="B2459" s="37" t="inlineStr">
        <is>
          <t>Wells</t>
        </is>
      </c>
      <c r="C2459" s="37" t="inlineStr">
        <is>
          <t>Brittany</t>
        </is>
      </c>
      <c r="D2459" s="37" t="inlineStr">
        <is>
          <t>ACTIVE_WAITLIST</t>
        </is>
      </c>
      <c r="E2459" s="37" t="n">
        <v>21.3</v>
      </c>
      <c r="F2459" s="37" t="n">
        <v>7.2</v>
      </c>
    </row>
    <row r="2460">
      <c r="A2460" s="37" t="inlineStr">
        <is>
          <t>WL-03459</t>
        </is>
      </c>
      <c r="B2460" s="37" t="inlineStr">
        <is>
          <t>Thomas</t>
        </is>
      </c>
      <c r="C2460" s="37" t="inlineStr">
        <is>
          <t>April</t>
        </is>
      </c>
      <c r="D2460" s="37" t="inlineStr">
        <is>
          <t>ACTIVE_WAITLIST</t>
        </is>
      </c>
      <c r="E2460" s="37" t="n">
        <v>51.2</v>
      </c>
      <c r="F2460" s="37" t="n">
        <v>17.2</v>
      </c>
    </row>
    <row r="2461">
      <c r="A2461" s="37" t="inlineStr">
        <is>
          <t>WL-03460</t>
        </is>
      </c>
      <c r="B2461" s="37" t="inlineStr">
        <is>
          <t>Nolan</t>
        </is>
      </c>
      <c r="C2461" s="37" t="inlineStr">
        <is>
          <t>Shannon</t>
        </is>
      </c>
      <c r="D2461" s="37" t="inlineStr">
        <is>
          <t>ACTIVE_WAITLIST</t>
        </is>
      </c>
      <c r="E2461" s="37" t="n">
        <v>60.8</v>
      </c>
      <c r="F2461" s="37" t="n">
        <v>19</v>
      </c>
    </row>
    <row r="2462">
      <c r="A2462" s="37" t="inlineStr">
        <is>
          <t>WL-03461</t>
        </is>
      </c>
      <c r="B2462" s="37" t="inlineStr">
        <is>
          <t>Hahn</t>
        </is>
      </c>
      <c r="C2462" s="37" t="inlineStr">
        <is>
          <t>Tiffany</t>
        </is>
      </c>
      <c r="D2462" s="37" t="inlineStr">
        <is>
          <t>ACTIVE_WAITLIST</t>
        </is>
      </c>
      <c r="E2462" s="37" t="n">
        <v>22.1</v>
      </c>
      <c r="F2462" s="37" t="n">
        <v>6.5</v>
      </c>
    </row>
    <row r="2463">
      <c r="A2463" s="37" t="inlineStr">
        <is>
          <t>WL-03462</t>
        </is>
      </c>
      <c r="B2463" s="37" t="inlineStr">
        <is>
          <t>Martinez</t>
        </is>
      </c>
      <c r="C2463" s="37" t="inlineStr">
        <is>
          <t>Melanie</t>
        </is>
      </c>
      <c r="D2463" s="37" t="inlineStr">
        <is>
          <t>ACTIVE_WAITLIST</t>
        </is>
      </c>
      <c r="E2463" s="37" t="n">
        <v>44.2</v>
      </c>
      <c r="F2463" s="37" t="n">
        <v>15.2</v>
      </c>
    </row>
    <row r="2464">
      <c r="A2464" s="37" t="inlineStr">
        <is>
          <t>WL-03463</t>
        </is>
      </c>
      <c r="B2464" s="37" t="inlineStr">
        <is>
          <t>Dixon</t>
        </is>
      </c>
      <c r="C2464" s="37" t="inlineStr">
        <is>
          <t>Chris</t>
        </is>
      </c>
      <c r="D2464" s="37" t="inlineStr">
        <is>
          <t>ACTIVE_WAITLIST</t>
        </is>
      </c>
      <c r="E2464" s="37" t="n">
        <v>39.1</v>
      </c>
      <c r="F2464" s="37" t="n">
        <v>13.3</v>
      </c>
    </row>
    <row r="2465">
      <c r="A2465" s="37" t="inlineStr">
        <is>
          <t>WL-03464</t>
        </is>
      </c>
      <c r="B2465" s="37" t="inlineStr">
        <is>
          <t>Spencer</t>
        </is>
      </c>
      <c r="C2465" s="37" t="inlineStr">
        <is>
          <t>Joseph</t>
        </is>
      </c>
      <c r="D2465" s="37" t="inlineStr">
        <is>
          <t>ACTIVE_WAITLIST</t>
        </is>
      </c>
      <c r="E2465" s="37" t="n">
        <v>54.1</v>
      </c>
      <c r="F2465" s="37" t="n">
        <v>16.1</v>
      </c>
    </row>
    <row r="2466">
      <c r="A2466" s="37" t="inlineStr">
        <is>
          <t>WL-03465</t>
        </is>
      </c>
      <c r="B2466" s="37" t="inlineStr">
        <is>
          <t>Mays</t>
        </is>
      </c>
      <c r="C2466" s="37" t="inlineStr">
        <is>
          <t>Eric</t>
        </is>
      </c>
      <c r="D2466" s="37" t="inlineStr">
        <is>
          <t>ACTIVE_WAITLIST</t>
        </is>
      </c>
      <c r="E2466" s="37" t="n">
        <v>40.1</v>
      </c>
      <c r="F2466" s="37" t="n">
        <v>13.4</v>
      </c>
    </row>
    <row r="2467">
      <c r="A2467" s="37" t="inlineStr">
        <is>
          <t>WL-03466</t>
        </is>
      </c>
      <c r="B2467" s="37" t="inlineStr">
        <is>
          <t>Smith</t>
        </is>
      </c>
      <c r="C2467" s="37" t="inlineStr">
        <is>
          <t>Christopher</t>
        </is>
      </c>
      <c r="D2467" s="37" t="inlineStr">
        <is>
          <t>ACTIVE_WAITLIST</t>
        </is>
      </c>
      <c r="E2467" s="37" t="n">
        <v>55.1</v>
      </c>
      <c r="F2467" s="37" t="n">
        <v>17.4</v>
      </c>
    </row>
    <row r="2468">
      <c r="A2468" s="37" t="inlineStr">
        <is>
          <t>WL-03467</t>
        </is>
      </c>
      <c r="B2468" s="37" t="inlineStr">
        <is>
          <t>Ray</t>
        </is>
      </c>
      <c r="C2468" s="37" t="inlineStr">
        <is>
          <t>Juan</t>
        </is>
      </c>
      <c r="D2468" s="37" t="inlineStr">
        <is>
          <t>ACTIVE_WAITLIST</t>
        </is>
      </c>
      <c r="E2468" s="37" t="n">
        <v>30.5</v>
      </c>
      <c r="F2468" s="37" t="n">
        <v>10.8</v>
      </c>
    </row>
    <row r="2469">
      <c r="A2469" s="37" t="inlineStr">
        <is>
          <t>WL-03468</t>
        </is>
      </c>
      <c r="B2469" s="37" t="inlineStr">
        <is>
          <t>Peterson</t>
        </is>
      </c>
      <c r="C2469" s="37" t="inlineStr">
        <is>
          <t>Robert</t>
        </is>
      </c>
      <c r="D2469" s="37" t="inlineStr">
        <is>
          <t>ACTIVE_WAITLIST</t>
        </is>
      </c>
      <c r="E2469" s="37" t="n">
        <v>35.4</v>
      </c>
      <c r="F2469" s="37" t="n">
        <v>11.6</v>
      </c>
    </row>
    <row r="2470">
      <c r="A2470" s="37" t="inlineStr">
        <is>
          <t>WL-03469</t>
        </is>
      </c>
      <c r="B2470" s="37" t="inlineStr">
        <is>
          <t>Calhoun</t>
        </is>
      </c>
      <c r="C2470" s="37" t="inlineStr">
        <is>
          <t>Christopher</t>
        </is>
      </c>
      <c r="D2470" s="37" t="inlineStr">
        <is>
          <t>ACTIVE_WAITLIST</t>
        </is>
      </c>
      <c r="E2470" s="37" t="n">
        <v>25.8</v>
      </c>
      <c r="F2470" s="37" t="n">
        <v>8</v>
      </c>
    </row>
    <row r="2471">
      <c r="A2471" s="37" t="inlineStr">
        <is>
          <t>WL-03470</t>
        </is>
      </c>
      <c r="B2471" s="37" t="inlineStr">
        <is>
          <t>Huffman</t>
        </is>
      </c>
      <c r="C2471" s="37" t="inlineStr">
        <is>
          <t>Nathan</t>
        </is>
      </c>
      <c r="D2471" s="37" t="inlineStr">
        <is>
          <t>ACTIVE_WAITLIST</t>
        </is>
      </c>
      <c r="E2471" s="37" t="n">
        <v>19.4</v>
      </c>
      <c r="F2471" s="37" t="n">
        <v>6.6</v>
      </c>
    </row>
    <row r="2472">
      <c r="A2472" s="37" t="inlineStr">
        <is>
          <t>WL-03471</t>
        </is>
      </c>
      <c r="B2472" s="37" t="inlineStr">
        <is>
          <t>Cooley</t>
        </is>
      </c>
      <c r="C2472" s="37" t="inlineStr">
        <is>
          <t>Leroy</t>
        </is>
      </c>
      <c r="D2472" s="37" t="inlineStr">
        <is>
          <t>EXPIRED</t>
        </is>
      </c>
      <c r="E2472" s="37" t="n">
        <v>37.2</v>
      </c>
      <c r="F2472" s="37" t="n">
        <v>12.9</v>
      </c>
    </row>
    <row r="2473">
      <c r="A2473" s="37" t="inlineStr">
        <is>
          <t>WL-03472</t>
        </is>
      </c>
      <c r="B2473" s="37" t="inlineStr">
        <is>
          <t>Shea</t>
        </is>
      </c>
      <c r="C2473" s="37" t="inlineStr">
        <is>
          <t>Robert</t>
        </is>
      </c>
      <c r="D2473" s="37" t="inlineStr">
        <is>
          <t>ACTIVE_WAITLIST</t>
        </is>
      </c>
      <c r="E2473" s="37" t="n">
        <v>48.3</v>
      </c>
      <c r="F2473" s="37" t="n">
        <v>14.3</v>
      </c>
    </row>
    <row r="2474">
      <c r="A2474" s="37" t="inlineStr">
        <is>
          <t>WL-03473</t>
        </is>
      </c>
      <c r="B2474" s="37" t="inlineStr">
        <is>
          <t>Miller</t>
        </is>
      </c>
      <c r="C2474" s="37" t="inlineStr">
        <is>
          <t>Brian</t>
        </is>
      </c>
      <c r="D2474" s="37" t="inlineStr">
        <is>
          <t>ACTIVE_WAITLIST</t>
        </is>
      </c>
      <c r="E2474" s="37" t="n">
        <v>61.2</v>
      </c>
      <c r="F2474" s="37" t="n">
        <v>20.8</v>
      </c>
    </row>
    <row r="2475">
      <c r="A2475" s="37" t="inlineStr">
        <is>
          <t>WL-03474</t>
        </is>
      </c>
      <c r="B2475" s="37" t="inlineStr">
        <is>
          <t>Flores</t>
        </is>
      </c>
      <c r="C2475" s="37" t="inlineStr">
        <is>
          <t>Christopher</t>
        </is>
      </c>
      <c r="D2475" s="37" t="inlineStr">
        <is>
          <t>ACTIVE_WAITLIST</t>
        </is>
      </c>
      <c r="E2475" s="37" t="n">
        <v>57.5</v>
      </c>
      <c r="F2475" s="37" t="n">
        <v>19.8</v>
      </c>
    </row>
    <row r="2476">
      <c r="A2476" s="37" t="inlineStr">
        <is>
          <t>WL-03475</t>
        </is>
      </c>
      <c r="B2476" s="37" t="inlineStr">
        <is>
          <t>Ross</t>
        </is>
      </c>
      <c r="C2476" s="37" t="inlineStr">
        <is>
          <t>Jennifer</t>
        </is>
      </c>
      <c r="D2476" s="37" t="inlineStr">
        <is>
          <t>ACTIVE_WAITLIST</t>
        </is>
      </c>
      <c r="E2476" s="37" t="n">
        <v>25</v>
      </c>
      <c r="F2476" s="37" t="n">
        <v>7.3</v>
      </c>
    </row>
    <row r="2477">
      <c r="A2477" s="37" t="inlineStr">
        <is>
          <t>WL-03476</t>
        </is>
      </c>
      <c r="B2477" s="37" t="inlineStr">
        <is>
          <t>Myers</t>
        </is>
      </c>
      <c r="C2477" s="37" t="inlineStr">
        <is>
          <t>Andrew</t>
        </is>
      </c>
      <c r="D2477" s="37" t="inlineStr">
        <is>
          <t>RETAINER</t>
        </is>
      </c>
      <c r="E2477" s="37" t="n">
        <v>46.9</v>
      </c>
      <c r="F2477" s="37" t="n">
        <v>13.5</v>
      </c>
    </row>
    <row r="2478">
      <c r="A2478" s="37" t="inlineStr">
        <is>
          <t>WL-03477</t>
        </is>
      </c>
      <c r="B2478" s="37" t="inlineStr">
        <is>
          <t>Garcia</t>
        </is>
      </c>
      <c r="C2478" s="37" t="inlineStr">
        <is>
          <t>Darryl</t>
        </is>
      </c>
      <c r="D2478" s="37" t="inlineStr">
        <is>
          <t>ACTIVE_WAITLIST</t>
        </is>
      </c>
      <c r="E2478" s="37" t="n">
        <v>51.3</v>
      </c>
      <c r="F2478" s="37" t="n">
        <v>18.4</v>
      </c>
    </row>
    <row r="2479">
      <c r="A2479" s="37" t="inlineStr">
        <is>
          <t>WL-03478</t>
        </is>
      </c>
      <c r="B2479" s="37" t="inlineStr">
        <is>
          <t>Hahn</t>
        </is>
      </c>
      <c r="C2479" s="37" t="inlineStr">
        <is>
          <t>Walter</t>
        </is>
      </c>
      <c r="D2479" s="37" t="inlineStr">
        <is>
          <t>ACTIVE_WAITLIST</t>
        </is>
      </c>
      <c r="E2479" s="37" t="n">
        <v>51.5</v>
      </c>
      <c r="F2479" s="37" t="n">
        <v>18.2</v>
      </c>
    </row>
    <row r="2480">
      <c r="A2480" s="37" t="inlineStr">
        <is>
          <t>WL-03479</t>
        </is>
      </c>
      <c r="B2480" s="37" t="inlineStr">
        <is>
          <t>Daugherty</t>
        </is>
      </c>
      <c r="C2480" s="37" t="inlineStr">
        <is>
          <t>Brittney</t>
        </is>
      </c>
      <c r="D2480" s="37" t="inlineStr">
        <is>
          <t>ACTIVE_WAITLIST</t>
        </is>
      </c>
      <c r="E2480" s="37" t="n">
        <v>25.3</v>
      </c>
      <c r="F2480" s="37" t="n">
        <v>7.4</v>
      </c>
    </row>
    <row r="2481">
      <c r="A2481" s="37" t="inlineStr">
        <is>
          <t>WL-03480</t>
        </is>
      </c>
      <c r="B2481" s="37" t="inlineStr">
        <is>
          <t>Taylor</t>
        </is>
      </c>
      <c r="C2481" s="37" t="inlineStr">
        <is>
          <t>Melissa</t>
        </is>
      </c>
      <c r="D2481" s="37" t="inlineStr">
        <is>
          <t>ACTIVE_WAITLIST</t>
        </is>
      </c>
      <c r="E2481" s="37" t="n">
        <v>58.1</v>
      </c>
      <c r="F2481" s="37" t="n">
        <v>19.4</v>
      </c>
    </row>
    <row r="2482">
      <c r="A2482" s="37" t="inlineStr">
        <is>
          <t>WL-03481</t>
        </is>
      </c>
      <c r="B2482" s="37" t="inlineStr">
        <is>
          <t>Madden</t>
        </is>
      </c>
      <c r="C2482" s="37" t="inlineStr">
        <is>
          <t>William</t>
        </is>
      </c>
      <c r="D2482" s="37" t="inlineStr">
        <is>
          <t>ACTIVE_WAITLIST</t>
        </is>
      </c>
      <c r="E2482" s="37" t="n">
        <v>22.1</v>
      </c>
      <c r="F2482" s="37" t="n">
        <v>6.3</v>
      </c>
    </row>
    <row r="2483">
      <c r="A2483" s="37" t="inlineStr">
        <is>
          <t>WL-03482</t>
        </is>
      </c>
      <c r="B2483" s="37" t="inlineStr">
        <is>
          <t>Gonzalez</t>
        </is>
      </c>
      <c r="C2483" s="37" t="inlineStr">
        <is>
          <t>James</t>
        </is>
      </c>
      <c r="D2483" s="37" t="inlineStr">
        <is>
          <t>RETAINER</t>
        </is>
      </c>
      <c r="E2483" s="37" t="n">
        <v>24.2</v>
      </c>
      <c r="F2483" s="37" t="n">
        <v>8</v>
      </c>
    </row>
    <row r="2484">
      <c r="A2484" s="37" t="inlineStr">
        <is>
          <t>WL-03483</t>
        </is>
      </c>
      <c r="B2484" s="37" t="inlineStr">
        <is>
          <t>Hendricks</t>
        </is>
      </c>
      <c r="C2484" s="37" t="inlineStr">
        <is>
          <t>Lawrence</t>
        </is>
      </c>
      <c r="D2484" s="37" t="inlineStr">
        <is>
          <t>ACTIVE_WAITLIST</t>
        </is>
      </c>
      <c r="E2484" s="37" t="n">
        <v>36.3</v>
      </c>
      <c r="F2484" s="37" t="n">
        <v>10.7</v>
      </c>
    </row>
    <row r="2485">
      <c r="A2485" s="37" t="inlineStr">
        <is>
          <t>WL-03484</t>
        </is>
      </c>
      <c r="B2485" s="37" t="inlineStr">
        <is>
          <t>Jackson</t>
        </is>
      </c>
      <c r="C2485" s="37" t="inlineStr">
        <is>
          <t>Mikayla</t>
        </is>
      </c>
      <c r="D2485" s="37" t="inlineStr">
        <is>
          <t>ACTIVE_WAITLIST</t>
        </is>
      </c>
      <c r="E2485" s="37" t="n">
        <v>56.1</v>
      </c>
      <c r="F2485" s="37" t="n">
        <v>18.7</v>
      </c>
    </row>
    <row r="2486">
      <c r="A2486" s="37" t="inlineStr">
        <is>
          <t>WL-03485</t>
        </is>
      </c>
      <c r="B2486" s="37" t="inlineStr">
        <is>
          <t>Moon</t>
        </is>
      </c>
      <c r="C2486" s="37" t="inlineStr">
        <is>
          <t>Timothy</t>
        </is>
      </c>
      <c r="D2486" s="37" t="inlineStr">
        <is>
          <t>ACTIVE_WAITLIST</t>
        </is>
      </c>
      <c r="E2486" s="37" t="n">
        <v>42.5</v>
      </c>
      <c r="F2486" s="37" t="n">
        <v>12</v>
      </c>
    </row>
    <row r="2487">
      <c r="A2487" s="37" t="inlineStr">
        <is>
          <t>WL-03486</t>
        </is>
      </c>
      <c r="B2487" s="37" t="inlineStr">
        <is>
          <t>Murillo</t>
        </is>
      </c>
      <c r="C2487" s="37" t="inlineStr">
        <is>
          <t>Mary</t>
        </is>
      </c>
      <c r="D2487" s="37" t="inlineStr">
        <is>
          <t>ACTIVE_WAITLIST</t>
        </is>
      </c>
      <c r="E2487" s="37" t="n">
        <v>28</v>
      </c>
      <c r="F2487" s="37" t="n">
        <v>8.699999999999999</v>
      </c>
    </row>
    <row r="2488">
      <c r="A2488" s="37" t="inlineStr">
        <is>
          <t>WL-03487</t>
        </is>
      </c>
      <c r="B2488" s="37" t="inlineStr">
        <is>
          <t>Hunter</t>
        </is>
      </c>
      <c r="C2488" s="37" t="inlineStr">
        <is>
          <t>David</t>
        </is>
      </c>
      <c r="D2488" s="37" t="inlineStr">
        <is>
          <t>EXPIRED</t>
        </is>
      </c>
      <c r="E2488" s="37" t="n">
        <v>24.4</v>
      </c>
      <c r="F2488" s="37" t="n">
        <v>7.1</v>
      </c>
    </row>
    <row r="2489">
      <c r="A2489" s="37" t="inlineStr">
        <is>
          <t>WL-03488</t>
        </is>
      </c>
      <c r="B2489" s="37" t="inlineStr">
        <is>
          <t>Hill</t>
        </is>
      </c>
      <c r="C2489" s="37" t="inlineStr">
        <is>
          <t>Albert</t>
        </is>
      </c>
      <c r="D2489" s="37" t="inlineStr">
        <is>
          <t>ACTIVE_WAITLIST</t>
        </is>
      </c>
      <c r="E2489" s="37" t="n">
        <v>34.5</v>
      </c>
      <c r="F2489" s="37" t="n">
        <v>10.5</v>
      </c>
    </row>
    <row r="2490">
      <c r="A2490" s="37" t="inlineStr">
        <is>
          <t>WL-03489</t>
        </is>
      </c>
      <c r="B2490" s="37" t="inlineStr">
        <is>
          <t>Padilla</t>
        </is>
      </c>
      <c r="C2490" s="37" t="inlineStr">
        <is>
          <t>Alec</t>
        </is>
      </c>
      <c r="D2490" s="37" t="inlineStr">
        <is>
          <t>ACTIVE_WAITLIST</t>
        </is>
      </c>
      <c r="E2490" s="37" t="n">
        <v>59.8</v>
      </c>
      <c r="F2490" s="37" t="n">
        <v>18.2</v>
      </c>
    </row>
    <row r="2491">
      <c r="A2491" s="37" t="inlineStr">
        <is>
          <t>WL-03490</t>
        </is>
      </c>
      <c r="B2491" s="37" t="inlineStr">
        <is>
          <t>Browning</t>
        </is>
      </c>
      <c r="C2491" s="37" t="inlineStr">
        <is>
          <t>Julian</t>
        </is>
      </c>
      <c r="D2491" s="37" t="inlineStr">
        <is>
          <t>ACTIVE_WAITLIST</t>
        </is>
      </c>
      <c r="E2491" s="37" t="n">
        <v>50.7</v>
      </c>
      <c r="F2491" s="37" t="n">
        <v>16.1</v>
      </c>
    </row>
    <row r="2492">
      <c r="A2492" s="37" t="inlineStr">
        <is>
          <t>WL-03491</t>
        </is>
      </c>
      <c r="B2492" s="37" t="inlineStr">
        <is>
          <t>Flowers</t>
        </is>
      </c>
      <c r="C2492" s="37" t="inlineStr">
        <is>
          <t>Daniel</t>
        </is>
      </c>
      <c r="D2492" s="37" t="inlineStr">
        <is>
          <t>EXPIRED</t>
        </is>
      </c>
      <c r="E2492" s="37" t="n">
        <v>38</v>
      </c>
      <c r="F2492" s="37" t="n">
        <v>11.2</v>
      </c>
    </row>
    <row r="2493">
      <c r="A2493" s="37" t="inlineStr">
        <is>
          <t>WL-03492</t>
        </is>
      </c>
      <c r="B2493" s="37" t="inlineStr">
        <is>
          <t>Hernandez</t>
        </is>
      </c>
      <c r="C2493" s="37" t="inlineStr">
        <is>
          <t>Lisa</t>
        </is>
      </c>
      <c r="D2493" s="37" t="inlineStr">
        <is>
          <t>ACTIVE_WAITLIST</t>
        </is>
      </c>
      <c r="E2493" s="37" t="n">
        <v>32.7</v>
      </c>
      <c r="F2493" s="37" t="n">
        <v>10.9</v>
      </c>
    </row>
    <row r="2494">
      <c r="A2494" s="37" t="inlineStr">
        <is>
          <t>WL-03493</t>
        </is>
      </c>
      <c r="B2494" s="37" t="inlineStr">
        <is>
          <t>Patterson</t>
        </is>
      </c>
      <c r="C2494" s="37" t="inlineStr">
        <is>
          <t>Francisco</t>
        </is>
      </c>
      <c r="D2494" s="37" t="inlineStr">
        <is>
          <t>ACTIVE_WAITLIST</t>
        </is>
      </c>
      <c r="E2494" s="37" t="n">
        <v>48.3</v>
      </c>
      <c r="F2494" s="37" t="n">
        <v>14.3</v>
      </c>
    </row>
    <row r="2495">
      <c r="A2495" s="37" t="inlineStr">
        <is>
          <t>WL-03494</t>
        </is>
      </c>
      <c r="B2495" s="37" t="inlineStr">
        <is>
          <t>Owen</t>
        </is>
      </c>
      <c r="C2495" s="37" t="inlineStr">
        <is>
          <t>Donna</t>
        </is>
      </c>
      <c r="D2495" s="37" t="inlineStr">
        <is>
          <t>ACTIVE_WAITLIST</t>
        </is>
      </c>
      <c r="E2495" s="37" t="n">
        <v>43.5</v>
      </c>
      <c r="F2495" s="37" t="n">
        <v>13.8</v>
      </c>
    </row>
    <row r="2496">
      <c r="A2496" s="37" t="inlineStr">
        <is>
          <t>WL-03495</t>
        </is>
      </c>
      <c r="B2496" s="37" t="inlineStr">
        <is>
          <t>Watson</t>
        </is>
      </c>
      <c r="C2496" s="37" t="inlineStr">
        <is>
          <t>Sara</t>
        </is>
      </c>
      <c r="D2496" s="37" t="inlineStr">
        <is>
          <t>ACTIVE_WAITLIST</t>
        </is>
      </c>
      <c r="E2496" s="37" t="n">
        <v>45.7</v>
      </c>
      <c r="F2496" s="37" t="n">
        <v>14.6</v>
      </c>
    </row>
    <row r="2497">
      <c r="A2497" s="37" t="inlineStr">
        <is>
          <t>WL-03496</t>
        </is>
      </c>
      <c r="B2497" s="37" t="inlineStr">
        <is>
          <t>Koch</t>
        </is>
      </c>
      <c r="C2497" s="37" t="inlineStr">
        <is>
          <t>Pamela</t>
        </is>
      </c>
      <c r="D2497" s="37" t="inlineStr">
        <is>
          <t>ACTIVE_WAITLIST</t>
        </is>
      </c>
      <c r="E2497" s="37" t="n">
        <v>53.2</v>
      </c>
      <c r="F2497" s="37" t="n">
        <v>19</v>
      </c>
    </row>
    <row r="2498">
      <c r="A2498" s="37" t="inlineStr">
        <is>
          <t>WL-03497</t>
        </is>
      </c>
      <c r="B2498" s="37" t="inlineStr">
        <is>
          <t>Norman</t>
        </is>
      </c>
      <c r="C2498" s="37" t="inlineStr">
        <is>
          <t>David</t>
        </is>
      </c>
      <c r="D2498" s="37" t="inlineStr">
        <is>
          <t>ACTIVE_WAITLIST</t>
        </is>
      </c>
      <c r="E2498" s="37" t="n">
        <v>43.4</v>
      </c>
      <c r="F2498" s="37" t="n">
        <v>14.1</v>
      </c>
    </row>
    <row r="2499">
      <c r="A2499" s="37" t="inlineStr">
        <is>
          <t>WL-03498</t>
        </is>
      </c>
      <c r="B2499" s="37" t="inlineStr">
        <is>
          <t>Bell</t>
        </is>
      </c>
      <c r="C2499" s="37" t="inlineStr">
        <is>
          <t>Andrew</t>
        </is>
      </c>
      <c r="D2499" s="37" t="inlineStr">
        <is>
          <t>ACTIVE_WAITLIST</t>
        </is>
      </c>
      <c r="E2499" s="37" t="n">
        <v>41.3</v>
      </c>
      <c r="F2499" s="37" t="n">
        <v>14</v>
      </c>
    </row>
    <row r="2500">
      <c r="A2500" s="37" t="inlineStr">
        <is>
          <t>WL-03499</t>
        </is>
      </c>
      <c r="B2500" s="37" t="inlineStr">
        <is>
          <t>Foster</t>
        </is>
      </c>
      <c r="C2500" s="37" t="inlineStr">
        <is>
          <t>Cameron</t>
        </is>
      </c>
      <c r="D2500" s="37" t="inlineStr">
        <is>
          <t>ACTIVE_WAITLIST</t>
        </is>
      </c>
      <c r="E2500" s="37" t="n">
        <v>21.8</v>
      </c>
      <c r="F2500" s="37" t="n">
        <v>7.1</v>
      </c>
    </row>
    <row r="2501">
      <c r="A2501" s="37" t="inlineStr">
        <is>
          <t>WL-03500</t>
        </is>
      </c>
      <c r="B2501" s="37" t="inlineStr">
        <is>
          <t>Fletcher</t>
        </is>
      </c>
      <c r="C2501" s="37" t="inlineStr">
        <is>
          <t>Rebecca</t>
        </is>
      </c>
      <c r="D2501" s="37" t="inlineStr">
        <is>
          <t>ACTIVE_WAITLIST</t>
        </is>
      </c>
      <c r="E2501" s="37" t="n">
        <v>54</v>
      </c>
      <c r="F2501" s="37" t="n">
        <v>16.7</v>
      </c>
    </row>
    <row r="2502">
      <c r="A2502" s="37" t="inlineStr">
        <is>
          <t>WL-03501</t>
        </is>
      </c>
      <c r="B2502" s="37" t="inlineStr">
        <is>
          <t>Campos</t>
        </is>
      </c>
      <c r="C2502" s="37" t="inlineStr">
        <is>
          <t>Shelley</t>
        </is>
      </c>
      <c r="D2502" s="37" t="inlineStr">
        <is>
          <t>ACTIVE_WAITLIST</t>
        </is>
      </c>
      <c r="E2502" s="37" t="n">
        <v>35.5</v>
      </c>
      <c r="F2502" s="37" t="n">
        <v>12.6</v>
      </c>
    </row>
    <row r="2503">
      <c r="A2503" s="37" t="inlineStr">
        <is>
          <t>WL-03502</t>
        </is>
      </c>
      <c r="B2503" s="37" t="inlineStr">
        <is>
          <t>Bryant</t>
        </is>
      </c>
      <c r="C2503" s="37" t="inlineStr">
        <is>
          <t>Jennifer</t>
        </is>
      </c>
      <c r="D2503" s="37" t="inlineStr">
        <is>
          <t>ACTIVE_WAITLIST</t>
        </is>
      </c>
      <c r="E2503" s="37" t="n">
        <v>42.5</v>
      </c>
      <c r="F2503" s="37" t="n">
        <v>14.2</v>
      </c>
    </row>
    <row r="2504">
      <c r="A2504" s="37" t="inlineStr">
        <is>
          <t>WL-03503</t>
        </is>
      </c>
      <c r="B2504" s="37" t="inlineStr">
        <is>
          <t>Elliott</t>
        </is>
      </c>
      <c r="C2504" s="37" t="inlineStr">
        <is>
          <t>Shelly</t>
        </is>
      </c>
      <c r="D2504" s="37" t="inlineStr">
        <is>
          <t>ACTIVE_WAITLIST</t>
        </is>
      </c>
      <c r="E2504" s="37" t="n">
        <v>23</v>
      </c>
      <c r="F2504" s="37" t="n">
        <v>8</v>
      </c>
    </row>
    <row r="2505">
      <c r="A2505" s="37" t="inlineStr">
        <is>
          <t>WL-03504</t>
        </is>
      </c>
      <c r="B2505" s="37" t="inlineStr">
        <is>
          <t>Brady</t>
        </is>
      </c>
      <c r="C2505" s="37" t="inlineStr">
        <is>
          <t>Paul</t>
        </is>
      </c>
      <c r="D2505" s="37" t="inlineStr">
        <is>
          <t>ACTIVE_WAITLIST</t>
        </is>
      </c>
      <c r="E2505" s="37" t="n">
        <v>42</v>
      </c>
      <c r="F2505" s="37" t="n">
        <v>14.1</v>
      </c>
    </row>
    <row r="2506">
      <c r="A2506" s="37" t="inlineStr">
        <is>
          <t>WL-03505</t>
        </is>
      </c>
      <c r="B2506" s="37" t="inlineStr">
        <is>
          <t>Chung</t>
        </is>
      </c>
      <c r="C2506" s="37" t="inlineStr">
        <is>
          <t>Alexandra</t>
        </is>
      </c>
      <c r="D2506" s="37" t="inlineStr">
        <is>
          <t>ACTIVE_WAITLIST</t>
        </is>
      </c>
      <c r="E2506" s="37" t="n">
        <v>43.2</v>
      </c>
      <c r="F2506" s="37" t="n">
        <v>15.2</v>
      </c>
    </row>
    <row r="2507">
      <c r="A2507" s="37" t="inlineStr">
        <is>
          <t>WL-03506</t>
        </is>
      </c>
      <c r="B2507" s="37" t="inlineStr">
        <is>
          <t>Wilson</t>
        </is>
      </c>
      <c r="C2507" s="37" t="inlineStr">
        <is>
          <t>Sarah</t>
        </is>
      </c>
      <c r="D2507" s="37" t="inlineStr">
        <is>
          <t>RETAINER</t>
        </is>
      </c>
      <c r="E2507" s="37" t="n">
        <v>23.6</v>
      </c>
      <c r="F2507" s="37" t="n">
        <v>8</v>
      </c>
    </row>
    <row r="2508">
      <c r="A2508" s="37" t="inlineStr">
        <is>
          <t>WL-03507</t>
        </is>
      </c>
      <c r="B2508" s="37" t="inlineStr">
        <is>
          <t>Chambers</t>
        </is>
      </c>
      <c r="C2508" s="37" t="inlineStr">
        <is>
          <t>John</t>
        </is>
      </c>
      <c r="D2508" s="37" t="inlineStr">
        <is>
          <t>ACTIVE_WAITLIST</t>
        </is>
      </c>
      <c r="E2508" s="37" t="n">
        <v>23.3</v>
      </c>
      <c r="F2508" s="37" t="n">
        <v>8.199999999999999</v>
      </c>
    </row>
    <row r="2509">
      <c r="A2509" s="37" t="inlineStr">
        <is>
          <t>WL-03508</t>
        </is>
      </c>
      <c r="B2509" s="37" t="inlineStr">
        <is>
          <t>Cross</t>
        </is>
      </c>
      <c r="C2509" s="37" t="inlineStr">
        <is>
          <t>Michael</t>
        </is>
      </c>
      <c r="D2509" s="37" t="inlineStr">
        <is>
          <t>ACTIVE_WAITLIST</t>
        </is>
      </c>
      <c r="E2509" s="37" t="n">
        <v>39.9</v>
      </c>
      <c r="F2509" s="37" t="n">
        <v>12.4</v>
      </c>
    </row>
    <row r="2510">
      <c r="A2510" s="37" t="inlineStr">
        <is>
          <t>WL-03509</t>
        </is>
      </c>
      <c r="B2510" s="37" t="inlineStr">
        <is>
          <t>Kline</t>
        </is>
      </c>
      <c r="C2510" s="37" t="inlineStr">
        <is>
          <t>Sabrina</t>
        </is>
      </c>
      <c r="D2510" s="37" t="inlineStr">
        <is>
          <t>RETAINER</t>
        </is>
      </c>
      <c r="E2510" s="37" t="n">
        <v>34.7</v>
      </c>
      <c r="F2510" s="37" t="n">
        <v>10.6</v>
      </c>
    </row>
    <row r="2511">
      <c r="A2511" s="37" t="inlineStr">
        <is>
          <t>WL-03510</t>
        </is>
      </c>
      <c r="B2511" s="37" t="inlineStr">
        <is>
          <t>Pearson</t>
        </is>
      </c>
      <c r="C2511" s="37" t="inlineStr">
        <is>
          <t>Kimberly</t>
        </is>
      </c>
      <c r="D2511" s="37" t="inlineStr">
        <is>
          <t>ACTIVE_WAITLIST</t>
        </is>
      </c>
      <c r="E2511" s="37" t="n">
        <v>42</v>
      </c>
      <c r="F2511" s="37" t="n">
        <v>12.7</v>
      </c>
    </row>
    <row r="2512">
      <c r="A2512" s="37" t="inlineStr">
        <is>
          <t>WL-03511</t>
        </is>
      </c>
      <c r="B2512" s="37" t="inlineStr">
        <is>
          <t>Turner</t>
        </is>
      </c>
      <c r="C2512" s="37" t="inlineStr">
        <is>
          <t>Kristen</t>
        </is>
      </c>
      <c r="D2512" s="37" t="inlineStr">
        <is>
          <t>ACTIVE_WAITLIST</t>
        </is>
      </c>
      <c r="E2512" s="37" t="n">
        <v>40.4</v>
      </c>
      <c r="F2512" s="37" t="n">
        <v>13.5</v>
      </c>
    </row>
    <row r="2513">
      <c r="A2513" s="37" t="inlineStr">
        <is>
          <t>WL-03512</t>
        </is>
      </c>
      <c r="B2513" s="37" t="inlineStr">
        <is>
          <t>Holland</t>
        </is>
      </c>
      <c r="C2513" s="37" t="inlineStr">
        <is>
          <t>Lisa</t>
        </is>
      </c>
      <c r="D2513" s="37" t="inlineStr">
        <is>
          <t>ACTIVE_WAITLIST</t>
        </is>
      </c>
      <c r="E2513" s="37" t="n">
        <v>57.3</v>
      </c>
      <c r="F2513" s="37" t="n">
        <v>16.2</v>
      </c>
    </row>
    <row r="2514">
      <c r="A2514" s="37" t="inlineStr">
        <is>
          <t>WL-03513</t>
        </is>
      </c>
      <c r="B2514" s="37" t="inlineStr">
        <is>
          <t>Lee</t>
        </is>
      </c>
      <c r="C2514" s="37" t="inlineStr">
        <is>
          <t>Rose</t>
        </is>
      </c>
      <c r="D2514" s="37" t="inlineStr">
        <is>
          <t>ACTIVE_WAITLIST</t>
        </is>
      </c>
      <c r="E2514" s="37" t="n">
        <v>47.1</v>
      </c>
      <c r="F2514" s="37" t="n">
        <v>15.4</v>
      </c>
    </row>
    <row r="2515">
      <c r="A2515" s="37" t="inlineStr">
        <is>
          <t>WL-03514</t>
        </is>
      </c>
      <c r="B2515" s="37" t="inlineStr">
        <is>
          <t>Davila</t>
        </is>
      </c>
      <c r="C2515" s="37" t="inlineStr">
        <is>
          <t>Marvin</t>
        </is>
      </c>
      <c r="D2515" s="37" t="inlineStr">
        <is>
          <t>ACTIVE_WAITLIST</t>
        </is>
      </c>
      <c r="E2515" s="37" t="n">
        <v>45</v>
      </c>
      <c r="F2515" s="37" t="n">
        <v>15.7</v>
      </c>
    </row>
    <row r="2516">
      <c r="A2516" s="37" t="inlineStr">
        <is>
          <t>WL-03515</t>
        </is>
      </c>
      <c r="B2516" s="37" t="inlineStr">
        <is>
          <t>Ramirez</t>
        </is>
      </c>
      <c r="C2516" s="37" t="inlineStr">
        <is>
          <t>Adam</t>
        </is>
      </c>
      <c r="D2516" s="37" t="inlineStr">
        <is>
          <t>ACTIVE_WAITLIST</t>
        </is>
      </c>
      <c r="E2516" s="37" t="n">
        <v>21.8</v>
      </c>
      <c r="F2516" s="37" t="n">
        <v>7.3</v>
      </c>
    </row>
    <row r="2517">
      <c r="A2517" s="37" t="inlineStr">
        <is>
          <t>WL-03516</t>
        </is>
      </c>
      <c r="B2517" s="37" t="inlineStr">
        <is>
          <t>Mcgrath</t>
        </is>
      </c>
      <c r="C2517" s="37" t="inlineStr">
        <is>
          <t>Tiffany</t>
        </is>
      </c>
      <c r="D2517" s="37" t="inlineStr">
        <is>
          <t>ACTIVE_WAITLIST</t>
        </is>
      </c>
      <c r="E2517" s="37" t="n">
        <v>20.5</v>
      </c>
      <c r="F2517" s="37" t="n">
        <v>6.9</v>
      </c>
    </row>
    <row r="2518">
      <c r="A2518" s="37" t="inlineStr">
        <is>
          <t>WL-03517</t>
        </is>
      </c>
      <c r="B2518" s="37" t="inlineStr">
        <is>
          <t>Peters</t>
        </is>
      </c>
      <c r="C2518" s="37" t="inlineStr">
        <is>
          <t>Ruth</t>
        </is>
      </c>
      <c r="D2518" s="37" t="inlineStr">
        <is>
          <t>ACTIVE_WAITLIST</t>
        </is>
      </c>
      <c r="E2518" s="37" t="n">
        <v>58.9</v>
      </c>
      <c r="F2518" s="37" t="n">
        <v>17.3</v>
      </c>
    </row>
    <row r="2519">
      <c r="A2519" s="37" t="inlineStr">
        <is>
          <t>WL-03518</t>
        </is>
      </c>
      <c r="B2519" s="37" t="inlineStr">
        <is>
          <t>Donovan</t>
        </is>
      </c>
      <c r="C2519" s="37" t="inlineStr">
        <is>
          <t>Jorge</t>
        </is>
      </c>
      <c r="D2519" s="37" t="inlineStr">
        <is>
          <t>ACTIVE_WAITLIST</t>
        </is>
      </c>
      <c r="E2519" s="37" t="n">
        <v>26.3</v>
      </c>
      <c r="F2519" s="37" t="n">
        <v>7.4</v>
      </c>
    </row>
    <row r="2520">
      <c r="A2520" s="37" t="inlineStr">
        <is>
          <t>WL-03519</t>
        </is>
      </c>
      <c r="B2520" s="37" t="inlineStr">
        <is>
          <t>Moore</t>
        </is>
      </c>
      <c r="C2520" s="37" t="inlineStr">
        <is>
          <t>Crystal</t>
        </is>
      </c>
      <c r="D2520" s="37" t="inlineStr">
        <is>
          <t>ACTIVE_WAITLIST</t>
        </is>
      </c>
      <c r="E2520" s="37" t="n">
        <v>31.9</v>
      </c>
      <c r="F2520" s="37" t="n">
        <v>9.800000000000001</v>
      </c>
    </row>
    <row r="2521">
      <c r="A2521" s="37" t="inlineStr">
        <is>
          <t>WL-03520</t>
        </is>
      </c>
      <c r="B2521" s="37" t="inlineStr">
        <is>
          <t>Barnett</t>
        </is>
      </c>
      <c r="C2521" s="37" t="inlineStr">
        <is>
          <t>Carlos</t>
        </is>
      </c>
      <c r="D2521" s="37" t="inlineStr">
        <is>
          <t>ACTIVE_WAITLIST</t>
        </is>
      </c>
      <c r="E2521" s="37" t="n">
        <v>52</v>
      </c>
      <c r="F2521" s="37" t="n">
        <v>16.5</v>
      </c>
    </row>
    <row r="2522">
      <c r="A2522" s="37" t="inlineStr">
        <is>
          <t>WL-03521</t>
        </is>
      </c>
      <c r="B2522" s="37" t="inlineStr">
        <is>
          <t>Nelson</t>
        </is>
      </c>
      <c r="C2522" s="37" t="inlineStr">
        <is>
          <t>Penny</t>
        </is>
      </c>
      <c r="D2522" s="37" t="inlineStr">
        <is>
          <t>ACTIVE_WAITLIST</t>
        </is>
      </c>
      <c r="E2522" s="37" t="n">
        <v>61.1</v>
      </c>
      <c r="F2522" s="37" t="n">
        <v>21.1</v>
      </c>
    </row>
    <row r="2523">
      <c r="A2523" s="37" t="inlineStr">
        <is>
          <t>WL-03522</t>
        </is>
      </c>
      <c r="B2523" s="37" t="inlineStr">
        <is>
          <t>Sanchez</t>
        </is>
      </c>
      <c r="C2523" s="37" t="inlineStr">
        <is>
          <t>Austin</t>
        </is>
      </c>
      <c r="D2523" s="37" t="inlineStr">
        <is>
          <t>ACTIVE_WAITLIST</t>
        </is>
      </c>
      <c r="E2523" s="37" t="n">
        <v>46.1</v>
      </c>
      <c r="F2523" s="37" t="n">
        <v>15</v>
      </c>
    </row>
    <row r="2524">
      <c r="A2524" s="37" t="inlineStr">
        <is>
          <t>WL-03523</t>
        </is>
      </c>
      <c r="B2524" s="37" t="inlineStr">
        <is>
          <t>Glover</t>
        </is>
      </c>
      <c r="C2524" s="37" t="inlineStr">
        <is>
          <t>Darlene</t>
        </is>
      </c>
      <c r="D2524" s="37" t="inlineStr">
        <is>
          <t>ACTIVE_WAITLIST</t>
        </is>
      </c>
      <c r="E2524" s="37" t="n">
        <v>53.1</v>
      </c>
      <c r="F2524" s="37" t="n">
        <v>17.6</v>
      </c>
    </row>
    <row r="2525">
      <c r="A2525" s="37" t="inlineStr">
        <is>
          <t>WL-03524</t>
        </is>
      </c>
      <c r="B2525" s="37" t="inlineStr">
        <is>
          <t>Hayes</t>
        </is>
      </c>
      <c r="C2525" s="37" t="inlineStr">
        <is>
          <t>James</t>
        </is>
      </c>
      <c r="D2525" s="37" t="inlineStr">
        <is>
          <t>ACTIVE_WAITLIST</t>
        </is>
      </c>
      <c r="E2525" s="37" t="n">
        <v>32.1</v>
      </c>
      <c r="F2525" s="37" t="n">
        <v>10</v>
      </c>
    </row>
    <row r="2526">
      <c r="A2526" s="37" t="inlineStr">
        <is>
          <t>WL-03525</t>
        </is>
      </c>
      <c r="B2526" s="37" t="inlineStr">
        <is>
          <t>Richardson</t>
        </is>
      </c>
      <c r="C2526" s="37" t="inlineStr">
        <is>
          <t>Samuel</t>
        </is>
      </c>
      <c r="D2526" s="37" t="inlineStr">
        <is>
          <t>RETAINER</t>
        </is>
      </c>
      <c r="E2526" s="37" t="n">
        <v>45.8</v>
      </c>
      <c r="F2526" s="37" t="n">
        <v>14.7</v>
      </c>
    </row>
    <row r="2527">
      <c r="A2527" s="37" t="inlineStr">
        <is>
          <t>WL-03526</t>
        </is>
      </c>
      <c r="B2527" s="37" t="inlineStr">
        <is>
          <t>West</t>
        </is>
      </c>
      <c r="C2527" s="37" t="inlineStr">
        <is>
          <t>Michael</t>
        </is>
      </c>
      <c r="D2527" s="37" t="inlineStr">
        <is>
          <t>ACTIVE_WAITLIST</t>
        </is>
      </c>
      <c r="E2527" s="37" t="n">
        <v>35.1</v>
      </c>
      <c r="F2527" s="37" t="n">
        <v>10.3</v>
      </c>
    </row>
    <row r="2528">
      <c r="A2528" s="37" t="inlineStr">
        <is>
          <t>WL-03527</t>
        </is>
      </c>
      <c r="B2528" s="37" t="inlineStr">
        <is>
          <t>Logan</t>
        </is>
      </c>
      <c r="C2528" s="37" t="inlineStr">
        <is>
          <t>Ashley</t>
        </is>
      </c>
      <c r="D2528" s="37" t="inlineStr">
        <is>
          <t>ACTIVE_WAITLIST</t>
        </is>
      </c>
      <c r="E2528" s="37" t="n">
        <v>30.5</v>
      </c>
      <c r="F2528" s="37" t="n">
        <v>9.800000000000001</v>
      </c>
    </row>
    <row r="2529">
      <c r="A2529" s="37" t="inlineStr">
        <is>
          <t>WL-03528</t>
        </is>
      </c>
      <c r="B2529" s="37" t="inlineStr">
        <is>
          <t>Hudson</t>
        </is>
      </c>
      <c r="C2529" s="37" t="inlineStr">
        <is>
          <t>Gina</t>
        </is>
      </c>
      <c r="D2529" s="37" t="inlineStr">
        <is>
          <t>ACTIVE_WAITLIST</t>
        </is>
      </c>
      <c r="E2529" s="37" t="n">
        <v>43.1</v>
      </c>
      <c r="F2529" s="37" t="n">
        <v>15.3</v>
      </c>
    </row>
    <row r="2530">
      <c r="A2530" s="37" t="inlineStr">
        <is>
          <t>WL-03529</t>
        </is>
      </c>
      <c r="B2530" s="37" t="inlineStr">
        <is>
          <t>Bautista</t>
        </is>
      </c>
      <c r="C2530" s="37" t="inlineStr">
        <is>
          <t>Jeanette</t>
        </is>
      </c>
      <c r="D2530" s="37" t="inlineStr">
        <is>
          <t>ACTIVE_WAITLIST</t>
        </is>
      </c>
      <c r="E2530" s="37" t="n">
        <v>41.7</v>
      </c>
      <c r="F2530" s="37" t="n">
        <v>12.3</v>
      </c>
    </row>
    <row r="2531">
      <c r="A2531" s="37" t="inlineStr">
        <is>
          <t>WL-03530</t>
        </is>
      </c>
      <c r="B2531" s="37" t="inlineStr">
        <is>
          <t>Dominguez</t>
        </is>
      </c>
      <c r="C2531" s="37" t="inlineStr">
        <is>
          <t>Jay</t>
        </is>
      </c>
      <c r="D2531" s="37" t="inlineStr">
        <is>
          <t>ACTIVE_WAITLIST</t>
        </is>
      </c>
      <c r="E2531" s="37" t="n">
        <v>40.6</v>
      </c>
      <c r="F2531" s="37" t="n">
        <v>13.1</v>
      </c>
    </row>
    <row r="2532">
      <c r="A2532" s="37" t="inlineStr">
        <is>
          <t>WL-03531</t>
        </is>
      </c>
      <c r="B2532" s="37" t="inlineStr">
        <is>
          <t>Golden</t>
        </is>
      </c>
      <c r="C2532" s="37" t="inlineStr">
        <is>
          <t>Nicole</t>
        </is>
      </c>
      <c r="D2532" s="37" t="inlineStr">
        <is>
          <t>ACTIVE_WAITLIST</t>
        </is>
      </c>
      <c r="E2532" s="37" t="n">
        <v>47.4</v>
      </c>
      <c r="F2532" s="37" t="n">
        <v>16.6</v>
      </c>
    </row>
    <row r="2533">
      <c r="A2533" s="37" t="inlineStr">
        <is>
          <t>WL-03532</t>
        </is>
      </c>
      <c r="B2533" s="37" t="inlineStr">
        <is>
          <t>May</t>
        </is>
      </c>
      <c r="C2533" s="37" t="inlineStr">
        <is>
          <t>Tanya</t>
        </is>
      </c>
      <c r="D2533" s="37" t="inlineStr">
        <is>
          <t>ACTIVE_WAITLIST</t>
        </is>
      </c>
      <c r="E2533" s="37" t="n">
        <v>18.1</v>
      </c>
      <c r="F2533" s="37" t="n">
        <v>5.9</v>
      </c>
    </row>
    <row r="2534">
      <c r="A2534" s="37" t="inlineStr">
        <is>
          <t>WL-03533</t>
        </is>
      </c>
      <c r="B2534" s="37" t="inlineStr">
        <is>
          <t>Wilson</t>
        </is>
      </c>
      <c r="C2534" s="37" t="inlineStr">
        <is>
          <t>Brian</t>
        </is>
      </c>
      <c r="D2534" s="37" t="inlineStr">
        <is>
          <t>ACTIVE_WAITLIST</t>
        </is>
      </c>
      <c r="E2534" s="37" t="n">
        <v>61.9</v>
      </c>
      <c r="F2534" s="37" t="n">
        <v>20.6</v>
      </c>
    </row>
    <row r="2535">
      <c r="A2535" s="37" t="inlineStr">
        <is>
          <t>WL-03534</t>
        </is>
      </c>
      <c r="B2535" s="37" t="inlineStr">
        <is>
          <t>Morris</t>
        </is>
      </c>
      <c r="C2535" s="37" t="inlineStr">
        <is>
          <t>Henry</t>
        </is>
      </c>
      <c r="D2535" s="37" t="inlineStr">
        <is>
          <t>ACTIVE_WAITLIST</t>
        </is>
      </c>
      <c r="E2535" s="37" t="n">
        <v>59.7</v>
      </c>
      <c r="F2535" s="37" t="n">
        <v>17.4</v>
      </c>
    </row>
    <row r="2536">
      <c r="A2536" s="37" t="inlineStr">
        <is>
          <t>WL-03535</t>
        </is>
      </c>
      <c r="B2536" s="37" t="inlineStr">
        <is>
          <t>Castro</t>
        </is>
      </c>
      <c r="C2536" s="37" t="inlineStr">
        <is>
          <t>Allison</t>
        </is>
      </c>
      <c r="D2536" s="37" t="inlineStr">
        <is>
          <t>RETAINER</t>
        </is>
      </c>
      <c r="E2536" s="37" t="n">
        <v>57.7</v>
      </c>
      <c r="F2536" s="37" t="n">
        <v>19.4</v>
      </c>
    </row>
    <row r="2537">
      <c r="A2537" s="37" t="inlineStr">
        <is>
          <t>WL-03536</t>
        </is>
      </c>
      <c r="B2537" s="37" t="inlineStr">
        <is>
          <t>Elliott</t>
        </is>
      </c>
      <c r="C2537" s="37" t="inlineStr">
        <is>
          <t>Susan</t>
        </is>
      </c>
      <c r="D2537" s="37" t="inlineStr">
        <is>
          <t>RETAINER</t>
        </is>
      </c>
      <c r="E2537" s="37" t="n">
        <v>31.1</v>
      </c>
      <c r="F2537" s="37" t="n">
        <v>9.1</v>
      </c>
    </row>
    <row r="2538">
      <c r="A2538" s="37" t="inlineStr">
        <is>
          <t>WL-03537</t>
        </is>
      </c>
      <c r="B2538" s="37" t="inlineStr">
        <is>
          <t>Wheeler</t>
        </is>
      </c>
      <c r="C2538" s="37" t="inlineStr">
        <is>
          <t>Angel</t>
        </is>
      </c>
      <c r="D2538" s="37" t="inlineStr">
        <is>
          <t>RETAINER</t>
        </is>
      </c>
      <c r="E2538" s="37" t="n">
        <v>42.9</v>
      </c>
      <c r="F2538" s="37" t="n">
        <v>14.4</v>
      </c>
    </row>
    <row r="2539">
      <c r="A2539" s="37" t="inlineStr">
        <is>
          <t>WL-03538</t>
        </is>
      </c>
      <c r="B2539" s="37" t="inlineStr">
        <is>
          <t>Gardner</t>
        </is>
      </c>
      <c r="C2539" s="37" t="inlineStr">
        <is>
          <t>Kevin</t>
        </is>
      </c>
      <c r="D2539" s="37" t="inlineStr">
        <is>
          <t>RETAINER</t>
        </is>
      </c>
      <c r="E2539" s="37" t="n">
        <v>37.1</v>
      </c>
      <c r="F2539" s="37" t="n">
        <v>11.3</v>
      </c>
    </row>
    <row r="2540">
      <c r="A2540" s="37" t="inlineStr">
        <is>
          <t>WL-03539</t>
        </is>
      </c>
      <c r="B2540" s="37" t="inlineStr">
        <is>
          <t>Martinez</t>
        </is>
      </c>
      <c r="C2540" s="37" t="inlineStr">
        <is>
          <t>Arthur</t>
        </is>
      </c>
      <c r="D2540" s="37" t="inlineStr">
        <is>
          <t>ACTIVE_WAITLIST</t>
        </is>
      </c>
      <c r="E2540" s="37" t="n">
        <v>50</v>
      </c>
      <c r="F2540" s="37" t="n">
        <v>15.1</v>
      </c>
    </row>
    <row r="2541">
      <c r="A2541" s="37" t="inlineStr">
        <is>
          <t>WL-03540</t>
        </is>
      </c>
      <c r="B2541" s="37" t="inlineStr">
        <is>
          <t>Crane</t>
        </is>
      </c>
      <c r="C2541" s="37" t="inlineStr">
        <is>
          <t>Julie</t>
        </is>
      </c>
      <c r="D2541" s="37" t="inlineStr">
        <is>
          <t>ACTIVE_WAITLIST</t>
        </is>
      </c>
      <c r="E2541" s="37" t="n">
        <v>41.5</v>
      </c>
      <c r="F2541" s="37" t="n">
        <v>12.3</v>
      </c>
    </row>
    <row r="2542">
      <c r="A2542" s="37" t="inlineStr">
        <is>
          <t>WL-03541</t>
        </is>
      </c>
      <c r="B2542" s="37" t="inlineStr">
        <is>
          <t>Myers</t>
        </is>
      </c>
      <c r="C2542" s="37" t="inlineStr">
        <is>
          <t>Michael</t>
        </is>
      </c>
      <c r="D2542" s="37" t="inlineStr">
        <is>
          <t>ACTIVE_WAITLIST</t>
        </is>
      </c>
      <c r="E2542" s="37" t="n">
        <v>42.9</v>
      </c>
      <c r="F2542" s="37" t="n">
        <v>15.1</v>
      </c>
    </row>
    <row r="2543">
      <c r="A2543" s="37" t="inlineStr">
        <is>
          <t>WL-03542</t>
        </is>
      </c>
      <c r="B2543" s="37" t="inlineStr">
        <is>
          <t>Rivas</t>
        </is>
      </c>
      <c r="C2543" s="37" t="inlineStr">
        <is>
          <t>Kristina</t>
        </is>
      </c>
      <c r="D2543" s="37" t="inlineStr">
        <is>
          <t>RETAINER</t>
        </is>
      </c>
      <c r="E2543" s="37" t="n">
        <v>60.5</v>
      </c>
      <c r="F2543" s="37" t="n">
        <v>21</v>
      </c>
    </row>
    <row r="2544">
      <c r="A2544" s="37" t="inlineStr">
        <is>
          <t>WL-03543</t>
        </is>
      </c>
      <c r="B2544" s="37" t="inlineStr">
        <is>
          <t>Harrison</t>
        </is>
      </c>
      <c r="C2544" s="37" t="inlineStr">
        <is>
          <t>Joseph</t>
        </is>
      </c>
      <c r="D2544" s="37" t="inlineStr">
        <is>
          <t>RETAINER</t>
        </is>
      </c>
      <c r="E2544" s="37" t="n">
        <v>47.5</v>
      </c>
      <c r="F2544" s="37" t="n">
        <v>14</v>
      </c>
    </row>
    <row r="2545">
      <c r="A2545" s="37" t="inlineStr">
        <is>
          <t>WL-03544</t>
        </is>
      </c>
      <c r="B2545" s="37" t="inlineStr">
        <is>
          <t>Walker</t>
        </is>
      </c>
      <c r="C2545" s="37" t="inlineStr">
        <is>
          <t>Sarah</t>
        </is>
      </c>
      <c r="D2545" s="37" t="inlineStr">
        <is>
          <t>ACTIVE_WAITLIST</t>
        </is>
      </c>
      <c r="E2545" s="37" t="n">
        <v>19.3</v>
      </c>
      <c r="F2545" s="37" t="n">
        <v>6.5</v>
      </c>
    </row>
    <row r="2546">
      <c r="A2546" s="37" t="inlineStr">
        <is>
          <t>WL-03545</t>
        </is>
      </c>
      <c r="B2546" s="37" t="inlineStr">
        <is>
          <t>Chen</t>
        </is>
      </c>
      <c r="C2546" s="37" t="inlineStr">
        <is>
          <t>Barbara</t>
        </is>
      </c>
      <c r="D2546" s="37" t="inlineStr">
        <is>
          <t>ACTIVE_WAITLIST</t>
        </is>
      </c>
      <c r="E2546" s="37" t="n">
        <v>42.2</v>
      </c>
      <c r="F2546" s="37" t="n">
        <v>13.7</v>
      </c>
    </row>
    <row r="2547">
      <c r="A2547" s="37" t="inlineStr">
        <is>
          <t>WL-03546</t>
        </is>
      </c>
      <c r="B2547" s="37" t="inlineStr">
        <is>
          <t>Huynh</t>
        </is>
      </c>
      <c r="C2547" s="37" t="inlineStr">
        <is>
          <t>Samantha</t>
        </is>
      </c>
      <c r="D2547" s="37" t="inlineStr">
        <is>
          <t>RETAINER</t>
        </is>
      </c>
      <c r="E2547" s="37" t="n">
        <v>18.2</v>
      </c>
      <c r="F2547" s="37" t="n">
        <v>5.4</v>
      </c>
    </row>
    <row r="2548">
      <c r="A2548" s="37" t="inlineStr">
        <is>
          <t>WL-03547</t>
        </is>
      </c>
      <c r="B2548" s="37" t="inlineStr">
        <is>
          <t>Ward</t>
        </is>
      </c>
      <c r="C2548" s="37" t="inlineStr">
        <is>
          <t>Amber</t>
        </is>
      </c>
      <c r="D2548" s="37" t="inlineStr">
        <is>
          <t>ACTIVE_WAITLIST</t>
        </is>
      </c>
      <c r="E2548" s="37" t="n">
        <v>48.4</v>
      </c>
      <c r="F2548" s="37" t="n">
        <v>16.5</v>
      </c>
    </row>
    <row r="2549">
      <c r="A2549" s="37" t="inlineStr">
        <is>
          <t>WL-03548</t>
        </is>
      </c>
      <c r="B2549" s="37" t="inlineStr">
        <is>
          <t>Clark</t>
        </is>
      </c>
      <c r="C2549" s="37" t="inlineStr">
        <is>
          <t>Michael</t>
        </is>
      </c>
      <c r="D2549" s="37" t="inlineStr">
        <is>
          <t>ACTIVE_WAITLIST</t>
        </is>
      </c>
      <c r="E2549" s="37" t="n">
        <v>37.4</v>
      </c>
      <c r="F2549" s="37" t="n">
        <v>11.2</v>
      </c>
    </row>
    <row r="2550">
      <c r="A2550" s="37" t="inlineStr">
        <is>
          <t>WL-03549</t>
        </is>
      </c>
      <c r="B2550" s="37" t="inlineStr">
        <is>
          <t>Howard</t>
        </is>
      </c>
      <c r="C2550" s="37" t="inlineStr">
        <is>
          <t>Erika</t>
        </is>
      </c>
      <c r="D2550" s="37" t="inlineStr">
        <is>
          <t>ACTIVE_WAITLIST</t>
        </is>
      </c>
      <c r="E2550" s="37" t="n">
        <v>55.5</v>
      </c>
      <c r="F2550" s="37" t="n">
        <v>16.9</v>
      </c>
    </row>
    <row r="2551">
      <c r="A2551" s="37" t="inlineStr">
        <is>
          <t>WL-03550</t>
        </is>
      </c>
      <c r="B2551" s="37" t="inlineStr">
        <is>
          <t>Parker</t>
        </is>
      </c>
      <c r="C2551" s="37" t="inlineStr">
        <is>
          <t>Brenda</t>
        </is>
      </c>
      <c r="D2551" s="37" t="inlineStr">
        <is>
          <t>ACTIVE_WAITLIST</t>
        </is>
      </c>
      <c r="E2551" s="37" t="n">
        <v>45.6</v>
      </c>
      <c r="F2551" s="37" t="n">
        <v>14.6</v>
      </c>
    </row>
    <row r="2552">
      <c r="A2552" s="37" t="inlineStr">
        <is>
          <t>WL-03551</t>
        </is>
      </c>
      <c r="B2552" s="37" t="inlineStr">
        <is>
          <t>Fisher</t>
        </is>
      </c>
      <c r="C2552" s="37" t="inlineStr">
        <is>
          <t>Jennifer</t>
        </is>
      </c>
      <c r="D2552" s="37" t="inlineStr">
        <is>
          <t>ACTIVE_WAITLIST</t>
        </is>
      </c>
      <c r="E2552" s="37" t="n">
        <v>58.3</v>
      </c>
      <c r="F2552" s="37" t="n">
        <v>17.3</v>
      </c>
    </row>
    <row r="2553">
      <c r="A2553" s="37" t="inlineStr">
        <is>
          <t>WL-03552</t>
        </is>
      </c>
      <c r="B2553" s="37" t="inlineStr">
        <is>
          <t>Hammond</t>
        </is>
      </c>
      <c r="C2553" s="37" t="inlineStr">
        <is>
          <t>Dawn</t>
        </is>
      </c>
      <c r="D2553" s="37" t="inlineStr">
        <is>
          <t>ACTIVE_WAITLIST</t>
        </is>
      </c>
      <c r="E2553" s="37" t="n">
        <v>58.8</v>
      </c>
      <c r="F2553" s="37" t="n">
        <v>18.4</v>
      </c>
    </row>
    <row r="2554">
      <c r="A2554" s="37" t="inlineStr">
        <is>
          <t>WL-03553</t>
        </is>
      </c>
      <c r="B2554" s="37" t="inlineStr">
        <is>
          <t>Gomez</t>
        </is>
      </c>
      <c r="C2554" s="37" t="inlineStr">
        <is>
          <t>Kaitlyn</t>
        </is>
      </c>
      <c r="D2554" s="37" t="inlineStr">
        <is>
          <t>ACTIVE_WAITLIST</t>
        </is>
      </c>
      <c r="E2554" s="37" t="n">
        <v>53.4</v>
      </c>
      <c r="F2554" s="37" t="n">
        <v>18</v>
      </c>
    </row>
    <row r="2555">
      <c r="A2555" s="37" t="inlineStr">
        <is>
          <t>WL-03554</t>
        </is>
      </c>
      <c r="B2555" s="37" t="inlineStr">
        <is>
          <t>Maddox</t>
        </is>
      </c>
      <c r="C2555" s="37" t="inlineStr">
        <is>
          <t>Justin</t>
        </is>
      </c>
      <c r="D2555" s="37" t="inlineStr">
        <is>
          <t>ACTIVE_WAITLIST</t>
        </is>
      </c>
      <c r="E2555" s="37" t="n">
        <v>21.6</v>
      </c>
      <c r="F2555" s="37" t="n">
        <v>7</v>
      </c>
    </row>
    <row r="2556">
      <c r="A2556" s="37" t="inlineStr">
        <is>
          <t>WL-03555</t>
        </is>
      </c>
      <c r="B2556" s="37" t="inlineStr">
        <is>
          <t>Clark</t>
        </is>
      </c>
      <c r="C2556" s="37" t="inlineStr">
        <is>
          <t>Andrea</t>
        </is>
      </c>
      <c r="D2556" s="37" t="inlineStr">
        <is>
          <t>RETAINER</t>
        </is>
      </c>
      <c r="E2556" s="37" t="n">
        <v>55.2</v>
      </c>
      <c r="F2556" s="37" t="n">
        <v>18.6</v>
      </c>
    </row>
    <row r="2557">
      <c r="A2557" s="37" t="inlineStr">
        <is>
          <t>WL-03556</t>
        </is>
      </c>
      <c r="B2557" s="37" t="inlineStr">
        <is>
          <t>Bird</t>
        </is>
      </c>
      <c r="C2557" s="37" t="inlineStr">
        <is>
          <t>Scott</t>
        </is>
      </c>
      <c r="D2557" s="37" t="inlineStr">
        <is>
          <t>ACTIVE_WAITLIST</t>
        </is>
      </c>
      <c r="E2557" s="37" t="n">
        <v>60.7</v>
      </c>
      <c r="F2557" s="37" t="n">
        <v>21.5</v>
      </c>
    </row>
    <row r="2558">
      <c r="A2558" s="37" t="inlineStr">
        <is>
          <t>WL-03557</t>
        </is>
      </c>
      <c r="B2558" s="37" t="inlineStr">
        <is>
          <t>Smith</t>
        </is>
      </c>
      <c r="C2558" s="37" t="inlineStr">
        <is>
          <t>Tiffany</t>
        </is>
      </c>
      <c r="D2558" s="37" t="inlineStr">
        <is>
          <t>ACTIVE_WAITLIST</t>
        </is>
      </c>
      <c r="E2558" s="37" t="n">
        <v>26.6</v>
      </c>
      <c r="F2558" s="37" t="n">
        <v>8.199999999999999</v>
      </c>
    </row>
    <row r="2559">
      <c r="A2559" s="37" t="inlineStr">
        <is>
          <t>WL-03558</t>
        </is>
      </c>
      <c r="B2559" s="37" t="inlineStr">
        <is>
          <t>Davis</t>
        </is>
      </c>
      <c r="C2559" s="37" t="inlineStr">
        <is>
          <t>Jeremy</t>
        </is>
      </c>
      <c r="D2559" s="37" t="inlineStr">
        <is>
          <t>ACTIVE_WAITLIST</t>
        </is>
      </c>
      <c r="E2559" s="37" t="n">
        <v>54.5</v>
      </c>
      <c r="F2559" s="37" t="n">
        <v>18.5</v>
      </c>
    </row>
    <row r="2560">
      <c r="A2560" s="37" t="inlineStr">
        <is>
          <t>WL-03559</t>
        </is>
      </c>
      <c r="B2560" s="37" t="inlineStr">
        <is>
          <t>Sanders</t>
        </is>
      </c>
      <c r="C2560" s="37" t="inlineStr">
        <is>
          <t>David</t>
        </is>
      </c>
      <c r="D2560" s="37" t="inlineStr">
        <is>
          <t>ACTIVE_WAITLIST</t>
        </is>
      </c>
      <c r="E2560" s="37" t="n">
        <v>36.5</v>
      </c>
      <c r="F2560" s="37" t="n">
        <v>11.6</v>
      </c>
    </row>
    <row r="2561">
      <c r="A2561" s="37" t="inlineStr">
        <is>
          <t>WL-03560</t>
        </is>
      </c>
      <c r="B2561" s="37" t="inlineStr">
        <is>
          <t>Pham</t>
        </is>
      </c>
      <c r="C2561" s="37" t="inlineStr">
        <is>
          <t>Anthony</t>
        </is>
      </c>
      <c r="D2561" s="37" t="inlineStr">
        <is>
          <t>ACTIVE_WAITLIST</t>
        </is>
      </c>
      <c r="E2561" s="37" t="n">
        <v>30.4</v>
      </c>
      <c r="F2561" s="37" t="n">
        <v>8.699999999999999</v>
      </c>
    </row>
    <row r="2562">
      <c r="A2562" s="37" t="inlineStr">
        <is>
          <t>WL-03561</t>
        </is>
      </c>
      <c r="B2562" s="37" t="inlineStr">
        <is>
          <t>Crawford</t>
        </is>
      </c>
      <c r="C2562" s="37" t="inlineStr">
        <is>
          <t>Rebecca</t>
        </is>
      </c>
      <c r="D2562" s="37" t="inlineStr">
        <is>
          <t>ACTIVE_WAITLIST</t>
        </is>
      </c>
      <c r="E2562" s="37" t="n">
        <v>23.5</v>
      </c>
      <c r="F2562" s="37" t="n">
        <v>7.4</v>
      </c>
    </row>
    <row r="2563">
      <c r="A2563" s="37" t="inlineStr">
        <is>
          <t>WL-03562</t>
        </is>
      </c>
      <c r="B2563" s="37" t="inlineStr">
        <is>
          <t>Davis</t>
        </is>
      </c>
      <c r="C2563" s="37" t="inlineStr">
        <is>
          <t>Tara</t>
        </is>
      </c>
      <c r="D2563" s="37" t="inlineStr">
        <is>
          <t>ACTIVE_WAITLIST</t>
        </is>
      </c>
      <c r="E2563" s="37" t="n">
        <v>47.4</v>
      </c>
      <c r="F2563" s="37" t="n">
        <v>14.3</v>
      </c>
    </row>
    <row r="2564">
      <c r="A2564" s="37" t="inlineStr">
        <is>
          <t>WL-03563</t>
        </is>
      </c>
      <c r="B2564" s="37" t="inlineStr">
        <is>
          <t>Bryant</t>
        </is>
      </c>
      <c r="C2564" s="37" t="inlineStr">
        <is>
          <t>Ellen</t>
        </is>
      </c>
      <c r="D2564" s="37" t="inlineStr">
        <is>
          <t>ACTIVE_WAITLIST</t>
        </is>
      </c>
      <c r="E2564" s="37" t="n">
        <v>53.8</v>
      </c>
      <c r="F2564" s="37" t="n">
        <v>19.2</v>
      </c>
    </row>
    <row r="2565">
      <c r="A2565" s="37" t="inlineStr">
        <is>
          <t>WL-03564</t>
        </is>
      </c>
      <c r="B2565" s="37" t="inlineStr">
        <is>
          <t>Hernandez</t>
        </is>
      </c>
      <c r="C2565" s="37" t="inlineStr">
        <is>
          <t>Amy</t>
        </is>
      </c>
      <c r="D2565" s="37" t="inlineStr">
        <is>
          <t>ACTIVE_WAITLIST</t>
        </is>
      </c>
      <c r="E2565" s="37" t="n">
        <v>41.8</v>
      </c>
      <c r="F2565" s="37" t="n">
        <v>14.5</v>
      </c>
    </row>
    <row r="2566">
      <c r="A2566" s="37" t="inlineStr">
        <is>
          <t>WL-03565</t>
        </is>
      </c>
      <c r="B2566" s="37" t="inlineStr">
        <is>
          <t>Rosario</t>
        </is>
      </c>
      <c r="C2566" s="37" t="inlineStr">
        <is>
          <t>Brian</t>
        </is>
      </c>
      <c r="D2566" s="37" t="inlineStr">
        <is>
          <t>ACTIVE_WAITLIST</t>
        </is>
      </c>
      <c r="E2566" s="37" t="n">
        <v>53.9</v>
      </c>
      <c r="F2566" s="37" t="n">
        <v>16.5</v>
      </c>
    </row>
    <row r="2567">
      <c r="A2567" s="37" t="inlineStr">
        <is>
          <t>WL-03566</t>
        </is>
      </c>
      <c r="B2567" s="37" t="inlineStr">
        <is>
          <t>Moore</t>
        </is>
      </c>
      <c r="C2567" s="37" t="inlineStr">
        <is>
          <t>Terry</t>
        </is>
      </c>
      <c r="D2567" s="37" t="inlineStr">
        <is>
          <t>ACTIVE_WAITLIST</t>
        </is>
      </c>
      <c r="E2567" s="37" t="n">
        <v>48.2</v>
      </c>
      <c r="F2567" s="37" t="n">
        <v>16.8</v>
      </c>
    </row>
    <row r="2568">
      <c r="A2568" s="37" t="inlineStr">
        <is>
          <t>WL-03567</t>
        </is>
      </c>
      <c r="B2568" s="37" t="inlineStr">
        <is>
          <t>Vargas</t>
        </is>
      </c>
      <c r="C2568" s="37" t="inlineStr">
        <is>
          <t>Kevin</t>
        </is>
      </c>
      <c r="D2568" s="37" t="inlineStr">
        <is>
          <t>ACTIVE_WAITLIST</t>
        </is>
      </c>
      <c r="E2568" s="37" t="n">
        <v>52.8</v>
      </c>
      <c r="F2568" s="37" t="n">
        <v>17.9</v>
      </c>
    </row>
    <row r="2569">
      <c r="A2569" s="37" t="inlineStr">
        <is>
          <t>WL-03568</t>
        </is>
      </c>
      <c r="B2569" s="37" t="inlineStr">
        <is>
          <t>Jensen</t>
        </is>
      </c>
      <c r="C2569" s="37" t="inlineStr">
        <is>
          <t>Ricardo</t>
        </is>
      </c>
      <c r="D2569" s="37" t="inlineStr">
        <is>
          <t>ACTIVE_WAITLIST</t>
        </is>
      </c>
      <c r="E2569" s="37" t="n">
        <v>26.2</v>
      </c>
      <c r="F2569" s="37" t="n">
        <v>7.5</v>
      </c>
    </row>
    <row r="2570">
      <c r="A2570" s="37" t="inlineStr">
        <is>
          <t>WL-03569</t>
        </is>
      </c>
      <c r="B2570" s="37" t="inlineStr">
        <is>
          <t>Hicks</t>
        </is>
      </c>
      <c r="C2570" s="37" t="inlineStr">
        <is>
          <t>Mary</t>
        </is>
      </c>
      <c r="D2570" s="37" t="inlineStr">
        <is>
          <t>ACTIVE_WAITLIST</t>
        </is>
      </c>
      <c r="E2570" s="37" t="n">
        <v>25.1</v>
      </c>
      <c r="F2570" s="37" t="n">
        <v>8.699999999999999</v>
      </c>
    </row>
    <row r="2571">
      <c r="A2571" s="37" t="inlineStr">
        <is>
          <t>WL-03570</t>
        </is>
      </c>
      <c r="B2571" s="37" t="inlineStr">
        <is>
          <t>Smith</t>
        </is>
      </c>
      <c r="C2571" s="37" t="inlineStr">
        <is>
          <t>Michael</t>
        </is>
      </c>
      <c r="D2571" s="37" t="inlineStr">
        <is>
          <t>ACTIVE_WAITLIST</t>
        </is>
      </c>
      <c r="E2571" s="37" t="n">
        <v>24.4</v>
      </c>
      <c r="F2571" s="37" t="n">
        <v>8.699999999999999</v>
      </c>
    </row>
    <row r="2572">
      <c r="A2572" s="37" t="inlineStr">
        <is>
          <t>WL-03571</t>
        </is>
      </c>
      <c r="B2572" s="37" t="inlineStr">
        <is>
          <t>Merritt</t>
        </is>
      </c>
      <c r="C2572" s="37" t="inlineStr">
        <is>
          <t>Rebecca</t>
        </is>
      </c>
      <c r="D2572" s="37" t="inlineStr">
        <is>
          <t>ACTIVE_WAITLIST</t>
        </is>
      </c>
      <c r="E2572" s="37" t="n">
        <v>38.2</v>
      </c>
      <c r="F2572" s="37" t="n">
        <v>12.7</v>
      </c>
    </row>
    <row r="2573">
      <c r="A2573" s="37" t="inlineStr">
        <is>
          <t>WL-03572</t>
        </is>
      </c>
      <c r="B2573" s="37" t="inlineStr">
        <is>
          <t>Morrison</t>
        </is>
      </c>
      <c r="C2573" s="37" t="inlineStr">
        <is>
          <t>Anthony</t>
        </is>
      </c>
      <c r="D2573" s="37" t="inlineStr">
        <is>
          <t>RETAINER</t>
        </is>
      </c>
      <c r="E2573" s="37" t="n">
        <v>50.5</v>
      </c>
      <c r="F2573" s="37" t="n">
        <v>16.7</v>
      </c>
    </row>
    <row r="2574">
      <c r="A2574" s="37" t="inlineStr">
        <is>
          <t>WL-03573</t>
        </is>
      </c>
      <c r="B2574" s="37" t="inlineStr">
        <is>
          <t>Sanchez</t>
        </is>
      </c>
      <c r="C2574" s="37" t="inlineStr">
        <is>
          <t>Kathy</t>
        </is>
      </c>
      <c r="D2574" s="37" t="inlineStr">
        <is>
          <t>ACTIVE_WAITLIST</t>
        </is>
      </c>
      <c r="E2574" s="37" t="n">
        <v>33.1</v>
      </c>
      <c r="F2574" s="37" t="n">
        <v>10.8</v>
      </c>
    </row>
    <row r="2575">
      <c r="A2575" s="37" t="inlineStr">
        <is>
          <t>WL-03574</t>
        </is>
      </c>
      <c r="B2575" s="37" t="inlineStr">
        <is>
          <t>Boyd</t>
        </is>
      </c>
      <c r="C2575" s="37" t="inlineStr">
        <is>
          <t>Christine</t>
        </is>
      </c>
      <c r="D2575" s="37" t="inlineStr">
        <is>
          <t>SUSPENDED</t>
        </is>
      </c>
      <c r="E2575" s="37" t="n">
        <v>38.5</v>
      </c>
      <c r="F2575" s="37" t="n">
        <v>11.3</v>
      </c>
    </row>
    <row r="2576">
      <c r="A2576" s="37" t="inlineStr">
        <is>
          <t>WL-03575</t>
        </is>
      </c>
      <c r="B2576" s="37" t="inlineStr">
        <is>
          <t>Johnson</t>
        </is>
      </c>
      <c r="C2576" s="37" t="inlineStr">
        <is>
          <t>Charles</t>
        </is>
      </c>
      <c r="D2576" s="37" t="inlineStr">
        <is>
          <t>SUSPENDED</t>
        </is>
      </c>
      <c r="E2576" s="37" t="n">
        <v>41.2</v>
      </c>
      <c r="F2576" s="37" t="n">
        <v>12.2</v>
      </c>
    </row>
    <row r="2577">
      <c r="A2577" s="37" t="inlineStr">
        <is>
          <t>WL-03576</t>
        </is>
      </c>
      <c r="B2577" s="37" t="inlineStr">
        <is>
          <t>Cooper</t>
        </is>
      </c>
      <c r="C2577" s="37" t="inlineStr">
        <is>
          <t>Aimee</t>
        </is>
      </c>
      <c r="D2577" s="37" t="inlineStr">
        <is>
          <t>ACTIVE_WAITLIST</t>
        </is>
      </c>
      <c r="E2577" s="37" t="n">
        <v>36.2</v>
      </c>
      <c r="F2577" s="37" t="n">
        <v>12.7</v>
      </c>
    </row>
    <row r="2578">
      <c r="A2578" s="37" t="inlineStr">
        <is>
          <t>WL-03577</t>
        </is>
      </c>
      <c r="B2578" s="37" t="inlineStr">
        <is>
          <t>Bell</t>
        </is>
      </c>
      <c r="C2578" s="37" t="inlineStr">
        <is>
          <t>Charles</t>
        </is>
      </c>
      <c r="D2578" s="37" t="inlineStr">
        <is>
          <t>ACTIVE_WAITLIST</t>
        </is>
      </c>
      <c r="E2578" s="37" t="n">
        <v>27.1</v>
      </c>
      <c r="F2578" s="37" t="n">
        <v>8</v>
      </c>
    </row>
    <row r="2579">
      <c r="A2579" s="37" t="inlineStr">
        <is>
          <t>WL-03578</t>
        </is>
      </c>
      <c r="B2579" s="37" t="inlineStr">
        <is>
          <t>Beck</t>
        </is>
      </c>
      <c r="C2579" s="37" t="inlineStr">
        <is>
          <t>William</t>
        </is>
      </c>
      <c r="D2579" s="37" t="inlineStr">
        <is>
          <t>ACTIVE_WAITLIST</t>
        </is>
      </c>
      <c r="E2579" s="37" t="n">
        <v>44.5</v>
      </c>
      <c r="F2579" s="37" t="n">
        <v>15.2</v>
      </c>
    </row>
    <row r="2580">
      <c r="A2580" s="37" t="inlineStr">
        <is>
          <t>WL-03579</t>
        </is>
      </c>
      <c r="B2580" s="37" t="inlineStr">
        <is>
          <t>Greer</t>
        </is>
      </c>
      <c r="C2580" s="37" t="inlineStr">
        <is>
          <t>Jeanne</t>
        </is>
      </c>
      <c r="D2580" s="37" t="inlineStr">
        <is>
          <t>ACTIVE_WAITLIST</t>
        </is>
      </c>
      <c r="E2580" s="37" t="n">
        <v>40.8</v>
      </c>
      <c r="F2580" s="37" t="n">
        <v>12.6</v>
      </c>
    </row>
    <row r="2581">
      <c r="A2581" s="37" t="inlineStr">
        <is>
          <t>WL-03580</t>
        </is>
      </c>
      <c r="B2581" s="37" t="inlineStr">
        <is>
          <t>Carson</t>
        </is>
      </c>
      <c r="C2581" s="37" t="inlineStr">
        <is>
          <t>Rebecca</t>
        </is>
      </c>
      <c r="D2581" s="37" t="inlineStr">
        <is>
          <t>ACTIVE_WAITLIST</t>
        </is>
      </c>
      <c r="E2581" s="37" t="n">
        <v>49.1</v>
      </c>
      <c r="F2581" s="37" t="n">
        <v>16.3</v>
      </c>
    </row>
    <row r="2582">
      <c r="A2582" s="37" t="inlineStr">
        <is>
          <t>WL-03581</t>
        </is>
      </c>
      <c r="B2582" s="37" t="inlineStr">
        <is>
          <t>Baker</t>
        </is>
      </c>
      <c r="C2582" s="37" t="inlineStr">
        <is>
          <t>April</t>
        </is>
      </c>
      <c r="D2582" s="37" t="inlineStr">
        <is>
          <t>ACTIVE_WAITLIST</t>
        </is>
      </c>
      <c r="E2582" s="37" t="n">
        <v>36.9</v>
      </c>
      <c r="F2582" s="37" t="n">
        <v>11.3</v>
      </c>
    </row>
    <row r="2583">
      <c r="A2583" s="37" t="inlineStr">
        <is>
          <t>WL-03582</t>
        </is>
      </c>
      <c r="B2583" s="37" t="inlineStr">
        <is>
          <t>Jones</t>
        </is>
      </c>
      <c r="C2583" s="37" t="inlineStr">
        <is>
          <t>Melissa</t>
        </is>
      </c>
      <c r="D2583" s="37" t="inlineStr">
        <is>
          <t>ACTIVE_WAITLIST</t>
        </is>
      </c>
      <c r="E2583" s="37" t="n">
        <v>19.9</v>
      </c>
      <c r="F2583" s="37" t="n">
        <v>6.9</v>
      </c>
    </row>
    <row r="2584">
      <c r="A2584" s="37" t="inlineStr">
        <is>
          <t>WL-03583</t>
        </is>
      </c>
      <c r="B2584" s="37" t="inlineStr">
        <is>
          <t>Martin</t>
        </is>
      </c>
      <c r="C2584" s="37" t="inlineStr">
        <is>
          <t>Walter</t>
        </is>
      </c>
      <c r="D2584" s="37" t="inlineStr">
        <is>
          <t>ACTIVE_WAITLIST</t>
        </is>
      </c>
      <c r="E2584" s="37" t="n">
        <v>50.6</v>
      </c>
      <c r="F2584" s="37" t="n">
        <v>16.4</v>
      </c>
    </row>
    <row r="2585">
      <c r="A2585" s="37" t="inlineStr">
        <is>
          <t>WL-03584</t>
        </is>
      </c>
      <c r="B2585" s="37" t="inlineStr">
        <is>
          <t>Stafford</t>
        </is>
      </c>
      <c r="C2585" s="37" t="inlineStr">
        <is>
          <t>Stephanie</t>
        </is>
      </c>
      <c r="D2585" s="37" t="inlineStr">
        <is>
          <t>ACTIVE_WAITLIST</t>
        </is>
      </c>
      <c r="E2585" s="37" t="n">
        <v>26.5</v>
      </c>
      <c r="F2585" s="37" t="n">
        <v>8.9</v>
      </c>
    </row>
    <row r="2586">
      <c r="A2586" s="37" t="inlineStr">
        <is>
          <t>WL-03585</t>
        </is>
      </c>
      <c r="B2586" s="37" t="inlineStr">
        <is>
          <t>Black</t>
        </is>
      </c>
      <c r="C2586" s="37" t="inlineStr">
        <is>
          <t>Randy</t>
        </is>
      </c>
      <c r="D2586" s="37" t="inlineStr">
        <is>
          <t>EXPIRED</t>
        </is>
      </c>
      <c r="E2586" s="37" t="n">
        <v>35.6</v>
      </c>
      <c r="F2586" s="37" t="n">
        <v>10.8</v>
      </c>
    </row>
    <row r="2587">
      <c r="A2587" s="37" t="inlineStr">
        <is>
          <t>WL-03586</t>
        </is>
      </c>
      <c r="B2587" s="37" t="inlineStr">
        <is>
          <t>Rhodes</t>
        </is>
      </c>
      <c r="C2587" s="37" t="inlineStr">
        <is>
          <t>Jasmine</t>
        </is>
      </c>
      <c r="D2587" s="37" t="inlineStr">
        <is>
          <t>ACTIVE_WAITLIST</t>
        </is>
      </c>
      <c r="E2587" s="37" t="n">
        <v>61.1</v>
      </c>
      <c r="F2587" s="37" t="n">
        <v>20.1</v>
      </c>
    </row>
    <row r="2588">
      <c r="A2588" s="37" t="inlineStr">
        <is>
          <t>WL-03587</t>
        </is>
      </c>
      <c r="B2588" s="37" t="inlineStr">
        <is>
          <t>Cole</t>
        </is>
      </c>
      <c r="C2588" s="37" t="inlineStr">
        <is>
          <t>George</t>
        </is>
      </c>
      <c r="D2588" s="37" t="inlineStr">
        <is>
          <t>SUSPENDED</t>
        </is>
      </c>
      <c r="E2588" s="37" t="n">
        <v>40.4</v>
      </c>
      <c r="F2588" s="37" t="n">
        <v>11.5</v>
      </c>
    </row>
    <row r="2589">
      <c r="A2589" s="37" t="inlineStr">
        <is>
          <t>WL-03588</t>
        </is>
      </c>
      <c r="B2589" s="37" t="inlineStr">
        <is>
          <t>Olson</t>
        </is>
      </c>
      <c r="C2589" s="37" t="inlineStr">
        <is>
          <t>Angela</t>
        </is>
      </c>
      <c r="D2589" s="37" t="inlineStr">
        <is>
          <t>ACTIVE_WAITLIST</t>
        </is>
      </c>
      <c r="E2589" s="37" t="n">
        <v>51.5</v>
      </c>
      <c r="F2589" s="37" t="n">
        <v>18.2</v>
      </c>
    </row>
    <row r="2590">
      <c r="A2590" s="37" t="inlineStr">
        <is>
          <t>WL-03589</t>
        </is>
      </c>
      <c r="B2590" s="37" t="inlineStr">
        <is>
          <t>Wilson</t>
        </is>
      </c>
      <c r="C2590" s="37" t="inlineStr">
        <is>
          <t>Christine</t>
        </is>
      </c>
      <c r="D2590" s="37" t="inlineStr">
        <is>
          <t>ACTIVE_WAITLIST</t>
        </is>
      </c>
      <c r="E2590" s="37" t="n">
        <v>36.5</v>
      </c>
      <c r="F2590" s="37" t="n">
        <v>12.3</v>
      </c>
    </row>
    <row r="2591">
      <c r="A2591" s="37" t="inlineStr">
        <is>
          <t>WL-03590</t>
        </is>
      </c>
      <c r="B2591" s="37" t="inlineStr">
        <is>
          <t>Johnson</t>
        </is>
      </c>
      <c r="C2591" s="37" t="inlineStr">
        <is>
          <t>Dawn</t>
        </is>
      </c>
      <c r="D2591" s="37" t="inlineStr">
        <is>
          <t>ACTIVE_WAITLIST</t>
        </is>
      </c>
      <c r="E2591" s="37" t="n">
        <v>27.5</v>
      </c>
      <c r="F2591" s="37" t="n">
        <v>9.6</v>
      </c>
    </row>
    <row r="2592">
      <c r="A2592" s="37" t="inlineStr">
        <is>
          <t>WL-03591</t>
        </is>
      </c>
      <c r="B2592" s="37" t="inlineStr">
        <is>
          <t>Spence</t>
        </is>
      </c>
      <c r="C2592" s="37" t="inlineStr">
        <is>
          <t>Matthew</t>
        </is>
      </c>
      <c r="D2592" s="37" t="inlineStr">
        <is>
          <t>ACTIVE_WAITLIST</t>
        </is>
      </c>
      <c r="E2592" s="37" t="n">
        <v>30.4</v>
      </c>
      <c r="F2592" s="37" t="n">
        <v>8.699999999999999</v>
      </c>
    </row>
    <row r="2593">
      <c r="A2593" s="37" t="inlineStr">
        <is>
          <t>WL-03592</t>
        </is>
      </c>
      <c r="B2593" s="37" t="inlineStr">
        <is>
          <t>Freeman</t>
        </is>
      </c>
      <c r="C2593" s="37" t="inlineStr">
        <is>
          <t>Melinda</t>
        </is>
      </c>
      <c r="D2593" s="37" t="inlineStr">
        <is>
          <t>ACTIVE_WAITLIST</t>
        </is>
      </c>
      <c r="E2593" s="37" t="n">
        <v>40.3</v>
      </c>
      <c r="F2593" s="37" t="n">
        <v>13.9</v>
      </c>
    </row>
    <row r="2594">
      <c r="A2594" s="37" t="inlineStr">
        <is>
          <t>WL-03593</t>
        </is>
      </c>
      <c r="B2594" s="37" t="inlineStr">
        <is>
          <t>Friedman</t>
        </is>
      </c>
      <c r="C2594" s="37" t="inlineStr">
        <is>
          <t>Aaron</t>
        </is>
      </c>
      <c r="D2594" s="37" t="inlineStr">
        <is>
          <t>RETAINER</t>
        </is>
      </c>
      <c r="E2594" s="37" t="n">
        <v>60.6</v>
      </c>
      <c r="F2594" s="37" t="n">
        <v>20</v>
      </c>
    </row>
    <row r="2595">
      <c r="A2595" s="37" t="inlineStr">
        <is>
          <t>WL-03594</t>
        </is>
      </c>
      <c r="B2595" s="37" t="inlineStr">
        <is>
          <t>Smith</t>
        </is>
      </c>
      <c r="C2595" s="37" t="inlineStr">
        <is>
          <t>Teresa</t>
        </is>
      </c>
      <c r="D2595" s="37" t="inlineStr">
        <is>
          <t>ACTIVE_WAITLIST</t>
        </is>
      </c>
      <c r="E2595" s="37" t="n">
        <v>40.5</v>
      </c>
      <c r="F2595" s="37" t="n">
        <v>12.6</v>
      </c>
    </row>
    <row r="2596">
      <c r="A2596" s="37" t="inlineStr">
        <is>
          <t>WL-03595</t>
        </is>
      </c>
      <c r="B2596" s="37" t="inlineStr">
        <is>
          <t>Johnson</t>
        </is>
      </c>
      <c r="C2596" s="37" t="inlineStr">
        <is>
          <t>Roger</t>
        </is>
      </c>
      <c r="D2596" s="37" t="inlineStr">
        <is>
          <t>ACTIVE_WAITLIST</t>
        </is>
      </c>
      <c r="E2596" s="37" t="n">
        <v>36.1</v>
      </c>
      <c r="F2596" s="37" t="n">
        <v>11.3</v>
      </c>
    </row>
    <row r="2597">
      <c r="A2597" s="37" t="inlineStr">
        <is>
          <t>WL-03596</t>
        </is>
      </c>
      <c r="B2597" s="37" t="inlineStr">
        <is>
          <t>Hamilton</t>
        </is>
      </c>
      <c r="C2597" s="37" t="inlineStr">
        <is>
          <t>Adam</t>
        </is>
      </c>
      <c r="D2597" s="37" t="inlineStr">
        <is>
          <t>RETAINER</t>
        </is>
      </c>
      <c r="E2597" s="37" t="n">
        <v>37.8</v>
      </c>
      <c r="F2597" s="37" t="n">
        <v>12.6</v>
      </c>
    </row>
    <row r="2598">
      <c r="A2598" s="37" t="inlineStr">
        <is>
          <t>WL-03597</t>
        </is>
      </c>
      <c r="B2598" s="37" t="inlineStr">
        <is>
          <t>Diaz</t>
        </is>
      </c>
      <c r="C2598" s="37" t="inlineStr">
        <is>
          <t>Justin</t>
        </is>
      </c>
      <c r="D2598" s="37" t="inlineStr">
        <is>
          <t>ACTIVE_WAITLIST</t>
        </is>
      </c>
      <c r="E2598" s="37" t="n">
        <v>32.5</v>
      </c>
      <c r="F2598" s="37" t="n">
        <v>11.7</v>
      </c>
    </row>
    <row r="2599">
      <c r="A2599" s="37" t="inlineStr">
        <is>
          <t>WL-03598</t>
        </is>
      </c>
      <c r="B2599" s="37" t="inlineStr">
        <is>
          <t>Williams</t>
        </is>
      </c>
      <c r="C2599" s="37" t="inlineStr">
        <is>
          <t>Randy</t>
        </is>
      </c>
      <c r="D2599" s="37" t="inlineStr">
        <is>
          <t>ACTIVE_WAITLIST</t>
        </is>
      </c>
      <c r="E2599" s="37" t="n">
        <v>27.9</v>
      </c>
      <c r="F2599" s="37" t="n">
        <v>9.800000000000001</v>
      </c>
    </row>
    <row r="2600">
      <c r="A2600" s="37" t="inlineStr">
        <is>
          <t>WL-03599</t>
        </is>
      </c>
      <c r="B2600" s="37" t="inlineStr">
        <is>
          <t>Baker</t>
        </is>
      </c>
      <c r="C2600" s="37" t="inlineStr">
        <is>
          <t>Jonathan</t>
        </is>
      </c>
      <c r="D2600" s="37" t="inlineStr">
        <is>
          <t>ACTIVE_WAITLIST</t>
        </is>
      </c>
      <c r="E2600" s="37" t="n">
        <v>42.4</v>
      </c>
      <c r="F2600" s="37" t="n">
        <v>11.9</v>
      </c>
    </row>
    <row r="2601">
      <c r="A2601" s="37" t="inlineStr">
        <is>
          <t>WL-03600</t>
        </is>
      </c>
      <c r="B2601" s="37" t="inlineStr">
        <is>
          <t>Miller</t>
        </is>
      </c>
      <c r="C2601" s="37" t="inlineStr">
        <is>
          <t>Bruce</t>
        </is>
      </c>
      <c r="D2601" s="37" t="inlineStr">
        <is>
          <t>SUSPENDED</t>
        </is>
      </c>
      <c r="E2601" s="37" t="n">
        <v>49.8</v>
      </c>
      <c r="F2601" s="37" t="n">
        <v>15.7</v>
      </c>
    </row>
    <row r="2602">
      <c r="A2602" s="37" t="inlineStr">
        <is>
          <t>WL-03601</t>
        </is>
      </c>
      <c r="B2602" s="37" t="inlineStr">
        <is>
          <t>Perez</t>
        </is>
      </c>
      <c r="C2602" s="37" t="inlineStr">
        <is>
          <t>Jenny</t>
        </is>
      </c>
      <c r="D2602" s="37" t="inlineStr">
        <is>
          <t>ACTIVE_WAITLIST</t>
        </is>
      </c>
      <c r="E2602" s="37" t="n">
        <v>30.9</v>
      </c>
      <c r="F2602" s="37" t="n">
        <v>10.1</v>
      </c>
    </row>
    <row r="2603">
      <c r="A2603" s="37" t="inlineStr">
        <is>
          <t>WL-03602</t>
        </is>
      </c>
      <c r="B2603" s="37" t="inlineStr">
        <is>
          <t>Horne</t>
        </is>
      </c>
      <c r="C2603" s="37" t="inlineStr">
        <is>
          <t>Michael</t>
        </is>
      </c>
      <c r="D2603" s="37" t="inlineStr">
        <is>
          <t>ACTIVE_WAITLIST</t>
        </is>
      </c>
      <c r="E2603" s="37" t="n">
        <v>19</v>
      </c>
      <c r="F2603" s="37" t="n">
        <v>5.5</v>
      </c>
    </row>
    <row r="2604">
      <c r="A2604" s="37" t="inlineStr">
        <is>
          <t>WL-03603</t>
        </is>
      </c>
      <c r="B2604" s="37" t="inlineStr">
        <is>
          <t>Sanders</t>
        </is>
      </c>
      <c r="C2604" s="37" t="inlineStr">
        <is>
          <t>Steven</t>
        </is>
      </c>
      <c r="D2604" s="37" t="inlineStr">
        <is>
          <t>ACTIVE_WAITLIST</t>
        </is>
      </c>
      <c r="E2604" s="37" t="n">
        <v>34</v>
      </c>
      <c r="F2604" s="37" t="n">
        <v>11</v>
      </c>
    </row>
    <row r="2605">
      <c r="A2605" s="37" t="inlineStr">
        <is>
          <t>WL-03604</t>
        </is>
      </c>
      <c r="B2605" s="37" t="inlineStr">
        <is>
          <t>Rodriguez</t>
        </is>
      </c>
      <c r="C2605" s="37" t="inlineStr">
        <is>
          <t>Lawrence</t>
        </is>
      </c>
      <c r="D2605" s="37" t="inlineStr">
        <is>
          <t>ACTIVE_WAITLIST</t>
        </is>
      </c>
      <c r="E2605" s="37" t="n">
        <v>54.1</v>
      </c>
      <c r="F2605" s="37" t="n">
        <v>18.4</v>
      </c>
    </row>
    <row r="2606">
      <c r="A2606" s="37" t="inlineStr">
        <is>
          <t>WL-03605</t>
        </is>
      </c>
      <c r="B2606" s="37" t="inlineStr">
        <is>
          <t>Johnson</t>
        </is>
      </c>
      <c r="C2606" s="37" t="inlineStr">
        <is>
          <t>Nicholas</t>
        </is>
      </c>
      <c r="D2606" s="37" t="inlineStr">
        <is>
          <t>ACTIVE_WAITLIST</t>
        </is>
      </c>
      <c r="E2606" s="37" t="n">
        <v>51.1</v>
      </c>
      <c r="F2606" s="37" t="n">
        <v>14.7</v>
      </c>
    </row>
    <row r="2607">
      <c r="A2607" s="37" t="inlineStr">
        <is>
          <t>WL-03606</t>
        </is>
      </c>
      <c r="B2607" s="37" t="inlineStr">
        <is>
          <t>Garcia</t>
        </is>
      </c>
      <c r="C2607" s="37" t="inlineStr">
        <is>
          <t>Jared</t>
        </is>
      </c>
      <c r="D2607" s="37" t="inlineStr">
        <is>
          <t>ACTIVE_WAITLIST</t>
        </is>
      </c>
      <c r="E2607" s="37" t="n">
        <v>53.2</v>
      </c>
      <c r="F2607" s="37" t="n">
        <v>18.2</v>
      </c>
    </row>
    <row r="2608">
      <c r="A2608" s="37" t="inlineStr">
        <is>
          <t>WL-03607</t>
        </is>
      </c>
      <c r="B2608" s="37" t="inlineStr">
        <is>
          <t>Green</t>
        </is>
      </c>
      <c r="C2608" s="37" t="inlineStr">
        <is>
          <t>Ross</t>
        </is>
      </c>
      <c r="D2608" s="37" t="inlineStr">
        <is>
          <t>ACTIVE_WAITLIST</t>
        </is>
      </c>
      <c r="E2608" s="37" t="n">
        <v>39.4</v>
      </c>
      <c r="F2608" s="37" t="n">
        <v>11.1</v>
      </c>
    </row>
    <row r="2609">
      <c r="A2609" s="37" t="inlineStr">
        <is>
          <t>WL-03608</t>
        </is>
      </c>
      <c r="B2609" s="37" t="inlineStr">
        <is>
          <t>May</t>
        </is>
      </c>
      <c r="C2609" s="37" t="inlineStr">
        <is>
          <t>Daniel</t>
        </is>
      </c>
      <c r="D2609" s="37" t="inlineStr">
        <is>
          <t>ACTIVE_WAITLIST</t>
        </is>
      </c>
      <c r="E2609" s="37" t="n">
        <v>37.7</v>
      </c>
      <c r="F2609" s="37" t="n">
        <v>11.8</v>
      </c>
    </row>
    <row r="2610">
      <c r="A2610" s="37" t="inlineStr">
        <is>
          <t>WL-03609</t>
        </is>
      </c>
      <c r="B2610" s="37" t="inlineStr">
        <is>
          <t>Dunn</t>
        </is>
      </c>
      <c r="C2610" s="37" t="inlineStr">
        <is>
          <t>Daniel</t>
        </is>
      </c>
      <c r="D2610" s="37" t="inlineStr">
        <is>
          <t>ACTIVE_WAITLIST</t>
        </is>
      </c>
      <c r="E2610" s="37" t="n">
        <v>59.7</v>
      </c>
      <c r="F2610" s="37" t="n">
        <v>16.9</v>
      </c>
    </row>
    <row r="2611">
      <c r="A2611" s="37" t="inlineStr">
        <is>
          <t>WL-03610</t>
        </is>
      </c>
      <c r="B2611" s="37" t="inlineStr">
        <is>
          <t>Austin</t>
        </is>
      </c>
      <c r="C2611" s="37" t="inlineStr">
        <is>
          <t>David</t>
        </is>
      </c>
      <c r="D2611" s="37" t="inlineStr">
        <is>
          <t>ACTIVE_WAITLIST</t>
        </is>
      </c>
      <c r="E2611" s="37" t="n">
        <v>30.5</v>
      </c>
      <c r="F2611" s="37" t="n">
        <v>9.199999999999999</v>
      </c>
    </row>
    <row r="2612">
      <c r="A2612" s="37" t="inlineStr">
        <is>
          <t>WL-03611</t>
        </is>
      </c>
      <c r="B2612" s="37" t="inlineStr">
        <is>
          <t>Morris</t>
        </is>
      </c>
      <c r="C2612" s="37" t="inlineStr">
        <is>
          <t>Madeline</t>
        </is>
      </c>
      <c r="D2612" s="37" t="inlineStr">
        <is>
          <t>ACTIVE_WAITLIST</t>
        </is>
      </c>
      <c r="E2612" s="37" t="n">
        <v>40.2</v>
      </c>
      <c r="F2612" s="37" t="n">
        <v>14</v>
      </c>
    </row>
    <row r="2613">
      <c r="A2613" s="37" t="inlineStr">
        <is>
          <t>WL-03612</t>
        </is>
      </c>
      <c r="B2613" s="37" t="inlineStr">
        <is>
          <t>Rivas</t>
        </is>
      </c>
      <c r="C2613" s="37" t="inlineStr">
        <is>
          <t>Jessica</t>
        </is>
      </c>
      <c r="D2613" s="37" t="inlineStr">
        <is>
          <t>RETAINER</t>
        </is>
      </c>
      <c r="E2613" s="37" t="n">
        <v>36.6</v>
      </c>
      <c r="F2613" s="37" t="n">
        <v>12.6</v>
      </c>
    </row>
    <row r="2614">
      <c r="A2614" s="37" t="inlineStr">
        <is>
          <t>WL-03613</t>
        </is>
      </c>
      <c r="B2614" s="37" t="inlineStr">
        <is>
          <t>Li</t>
        </is>
      </c>
      <c r="C2614" s="37" t="inlineStr">
        <is>
          <t>Michael</t>
        </is>
      </c>
      <c r="D2614" s="37" t="inlineStr">
        <is>
          <t>ACTIVE_WAITLIST</t>
        </is>
      </c>
      <c r="E2614" s="37" t="n">
        <v>25.1</v>
      </c>
      <c r="F2614" s="37" t="n">
        <v>7.5</v>
      </c>
    </row>
    <row r="2615">
      <c r="A2615" s="37" t="inlineStr">
        <is>
          <t>WL-03614</t>
        </is>
      </c>
      <c r="B2615" s="37" t="inlineStr">
        <is>
          <t>Waters</t>
        </is>
      </c>
      <c r="C2615" s="37" t="inlineStr">
        <is>
          <t>Richard</t>
        </is>
      </c>
      <c r="D2615" s="37" t="inlineStr">
        <is>
          <t>ACTIVE_WAITLIST</t>
        </is>
      </c>
      <c r="E2615" s="37" t="n">
        <v>42.5</v>
      </c>
      <c r="F2615" s="37" t="n">
        <v>14.5</v>
      </c>
    </row>
    <row r="2616">
      <c r="A2616" s="37" t="inlineStr">
        <is>
          <t>WL-03615</t>
        </is>
      </c>
      <c r="B2616" s="37" t="inlineStr">
        <is>
          <t>Cook</t>
        </is>
      </c>
      <c r="C2616" s="37" t="inlineStr">
        <is>
          <t>Kathryn</t>
        </is>
      </c>
      <c r="D2616" s="37" t="inlineStr">
        <is>
          <t>ACTIVE_WAITLIST</t>
        </is>
      </c>
      <c r="E2616" s="37" t="n">
        <v>25.2</v>
      </c>
      <c r="F2616" s="37" t="n">
        <v>7.6</v>
      </c>
    </row>
    <row r="2617">
      <c r="A2617" s="37" t="inlineStr">
        <is>
          <t>WL-03616</t>
        </is>
      </c>
      <c r="B2617" s="37" t="inlineStr">
        <is>
          <t>King</t>
        </is>
      </c>
      <c r="C2617" s="37" t="inlineStr">
        <is>
          <t>Martin</t>
        </is>
      </c>
      <c r="D2617" s="37" t="inlineStr">
        <is>
          <t>ACTIVE_WAITLIST</t>
        </is>
      </c>
      <c r="E2617" s="37" t="n">
        <v>53.6</v>
      </c>
      <c r="F2617" s="37" t="n">
        <v>17.7</v>
      </c>
    </row>
    <row r="2618">
      <c r="A2618" s="37" t="inlineStr">
        <is>
          <t>WL-03617</t>
        </is>
      </c>
      <c r="B2618" s="37" t="inlineStr">
        <is>
          <t>Vaughan</t>
        </is>
      </c>
      <c r="C2618" s="37" t="inlineStr">
        <is>
          <t>Kimberly</t>
        </is>
      </c>
      <c r="D2618" s="37" t="inlineStr">
        <is>
          <t>ACTIVE_WAITLIST</t>
        </is>
      </c>
      <c r="E2618" s="37" t="n">
        <v>34.8</v>
      </c>
      <c r="F2618" s="37" t="n">
        <v>11.1</v>
      </c>
    </row>
    <row r="2619">
      <c r="A2619" s="37" t="inlineStr">
        <is>
          <t>WL-03618</t>
        </is>
      </c>
      <c r="B2619" s="37" t="inlineStr">
        <is>
          <t>Oneill</t>
        </is>
      </c>
      <c r="C2619" s="37" t="inlineStr">
        <is>
          <t>Kimberly</t>
        </is>
      </c>
      <c r="D2619" s="37" t="inlineStr">
        <is>
          <t>ACTIVE_WAITLIST</t>
        </is>
      </c>
      <c r="E2619" s="37" t="n">
        <v>18.7</v>
      </c>
      <c r="F2619" s="37" t="n">
        <v>5.5</v>
      </c>
    </row>
    <row r="2620">
      <c r="A2620" s="37" t="inlineStr">
        <is>
          <t>WL-03619</t>
        </is>
      </c>
      <c r="B2620" s="37" t="inlineStr">
        <is>
          <t>Hanson</t>
        </is>
      </c>
      <c r="C2620" s="37" t="inlineStr">
        <is>
          <t>Jesse</t>
        </is>
      </c>
      <c r="D2620" s="37" t="inlineStr">
        <is>
          <t>ACTIVE_WAITLIST</t>
        </is>
      </c>
      <c r="E2620" s="37" t="n">
        <v>38.9</v>
      </c>
      <c r="F2620" s="37" t="n">
        <v>11.6</v>
      </c>
    </row>
    <row r="2621">
      <c r="A2621" s="37" t="inlineStr">
        <is>
          <t>WL-03620</t>
        </is>
      </c>
      <c r="B2621" s="37" t="inlineStr">
        <is>
          <t>Cameron</t>
        </is>
      </c>
      <c r="C2621" s="37" t="inlineStr">
        <is>
          <t>Brian</t>
        </is>
      </c>
      <c r="D2621" s="37" t="inlineStr">
        <is>
          <t>ACTIVE_WAITLIST</t>
        </is>
      </c>
      <c r="E2621" s="37" t="n">
        <v>19.6</v>
      </c>
      <c r="F2621" s="37" t="n">
        <v>6.4</v>
      </c>
    </row>
    <row r="2622">
      <c r="A2622" s="37" t="inlineStr">
        <is>
          <t>WL-03621</t>
        </is>
      </c>
      <c r="B2622" s="37" t="inlineStr">
        <is>
          <t>Powers</t>
        </is>
      </c>
      <c r="C2622" s="37" t="inlineStr">
        <is>
          <t>Denise</t>
        </is>
      </c>
      <c r="D2622" s="37" t="inlineStr">
        <is>
          <t>ACTIVE_WAITLIST</t>
        </is>
      </c>
      <c r="E2622" s="37" t="n">
        <v>53.5</v>
      </c>
      <c r="F2622" s="37" t="n">
        <v>16.8</v>
      </c>
    </row>
    <row r="2623">
      <c r="A2623" s="37" t="inlineStr">
        <is>
          <t>WL-03622</t>
        </is>
      </c>
      <c r="B2623" s="37" t="inlineStr">
        <is>
          <t>Johnson</t>
        </is>
      </c>
      <c r="C2623" s="37" t="inlineStr">
        <is>
          <t>Madeline</t>
        </is>
      </c>
      <c r="D2623" s="37" t="inlineStr">
        <is>
          <t>ACTIVE_WAITLIST</t>
        </is>
      </c>
      <c r="E2623" s="37" t="n">
        <v>35.7</v>
      </c>
      <c r="F2623" s="37" t="n">
        <v>12.3</v>
      </c>
    </row>
    <row r="2624">
      <c r="A2624" s="37" t="inlineStr">
        <is>
          <t>WL-03623</t>
        </is>
      </c>
      <c r="B2624" s="37" t="inlineStr">
        <is>
          <t>Dorsey</t>
        </is>
      </c>
      <c r="C2624" s="37" t="inlineStr">
        <is>
          <t>Justin</t>
        </is>
      </c>
      <c r="D2624" s="37" t="inlineStr">
        <is>
          <t>SUSPENDED</t>
        </is>
      </c>
      <c r="E2624" s="37" t="n">
        <v>50.2</v>
      </c>
      <c r="F2624" s="37" t="n">
        <v>17.4</v>
      </c>
    </row>
    <row r="2625">
      <c r="A2625" s="37" t="inlineStr">
        <is>
          <t>WL-03624</t>
        </is>
      </c>
      <c r="B2625" s="37" t="inlineStr">
        <is>
          <t>Rodriguez</t>
        </is>
      </c>
      <c r="C2625" s="37" t="inlineStr">
        <is>
          <t>Robert</t>
        </is>
      </c>
      <c r="D2625" s="37" t="inlineStr">
        <is>
          <t>ACTIVE_WAITLIST</t>
        </is>
      </c>
      <c r="E2625" s="37" t="n">
        <v>30.9</v>
      </c>
      <c r="F2625" s="37" t="n">
        <v>8.800000000000001</v>
      </c>
    </row>
    <row r="2626">
      <c r="A2626" s="37" t="inlineStr">
        <is>
          <t>WL-03625</t>
        </is>
      </c>
      <c r="B2626" s="37" t="inlineStr">
        <is>
          <t>Johnson</t>
        </is>
      </c>
      <c r="C2626" s="37" t="inlineStr">
        <is>
          <t>Vincent</t>
        </is>
      </c>
      <c r="D2626" s="37" t="inlineStr">
        <is>
          <t>ACTIVE_WAITLIST</t>
        </is>
      </c>
      <c r="E2626" s="37" t="n">
        <v>42.8</v>
      </c>
      <c r="F2626" s="37" t="n">
        <v>14.1</v>
      </c>
    </row>
    <row r="2627">
      <c r="A2627" s="37" t="inlineStr">
        <is>
          <t>WL-03626</t>
        </is>
      </c>
      <c r="B2627" s="37" t="inlineStr">
        <is>
          <t>Martin</t>
        </is>
      </c>
      <c r="C2627" s="37" t="inlineStr">
        <is>
          <t>James</t>
        </is>
      </c>
      <c r="D2627" s="37" t="inlineStr">
        <is>
          <t>ACTIVE_WAITLIST</t>
        </is>
      </c>
      <c r="E2627" s="37" t="n">
        <v>32.9</v>
      </c>
      <c r="F2627" s="37" t="n">
        <v>11.7</v>
      </c>
    </row>
    <row r="2628">
      <c r="A2628" s="37" t="inlineStr">
        <is>
          <t>WL-03627</t>
        </is>
      </c>
      <c r="B2628" s="37" t="inlineStr">
        <is>
          <t>Wilson</t>
        </is>
      </c>
      <c r="C2628" s="37" t="inlineStr">
        <is>
          <t>Michelle</t>
        </is>
      </c>
      <c r="D2628" s="37" t="inlineStr">
        <is>
          <t>EXPIRED</t>
        </is>
      </c>
      <c r="E2628" s="37" t="n">
        <v>61.7</v>
      </c>
      <c r="F2628" s="37" t="n">
        <v>17.9</v>
      </c>
    </row>
    <row r="2629">
      <c r="A2629" s="37" t="inlineStr">
        <is>
          <t>WL-03628</t>
        </is>
      </c>
      <c r="B2629" s="37" t="inlineStr">
        <is>
          <t>Johnson</t>
        </is>
      </c>
      <c r="C2629" s="37" t="inlineStr">
        <is>
          <t>Makayla</t>
        </is>
      </c>
      <c r="D2629" s="37" t="inlineStr">
        <is>
          <t>ACTIVE_WAITLIST</t>
        </is>
      </c>
      <c r="E2629" s="37" t="n">
        <v>36.7</v>
      </c>
      <c r="F2629" s="37" t="n">
        <v>12.9</v>
      </c>
    </row>
    <row r="2630">
      <c r="A2630" s="37" t="inlineStr">
        <is>
          <t>WL-03629</t>
        </is>
      </c>
      <c r="B2630" s="37" t="inlineStr">
        <is>
          <t>Parks</t>
        </is>
      </c>
      <c r="C2630" s="37" t="inlineStr">
        <is>
          <t>Justin</t>
        </is>
      </c>
      <c r="D2630" s="37" t="inlineStr">
        <is>
          <t>ACTIVE_WAITLIST</t>
        </is>
      </c>
      <c r="E2630" s="37" t="n">
        <v>26.5</v>
      </c>
      <c r="F2630" s="37" t="n">
        <v>8.1</v>
      </c>
    </row>
    <row r="2631">
      <c r="A2631" s="37" t="inlineStr">
        <is>
          <t>WL-03630</t>
        </is>
      </c>
      <c r="B2631" s="37" t="inlineStr">
        <is>
          <t>Torres</t>
        </is>
      </c>
      <c r="C2631" s="37" t="inlineStr">
        <is>
          <t>Tiffany</t>
        </is>
      </c>
      <c r="D2631" s="37" t="inlineStr">
        <is>
          <t>ACTIVE_WAITLIST</t>
        </is>
      </c>
      <c r="E2631" s="37" t="n">
        <v>22.2</v>
      </c>
      <c r="F2631" s="37" t="n">
        <v>6.3</v>
      </c>
    </row>
    <row r="2632">
      <c r="A2632" s="37" t="inlineStr">
        <is>
          <t>WL-03631</t>
        </is>
      </c>
      <c r="B2632" s="37" t="inlineStr">
        <is>
          <t>Chavez</t>
        </is>
      </c>
      <c r="C2632" s="37" t="inlineStr">
        <is>
          <t>Jeanne</t>
        </is>
      </c>
      <c r="D2632" s="37" t="inlineStr">
        <is>
          <t>ACTIVE_WAITLIST</t>
        </is>
      </c>
      <c r="E2632" s="37" t="n">
        <v>36.3</v>
      </c>
      <c r="F2632" s="37" t="n">
        <v>11.8</v>
      </c>
    </row>
    <row r="2633">
      <c r="A2633" s="37" t="inlineStr">
        <is>
          <t>WL-03632</t>
        </is>
      </c>
      <c r="B2633" s="37" t="inlineStr">
        <is>
          <t>Wallace</t>
        </is>
      </c>
      <c r="C2633" s="37" t="inlineStr">
        <is>
          <t>Melissa</t>
        </is>
      </c>
      <c r="D2633" s="37" t="inlineStr">
        <is>
          <t>ACTIVE_WAITLIST</t>
        </is>
      </c>
      <c r="E2633" s="37" t="n">
        <v>36.5</v>
      </c>
      <c r="F2633" s="37" t="n">
        <v>12.3</v>
      </c>
    </row>
    <row r="2634">
      <c r="A2634" s="37" t="inlineStr">
        <is>
          <t>WL-03633</t>
        </is>
      </c>
      <c r="B2634" s="37" t="inlineStr">
        <is>
          <t>Powell</t>
        </is>
      </c>
      <c r="C2634" s="37" t="inlineStr">
        <is>
          <t>Keith</t>
        </is>
      </c>
      <c r="D2634" s="37" t="inlineStr">
        <is>
          <t>ACTIVE_WAITLIST</t>
        </is>
      </c>
      <c r="E2634" s="37" t="n">
        <v>22.1</v>
      </c>
      <c r="F2634" s="37" t="n">
        <v>7.3</v>
      </c>
    </row>
    <row r="2635">
      <c r="A2635" s="37" t="inlineStr">
        <is>
          <t>WL-03634</t>
        </is>
      </c>
      <c r="B2635" s="37" t="inlineStr">
        <is>
          <t>Brown</t>
        </is>
      </c>
      <c r="C2635" s="37" t="inlineStr">
        <is>
          <t>Michelle</t>
        </is>
      </c>
      <c r="D2635" s="37" t="inlineStr">
        <is>
          <t>EXPIRED</t>
        </is>
      </c>
      <c r="E2635" s="37" t="n">
        <v>53</v>
      </c>
      <c r="F2635" s="37" t="n">
        <v>18.2</v>
      </c>
    </row>
    <row r="2636">
      <c r="A2636" s="37" t="inlineStr">
        <is>
          <t>WL-03635</t>
        </is>
      </c>
      <c r="B2636" s="37" t="inlineStr">
        <is>
          <t>Myers</t>
        </is>
      </c>
      <c r="C2636" s="37" t="inlineStr">
        <is>
          <t>Christine</t>
        </is>
      </c>
      <c r="D2636" s="37" t="inlineStr">
        <is>
          <t>ACTIVE_WAITLIST</t>
        </is>
      </c>
      <c r="E2636" s="37" t="n">
        <v>35.2</v>
      </c>
      <c r="F2636" s="37" t="n">
        <v>11.7</v>
      </c>
    </row>
    <row r="2637">
      <c r="A2637" s="37" t="inlineStr">
        <is>
          <t>WL-03636</t>
        </is>
      </c>
      <c r="B2637" s="37" t="inlineStr">
        <is>
          <t>Flores</t>
        </is>
      </c>
      <c r="C2637" s="37" t="inlineStr">
        <is>
          <t>Amy</t>
        </is>
      </c>
      <c r="D2637" s="37" t="inlineStr">
        <is>
          <t>ACTIVE_WAITLIST</t>
        </is>
      </c>
      <c r="E2637" s="37" t="n">
        <v>29.3</v>
      </c>
      <c r="F2637" s="37" t="n">
        <v>9.4</v>
      </c>
    </row>
    <row r="2638">
      <c r="A2638" s="37" t="inlineStr">
        <is>
          <t>WL-03637</t>
        </is>
      </c>
      <c r="B2638" s="37" t="inlineStr">
        <is>
          <t>Cardenas</t>
        </is>
      </c>
      <c r="C2638" s="37" t="inlineStr">
        <is>
          <t>Molly</t>
        </is>
      </c>
      <c r="D2638" s="37" t="inlineStr">
        <is>
          <t>EXPIRED</t>
        </is>
      </c>
      <c r="E2638" s="37" t="n">
        <v>56.1</v>
      </c>
      <c r="F2638" s="37" t="n">
        <v>18.7</v>
      </c>
    </row>
    <row r="2639">
      <c r="A2639" s="37" t="inlineStr">
        <is>
          <t>WL-03638</t>
        </is>
      </c>
      <c r="B2639" s="37" t="inlineStr">
        <is>
          <t>Stanley</t>
        </is>
      </c>
      <c r="C2639" s="37" t="inlineStr">
        <is>
          <t>Edward</t>
        </is>
      </c>
      <c r="D2639" s="37" t="inlineStr">
        <is>
          <t>ACTIVE_WAITLIST</t>
        </is>
      </c>
      <c r="E2639" s="37" t="n">
        <v>34.4</v>
      </c>
      <c r="F2639" s="37" t="n">
        <v>10.4</v>
      </c>
    </row>
    <row r="2640">
      <c r="A2640" s="37" t="inlineStr">
        <is>
          <t>WL-03639</t>
        </is>
      </c>
      <c r="B2640" s="37" t="inlineStr">
        <is>
          <t>Graves</t>
        </is>
      </c>
      <c r="C2640" s="37" t="inlineStr">
        <is>
          <t>Toni</t>
        </is>
      </c>
      <c r="D2640" s="37" t="inlineStr">
        <is>
          <t>ACTIVE_WAITLIST</t>
        </is>
      </c>
      <c r="E2640" s="37" t="n">
        <v>39</v>
      </c>
      <c r="F2640" s="37" t="n">
        <v>12.7</v>
      </c>
    </row>
    <row r="2641">
      <c r="A2641" s="37" t="inlineStr">
        <is>
          <t>WL-03640</t>
        </is>
      </c>
      <c r="B2641" s="37" t="inlineStr">
        <is>
          <t>Turner</t>
        </is>
      </c>
      <c r="C2641" s="37" t="inlineStr">
        <is>
          <t>Jessica</t>
        </is>
      </c>
      <c r="D2641" s="37" t="inlineStr">
        <is>
          <t>ACTIVE_WAITLIST</t>
        </is>
      </c>
      <c r="E2641" s="37" t="n">
        <v>44.9</v>
      </c>
      <c r="F2641" s="37" t="n">
        <v>15.3</v>
      </c>
    </row>
    <row r="2642">
      <c r="A2642" s="37" t="inlineStr">
        <is>
          <t>WL-03641</t>
        </is>
      </c>
      <c r="B2642" s="37" t="inlineStr">
        <is>
          <t>Bailey</t>
        </is>
      </c>
      <c r="C2642" s="37" t="inlineStr">
        <is>
          <t>Tony</t>
        </is>
      </c>
      <c r="D2642" s="37" t="inlineStr">
        <is>
          <t>ACTIVE_WAITLIST</t>
        </is>
      </c>
      <c r="E2642" s="37" t="n">
        <v>23.7</v>
      </c>
      <c r="F2642" s="37" t="n">
        <v>7.9</v>
      </c>
    </row>
    <row r="2643">
      <c r="A2643" s="37" t="inlineStr">
        <is>
          <t>WL-03642</t>
        </is>
      </c>
      <c r="B2643" s="37" t="inlineStr">
        <is>
          <t>Johnson</t>
        </is>
      </c>
      <c r="C2643" s="37" t="inlineStr">
        <is>
          <t>John</t>
        </is>
      </c>
      <c r="D2643" s="37" t="inlineStr">
        <is>
          <t>EXPIRED</t>
        </is>
      </c>
      <c r="E2643" s="37" t="n">
        <v>56.4</v>
      </c>
      <c r="F2643" s="37" t="n">
        <v>17</v>
      </c>
    </row>
    <row r="2644">
      <c r="A2644" s="37" t="inlineStr">
        <is>
          <t>WL-03643</t>
        </is>
      </c>
      <c r="B2644" s="37" t="inlineStr">
        <is>
          <t>Woods</t>
        </is>
      </c>
      <c r="C2644" s="37" t="inlineStr">
        <is>
          <t>Jeanette</t>
        </is>
      </c>
      <c r="D2644" s="37" t="inlineStr">
        <is>
          <t>RETAINER</t>
        </is>
      </c>
      <c r="E2644" s="37" t="n">
        <v>18.4</v>
      </c>
      <c r="F2644" s="37" t="n">
        <v>6</v>
      </c>
    </row>
    <row r="2645">
      <c r="A2645" s="37" t="inlineStr">
        <is>
          <t>WL-03644</t>
        </is>
      </c>
      <c r="B2645" s="37" t="inlineStr">
        <is>
          <t>Blackburn</t>
        </is>
      </c>
      <c r="C2645" s="37" t="inlineStr">
        <is>
          <t>Daniel</t>
        </is>
      </c>
      <c r="D2645" s="37" t="inlineStr">
        <is>
          <t>ACTIVE_WAITLIST</t>
        </is>
      </c>
      <c r="E2645" s="37" t="n">
        <v>52.5</v>
      </c>
      <c r="F2645" s="37" t="n">
        <v>16.6</v>
      </c>
    </row>
    <row r="2646">
      <c r="A2646" s="37" t="inlineStr">
        <is>
          <t>WL-03645</t>
        </is>
      </c>
      <c r="B2646" s="37" t="inlineStr">
        <is>
          <t>Blake</t>
        </is>
      </c>
      <c r="C2646" s="37" t="inlineStr">
        <is>
          <t>Tracy</t>
        </is>
      </c>
      <c r="D2646" s="37" t="inlineStr">
        <is>
          <t>ACTIVE_WAITLIST</t>
        </is>
      </c>
      <c r="E2646" s="37" t="n">
        <v>31.4</v>
      </c>
      <c r="F2646" s="37" t="n">
        <v>10.4</v>
      </c>
    </row>
    <row r="2647">
      <c r="A2647" s="37" t="inlineStr">
        <is>
          <t>WL-03646</t>
        </is>
      </c>
      <c r="B2647" s="37" t="inlineStr">
        <is>
          <t>Grimes</t>
        </is>
      </c>
      <c r="C2647" s="37" t="inlineStr">
        <is>
          <t>James</t>
        </is>
      </c>
      <c r="D2647" s="37" t="inlineStr">
        <is>
          <t>ACTIVE_WAITLIST</t>
        </is>
      </c>
      <c r="E2647" s="37" t="n">
        <v>51.3</v>
      </c>
      <c r="F2647" s="37" t="n">
        <v>16</v>
      </c>
    </row>
    <row r="2648">
      <c r="A2648" s="37" t="inlineStr">
        <is>
          <t>WL-03647</t>
        </is>
      </c>
      <c r="B2648" s="37" t="inlineStr">
        <is>
          <t>York</t>
        </is>
      </c>
      <c r="C2648" s="37" t="inlineStr">
        <is>
          <t>Autumn</t>
        </is>
      </c>
      <c r="D2648" s="37" t="inlineStr">
        <is>
          <t>ACTIVE_WAITLIST</t>
        </is>
      </c>
      <c r="E2648" s="37" t="n">
        <v>46.6</v>
      </c>
      <c r="F2648" s="37" t="n">
        <v>14.9</v>
      </c>
    </row>
    <row r="2649">
      <c r="A2649" s="37" t="inlineStr">
        <is>
          <t>WL-03648</t>
        </is>
      </c>
      <c r="B2649" s="37" t="inlineStr">
        <is>
          <t>Thomas</t>
        </is>
      </c>
      <c r="C2649" s="37" t="inlineStr">
        <is>
          <t>Danny</t>
        </is>
      </c>
      <c r="D2649" s="37" t="inlineStr">
        <is>
          <t>ACTIVE_WAITLIST</t>
        </is>
      </c>
      <c r="E2649" s="37" t="n">
        <v>51.6</v>
      </c>
      <c r="F2649" s="37" t="n">
        <v>14.5</v>
      </c>
    </row>
    <row r="2650">
      <c r="A2650" s="37" t="inlineStr">
        <is>
          <t>WL-03649</t>
        </is>
      </c>
      <c r="B2650" s="37" t="inlineStr">
        <is>
          <t>Flores</t>
        </is>
      </c>
      <c r="C2650" s="37" t="inlineStr">
        <is>
          <t>Veronica</t>
        </is>
      </c>
      <c r="D2650" s="37" t="inlineStr">
        <is>
          <t>ACTIVE_WAITLIST</t>
        </is>
      </c>
      <c r="E2650" s="37" t="n">
        <v>22.4</v>
      </c>
      <c r="F2650" s="37" t="n">
        <v>7.3</v>
      </c>
    </row>
    <row r="2651">
      <c r="A2651" s="37" t="inlineStr">
        <is>
          <t>WL-03650</t>
        </is>
      </c>
      <c r="B2651" s="37" t="inlineStr">
        <is>
          <t>Roth</t>
        </is>
      </c>
      <c r="C2651" s="37" t="inlineStr">
        <is>
          <t>Sean</t>
        </is>
      </c>
      <c r="D2651" s="37" t="inlineStr">
        <is>
          <t>SUSPENDED</t>
        </is>
      </c>
      <c r="E2651" s="37" t="n">
        <v>50.8</v>
      </c>
      <c r="F2651" s="37" t="n">
        <v>16.3</v>
      </c>
    </row>
    <row r="2652">
      <c r="A2652" s="37" t="inlineStr">
        <is>
          <t>WL-03651</t>
        </is>
      </c>
      <c r="B2652" s="37" t="inlineStr">
        <is>
          <t>Drake</t>
        </is>
      </c>
      <c r="C2652" s="37" t="inlineStr">
        <is>
          <t>Troy</t>
        </is>
      </c>
      <c r="D2652" s="37" t="inlineStr">
        <is>
          <t>ACTIVE_WAITLIST</t>
        </is>
      </c>
      <c r="E2652" s="37" t="n">
        <v>24.2</v>
      </c>
      <c r="F2652" s="37" t="n">
        <v>8.699999999999999</v>
      </c>
    </row>
    <row r="2653">
      <c r="A2653" s="37" t="inlineStr">
        <is>
          <t>WL-03652</t>
        </is>
      </c>
      <c r="B2653" s="37" t="inlineStr">
        <is>
          <t>Strickland</t>
        </is>
      </c>
      <c r="C2653" s="37" t="inlineStr">
        <is>
          <t>Lisa</t>
        </is>
      </c>
      <c r="D2653" s="37" t="inlineStr">
        <is>
          <t>ACTIVE_WAITLIST</t>
        </is>
      </c>
      <c r="E2653" s="37" t="n">
        <v>27.7</v>
      </c>
      <c r="F2653" s="37" t="n">
        <v>8.4</v>
      </c>
    </row>
    <row r="2654">
      <c r="A2654" s="37" t="inlineStr">
        <is>
          <t>WL-03653</t>
        </is>
      </c>
      <c r="B2654" s="37" t="inlineStr">
        <is>
          <t>Carter</t>
        </is>
      </c>
      <c r="C2654" s="37" t="inlineStr">
        <is>
          <t>Rodney</t>
        </is>
      </c>
      <c r="D2654" s="37" t="inlineStr">
        <is>
          <t>ACTIVE_WAITLIST</t>
        </is>
      </c>
      <c r="E2654" s="37" t="n">
        <v>57.9</v>
      </c>
      <c r="F2654" s="37" t="n">
        <v>19.1</v>
      </c>
    </row>
    <row r="2655">
      <c r="A2655" s="37" t="inlineStr">
        <is>
          <t>WL-03654</t>
        </is>
      </c>
      <c r="B2655" s="37" t="inlineStr">
        <is>
          <t>Merritt</t>
        </is>
      </c>
      <c r="C2655" s="37" t="inlineStr">
        <is>
          <t>Kerri</t>
        </is>
      </c>
      <c r="D2655" s="37" t="inlineStr">
        <is>
          <t>ACTIVE_WAITLIST</t>
        </is>
      </c>
      <c r="E2655" s="37" t="n">
        <v>50.4</v>
      </c>
      <c r="F2655" s="37" t="n">
        <v>16.5</v>
      </c>
    </row>
    <row r="2656">
      <c r="A2656" s="37" t="inlineStr">
        <is>
          <t>WL-03655</t>
        </is>
      </c>
      <c r="B2656" s="37" t="inlineStr">
        <is>
          <t>Garrison</t>
        </is>
      </c>
      <c r="C2656" s="37" t="inlineStr">
        <is>
          <t>Sharon</t>
        </is>
      </c>
      <c r="D2656" s="37" t="inlineStr">
        <is>
          <t>ACTIVE_WAITLIST</t>
        </is>
      </c>
      <c r="E2656" s="37" t="n">
        <v>51.4</v>
      </c>
      <c r="F2656" s="37" t="n">
        <v>14.8</v>
      </c>
    </row>
    <row r="2657">
      <c r="A2657" s="37" t="inlineStr">
        <is>
          <t>WL-03656</t>
        </is>
      </c>
      <c r="B2657" s="37" t="inlineStr">
        <is>
          <t>Martinez</t>
        </is>
      </c>
      <c r="C2657" s="37" t="inlineStr">
        <is>
          <t>Heidi</t>
        </is>
      </c>
      <c r="D2657" s="37" t="inlineStr">
        <is>
          <t>ACTIVE_WAITLIST</t>
        </is>
      </c>
      <c r="E2657" s="37" t="n">
        <v>49.6</v>
      </c>
      <c r="F2657" s="37" t="n">
        <v>15.8</v>
      </c>
    </row>
    <row r="2658">
      <c r="A2658" s="37" t="inlineStr">
        <is>
          <t>WL-03657</t>
        </is>
      </c>
      <c r="B2658" s="37" t="inlineStr">
        <is>
          <t>Wagner</t>
        </is>
      </c>
      <c r="C2658" s="37" t="inlineStr">
        <is>
          <t>Melissa</t>
        </is>
      </c>
      <c r="D2658" s="37" t="inlineStr">
        <is>
          <t>ACTIVE_WAITLIST</t>
        </is>
      </c>
      <c r="E2658" s="37" t="n">
        <v>51.3</v>
      </c>
      <c r="F2658" s="37" t="n">
        <v>15.7</v>
      </c>
    </row>
    <row r="2659">
      <c r="A2659" s="37" t="inlineStr">
        <is>
          <t>WL-03658</t>
        </is>
      </c>
      <c r="B2659" s="37" t="inlineStr">
        <is>
          <t>Washington</t>
        </is>
      </c>
      <c r="C2659" s="37" t="inlineStr">
        <is>
          <t>William</t>
        </is>
      </c>
      <c r="D2659" s="37" t="inlineStr">
        <is>
          <t>ACTIVE_WAITLIST</t>
        </is>
      </c>
      <c r="E2659" s="37" t="n">
        <v>35.4</v>
      </c>
      <c r="F2659" s="37" t="n">
        <v>12.7</v>
      </c>
    </row>
    <row r="2660">
      <c r="A2660" s="37" t="inlineStr">
        <is>
          <t>WL-03659</t>
        </is>
      </c>
      <c r="B2660" s="37" t="inlineStr">
        <is>
          <t>Estes</t>
        </is>
      </c>
      <c r="C2660" s="37" t="inlineStr">
        <is>
          <t>Joshua</t>
        </is>
      </c>
      <c r="D2660" s="37" t="inlineStr">
        <is>
          <t>ACTIVE_WAITLIST</t>
        </is>
      </c>
      <c r="E2660" s="37" t="n">
        <v>39.5</v>
      </c>
      <c r="F2660" s="37" t="n">
        <v>12.7</v>
      </c>
    </row>
    <row r="2661">
      <c r="A2661" s="37" t="inlineStr">
        <is>
          <t>WL-03660</t>
        </is>
      </c>
      <c r="B2661" s="37" t="inlineStr">
        <is>
          <t>Sutton</t>
        </is>
      </c>
      <c r="C2661" s="37" t="inlineStr">
        <is>
          <t>David</t>
        </is>
      </c>
      <c r="D2661" s="37" t="inlineStr">
        <is>
          <t>ACTIVE_WAITLIST</t>
        </is>
      </c>
      <c r="E2661" s="37" t="n">
        <v>58.3</v>
      </c>
      <c r="F2661" s="37" t="n">
        <v>19.7</v>
      </c>
    </row>
    <row r="2662">
      <c r="A2662" s="37" t="inlineStr">
        <is>
          <t>WL-03661</t>
        </is>
      </c>
      <c r="B2662" s="37" t="inlineStr">
        <is>
          <t>Williams</t>
        </is>
      </c>
      <c r="C2662" s="37" t="inlineStr">
        <is>
          <t>Kenneth</t>
        </is>
      </c>
      <c r="D2662" s="37" t="inlineStr">
        <is>
          <t>ACTIVE_WAITLIST</t>
        </is>
      </c>
      <c r="E2662" s="37" t="n">
        <v>54.8</v>
      </c>
      <c r="F2662" s="37" t="n">
        <v>18.4</v>
      </c>
    </row>
    <row r="2663">
      <c r="A2663" s="37" t="inlineStr">
        <is>
          <t>WL-03662</t>
        </is>
      </c>
      <c r="B2663" s="37" t="inlineStr">
        <is>
          <t>Murphy</t>
        </is>
      </c>
      <c r="C2663" s="37" t="inlineStr">
        <is>
          <t>Kevin</t>
        </is>
      </c>
      <c r="D2663" s="37" t="inlineStr">
        <is>
          <t>EXPIRED</t>
        </is>
      </c>
      <c r="E2663" s="37" t="n">
        <v>26.9</v>
      </c>
      <c r="F2663" s="37" t="n">
        <v>7.7</v>
      </c>
    </row>
    <row r="2664">
      <c r="A2664" s="37" t="inlineStr">
        <is>
          <t>WL-03663</t>
        </is>
      </c>
      <c r="B2664" s="37" t="inlineStr">
        <is>
          <t>Page</t>
        </is>
      </c>
      <c r="C2664" s="37" t="inlineStr">
        <is>
          <t>Jasmine</t>
        </is>
      </c>
      <c r="D2664" s="37" t="inlineStr">
        <is>
          <t>ACTIVE_WAITLIST</t>
        </is>
      </c>
      <c r="E2664" s="37" t="n">
        <v>54.6</v>
      </c>
      <c r="F2664" s="37" t="n">
        <v>19.3</v>
      </c>
    </row>
    <row r="2665">
      <c r="A2665" s="37" t="inlineStr">
        <is>
          <t>WL-03664</t>
        </is>
      </c>
      <c r="B2665" s="37" t="inlineStr">
        <is>
          <t>Meza</t>
        </is>
      </c>
      <c r="C2665" s="37" t="inlineStr">
        <is>
          <t>Ricky</t>
        </is>
      </c>
      <c r="D2665" s="37" t="inlineStr">
        <is>
          <t>ACTIVE_WAITLIST</t>
        </is>
      </c>
      <c r="E2665" s="37" t="n">
        <v>24.6</v>
      </c>
      <c r="F2665" s="37" t="n">
        <v>7.1</v>
      </c>
    </row>
    <row r="2666">
      <c r="A2666" s="37" t="inlineStr">
        <is>
          <t>WL-03665</t>
        </is>
      </c>
      <c r="B2666" s="37" t="inlineStr">
        <is>
          <t>Middleton</t>
        </is>
      </c>
      <c r="C2666" s="37" t="inlineStr">
        <is>
          <t>Maria</t>
        </is>
      </c>
      <c r="D2666" s="37" t="inlineStr">
        <is>
          <t>ACTIVE_WAITLIST</t>
        </is>
      </c>
      <c r="E2666" s="37" t="n">
        <v>22</v>
      </c>
      <c r="F2666" s="37" t="n">
        <v>7</v>
      </c>
    </row>
    <row r="2667">
      <c r="A2667" s="37" t="inlineStr">
        <is>
          <t>WL-03666</t>
        </is>
      </c>
      <c r="B2667" s="37" t="inlineStr">
        <is>
          <t>Franco</t>
        </is>
      </c>
      <c r="C2667" s="37" t="inlineStr">
        <is>
          <t>Andrea</t>
        </is>
      </c>
      <c r="D2667" s="37" t="inlineStr">
        <is>
          <t>ACTIVE_WAITLIST</t>
        </is>
      </c>
      <c r="E2667" s="37" t="n">
        <v>55.3</v>
      </c>
      <c r="F2667" s="37" t="n">
        <v>16.9</v>
      </c>
    </row>
    <row r="2668">
      <c r="A2668" s="37" t="inlineStr">
        <is>
          <t>WL-03667</t>
        </is>
      </c>
      <c r="B2668" s="37" t="inlineStr">
        <is>
          <t>Bean</t>
        </is>
      </c>
      <c r="C2668" s="37" t="inlineStr">
        <is>
          <t>Amber</t>
        </is>
      </c>
      <c r="D2668" s="37" t="inlineStr">
        <is>
          <t>ACTIVE_WAITLIST</t>
        </is>
      </c>
      <c r="E2668" s="37" t="n">
        <v>33.4</v>
      </c>
      <c r="F2668" s="37" t="n">
        <v>10.3</v>
      </c>
    </row>
    <row r="2669">
      <c r="A2669" s="37" t="inlineStr">
        <is>
          <t>WL-03668</t>
        </is>
      </c>
      <c r="B2669" s="37" t="inlineStr">
        <is>
          <t>Morris</t>
        </is>
      </c>
      <c r="C2669" s="37" t="inlineStr">
        <is>
          <t>Anthony</t>
        </is>
      </c>
      <c r="D2669" s="37" t="inlineStr">
        <is>
          <t>ACTIVE_WAITLIST</t>
        </is>
      </c>
      <c r="E2669" s="37" t="n">
        <v>34.1</v>
      </c>
      <c r="F2669" s="37" t="n">
        <v>9.699999999999999</v>
      </c>
    </row>
    <row r="2670">
      <c r="A2670" s="37" t="inlineStr">
        <is>
          <t>WL-03669</t>
        </is>
      </c>
      <c r="B2670" s="37" t="inlineStr">
        <is>
          <t>Powers</t>
        </is>
      </c>
      <c r="C2670" s="37" t="inlineStr">
        <is>
          <t>Samantha</t>
        </is>
      </c>
      <c r="D2670" s="37" t="inlineStr">
        <is>
          <t>ACTIVE_WAITLIST</t>
        </is>
      </c>
      <c r="E2670" s="37" t="n">
        <v>20.4</v>
      </c>
      <c r="F2670" s="37" t="n">
        <v>5.9</v>
      </c>
    </row>
    <row r="2671">
      <c r="A2671" s="37" t="inlineStr">
        <is>
          <t>WL-03670</t>
        </is>
      </c>
      <c r="B2671" s="37" t="inlineStr">
        <is>
          <t>Jones</t>
        </is>
      </c>
      <c r="C2671" s="37" t="inlineStr">
        <is>
          <t>Brian</t>
        </is>
      </c>
      <c r="D2671" s="37" t="inlineStr">
        <is>
          <t>RETAINER</t>
        </is>
      </c>
      <c r="E2671" s="37" t="n">
        <v>39.1</v>
      </c>
      <c r="F2671" s="37" t="n">
        <v>13.6</v>
      </c>
    </row>
    <row r="2672">
      <c r="A2672" s="37" t="inlineStr">
        <is>
          <t>WL-03671</t>
        </is>
      </c>
      <c r="B2672" s="37" t="inlineStr">
        <is>
          <t>Martinez</t>
        </is>
      </c>
      <c r="C2672" s="37" t="inlineStr">
        <is>
          <t>Thomas</t>
        </is>
      </c>
      <c r="D2672" s="37" t="inlineStr">
        <is>
          <t>ACTIVE_WAITLIST</t>
        </is>
      </c>
      <c r="E2672" s="37" t="n">
        <v>38.1</v>
      </c>
      <c r="F2672" s="37" t="n">
        <v>11.6</v>
      </c>
    </row>
    <row r="2673">
      <c r="A2673" s="37" t="inlineStr">
        <is>
          <t>WL-03672</t>
        </is>
      </c>
      <c r="B2673" s="37" t="inlineStr">
        <is>
          <t>Sparks</t>
        </is>
      </c>
      <c r="C2673" s="37" t="inlineStr">
        <is>
          <t>Robin</t>
        </is>
      </c>
      <c r="D2673" s="37" t="inlineStr">
        <is>
          <t>RETAINER</t>
        </is>
      </c>
      <c r="E2673" s="37" t="n">
        <v>36.1</v>
      </c>
      <c r="F2673" s="37" t="n">
        <v>10.3</v>
      </c>
    </row>
    <row r="2674">
      <c r="A2674" s="37" t="inlineStr">
        <is>
          <t>WL-03673</t>
        </is>
      </c>
      <c r="B2674" s="37" t="inlineStr">
        <is>
          <t>Gibson</t>
        </is>
      </c>
      <c r="C2674" s="37" t="inlineStr">
        <is>
          <t>Angela</t>
        </is>
      </c>
      <c r="D2674" s="37" t="inlineStr">
        <is>
          <t>ACTIVE_WAITLIST</t>
        </is>
      </c>
      <c r="E2674" s="37" t="n">
        <v>46.4</v>
      </c>
      <c r="F2674" s="37" t="n">
        <v>14.5</v>
      </c>
    </row>
    <row r="2675">
      <c r="A2675" s="37" t="inlineStr">
        <is>
          <t>WL-03674</t>
        </is>
      </c>
      <c r="B2675" s="37" t="inlineStr">
        <is>
          <t>Scott</t>
        </is>
      </c>
      <c r="C2675" s="37" t="inlineStr">
        <is>
          <t>Savannah</t>
        </is>
      </c>
      <c r="D2675" s="37" t="inlineStr">
        <is>
          <t>ACTIVE_WAITLIST</t>
        </is>
      </c>
      <c r="E2675" s="37" t="n">
        <v>33.4</v>
      </c>
      <c r="F2675" s="37" t="n">
        <v>10.7</v>
      </c>
    </row>
    <row r="2676">
      <c r="A2676" s="37" t="inlineStr">
        <is>
          <t>WL-03675</t>
        </is>
      </c>
      <c r="B2676" s="37" t="inlineStr">
        <is>
          <t>Barrett</t>
        </is>
      </c>
      <c r="C2676" s="37" t="inlineStr">
        <is>
          <t>Randy</t>
        </is>
      </c>
      <c r="D2676" s="37" t="inlineStr">
        <is>
          <t>ACTIVE_WAITLIST</t>
        </is>
      </c>
      <c r="E2676" s="37" t="n">
        <v>29</v>
      </c>
      <c r="F2676" s="37" t="n">
        <v>10</v>
      </c>
    </row>
    <row r="2677">
      <c r="A2677" s="37" t="inlineStr">
        <is>
          <t>WL-03676</t>
        </is>
      </c>
      <c r="B2677" s="37" t="inlineStr">
        <is>
          <t>Barajas</t>
        </is>
      </c>
      <c r="C2677" s="37" t="inlineStr">
        <is>
          <t>Antonio</t>
        </is>
      </c>
      <c r="D2677" s="37" t="inlineStr">
        <is>
          <t>ACTIVE_WAITLIST</t>
        </is>
      </c>
      <c r="E2677" s="37" t="n">
        <v>50.6</v>
      </c>
      <c r="F2677" s="37" t="n">
        <v>17.9</v>
      </c>
    </row>
    <row r="2678">
      <c r="A2678" s="37" t="inlineStr">
        <is>
          <t>WL-03677</t>
        </is>
      </c>
      <c r="B2678" s="37" t="inlineStr">
        <is>
          <t>Schaefer</t>
        </is>
      </c>
      <c r="C2678" s="37" t="inlineStr">
        <is>
          <t>Mark</t>
        </is>
      </c>
      <c r="D2678" s="37" t="inlineStr">
        <is>
          <t>RETAINER</t>
        </is>
      </c>
      <c r="E2678" s="37" t="n">
        <v>31.8</v>
      </c>
      <c r="F2678" s="37" t="n">
        <v>9.300000000000001</v>
      </c>
    </row>
    <row r="2679">
      <c r="A2679" s="37" t="inlineStr">
        <is>
          <t>WL-03678</t>
        </is>
      </c>
      <c r="B2679" s="37" t="inlineStr">
        <is>
          <t>Davis</t>
        </is>
      </c>
      <c r="C2679" s="37" t="inlineStr">
        <is>
          <t>Jill</t>
        </is>
      </c>
      <c r="D2679" s="37" t="inlineStr">
        <is>
          <t>ACTIVE_WAITLIST</t>
        </is>
      </c>
      <c r="E2679" s="37" t="n">
        <v>45.1</v>
      </c>
      <c r="F2679" s="37" t="n">
        <v>14.4</v>
      </c>
    </row>
    <row r="2680">
      <c r="A2680" s="37" t="inlineStr">
        <is>
          <t>WL-03679</t>
        </is>
      </c>
      <c r="B2680" s="37" t="inlineStr">
        <is>
          <t>Page</t>
        </is>
      </c>
      <c r="C2680" s="37" t="inlineStr">
        <is>
          <t>Tracy</t>
        </is>
      </c>
      <c r="D2680" s="37" t="inlineStr">
        <is>
          <t>ACTIVE_WAITLIST</t>
        </is>
      </c>
      <c r="E2680" s="37" t="n">
        <v>26.4</v>
      </c>
      <c r="F2680" s="37" t="n">
        <v>7.9</v>
      </c>
    </row>
    <row r="2681">
      <c r="A2681" s="37" t="inlineStr">
        <is>
          <t>WL-03680</t>
        </is>
      </c>
      <c r="B2681" s="37" t="inlineStr">
        <is>
          <t>Bates</t>
        </is>
      </c>
      <c r="C2681" s="37" t="inlineStr">
        <is>
          <t>Thomas</t>
        </is>
      </c>
      <c r="D2681" s="37" t="inlineStr">
        <is>
          <t>ACTIVE_WAITLIST</t>
        </is>
      </c>
      <c r="E2681" s="37" t="n">
        <v>23</v>
      </c>
      <c r="F2681" s="37" t="n">
        <v>7.1</v>
      </c>
    </row>
    <row r="2682">
      <c r="A2682" s="37" t="inlineStr">
        <is>
          <t>WL-03681</t>
        </is>
      </c>
      <c r="B2682" s="37" t="inlineStr">
        <is>
          <t>Brown</t>
        </is>
      </c>
      <c r="C2682" s="37" t="inlineStr">
        <is>
          <t>Robert</t>
        </is>
      </c>
      <c r="D2682" s="37" t="inlineStr">
        <is>
          <t>ACTIVE_WAITLIST</t>
        </is>
      </c>
      <c r="E2682" s="37" t="n">
        <v>48.5</v>
      </c>
      <c r="F2682" s="37" t="n">
        <v>14.6</v>
      </c>
    </row>
    <row r="2683">
      <c r="A2683" s="37" t="inlineStr">
        <is>
          <t>WL-03682</t>
        </is>
      </c>
      <c r="B2683" s="37" t="inlineStr">
        <is>
          <t>Anderson</t>
        </is>
      </c>
      <c r="C2683" s="37" t="inlineStr">
        <is>
          <t>Paul</t>
        </is>
      </c>
      <c r="D2683" s="37" t="inlineStr">
        <is>
          <t>ACTIVE_WAITLIST</t>
        </is>
      </c>
      <c r="E2683" s="37" t="n">
        <v>23.5</v>
      </c>
      <c r="F2683" s="37" t="n">
        <v>7.5</v>
      </c>
    </row>
    <row r="2684">
      <c r="A2684" s="37" t="inlineStr">
        <is>
          <t>WL-03683</t>
        </is>
      </c>
      <c r="B2684" s="37" t="inlineStr">
        <is>
          <t>Carter</t>
        </is>
      </c>
      <c r="C2684" s="37" t="inlineStr">
        <is>
          <t>Shawn</t>
        </is>
      </c>
      <c r="D2684" s="37" t="inlineStr">
        <is>
          <t>ACTIVE_WAITLIST</t>
        </is>
      </c>
      <c r="E2684" s="37" t="n">
        <v>57.9</v>
      </c>
      <c r="F2684" s="37" t="n">
        <v>16.9</v>
      </c>
    </row>
    <row r="2685">
      <c r="A2685" s="37" t="inlineStr">
        <is>
          <t>WL-03684</t>
        </is>
      </c>
      <c r="B2685" s="37" t="inlineStr">
        <is>
          <t>Butler</t>
        </is>
      </c>
      <c r="C2685" s="37" t="inlineStr">
        <is>
          <t>David</t>
        </is>
      </c>
      <c r="D2685" s="37" t="inlineStr">
        <is>
          <t>ACTIVE_WAITLIST</t>
        </is>
      </c>
      <c r="E2685" s="37" t="n">
        <v>45.6</v>
      </c>
      <c r="F2685" s="37" t="n">
        <v>12.8</v>
      </c>
    </row>
    <row r="2686">
      <c r="A2686" s="37" t="inlineStr">
        <is>
          <t>WL-03685</t>
        </is>
      </c>
      <c r="B2686" s="37" t="inlineStr">
        <is>
          <t>Mcguire</t>
        </is>
      </c>
      <c r="C2686" s="37" t="inlineStr">
        <is>
          <t>Kim</t>
        </is>
      </c>
      <c r="D2686" s="37" t="inlineStr">
        <is>
          <t>ACTIVE_WAITLIST</t>
        </is>
      </c>
      <c r="E2686" s="37" t="n">
        <v>27.2</v>
      </c>
      <c r="F2686" s="37" t="n">
        <v>9.1</v>
      </c>
    </row>
    <row r="2687">
      <c r="A2687" s="37" t="inlineStr">
        <is>
          <t>WL-03686</t>
        </is>
      </c>
      <c r="B2687" s="37" t="inlineStr">
        <is>
          <t>Howard</t>
        </is>
      </c>
      <c r="C2687" s="37" t="inlineStr">
        <is>
          <t>Candice</t>
        </is>
      </c>
      <c r="D2687" s="37" t="inlineStr">
        <is>
          <t>ACTIVE_WAITLIST</t>
        </is>
      </c>
      <c r="E2687" s="37" t="n">
        <v>53.2</v>
      </c>
      <c r="F2687" s="37" t="n">
        <v>16.7</v>
      </c>
    </row>
    <row r="2688">
      <c r="A2688" s="37" t="inlineStr">
        <is>
          <t>WL-03687</t>
        </is>
      </c>
      <c r="B2688" s="37" t="inlineStr">
        <is>
          <t>Mccoy</t>
        </is>
      </c>
      <c r="C2688" s="37" t="inlineStr">
        <is>
          <t>Marissa</t>
        </is>
      </c>
      <c r="D2688" s="37" t="inlineStr">
        <is>
          <t>SUSPENDED</t>
        </is>
      </c>
      <c r="E2688" s="37" t="n">
        <v>38</v>
      </c>
      <c r="F2688" s="37" t="n">
        <v>11.5</v>
      </c>
    </row>
    <row r="2689">
      <c r="A2689" s="37" t="inlineStr">
        <is>
          <t>WL-03688</t>
        </is>
      </c>
      <c r="B2689" s="37" t="inlineStr">
        <is>
          <t>Rodriguez</t>
        </is>
      </c>
      <c r="C2689" s="37" t="inlineStr">
        <is>
          <t>Gilbert</t>
        </is>
      </c>
      <c r="D2689" s="37" t="inlineStr">
        <is>
          <t>ACTIVE_WAITLIST</t>
        </is>
      </c>
      <c r="E2689" s="37" t="n">
        <v>44.7</v>
      </c>
      <c r="F2689" s="37" t="n">
        <v>13.1</v>
      </c>
    </row>
    <row r="2690">
      <c r="A2690" s="37" t="inlineStr">
        <is>
          <t>WL-03689</t>
        </is>
      </c>
      <c r="B2690" s="37" t="inlineStr">
        <is>
          <t>Scott</t>
        </is>
      </c>
      <c r="C2690" s="37" t="inlineStr">
        <is>
          <t>Keith</t>
        </is>
      </c>
      <c r="D2690" s="37" t="inlineStr">
        <is>
          <t>ACTIVE_WAITLIST</t>
        </is>
      </c>
      <c r="E2690" s="37" t="n">
        <v>39</v>
      </c>
      <c r="F2690" s="37" t="n">
        <v>13.8</v>
      </c>
    </row>
    <row r="2691">
      <c r="A2691" s="37" t="inlineStr">
        <is>
          <t>WL-03690</t>
        </is>
      </c>
      <c r="B2691" s="37" t="inlineStr">
        <is>
          <t>Patel</t>
        </is>
      </c>
      <c r="C2691" s="37" t="inlineStr">
        <is>
          <t>John</t>
        </is>
      </c>
      <c r="D2691" s="37" t="inlineStr">
        <is>
          <t>ACTIVE_WAITLIST</t>
        </is>
      </c>
      <c r="E2691" s="37" t="n">
        <v>46.8</v>
      </c>
      <c r="F2691" s="37" t="n">
        <v>13.3</v>
      </c>
    </row>
    <row r="2692">
      <c r="A2692" s="37" t="inlineStr">
        <is>
          <t>WL-03691</t>
        </is>
      </c>
      <c r="B2692" s="37" t="inlineStr">
        <is>
          <t>Kennedy</t>
        </is>
      </c>
      <c r="C2692" s="37" t="inlineStr">
        <is>
          <t>Mary</t>
        </is>
      </c>
      <c r="D2692" s="37" t="inlineStr">
        <is>
          <t>ACTIVE_WAITLIST</t>
        </is>
      </c>
      <c r="E2692" s="37" t="n">
        <v>52.9</v>
      </c>
      <c r="F2692" s="37" t="n">
        <v>17.7</v>
      </c>
    </row>
    <row r="2693">
      <c r="A2693" s="37" t="inlineStr">
        <is>
          <t>WL-03692</t>
        </is>
      </c>
      <c r="B2693" s="37" t="inlineStr">
        <is>
          <t>Wilkins</t>
        </is>
      </c>
      <c r="C2693" s="37" t="inlineStr">
        <is>
          <t>Warren</t>
        </is>
      </c>
      <c r="D2693" s="37" t="inlineStr">
        <is>
          <t>ACTIVE_WAITLIST</t>
        </is>
      </c>
      <c r="E2693" s="37" t="n">
        <v>25.9</v>
      </c>
      <c r="F2693" s="37" t="n">
        <v>8.6</v>
      </c>
    </row>
    <row r="2694">
      <c r="A2694" s="37" t="inlineStr">
        <is>
          <t>WL-03693</t>
        </is>
      </c>
      <c r="B2694" s="37" t="inlineStr">
        <is>
          <t>Williams</t>
        </is>
      </c>
      <c r="C2694" s="37" t="inlineStr">
        <is>
          <t>Wendy</t>
        </is>
      </c>
      <c r="D2694" s="37" t="inlineStr">
        <is>
          <t>ACTIVE_WAITLIST</t>
        </is>
      </c>
      <c r="E2694" s="37" t="n">
        <v>43.6</v>
      </c>
      <c r="F2694" s="37" t="n">
        <v>12.5</v>
      </c>
    </row>
    <row r="2695">
      <c r="A2695" s="37" t="inlineStr">
        <is>
          <t>WL-03694</t>
        </is>
      </c>
      <c r="B2695" s="37" t="inlineStr">
        <is>
          <t>Vasquez</t>
        </is>
      </c>
      <c r="C2695" s="37" t="inlineStr">
        <is>
          <t>Alan</t>
        </is>
      </c>
      <c r="D2695" s="37" t="inlineStr">
        <is>
          <t>RETAINER</t>
        </is>
      </c>
      <c r="E2695" s="37" t="n">
        <v>60.9</v>
      </c>
      <c r="F2695" s="37" t="n">
        <v>17.3</v>
      </c>
    </row>
    <row r="2696">
      <c r="A2696" s="37" t="inlineStr">
        <is>
          <t>WL-03695</t>
        </is>
      </c>
      <c r="B2696" s="37" t="inlineStr">
        <is>
          <t>Ramirez</t>
        </is>
      </c>
      <c r="C2696" s="37" t="inlineStr">
        <is>
          <t>Deborah</t>
        </is>
      </c>
      <c r="D2696" s="37" t="inlineStr">
        <is>
          <t>ACTIVE_WAITLIST</t>
        </is>
      </c>
      <c r="E2696" s="37" t="n">
        <v>18.6</v>
      </c>
      <c r="F2696" s="37" t="n">
        <v>6</v>
      </c>
    </row>
    <row r="2697">
      <c r="A2697" s="37" t="inlineStr">
        <is>
          <t>WL-03696</t>
        </is>
      </c>
      <c r="B2697" s="37" t="inlineStr">
        <is>
          <t>Duncan</t>
        </is>
      </c>
      <c r="C2697" s="37" t="inlineStr">
        <is>
          <t>Natalie</t>
        </is>
      </c>
      <c r="D2697" s="37" t="inlineStr">
        <is>
          <t>ACTIVE_WAITLIST</t>
        </is>
      </c>
      <c r="E2697" s="37" t="n">
        <v>52.7</v>
      </c>
      <c r="F2697" s="37" t="n">
        <v>17</v>
      </c>
    </row>
    <row r="2698">
      <c r="A2698" s="37" t="inlineStr">
        <is>
          <t>WL-03697</t>
        </is>
      </c>
      <c r="B2698" s="37" t="inlineStr">
        <is>
          <t>Nichols</t>
        </is>
      </c>
      <c r="C2698" s="37" t="inlineStr">
        <is>
          <t>Joel</t>
        </is>
      </c>
      <c r="D2698" s="37" t="inlineStr">
        <is>
          <t>ACTIVE_WAITLIST</t>
        </is>
      </c>
      <c r="E2698" s="37" t="n">
        <v>37.4</v>
      </c>
      <c r="F2698" s="37" t="n">
        <v>11.7</v>
      </c>
    </row>
    <row r="2699">
      <c r="A2699" s="37" t="inlineStr">
        <is>
          <t>WL-03698</t>
        </is>
      </c>
      <c r="B2699" s="37" t="inlineStr">
        <is>
          <t>Martinez</t>
        </is>
      </c>
      <c r="C2699" s="37" t="inlineStr">
        <is>
          <t>Tonya</t>
        </is>
      </c>
      <c r="D2699" s="37" t="inlineStr">
        <is>
          <t>ACTIVE_WAITLIST</t>
        </is>
      </c>
      <c r="E2699" s="37" t="n">
        <v>24.3</v>
      </c>
      <c r="F2699" s="37" t="n">
        <v>7.6</v>
      </c>
    </row>
    <row r="2700">
      <c r="A2700" s="37" t="inlineStr">
        <is>
          <t>WL-03699</t>
        </is>
      </c>
      <c r="B2700" s="37" t="inlineStr">
        <is>
          <t>Duncan</t>
        </is>
      </c>
      <c r="C2700" s="37" t="inlineStr">
        <is>
          <t>Christopher</t>
        </is>
      </c>
      <c r="D2700" s="37" t="inlineStr">
        <is>
          <t>ACTIVE_WAITLIST</t>
        </is>
      </c>
      <c r="E2700" s="37" t="n">
        <v>55.4</v>
      </c>
      <c r="F2700" s="37" t="n">
        <v>18.4</v>
      </c>
    </row>
    <row r="2701">
      <c r="A2701" s="37" t="inlineStr">
        <is>
          <t>WL-03700</t>
        </is>
      </c>
      <c r="B2701" s="37" t="inlineStr">
        <is>
          <t>Diaz</t>
        </is>
      </c>
      <c r="C2701" s="37" t="inlineStr">
        <is>
          <t>Jonathan</t>
        </is>
      </c>
      <c r="D2701" s="37" t="inlineStr">
        <is>
          <t>ACTIVE_WAITLIST</t>
        </is>
      </c>
      <c r="E2701" s="37" t="n">
        <v>18.6</v>
      </c>
      <c r="F2701" s="37" t="n">
        <v>5.9</v>
      </c>
    </row>
    <row r="2702">
      <c r="A2702" s="37" t="inlineStr">
        <is>
          <t>WL-03701</t>
        </is>
      </c>
      <c r="B2702" s="37" t="inlineStr">
        <is>
          <t>Davidson</t>
        </is>
      </c>
      <c r="C2702" s="37" t="inlineStr">
        <is>
          <t>James</t>
        </is>
      </c>
      <c r="D2702" s="37" t="inlineStr">
        <is>
          <t>ACTIVE_WAITLIST</t>
        </is>
      </c>
      <c r="E2702" s="37" t="n">
        <v>23.5</v>
      </c>
      <c r="F2702" s="37" t="n">
        <v>6.7</v>
      </c>
    </row>
    <row r="2703">
      <c r="A2703" s="37" t="inlineStr">
        <is>
          <t>WL-03702</t>
        </is>
      </c>
      <c r="B2703" s="37" t="inlineStr">
        <is>
          <t>Burke</t>
        </is>
      </c>
      <c r="C2703" s="37" t="inlineStr">
        <is>
          <t>Crystal</t>
        </is>
      </c>
      <c r="D2703" s="37" t="inlineStr">
        <is>
          <t>RETAINER</t>
        </is>
      </c>
      <c r="E2703" s="37" t="n">
        <v>23.1</v>
      </c>
      <c r="F2703" s="37" t="n">
        <v>7.7</v>
      </c>
    </row>
    <row r="2704">
      <c r="A2704" s="37" t="inlineStr">
        <is>
          <t>WL-03703</t>
        </is>
      </c>
      <c r="B2704" s="37" t="inlineStr">
        <is>
          <t>Jefferson</t>
        </is>
      </c>
      <c r="C2704" s="37" t="inlineStr">
        <is>
          <t>Cindy</t>
        </is>
      </c>
      <c r="D2704" s="37" t="inlineStr">
        <is>
          <t>ACTIVE_WAITLIST</t>
        </is>
      </c>
      <c r="E2704" s="37" t="n">
        <v>30.1</v>
      </c>
      <c r="F2704" s="37" t="n">
        <v>9</v>
      </c>
    </row>
    <row r="2705">
      <c r="A2705" s="37" t="inlineStr">
        <is>
          <t>WL-03704</t>
        </is>
      </c>
      <c r="B2705" s="37" t="inlineStr">
        <is>
          <t>Ballard</t>
        </is>
      </c>
      <c r="C2705" s="37" t="inlineStr">
        <is>
          <t>Heather</t>
        </is>
      </c>
      <c r="D2705" s="37" t="inlineStr">
        <is>
          <t>ACTIVE_WAITLIST</t>
        </is>
      </c>
      <c r="E2705" s="37" t="n">
        <v>50.3</v>
      </c>
      <c r="F2705" s="37" t="n">
        <v>14.4</v>
      </c>
    </row>
    <row r="2706">
      <c r="A2706" s="37" t="inlineStr">
        <is>
          <t>WL-03705</t>
        </is>
      </c>
      <c r="B2706" s="37" t="inlineStr">
        <is>
          <t>Garcia</t>
        </is>
      </c>
      <c r="C2706" s="37" t="inlineStr">
        <is>
          <t>Brittany</t>
        </is>
      </c>
      <c r="D2706" s="37" t="inlineStr">
        <is>
          <t>ACTIVE_WAITLIST</t>
        </is>
      </c>
      <c r="E2706" s="37" t="n">
        <v>36</v>
      </c>
      <c r="F2706" s="37" t="n">
        <v>10.2</v>
      </c>
    </row>
    <row r="2707">
      <c r="A2707" s="37" t="inlineStr">
        <is>
          <t>WL-03706</t>
        </is>
      </c>
      <c r="B2707" s="37" t="inlineStr">
        <is>
          <t>Richmond</t>
        </is>
      </c>
      <c r="C2707" s="37" t="inlineStr">
        <is>
          <t>Nicole</t>
        </is>
      </c>
      <c r="D2707" s="37" t="inlineStr">
        <is>
          <t>ACTIVE_WAITLIST</t>
        </is>
      </c>
      <c r="E2707" s="37" t="n">
        <v>34.5</v>
      </c>
      <c r="F2707" s="37" t="n">
        <v>10.4</v>
      </c>
    </row>
    <row r="2708">
      <c r="A2708" s="37" t="inlineStr">
        <is>
          <t>WL-03707</t>
        </is>
      </c>
      <c r="B2708" s="37" t="inlineStr">
        <is>
          <t>Lopez</t>
        </is>
      </c>
      <c r="C2708" s="37" t="inlineStr">
        <is>
          <t>Michael</t>
        </is>
      </c>
      <c r="D2708" s="37" t="inlineStr">
        <is>
          <t>RETAINER</t>
        </is>
      </c>
      <c r="E2708" s="37" t="n">
        <v>48.1</v>
      </c>
      <c r="F2708" s="37" t="n">
        <v>13.5</v>
      </c>
    </row>
    <row r="2709">
      <c r="A2709" s="37" t="inlineStr">
        <is>
          <t>WL-03708</t>
        </is>
      </c>
      <c r="B2709" s="37" t="inlineStr">
        <is>
          <t>Anderson</t>
        </is>
      </c>
      <c r="C2709" s="37" t="inlineStr">
        <is>
          <t>Catherine</t>
        </is>
      </c>
      <c r="D2709" s="37" t="inlineStr">
        <is>
          <t>ACTIVE_WAITLIST</t>
        </is>
      </c>
      <c r="E2709" s="37" t="n">
        <v>61</v>
      </c>
      <c r="F2709" s="37" t="n">
        <v>19.3</v>
      </c>
    </row>
    <row r="2710">
      <c r="A2710" s="37" t="inlineStr">
        <is>
          <t>WL-03709</t>
        </is>
      </c>
      <c r="B2710" s="37" t="inlineStr">
        <is>
          <t>Mays</t>
        </is>
      </c>
      <c r="C2710" s="37" t="inlineStr">
        <is>
          <t>Brandy</t>
        </is>
      </c>
      <c r="D2710" s="37" t="inlineStr">
        <is>
          <t>ACTIVE_WAITLIST</t>
        </is>
      </c>
      <c r="E2710" s="37" t="n">
        <v>54.1</v>
      </c>
      <c r="F2710" s="37" t="n">
        <v>18.4</v>
      </c>
    </row>
    <row r="2711">
      <c r="A2711" s="37" t="inlineStr">
        <is>
          <t>WL-03710</t>
        </is>
      </c>
      <c r="B2711" s="37" t="inlineStr">
        <is>
          <t>Ortiz</t>
        </is>
      </c>
      <c r="C2711" s="37" t="inlineStr">
        <is>
          <t>John</t>
        </is>
      </c>
      <c r="D2711" s="37" t="inlineStr">
        <is>
          <t>ACTIVE_WAITLIST</t>
        </is>
      </c>
      <c r="E2711" s="37" t="n">
        <v>44.5</v>
      </c>
      <c r="F2711" s="37" t="n">
        <v>15.2</v>
      </c>
    </row>
    <row r="2712">
      <c r="A2712" s="37" t="inlineStr">
        <is>
          <t>WL-03711</t>
        </is>
      </c>
      <c r="B2712" s="37" t="inlineStr">
        <is>
          <t>Webster</t>
        </is>
      </c>
      <c r="C2712" s="37" t="inlineStr">
        <is>
          <t>Adam</t>
        </is>
      </c>
      <c r="D2712" s="37" t="inlineStr">
        <is>
          <t>ACTIVE_WAITLIST</t>
        </is>
      </c>
      <c r="E2712" s="37" t="n">
        <v>53.5</v>
      </c>
      <c r="F2712" s="37" t="n">
        <v>15.4</v>
      </c>
    </row>
    <row r="2713">
      <c r="A2713" s="37" t="inlineStr">
        <is>
          <t>WL-03712</t>
        </is>
      </c>
      <c r="B2713" s="37" t="inlineStr">
        <is>
          <t>Graham</t>
        </is>
      </c>
      <c r="C2713" s="37" t="inlineStr">
        <is>
          <t>Charles</t>
        </is>
      </c>
      <c r="D2713" s="37" t="inlineStr">
        <is>
          <t>RETAINER</t>
        </is>
      </c>
      <c r="E2713" s="37" t="n">
        <v>38.8</v>
      </c>
      <c r="F2713" s="37" t="n">
        <v>12.7</v>
      </c>
    </row>
    <row r="2714">
      <c r="A2714" s="37" t="inlineStr">
        <is>
          <t>WL-03713</t>
        </is>
      </c>
      <c r="B2714" s="37" t="inlineStr">
        <is>
          <t>Smith</t>
        </is>
      </c>
      <c r="C2714" s="37" t="inlineStr">
        <is>
          <t>Jessica</t>
        </is>
      </c>
      <c r="D2714" s="37" t="inlineStr">
        <is>
          <t>ACTIVE_WAITLIST</t>
        </is>
      </c>
      <c r="E2714" s="37" t="n">
        <v>48</v>
      </c>
      <c r="F2714" s="37" t="n">
        <v>14.9</v>
      </c>
    </row>
    <row r="2715">
      <c r="A2715" s="37" t="inlineStr">
        <is>
          <t>WL-03714</t>
        </is>
      </c>
      <c r="B2715" s="37" t="inlineStr">
        <is>
          <t>Mitchell</t>
        </is>
      </c>
      <c r="C2715" s="37" t="inlineStr">
        <is>
          <t>Christopher</t>
        </is>
      </c>
      <c r="D2715" s="37" t="inlineStr">
        <is>
          <t>ACTIVE_WAITLIST</t>
        </is>
      </c>
      <c r="E2715" s="37" t="n">
        <v>42.9</v>
      </c>
      <c r="F2715" s="37" t="n">
        <v>12.6</v>
      </c>
    </row>
    <row r="2716">
      <c r="A2716" s="37" t="inlineStr">
        <is>
          <t>WL-03715</t>
        </is>
      </c>
      <c r="B2716" s="37" t="inlineStr">
        <is>
          <t>Lee</t>
        </is>
      </c>
      <c r="C2716" s="37" t="inlineStr">
        <is>
          <t>Aaron</t>
        </is>
      </c>
      <c r="D2716" s="37" t="inlineStr">
        <is>
          <t>ACTIVE_WAITLIST</t>
        </is>
      </c>
      <c r="E2716" s="37" t="n">
        <v>37</v>
      </c>
      <c r="F2716" s="37" t="n">
        <v>11</v>
      </c>
    </row>
    <row r="2717">
      <c r="A2717" s="37" t="inlineStr">
        <is>
          <t>WL-03716</t>
        </is>
      </c>
      <c r="B2717" s="37" t="inlineStr">
        <is>
          <t>Tyler</t>
        </is>
      </c>
      <c r="C2717" s="37" t="inlineStr">
        <is>
          <t>Sharon</t>
        </is>
      </c>
      <c r="D2717" s="37" t="inlineStr">
        <is>
          <t>RETAINER</t>
        </is>
      </c>
      <c r="E2717" s="37" t="n">
        <v>56.4</v>
      </c>
      <c r="F2717" s="37" t="n">
        <v>18.6</v>
      </c>
    </row>
    <row r="2718">
      <c r="A2718" s="37" t="inlineStr">
        <is>
          <t>WL-03717</t>
        </is>
      </c>
      <c r="B2718" s="37" t="inlineStr">
        <is>
          <t>Schmitt</t>
        </is>
      </c>
      <c r="C2718" s="37" t="inlineStr">
        <is>
          <t>Roy</t>
        </is>
      </c>
      <c r="D2718" s="37" t="inlineStr">
        <is>
          <t>ACTIVE_WAITLIST</t>
        </is>
      </c>
      <c r="E2718" s="37" t="n">
        <v>44.2</v>
      </c>
      <c r="F2718" s="37" t="n">
        <v>15.5</v>
      </c>
    </row>
    <row r="2719">
      <c r="A2719" s="37" t="inlineStr">
        <is>
          <t>WL-03718</t>
        </is>
      </c>
      <c r="B2719" s="37" t="inlineStr">
        <is>
          <t>Bradley</t>
        </is>
      </c>
      <c r="C2719" s="37" t="inlineStr">
        <is>
          <t>Cheyenne</t>
        </is>
      </c>
      <c r="D2719" s="37" t="inlineStr">
        <is>
          <t>EXPIRED</t>
        </is>
      </c>
      <c r="E2719" s="37" t="n">
        <v>47.4</v>
      </c>
      <c r="F2719" s="37" t="n">
        <v>14.8</v>
      </c>
    </row>
    <row r="2720">
      <c r="A2720" s="37" t="inlineStr">
        <is>
          <t>WL-03719</t>
        </is>
      </c>
      <c r="B2720" s="37" t="inlineStr">
        <is>
          <t>Adkins</t>
        </is>
      </c>
      <c r="C2720" s="37" t="inlineStr">
        <is>
          <t>Sheila</t>
        </is>
      </c>
      <c r="D2720" s="37" t="inlineStr">
        <is>
          <t>RETAINER</t>
        </is>
      </c>
      <c r="E2720" s="37" t="n">
        <v>20.2</v>
      </c>
      <c r="F2720" s="37" t="n">
        <v>6.9</v>
      </c>
    </row>
    <row r="2721">
      <c r="A2721" s="37" t="inlineStr">
        <is>
          <t>WL-03720</t>
        </is>
      </c>
      <c r="B2721" s="37" t="inlineStr">
        <is>
          <t>Blair</t>
        </is>
      </c>
      <c r="C2721" s="37" t="inlineStr">
        <is>
          <t>Kristen</t>
        </is>
      </c>
      <c r="D2721" s="37" t="inlineStr">
        <is>
          <t>ACTIVE_WAITLIST</t>
        </is>
      </c>
      <c r="E2721" s="37" t="n">
        <v>25.2</v>
      </c>
      <c r="F2721" s="37" t="n">
        <v>7.4</v>
      </c>
    </row>
    <row r="2722">
      <c r="A2722" s="37" t="inlineStr">
        <is>
          <t>WL-03721</t>
        </is>
      </c>
      <c r="B2722" s="37" t="inlineStr">
        <is>
          <t>Vaughn</t>
        </is>
      </c>
      <c r="C2722" s="37" t="inlineStr">
        <is>
          <t>Ann</t>
        </is>
      </c>
      <c r="D2722" s="37" t="inlineStr">
        <is>
          <t>ACTIVE_WAITLIST</t>
        </is>
      </c>
      <c r="E2722" s="37" t="n">
        <v>39.1</v>
      </c>
      <c r="F2722" s="37" t="n">
        <v>12.8</v>
      </c>
    </row>
    <row r="2723">
      <c r="A2723" s="37" t="inlineStr">
        <is>
          <t>WL-03722</t>
        </is>
      </c>
      <c r="B2723" s="37" t="inlineStr">
        <is>
          <t>Stone</t>
        </is>
      </c>
      <c r="C2723" s="37" t="inlineStr">
        <is>
          <t>Seth</t>
        </is>
      </c>
      <c r="D2723" s="37" t="inlineStr">
        <is>
          <t>ACTIVE_WAITLIST</t>
        </is>
      </c>
      <c r="E2723" s="37" t="n">
        <v>22.4</v>
      </c>
      <c r="F2723" s="37" t="n">
        <v>7.9</v>
      </c>
    </row>
    <row r="2724">
      <c r="A2724" s="37" t="inlineStr">
        <is>
          <t>WL-03723</t>
        </is>
      </c>
      <c r="B2724" s="37" t="inlineStr">
        <is>
          <t>Douglas</t>
        </is>
      </c>
      <c r="C2724" s="37" t="inlineStr">
        <is>
          <t>Michael</t>
        </is>
      </c>
      <c r="D2724" s="37" t="inlineStr">
        <is>
          <t>ACTIVE_WAITLIST</t>
        </is>
      </c>
      <c r="E2724" s="37" t="n">
        <v>28.1</v>
      </c>
      <c r="F2724" s="37" t="n">
        <v>9.6</v>
      </c>
    </row>
    <row r="2725">
      <c r="A2725" s="37" t="inlineStr">
        <is>
          <t>WL-03724</t>
        </is>
      </c>
      <c r="B2725" s="37" t="inlineStr">
        <is>
          <t>Garza</t>
        </is>
      </c>
      <c r="C2725" s="37" t="inlineStr">
        <is>
          <t>Ryan</t>
        </is>
      </c>
      <c r="D2725" s="37" t="inlineStr">
        <is>
          <t>ACTIVE_WAITLIST</t>
        </is>
      </c>
      <c r="E2725" s="37" t="n">
        <v>44.2</v>
      </c>
      <c r="F2725" s="37" t="n">
        <v>12.6</v>
      </c>
    </row>
    <row r="2726">
      <c r="A2726" s="37" t="inlineStr">
        <is>
          <t>WL-03725</t>
        </is>
      </c>
      <c r="B2726" s="37" t="inlineStr">
        <is>
          <t>Martinez</t>
        </is>
      </c>
      <c r="C2726" s="37" t="inlineStr">
        <is>
          <t>Edwin</t>
        </is>
      </c>
      <c r="D2726" s="37" t="inlineStr">
        <is>
          <t>ACTIVE_WAITLIST</t>
        </is>
      </c>
      <c r="E2726" s="37" t="n">
        <v>59.8</v>
      </c>
      <c r="F2726" s="37" t="n">
        <v>20.4</v>
      </c>
    </row>
    <row r="2727">
      <c r="A2727" s="37" t="inlineStr">
        <is>
          <t>WL-03726</t>
        </is>
      </c>
      <c r="B2727" s="37" t="inlineStr">
        <is>
          <t>Johnson</t>
        </is>
      </c>
      <c r="C2727" s="37" t="inlineStr">
        <is>
          <t>Christina</t>
        </is>
      </c>
      <c r="D2727" s="37" t="inlineStr">
        <is>
          <t>ACTIVE_WAITLIST</t>
        </is>
      </c>
      <c r="E2727" s="37" t="n">
        <v>32.3</v>
      </c>
      <c r="F2727" s="37" t="n">
        <v>10.7</v>
      </c>
    </row>
    <row r="2728">
      <c r="A2728" s="37" t="inlineStr">
        <is>
          <t>WL-03727</t>
        </is>
      </c>
      <c r="B2728" s="37" t="inlineStr">
        <is>
          <t>Crawford</t>
        </is>
      </c>
      <c r="C2728" s="37" t="inlineStr">
        <is>
          <t>Vanessa</t>
        </is>
      </c>
      <c r="D2728" s="37" t="inlineStr">
        <is>
          <t>ACTIVE_WAITLIST</t>
        </is>
      </c>
      <c r="E2728" s="37" t="n">
        <v>29.6</v>
      </c>
      <c r="F2728" s="37" t="n">
        <v>10.1</v>
      </c>
    </row>
    <row r="2729">
      <c r="A2729" s="37" t="inlineStr">
        <is>
          <t>WL-03728</t>
        </is>
      </c>
      <c r="B2729" s="37" t="inlineStr">
        <is>
          <t>Wade</t>
        </is>
      </c>
      <c r="C2729" s="37" t="inlineStr">
        <is>
          <t>Gary</t>
        </is>
      </c>
      <c r="D2729" s="37" t="inlineStr">
        <is>
          <t>ACTIVE_WAITLIST</t>
        </is>
      </c>
      <c r="E2729" s="37" t="n">
        <v>38</v>
      </c>
      <c r="F2729" s="37" t="n">
        <v>12</v>
      </c>
    </row>
    <row r="2730">
      <c r="A2730" s="37" t="inlineStr">
        <is>
          <t>WL-03729</t>
        </is>
      </c>
      <c r="B2730" s="37" t="inlineStr">
        <is>
          <t>Jackson</t>
        </is>
      </c>
      <c r="C2730" s="37" t="inlineStr">
        <is>
          <t>Sara</t>
        </is>
      </c>
      <c r="D2730" s="37" t="inlineStr">
        <is>
          <t>ACTIVE_WAITLIST</t>
        </is>
      </c>
      <c r="E2730" s="37" t="n">
        <v>58.1</v>
      </c>
      <c r="F2730" s="37" t="n">
        <v>16.4</v>
      </c>
    </row>
    <row r="2731">
      <c r="A2731" s="37" t="inlineStr">
        <is>
          <t>WL-03730</t>
        </is>
      </c>
      <c r="B2731" s="37" t="inlineStr">
        <is>
          <t>Miller</t>
        </is>
      </c>
      <c r="C2731" s="37" t="inlineStr">
        <is>
          <t>Vincent</t>
        </is>
      </c>
      <c r="D2731" s="37" t="inlineStr">
        <is>
          <t>RETAINER</t>
        </is>
      </c>
      <c r="E2731" s="37" t="n">
        <v>37.6</v>
      </c>
      <c r="F2731" s="37" t="n">
        <v>10.5</v>
      </c>
    </row>
    <row r="2732">
      <c r="A2732" s="37" t="inlineStr">
        <is>
          <t>WL-03731</t>
        </is>
      </c>
      <c r="B2732" s="37" t="inlineStr">
        <is>
          <t>Clay</t>
        </is>
      </c>
      <c r="C2732" s="37" t="inlineStr">
        <is>
          <t>Kevin</t>
        </is>
      </c>
      <c r="D2732" s="37" t="inlineStr">
        <is>
          <t>ACTIVE_WAITLIST</t>
        </is>
      </c>
      <c r="E2732" s="37" t="n">
        <v>42.5</v>
      </c>
      <c r="F2732" s="37" t="n">
        <v>12.3</v>
      </c>
    </row>
    <row r="2733">
      <c r="A2733" s="37" t="inlineStr">
        <is>
          <t>WL-03732</t>
        </is>
      </c>
      <c r="B2733" s="37" t="inlineStr">
        <is>
          <t>Montoya</t>
        </is>
      </c>
      <c r="C2733" s="37" t="inlineStr">
        <is>
          <t>Cheryl</t>
        </is>
      </c>
      <c r="D2733" s="37" t="inlineStr">
        <is>
          <t>SUSPENDED</t>
        </is>
      </c>
      <c r="E2733" s="37" t="n">
        <v>41.4</v>
      </c>
      <c r="F2733" s="37" t="n">
        <v>13.4</v>
      </c>
    </row>
    <row r="2734">
      <c r="A2734" s="37" t="inlineStr">
        <is>
          <t>WL-03733</t>
        </is>
      </c>
      <c r="B2734" s="37" t="inlineStr">
        <is>
          <t>Richmond</t>
        </is>
      </c>
      <c r="C2734" s="37" t="inlineStr">
        <is>
          <t>Theresa</t>
        </is>
      </c>
      <c r="D2734" s="37" t="inlineStr">
        <is>
          <t>RETAINER</t>
        </is>
      </c>
      <c r="E2734" s="37" t="n">
        <v>37</v>
      </c>
      <c r="F2734" s="37" t="n">
        <v>11.8</v>
      </c>
    </row>
    <row r="2735">
      <c r="A2735" s="37" t="inlineStr">
        <is>
          <t>WL-03734</t>
        </is>
      </c>
      <c r="B2735" s="37" t="inlineStr">
        <is>
          <t>Lewis</t>
        </is>
      </c>
      <c r="C2735" s="37" t="inlineStr">
        <is>
          <t>Erin</t>
        </is>
      </c>
      <c r="D2735" s="37" t="inlineStr">
        <is>
          <t>ACTIVE_WAITLIST</t>
        </is>
      </c>
      <c r="E2735" s="37" t="n">
        <v>51.6</v>
      </c>
      <c r="F2735" s="37" t="n">
        <v>16.7</v>
      </c>
    </row>
    <row r="2736">
      <c r="A2736" s="37" t="inlineStr">
        <is>
          <t>WL-03735</t>
        </is>
      </c>
      <c r="B2736" s="37" t="inlineStr">
        <is>
          <t>Foster</t>
        </is>
      </c>
      <c r="C2736" s="37" t="inlineStr">
        <is>
          <t>Kyle</t>
        </is>
      </c>
      <c r="D2736" s="37" t="inlineStr">
        <is>
          <t>ACTIVE_WAITLIST</t>
        </is>
      </c>
      <c r="E2736" s="37" t="n">
        <v>61.2</v>
      </c>
      <c r="F2736" s="37" t="n">
        <v>19.1</v>
      </c>
    </row>
    <row r="2737">
      <c r="A2737" s="37" t="inlineStr">
        <is>
          <t>WL-03736</t>
        </is>
      </c>
      <c r="B2737" s="37" t="inlineStr">
        <is>
          <t>Martinez</t>
        </is>
      </c>
      <c r="C2737" s="37" t="inlineStr">
        <is>
          <t>Nicole</t>
        </is>
      </c>
      <c r="D2737" s="37" t="inlineStr">
        <is>
          <t>ACTIVE_WAITLIST</t>
        </is>
      </c>
      <c r="E2737" s="37" t="n">
        <v>36.9</v>
      </c>
      <c r="F2737" s="37" t="n">
        <v>11.5</v>
      </c>
    </row>
    <row r="2738">
      <c r="A2738" s="37" t="inlineStr">
        <is>
          <t>WL-03737</t>
        </is>
      </c>
      <c r="B2738" s="37" t="inlineStr">
        <is>
          <t>Mcpherson</t>
        </is>
      </c>
      <c r="C2738" s="37" t="inlineStr">
        <is>
          <t>Kathryn</t>
        </is>
      </c>
      <c r="D2738" s="37" t="inlineStr">
        <is>
          <t>ACTIVE_WAITLIST</t>
        </is>
      </c>
      <c r="E2738" s="37" t="n">
        <v>28.8</v>
      </c>
      <c r="F2738" s="37" t="n">
        <v>10.1</v>
      </c>
    </row>
    <row r="2739">
      <c r="A2739" s="37" t="inlineStr">
        <is>
          <t>WL-03738</t>
        </is>
      </c>
      <c r="B2739" s="37" t="inlineStr">
        <is>
          <t>Wilson</t>
        </is>
      </c>
      <c r="C2739" s="37" t="inlineStr">
        <is>
          <t>Patrick</t>
        </is>
      </c>
      <c r="D2739" s="37" t="inlineStr">
        <is>
          <t>RETAINER</t>
        </is>
      </c>
      <c r="E2739" s="37" t="n">
        <v>39.3</v>
      </c>
      <c r="F2739" s="37" t="n">
        <v>13.7</v>
      </c>
    </row>
    <row r="2740">
      <c r="A2740" s="37" t="inlineStr">
        <is>
          <t>WL-03739</t>
        </is>
      </c>
      <c r="B2740" s="37" t="inlineStr">
        <is>
          <t>Dennis</t>
        </is>
      </c>
      <c r="C2740" s="37" t="inlineStr">
        <is>
          <t>Marc</t>
        </is>
      </c>
      <c r="D2740" s="37" t="inlineStr">
        <is>
          <t>ACTIVE_WAITLIST</t>
        </is>
      </c>
      <c r="E2740" s="37" t="n">
        <v>31.3</v>
      </c>
      <c r="F2740" s="37" t="n">
        <v>11</v>
      </c>
    </row>
    <row r="2741">
      <c r="A2741" s="37" t="inlineStr">
        <is>
          <t>WL-03740</t>
        </is>
      </c>
      <c r="B2741" s="37" t="inlineStr">
        <is>
          <t>Campbell</t>
        </is>
      </c>
      <c r="C2741" s="37" t="inlineStr">
        <is>
          <t>Steve</t>
        </is>
      </c>
      <c r="D2741" s="37" t="inlineStr">
        <is>
          <t>ACTIVE_WAITLIST</t>
        </is>
      </c>
      <c r="E2741" s="37" t="n">
        <v>24.1</v>
      </c>
      <c r="F2741" s="37" t="n">
        <v>7.8</v>
      </c>
    </row>
    <row r="2742">
      <c r="A2742" s="37" t="inlineStr">
        <is>
          <t>WL-03741</t>
        </is>
      </c>
      <c r="B2742" s="37" t="inlineStr">
        <is>
          <t>Mullins</t>
        </is>
      </c>
      <c r="C2742" s="37" t="inlineStr">
        <is>
          <t>Jim</t>
        </is>
      </c>
      <c r="D2742" s="37" t="inlineStr">
        <is>
          <t>EXPIRED</t>
        </is>
      </c>
      <c r="E2742" s="37" t="n">
        <v>51.8</v>
      </c>
      <c r="F2742" s="37" t="n">
        <v>16.9</v>
      </c>
    </row>
    <row r="2743">
      <c r="A2743" s="37" t="inlineStr">
        <is>
          <t>WL-03742</t>
        </is>
      </c>
      <c r="B2743" s="37" t="inlineStr">
        <is>
          <t>Phillips</t>
        </is>
      </c>
      <c r="C2743" s="37" t="inlineStr">
        <is>
          <t>Frank</t>
        </is>
      </c>
      <c r="D2743" s="37" t="inlineStr">
        <is>
          <t>ACTIVE_WAITLIST</t>
        </is>
      </c>
      <c r="E2743" s="37" t="n">
        <v>52.1</v>
      </c>
      <c r="F2743" s="37" t="n">
        <v>17.7</v>
      </c>
    </row>
    <row r="2744">
      <c r="A2744" s="37" t="inlineStr">
        <is>
          <t>WL-03743</t>
        </is>
      </c>
      <c r="B2744" s="37" t="inlineStr">
        <is>
          <t>Morrison</t>
        </is>
      </c>
      <c r="C2744" s="37" t="inlineStr">
        <is>
          <t>Lisa</t>
        </is>
      </c>
      <c r="D2744" s="37" t="inlineStr">
        <is>
          <t>ACTIVE_WAITLIST</t>
        </is>
      </c>
      <c r="E2744" s="37" t="n">
        <v>47.2</v>
      </c>
      <c r="F2744" s="37" t="n">
        <v>13.3</v>
      </c>
    </row>
    <row r="2745">
      <c r="A2745" s="37" t="inlineStr">
        <is>
          <t>WL-03744</t>
        </is>
      </c>
      <c r="B2745" s="37" t="inlineStr">
        <is>
          <t>Hanson</t>
        </is>
      </c>
      <c r="C2745" s="37" t="inlineStr">
        <is>
          <t>William</t>
        </is>
      </c>
      <c r="D2745" s="37" t="inlineStr">
        <is>
          <t>ACTIVE_WAITLIST</t>
        </is>
      </c>
      <c r="E2745" s="37" t="n">
        <v>43.4</v>
      </c>
      <c r="F2745" s="37" t="n">
        <v>14.7</v>
      </c>
    </row>
    <row r="2746">
      <c r="A2746" s="37" t="inlineStr">
        <is>
          <t>WL-03745</t>
        </is>
      </c>
      <c r="B2746" s="37" t="inlineStr">
        <is>
          <t>Sparks</t>
        </is>
      </c>
      <c r="C2746" s="37" t="inlineStr">
        <is>
          <t>John</t>
        </is>
      </c>
      <c r="D2746" s="37" t="inlineStr">
        <is>
          <t>ACTIVE_WAITLIST</t>
        </is>
      </c>
      <c r="E2746" s="37" t="n">
        <v>23.4</v>
      </c>
      <c r="F2746" s="37" t="n">
        <v>7.8</v>
      </c>
    </row>
    <row r="2747">
      <c r="A2747" s="37" t="inlineStr">
        <is>
          <t>WL-03746</t>
        </is>
      </c>
      <c r="B2747" s="37" t="inlineStr">
        <is>
          <t>Morgan</t>
        </is>
      </c>
      <c r="C2747" s="37" t="inlineStr">
        <is>
          <t>Cory</t>
        </is>
      </c>
      <c r="D2747" s="37" t="inlineStr">
        <is>
          <t>RETAINER</t>
        </is>
      </c>
      <c r="E2747" s="37" t="n">
        <v>53.5</v>
      </c>
      <c r="F2747" s="37" t="n">
        <v>15</v>
      </c>
    </row>
    <row r="2748">
      <c r="A2748" s="37" t="inlineStr">
        <is>
          <t>WL-03747</t>
        </is>
      </c>
      <c r="B2748" s="37" t="inlineStr">
        <is>
          <t>Young</t>
        </is>
      </c>
      <c r="C2748" s="37" t="inlineStr">
        <is>
          <t>April</t>
        </is>
      </c>
      <c r="D2748" s="37" t="inlineStr">
        <is>
          <t>EXPIRED</t>
        </is>
      </c>
      <c r="E2748" s="37" t="n">
        <v>46</v>
      </c>
      <c r="F2748" s="37" t="n">
        <v>14.8</v>
      </c>
    </row>
    <row r="2749">
      <c r="A2749" s="37" t="inlineStr">
        <is>
          <t>WL-03748</t>
        </is>
      </c>
      <c r="B2749" s="37" t="inlineStr">
        <is>
          <t>Garcia</t>
        </is>
      </c>
      <c r="C2749" s="37" t="inlineStr">
        <is>
          <t>Jared</t>
        </is>
      </c>
      <c r="D2749" s="37" t="inlineStr">
        <is>
          <t>ACTIVE_WAITLIST</t>
        </is>
      </c>
      <c r="E2749" s="37" t="n">
        <v>61.5</v>
      </c>
      <c r="F2749" s="37" t="n">
        <v>21.9</v>
      </c>
    </row>
    <row r="2750">
      <c r="A2750" s="37" t="inlineStr">
        <is>
          <t>WL-03749</t>
        </is>
      </c>
      <c r="B2750" s="37" t="inlineStr">
        <is>
          <t>Greene</t>
        </is>
      </c>
      <c r="C2750" s="37" t="inlineStr">
        <is>
          <t>Raymond</t>
        </is>
      </c>
      <c r="D2750" s="37" t="inlineStr">
        <is>
          <t>ACTIVE_WAITLIST</t>
        </is>
      </c>
      <c r="E2750" s="37" t="n">
        <v>54.4</v>
      </c>
      <c r="F2750" s="37" t="n">
        <v>16.8</v>
      </c>
    </row>
    <row r="2751">
      <c r="A2751" s="37" t="inlineStr">
        <is>
          <t>WL-03750</t>
        </is>
      </c>
      <c r="B2751" s="37" t="inlineStr">
        <is>
          <t>Phillips</t>
        </is>
      </c>
      <c r="C2751" s="37" t="inlineStr">
        <is>
          <t>Michael</t>
        </is>
      </c>
      <c r="D2751" s="37" t="inlineStr">
        <is>
          <t>ACTIVE_WAITLIST</t>
        </is>
      </c>
      <c r="E2751" s="37" t="n">
        <v>36.5</v>
      </c>
      <c r="F2751" s="37" t="n">
        <v>10.7</v>
      </c>
    </row>
    <row r="2752">
      <c r="A2752" s="37" t="inlineStr">
        <is>
          <t>WL-03751</t>
        </is>
      </c>
      <c r="B2752" s="37" t="inlineStr">
        <is>
          <t>Shah</t>
        </is>
      </c>
      <c r="C2752" s="37" t="inlineStr">
        <is>
          <t>Sharon</t>
        </is>
      </c>
      <c r="D2752" s="37" t="inlineStr">
        <is>
          <t>RETAINER</t>
        </is>
      </c>
      <c r="E2752" s="37" t="n">
        <v>54.8</v>
      </c>
      <c r="F2752" s="37" t="n">
        <v>19.1</v>
      </c>
    </row>
    <row r="2753">
      <c r="A2753" s="37" t="inlineStr">
        <is>
          <t>WL-03752</t>
        </is>
      </c>
      <c r="B2753" s="37" t="inlineStr">
        <is>
          <t>Soto</t>
        </is>
      </c>
      <c r="C2753" s="37" t="inlineStr">
        <is>
          <t>Timothy</t>
        </is>
      </c>
      <c r="D2753" s="37" t="inlineStr">
        <is>
          <t>ACTIVE_WAITLIST</t>
        </is>
      </c>
      <c r="E2753" s="37" t="n">
        <v>34.6</v>
      </c>
      <c r="F2753" s="37" t="n">
        <v>12.2</v>
      </c>
    </row>
    <row r="2754">
      <c r="A2754" s="37" t="inlineStr">
        <is>
          <t>WL-03753</t>
        </is>
      </c>
      <c r="B2754" s="37" t="inlineStr">
        <is>
          <t>Webb</t>
        </is>
      </c>
      <c r="C2754" s="37" t="inlineStr">
        <is>
          <t>Melanie</t>
        </is>
      </c>
      <c r="D2754" s="37" t="inlineStr">
        <is>
          <t>EXPIRED</t>
        </is>
      </c>
      <c r="E2754" s="37" t="n">
        <v>34.7</v>
      </c>
      <c r="F2754" s="37" t="n">
        <v>12.4</v>
      </c>
    </row>
    <row r="2755">
      <c r="A2755" s="37" t="inlineStr">
        <is>
          <t>WL-03754</t>
        </is>
      </c>
      <c r="B2755" s="37" t="inlineStr">
        <is>
          <t>Ali</t>
        </is>
      </c>
      <c r="C2755" s="37" t="inlineStr">
        <is>
          <t>Carolyn</t>
        </is>
      </c>
      <c r="D2755" s="37" t="inlineStr">
        <is>
          <t>ACTIVE_WAITLIST</t>
        </is>
      </c>
      <c r="E2755" s="37" t="n">
        <v>20.5</v>
      </c>
      <c r="F2755" s="37" t="n">
        <v>7.1</v>
      </c>
    </row>
    <row r="2756">
      <c r="A2756" s="37" t="inlineStr">
        <is>
          <t>WL-03755</t>
        </is>
      </c>
      <c r="B2756" s="37" t="inlineStr">
        <is>
          <t>Richardson</t>
        </is>
      </c>
      <c r="C2756" s="37" t="inlineStr">
        <is>
          <t>David</t>
        </is>
      </c>
      <c r="D2756" s="37" t="inlineStr">
        <is>
          <t>ACTIVE_WAITLIST</t>
        </is>
      </c>
      <c r="E2756" s="37" t="n">
        <v>34.2</v>
      </c>
      <c r="F2756" s="37" t="n">
        <v>10.9</v>
      </c>
    </row>
    <row r="2757">
      <c r="A2757" s="37" t="inlineStr">
        <is>
          <t>WL-03756</t>
        </is>
      </c>
      <c r="B2757" s="37" t="inlineStr">
        <is>
          <t>Martin</t>
        </is>
      </c>
      <c r="C2757" s="37" t="inlineStr">
        <is>
          <t>Kevin</t>
        </is>
      </c>
      <c r="D2757" s="37" t="inlineStr">
        <is>
          <t>RETAINER</t>
        </is>
      </c>
      <c r="E2757" s="37" t="n">
        <v>61.3</v>
      </c>
      <c r="F2757" s="37" t="n">
        <v>19.4</v>
      </c>
    </row>
    <row r="2758">
      <c r="A2758" s="37" t="inlineStr">
        <is>
          <t>WL-03757</t>
        </is>
      </c>
      <c r="B2758" s="37" t="inlineStr">
        <is>
          <t>Webb</t>
        </is>
      </c>
      <c r="C2758" s="37" t="inlineStr">
        <is>
          <t>Stephanie</t>
        </is>
      </c>
      <c r="D2758" s="37" t="inlineStr">
        <is>
          <t>ACTIVE_WAITLIST</t>
        </is>
      </c>
      <c r="E2758" s="37" t="n">
        <v>45.8</v>
      </c>
      <c r="F2758" s="37" t="n">
        <v>15.5</v>
      </c>
    </row>
    <row r="2759">
      <c r="A2759" s="37" t="inlineStr">
        <is>
          <t>WL-03758</t>
        </is>
      </c>
      <c r="B2759" s="37" t="inlineStr">
        <is>
          <t>Cherry</t>
        </is>
      </c>
      <c r="C2759" s="37" t="inlineStr">
        <is>
          <t>Sean</t>
        </is>
      </c>
      <c r="D2759" s="37" t="inlineStr">
        <is>
          <t>RETAINER</t>
        </is>
      </c>
      <c r="E2759" s="37" t="n">
        <v>41.1</v>
      </c>
      <c r="F2759" s="37" t="n">
        <v>12</v>
      </c>
    </row>
    <row r="2760">
      <c r="A2760" s="37" t="inlineStr">
        <is>
          <t>WL-03759</t>
        </is>
      </c>
      <c r="B2760" s="37" t="inlineStr">
        <is>
          <t>Newton</t>
        </is>
      </c>
      <c r="C2760" s="37" t="inlineStr">
        <is>
          <t>Ryan</t>
        </is>
      </c>
      <c r="D2760" s="37" t="inlineStr">
        <is>
          <t>ACTIVE_WAITLIST</t>
        </is>
      </c>
      <c r="E2760" s="37" t="n">
        <v>58.7</v>
      </c>
      <c r="F2760" s="37" t="n">
        <v>17.6</v>
      </c>
    </row>
    <row r="2761">
      <c r="A2761" s="37" t="inlineStr">
        <is>
          <t>WL-03760</t>
        </is>
      </c>
      <c r="B2761" s="37" t="inlineStr">
        <is>
          <t>Herring</t>
        </is>
      </c>
      <c r="C2761" s="37" t="inlineStr">
        <is>
          <t>Samantha</t>
        </is>
      </c>
      <c r="D2761" s="37" t="inlineStr">
        <is>
          <t>ACTIVE_WAITLIST</t>
        </is>
      </c>
      <c r="E2761" s="37" t="n">
        <v>57.9</v>
      </c>
      <c r="F2761" s="37" t="n">
        <v>17.1</v>
      </c>
    </row>
    <row r="2762">
      <c r="A2762" s="37" t="inlineStr">
        <is>
          <t>WL-03761</t>
        </is>
      </c>
      <c r="B2762" s="37" t="inlineStr">
        <is>
          <t>Maxwell</t>
        </is>
      </c>
      <c r="C2762" s="37" t="inlineStr">
        <is>
          <t>Thomas</t>
        </is>
      </c>
      <c r="D2762" s="37" t="inlineStr">
        <is>
          <t>RETAINER</t>
        </is>
      </c>
      <c r="E2762" s="37" t="n">
        <v>29.6</v>
      </c>
      <c r="F2762" s="37" t="n">
        <v>8.800000000000001</v>
      </c>
    </row>
    <row r="2763">
      <c r="A2763" s="37" t="inlineStr">
        <is>
          <t>WL-03762</t>
        </is>
      </c>
      <c r="B2763" s="37" t="inlineStr">
        <is>
          <t>Anderson</t>
        </is>
      </c>
      <c r="C2763" s="37" t="inlineStr">
        <is>
          <t>Kristen</t>
        </is>
      </c>
      <c r="D2763" s="37" t="inlineStr">
        <is>
          <t>ACTIVE_WAITLIST</t>
        </is>
      </c>
      <c r="E2763" s="37" t="n">
        <v>37.6</v>
      </c>
      <c r="F2763" s="37" t="n">
        <v>11.8</v>
      </c>
    </row>
    <row r="2764">
      <c r="A2764" s="37" t="inlineStr">
        <is>
          <t>WL-03763</t>
        </is>
      </c>
      <c r="B2764" s="37" t="inlineStr">
        <is>
          <t>Marquez</t>
        </is>
      </c>
      <c r="C2764" s="37" t="inlineStr">
        <is>
          <t>Patrick</t>
        </is>
      </c>
      <c r="D2764" s="37" t="inlineStr">
        <is>
          <t>ACTIVE_WAITLIST</t>
        </is>
      </c>
      <c r="E2764" s="37" t="n">
        <v>23.3</v>
      </c>
      <c r="F2764" s="37" t="n">
        <v>7</v>
      </c>
    </row>
    <row r="2765">
      <c r="A2765" s="37" t="inlineStr">
        <is>
          <t>WL-03764</t>
        </is>
      </c>
      <c r="B2765" s="37" t="inlineStr">
        <is>
          <t>Allen</t>
        </is>
      </c>
      <c r="C2765" s="37" t="inlineStr">
        <is>
          <t>Kim</t>
        </is>
      </c>
      <c r="D2765" s="37" t="inlineStr">
        <is>
          <t>ACTIVE_WAITLIST</t>
        </is>
      </c>
      <c r="E2765" s="37" t="n">
        <v>40.6</v>
      </c>
      <c r="F2765" s="37" t="n">
        <v>11.4</v>
      </c>
    </row>
    <row r="2766">
      <c r="A2766" s="37" t="inlineStr">
        <is>
          <t>WL-03765</t>
        </is>
      </c>
      <c r="B2766" s="37" t="inlineStr">
        <is>
          <t>Schmidt</t>
        </is>
      </c>
      <c r="C2766" s="37" t="inlineStr">
        <is>
          <t>Joel</t>
        </is>
      </c>
      <c r="D2766" s="37" t="inlineStr">
        <is>
          <t>ACTIVE_WAITLIST</t>
        </is>
      </c>
      <c r="E2766" s="37" t="n">
        <v>35.9</v>
      </c>
      <c r="F2766" s="37" t="n">
        <v>12.6</v>
      </c>
    </row>
    <row r="2767">
      <c r="A2767" s="37" t="inlineStr">
        <is>
          <t>WL-03766</t>
        </is>
      </c>
      <c r="B2767" s="37" t="inlineStr">
        <is>
          <t>Kim</t>
        </is>
      </c>
      <c r="C2767" s="37" t="inlineStr">
        <is>
          <t>Stephen</t>
        </is>
      </c>
      <c r="D2767" s="37" t="inlineStr">
        <is>
          <t>ACTIVE_WAITLIST</t>
        </is>
      </c>
      <c r="E2767" s="37" t="n">
        <v>53.8</v>
      </c>
      <c r="F2767" s="37" t="n">
        <v>18.2</v>
      </c>
    </row>
    <row r="2768">
      <c r="A2768" s="37" t="inlineStr">
        <is>
          <t>WL-03767</t>
        </is>
      </c>
      <c r="B2768" s="37" t="inlineStr">
        <is>
          <t>David</t>
        </is>
      </c>
      <c r="C2768" s="37" t="inlineStr">
        <is>
          <t>Chad</t>
        </is>
      </c>
      <c r="D2768" s="37" t="inlineStr">
        <is>
          <t>ACTIVE_WAITLIST</t>
        </is>
      </c>
      <c r="E2768" s="37" t="n">
        <v>24.7</v>
      </c>
      <c r="F2768" s="37" t="n">
        <v>8.1</v>
      </c>
    </row>
    <row r="2769">
      <c r="A2769" s="37" t="inlineStr">
        <is>
          <t>WL-03768</t>
        </is>
      </c>
      <c r="B2769" s="37" t="inlineStr">
        <is>
          <t>Ramirez</t>
        </is>
      </c>
      <c r="C2769" s="37" t="inlineStr">
        <is>
          <t>Michael</t>
        </is>
      </c>
      <c r="D2769" s="37" t="inlineStr">
        <is>
          <t>ACTIVE_WAITLIST</t>
        </is>
      </c>
      <c r="E2769" s="37" t="n">
        <v>47.6</v>
      </c>
      <c r="F2769" s="37" t="n">
        <v>15.8</v>
      </c>
    </row>
    <row r="2770">
      <c r="A2770" s="37" t="inlineStr">
        <is>
          <t>WL-03769</t>
        </is>
      </c>
      <c r="B2770" s="37" t="inlineStr">
        <is>
          <t>Adams</t>
        </is>
      </c>
      <c r="C2770" s="37" t="inlineStr">
        <is>
          <t>Rebekah</t>
        </is>
      </c>
      <c r="D2770" s="37" t="inlineStr">
        <is>
          <t>ACTIVE_WAITLIST</t>
        </is>
      </c>
      <c r="E2770" s="37" t="n">
        <v>55.2</v>
      </c>
      <c r="F2770" s="37" t="n">
        <v>17.3</v>
      </c>
    </row>
    <row r="2771">
      <c r="A2771" s="37" t="inlineStr">
        <is>
          <t>WL-03770</t>
        </is>
      </c>
      <c r="B2771" s="37" t="inlineStr">
        <is>
          <t>Mills</t>
        </is>
      </c>
      <c r="C2771" s="37" t="inlineStr">
        <is>
          <t>Lisa</t>
        </is>
      </c>
      <c r="D2771" s="37" t="inlineStr">
        <is>
          <t>ACTIVE_WAITLIST</t>
        </is>
      </c>
      <c r="E2771" s="37" t="n">
        <v>41.3</v>
      </c>
      <c r="F2771" s="37" t="n">
        <v>11.8</v>
      </c>
    </row>
    <row r="2772">
      <c r="A2772" s="37" t="inlineStr">
        <is>
          <t>WL-03771</t>
        </is>
      </c>
      <c r="B2772" s="37" t="inlineStr">
        <is>
          <t>Cross</t>
        </is>
      </c>
      <c r="C2772" s="37" t="inlineStr">
        <is>
          <t>Alexander</t>
        </is>
      </c>
      <c r="D2772" s="37" t="inlineStr">
        <is>
          <t>ACTIVE_WAITLIST</t>
        </is>
      </c>
      <c r="E2772" s="37" t="n">
        <v>61.6</v>
      </c>
      <c r="F2772" s="37" t="n">
        <v>20.2</v>
      </c>
    </row>
    <row r="2773">
      <c r="A2773" s="37" t="inlineStr">
        <is>
          <t>WL-03772</t>
        </is>
      </c>
      <c r="B2773" s="37" t="inlineStr">
        <is>
          <t>Sanchez</t>
        </is>
      </c>
      <c r="C2773" s="37" t="inlineStr">
        <is>
          <t>Kayla</t>
        </is>
      </c>
      <c r="D2773" s="37" t="inlineStr">
        <is>
          <t>RETAINER</t>
        </is>
      </c>
      <c r="E2773" s="37" t="n">
        <v>40.1</v>
      </c>
      <c r="F2773" s="37" t="n">
        <v>13.2</v>
      </c>
    </row>
    <row r="2774">
      <c r="A2774" s="37" t="inlineStr">
        <is>
          <t>WL-03773</t>
        </is>
      </c>
      <c r="B2774" s="37" t="inlineStr">
        <is>
          <t>Giles</t>
        </is>
      </c>
      <c r="C2774" s="37" t="inlineStr">
        <is>
          <t>David</t>
        </is>
      </c>
      <c r="D2774" s="37" t="inlineStr">
        <is>
          <t>ACTIVE_WAITLIST</t>
        </is>
      </c>
      <c r="E2774" s="37" t="n">
        <v>34.3</v>
      </c>
      <c r="F2774" s="37" t="n">
        <v>11</v>
      </c>
    </row>
    <row r="2775">
      <c r="A2775" s="37" t="inlineStr">
        <is>
          <t>WL-03774</t>
        </is>
      </c>
      <c r="B2775" s="37" t="inlineStr">
        <is>
          <t>Hernandez</t>
        </is>
      </c>
      <c r="C2775" s="37" t="inlineStr">
        <is>
          <t>Eric</t>
        </is>
      </c>
      <c r="D2775" s="37" t="inlineStr">
        <is>
          <t>ACTIVE_WAITLIST</t>
        </is>
      </c>
      <c r="E2775" s="37" t="n">
        <v>18.1</v>
      </c>
      <c r="F2775" s="37" t="n">
        <v>5.7</v>
      </c>
    </row>
    <row r="2776">
      <c r="A2776" s="37" t="inlineStr">
        <is>
          <t>WL-03775</t>
        </is>
      </c>
      <c r="B2776" s="37" t="inlineStr">
        <is>
          <t>Ramos</t>
        </is>
      </c>
      <c r="C2776" s="37" t="inlineStr">
        <is>
          <t>Daniel</t>
        </is>
      </c>
      <c r="D2776" s="37" t="inlineStr">
        <is>
          <t>EXPIRED</t>
        </is>
      </c>
      <c r="E2776" s="37" t="n">
        <v>53.6</v>
      </c>
      <c r="F2776" s="37" t="n">
        <v>16.9</v>
      </c>
    </row>
    <row r="2777">
      <c r="A2777" s="37" t="inlineStr">
        <is>
          <t>WL-03776</t>
        </is>
      </c>
      <c r="B2777" s="37" t="inlineStr">
        <is>
          <t>Beard</t>
        </is>
      </c>
      <c r="C2777" s="37" t="inlineStr">
        <is>
          <t>Michael</t>
        </is>
      </c>
      <c r="D2777" s="37" t="inlineStr">
        <is>
          <t>ACTIVE_WAITLIST</t>
        </is>
      </c>
      <c r="E2777" s="37" t="n">
        <v>19.8</v>
      </c>
      <c r="F2777" s="37" t="n">
        <v>6.6</v>
      </c>
    </row>
    <row r="2778">
      <c r="A2778" s="37" t="inlineStr">
        <is>
          <t>WL-03777</t>
        </is>
      </c>
      <c r="B2778" s="37" t="inlineStr">
        <is>
          <t>Mitchell</t>
        </is>
      </c>
      <c r="C2778" s="37" t="inlineStr">
        <is>
          <t>Shannon</t>
        </is>
      </c>
      <c r="D2778" s="37" t="inlineStr">
        <is>
          <t>ACTIVE_WAITLIST</t>
        </is>
      </c>
      <c r="E2778" s="37" t="n">
        <v>44.4</v>
      </c>
      <c r="F2778" s="37" t="n">
        <v>14.6</v>
      </c>
    </row>
    <row r="2779">
      <c r="A2779" s="37" t="inlineStr">
        <is>
          <t>WL-03778</t>
        </is>
      </c>
      <c r="B2779" s="37" t="inlineStr">
        <is>
          <t>Mays</t>
        </is>
      </c>
      <c r="C2779" s="37" t="inlineStr">
        <is>
          <t>Lauren</t>
        </is>
      </c>
      <c r="D2779" s="37" t="inlineStr">
        <is>
          <t>EXPIRED</t>
        </is>
      </c>
      <c r="E2779" s="37" t="n">
        <v>59.4</v>
      </c>
      <c r="F2779" s="37" t="n">
        <v>17.7</v>
      </c>
    </row>
    <row r="2780">
      <c r="A2780" s="37" t="inlineStr">
        <is>
          <t>WL-03779</t>
        </is>
      </c>
      <c r="B2780" s="37" t="inlineStr">
        <is>
          <t>Grant</t>
        </is>
      </c>
      <c r="C2780" s="37" t="inlineStr">
        <is>
          <t>James</t>
        </is>
      </c>
      <c r="D2780" s="37" t="inlineStr">
        <is>
          <t>ACTIVE_WAITLIST</t>
        </is>
      </c>
      <c r="E2780" s="37" t="n">
        <v>36.4</v>
      </c>
      <c r="F2780" s="37" t="n">
        <v>12.7</v>
      </c>
    </row>
    <row r="2781">
      <c r="A2781" s="37" t="inlineStr">
        <is>
          <t>WL-03780</t>
        </is>
      </c>
      <c r="B2781" s="37" t="inlineStr">
        <is>
          <t>Maldonado</t>
        </is>
      </c>
      <c r="C2781" s="37" t="inlineStr">
        <is>
          <t>Carmen</t>
        </is>
      </c>
      <c r="D2781" s="37" t="inlineStr">
        <is>
          <t>ACTIVE_WAITLIST</t>
        </is>
      </c>
      <c r="E2781" s="37" t="n">
        <v>53.3</v>
      </c>
      <c r="F2781" s="37" t="n">
        <v>18.9</v>
      </c>
    </row>
    <row r="2782">
      <c r="A2782" s="37" t="inlineStr">
        <is>
          <t>WL-03781</t>
        </is>
      </c>
      <c r="B2782" s="37" t="inlineStr">
        <is>
          <t>Reid</t>
        </is>
      </c>
      <c r="C2782" s="37" t="inlineStr">
        <is>
          <t>Carrie</t>
        </is>
      </c>
      <c r="D2782" s="37" t="inlineStr">
        <is>
          <t>ACTIVE_WAITLIST</t>
        </is>
      </c>
      <c r="E2782" s="37" t="n">
        <v>20.3</v>
      </c>
      <c r="F2782" s="37" t="n">
        <v>6.6</v>
      </c>
    </row>
    <row r="2783">
      <c r="A2783" s="37" t="inlineStr">
        <is>
          <t>WL-03782</t>
        </is>
      </c>
      <c r="B2783" s="37" t="inlineStr">
        <is>
          <t>Todd</t>
        </is>
      </c>
      <c r="C2783" s="37" t="inlineStr">
        <is>
          <t>Pamela</t>
        </is>
      </c>
      <c r="D2783" s="37" t="inlineStr">
        <is>
          <t>ACTIVE_WAITLIST</t>
        </is>
      </c>
      <c r="E2783" s="37" t="n">
        <v>33.5</v>
      </c>
      <c r="F2783" s="37" t="n">
        <v>10</v>
      </c>
    </row>
    <row r="2784">
      <c r="A2784" s="37" t="inlineStr">
        <is>
          <t>WL-03783</t>
        </is>
      </c>
      <c r="B2784" s="37" t="inlineStr">
        <is>
          <t>Mayer</t>
        </is>
      </c>
      <c r="C2784" s="37" t="inlineStr">
        <is>
          <t>Tammy</t>
        </is>
      </c>
      <c r="D2784" s="37" t="inlineStr">
        <is>
          <t>ACTIVE_WAITLIST</t>
        </is>
      </c>
      <c r="E2784" s="37" t="n">
        <v>19.1</v>
      </c>
      <c r="F2784" s="37" t="n">
        <v>6.3</v>
      </c>
    </row>
    <row r="2785">
      <c r="A2785" s="37" t="inlineStr">
        <is>
          <t>WL-03784</t>
        </is>
      </c>
      <c r="B2785" s="37" t="inlineStr">
        <is>
          <t>Jackson</t>
        </is>
      </c>
      <c r="C2785" s="37" t="inlineStr">
        <is>
          <t>Raymond</t>
        </is>
      </c>
      <c r="D2785" s="37" t="inlineStr">
        <is>
          <t>ACTIVE_WAITLIST</t>
        </is>
      </c>
      <c r="E2785" s="37" t="n">
        <v>55.5</v>
      </c>
      <c r="F2785" s="37" t="n">
        <v>16.1</v>
      </c>
    </row>
    <row r="2786">
      <c r="A2786" s="37" t="inlineStr">
        <is>
          <t>WL-03785</t>
        </is>
      </c>
      <c r="B2786" s="37" t="inlineStr">
        <is>
          <t>Burton</t>
        </is>
      </c>
      <c r="C2786" s="37" t="inlineStr">
        <is>
          <t>Bradley</t>
        </is>
      </c>
      <c r="D2786" s="37" t="inlineStr">
        <is>
          <t>ACTIVE_WAITLIST</t>
        </is>
      </c>
      <c r="E2786" s="37" t="n">
        <v>39.3</v>
      </c>
      <c r="F2786" s="37" t="n">
        <v>11.5</v>
      </c>
    </row>
    <row r="2787">
      <c r="A2787" s="37" t="inlineStr">
        <is>
          <t>WL-03786</t>
        </is>
      </c>
      <c r="B2787" s="37" t="inlineStr">
        <is>
          <t>Cordova</t>
        </is>
      </c>
      <c r="C2787" s="37" t="inlineStr">
        <is>
          <t>Richard</t>
        </is>
      </c>
      <c r="D2787" s="37" t="inlineStr">
        <is>
          <t>ACTIVE_WAITLIST</t>
        </is>
      </c>
      <c r="E2787" s="37" t="n">
        <v>22.2</v>
      </c>
      <c r="F2787" s="37" t="n">
        <v>7.6</v>
      </c>
    </row>
    <row r="2788">
      <c r="A2788" s="37" t="inlineStr">
        <is>
          <t>WL-03787</t>
        </is>
      </c>
      <c r="B2788" s="37" t="inlineStr">
        <is>
          <t>Mcneil</t>
        </is>
      </c>
      <c r="C2788" s="37" t="inlineStr">
        <is>
          <t>John</t>
        </is>
      </c>
      <c r="D2788" s="37" t="inlineStr">
        <is>
          <t>ACTIVE_WAITLIST</t>
        </is>
      </c>
      <c r="E2788" s="37" t="n">
        <v>38.1</v>
      </c>
      <c r="F2788" s="37" t="n">
        <v>12.1</v>
      </c>
    </row>
    <row r="2789">
      <c r="A2789" s="37" t="inlineStr">
        <is>
          <t>WL-03788</t>
        </is>
      </c>
      <c r="B2789" s="37" t="inlineStr">
        <is>
          <t>Kelley</t>
        </is>
      </c>
      <c r="C2789" s="37" t="inlineStr">
        <is>
          <t>Nathan</t>
        </is>
      </c>
      <c r="D2789" s="37" t="inlineStr">
        <is>
          <t>ACTIVE_WAITLIST</t>
        </is>
      </c>
      <c r="E2789" s="37" t="n">
        <v>27.2</v>
      </c>
      <c r="F2789" s="37" t="n">
        <v>8.5</v>
      </c>
    </row>
    <row r="2790">
      <c r="A2790" s="37" t="inlineStr">
        <is>
          <t>WL-03789</t>
        </is>
      </c>
      <c r="B2790" s="37" t="inlineStr">
        <is>
          <t>Dorsey</t>
        </is>
      </c>
      <c r="C2790" s="37" t="inlineStr">
        <is>
          <t>Christopher</t>
        </is>
      </c>
      <c r="D2790" s="37" t="inlineStr">
        <is>
          <t>ACTIVE_WAITLIST</t>
        </is>
      </c>
      <c r="E2790" s="37" t="n">
        <v>41.8</v>
      </c>
      <c r="F2790" s="37" t="n">
        <v>14.9</v>
      </c>
    </row>
    <row r="2791">
      <c r="A2791" s="37" t="inlineStr">
        <is>
          <t>WL-03790</t>
        </is>
      </c>
      <c r="B2791" s="37" t="inlineStr">
        <is>
          <t>Walker</t>
        </is>
      </c>
      <c r="C2791" s="37" t="inlineStr">
        <is>
          <t>Bradley</t>
        </is>
      </c>
      <c r="D2791" s="37" t="inlineStr">
        <is>
          <t>ACTIVE_WAITLIST</t>
        </is>
      </c>
      <c r="E2791" s="37" t="n">
        <v>51.9</v>
      </c>
      <c r="F2791" s="37" t="n">
        <v>16.6</v>
      </c>
    </row>
    <row r="2792">
      <c r="A2792" s="37" t="inlineStr">
        <is>
          <t>WL-03791</t>
        </is>
      </c>
      <c r="B2792" s="37" t="inlineStr">
        <is>
          <t>Powell</t>
        </is>
      </c>
      <c r="C2792" s="37" t="inlineStr">
        <is>
          <t>Tammy</t>
        </is>
      </c>
      <c r="D2792" s="37" t="inlineStr">
        <is>
          <t>ACTIVE_WAITLIST</t>
        </is>
      </c>
      <c r="E2792" s="37" t="n">
        <v>24.3</v>
      </c>
      <c r="F2792" s="37" t="n">
        <v>7</v>
      </c>
    </row>
    <row r="2793">
      <c r="A2793" s="37" t="inlineStr">
        <is>
          <t>WL-03792</t>
        </is>
      </c>
      <c r="B2793" s="37" t="inlineStr">
        <is>
          <t>Morris</t>
        </is>
      </c>
      <c r="C2793" s="37" t="inlineStr">
        <is>
          <t>Rodney</t>
        </is>
      </c>
      <c r="D2793" s="37" t="inlineStr">
        <is>
          <t>ACTIVE_WAITLIST</t>
        </is>
      </c>
      <c r="E2793" s="37" t="n">
        <v>54.9</v>
      </c>
      <c r="F2793" s="37" t="n">
        <v>16</v>
      </c>
    </row>
    <row r="2794">
      <c r="A2794" s="37" t="inlineStr">
        <is>
          <t>WL-03793</t>
        </is>
      </c>
      <c r="B2794" s="37" t="inlineStr">
        <is>
          <t>Sharp</t>
        </is>
      </c>
      <c r="C2794" s="37" t="inlineStr">
        <is>
          <t>Stephanie</t>
        </is>
      </c>
      <c r="D2794" s="37" t="inlineStr">
        <is>
          <t>RETAINER</t>
        </is>
      </c>
      <c r="E2794" s="37" t="n">
        <v>22.4</v>
      </c>
      <c r="F2794" s="37" t="n">
        <v>7.7</v>
      </c>
    </row>
    <row r="2795">
      <c r="A2795" s="37" t="inlineStr">
        <is>
          <t>WL-03794</t>
        </is>
      </c>
      <c r="B2795" s="37" t="inlineStr">
        <is>
          <t>Curry</t>
        </is>
      </c>
      <c r="C2795" s="37" t="inlineStr">
        <is>
          <t>Rachel</t>
        </is>
      </c>
      <c r="D2795" s="37" t="inlineStr">
        <is>
          <t>ACTIVE_WAITLIST</t>
        </is>
      </c>
      <c r="E2795" s="37" t="n">
        <v>27.4</v>
      </c>
      <c r="F2795" s="37" t="n">
        <v>8.6</v>
      </c>
    </row>
    <row r="2796">
      <c r="A2796" s="37" t="inlineStr">
        <is>
          <t>WL-03795</t>
        </is>
      </c>
      <c r="B2796" s="37" t="inlineStr">
        <is>
          <t>Norman</t>
        </is>
      </c>
      <c r="C2796" s="37" t="inlineStr">
        <is>
          <t>Brenda</t>
        </is>
      </c>
      <c r="D2796" s="37" t="inlineStr">
        <is>
          <t>ACTIVE_WAITLIST</t>
        </is>
      </c>
      <c r="E2796" s="37" t="n">
        <v>27</v>
      </c>
      <c r="F2796" s="37" t="n">
        <v>9</v>
      </c>
    </row>
    <row r="2797">
      <c r="A2797" s="37" t="inlineStr">
        <is>
          <t>WL-03796</t>
        </is>
      </c>
      <c r="B2797" s="37" t="inlineStr">
        <is>
          <t>Johnson</t>
        </is>
      </c>
      <c r="C2797" s="37" t="inlineStr">
        <is>
          <t>Christine</t>
        </is>
      </c>
      <c r="D2797" s="37" t="inlineStr">
        <is>
          <t>ACTIVE_WAITLIST</t>
        </is>
      </c>
      <c r="E2797" s="37" t="n">
        <v>53.6</v>
      </c>
      <c r="F2797" s="37" t="n">
        <v>16.9</v>
      </c>
    </row>
    <row r="2798">
      <c r="A2798" s="37" t="inlineStr">
        <is>
          <t>WL-03797</t>
        </is>
      </c>
      <c r="B2798" s="37" t="inlineStr">
        <is>
          <t>Perez</t>
        </is>
      </c>
      <c r="C2798" s="37" t="inlineStr">
        <is>
          <t>Marc</t>
        </is>
      </c>
      <c r="D2798" s="37" t="inlineStr">
        <is>
          <t>RETAINER</t>
        </is>
      </c>
      <c r="E2798" s="37" t="n">
        <v>60.1</v>
      </c>
      <c r="F2798" s="37" t="n">
        <v>21.5</v>
      </c>
    </row>
    <row r="2799">
      <c r="A2799" s="37" t="inlineStr">
        <is>
          <t>WL-03798</t>
        </is>
      </c>
      <c r="B2799" s="37" t="inlineStr">
        <is>
          <t>Bruce</t>
        </is>
      </c>
      <c r="C2799" s="37" t="inlineStr">
        <is>
          <t>Stacy</t>
        </is>
      </c>
      <c r="D2799" s="37" t="inlineStr">
        <is>
          <t>ACTIVE_WAITLIST</t>
        </is>
      </c>
      <c r="E2799" s="37" t="n">
        <v>46.1</v>
      </c>
      <c r="F2799" s="37" t="n">
        <v>15</v>
      </c>
    </row>
    <row r="2800">
      <c r="A2800" s="37" t="inlineStr">
        <is>
          <t>WL-03799</t>
        </is>
      </c>
      <c r="B2800" s="37" t="inlineStr">
        <is>
          <t>Duncan</t>
        </is>
      </c>
      <c r="C2800" s="37" t="inlineStr">
        <is>
          <t>Ashley</t>
        </is>
      </c>
      <c r="D2800" s="37" t="inlineStr">
        <is>
          <t>ACTIVE_WAITLIST</t>
        </is>
      </c>
      <c r="E2800" s="37" t="n">
        <v>40.9</v>
      </c>
      <c r="F2800" s="37" t="n">
        <v>13.3</v>
      </c>
    </row>
    <row r="2801">
      <c r="A2801" s="37" t="inlineStr">
        <is>
          <t>WL-03800</t>
        </is>
      </c>
      <c r="B2801" s="37" t="inlineStr">
        <is>
          <t>Weaver</t>
        </is>
      </c>
      <c r="C2801" s="37" t="inlineStr">
        <is>
          <t>Brian</t>
        </is>
      </c>
      <c r="D2801" s="37" t="inlineStr">
        <is>
          <t>ACTIVE_WAITLIST</t>
        </is>
      </c>
      <c r="E2801" s="37" t="n">
        <v>48.3</v>
      </c>
      <c r="F2801" s="37" t="n">
        <v>14.4</v>
      </c>
    </row>
    <row r="2802">
      <c r="A2802" s="37" t="inlineStr">
        <is>
          <t>WL-03801</t>
        </is>
      </c>
      <c r="B2802" s="37" t="inlineStr">
        <is>
          <t>Robertson</t>
        </is>
      </c>
      <c r="C2802" s="37" t="inlineStr">
        <is>
          <t>Brian</t>
        </is>
      </c>
      <c r="D2802" s="37" t="inlineStr">
        <is>
          <t>ACTIVE_WAITLIST</t>
        </is>
      </c>
      <c r="E2802" s="37" t="n">
        <v>20.9</v>
      </c>
      <c r="F2802" s="37" t="n">
        <v>6.6</v>
      </c>
    </row>
    <row r="2803">
      <c r="A2803" s="37" t="inlineStr">
        <is>
          <t>WL-03802</t>
        </is>
      </c>
      <c r="B2803" s="37" t="inlineStr">
        <is>
          <t>Wilkerson</t>
        </is>
      </c>
      <c r="C2803" s="37" t="inlineStr">
        <is>
          <t>Jodi</t>
        </is>
      </c>
      <c r="D2803" s="37" t="inlineStr">
        <is>
          <t>SUSPENDED</t>
        </is>
      </c>
      <c r="E2803" s="37" t="n">
        <v>52.6</v>
      </c>
      <c r="F2803" s="37" t="n">
        <v>15.5</v>
      </c>
    </row>
    <row r="2804">
      <c r="A2804" s="37" t="inlineStr">
        <is>
          <t>WL-03803</t>
        </is>
      </c>
      <c r="B2804" s="37" t="inlineStr">
        <is>
          <t>Mathews</t>
        </is>
      </c>
      <c r="C2804" s="37" t="inlineStr">
        <is>
          <t>Elizabeth</t>
        </is>
      </c>
      <c r="D2804" s="37" t="inlineStr">
        <is>
          <t>ACTIVE_WAITLIST</t>
        </is>
      </c>
      <c r="E2804" s="37" t="n">
        <v>43.3</v>
      </c>
      <c r="F2804" s="37" t="n">
        <v>15.3</v>
      </c>
    </row>
    <row r="2805">
      <c r="A2805" s="37" t="inlineStr">
        <is>
          <t>WL-03804</t>
        </is>
      </c>
      <c r="B2805" s="37" t="inlineStr">
        <is>
          <t>Terry</t>
        </is>
      </c>
      <c r="C2805" s="37" t="inlineStr">
        <is>
          <t>Jenna</t>
        </is>
      </c>
      <c r="D2805" s="37" t="inlineStr">
        <is>
          <t>ACTIVE_WAITLIST</t>
        </is>
      </c>
      <c r="E2805" s="37" t="n">
        <v>20.4</v>
      </c>
      <c r="F2805" s="37" t="n">
        <v>6.3</v>
      </c>
    </row>
    <row r="2806">
      <c r="A2806" s="37" t="inlineStr">
        <is>
          <t>WL-03805</t>
        </is>
      </c>
      <c r="B2806" s="37" t="inlineStr">
        <is>
          <t>Rich</t>
        </is>
      </c>
      <c r="C2806" s="37" t="inlineStr">
        <is>
          <t>Olivia</t>
        </is>
      </c>
      <c r="D2806" s="37" t="inlineStr">
        <is>
          <t>ACTIVE_WAITLIST</t>
        </is>
      </c>
      <c r="E2806" s="37" t="n">
        <v>56.5</v>
      </c>
      <c r="F2806" s="37" t="n">
        <v>19.8</v>
      </c>
    </row>
    <row r="2807">
      <c r="A2807" s="37" t="inlineStr">
        <is>
          <t>WL-03806</t>
        </is>
      </c>
      <c r="B2807" s="37" t="inlineStr">
        <is>
          <t>Espinoza</t>
        </is>
      </c>
      <c r="C2807" s="37" t="inlineStr">
        <is>
          <t>Lynn</t>
        </is>
      </c>
      <c r="D2807" s="37" t="inlineStr">
        <is>
          <t>ACTIVE_WAITLIST</t>
        </is>
      </c>
      <c r="E2807" s="37" t="n">
        <v>25.5</v>
      </c>
      <c r="F2807" s="37" t="n">
        <v>7.9</v>
      </c>
    </row>
    <row r="2808">
      <c r="A2808" s="37" t="inlineStr">
        <is>
          <t>WL-03807</t>
        </is>
      </c>
      <c r="B2808" s="37" t="inlineStr">
        <is>
          <t>Frazier</t>
        </is>
      </c>
      <c r="C2808" s="37" t="inlineStr">
        <is>
          <t>Matthew</t>
        </is>
      </c>
      <c r="D2808" s="37" t="inlineStr">
        <is>
          <t>ACTIVE_WAITLIST</t>
        </is>
      </c>
      <c r="E2808" s="37" t="n">
        <v>26.6</v>
      </c>
      <c r="F2808" s="37" t="n">
        <v>9.1</v>
      </c>
    </row>
    <row r="2809">
      <c r="A2809" s="37" t="inlineStr">
        <is>
          <t>WL-03808</t>
        </is>
      </c>
      <c r="B2809" s="37" t="inlineStr">
        <is>
          <t>Peterson</t>
        </is>
      </c>
      <c r="C2809" s="37" t="inlineStr">
        <is>
          <t>Julie</t>
        </is>
      </c>
      <c r="D2809" s="37" t="inlineStr">
        <is>
          <t>ACTIVE_WAITLIST</t>
        </is>
      </c>
      <c r="E2809" s="37" t="n">
        <v>33.8</v>
      </c>
      <c r="F2809" s="37" t="n">
        <v>11.2</v>
      </c>
    </row>
    <row r="2810">
      <c r="A2810" s="37" t="inlineStr">
        <is>
          <t>WL-03809</t>
        </is>
      </c>
      <c r="B2810" s="37" t="inlineStr">
        <is>
          <t>Mcguire</t>
        </is>
      </c>
      <c r="C2810" s="37" t="inlineStr">
        <is>
          <t>Richard</t>
        </is>
      </c>
      <c r="D2810" s="37" t="inlineStr">
        <is>
          <t>ACTIVE_WAITLIST</t>
        </is>
      </c>
      <c r="E2810" s="37" t="n">
        <v>30.1</v>
      </c>
      <c r="F2810" s="37" t="n">
        <v>10.5</v>
      </c>
    </row>
    <row r="2811">
      <c r="A2811" s="37" t="inlineStr">
        <is>
          <t>WL-03810</t>
        </is>
      </c>
      <c r="B2811" s="37" t="inlineStr">
        <is>
          <t>Brown</t>
        </is>
      </c>
      <c r="C2811" s="37" t="inlineStr">
        <is>
          <t>Danielle</t>
        </is>
      </c>
      <c r="D2811" s="37" t="inlineStr">
        <is>
          <t>EXPIRED</t>
        </is>
      </c>
      <c r="E2811" s="37" t="n">
        <v>60</v>
      </c>
      <c r="F2811" s="37" t="n">
        <v>19.7</v>
      </c>
    </row>
    <row r="2812">
      <c r="A2812" s="37" t="inlineStr">
        <is>
          <t>WL-03811</t>
        </is>
      </c>
      <c r="B2812" s="37" t="inlineStr">
        <is>
          <t>Mathews</t>
        </is>
      </c>
      <c r="C2812" s="37" t="inlineStr">
        <is>
          <t>Shannon</t>
        </is>
      </c>
      <c r="D2812" s="37" t="inlineStr">
        <is>
          <t>ACTIVE_WAITLIST</t>
        </is>
      </c>
      <c r="E2812" s="37" t="n">
        <v>49.7</v>
      </c>
      <c r="F2812" s="37" t="n">
        <v>14.7</v>
      </c>
    </row>
    <row r="2813">
      <c r="A2813" s="37" t="inlineStr">
        <is>
          <t>WL-03812</t>
        </is>
      </c>
      <c r="B2813" s="37" t="inlineStr">
        <is>
          <t>Martinez</t>
        </is>
      </c>
      <c r="C2813" s="37" t="inlineStr">
        <is>
          <t>Ryan</t>
        </is>
      </c>
      <c r="D2813" s="37" t="inlineStr">
        <is>
          <t>ACTIVE_WAITLIST</t>
        </is>
      </c>
      <c r="E2813" s="37" t="n">
        <v>57.7</v>
      </c>
      <c r="F2813" s="37" t="n">
        <v>18</v>
      </c>
    </row>
    <row r="2814">
      <c r="A2814" s="37" t="inlineStr">
        <is>
          <t>WL-03813</t>
        </is>
      </c>
      <c r="B2814" s="37" t="inlineStr">
        <is>
          <t>Stewart</t>
        </is>
      </c>
      <c r="C2814" s="37" t="inlineStr">
        <is>
          <t>Gregory</t>
        </is>
      </c>
      <c r="D2814" s="37" t="inlineStr">
        <is>
          <t>ACTIVE_WAITLIST</t>
        </is>
      </c>
      <c r="E2814" s="37" t="n">
        <v>22.6</v>
      </c>
      <c r="F2814" s="37" t="n">
        <v>6.7</v>
      </c>
    </row>
    <row r="2815">
      <c r="A2815" s="37" t="inlineStr">
        <is>
          <t>WL-03814</t>
        </is>
      </c>
      <c r="B2815" s="37" t="inlineStr">
        <is>
          <t>Hinton</t>
        </is>
      </c>
      <c r="C2815" s="37" t="inlineStr">
        <is>
          <t>Ricky</t>
        </is>
      </c>
      <c r="D2815" s="37" t="inlineStr">
        <is>
          <t>ACTIVE_WAITLIST</t>
        </is>
      </c>
      <c r="E2815" s="37" t="n">
        <v>43.9</v>
      </c>
      <c r="F2815" s="37" t="n">
        <v>13.9</v>
      </c>
    </row>
    <row r="2816">
      <c r="A2816" s="37" t="inlineStr">
        <is>
          <t>WL-03815</t>
        </is>
      </c>
      <c r="B2816" s="37" t="inlineStr">
        <is>
          <t>Jones</t>
        </is>
      </c>
      <c r="C2816" s="37" t="inlineStr">
        <is>
          <t>Jacqueline</t>
        </is>
      </c>
      <c r="D2816" s="37" t="inlineStr">
        <is>
          <t>ACTIVE_WAITLIST</t>
        </is>
      </c>
      <c r="E2816" s="37" t="n">
        <v>19.2</v>
      </c>
      <c r="F2816" s="37" t="n">
        <v>6.7</v>
      </c>
    </row>
    <row r="2817">
      <c r="A2817" s="37" t="inlineStr">
        <is>
          <t>WL-03816</t>
        </is>
      </c>
      <c r="B2817" s="37" t="inlineStr">
        <is>
          <t>Lopez</t>
        </is>
      </c>
      <c r="C2817" s="37" t="inlineStr">
        <is>
          <t>Brittany</t>
        </is>
      </c>
      <c r="D2817" s="37" t="inlineStr">
        <is>
          <t>ACTIVE_WAITLIST</t>
        </is>
      </c>
      <c r="E2817" s="37" t="n">
        <v>25.7</v>
      </c>
      <c r="F2817" s="37" t="n">
        <v>8.1</v>
      </c>
    </row>
    <row r="2818">
      <c r="A2818" s="37" t="inlineStr">
        <is>
          <t>WL-03817</t>
        </is>
      </c>
      <c r="B2818" s="37" t="inlineStr">
        <is>
          <t>Short</t>
        </is>
      </c>
      <c r="C2818" s="37" t="inlineStr">
        <is>
          <t>Leslie</t>
        </is>
      </c>
      <c r="D2818" s="37" t="inlineStr">
        <is>
          <t>EXPIRED</t>
        </is>
      </c>
      <c r="E2818" s="37" t="n">
        <v>38.5</v>
      </c>
      <c r="F2818" s="37" t="n">
        <v>11.3</v>
      </c>
    </row>
    <row r="2819">
      <c r="A2819" s="37" t="inlineStr">
        <is>
          <t>WL-03818</t>
        </is>
      </c>
      <c r="B2819" s="37" t="inlineStr">
        <is>
          <t>Brooks</t>
        </is>
      </c>
      <c r="C2819" s="37" t="inlineStr">
        <is>
          <t>Abigail</t>
        </is>
      </c>
      <c r="D2819" s="37" t="inlineStr">
        <is>
          <t>ACTIVE_WAITLIST</t>
        </is>
      </c>
      <c r="E2819" s="37" t="n">
        <v>37.5</v>
      </c>
      <c r="F2819" s="37" t="n">
        <v>12.3</v>
      </c>
    </row>
    <row r="2820">
      <c r="A2820" s="37" t="inlineStr">
        <is>
          <t>WL-03819</t>
        </is>
      </c>
      <c r="B2820" s="37" t="inlineStr">
        <is>
          <t>Wu</t>
        </is>
      </c>
      <c r="C2820" s="37" t="inlineStr">
        <is>
          <t>Anna</t>
        </is>
      </c>
      <c r="D2820" s="37" t="inlineStr">
        <is>
          <t>ACTIVE_WAITLIST</t>
        </is>
      </c>
      <c r="E2820" s="37" t="n">
        <v>34.2</v>
      </c>
      <c r="F2820" s="37" t="n">
        <v>10.9</v>
      </c>
    </row>
    <row r="2821">
      <c r="A2821" s="37" t="inlineStr">
        <is>
          <t>WL-03820</t>
        </is>
      </c>
      <c r="B2821" s="37" t="inlineStr">
        <is>
          <t>Robinson</t>
        </is>
      </c>
      <c r="C2821" s="37" t="inlineStr">
        <is>
          <t>Thomas</t>
        </is>
      </c>
      <c r="D2821" s="37" t="inlineStr">
        <is>
          <t>ACTIVE_WAITLIST</t>
        </is>
      </c>
      <c r="E2821" s="37" t="n">
        <v>47.1</v>
      </c>
      <c r="F2821" s="37" t="n">
        <v>16.8</v>
      </c>
    </row>
    <row r="2822">
      <c r="A2822" s="37" t="inlineStr">
        <is>
          <t>WL-03821</t>
        </is>
      </c>
      <c r="B2822" s="37" t="inlineStr">
        <is>
          <t>Dalton</t>
        </is>
      </c>
      <c r="C2822" s="37" t="inlineStr">
        <is>
          <t>Tammy</t>
        </is>
      </c>
      <c r="D2822" s="37" t="inlineStr">
        <is>
          <t>ACTIVE_WAITLIST</t>
        </is>
      </c>
      <c r="E2822" s="37" t="n">
        <v>59.5</v>
      </c>
      <c r="F2822" s="37" t="n">
        <v>18.3</v>
      </c>
    </row>
    <row r="2823">
      <c r="A2823" s="37" t="inlineStr">
        <is>
          <t>WL-03822</t>
        </is>
      </c>
      <c r="B2823" s="37" t="inlineStr">
        <is>
          <t>Parker</t>
        </is>
      </c>
      <c r="C2823" s="37" t="inlineStr">
        <is>
          <t>Andrew</t>
        </is>
      </c>
      <c r="D2823" s="37" t="inlineStr">
        <is>
          <t>EXPIRED</t>
        </is>
      </c>
      <c r="E2823" s="37" t="n">
        <v>55.3</v>
      </c>
      <c r="F2823" s="37" t="n">
        <v>17.9</v>
      </c>
    </row>
    <row r="2824">
      <c r="A2824" s="37" t="inlineStr">
        <is>
          <t>WL-03823</t>
        </is>
      </c>
      <c r="B2824" s="37" t="inlineStr">
        <is>
          <t>Anderson</t>
        </is>
      </c>
      <c r="C2824" s="37" t="inlineStr">
        <is>
          <t>Judy</t>
        </is>
      </c>
      <c r="D2824" s="37" t="inlineStr">
        <is>
          <t>ACTIVE_WAITLIST</t>
        </is>
      </c>
      <c r="E2824" s="37" t="n">
        <v>57.5</v>
      </c>
      <c r="F2824" s="37" t="n">
        <v>19.8</v>
      </c>
    </row>
    <row r="2825">
      <c r="A2825" s="37" t="inlineStr">
        <is>
          <t>WL-03824</t>
        </is>
      </c>
      <c r="B2825" s="37" t="inlineStr">
        <is>
          <t>Morgan</t>
        </is>
      </c>
      <c r="C2825" s="37" t="inlineStr">
        <is>
          <t>Anthony</t>
        </is>
      </c>
      <c r="D2825" s="37" t="inlineStr">
        <is>
          <t>RETAINER</t>
        </is>
      </c>
      <c r="E2825" s="37" t="n">
        <v>37.6</v>
      </c>
      <c r="F2825" s="37" t="n">
        <v>11.7</v>
      </c>
    </row>
    <row r="2826">
      <c r="A2826" s="37" t="inlineStr">
        <is>
          <t>WL-03825</t>
        </is>
      </c>
      <c r="B2826" s="37" t="inlineStr">
        <is>
          <t>Salinas</t>
        </is>
      </c>
      <c r="C2826" s="37" t="inlineStr">
        <is>
          <t>Kelly</t>
        </is>
      </c>
      <c r="D2826" s="37" t="inlineStr">
        <is>
          <t>ACTIVE_WAITLIST</t>
        </is>
      </c>
      <c r="E2826" s="37" t="n">
        <v>36.9</v>
      </c>
      <c r="F2826" s="37" t="n">
        <v>12.7</v>
      </c>
    </row>
    <row r="2827">
      <c r="A2827" s="37" t="inlineStr">
        <is>
          <t>WL-03826</t>
        </is>
      </c>
      <c r="B2827" s="37" t="inlineStr">
        <is>
          <t>Evans</t>
        </is>
      </c>
      <c r="C2827" s="37" t="inlineStr">
        <is>
          <t>Jennifer</t>
        </is>
      </c>
      <c r="D2827" s="37" t="inlineStr">
        <is>
          <t>ACTIVE_WAITLIST</t>
        </is>
      </c>
      <c r="E2827" s="37" t="n">
        <v>18</v>
      </c>
      <c r="F2827" s="37" t="n">
        <v>5.7</v>
      </c>
    </row>
    <row r="2828">
      <c r="A2828" s="37" t="inlineStr">
        <is>
          <t>WL-03827</t>
        </is>
      </c>
      <c r="B2828" s="37" t="inlineStr">
        <is>
          <t>Fowler</t>
        </is>
      </c>
      <c r="C2828" s="37" t="inlineStr">
        <is>
          <t>Monica</t>
        </is>
      </c>
      <c r="D2828" s="37" t="inlineStr">
        <is>
          <t>SUSPENDED</t>
        </is>
      </c>
      <c r="E2828" s="37" t="n">
        <v>55.3</v>
      </c>
      <c r="F2828" s="37" t="n">
        <v>16.2</v>
      </c>
    </row>
    <row r="2829">
      <c r="A2829" s="37" t="inlineStr">
        <is>
          <t>WL-03828</t>
        </is>
      </c>
      <c r="B2829" s="37" t="inlineStr">
        <is>
          <t>Pittman</t>
        </is>
      </c>
      <c r="C2829" s="37" t="inlineStr">
        <is>
          <t>Kristen</t>
        </is>
      </c>
      <c r="D2829" s="37" t="inlineStr">
        <is>
          <t>ACTIVE_WAITLIST</t>
        </is>
      </c>
      <c r="E2829" s="37" t="n">
        <v>38.3</v>
      </c>
      <c r="F2829" s="37" t="n">
        <v>12.2</v>
      </c>
    </row>
    <row r="2830">
      <c r="A2830" s="37" t="inlineStr">
        <is>
          <t>WL-03829</t>
        </is>
      </c>
      <c r="B2830" s="37" t="inlineStr">
        <is>
          <t>Christian</t>
        </is>
      </c>
      <c r="C2830" s="37" t="inlineStr">
        <is>
          <t>Ana</t>
        </is>
      </c>
      <c r="D2830" s="37" t="inlineStr">
        <is>
          <t>ACTIVE_WAITLIST</t>
        </is>
      </c>
      <c r="E2830" s="37" t="n">
        <v>30</v>
      </c>
      <c r="F2830" s="37" t="n">
        <v>9</v>
      </c>
    </row>
    <row r="2831">
      <c r="A2831" s="37" t="inlineStr">
        <is>
          <t>WL-03830</t>
        </is>
      </c>
      <c r="B2831" s="37" t="inlineStr">
        <is>
          <t>Smith</t>
        </is>
      </c>
      <c r="C2831" s="37" t="inlineStr">
        <is>
          <t>Erica</t>
        </is>
      </c>
      <c r="D2831" s="37" t="inlineStr">
        <is>
          <t>ACTIVE_WAITLIST</t>
        </is>
      </c>
      <c r="E2831" s="37" t="n">
        <v>31.6</v>
      </c>
      <c r="F2831" s="37" t="n">
        <v>10.6</v>
      </c>
    </row>
    <row r="2832">
      <c r="A2832" s="37" t="inlineStr">
        <is>
          <t>WL-03831</t>
        </is>
      </c>
      <c r="B2832" s="37" t="inlineStr">
        <is>
          <t>Burns</t>
        </is>
      </c>
      <c r="C2832" s="37" t="inlineStr">
        <is>
          <t>Michael</t>
        </is>
      </c>
      <c r="D2832" s="37" t="inlineStr">
        <is>
          <t>ACTIVE_WAITLIST</t>
        </is>
      </c>
      <c r="E2832" s="37" t="n">
        <v>21</v>
      </c>
      <c r="F2832" s="37" t="n">
        <v>7</v>
      </c>
    </row>
    <row r="2833">
      <c r="A2833" s="37" t="inlineStr">
        <is>
          <t>WL-03832</t>
        </is>
      </c>
      <c r="B2833" s="37" t="inlineStr">
        <is>
          <t>Smith</t>
        </is>
      </c>
      <c r="C2833" s="37" t="inlineStr">
        <is>
          <t>Amanda</t>
        </is>
      </c>
      <c r="D2833" s="37" t="inlineStr">
        <is>
          <t>ACTIVE_WAITLIST</t>
        </is>
      </c>
      <c r="E2833" s="37" t="n">
        <v>30.9</v>
      </c>
      <c r="F2833" s="37" t="n">
        <v>9.6</v>
      </c>
    </row>
    <row r="2834">
      <c r="A2834" s="37" t="inlineStr">
        <is>
          <t>WL-03833</t>
        </is>
      </c>
      <c r="B2834" s="37" t="inlineStr">
        <is>
          <t>Miller</t>
        </is>
      </c>
      <c r="C2834" s="37" t="inlineStr">
        <is>
          <t>Jenny</t>
        </is>
      </c>
      <c r="D2834" s="37" t="inlineStr">
        <is>
          <t>ACTIVE_WAITLIST</t>
        </is>
      </c>
      <c r="E2834" s="37" t="n">
        <v>57.3</v>
      </c>
      <c r="F2834" s="37" t="n">
        <v>18.5</v>
      </c>
    </row>
    <row r="2835">
      <c r="A2835" s="37" t="inlineStr">
        <is>
          <t>WL-03834</t>
        </is>
      </c>
      <c r="B2835" s="37" t="inlineStr">
        <is>
          <t>Watts</t>
        </is>
      </c>
      <c r="C2835" s="37" t="inlineStr">
        <is>
          <t>Amber</t>
        </is>
      </c>
      <c r="D2835" s="37" t="inlineStr">
        <is>
          <t>ACTIVE_WAITLIST</t>
        </is>
      </c>
      <c r="E2835" s="37" t="n">
        <v>60.5</v>
      </c>
      <c r="F2835" s="37" t="n">
        <v>21.3</v>
      </c>
    </row>
    <row r="2836">
      <c r="A2836" s="37" t="inlineStr">
        <is>
          <t>WL-03835</t>
        </is>
      </c>
      <c r="B2836" s="37" t="inlineStr">
        <is>
          <t>Miller</t>
        </is>
      </c>
      <c r="C2836" s="37" t="inlineStr">
        <is>
          <t>Kimberly</t>
        </is>
      </c>
      <c r="D2836" s="37" t="inlineStr">
        <is>
          <t>ACTIVE_WAITLIST</t>
        </is>
      </c>
      <c r="E2836" s="37" t="n">
        <v>53.2</v>
      </c>
      <c r="F2836" s="37" t="n">
        <v>17.1</v>
      </c>
    </row>
    <row r="2837">
      <c r="A2837" s="37" t="inlineStr">
        <is>
          <t>WL-03836</t>
        </is>
      </c>
      <c r="B2837" s="37" t="inlineStr">
        <is>
          <t>Smith</t>
        </is>
      </c>
      <c r="C2837" s="37" t="inlineStr">
        <is>
          <t>Latasha</t>
        </is>
      </c>
      <c r="D2837" s="37" t="inlineStr">
        <is>
          <t>ACTIVE_WAITLIST</t>
        </is>
      </c>
      <c r="E2837" s="37" t="n">
        <v>41.3</v>
      </c>
      <c r="F2837" s="37" t="n">
        <v>13.8</v>
      </c>
    </row>
    <row r="2838">
      <c r="A2838" s="37" t="inlineStr">
        <is>
          <t>WL-03837</t>
        </is>
      </c>
      <c r="B2838" s="37" t="inlineStr">
        <is>
          <t>Griffith</t>
        </is>
      </c>
      <c r="C2838" s="37" t="inlineStr">
        <is>
          <t>John</t>
        </is>
      </c>
      <c r="D2838" s="37" t="inlineStr">
        <is>
          <t>ACTIVE_WAITLIST</t>
        </is>
      </c>
      <c r="E2838" s="37" t="n">
        <v>18.2</v>
      </c>
      <c r="F2838" s="37" t="n">
        <v>5.5</v>
      </c>
    </row>
    <row r="2839">
      <c r="A2839" s="37" t="inlineStr">
        <is>
          <t>WL-03838</t>
        </is>
      </c>
      <c r="B2839" s="37" t="inlineStr">
        <is>
          <t>Cruz</t>
        </is>
      </c>
      <c r="C2839" s="37" t="inlineStr">
        <is>
          <t>Sean</t>
        </is>
      </c>
      <c r="D2839" s="37" t="inlineStr">
        <is>
          <t>ACTIVE_WAITLIST</t>
        </is>
      </c>
      <c r="E2839" s="37" t="n">
        <v>29.2</v>
      </c>
      <c r="F2839" s="37" t="n">
        <v>8.800000000000001</v>
      </c>
    </row>
    <row r="2840">
      <c r="A2840" s="37" t="inlineStr">
        <is>
          <t>WL-03839</t>
        </is>
      </c>
      <c r="B2840" s="37" t="inlineStr">
        <is>
          <t>May</t>
        </is>
      </c>
      <c r="C2840" s="37" t="inlineStr">
        <is>
          <t>Sonya</t>
        </is>
      </c>
      <c r="D2840" s="37" t="inlineStr">
        <is>
          <t>ACTIVE_WAITLIST</t>
        </is>
      </c>
      <c r="E2840" s="37" t="n">
        <v>43.2</v>
      </c>
      <c r="F2840" s="37" t="n">
        <v>14.7</v>
      </c>
    </row>
    <row r="2841">
      <c r="A2841" s="37" t="inlineStr">
        <is>
          <t>WL-03840</t>
        </is>
      </c>
      <c r="B2841" s="37" t="inlineStr">
        <is>
          <t>Davis</t>
        </is>
      </c>
      <c r="C2841" s="37" t="inlineStr">
        <is>
          <t>David</t>
        </is>
      </c>
      <c r="D2841" s="37" t="inlineStr">
        <is>
          <t>ACTIVE_WAITLIST</t>
        </is>
      </c>
      <c r="E2841" s="37" t="n">
        <v>48.4</v>
      </c>
      <c r="F2841" s="37" t="n">
        <v>16.3</v>
      </c>
    </row>
    <row r="2842">
      <c r="A2842" s="37" t="inlineStr">
        <is>
          <t>WL-03841</t>
        </is>
      </c>
      <c r="B2842" s="37" t="inlineStr">
        <is>
          <t>Miller</t>
        </is>
      </c>
      <c r="C2842" s="37" t="inlineStr">
        <is>
          <t>Stephen</t>
        </is>
      </c>
      <c r="D2842" s="37" t="inlineStr">
        <is>
          <t>ACTIVE_WAITLIST</t>
        </is>
      </c>
      <c r="E2842" s="37" t="n">
        <v>39.7</v>
      </c>
      <c r="F2842" s="37" t="n">
        <v>11.8</v>
      </c>
    </row>
    <row r="2843">
      <c r="A2843" s="37" t="inlineStr">
        <is>
          <t>WL-03842</t>
        </is>
      </c>
      <c r="B2843" s="37" t="inlineStr">
        <is>
          <t>Campbell</t>
        </is>
      </c>
      <c r="C2843" s="37" t="inlineStr">
        <is>
          <t>Jennifer</t>
        </is>
      </c>
      <c r="D2843" s="37" t="inlineStr">
        <is>
          <t>ACTIVE_WAITLIST</t>
        </is>
      </c>
      <c r="E2843" s="37" t="n">
        <v>58.2</v>
      </c>
      <c r="F2843" s="37" t="n">
        <v>18.5</v>
      </c>
    </row>
    <row r="2844">
      <c r="A2844" s="37" t="inlineStr">
        <is>
          <t>WL-03843</t>
        </is>
      </c>
      <c r="B2844" s="37" t="inlineStr">
        <is>
          <t>Davila</t>
        </is>
      </c>
      <c r="C2844" s="37" t="inlineStr">
        <is>
          <t>Tricia</t>
        </is>
      </c>
      <c r="D2844" s="37" t="inlineStr">
        <is>
          <t>ACTIVE_WAITLIST</t>
        </is>
      </c>
      <c r="E2844" s="37" t="n">
        <v>53.9</v>
      </c>
      <c r="F2844" s="37" t="n">
        <v>19.3</v>
      </c>
    </row>
    <row r="2845">
      <c r="A2845" s="37" t="inlineStr">
        <is>
          <t>WL-03844</t>
        </is>
      </c>
      <c r="B2845" s="37" t="inlineStr">
        <is>
          <t>Medina</t>
        </is>
      </c>
      <c r="C2845" s="37" t="inlineStr">
        <is>
          <t>Janet</t>
        </is>
      </c>
      <c r="D2845" s="37" t="inlineStr">
        <is>
          <t>RETAINER</t>
        </is>
      </c>
      <c r="E2845" s="37" t="n">
        <v>48</v>
      </c>
      <c r="F2845" s="37" t="n">
        <v>14.4</v>
      </c>
    </row>
    <row r="2846">
      <c r="A2846" s="37" t="inlineStr">
        <is>
          <t>WL-03845</t>
        </is>
      </c>
      <c r="B2846" s="37" t="inlineStr">
        <is>
          <t>Johnson</t>
        </is>
      </c>
      <c r="C2846" s="37" t="inlineStr">
        <is>
          <t>Nancy</t>
        </is>
      </c>
      <c r="D2846" s="37" t="inlineStr">
        <is>
          <t>ACTIVE_WAITLIST</t>
        </is>
      </c>
      <c r="E2846" s="37" t="n">
        <v>57.9</v>
      </c>
      <c r="F2846" s="37" t="n">
        <v>20.4</v>
      </c>
    </row>
    <row r="2847">
      <c r="A2847" s="37" t="inlineStr">
        <is>
          <t>WL-03846</t>
        </is>
      </c>
      <c r="B2847" s="37" t="inlineStr">
        <is>
          <t>Gallagher</t>
        </is>
      </c>
      <c r="C2847" s="37" t="inlineStr">
        <is>
          <t>Jenna</t>
        </is>
      </c>
      <c r="D2847" s="37" t="inlineStr">
        <is>
          <t>ACTIVE_WAITLIST</t>
        </is>
      </c>
      <c r="E2847" s="37" t="n">
        <v>56</v>
      </c>
      <c r="F2847" s="37" t="n">
        <v>17.2</v>
      </c>
    </row>
    <row r="2848">
      <c r="A2848" s="37" t="inlineStr">
        <is>
          <t>WL-03847</t>
        </is>
      </c>
      <c r="B2848" s="37" t="inlineStr">
        <is>
          <t>Jackson</t>
        </is>
      </c>
      <c r="C2848" s="37" t="inlineStr">
        <is>
          <t>Michael</t>
        </is>
      </c>
      <c r="D2848" s="37" t="inlineStr">
        <is>
          <t>ACTIVE_WAITLIST</t>
        </is>
      </c>
      <c r="E2848" s="37" t="n">
        <v>23.8</v>
      </c>
      <c r="F2848" s="37" t="n">
        <v>8.4</v>
      </c>
    </row>
    <row r="2849">
      <c r="A2849" s="37" t="inlineStr">
        <is>
          <t>WL-03848</t>
        </is>
      </c>
      <c r="B2849" s="37" t="inlineStr">
        <is>
          <t>Thomas</t>
        </is>
      </c>
      <c r="C2849" s="37" t="inlineStr">
        <is>
          <t>Anne</t>
        </is>
      </c>
      <c r="D2849" s="37" t="inlineStr">
        <is>
          <t>ACTIVE_WAITLIST</t>
        </is>
      </c>
      <c r="E2849" s="37" t="n">
        <v>32</v>
      </c>
      <c r="F2849" s="37" t="n">
        <v>9.199999999999999</v>
      </c>
    </row>
    <row r="2850">
      <c r="A2850" s="37" t="inlineStr">
        <is>
          <t>WL-03849</t>
        </is>
      </c>
      <c r="B2850" s="37" t="inlineStr">
        <is>
          <t>Ramirez</t>
        </is>
      </c>
      <c r="C2850" s="37" t="inlineStr">
        <is>
          <t>Melissa</t>
        </is>
      </c>
      <c r="D2850" s="37" t="inlineStr">
        <is>
          <t>ACTIVE_WAITLIST</t>
        </is>
      </c>
      <c r="E2850" s="37" t="n">
        <v>60.4</v>
      </c>
      <c r="F2850" s="37" t="n">
        <v>19.6</v>
      </c>
    </row>
    <row r="2851">
      <c r="A2851" s="37" t="inlineStr">
        <is>
          <t>WL-03850</t>
        </is>
      </c>
      <c r="B2851" s="37" t="inlineStr">
        <is>
          <t>Greer</t>
        </is>
      </c>
      <c r="C2851" s="37" t="inlineStr">
        <is>
          <t>Teresa</t>
        </is>
      </c>
      <c r="D2851" s="37" t="inlineStr">
        <is>
          <t>ACTIVE_WAITLIST</t>
        </is>
      </c>
      <c r="E2851" s="37" t="n">
        <v>35.6</v>
      </c>
      <c r="F2851" s="37" t="n">
        <v>12.5</v>
      </c>
    </row>
    <row r="2852">
      <c r="A2852" s="37" t="inlineStr">
        <is>
          <t>WL-03851</t>
        </is>
      </c>
      <c r="B2852" s="37" t="inlineStr">
        <is>
          <t>Frank</t>
        </is>
      </c>
      <c r="C2852" s="37" t="inlineStr">
        <is>
          <t>Tyrone</t>
        </is>
      </c>
      <c r="D2852" s="37" t="inlineStr">
        <is>
          <t>ACTIVE_WAITLIST</t>
        </is>
      </c>
      <c r="E2852" s="37" t="n">
        <v>29.3</v>
      </c>
      <c r="F2852" s="37" t="n">
        <v>10.1</v>
      </c>
    </row>
    <row r="2853">
      <c r="A2853" s="37" t="inlineStr">
        <is>
          <t>WL-03852</t>
        </is>
      </c>
      <c r="B2853" s="37" t="inlineStr">
        <is>
          <t>Torres</t>
        </is>
      </c>
      <c r="C2853" s="37" t="inlineStr">
        <is>
          <t>Joshua</t>
        </is>
      </c>
      <c r="D2853" s="37" t="inlineStr">
        <is>
          <t>EXPIRED</t>
        </is>
      </c>
      <c r="E2853" s="37" t="n">
        <v>58.5</v>
      </c>
      <c r="F2853" s="37" t="n">
        <v>17.3</v>
      </c>
    </row>
    <row r="2854">
      <c r="A2854" s="37" t="inlineStr">
        <is>
          <t>WL-03853</t>
        </is>
      </c>
      <c r="B2854" s="37" t="inlineStr">
        <is>
          <t>Jackson</t>
        </is>
      </c>
      <c r="C2854" s="37" t="inlineStr">
        <is>
          <t>Stephanie</t>
        </is>
      </c>
      <c r="D2854" s="37" t="inlineStr">
        <is>
          <t>ACTIVE_WAITLIST</t>
        </is>
      </c>
      <c r="E2854" s="37" t="n">
        <v>32.7</v>
      </c>
      <c r="F2854" s="37" t="n">
        <v>9.6</v>
      </c>
    </row>
    <row r="2855">
      <c r="A2855" s="37" t="inlineStr">
        <is>
          <t>WL-03854</t>
        </is>
      </c>
      <c r="B2855" s="37" t="inlineStr">
        <is>
          <t>Jackson</t>
        </is>
      </c>
      <c r="C2855" s="37" t="inlineStr">
        <is>
          <t>Brandon</t>
        </is>
      </c>
      <c r="D2855" s="37" t="inlineStr">
        <is>
          <t>ACTIVE_WAITLIST</t>
        </is>
      </c>
      <c r="E2855" s="37" t="n">
        <v>51.4</v>
      </c>
      <c r="F2855" s="37" t="n">
        <v>15.6</v>
      </c>
    </row>
    <row r="2856">
      <c r="A2856" s="37" t="inlineStr">
        <is>
          <t>WL-03855</t>
        </is>
      </c>
      <c r="B2856" s="37" t="inlineStr">
        <is>
          <t>Solomon</t>
        </is>
      </c>
      <c r="C2856" s="37" t="inlineStr">
        <is>
          <t>Peggy</t>
        </is>
      </c>
      <c r="D2856" s="37" t="inlineStr">
        <is>
          <t>ACTIVE_WAITLIST</t>
        </is>
      </c>
      <c r="E2856" s="37" t="n">
        <v>35.8</v>
      </c>
      <c r="F2856" s="37" t="n">
        <v>10.5</v>
      </c>
    </row>
    <row r="2857">
      <c r="A2857" s="37" t="inlineStr">
        <is>
          <t>WL-03856</t>
        </is>
      </c>
      <c r="B2857" s="37" t="inlineStr">
        <is>
          <t>Ross</t>
        </is>
      </c>
      <c r="C2857" s="37" t="inlineStr">
        <is>
          <t>Taylor</t>
        </is>
      </c>
      <c r="D2857" s="37" t="inlineStr">
        <is>
          <t>ACTIVE_WAITLIST</t>
        </is>
      </c>
      <c r="E2857" s="37" t="n">
        <v>23.5</v>
      </c>
      <c r="F2857" s="37" t="n">
        <v>7.2</v>
      </c>
    </row>
    <row r="2858">
      <c r="A2858" s="37" t="inlineStr">
        <is>
          <t>WL-03857</t>
        </is>
      </c>
      <c r="B2858" s="37" t="inlineStr">
        <is>
          <t>Davis</t>
        </is>
      </c>
      <c r="C2858" s="37" t="inlineStr">
        <is>
          <t>Catherine</t>
        </is>
      </c>
      <c r="D2858" s="37" t="inlineStr">
        <is>
          <t>RETAINER</t>
        </is>
      </c>
      <c r="E2858" s="37" t="n">
        <v>45.5</v>
      </c>
      <c r="F2858" s="37" t="n">
        <v>16.2</v>
      </c>
    </row>
    <row r="2859">
      <c r="A2859" s="37" t="inlineStr">
        <is>
          <t>WL-03858</t>
        </is>
      </c>
      <c r="B2859" s="37" t="inlineStr">
        <is>
          <t>Coleman</t>
        </is>
      </c>
      <c r="C2859" s="37" t="inlineStr">
        <is>
          <t>Jerome</t>
        </is>
      </c>
      <c r="D2859" s="37" t="inlineStr">
        <is>
          <t>RETAINER</t>
        </is>
      </c>
      <c r="E2859" s="37" t="n">
        <v>53.6</v>
      </c>
      <c r="F2859" s="37" t="n">
        <v>16</v>
      </c>
    </row>
    <row r="2860">
      <c r="A2860" s="37" t="inlineStr">
        <is>
          <t>WL-03859</t>
        </is>
      </c>
      <c r="B2860" s="37" t="inlineStr">
        <is>
          <t>Miller</t>
        </is>
      </c>
      <c r="C2860" s="37" t="inlineStr">
        <is>
          <t>Mary</t>
        </is>
      </c>
      <c r="D2860" s="37" t="inlineStr">
        <is>
          <t>ACTIVE_WAITLIST</t>
        </is>
      </c>
      <c r="E2860" s="37" t="n">
        <v>48.4</v>
      </c>
      <c r="F2860" s="37" t="n">
        <v>14.9</v>
      </c>
    </row>
    <row r="2861">
      <c r="A2861" s="37" t="inlineStr">
        <is>
          <t>WL-03860</t>
        </is>
      </c>
      <c r="B2861" s="37" t="inlineStr">
        <is>
          <t>Davis</t>
        </is>
      </c>
      <c r="C2861" s="37" t="inlineStr">
        <is>
          <t>Alicia</t>
        </is>
      </c>
      <c r="D2861" s="37" t="inlineStr">
        <is>
          <t>ACTIVE_WAITLIST</t>
        </is>
      </c>
      <c r="E2861" s="37" t="n">
        <v>54.6</v>
      </c>
      <c r="F2861" s="37" t="n">
        <v>18.8</v>
      </c>
    </row>
    <row r="2862">
      <c r="A2862" s="37" t="inlineStr">
        <is>
          <t>WL-03861</t>
        </is>
      </c>
      <c r="B2862" s="37" t="inlineStr">
        <is>
          <t>Koch</t>
        </is>
      </c>
      <c r="C2862" s="37" t="inlineStr">
        <is>
          <t>Joseph</t>
        </is>
      </c>
      <c r="D2862" s="37" t="inlineStr">
        <is>
          <t>ACTIVE_WAITLIST</t>
        </is>
      </c>
      <c r="E2862" s="37" t="n">
        <v>49.2</v>
      </c>
      <c r="F2862" s="37" t="n">
        <v>17.5</v>
      </c>
    </row>
    <row r="2863">
      <c r="A2863" s="37" t="inlineStr">
        <is>
          <t>WL-03862</t>
        </is>
      </c>
      <c r="B2863" s="37" t="inlineStr">
        <is>
          <t>Keller</t>
        </is>
      </c>
      <c r="C2863" s="37" t="inlineStr">
        <is>
          <t>Tyler</t>
        </is>
      </c>
      <c r="D2863" s="37" t="inlineStr">
        <is>
          <t>ACTIVE_WAITLIST</t>
        </is>
      </c>
      <c r="E2863" s="37" t="n">
        <v>31.8</v>
      </c>
      <c r="F2863" s="37" t="n">
        <v>11</v>
      </c>
    </row>
    <row r="2864">
      <c r="A2864" s="37" t="inlineStr">
        <is>
          <t>WL-03863</t>
        </is>
      </c>
      <c r="B2864" s="37" t="inlineStr">
        <is>
          <t>Phillips</t>
        </is>
      </c>
      <c r="C2864" s="37" t="inlineStr">
        <is>
          <t>Brianna</t>
        </is>
      </c>
      <c r="D2864" s="37" t="inlineStr">
        <is>
          <t>ACTIVE_WAITLIST</t>
        </is>
      </c>
      <c r="E2864" s="37" t="n">
        <v>59.1</v>
      </c>
      <c r="F2864" s="37" t="n">
        <v>17.6</v>
      </c>
    </row>
    <row r="2865">
      <c r="A2865" s="37" t="inlineStr">
        <is>
          <t>WL-03864</t>
        </is>
      </c>
      <c r="B2865" s="37" t="inlineStr">
        <is>
          <t>Mendez</t>
        </is>
      </c>
      <c r="C2865" s="37" t="inlineStr">
        <is>
          <t>Brittany</t>
        </is>
      </c>
      <c r="D2865" s="37" t="inlineStr">
        <is>
          <t>ACTIVE_WAITLIST</t>
        </is>
      </c>
      <c r="E2865" s="37" t="n">
        <v>34.6</v>
      </c>
      <c r="F2865" s="37" t="n">
        <v>10.3</v>
      </c>
    </row>
    <row r="2866">
      <c r="A2866" s="37" t="inlineStr">
        <is>
          <t>WL-03865</t>
        </is>
      </c>
      <c r="B2866" s="37" t="inlineStr">
        <is>
          <t>Moran</t>
        </is>
      </c>
      <c r="C2866" s="37" t="inlineStr">
        <is>
          <t>William</t>
        </is>
      </c>
      <c r="D2866" s="37" t="inlineStr">
        <is>
          <t>ACTIVE_WAITLIST</t>
        </is>
      </c>
      <c r="E2866" s="37" t="n">
        <v>58.8</v>
      </c>
      <c r="F2866" s="37" t="n">
        <v>17.6</v>
      </c>
    </row>
    <row r="2867">
      <c r="A2867" s="37" t="inlineStr">
        <is>
          <t>WL-03866</t>
        </is>
      </c>
      <c r="B2867" s="37" t="inlineStr">
        <is>
          <t>Anderson</t>
        </is>
      </c>
      <c r="C2867" s="37" t="inlineStr">
        <is>
          <t>Jacqueline</t>
        </is>
      </c>
      <c r="D2867" s="37" t="inlineStr">
        <is>
          <t>ACTIVE_WAITLIST</t>
        </is>
      </c>
      <c r="E2867" s="37" t="n">
        <v>55.2</v>
      </c>
      <c r="F2867" s="37" t="n">
        <v>17.8</v>
      </c>
    </row>
    <row r="2868">
      <c r="A2868" s="37" t="inlineStr">
        <is>
          <t>WL-03867</t>
        </is>
      </c>
      <c r="B2868" s="37" t="inlineStr">
        <is>
          <t>Hill</t>
        </is>
      </c>
      <c r="C2868" s="37" t="inlineStr">
        <is>
          <t>James</t>
        </is>
      </c>
      <c r="D2868" s="37" t="inlineStr">
        <is>
          <t>ACTIVE_WAITLIST</t>
        </is>
      </c>
      <c r="E2868" s="37" t="n">
        <v>25.5</v>
      </c>
      <c r="F2868" s="37" t="n">
        <v>8.6</v>
      </c>
    </row>
    <row r="2869">
      <c r="A2869" s="37" t="inlineStr">
        <is>
          <t>WL-03868</t>
        </is>
      </c>
      <c r="B2869" s="37" t="inlineStr">
        <is>
          <t>Barr</t>
        </is>
      </c>
      <c r="C2869" s="37" t="inlineStr">
        <is>
          <t>Madison</t>
        </is>
      </c>
      <c r="D2869" s="37" t="inlineStr">
        <is>
          <t>ACTIVE_WAITLIST</t>
        </is>
      </c>
      <c r="E2869" s="37" t="n">
        <v>42</v>
      </c>
      <c r="F2869" s="37" t="n">
        <v>13.6</v>
      </c>
    </row>
    <row r="2870">
      <c r="A2870" s="37" t="inlineStr">
        <is>
          <t>WL-03869</t>
        </is>
      </c>
      <c r="B2870" s="37" t="inlineStr">
        <is>
          <t>Raymond</t>
        </is>
      </c>
      <c r="C2870" s="37" t="inlineStr">
        <is>
          <t>Seth</t>
        </is>
      </c>
      <c r="D2870" s="37" t="inlineStr">
        <is>
          <t>ACTIVE_WAITLIST</t>
        </is>
      </c>
      <c r="E2870" s="37" t="n">
        <v>37</v>
      </c>
      <c r="F2870" s="37" t="n">
        <v>10.4</v>
      </c>
    </row>
    <row r="2871">
      <c r="A2871" s="37" t="inlineStr">
        <is>
          <t>WL-03870</t>
        </is>
      </c>
      <c r="B2871" s="37" t="inlineStr">
        <is>
          <t>Lee</t>
        </is>
      </c>
      <c r="C2871" s="37" t="inlineStr">
        <is>
          <t>Robert</t>
        </is>
      </c>
      <c r="D2871" s="37" t="inlineStr">
        <is>
          <t>EXPIRED</t>
        </is>
      </c>
      <c r="E2871" s="37" t="n">
        <v>55.4</v>
      </c>
      <c r="F2871" s="37" t="n">
        <v>17.5</v>
      </c>
    </row>
    <row r="2872">
      <c r="A2872" s="37" t="inlineStr">
        <is>
          <t>WL-03871</t>
        </is>
      </c>
      <c r="B2872" s="37" t="inlineStr">
        <is>
          <t>Ramos</t>
        </is>
      </c>
      <c r="C2872" s="37" t="inlineStr">
        <is>
          <t>Joshua</t>
        </is>
      </c>
      <c r="D2872" s="37" t="inlineStr">
        <is>
          <t>ACTIVE_WAITLIST</t>
        </is>
      </c>
      <c r="E2872" s="37" t="n">
        <v>45.6</v>
      </c>
      <c r="F2872" s="37" t="n">
        <v>15.9</v>
      </c>
    </row>
    <row r="2873">
      <c r="A2873" s="37" t="inlineStr">
        <is>
          <t>WL-03872</t>
        </is>
      </c>
      <c r="B2873" s="37" t="inlineStr">
        <is>
          <t>Taylor</t>
        </is>
      </c>
      <c r="C2873" s="37" t="inlineStr">
        <is>
          <t>Tiffany</t>
        </is>
      </c>
      <c r="D2873" s="37" t="inlineStr">
        <is>
          <t>ACTIVE_WAITLIST</t>
        </is>
      </c>
      <c r="E2873" s="37" t="n">
        <v>55.3</v>
      </c>
      <c r="F2873" s="37" t="n">
        <v>18.4</v>
      </c>
    </row>
    <row r="2874">
      <c r="A2874" s="37" t="inlineStr">
        <is>
          <t>WL-03873</t>
        </is>
      </c>
      <c r="B2874" s="37" t="inlineStr">
        <is>
          <t>Clay</t>
        </is>
      </c>
      <c r="C2874" s="37" t="inlineStr">
        <is>
          <t>Michele</t>
        </is>
      </c>
      <c r="D2874" s="37" t="inlineStr">
        <is>
          <t>ACTIVE_WAITLIST</t>
        </is>
      </c>
      <c r="E2874" s="37" t="n">
        <v>57</v>
      </c>
      <c r="F2874" s="37" t="n">
        <v>20</v>
      </c>
    </row>
    <row r="2875">
      <c r="A2875" s="37" t="inlineStr">
        <is>
          <t>WL-03874</t>
        </is>
      </c>
      <c r="B2875" s="37" t="inlineStr">
        <is>
          <t>Stone</t>
        </is>
      </c>
      <c r="C2875" s="37" t="inlineStr">
        <is>
          <t>Kimberly</t>
        </is>
      </c>
      <c r="D2875" s="37" t="inlineStr">
        <is>
          <t>ACTIVE_WAITLIST</t>
        </is>
      </c>
      <c r="E2875" s="37" t="n">
        <v>26.6</v>
      </c>
      <c r="F2875" s="37" t="n">
        <v>9.4</v>
      </c>
    </row>
    <row r="2876">
      <c r="A2876" s="37" t="inlineStr">
        <is>
          <t>WL-03875</t>
        </is>
      </c>
      <c r="B2876" s="37" t="inlineStr">
        <is>
          <t>Murray</t>
        </is>
      </c>
      <c r="C2876" s="37" t="inlineStr">
        <is>
          <t>Nancy</t>
        </is>
      </c>
      <c r="D2876" s="37" t="inlineStr">
        <is>
          <t>ACTIVE_WAITLIST</t>
        </is>
      </c>
      <c r="E2876" s="37" t="n">
        <v>47.7</v>
      </c>
      <c r="F2876" s="37" t="n">
        <v>15.7</v>
      </c>
    </row>
    <row r="2877">
      <c r="A2877" s="37" t="inlineStr">
        <is>
          <t>WL-03876</t>
        </is>
      </c>
      <c r="B2877" s="37" t="inlineStr">
        <is>
          <t>Heath</t>
        </is>
      </c>
      <c r="C2877" s="37" t="inlineStr">
        <is>
          <t>John</t>
        </is>
      </c>
      <c r="D2877" s="37" t="inlineStr">
        <is>
          <t>ACTIVE_WAITLIST</t>
        </is>
      </c>
      <c r="E2877" s="37" t="n">
        <v>39</v>
      </c>
      <c r="F2877" s="37" t="n">
        <v>13.4</v>
      </c>
    </row>
    <row r="2878">
      <c r="A2878" s="37" t="inlineStr">
        <is>
          <t>WL-03877</t>
        </is>
      </c>
      <c r="B2878" s="37" t="inlineStr">
        <is>
          <t>Davis</t>
        </is>
      </c>
      <c r="C2878" s="37" t="inlineStr">
        <is>
          <t>Jerry</t>
        </is>
      </c>
      <c r="D2878" s="37" t="inlineStr">
        <is>
          <t>ACTIVE_WAITLIST</t>
        </is>
      </c>
      <c r="E2878" s="37" t="n">
        <v>29.7</v>
      </c>
      <c r="F2878" s="37" t="n">
        <v>9.4</v>
      </c>
    </row>
    <row r="2879">
      <c r="A2879" s="37" t="inlineStr">
        <is>
          <t>WL-03878</t>
        </is>
      </c>
      <c r="B2879" s="37" t="inlineStr">
        <is>
          <t>Wagner</t>
        </is>
      </c>
      <c r="C2879" s="37" t="inlineStr">
        <is>
          <t>Michael</t>
        </is>
      </c>
      <c r="D2879" s="37" t="inlineStr">
        <is>
          <t>RETAINER</t>
        </is>
      </c>
      <c r="E2879" s="37" t="n">
        <v>34.2</v>
      </c>
      <c r="F2879" s="37" t="n">
        <v>11.2</v>
      </c>
    </row>
    <row r="2880">
      <c r="A2880" s="37" t="inlineStr">
        <is>
          <t>WL-03879</t>
        </is>
      </c>
      <c r="B2880" s="37" t="inlineStr">
        <is>
          <t>Blackwell</t>
        </is>
      </c>
      <c r="C2880" s="37" t="inlineStr">
        <is>
          <t>Justin</t>
        </is>
      </c>
      <c r="D2880" s="37" t="inlineStr">
        <is>
          <t>RETAINER</t>
        </is>
      </c>
      <c r="E2880" s="37" t="n">
        <v>54.6</v>
      </c>
      <c r="F2880" s="37" t="n">
        <v>15.5</v>
      </c>
    </row>
    <row r="2881">
      <c r="A2881" s="37" t="inlineStr">
        <is>
          <t>WL-03880</t>
        </is>
      </c>
      <c r="B2881" s="37" t="inlineStr">
        <is>
          <t>Davis</t>
        </is>
      </c>
      <c r="C2881" s="37" t="inlineStr">
        <is>
          <t>Connie</t>
        </is>
      </c>
      <c r="D2881" s="37" t="inlineStr">
        <is>
          <t>ACTIVE_WAITLIST</t>
        </is>
      </c>
      <c r="E2881" s="37" t="n">
        <v>26.1</v>
      </c>
      <c r="F2881" s="37" t="n">
        <v>9.1</v>
      </c>
    </row>
    <row r="2882">
      <c r="A2882" s="37" t="inlineStr">
        <is>
          <t>WL-03881</t>
        </is>
      </c>
      <c r="B2882" s="37" t="inlineStr">
        <is>
          <t>Reid</t>
        </is>
      </c>
      <c r="C2882" s="37" t="inlineStr">
        <is>
          <t>Maria</t>
        </is>
      </c>
      <c r="D2882" s="37" t="inlineStr">
        <is>
          <t>ACTIVE_WAITLIST</t>
        </is>
      </c>
      <c r="E2882" s="37" t="n">
        <v>47</v>
      </c>
      <c r="F2882" s="37" t="n">
        <v>14.3</v>
      </c>
    </row>
    <row r="2883">
      <c r="A2883" s="37" t="inlineStr">
        <is>
          <t>WL-03882</t>
        </is>
      </c>
      <c r="B2883" s="37" t="inlineStr">
        <is>
          <t>Wilkins</t>
        </is>
      </c>
      <c r="C2883" s="37" t="inlineStr">
        <is>
          <t>David</t>
        </is>
      </c>
      <c r="D2883" s="37" t="inlineStr">
        <is>
          <t>ACTIVE_WAITLIST</t>
        </is>
      </c>
      <c r="E2883" s="37" t="n">
        <v>37.4</v>
      </c>
      <c r="F2883" s="37" t="n">
        <v>13.1</v>
      </c>
    </row>
    <row r="2884">
      <c r="A2884" s="37" t="inlineStr">
        <is>
          <t>WL-03883</t>
        </is>
      </c>
      <c r="B2884" s="37" t="inlineStr">
        <is>
          <t>Gallegos</t>
        </is>
      </c>
      <c r="C2884" s="37" t="inlineStr">
        <is>
          <t>Priscilla</t>
        </is>
      </c>
      <c r="D2884" s="37" t="inlineStr">
        <is>
          <t>ACTIVE_WAITLIST</t>
        </is>
      </c>
      <c r="E2884" s="37" t="n">
        <v>50.9</v>
      </c>
      <c r="F2884" s="37" t="n">
        <v>17.1</v>
      </c>
    </row>
    <row r="2885">
      <c r="A2885" s="37" t="inlineStr">
        <is>
          <t>WL-03884</t>
        </is>
      </c>
      <c r="B2885" s="37" t="inlineStr">
        <is>
          <t>Williams</t>
        </is>
      </c>
      <c r="C2885" s="37" t="inlineStr">
        <is>
          <t>Lindsay</t>
        </is>
      </c>
      <c r="D2885" s="37" t="inlineStr">
        <is>
          <t>ACTIVE_WAITLIST</t>
        </is>
      </c>
      <c r="E2885" s="37" t="n">
        <v>32.3</v>
      </c>
      <c r="F2885" s="37" t="n">
        <v>11</v>
      </c>
    </row>
    <row r="2886">
      <c r="A2886" s="37" t="inlineStr">
        <is>
          <t>WL-03885</t>
        </is>
      </c>
      <c r="B2886" s="37" t="inlineStr">
        <is>
          <t>Grant</t>
        </is>
      </c>
      <c r="C2886" s="37" t="inlineStr">
        <is>
          <t>Travis</t>
        </is>
      </c>
      <c r="D2886" s="37" t="inlineStr">
        <is>
          <t>RETAINER</t>
        </is>
      </c>
      <c r="E2886" s="37" t="n">
        <v>36.7</v>
      </c>
      <c r="F2886" s="37" t="n">
        <v>13.1</v>
      </c>
    </row>
    <row r="2887">
      <c r="A2887" s="37" t="inlineStr">
        <is>
          <t>WL-03886</t>
        </is>
      </c>
      <c r="B2887" s="37" t="inlineStr">
        <is>
          <t>Bonilla</t>
        </is>
      </c>
      <c r="C2887" s="37" t="inlineStr">
        <is>
          <t>Teresa</t>
        </is>
      </c>
      <c r="D2887" s="37" t="inlineStr">
        <is>
          <t>EXPIRED</t>
        </is>
      </c>
      <c r="E2887" s="37" t="n">
        <v>55</v>
      </c>
      <c r="F2887" s="37" t="n">
        <v>17.3</v>
      </c>
    </row>
    <row r="2888">
      <c r="A2888" s="37" t="inlineStr">
        <is>
          <t>WL-03887</t>
        </is>
      </c>
      <c r="B2888" s="37" t="inlineStr">
        <is>
          <t>Goodwin</t>
        </is>
      </c>
      <c r="C2888" s="37" t="inlineStr">
        <is>
          <t>Brianna</t>
        </is>
      </c>
      <c r="D2888" s="37" t="inlineStr">
        <is>
          <t>ACTIVE_WAITLIST</t>
        </is>
      </c>
      <c r="E2888" s="37" t="n">
        <v>29.6</v>
      </c>
      <c r="F2888" s="37" t="n">
        <v>10.3</v>
      </c>
    </row>
    <row r="2889">
      <c r="A2889" s="37" t="inlineStr">
        <is>
          <t>WL-03888</t>
        </is>
      </c>
      <c r="B2889" s="37" t="inlineStr">
        <is>
          <t>Garcia</t>
        </is>
      </c>
      <c r="C2889" s="37" t="inlineStr">
        <is>
          <t>Christian</t>
        </is>
      </c>
      <c r="D2889" s="37" t="inlineStr">
        <is>
          <t>ACTIVE_WAITLIST</t>
        </is>
      </c>
      <c r="E2889" s="37" t="n">
        <v>57.5</v>
      </c>
      <c r="F2889" s="37" t="n">
        <v>16.4</v>
      </c>
    </row>
    <row r="2890">
      <c r="A2890" s="37" t="inlineStr">
        <is>
          <t>WL-03889</t>
        </is>
      </c>
      <c r="B2890" s="37" t="inlineStr">
        <is>
          <t>Mathis</t>
        </is>
      </c>
      <c r="C2890" s="37" t="inlineStr">
        <is>
          <t>Brandon</t>
        </is>
      </c>
      <c r="D2890" s="37" t="inlineStr">
        <is>
          <t>RETAINER</t>
        </is>
      </c>
      <c r="E2890" s="37" t="n">
        <v>53.6</v>
      </c>
      <c r="F2890" s="37" t="n">
        <v>16.5</v>
      </c>
    </row>
    <row r="2891">
      <c r="A2891" s="37" t="inlineStr">
        <is>
          <t>WL-03890</t>
        </is>
      </c>
      <c r="B2891" s="37" t="inlineStr">
        <is>
          <t>Alvarado</t>
        </is>
      </c>
      <c r="C2891" s="37" t="inlineStr">
        <is>
          <t>Steven</t>
        </is>
      </c>
      <c r="D2891" s="37" t="inlineStr">
        <is>
          <t>ACTIVE_WAITLIST</t>
        </is>
      </c>
      <c r="E2891" s="37" t="n">
        <v>58.2</v>
      </c>
      <c r="F2891" s="37" t="n">
        <v>17.6</v>
      </c>
    </row>
    <row r="2892">
      <c r="A2892" s="37" t="inlineStr">
        <is>
          <t>WL-03891</t>
        </is>
      </c>
      <c r="B2892" s="37" t="inlineStr">
        <is>
          <t>Melton</t>
        </is>
      </c>
      <c r="C2892" s="37" t="inlineStr">
        <is>
          <t>David</t>
        </is>
      </c>
      <c r="D2892" s="37" t="inlineStr">
        <is>
          <t>ACTIVE_WAITLIST</t>
        </is>
      </c>
      <c r="E2892" s="37" t="n">
        <v>40.2</v>
      </c>
      <c r="F2892" s="37" t="n">
        <v>14.2</v>
      </c>
    </row>
    <row r="2893">
      <c r="A2893" s="37" t="inlineStr">
        <is>
          <t>WL-03892</t>
        </is>
      </c>
      <c r="B2893" s="37" t="inlineStr">
        <is>
          <t>Montgomery</t>
        </is>
      </c>
      <c r="C2893" s="37" t="inlineStr">
        <is>
          <t>John</t>
        </is>
      </c>
      <c r="D2893" s="37" t="inlineStr">
        <is>
          <t>SUSPENDED</t>
        </is>
      </c>
      <c r="E2893" s="37" t="n">
        <v>48.6</v>
      </c>
      <c r="F2893" s="37" t="n">
        <v>16.8</v>
      </c>
    </row>
    <row r="2894">
      <c r="A2894" s="37" t="inlineStr">
        <is>
          <t>WL-03893</t>
        </is>
      </c>
      <c r="B2894" s="37" t="inlineStr">
        <is>
          <t>Nolan</t>
        </is>
      </c>
      <c r="C2894" s="37" t="inlineStr">
        <is>
          <t>James</t>
        </is>
      </c>
      <c r="D2894" s="37" t="inlineStr">
        <is>
          <t>ACTIVE_WAITLIST</t>
        </is>
      </c>
      <c r="E2894" s="37" t="n">
        <v>53</v>
      </c>
      <c r="F2894" s="37" t="n">
        <v>16.3</v>
      </c>
    </row>
    <row r="2895">
      <c r="A2895" s="37" t="inlineStr">
        <is>
          <t>WL-03894</t>
        </is>
      </c>
      <c r="B2895" s="37" t="inlineStr">
        <is>
          <t>Gardner</t>
        </is>
      </c>
      <c r="C2895" s="37" t="inlineStr">
        <is>
          <t>William</t>
        </is>
      </c>
      <c r="D2895" s="37" t="inlineStr">
        <is>
          <t>ACTIVE_WAITLIST</t>
        </is>
      </c>
      <c r="E2895" s="37" t="n">
        <v>47.6</v>
      </c>
      <c r="F2895" s="37" t="n">
        <v>14</v>
      </c>
    </row>
    <row r="2896">
      <c r="A2896" s="37" t="inlineStr">
        <is>
          <t>WL-03895</t>
        </is>
      </c>
      <c r="B2896" s="37" t="inlineStr">
        <is>
          <t>Martin</t>
        </is>
      </c>
      <c r="C2896" s="37" t="inlineStr">
        <is>
          <t>Michael</t>
        </is>
      </c>
      <c r="D2896" s="37" t="inlineStr">
        <is>
          <t>RETAINER</t>
        </is>
      </c>
      <c r="E2896" s="37" t="n">
        <v>27.8</v>
      </c>
      <c r="F2896" s="37" t="n">
        <v>9.9</v>
      </c>
    </row>
    <row r="2897">
      <c r="A2897" s="37" t="inlineStr">
        <is>
          <t>WL-03896</t>
        </is>
      </c>
      <c r="B2897" s="37" t="inlineStr">
        <is>
          <t>Hammond</t>
        </is>
      </c>
      <c r="C2897" s="37" t="inlineStr">
        <is>
          <t>Stephen</t>
        </is>
      </c>
      <c r="D2897" s="37" t="inlineStr">
        <is>
          <t>ACTIVE_WAITLIST</t>
        </is>
      </c>
      <c r="E2897" s="37" t="n">
        <v>24.3</v>
      </c>
      <c r="F2897" s="37" t="n">
        <v>8.5</v>
      </c>
    </row>
    <row r="2898">
      <c r="A2898" s="37" t="inlineStr">
        <is>
          <t>WL-03897</t>
        </is>
      </c>
      <c r="B2898" s="37" t="inlineStr">
        <is>
          <t>Green</t>
        </is>
      </c>
      <c r="C2898" s="37" t="inlineStr">
        <is>
          <t>Sherry</t>
        </is>
      </c>
      <c r="D2898" s="37" t="inlineStr">
        <is>
          <t>EXPIRED</t>
        </is>
      </c>
      <c r="E2898" s="37" t="n">
        <v>59.4</v>
      </c>
      <c r="F2898" s="37" t="n">
        <v>18.1</v>
      </c>
    </row>
    <row r="2899">
      <c r="A2899" s="37" t="inlineStr">
        <is>
          <t>WL-03898</t>
        </is>
      </c>
      <c r="B2899" s="37" t="inlineStr">
        <is>
          <t>Price</t>
        </is>
      </c>
      <c r="C2899" s="37" t="inlineStr">
        <is>
          <t>Nichole</t>
        </is>
      </c>
      <c r="D2899" s="37" t="inlineStr">
        <is>
          <t>SUSPENDED</t>
        </is>
      </c>
      <c r="E2899" s="37" t="n">
        <v>43.7</v>
      </c>
      <c r="F2899" s="37" t="n">
        <v>14.5</v>
      </c>
    </row>
    <row r="2900">
      <c r="A2900" s="37" t="inlineStr">
        <is>
          <t>WL-03899</t>
        </is>
      </c>
      <c r="B2900" s="37" t="inlineStr">
        <is>
          <t>Jackson</t>
        </is>
      </c>
      <c r="C2900" s="37" t="inlineStr">
        <is>
          <t>Kyle</t>
        </is>
      </c>
      <c r="D2900" s="37" t="inlineStr">
        <is>
          <t>ACTIVE_WAITLIST</t>
        </is>
      </c>
      <c r="E2900" s="37" t="n">
        <v>18.5</v>
      </c>
      <c r="F2900" s="37" t="n">
        <v>6.6</v>
      </c>
    </row>
    <row r="2901">
      <c r="A2901" s="37" t="inlineStr">
        <is>
          <t>WL-03900</t>
        </is>
      </c>
      <c r="B2901" s="37" t="inlineStr">
        <is>
          <t>Mckay</t>
        </is>
      </c>
      <c r="C2901" s="37" t="inlineStr">
        <is>
          <t>Jonathan</t>
        </is>
      </c>
      <c r="D2901" s="37" t="inlineStr">
        <is>
          <t>ACTIVE_WAITLIST</t>
        </is>
      </c>
      <c r="E2901" s="37" t="n">
        <v>35.2</v>
      </c>
      <c r="F2901" s="37" t="n">
        <v>12.2</v>
      </c>
    </row>
    <row r="2902">
      <c r="A2902" s="37" t="inlineStr">
        <is>
          <t>WL-03901</t>
        </is>
      </c>
      <c r="B2902" s="37" t="inlineStr">
        <is>
          <t>Vasquez</t>
        </is>
      </c>
      <c r="C2902" s="37" t="inlineStr">
        <is>
          <t>Michael</t>
        </is>
      </c>
      <c r="D2902" s="37" t="inlineStr">
        <is>
          <t>ACTIVE_WAITLIST</t>
        </is>
      </c>
      <c r="E2902" s="37" t="n">
        <v>61.1</v>
      </c>
      <c r="F2902" s="37" t="n">
        <v>17.2</v>
      </c>
    </row>
    <row r="2903">
      <c r="A2903" s="37" t="inlineStr">
        <is>
          <t>WL-03902</t>
        </is>
      </c>
      <c r="B2903" s="37" t="inlineStr">
        <is>
          <t>Browning</t>
        </is>
      </c>
      <c r="C2903" s="37" t="inlineStr">
        <is>
          <t>Andrew</t>
        </is>
      </c>
      <c r="D2903" s="37" t="inlineStr">
        <is>
          <t>EXPIRED</t>
        </is>
      </c>
      <c r="E2903" s="37" t="n">
        <v>44.6</v>
      </c>
      <c r="F2903" s="37" t="n">
        <v>14.2</v>
      </c>
    </row>
    <row r="2904">
      <c r="A2904" s="37" t="inlineStr">
        <is>
          <t>WL-03903</t>
        </is>
      </c>
      <c r="B2904" s="37" t="inlineStr">
        <is>
          <t>Willis</t>
        </is>
      </c>
      <c r="C2904" s="37" t="inlineStr">
        <is>
          <t>Deborah</t>
        </is>
      </c>
      <c r="D2904" s="37" t="inlineStr">
        <is>
          <t>ACTIVE_WAITLIST</t>
        </is>
      </c>
      <c r="E2904" s="37" t="n">
        <v>31.4</v>
      </c>
      <c r="F2904" s="37" t="n">
        <v>8.9</v>
      </c>
    </row>
    <row r="2905">
      <c r="A2905" s="37" t="inlineStr">
        <is>
          <t>WL-03904</t>
        </is>
      </c>
      <c r="B2905" s="37" t="inlineStr">
        <is>
          <t>Trevino</t>
        </is>
      </c>
      <c r="C2905" s="37" t="inlineStr">
        <is>
          <t>Peggy</t>
        </is>
      </c>
      <c r="D2905" s="37" t="inlineStr">
        <is>
          <t>ACTIVE_WAITLIST</t>
        </is>
      </c>
      <c r="E2905" s="37" t="n">
        <v>33.7</v>
      </c>
      <c r="F2905" s="37" t="n">
        <v>10.2</v>
      </c>
    </row>
    <row r="2906">
      <c r="A2906" s="37" t="inlineStr">
        <is>
          <t>WL-03905</t>
        </is>
      </c>
      <c r="B2906" s="37" t="inlineStr">
        <is>
          <t>Carpenter</t>
        </is>
      </c>
      <c r="C2906" s="37" t="inlineStr">
        <is>
          <t>Jamie</t>
        </is>
      </c>
      <c r="D2906" s="37" t="inlineStr">
        <is>
          <t>ACTIVE_WAITLIST</t>
        </is>
      </c>
      <c r="E2906" s="37" t="n">
        <v>22.6</v>
      </c>
      <c r="F2906" s="37" t="n">
        <v>6.7</v>
      </c>
    </row>
    <row r="2907">
      <c r="A2907" s="37" t="inlineStr">
        <is>
          <t>WL-03906</t>
        </is>
      </c>
      <c r="B2907" s="37" t="inlineStr">
        <is>
          <t>Duncan</t>
        </is>
      </c>
      <c r="C2907" s="37" t="inlineStr">
        <is>
          <t>James</t>
        </is>
      </c>
      <c r="D2907" s="37" t="inlineStr">
        <is>
          <t>ACTIVE_WAITLIST</t>
        </is>
      </c>
      <c r="E2907" s="37" t="n">
        <v>41.5</v>
      </c>
      <c r="F2907" s="37" t="n">
        <v>14.1</v>
      </c>
    </row>
    <row r="2908">
      <c r="A2908" s="37" t="inlineStr">
        <is>
          <t>WL-03907</t>
        </is>
      </c>
      <c r="B2908" s="37" t="inlineStr">
        <is>
          <t>Collins</t>
        </is>
      </c>
      <c r="C2908" s="37" t="inlineStr">
        <is>
          <t>Ryan</t>
        </is>
      </c>
      <c r="D2908" s="37" t="inlineStr">
        <is>
          <t>ACTIVE_WAITLIST</t>
        </is>
      </c>
      <c r="E2908" s="37" t="n">
        <v>35.9</v>
      </c>
      <c r="F2908" s="37" t="n">
        <v>10.3</v>
      </c>
    </row>
    <row r="2909">
      <c r="A2909" s="37" t="inlineStr">
        <is>
          <t>WL-03908</t>
        </is>
      </c>
      <c r="B2909" s="37" t="inlineStr">
        <is>
          <t>Ibarra</t>
        </is>
      </c>
      <c r="C2909" s="37" t="inlineStr">
        <is>
          <t>Kaitlin</t>
        </is>
      </c>
      <c r="D2909" s="37" t="inlineStr">
        <is>
          <t>EXPIRED</t>
        </is>
      </c>
      <c r="E2909" s="37" t="n">
        <v>50.1</v>
      </c>
      <c r="F2909" s="37" t="n">
        <v>16.2</v>
      </c>
    </row>
    <row r="2910">
      <c r="A2910" s="37" t="inlineStr">
        <is>
          <t>WL-03909</t>
        </is>
      </c>
      <c r="B2910" s="37" t="inlineStr">
        <is>
          <t>Edwards</t>
        </is>
      </c>
      <c r="C2910" s="37" t="inlineStr">
        <is>
          <t>Elizabeth</t>
        </is>
      </c>
      <c r="D2910" s="37" t="inlineStr">
        <is>
          <t>ACTIVE_WAITLIST</t>
        </is>
      </c>
      <c r="E2910" s="37" t="n">
        <v>30.5</v>
      </c>
      <c r="F2910" s="37" t="n">
        <v>10.1</v>
      </c>
    </row>
    <row r="2911">
      <c r="A2911" s="37" t="inlineStr">
        <is>
          <t>WL-03910</t>
        </is>
      </c>
      <c r="B2911" s="37" t="inlineStr">
        <is>
          <t>Buchanan</t>
        </is>
      </c>
      <c r="C2911" s="37" t="inlineStr">
        <is>
          <t>Brian</t>
        </is>
      </c>
      <c r="D2911" s="37" t="inlineStr">
        <is>
          <t>ACTIVE_WAITLIST</t>
        </is>
      </c>
      <c r="E2911" s="37" t="n">
        <v>44.8</v>
      </c>
      <c r="F2911" s="37" t="n">
        <v>12.7</v>
      </c>
    </row>
  </sheetData>
  <autoFilter ref="A1:F29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36" t="inlineStr">
        <is>
          <t>offer_id</t>
        </is>
      </c>
      <c r="B1" s="36" t="inlineStr">
        <is>
          <t>offer_date</t>
        </is>
      </c>
      <c r="C1" s="36" t="inlineStr">
        <is>
          <t>applicant_id</t>
        </is>
      </c>
      <c r="D1" s="36" t="inlineStr">
        <is>
          <t>rank_at_offer</t>
        </is>
      </c>
      <c r="E1" s="36" t="inlineStr">
        <is>
          <t>slip_id</t>
        </is>
      </c>
      <c r="F1" s="36" t="inlineStr">
        <is>
          <t>basin</t>
        </is>
      </c>
      <c r="G1" s="36" t="inlineStr">
        <is>
          <t>slip_size_ft</t>
        </is>
      </c>
      <c r="H1" s="36" t="inlineStr">
        <is>
          <t>covered</t>
        </is>
      </c>
      <c r="I1" s="36" t="inlineStr">
        <is>
          <t>outcome</t>
        </is>
      </c>
      <c r="J1" s="36" t="inlineStr">
        <is>
          <t>skip_reason_code</t>
        </is>
      </c>
    </row>
    <row r="2">
      <c r="A2" s="37" t="inlineStr">
        <is>
          <t>OFR-2022-0001</t>
        </is>
      </c>
      <c r="B2" s="43" t="n">
        <v>44582</v>
      </c>
      <c r="C2" s="37" t="inlineStr">
        <is>
          <t>WL-02136</t>
        </is>
      </c>
      <c r="D2" s="37" t="n">
        <v>1136</v>
      </c>
      <c r="E2" s="37" t="inlineStr">
        <is>
          <t>GW-0701</t>
        </is>
      </c>
      <c r="F2" s="37" t="inlineStr">
        <is>
          <t>Gullwing</t>
        </is>
      </c>
      <c r="G2" s="37" t="n">
        <v>80</v>
      </c>
      <c r="H2" s="37" t="inlineStr">
        <is>
          <t>OPEN</t>
        </is>
      </c>
      <c r="I2" s="37" t="inlineStr">
        <is>
          <t>SKIPPED</t>
        </is>
      </c>
      <c r="J2" s="37" t="inlineStr">
        <is>
          <t>vessel-fit</t>
        </is>
      </c>
    </row>
    <row r="3">
      <c r="A3" s="37" t="inlineStr">
        <is>
          <t>OFR-2022-0002</t>
        </is>
      </c>
      <c r="B3" s="43" t="n">
        <v>44569</v>
      </c>
      <c r="C3" s="37" t="inlineStr">
        <is>
          <t>WL-02400</t>
        </is>
      </c>
      <c r="D3" s="37" t="n">
        <v>1400</v>
      </c>
      <c r="E3" s="37" t="inlineStr">
        <is>
          <t>VB-0907</t>
        </is>
      </c>
      <c r="F3" s="37" t="inlineStr">
        <is>
          <t>Vessbank</t>
        </is>
      </c>
      <c r="G3" s="37" t="n">
        <v>28</v>
      </c>
      <c r="H3" s="37" t="inlineStr">
        <is>
          <t>COVERED</t>
        </is>
      </c>
      <c r="I3" s="37" t="inlineStr">
        <is>
          <t>ACCEPTED</t>
        </is>
      </c>
    </row>
    <row r="4">
      <c r="A4" s="37" t="inlineStr">
        <is>
          <t>OFR-2022-0003</t>
        </is>
      </c>
      <c r="B4" s="43" t="n">
        <v>44575</v>
      </c>
      <c r="C4" s="37" t="inlineStr">
        <is>
          <t>WL-02494</t>
        </is>
      </c>
      <c r="D4" s="37" t="n">
        <v>1494</v>
      </c>
      <c r="E4" s="37" t="inlineStr">
        <is>
          <t>GW-0710</t>
        </is>
      </c>
      <c r="F4" s="37" t="inlineStr">
        <is>
          <t>Gullwing</t>
        </is>
      </c>
      <c r="G4" s="37" t="n">
        <v>36</v>
      </c>
      <c r="H4" s="37" t="inlineStr">
        <is>
          <t>OPEN</t>
        </is>
      </c>
      <c r="I4" s="37" t="inlineStr">
        <is>
          <t>DECLINED_RETAINER</t>
        </is>
      </c>
    </row>
    <row r="5">
      <c r="A5" s="37" t="inlineStr">
        <is>
          <t>OFR-2022-0004</t>
        </is>
      </c>
      <c r="B5" s="43" t="n">
        <v>44584</v>
      </c>
      <c r="C5" s="37" t="inlineStr">
        <is>
          <t>WL-01104</t>
        </is>
      </c>
      <c r="D5" s="37" t="n">
        <v>104</v>
      </c>
      <c r="E5" s="37" t="inlineStr">
        <is>
          <t>LP-0414</t>
        </is>
      </c>
      <c r="F5" s="37" t="inlineStr">
        <is>
          <t>Ledgport</t>
        </is>
      </c>
      <c r="G5" s="37" t="n">
        <v>40</v>
      </c>
      <c r="H5" s="37" t="inlineStr">
        <is>
          <t>COVERED</t>
        </is>
      </c>
      <c r="I5" s="37" t="inlineStr">
        <is>
          <t>EXPIRED</t>
        </is>
      </c>
    </row>
    <row r="6">
      <c r="A6" s="37" t="inlineStr">
        <is>
          <t>OFR-2022-0005</t>
        </is>
      </c>
      <c r="B6" s="43" t="n">
        <v>44577</v>
      </c>
      <c r="C6" s="37" t="inlineStr">
        <is>
          <t>WL-02683</t>
        </is>
      </c>
      <c r="D6" s="37" t="n">
        <v>1683</v>
      </c>
      <c r="E6" s="37" t="inlineStr">
        <is>
          <t>LP-0804</t>
        </is>
      </c>
      <c r="F6" s="37" t="inlineStr">
        <is>
          <t>Ledgport</t>
        </is>
      </c>
      <c r="G6" s="37" t="n">
        <v>32</v>
      </c>
      <c r="H6" s="37" t="inlineStr">
        <is>
          <t>COVERED</t>
        </is>
      </c>
      <c r="I6" s="37" t="inlineStr">
        <is>
          <t>ACCEPTED</t>
        </is>
      </c>
    </row>
    <row r="7">
      <c r="A7" s="37" t="inlineStr">
        <is>
          <t>OFR-2022-0006</t>
        </is>
      </c>
      <c r="B7" s="43" t="n">
        <v>44570</v>
      </c>
      <c r="C7" s="37" t="inlineStr">
        <is>
          <t>WL-03173</t>
        </is>
      </c>
      <c r="D7" s="37" t="n">
        <v>2173</v>
      </c>
      <c r="E7" s="37" t="inlineStr">
        <is>
          <t>SB-0812</t>
        </is>
      </c>
      <c r="F7" s="37" t="inlineStr">
        <is>
          <t>Salmonberry</t>
        </is>
      </c>
      <c r="G7" s="37" t="n">
        <v>32</v>
      </c>
      <c r="H7" s="37" t="inlineStr">
        <is>
          <t>OPEN</t>
        </is>
      </c>
      <c r="I7" s="37" t="inlineStr">
        <is>
          <t>PENDING</t>
        </is>
      </c>
    </row>
    <row r="8">
      <c r="A8" s="37" t="inlineStr">
        <is>
          <t>OFR-2022-0007</t>
        </is>
      </c>
      <c r="B8" s="43" t="n">
        <v>44562</v>
      </c>
      <c r="C8" s="37" t="inlineStr">
        <is>
          <t>WL-01369</t>
        </is>
      </c>
      <c r="D8" s="37" t="n">
        <v>369</v>
      </c>
      <c r="E8" s="37" t="inlineStr">
        <is>
          <t>EW-0818</t>
        </is>
      </c>
      <c r="F8" s="37" t="inlineStr">
        <is>
          <t>Eastwey</t>
        </is>
      </c>
      <c r="G8" s="37" t="n">
        <v>32</v>
      </c>
      <c r="H8" s="37" t="inlineStr">
        <is>
          <t>OPEN</t>
        </is>
      </c>
      <c r="I8" s="37" t="inlineStr">
        <is>
          <t>EXPIRED</t>
        </is>
      </c>
    </row>
    <row r="9">
      <c r="A9" s="37" t="inlineStr">
        <is>
          <t>OFR-2022-0008</t>
        </is>
      </c>
      <c r="B9" s="43" t="n">
        <v>44563</v>
      </c>
      <c r="C9" s="37" t="inlineStr">
        <is>
          <t>WL-02883</t>
        </is>
      </c>
      <c r="D9" s="37" t="n">
        <v>1883</v>
      </c>
      <c r="E9" s="37" t="inlineStr">
        <is>
          <t>SB-0209</t>
        </is>
      </c>
      <c r="F9" s="37" t="inlineStr">
        <is>
          <t>Salmonberry</t>
        </is>
      </c>
      <c r="G9" s="37" t="n">
        <v>24</v>
      </c>
      <c r="H9" s="37" t="inlineStr">
        <is>
          <t>OPEN</t>
        </is>
      </c>
      <c r="I9" s="37" t="inlineStr">
        <is>
          <t>EXPIRED</t>
        </is>
      </c>
    </row>
    <row r="10">
      <c r="A10" s="37" t="inlineStr">
        <is>
          <t>OFR-2022-0009</t>
        </is>
      </c>
      <c r="B10" s="43" t="n">
        <v>44581</v>
      </c>
      <c r="C10" s="37" t="inlineStr">
        <is>
          <t>WL-02049</t>
        </is>
      </c>
      <c r="D10" s="37" t="n">
        <v>1049</v>
      </c>
      <c r="E10" s="37" t="inlineStr">
        <is>
          <t>LP-0707</t>
        </is>
      </c>
      <c r="F10" s="37" t="inlineStr">
        <is>
          <t>Ledgport</t>
        </is>
      </c>
      <c r="G10" s="37" t="n">
        <v>28</v>
      </c>
      <c r="H10" s="37" t="inlineStr">
        <is>
          <t>COVERED</t>
        </is>
      </c>
      <c r="I10" s="37" t="inlineStr">
        <is>
          <t>DECLINED_RETAINER</t>
        </is>
      </c>
    </row>
    <row r="11">
      <c r="A11" s="37" t="inlineStr">
        <is>
          <t>OFR-2022-0010</t>
        </is>
      </c>
      <c r="B11" s="43" t="n">
        <v>44582</v>
      </c>
      <c r="C11" s="37" t="inlineStr">
        <is>
          <t>WL-01004</t>
        </is>
      </c>
      <c r="D11" s="37" t="n">
        <v>4</v>
      </c>
      <c r="E11" s="37" t="inlineStr">
        <is>
          <t>GW-0411</t>
        </is>
      </c>
      <c r="F11" s="37" t="inlineStr">
        <is>
          <t>Gullwing</t>
        </is>
      </c>
      <c r="G11" s="37" t="n">
        <v>32</v>
      </c>
      <c r="H11" s="37" t="inlineStr">
        <is>
          <t>OPEN</t>
        </is>
      </c>
      <c r="I11" s="37" t="inlineStr">
        <is>
          <t>SKIPPED</t>
        </is>
      </c>
      <c r="J11" s="37" t="inlineStr">
        <is>
          <t>not-current</t>
        </is>
      </c>
    </row>
    <row r="12">
      <c r="A12" s="37" t="inlineStr">
        <is>
          <t>OFR-2022-0011</t>
        </is>
      </c>
      <c r="B12" s="43" t="n">
        <v>44571</v>
      </c>
      <c r="C12" s="37" t="inlineStr">
        <is>
          <t>WL-03553</t>
        </is>
      </c>
      <c r="D12" s="37" t="n">
        <v>2553</v>
      </c>
      <c r="E12" s="37" t="inlineStr">
        <is>
          <t>VB-0820</t>
        </is>
      </c>
      <c r="F12" s="37" t="inlineStr">
        <is>
          <t>Vessbank</t>
        </is>
      </c>
      <c r="G12" s="37" t="n">
        <v>36</v>
      </c>
      <c r="H12" s="37" t="inlineStr">
        <is>
          <t>COVERED</t>
        </is>
      </c>
      <c r="I12" s="37" t="inlineStr">
        <is>
          <t>ACCEPTED</t>
        </is>
      </c>
    </row>
    <row r="13">
      <c r="A13" s="37" t="inlineStr">
        <is>
          <t>OFR-2022-0012</t>
        </is>
      </c>
      <c r="B13" s="43" t="n">
        <v>44568</v>
      </c>
      <c r="C13" s="37" t="inlineStr">
        <is>
          <t>WL-03449</t>
        </is>
      </c>
      <c r="D13" s="37" t="n">
        <v>2449</v>
      </c>
      <c r="E13" s="37" t="inlineStr">
        <is>
          <t>LP-0313</t>
        </is>
      </c>
      <c r="F13" s="37" t="inlineStr">
        <is>
          <t>Ledgport</t>
        </is>
      </c>
      <c r="G13" s="37" t="n">
        <v>32</v>
      </c>
      <c r="H13" s="37" t="inlineStr">
        <is>
          <t>COVERED</t>
        </is>
      </c>
      <c r="I13" s="37" t="inlineStr">
        <is>
          <t>DECLINED_RETAINER</t>
        </is>
      </c>
    </row>
    <row r="14">
      <c r="A14" s="37" t="inlineStr">
        <is>
          <t>OFR-2022-0013</t>
        </is>
      </c>
      <c r="B14" s="43" t="n">
        <v>44585</v>
      </c>
      <c r="C14" s="37" t="inlineStr">
        <is>
          <t>WL-03735</t>
        </is>
      </c>
      <c r="D14" s="37" t="n">
        <v>2735</v>
      </c>
      <c r="E14" s="37" t="inlineStr">
        <is>
          <t>LP-0612</t>
        </is>
      </c>
      <c r="F14" s="37" t="inlineStr">
        <is>
          <t>Ledgport</t>
        </is>
      </c>
      <c r="G14" s="37" t="n">
        <v>32</v>
      </c>
      <c r="H14" s="37" t="inlineStr">
        <is>
          <t>COVERED</t>
        </is>
      </c>
      <c r="I14" s="37" t="inlineStr">
        <is>
          <t>ACCEPTED</t>
        </is>
      </c>
    </row>
    <row r="15">
      <c r="A15" s="37" t="inlineStr">
        <is>
          <t>OFR-2022-0014</t>
        </is>
      </c>
      <c r="B15" s="43" t="n">
        <v>44568</v>
      </c>
      <c r="C15" s="37" t="inlineStr">
        <is>
          <t>WL-03826</t>
        </is>
      </c>
      <c r="D15" s="37" t="n">
        <v>2826</v>
      </c>
      <c r="E15" s="37" t="inlineStr">
        <is>
          <t>LP-0216</t>
        </is>
      </c>
      <c r="F15" s="37" t="inlineStr">
        <is>
          <t>Ledgport</t>
        </is>
      </c>
      <c r="G15" s="37" t="n">
        <v>32</v>
      </c>
      <c r="H15" s="37" t="inlineStr">
        <is>
          <t>COVERED</t>
        </is>
      </c>
      <c r="I15" s="37" t="inlineStr">
        <is>
          <t>DECLINED_RETAINER</t>
        </is>
      </c>
    </row>
    <row r="16">
      <c r="A16" s="37" t="inlineStr">
        <is>
          <t>OFR-2022-0015</t>
        </is>
      </c>
      <c r="B16" s="43" t="n">
        <v>44574</v>
      </c>
      <c r="C16" s="37" t="inlineStr">
        <is>
          <t>WL-01817</t>
        </is>
      </c>
      <c r="D16" s="37" t="n">
        <v>817</v>
      </c>
      <c r="E16" s="37" t="inlineStr">
        <is>
          <t>SB-0307</t>
        </is>
      </c>
      <c r="F16" s="37" t="inlineStr">
        <is>
          <t>Salmonberry</t>
        </is>
      </c>
      <c r="G16" s="37" t="n">
        <v>32</v>
      </c>
      <c r="H16" s="37" t="inlineStr">
        <is>
          <t>OPEN</t>
        </is>
      </c>
      <c r="I16" s="37" t="inlineStr">
        <is>
          <t>DECLINED_RETAINER</t>
        </is>
      </c>
    </row>
    <row r="17">
      <c r="A17" s="37" t="inlineStr">
        <is>
          <t>OFR-2022-0016</t>
        </is>
      </c>
      <c r="B17" s="43" t="n">
        <v>44577</v>
      </c>
      <c r="C17" s="37" t="inlineStr">
        <is>
          <t>WL-01468</t>
        </is>
      </c>
      <c r="D17" s="37" t="n">
        <v>468</v>
      </c>
      <c r="E17" s="37" t="inlineStr">
        <is>
          <t>LP-1003</t>
        </is>
      </c>
      <c r="F17" s="37" t="inlineStr">
        <is>
          <t>Ledgport</t>
        </is>
      </c>
      <c r="G17" s="37" t="n">
        <v>28</v>
      </c>
      <c r="H17" s="37" t="inlineStr">
        <is>
          <t>COVERED</t>
        </is>
      </c>
      <c r="I17" s="37" t="inlineStr">
        <is>
          <t>ACCEPTED</t>
        </is>
      </c>
    </row>
    <row r="18">
      <c r="A18" s="37" t="inlineStr">
        <is>
          <t>OFR-2022-0017</t>
        </is>
      </c>
      <c r="B18" s="43" t="n">
        <v>44576</v>
      </c>
      <c r="C18" s="37" t="inlineStr">
        <is>
          <t>WL-02851</t>
        </is>
      </c>
      <c r="D18" s="37" t="n">
        <v>1851</v>
      </c>
      <c r="E18" s="37" t="inlineStr">
        <is>
          <t>SB-0315</t>
        </is>
      </c>
      <c r="F18" s="37" t="inlineStr">
        <is>
          <t>Salmonberry</t>
        </is>
      </c>
      <c r="G18" s="37" t="n">
        <v>24</v>
      </c>
      <c r="H18" s="37" t="inlineStr">
        <is>
          <t>OPEN</t>
        </is>
      </c>
      <c r="I18" s="37" t="inlineStr">
        <is>
          <t>DECLINED</t>
        </is>
      </c>
    </row>
    <row r="19">
      <c r="A19" s="37" t="inlineStr">
        <is>
          <t>OFR-2022-0018</t>
        </is>
      </c>
      <c r="B19" s="43" t="n">
        <v>44575</v>
      </c>
      <c r="C19" s="37" t="inlineStr">
        <is>
          <t>WL-01364</t>
        </is>
      </c>
      <c r="D19" s="37" t="n">
        <v>364</v>
      </c>
      <c r="E19" s="37" t="inlineStr">
        <is>
          <t>GW-0811</t>
        </is>
      </c>
      <c r="F19" s="37" t="inlineStr">
        <is>
          <t>Gullwing</t>
        </is>
      </c>
      <c r="G19" s="37" t="n">
        <v>45</v>
      </c>
      <c r="H19" s="37" t="inlineStr">
        <is>
          <t>OPEN</t>
        </is>
      </c>
      <c r="I19" s="37" t="inlineStr">
        <is>
          <t>SKIPPED</t>
        </is>
      </c>
      <c r="J19" s="37" t="inlineStr">
        <is>
          <t>declined-prior-offer</t>
        </is>
      </c>
    </row>
    <row r="20">
      <c r="A20" s="37" t="inlineStr">
        <is>
          <t>OFR-2022-0019</t>
        </is>
      </c>
      <c r="B20" s="43" t="n">
        <v>44578</v>
      </c>
      <c r="C20" s="37" t="inlineStr">
        <is>
          <t>WL-01700</t>
        </is>
      </c>
      <c r="D20" s="37" t="n">
        <v>700</v>
      </c>
      <c r="E20" s="37" t="inlineStr">
        <is>
          <t>LP-1019</t>
        </is>
      </c>
      <c r="F20" s="37" t="inlineStr">
        <is>
          <t>Ledgport</t>
        </is>
      </c>
      <c r="G20" s="37" t="n">
        <v>32</v>
      </c>
      <c r="H20" s="37" t="inlineStr">
        <is>
          <t>COVERED</t>
        </is>
      </c>
      <c r="I20" s="37" t="inlineStr">
        <is>
          <t>SKIPPED</t>
        </is>
      </c>
      <c r="J20" s="37" t="inlineStr">
        <is>
          <t>vessel-fit</t>
        </is>
      </c>
    </row>
    <row r="21">
      <c r="A21" s="37" t="inlineStr">
        <is>
          <t>OFR-2022-0020</t>
        </is>
      </c>
      <c r="B21" s="43" t="n">
        <v>44573</v>
      </c>
      <c r="C21" s="37" t="inlineStr">
        <is>
          <t>WL-01605</t>
        </is>
      </c>
      <c r="D21" s="37" t="n">
        <v>605</v>
      </c>
      <c r="E21" s="37" t="inlineStr">
        <is>
          <t>LP-0111</t>
        </is>
      </c>
      <c r="F21" s="37" t="inlineStr">
        <is>
          <t>Ledgport</t>
        </is>
      </c>
      <c r="G21" s="37" t="n">
        <v>40</v>
      </c>
      <c r="H21" s="37" t="inlineStr">
        <is>
          <t>COVERED</t>
        </is>
      </c>
      <c r="I21" s="37" t="inlineStr">
        <is>
          <t>DECLINED</t>
        </is>
      </c>
    </row>
    <row r="22">
      <c r="A22" s="37" t="inlineStr">
        <is>
          <t>OFR-2022-0021</t>
        </is>
      </c>
      <c r="B22" s="43" t="n">
        <v>44579</v>
      </c>
      <c r="C22" s="37" t="inlineStr">
        <is>
          <t>WL-03516</t>
        </is>
      </c>
      <c r="D22" s="37" t="n">
        <v>2516</v>
      </c>
      <c r="E22" s="37" t="inlineStr">
        <is>
          <t>GW-0419</t>
        </is>
      </c>
      <c r="F22" s="37" t="inlineStr">
        <is>
          <t>Gullwing</t>
        </is>
      </c>
      <c r="G22" s="37" t="n">
        <v>32</v>
      </c>
      <c r="H22" s="37" t="inlineStr">
        <is>
          <t>OPEN</t>
        </is>
      </c>
      <c r="I22" s="37" t="inlineStr">
        <is>
          <t>EXPIRED</t>
        </is>
      </c>
    </row>
    <row r="23">
      <c r="A23" s="37" t="inlineStr">
        <is>
          <t>OFR-2022-0022</t>
        </is>
      </c>
      <c r="B23" s="43" t="n">
        <v>44564</v>
      </c>
      <c r="C23" s="37" t="inlineStr">
        <is>
          <t>WL-01553</t>
        </is>
      </c>
      <c r="D23" s="37" t="n">
        <v>553</v>
      </c>
      <c r="E23" s="37" t="inlineStr">
        <is>
          <t>EW-0408</t>
        </is>
      </c>
      <c r="F23" s="37" t="inlineStr">
        <is>
          <t>Eastwey</t>
        </is>
      </c>
      <c r="G23" s="37" t="n">
        <v>28</v>
      </c>
      <c r="H23" s="37" t="inlineStr">
        <is>
          <t>OPEN</t>
        </is>
      </c>
      <c r="I23" s="37" t="inlineStr">
        <is>
          <t>DECLINED</t>
        </is>
      </c>
    </row>
    <row r="24">
      <c r="A24" s="37" t="inlineStr">
        <is>
          <t>OFR-2022-0023</t>
        </is>
      </c>
      <c r="B24" s="43" t="n">
        <v>44585</v>
      </c>
      <c r="C24" s="37" t="inlineStr">
        <is>
          <t>WL-01399</t>
        </is>
      </c>
      <c r="D24" s="37" t="n">
        <v>399</v>
      </c>
      <c r="E24" s="37" t="inlineStr">
        <is>
          <t>LP-0320</t>
        </is>
      </c>
      <c r="F24" s="37" t="inlineStr">
        <is>
          <t>Ledgport</t>
        </is>
      </c>
      <c r="G24" s="37" t="n">
        <v>24</v>
      </c>
      <c r="H24" s="37" t="inlineStr">
        <is>
          <t>COVERED</t>
        </is>
      </c>
      <c r="I24" s="37" t="inlineStr">
        <is>
          <t>SKIPPED</t>
        </is>
      </c>
      <c r="J24" s="37" t="inlineStr">
        <is>
          <t>preference-mismatch</t>
        </is>
      </c>
    </row>
    <row r="25">
      <c r="A25" s="37" t="inlineStr">
        <is>
          <t>OFR-2022-0024</t>
        </is>
      </c>
      <c r="B25" s="43" t="n">
        <v>44603</v>
      </c>
      <c r="C25" s="37" t="inlineStr">
        <is>
          <t>WL-03158</t>
        </is>
      </c>
      <c r="D25" s="37" t="n">
        <v>2158</v>
      </c>
      <c r="E25" s="37" t="inlineStr">
        <is>
          <t>EW-0911</t>
        </is>
      </c>
      <c r="F25" s="37" t="inlineStr">
        <is>
          <t>Eastwey</t>
        </is>
      </c>
      <c r="G25" s="37" t="n">
        <v>60</v>
      </c>
      <c r="H25" s="37" t="inlineStr">
        <is>
          <t>OPEN</t>
        </is>
      </c>
      <c r="I25" s="37" t="inlineStr">
        <is>
          <t>ACCEPTED</t>
        </is>
      </c>
    </row>
    <row r="26">
      <c r="A26" s="37" t="inlineStr">
        <is>
          <t>OFR-2022-0025</t>
        </is>
      </c>
      <c r="B26" s="43" t="n">
        <v>44614</v>
      </c>
      <c r="C26" s="37" t="inlineStr">
        <is>
          <t>WL-03852</t>
        </is>
      </c>
      <c r="D26" s="37" t="n">
        <v>2852</v>
      </c>
      <c r="E26" s="37" t="inlineStr">
        <is>
          <t>EW-0313</t>
        </is>
      </c>
      <c r="F26" s="37" t="inlineStr">
        <is>
          <t>Eastwey</t>
        </is>
      </c>
      <c r="G26" s="37" t="n">
        <v>50</v>
      </c>
      <c r="H26" s="37" t="inlineStr">
        <is>
          <t>OPEN</t>
        </is>
      </c>
      <c r="I26" s="37" t="inlineStr">
        <is>
          <t>SKIPPED</t>
        </is>
      </c>
      <c r="J26" s="37" t="inlineStr">
        <is>
          <t>declined-prior-offer</t>
        </is>
      </c>
    </row>
    <row r="27">
      <c r="A27" s="37" t="inlineStr">
        <is>
          <t>OFR-2022-0026</t>
        </is>
      </c>
      <c r="B27" s="43" t="n">
        <v>44605</v>
      </c>
      <c r="C27" s="37" t="inlineStr">
        <is>
          <t>WL-03346</t>
        </is>
      </c>
      <c r="D27" s="37" t="n">
        <v>2346</v>
      </c>
      <c r="E27" s="37" t="inlineStr">
        <is>
          <t>GW-0406</t>
        </is>
      </c>
      <c r="F27" s="37" t="inlineStr">
        <is>
          <t>Gullwing</t>
        </is>
      </c>
      <c r="G27" s="37" t="n">
        <v>28</v>
      </c>
      <c r="H27" s="37" t="inlineStr">
        <is>
          <t>OPEN</t>
        </is>
      </c>
      <c r="I27" s="37" t="inlineStr">
        <is>
          <t>SKIPPED</t>
        </is>
      </c>
      <c r="J27" s="37" t="inlineStr">
        <is>
          <t>vessel-fit</t>
        </is>
      </c>
    </row>
    <row r="28">
      <c r="A28" s="37" t="inlineStr">
        <is>
          <t>OFR-2022-0027</t>
        </is>
      </c>
      <c r="B28" s="43" t="n">
        <v>44611</v>
      </c>
      <c r="C28" s="37" t="inlineStr">
        <is>
          <t>WL-02299</t>
        </is>
      </c>
      <c r="D28" s="37" t="n">
        <v>1299</v>
      </c>
      <c r="E28" s="37" t="inlineStr">
        <is>
          <t>GW-0918</t>
        </is>
      </c>
      <c r="F28" s="37" t="inlineStr">
        <is>
          <t>Gullwing</t>
        </is>
      </c>
      <c r="G28" s="37" t="n">
        <v>50</v>
      </c>
      <c r="H28" s="37" t="inlineStr">
        <is>
          <t>OPEN</t>
        </is>
      </c>
      <c r="I28" s="37" t="inlineStr">
        <is>
          <t>DECLINED_RETAINER</t>
        </is>
      </c>
    </row>
    <row r="29">
      <c r="A29" s="37" t="inlineStr">
        <is>
          <t>OFR-2022-0028</t>
        </is>
      </c>
      <c r="B29" s="43" t="n">
        <v>44600</v>
      </c>
      <c r="C29" s="37" t="inlineStr">
        <is>
          <t>WL-02722</t>
        </is>
      </c>
      <c r="D29" s="37" t="n">
        <v>1722</v>
      </c>
      <c r="E29" s="37" t="inlineStr">
        <is>
          <t>GW-0813</t>
        </is>
      </c>
      <c r="F29" s="37" t="inlineStr">
        <is>
          <t>Gullwing</t>
        </is>
      </c>
      <c r="G29" s="37" t="n">
        <v>28</v>
      </c>
      <c r="H29" s="37" t="inlineStr">
        <is>
          <t>OPEN</t>
        </is>
      </c>
      <c r="I29" s="37" t="inlineStr">
        <is>
          <t>ACCEPTED</t>
        </is>
      </c>
    </row>
    <row r="30">
      <c r="A30" s="37" t="inlineStr">
        <is>
          <t>OFR-2022-0029</t>
        </is>
      </c>
      <c r="B30" s="43" t="n">
        <v>44604</v>
      </c>
      <c r="C30" s="37" t="inlineStr">
        <is>
          <t>WL-02580</t>
        </is>
      </c>
      <c r="D30" s="37" t="n">
        <v>1580</v>
      </c>
      <c r="E30" s="37" t="inlineStr">
        <is>
          <t>VB-1017</t>
        </is>
      </c>
      <c r="F30" s="37" t="inlineStr">
        <is>
          <t>Vessbank</t>
        </is>
      </c>
      <c r="G30" s="37" t="n">
        <v>24</v>
      </c>
      <c r="H30" s="37" t="inlineStr">
        <is>
          <t>COVERED</t>
        </is>
      </c>
      <c r="I30" s="37" t="inlineStr">
        <is>
          <t>EXPIRED</t>
        </is>
      </c>
    </row>
    <row r="31">
      <c r="A31" s="37" t="inlineStr">
        <is>
          <t>OFR-2022-0030</t>
        </is>
      </c>
      <c r="B31" s="43" t="n">
        <v>44600</v>
      </c>
      <c r="C31" s="37" t="inlineStr">
        <is>
          <t>WL-01051</t>
        </is>
      </c>
      <c r="D31" s="37" t="n">
        <v>51</v>
      </c>
      <c r="E31" s="37" t="inlineStr">
        <is>
          <t>SB-0224</t>
        </is>
      </c>
      <c r="F31" s="37" t="inlineStr">
        <is>
          <t>Salmonberry</t>
        </is>
      </c>
      <c r="G31" s="37" t="n">
        <v>32</v>
      </c>
      <c r="H31" s="37" t="inlineStr">
        <is>
          <t>OPEN</t>
        </is>
      </c>
      <c r="I31" s="37" t="inlineStr">
        <is>
          <t>ACCEPTED</t>
        </is>
      </c>
    </row>
    <row r="32">
      <c r="A32" s="37" t="inlineStr">
        <is>
          <t>OFR-2022-0031</t>
        </is>
      </c>
      <c r="B32" s="43" t="n">
        <v>44596</v>
      </c>
      <c r="C32" s="37" t="inlineStr">
        <is>
          <t>WL-03579</t>
        </is>
      </c>
      <c r="D32" s="37" t="n">
        <v>2579</v>
      </c>
      <c r="E32" s="37" t="inlineStr">
        <is>
          <t>GW-1012</t>
        </is>
      </c>
      <c r="F32" s="37" t="inlineStr">
        <is>
          <t>Gullwing</t>
        </is>
      </c>
      <c r="G32" s="37" t="n">
        <v>80</v>
      </c>
      <c r="H32" s="37" t="inlineStr">
        <is>
          <t>OPEN</t>
        </is>
      </c>
      <c r="I32" s="37" t="inlineStr">
        <is>
          <t>SKIPPED</t>
        </is>
      </c>
      <c r="J32" s="37" t="inlineStr">
        <is>
          <t>vessel-fit</t>
        </is>
      </c>
    </row>
    <row r="33">
      <c r="A33" s="37" t="inlineStr">
        <is>
          <t>OFR-2022-0032</t>
        </is>
      </c>
      <c r="B33" s="43" t="n">
        <v>44619</v>
      </c>
      <c r="C33" s="37" t="inlineStr">
        <is>
          <t>WL-01600</t>
        </is>
      </c>
      <c r="D33" s="37" t="n">
        <v>600</v>
      </c>
      <c r="E33" s="37" t="inlineStr">
        <is>
          <t>EW-0317</t>
        </is>
      </c>
      <c r="F33" s="37" t="inlineStr">
        <is>
          <t>Eastwey</t>
        </is>
      </c>
      <c r="G33" s="37" t="n">
        <v>36</v>
      </c>
      <c r="H33" s="37" t="inlineStr">
        <is>
          <t>OPEN</t>
        </is>
      </c>
      <c r="I33" s="37" t="inlineStr">
        <is>
          <t>DECLINED</t>
        </is>
      </c>
    </row>
    <row r="34">
      <c r="A34" s="37" t="inlineStr">
        <is>
          <t>OFR-2022-0033</t>
        </is>
      </c>
      <c r="B34" s="43" t="n">
        <v>44609</v>
      </c>
      <c r="C34" s="37" t="inlineStr">
        <is>
          <t>WL-02224</t>
        </is>
      </c>
      <c r="D34" s="37" t="n">
        <v>1224</v>
      </c>
      <c r="E34" s="37" t="inlineStr">
        <is>
          <t>LP-0121</t>
        </is>
      </c>
      <c r="F34" s="37" t="inlineStr">
        <is>
          <t>Ledgport</t>
        </is>
      </c>
      <c r="G34" s="37" t="n">
        <v>32</v>
      </c>
      <c r="H34" s="37" t="inlineStr">
        <is>
          <t>COVERED</t>
        </is>
      </c>
      <c r="I34" s="37" t="inlineStr">
        <is>
          <t>SKIPPED</t>
        </is>
      </c>
      <c r="J34" s="37" t="inlineStr">
        <is>
          <t>preference-mismatch</t>
        </is>
      </c>
    </row>
    <row r="35">
      <c r="A35" s="37" t="inlineStr">
        <is>
          <t>OFR-2022-0034</t>
        </is>
      </c>
      <c r="B35" s="43" t="n">
        <v>44604</v>
      </c>
      <c r="C35" s="37" t="inlineStr">
        <is>
          <t>WL-01971</t>
        </is>
      </c>
      <c r="D35" s="37" t="n">
        <v>971</v>
      </c>
      <c r="E35" s="37" t="inlineStr">
        <is>
          <t>GW-0213</t>
        </is>
      </c>
      <c r="F35" s="37" t="inlineStr">
        <is>
          <t>Gullwing</t>
        </is>
      </c>
      <c r="G35" s="37" t="n">
        <v>28</v>
      </c>
      <c r="H35" s="37" t="inlineStr">
        <is>
          <t>OPEN</t>
        </is>
      </c>
      <c r="I35" s="37" t="inlineStr">
        <is>
          <t>DECLINED</t>
        </is>
      </c>
    </row>
    <row r="36">
      <c r="A36" s="37" t="inlineStr">
        <is>
          <t>OFR-2022-0035</t>
        </is>
      </c>
      <c r="B36" s="43" t="n">
        <v>44620</v>
      </c>
      <c r="C36" s="37" t="inlineStr">
        <is>
          <t>WL-02063</t>
        </is>
      </c>
      <c r="D36" s="37" t="n">
        <v>1063</v>
      </c>
      <c r="E36" s="37" t="inlineStr">
        <is>
          <t>VB-0220</t>
        </is>
      </c>
      <c r="F36" s="37" t="inlineStr">
        <is>
          <t>Vessbank</t>
        </is>
      </c>
      <c r="G36" s="37" t="n">
        <v>28</v>
      </c>
      <c r="H36" s="37" t="inlineStr">
        <is>
          <t>COVERED</t>
        </is>
      </c>
      <c r="I36" s="37" t="inlineStr">
        <is>
          <t>SKIPPED</t>
        </is>
      </c>
      <c r="J36" s="37" t="inlineStr">
        <is>
          <t>declined-prior-offer</t>
        </is>
      </c>
    </row>
    <row r="37">
      <c r="A37" s="37" t="inlineStr">
        <is>
          <t>OFR-2022-0036</t>
        </is>
      </c>
      <c r="B37" s="43" t="n">
        <v>44595</v>
      </c>
      <c r="C37" s="37" t="inlineStr">
        <is>
          <t>WL-01307</t>
        </is>
      </c>
      <c r="D37" s="37" t="n">
        <v>307</v>
      </c>
      <c r="E37" s="37" t="inlineStr">
        <is>
          <t>GW-0511</t>
        </is>
      </c>
      <c r="F37" s="37" t="inlineStr">
        <is>
          <t>Gullwing</t>
        </is>
      </c>
      <c r="G37" s="37" t="n">
        <v>70</v>
      </c>
      <c r="H37" s="37" t="inlineStr">
        <is>
          <t>OPEN</t>
        </is>
      </c>
      <c r="I37" s="37" t="inlineStr">
        <is>
          <t>EXPIRED</t>
        </is>
      </c>
    </row>
    <row r="38">
      <c r="A38" s="37" t="inlineStr">
        <is>
          <t>OFR-2022-0037</t>
        </is>
      </c>
      <c r="B38" s="43" t="n">
        <v>44640</v>
      </c>
      <c r="C38" s="37" t="inlineStr">
        <is>
          <t>WL-01140</t>
        </is>
      </c>
      <c r="D38" s="37" t="n">
        <v>140</v>
      </c>
      <c r="E38" s="37" t="inlineStr">
        <is>
          <t>SB-0510</t>
        </is>
      </c>
      <c r="F38" s="37" t="inlineStr">
        <is>
          <t>Salmonberry</t>
        </is>
      </c>
      <c r="G38" s="37" t="n">
        <v>32</v>
      </c>
      <c r="H38" s="37" t="inlineStr">
        <is>
          <t>OPEN</t>
        </is>
      </c>
      <c r="I38" s="37" t="inlineStr">
        <is>
          <t>SKIPPED</t>
        </is>
      </c>
      <c r="J38" s="37" t="inlineStr">
        <is>
          <t>preference-mismatch</t>
        </is>
      </c>
    </row>
    <row r="39">
      <c r="A39" s="37" t="inlineStr">
        <is>
          <t>OFR-2022-0038</t>
        </is>
      </c>
      <c r="B39" s="43" t="n">
        <v>44625</v>
      </c>
      <c r="C39" s="37" t="inlineStr">
        <is>
          <t>WL-03416</t>
        </is>
      </c>
      <c r="D39" s="37" t="n">
        <v>2416</v>
      </c>
      <c r="E39" s="37" t="inlineStr">
        <is>
          <t>SB-0319</t>
        </is>
      </c>
      <c r="F39" s="37" t="inlineStr">
        <is>
          <t>Salmonberry</t>
        </is>
      </c>
      <c r="G39" s="37" t="n">
        <v>32</v>
      </c>
      <c r="H39" s="37" t="inlineStr">
        <is>
          <t>OPEN</t>
        </is>
      </c>
      <c r="I39" s="37" t="inlineStr">
        <is>
          <t>ACCEPTED</t>
        </is>
      </c>
    </row>
    <row r="40">
      <c r="A40" s="37" t="inlineStr">
        <is>
          <t>OFR-2022-0039</t>
        </is>
      </c>
      <c r="B40" s="43" t="n">
        <v>44634</v>
      </c>
      <c r="C40" s="37" t="inlineStr">
        <is>
          <t>WL-01929</t>
        </is>
      </c>
      <c r="D40" s="37" t="n">
        <v>929</v>
      </c>
      <c r="E40" s="37" t="inlineStr">
        <is>
          <t>EW-0119</t>
        </is>
      </c>
      <c r="F40" s="37" t="inlineStr">
        <is>
          <t>Eastwey</t>
        </is>
      </c>
      <c r="G40" s="37" t="n">
        <v>32</v>
      </c>
      <c r="H40" s="37" t="inlineStr">
        <is>
          <t>OPEN</t>
        </is>
      </c>
      <c r="I40" s="37" t="inlineStr">
        <is>
          <t>SKIPPED</t>
        </is>
      </c>
      <c r="J40" s="37" t="inlineStr">
        <is>
          <t>not-current</t>
        </is>
      </c>
    </row>
    <row r="41">
      <c r="A41" s="37" t="inlineStr">
        <is>
          <t>OFR-2022-0040</t>
        </is>
      </c>
      <c r="B41" s="43" t="n">
        <v>44637</v>
      </c>
      <c r="C41" s="37" t="inlineStr">
        <is>
          <t>WL-01839</t>
        </is>
      </c>
      <c r="D41" s="37" t="n">
        <v>839</v>
      </c>
      <c r="E41" s="37" t="inlineStr">
        <is>
          <t>EW-0819</t>
        </is>
      </c>
      <c r="F41" s="37" t="inlineStr">
        <is>
          <t>Eastwey</t>
        </is>
      </c>
      <c r="G41" s="37" t="n">
        <v>24</v>
      </c>
      <c r="H41" s="37" t="inlineStr">
        <is>
          <t>OPEN</t>
        </is>
      </c>
      <c r="I41" s="37" t="inlineStr">
        <is>
          <t>SKIPPED</t>
        </is>
      </c>
      <c r="J41" s="37" t="inlineStr">
        <is>
          <t>preference-mismatch</t>
        </is>
      </c>
    </row>
    <row r="42">
      <c r="A42" s="37" t="inlineStr">
        <is>
          <t>OFR-2022-0041</t>
        </is>
      </c>
      <c r="B42" s="43" t="n">
        <v>44633</v>
      </c>
      <c r="C42" s="37" t="inlineStr">
        <is>
          <t>WL-01419</t>
        </is>
      </c>
      <c r="D42" s="37" t="n">
        <v>419</v>
      </c>
      <c r="E42" s="37" t="inlineStr">
        <is>
          <t>SB-0122</t>
        </is>
      </c>
      <c r="F42" s="37" t="inlineStr">
        <is>
          <t>Salmonberry</t>
        </is>
      </c>
      <c r="G42" s="37" t="n">
        <v>24</v>
      </c>
      <c r="H42" s="37" t="inlineStr">
        <is>
          <t>OPEN</t>
        </is>
      </c>
      <c r="I42" s="37" t="inlineStr">
        <is>
          <t>DECLINED</t>
        </is>
      </c>
    </row>
    <row r="43">
      <c r="A43" s="37" t="inlineStr">
        <is>
          <t>OFR-2022-0042</t>
        </is>
      </c>
      <c r="B43" s="43" t="n">
        <v>44628</v>
      </c>
      <c r="C43" s="37" t="inlineStr">
        <is>
          <t>WL-02665</t>
        </is>
      </c>
      <c r="D43" s="37" t="n">
        <v>1665</v>
      </c>
      <c r="E43" s="37" t="inlineStr">
        <is>
          <t>LP-0806</t>
        </is>
      </c>
      <c r="F43" s="37" t="inlineStr">
        <is>
          <t>Ledgport</t>
        </is>
      </c>
      <c r="G43" s="37" t="n">
        <v>36</v>
      </c>
      <c r="H43" s="37" t="inlineStr">
        <is>
          <t>COVERED</t>
        </is>
      </c>
      <c r="I43" s="37" t="inlineStr">
        <is>
          <t>SKIPPED</t>
        </is>
      </c>
      <c r="J43" s="37" t="inlineStr">
        <is>
          <t>not-current</t>
        </is>
      </c>
    </row>
    <row r="44">
      <c r="A44" s="37" t="inlineStr">
        <is>
          <t>OFR-2022-0043</t>
        </is>
      </c>
      <c r="B44" s="43" t="n">
        <v>44643</v>
      </c>
      <c r="C44" s="37" t="inlineStr">
        <is>
          <t>WL-02769</t>
        </is>
      </c>
      <c r="D44" s="37" t="n">
        <v>1769</v>
      </c>
      <c r="E44" s="37" t="inlineStr">
        <is>
          <t>LP-0503</t>
        </is>
      </c>
      <c r="F44" s="37" t="inlineStr">
        <is>
          <t>Ledgport</t>
        </is>
      </c>
      <c r="G44" s="37" t="n">
        <v>24</v>
      </c>
      <c r="H44" s="37" t="inlineStr">
        <is>
          <t>COVERED</t>
        </is>
      </c>
      <c r="I44" s="37" t="inlineStr">
        <is>
          <t>SKIPPED</t>
        </is>
      </c>
      <c r="J44" s="37" t="inlineStr">
        <is>
          <t>preference-mismatch</t>
        </is>
      </c>
    </row>
    <row r="45">
      <c r="A45" s="37" t="inlineStr">
        <is>
          <t>OFR-2022-0044</t>
        </is>
      </c>
      <c r="B45" s="43" t="n">
        <v>44636</v>
      </c>
      <c r="C45" s="37" t="inlineStr">
        <is>
          <t>WL-03657</t>
        </is>
      </c>
      <c r="D45" s="37" t="n">
        <v>2657</v>
      </c>
      <c r="E45" s="37" t="inlineStr">
        <is>
          <t>EW-0910</t>
        </is>
      </c>
      <c r="F45" s="37" t="inlineStr">
        <is>
          <t>Eastwey</t>
        </is>
      </c>
      <c r="G45" s="37" t="n">
        <v>70</v>
      </c>
      <c r="H45" s="37" t="inlineStr">
        <is>
          <t>OPEN</t>
        </is>
      </c>
      <c r="I45" s="37" t="inlineStr">
        <is>
          <t>DECLINED</t>
        </is>
      </c>
    </row>
    <row r="46">
      <c r="A46" s="37" t="inlineStr">
        <is>
          <t>OFR-2022-0045</t>
        </is>
      </c>
      <c r="B46" s="43" t="n">
        <v>44628</v>
      </c>
      <c r="C46" s="37" t="inlineStr">
        <is>
          <t>WL-01886</t>
        </is>
      </c>
      <c r="D46" s="37" t="n">
        <v>886</v>
      </c>
      <c r="E46" s="37" t="inlineStr">
        <is>
          <t>EW-0820</t>
        </is>
      </c>
      <c r="F46" s="37" t="inlineStr">
        <is>
          <t>Eastwey</t>
        </is>
      </c>
      <c r="G46" s="37" t="n">
        <v>40</v>
      </c>
      <c r="H46" s="37" t="inlineStr">
        <is>
          <t>OPEN</t>
        </is>
      </c>
      <c r="I46" s="37" t="inlineStr">
        <is>
          <t>ACCEPTED</t>
        </is>
      </c>
    </row>
    <row r="47">
      <c r="A47" s="37" t="inlineStr">
        <is>
          <t>OFR-2022-0046</t>
        </is>
      </c>
      <c r="B47" s="43" t="n">
        <v>44640</v>
      </c>
      <c r="C47" s="37" t="inlineStr">
        <is>
          <t>WL-03589</t>
        </is>
      </c>
      <c r="D47" s="37" t="n">
        <v>2589</v>
      </c>
      <c r="E47" s="37" t="inlineStr">
        <is>
          <t>LP-0711</t>
        </is>
      </c>
      <c r="F47" s="37" t="inlineStr">
        <is>
          <t>Ledgport</t>
        </is>
      </c>
      <c r="G47" s="37" t="n">
        <v>36</v>
      </c>
      <c r="H47" s="37" t="inlineStr">
        <is>
          <t>COVERED</t>
        </is>
      </c>
      <c r="I47" s="37" t="inlineStr">
        <is>
          <t>PENDING</t>
        </is>
      </c>
    </row>
    <row r="48">
      <c r="A48" s="37" t="inlineStr">
        <is>
          <t>OFR-2022-0047</t>
        </is>
      </c>
      <c r="B48" s="43" t="n">
        <v>44625</v>
      </c>
      <c r="C48" s="37" t="inlineStr">
        <is>
          <t>WL-01437</t>
        </is>
      </c>
      <c r="D48" s="37" t="n">
        <v>437</v>
      </c>
      <c r="E48" s="37" t="inlineStr">
        <is>
          <t>VB-0621</t>
        </is>
      </c>
      <c r="F48" s="37" t="inlineStr">
        <is>
          <t>Vessbank</t>
        </is>
      </c>
      <c r="G48" s="37" t="n">
        <v>24</v>
      </c>
      <c r="H48" s="37" t="inlineStr">
        <is>
          <t>COVERED</t>
        </is>
      </c>
      <c r="I48" s="37" t="inlineStr">
        <is>
          <t>DECLINED_RETAINER</t>
        </is>
      </c>
    </row>
    <row r="49">
      <c r="A49" s="37" t="inlineStr">
        <is>
          <t>OFR-2022-0048</t>
        </is>
      </c>
      <c r="B49" s="43" t="n">
        <v>44645</v>
      </c>
      <c r="C49" s="37" t="inlineStr">
        <is>
          <t>WL-01642</t>
        </is>
      </c>
      <c r="D49" s="37" t="n">
        <v>642</v>
      </c>
      <c r="E49" s="37" t="inlineStr">
        <is>
          <t>EW-1014</t>
        </is>
      </c>
      <c r="F49" s="37" t="inlineStr">
        <is>
          <t>Eastwey</t>
        </is>
      </c>
      <c r="G49" s="37" t="n">
        <v>40</v>
      </c>
      <c r="H49" s="37" t="inlineStr">
        <is>
          <t>OPEN</t>
        </is>
      </c>
      <c r="I49" s="37" t="inlineStr">
        <is>
          <t>SKIPPED</t>
        </is>
      </c>
      <c r="J49" s="37" t="inlineStr">
        <is>
          <t>declined-prior-offer</t>
        </is>
      </c>
    </row>
    <row r="50">
      <c r="A50" s="37" t="inlineStr">
        <is>
          <t>OFR-2022-0049</t>
        </is>
      </c>
      <c r="B50" s="43" t="n">
        <v>44645</v>
      </c>
      <c r="C50" s="37" t="inlineStr">
        <is>
          <t>WL-03872</t>
        </is>
      </c>
      <c r="D50" s="37" t="n">
        <v>2872</v>
      </c>
      <c r="E50" s="37" t="inlineStr">
        <is>
          <t>VB-0921</t>
        </is>
      </c>
      <c r="F50" s="37" t="inlineStr">
        <is>
          <t>Vessbank</t>
        </is>
      </c>
      <c r="G50" s="37" t="n">
        <v>28</v>
      </c>
      <c r="H50" s="37" t="inlineStr">
        <is>
          <t>COVERED</t>
        </is>
      </c>
      <c r="I50" s="37" t="inlineStr">
        <is>
          <t>ACCEPTED</t>
        </is>
      </c>
    </row>
    <row r="51">
      <c r="A51" s="37" t="inlineStr">
        <is>
          <t>OFR-2022-0050</t>
        </is>
      </c>
      <c r="B51" s="43" t="n">
        <v>44634</v>
      </c>
      <c r="C51" s="37" t="inlineStr">
        <is>
          <t>WL-02625</t>
        </is>
      </c>
      <c r="D51" s="37" t="n">
        <v>1625</v>
      </c>
      <c r="E51" s="37" t="inlineStr">
        <is>
          <t>SB-0804</t>
        </is>
      </c>
      <c r="F51" s="37" t="inlineStr">
        <is>
          <t>Salmonberry</t>
        </is>
      </c>
      <c r="G51" s="37" t="n">
        <v>24</v>
      </c>
      <c r="H51" s="37" t="inlineStr">
        <is>
          <t>OPEN</t>
        </is>
      </c>
      <c r="I51" s="37" t="inlineStr">
        <is>
          <t>SKIPPED</t>
        </is>
      </c>
      <c r="J51" s="37" t="inlineStr">
        <is>
          <t>preference-mismatch</t>
        </is>
      </c>
    </row>
    <row r="52">
      <c r="A52" s="37" t="inlineStr">
        <is>
          <t>OFR-2022-0051</t>
        </is>
      </c>
      <c r="B52" s="43" t="n">
        <v>44647</v>
      </c>
      <c r="C52" s="37" t="inlineStr">
        <is>
          <t>WL-02647</t>
        </is>
      </c>
      <c r="D52" s="37" t="n">
        <v>1647</v>
      </c>
      <c r="E52" s="37" t="inlineStr">
        <is>
          <t>VB-0808</t>
        </is>
      </c>
      <c r="F52" s="37" t="inlineStr">
        <is>
          <t>Vessbank</t>
        </is>
      </c>
      <c r="G52" s="37" t="n">
        <v>24</v>
      </c>
      <c r="H52" s="37" t="inlineStr">
        <is>
          <t>COVERED</t>
        </is>
      </c>
      <c r="I52" s="37" t="inlineStr">
        <is>
          <t>ACCEPTED</t>
        </is>
      </c>
    </row>
    <row r="53">
      <c r="A53" s="37" t="inlineStr">
        <is>
          <t>OFR-2022-0052</t>
        </is>
      </c>
      <c r="B53" s="43" t="n">
        <v>44646</v>
      </c>
      <c r="C53" s="37" t="inlineStr">
        <is>
          <t>WL-03851</t>
        </is>
      </c>
      <c r="D53" s="37" t="n">
        <v>2851</v>
      </c>
      <c r="E53" s="37" t="inlineStr">
        <is>
          <t>LP-0113</t>
        </is>
      </c>
      <c r="F53" s="37" t="inlineStr">
        <is>
          <t>Ledgport</t>
        </is>
      </c>
      <c r="G53" s="37" t="n">
        <v>36</v>
      </c>
      <c r="H53" s="37" t="inlineStr">
        <is>
          <t>COVERED</t>
        </is>
      </c>
      <c r="I53" s="37" t="inlineStr">
        <is>
          <t>SKIPPED</t>
        </is>
      </c>
      <c r="J53" s="37" t="inlineStr">
        <is>
          <t>not-current</t>
        </is>
      </c>
    </row>
    <row r="54">
      <c r="A54" s="37" t="inlineStr">
        <is>
          <t>OFR-2022-0053</t>
        </is>
      </c>
      <c r="B54" s="43" t="n">
        <v>44626</v>
      </c>
      <c r="C54" s="37" t="inlineStr">
        <is>
          <t>WL-03865</t>
        </is>
      </c>
      <c r="D54" s="37" t="n">
        <v>2865</v>
      </c>
      <c r="E54" s="37" t="inlineStr">
        <is>
          <t>LP-0413</t>
        </is>
      </c>
      <c r="F54" s="37" t="inlineStr">
        <is>
          <t>Ledgport</t>
        </is>
      </c>
      <c r="G54" s="37" t="n">
        <v>28</v>
      </c>
      <c r="H54" s="37" t="inlineStr">
        <is>
          <t>COVERED</t>
        </is>
      </c>
      <c r="I54" s="37" t="inlineStr">
        <is>
          <t>ACCEPTED</t>
        </is>
      </c>
    </row>
    <row r="55">
      <c r="A55" s="37" t="inlineStr">
        <is>
          <t>OFR-2022-0054</t>
        </is>
      </c>
      <c r="B55" s="43" t="n">
        <v>44628</v>
      </c>
      <c r="C55" s="37" t="inlineStr">
        <is>
          <t>WL-01721</t>
        </is>
      </c>
      <c r="D55" s="37" t="n">
        <v>721</v>
      </c>
      <c r="E55" s="37" t="inlineStr">
        <is>
          <t>GW-0418</t>
        </is>
      </c>
      <c r="F55" s="37" t="inlineStr">
        <is>
          <t>Gullwing</t>
        </is>
      </c>
      <c r="G55" s="37" t="n">
        <v>24</v>
      </c>
      <c r="H55" s="37" t="inlineStr">
        <is>
          <t>OPEN</t>
        </is>
      </c>
      <c r="I55" s="37" t="inlineStr">
        <is>
          <t>DECLINED</t>
        </is>
      </c>
    </row>
    <row r="56">
      <c r="A56" s="37" t="inlineStr">
        <is>
          <t>OFR-2022-0055</t>
        </is>
      </c>
      <c r="B56" s="43" t="n">
        <v>44639</v>
      </c>
      <c r="C56" s="37" t="inlineStr">
        <is>
          <t>WL-03469</t>
        </is>
      </c>
      <c r="D56" s="37" t="n">
        <v>2469</v>
      </c>
      <c r="E56" s="37" t="inlineStr">
        <is>
          <t>LP-0407</t>
        </is>
      </c>
      <c r="F56" s="37" t="inlineStr">
        <is>
          <t>Ledgport</t>
        </is>
      </c>
      <c r="G56" s="37" t="n">
        <v>28</v>
      </c>
      <c r="H56" s="37" t="inlineStr">
        <is>
          <t>COVERED</t>
        </is>
      </c>
      <c r="I56" s="37" t="inlineStr">
        <is>
          <t>DECLINED_RETAINER</t>
        </is>
      </c>
    </row>
    <row r="57">
      <c r="A57" s="37" t="inlineStr">
        <is>
          <t>OFR-2022-0056</t>
        </is>
      </c>
      <c r="B57" s="43" t="n">
        <v>44629</v>
      </c>
      <c r="C57" s="37" t="inlineStr">
        <is>
          <t>WL-03679</t>
        </is>
      </c>
      <c r="D57" s="37" t="n">
        <v>2679</v>
      </c>
      <c r="E57" s="37" t="inlineStr">
        <is>
          <t>EW-0723</t>
        </is>
      </c>
      <c r="F57" s="37" t="inlineStr">
        <is>
          <t>Eastwey</t>
        </is>
      </c>
      <c r="G57" s="37" t="n">
        <v>50</v>
      </c>
      <c r="H57" s="37" t="inlineStr">
        <is>
          <t>OPEN</t>
        </is>
      </c>
      <c r="I57" s="37" t="inlineStr">
        <is>
          <t>DECLINED</t>
        </is>
      </c>
    </row>
    <row r="58">
      <c r="A58" s="37" t="inlineStr">
        <is>
          <t>OFR-2022-0057</t>
        </is>
      </c>
      <c r="B58" s="43" t="n">
        <v>44632</v>
      </c>
      <c r="C58" s="37" t="inlineStr">
        <is>
          <t>WL-01797</t>
        </is>
      </c>
      <c r="D58" s="37" t="n">
        <v>797</v>
      </c>
      <c r="E58" s="37" t="inlineStr">
        <is>
          <t>GW-0218</t>
        </is>
      </c>
      <c r="F58" s="37" t="inlineStr">
        <is>
          <t>Gullwing</t>
        </is>
      </c>
      <c r="G58" s="37" t="n">
        <v>60</v>
      </c>
      <c r="H58" s="37" t="inlineStr">
        <is>
          <t>OPEN</t>
        </is>
      </c>
      <c r="I58" s="37" t="inlineStr">
        <is>
          <t>ACCEPTED</t>
        </is>
      </c>
    </row>
    <row r="59">
      <c r="A59" s="37" t="inlineStr">
        <is>
          <t>OFR-2022-0058</t>
        </is>
      </c>
      <c r="B59" s="43" t="n">
        <v>44643</v>
      </c>
      <c r="C59" s="37" t="inlineStr">
        <is>
          <t>WL-02096</t>
        </is>
      </c>
      <c r="D59" s="37" t="n">
        <v>1096</v>
      </c>
      <c r="E59" s="37" t="inlineStr">
        <is>
          <t>GW-0210</t>
        </is>
      </c>
      <c r="F59" s="37" t="inlineStr">
        <is>
          <t>Gullwing</t>
        </is>
      </c>
      <c r="G59" s="37" t="n">
        <v>40</v>
      </c>
      <c r="H59" s="37" t="inlineStr">
        <is>
          <t>OPEN</t>
        </is>
      </c>
      <c r="I59" s="37" t="inlineStr">
        <is>
          <t>ACCEPTED</t>
        </is>
      </c>
    </row>
    <row r="60">
      <c r="A60" s="37" t="inlineStr">
        <is>
          <t>OFR-2022-0059</t>
        </is>
      </c>
      <c r="B60" s="43" t="n">
        <v>44676</v>
      </c>
      <c r="C60" s="37" t="inlineStr">
        <is>
          <t>WL-01227</t>
        </is>
      </c>
      <c r="D60" s="37" t="n">
        <v>227</v>
      </c>
      <c r="E60" s="37" t="inlineStr">
        <is>
          <t>LP-0514</t>
        </is>
      </c>
      <c r="F60" s="37" t="inlineStr">
        <is>
          <t>Ledgport</t>
        </is>
      </c>
      <c r="G60" s="37" t="n">
        <v>28</v>
      </c>
      <c r="H60" s="37" t="inlineStr">
        <is>
          <t>COVERED</t>
        </is>
      </c>
      <c r="I60" s="37" t="inlineStr">
        <is>
          <t>SKIPPED</t>
        </is>
      </c>
      <c r="J60" s="37" t="inlineStr">
        <is>
          <t>not-current</t>
        </is>
      </c>
    </row>
    <row r="61">
      <c r="A61" s="37" t="inlineStr">
        <is>
          <t>OFR-2022-0060</t>
        </is>
      </c>
      <c r="B61" s="43" t="n">
        <v>44679</v>
      </c>
      <c r="C61" s="37" t="inlineStr">
        <is>
          <t>WL-01545</t>
        </is>
      </c>
      <c r="D61" s="37" t="n">
        <v>545</v>
      </c>
      <c r="E61" s="37" t="inlineStr">
        <is>
          <t>SB-0704</t>
        </is>
      </c>
      <c r="F61" s="37" t="inlineStr">
        <is>
          <t>Salmonberry</t>
        </is>
      </c>
      <c r="G61" s="37" t="n">
        <v>70</v>
      </c>
      <c r="H61" s="37" t="inlineStr">
        <is>
          <t>OPEN</t>
        </is>
      </c>
      <c r="I61" s="37" t="inlineStr">
        <is>
          <t>SKIPPED</t>
        </is>
      </c>
      <c r="J61" s="37" t="inlineStr">
        <is>
          <t>vessel-fit</t>
        </is>
      </c>
    </row>
    <row r="62">
      <c r="A62" s="37" t="inlineStr">
        <is>
          <t>OFR-2022-0061</t>
        </is>
      </c>
      <c r="B62" s="43" t="n">
        <v>44658</v>
      </c>
      <c r="C62" s="37" t="inlineStr">
        <is>
          <t>WL-03330</t>
        </is>
      </c>
      <c r="D62" s="37" t="n">
        <v>2330</v>
      </c>
      <c r="E62" s="37" t="inlineStr">
        <is>
          <t>VB-0320</t>
        </is>
      </c>
      <c r="F62" s="37" t="inlineStr">
        <is>
          <t>Vessbank</t>
        </is>
      </c>
      <c r="G62" s="37" t="n">
        <v>32</v>
      </c>
      <c r="H62" s="37" t="inlineStr">
        <is>
          <t>COVERED</t>
        </is>
      </c>
      <c r="I62" s="37" t="inlineStr">
        <is>
          <t>DECLINED</t>
        </is>
      </c>
    </row>
    <row r="63">
      <c r="A63" s="37" t="inlineStr">
        <is>
          <t>OFR-2022-0062</t>
        </is>
      </c>
      <c r="B63" s="43" t="n">
        <v>44661</v>
      </c>
      <c r="C63" s="37" t="inlineStr">
        <is>
          <t>WL-02742</t>
        </is>
      </c>
      <c r="D63" s="37" t="n">
        <v>1742</v>
      </c>
      <c r="E63" s="37" t="inlineStr">
        <is>
          <t>EW-0109</t>
        </is>
      </c>
      <c r="F63" s="37" t="inlineStr">
        <is>
          <t>Eastwey</t>
        </is>
      </c>
      <c r="G63" s="37" t="n">
        <v>60</v>
      </c>
      <c r="H63" s="37" t="inlineStr">
        <is>
          <t>OPEN</t>
        </is>
      </c>
      <c r="I63" s="37" t="inlineStr">
        <is>
          <t>SKIPPED</t>
        </is>
      </c>
      <c r="J63" s="37" t="inlineStr">
        <is>
          <t>not-current</t>
        </is>
      </c>
    </row>
    <row r="64">
      <c r="A64" s="37" t="inlineStr">
        <is>
          <t>OFR-2022-0063</t>
        </is>
      </c>
      <c r="B64" s="43" t="n">
        <v>44652</v>
      </c>
      <c r="C64" s="37" t="inlineStr">
        <is>
          <t>WL-03272</t>
        </is>
      </c>
      <c r="D64" s="37" t="n">
        <v>2272</v>
      </c>
      <c r="E64" s="37" t="inlineStr">
        <is>
          <t>VB-0302</t>
        </is>
      </c>
      <c r="F64" s="37" t="inlineStr">
        <is>
          <t>Vessbank</t>
        </is>
      </c>
      <c r="G64" s="37" t="n">
        <v>28</v>
      </c>
      <c r="H64" s="37" t="inlineStr">
        <is>
          <t>COVERED</t>
        </is>
      </c>
      <c r="I64" s="37" t="inlineStr">
        <is>
          <t>SKIPPED</t>
        </is>
      </c>
      <c r="J64" s="37" t="inlineStr">
        <is>
          <t>not-current</t>
        </is>
      </c>
    </row>
    <row r="65">
      <c r="A65" s="37" t="inlineStr">
        <is>
          <t>OFR-2022-0064</t>
        </is>
      </c>
      <c r="B65" s="43" t="n">
        <v>44669</v>
      </c>
      <c r="C65" s="37" t="inlineStr">
        <is>
          <t>WL-02836</t>
        </is>
      </c>
      <c r="D65" s="37" t="n">
        <v>1836</v>
      </c>
      <c r="E65" s="37" t="inlineStr">
        <is>
          <t>VB-0401</t>
        </is>
      </c>
      <c r="F65" s="37" t="inlineStr">
        <is>
          <t>Vessbank</t>
        </is>
      </c>
      <c r="G65" s="37" t="n">
        <v>24</v>
      </c>
      <c r="H65" s="37" t="inlineStr">
        <is>
          <t>COVERED</t>
        </is>
      </c>
      <c r="I65" s="37" t="inlineStr">
        <is>
          <t>SKIPPED</t>
        </is>
      </c>
      <c r="J65" s="37" t="inlineStr">
        <is>
          <t>preference-mismatch</t>
        </is>
      </c>
    </row>
    <row r="66">
      <c r="A66" s="37" t="inlineStr">
        <is>
          <t>OFR-2022-0065</t>
        </is>
      </c>
      <c r="B66" s="43" t="n">
        <v>44674</v>
      </c>
      <c r="C66" s="37" t="inlineStr">
        <is>
          <t>WL-03474</t>
        </is>
      </c>
      <c r="D66" s="37" t="n">
        <v>2474</v>
      </c>
      <c r="E66" s="37" t="inlineStr">
        <is>
          <t>EW-0124</t>
        </is>
      </c>
      <c r="F66" s="37" t="inlineStr">
        <is>
          <t>Eastwey</t>
        </is>
      </c>
      <c r="G66" s="37" t="n">
        <v>32</v>
      </c>
      <c r="H66" s="37" t="inlineStr">
        <is>
          <t>OPEN</t>
        </is>
      </c>
      <c r="I66" s="37" t="inlineStr">
        <is>
          <t>EXPIRED</t>
        </is>
      </c>
    </row>
    <row r="67">
      <c r="A67" s="37" t="inlineStr">
        <is>
          <t>OFR-2022-0066</t>
        </is>
      </c>
      <c r="B67" s="43" t="n">
        <v>44656</v>
      </c>
      <c r="C67" s="37" t="inlineStr">
        <is>
          <t>WL-02828</t>
        </is>
      </c>
      <c r="D67" s="37" t="n">
        <v>1828</v>
      </c>
      <c r="E67" s="37" t="inlineStr">
        <is>
          <t>EW-0424</t>
        </is>
      </c>
      <c r="F67" s="37" t="inlineStr">
        <is>
          <t>Eastwey</t>
        </is>
      </c>
      <c r="G67" s="37" t="n">
        <v>45</v>
      </c>
      <c r="H67" s="37" t="inlineStr">
        <is>
          <t>OPEN</t>
        </is>
      </c>
      <c r="I67" s="37" t="inlineStr">
        <is>
          <t>ACCEPTED</t>
        </is>
      </c>
    </row>
    <row r="68">
      <c r="A68" s="37" t="inlineStr">
        <is>
          <t>OFR-2022-0067</t>
        </is>
      </c>
      <c r="B68" s="43" t="n">
        <v>44652</v>
      </c>
      <c r="C68" s="37" t="inlineStr">
        <is>
          <t>WL-03599</t>
        </is>
      </c>
      <c r="D68" s="37" t="n">
        <v>2599</v>
      </c>
      <c r="E68" s="37" t="inlineStr">
        <is>
          <t>LP-0414</t>
        </is>
      </c>
      <c r="F68" s="37" t="inlineStr">
        <is>
          <t>Ledgport</t>
        </is>
      </c>
      <c r="G68" s="37" t="n">
        <v>40</v>
      </c>
      <c r="H68" s="37" t="inlineStr">
        <is>
          <t>COVERED</t>
        </is>
      </c>
      <c r="I68" s="37" t="inlineStr">
        <is>
          <t>DECLINED</t>
        </is>
      </c>
    </row>
    <row r="69">
      <c r="A69" s="37" t="inlineStr">
        <is>
          <t>OFR-2022-0068</t>
        </is>
      </c>
      <c r="B69" s="43" t="n">
        <v>44661</v>
      </c>
      <c r="C69" s="37" t="inlineStr">
        <is>
          <t>WL-03235</t>
        </is>
      </c>
      <c r="D69" s="37" t="n">
        <v>2235</v>
      </c>
      <c r="E69" s="37" t="inlineStr">
        <is>
          <t>SB-0201</t>
        </is>
      </c>
      <c r="F69" s="37" t="inlineStr">
        <is>
          <t>Salmonberry</t>
        </is>
      </c>
      <c r="G69" s="37" t="n">
        <v>32</v>
      </c>
      <c r="H69" s="37" t="inlineStr">
        <is>
          <t>OPEN</t>
        </is>
      </c>
      <c r="I69" s="37" t="inlineStr">
        <is>
          <t>ACCEPTED</t>
        </is>
      </c>
    </row>
    <row r="70">
      <c r="A70" s="37" t="inlineStr">
        <is>
          <t>OFR-2022-0069</t>
        </is>
      </c>
      <c r="B70" s="43" t="n">
        <v>44673</v>
      </c>
      <c r="C70" s="37" t="inlineStr">
        <is>
          <t>WL-01262</t>
        </is>
      </c>
      <c r="D70" s="37" t="n">
        <v>262</v>
      </c>
      <c r="E70" s="37" t="inlineStr">
        <is>
          <t>EW-0421</t>
        </is>
      </c>
      <c r="F70" s="37" t="inlineStr">
        <is>
          <t>Eastwey</t>
        </is>
      </c>
      <c r="G70" s="37" t="n">
        <v>36</v>
      </c>
      <c r="H70" s="37" t="inlineStr">
        <is>
          <t>OPEN</t>
        </is>
      </c>
      <c r="I70" s="37" t="inlineStr">
        <is>
          <t>SKIPPED</t>
        </is>
      </c>
      <c r="J70" s="37" t="inlineStr">
        <is>
          <t>not-current</t>
        </is>
      </c>
    </row>
    <row r="71">
      <c r="A71" s="37" t="inlineStr">
        <is>
          <t>OFR-2022-0070</t>
        </is>
      </c>
      <c r="B71" s="43" t="n">
        <v>44678</v>
      </c>
      <c r="C71" s="37" t="inlineStr">
        <is>
          <t>WL-01084</t>
        </is>
      </c>
      <c r="D71" s="37" t="n">
        <v>84</v>
      </c>
      <c r="E71" s="37" t="inlineStr">
        <is>
          <t>GW-0917</t>
        </is>
      </c>
      <c r="F71" s="37" t="inlineStr">
        <is>
          <t>Gullwing</t>
        </is>
      </c>
      <c r="G71" s="37" t="n">
        <v>24</v>
      </c>
      <c r="H71" s="37" t="inlineStr">
        <is>
          <t>OPEN</t>
        </is>
      </c>
      <c r="I71" s="37" t="inlineStr">
        <is>
          <t>SKIPPED</t>
        </is>
      </c>
      <c r="J71" s="37" t="inlineStr">
        <is>
          <t>vessel-fit</t>
        </is>
      </c>
    </row>
    <row r="72">
      <c r="A72" s="37" t="inlineStr">
        <is>
          <t>OFR-2022-0071</t>
        </is>
      </c>
      <c r="B72" s="43" t="n">
        <v>44676</v>
      </c>
      <c r="C72" s="37" t="inlineStr">
        <is>
          <t>WL-02209</t>
        </is>
      </c>
      <c r="D72" s="37" t="n">
        <v>1209</v>
      </c>
      <c r="E72" s="37" t="inlineStr">
        <is>
          <t>GW-0518</t>
        </is>
      </c>
      <c r="F72" s="37" t="inlineStr">
        <is>
          <t>Gullwing</t>
        </is>
      </c>
      <c r="G72" s="37" t="n">
        <v>80</v>
      </c>
      <c r="H72" s="37" t="inlineStr">
        <is>
          <t>OPEN</t>
        </is>
      </c>
      <c r="I72" s="37" t="inlineStr">
        <is>
          <t>ACCEPTED</t>
        </is>
      </c>
    </row>
    <row r="73">
      <c r="A73" s="37" t="inlineStr">
        <is>
          <t>OFR-2022-0072</t>
        </is>
      </c>
      <c r="B73" s="43" t="n">
        <v>44664</v>
      </c>
      <c r="C73" s="37" t="inlineStr">
        <is>
          <t>WL-03210</t>
        </is>
      </c>
      <c r="D73" s="37" t="n">
        <v>2210</v>
      </c>
      <c r="E73" s="37" t="inlineStr">
        <is>
          <t>LP-0909</t>
        </is>
      </c>
      <c r="F73" s="37" t="inlineStr">
        <is>
          <t>Ledgport</t>
        </is>
      </c>
      <c r="G73" s="37" t="n">
        <v>24</v>
      </c>
      <c r="H73" s="37" t="inlineStr">
        <is>
          <t>COVERED</t>
        </is>
      </c>
      <c r="I73" s="37" t="inlineStr">
        <is>
          <t>EXPIRED</t>
        </is>
      </c>
    </row>
    <row r="74">
      <c r="A74" s="37" t="inlineStr">
        <is>
          <t>OFR-2022-0073</t>
        </is>
      </c>
      <c r="B74" s="43" t="n">
        <v>44658</v>
      </c>
      <c r="C74" s="37" t="inlineStr">
        <is>
          <t>WL-02140</t>
        </is>
      </c>
      <c r="D74" s="37" t="n">
        <v>1140</v>
      </c>
      <c r="E74" s="37" t="inlineStr">
        <is>
          <t>EW-0423</t>
        </is>
      </c>
      <c r="F74" s="37" t="inlineStr">
        <is>
          <t>Eastwey</t>
        </is>
      </c>
      <c r="G74" s="37" t="n">
        <v>70</v>
      </c>
      <c r="H74" s="37" t="inlineStr">
        <is>
          <t>OPEN</t>
        </is>
      </c>
      <c r="I74" s="37" t="inlineStr">
        <is>
          <t>ACCEPTED</t>
        </is>
      </c>
    </row>
    <row r="75">
      <c r="A75" s="37" t="inlineStr">
        <is>
          <t>OFR-2022-0074</t>
        </is>
      </c>
      <c r="B75" s="43" t="n">
        <v>44676</v>
      </c>
      <c r="C75" s="37" t="inlineStr">
        <is>
          <t>WL-02007</t>
        </is>
      </c>
      <c r="D75" s="37" t="n">
        <v>1007</v>
      </c>
      <c r="E75" s="37" t="inlineStr">
        <is>
          <t>SB-0505</t>
        </is>
      </c>
      <c r="F75" s="37" t="inlineStr">
        <is>
          <t>Salmonberry</t>
        </is>
      </c>
      <c r="G75" s="37" t="n">
        <v>80</v>
      </c>
      <c r="H75" s="37" t="inlineStr">
        <is>
          <t>OPEN</t>
        </is>
      </c>
      <c r="I75" s="37" t="inlineStr">
        <is>
          <t>DECLINED</t>
        </is>
      </c>
    </row>
    <row r="76">
      <c r="A76" s="37" t="inlineStr">
        <is>
          <t>OFR-2022-0075</t>
        </is>
      </c>
      <c r="B76" s="43" t="n">
        <v>44662</v>
      </c>
      <c r="C76" s="37" t="inlineStr">
        <is>
          <t>WL-01914</t>
        </is>
      </c>
      <c r="D76" s="37" t="n">
        <v>914</v>
      </c>
      <c r="E76" s="37" t="inlineStr">
        <is>
          <t>LP-1106</t>
        </is>
      </c>
      <c r="F76" s="37" t="inlineStr">
        <is>
          <t>Ledgport</t>
        </is>
      </c>
      <c r="G76" s="37" t="n">
        <v>24</v>
      </c>
      <c r="H76" s="37" t="inlineStr">
        <is>
          <t>COVERED</t>
        </is>
      </c>
      <c r="I76" s="37" t="inlineStr">
        <is>
          <t>ACCEPTED</t>
        </is>
      </c>
    </row>
    <row r="77">
      <c r="A77" s="37" t="inlineStr">
        <is>
          <t>OFR-2022-0076</t>
        </is>
      </c>
      <c r="B77" s="43" t="n">
        <v>44676</v>
      </c>
      <c r="C77" s="37" t="inlineStr">
        <is>
          <t>WL-02714</t>
        </is>
      </c>
      <c r="D77" s="37" t="n">
        <v>1714</v>
      </c>
      <c r="E77" s="37" t="inlineStr">
        <is>
          <t>SB-0406</t>
        </is>
      </c>
      <c r="F77" s="37" t="inlineStr">
        <is>
          <t>Salmonberry</t>
        </is>
      </c>
      <c r="G77" s="37" t="n">
        <v>40</v>
      </c>
      <c r="H77" s="37" t="inlineStr">
        <is>
          <t>OPEN</t>
        </is>
      </c>
      <c r="I77" s="37" t="inlineStr">
        <is>
          <t>SKIPPED</t>
        </is>
      </c>
      <c r="J77" s="37" t="inlineStr">
        <is>
          <t>declined-prior-offer</t>
        </is>
      </c>
    </row>
    <row r="78">
      <c r="A78" s="37" t="inlineStr">
        <is>
          <t>OFR-2022-0077</t>
        </is>
      </c>
      <c r="B78" s="43" t="n">
        <v>44655</v>
      </c>
      <c r="C78" s="37" t="inlineStr">
        <is>
          <t>WL-01277</t>
        </is>
      </c>
      <c r="D78" s="37" t="n">
        <v>277</v>
      </c>
      <c r="E78" s="37" t="inlineStr">
        <is>
          <t>EW-0512</t>
        </is>
      </c>
      <c r="F78" s="37" t="inlineStr">
        <is>
          <t>Eastwey</t>
        </is>
      </c>
      <c r="G78" s="37" t="n">
        <v>60</v>
      </c>
      <c r="H78" s="37" t="inlineStr">
        <is>
          <t>OPEN</t>
        </is>
      </c>
      <c r="I78" s="37" t="inlineStr">
        <is>
          <t>ACCEPTED</t>
        </is>
      </c>
    </row>
    <row r="79">
      <c r="A79" s="37" t="inlineStr">
        <is>
          <t>OFR-2022-0078</t>
        </is>
      </c>
      <c r="B79" s="43" t="n">
        <v>44657</v>
      </c>
      <c r="C79" s="37" t="inlineStr">
        <is>
          <t>WL-02291</t>
        </is>
      </c>
      <c r="D79" s="37" t="n">
        <v>1291</v>
      </c>
      <c r="E79" s="37" t="inlineStr">
        <is>
          <t>GW-0701</t>
        </is>
      </c>
      <c r="F79" s="37" t="inlineStr">
        <is>
          <t>Gullwing</t>
        </is>
      </c>
      <c r="G79" s="37" t="n">
        <v>80</v>
      </c>
      <c r="H79" s="37" t="inlineStr">
        <is>
          <t>OPEN</t>
        </is>
      </c>
      <c r="I79" s="37" t="inlineStr">
        <is>
          <t>DECLINED</t>
        </is>
      </c>
    </row>
    <row r="80">
      <c r="A80" s="37" t="inlineStr">
        <is>
          <t>OFR-2022-0079</t>
        </is>
      </c>
      <c r="B80" s="43" t="n">
        <v>44671</v>
      </c>
      <c r="C80" s="37" t="inlineStr">
        <is>
          <t>WL-01870</t>
        </is>
      </c>
      <c r="D80" s="37" t="n">
        <v>870</v>
      </c>
      <c r="E80" s="37" t="inlineStr">
        <is>
          <t>GW-0505</t>
        </is>
      </c>
      <c r="F80" s="37" t="inlineStr">
        <is>
          <t>Gullwing</t>
        </is>
      </c>
      <c r="G80" s="37" t="n">
        <v>60</v>
      </c>
      <c r="H80" s="37" t="inlineStr">
        <is>
          <t>OPEN</t>
        </is>
      </c>
      <c r="I80" s="37" t="inlineStr">
        <is>
          <t>ACCEPTED</t>
        </is>
      </c>
    </row>
    <row r="81">
      <c r="A81" s="37" t="inlineStr">
        <is>
          <t>OFR-2022-0080</t>
        </is>
      </c>
      <c r="B81" s="43" t="n">
        <v>44658</v>
      </c>
      <c r="C81" s="37" t="inlineStr">
        <is>
          <t>WL-01223</t>
        </is>
      </c>
      <c r="D81" s="37" t="n">
        <v>223</v>
      </c>
      <c r="E81" s="37" t="inlineStr">
        <is>
          <t>EW-0611</t>
        </is>
      </c>
      <c r="F81" s="37" t="inlineStr">
        <is>
          <t>Eastwey</t>
        </is>
      </c>
      <c r="G81" s="37" t="n">
        <v>24</v>
      </c>
      <c r="H81" s="37" t="inlineStr">
        <is>
          <t>OPEN</t>
        </is>
      </c>
      <c r="I81" s="37" t="inlineStr">
        <is>
          <t>SKIPPED</t>
        </is>
      </c>
      <c r="J81" s="37" t="inlineStr">
        <is>
          <t>preference-mismatch</t>
        </is>
      </c>
    </row>
    <row r="82">
      <c r="A82" s="37" t="inlineStr">
        <is>
          <t>OFR-2022-0081</t>
        </is>
      </c>
      <c r="B82" s="43" t="n">
        <v>44664</v>
      </c>
      <c r="C82" s="37" t="inlineStr">
        <is>
          <t>WL-02500</t>
        </is>
      </c>
      <c r="D82" s="37" t="n">
        <v>1500</v>
      </c>
      <c r="E82" s="37" t="inlineStr">
        <is>
          <t>LP-0619</t>
        </is>
      </c>
      <c r="F82" s="37" t="inlineStr">
        <is>
          <t>Ledgport</t>
        </is>
      </c>
      <c r="G82" s="37" t="n">
        <v>36</v>
      </c>
      <c r="H82" s="37" t="inlineStr">
        <is>
          <t>COVERED</t>
        </is>
      </c>
      <c r="I82" s="37" t="inlineStr">
        <is>
          <t>DECLINED</t>
        </is>
      </c>
    </row>
    <row r="83">
      <c r="A83" s="37" t="inlineStr">
        <is>
          <t>OFR-2022-0082</t>
        </is>
      </c>
      <c r="B83" s="43" t="n">
        <v>44663</v>
      </c>
      <c r="C83" s="37" t="inlineStr">
        <is>
          <t>WL-01288</t>
        </is>
      </c>
      <c r="D83" s="37" t="n">
        <v>288</v>
      </c>
      <c r="E83" s="37" t="inlineStr">
        <is>
          <t>VB-0719</t>
        </is>
      </c>
      <c r="F83" s="37" t="inlineStr">
        <is>
          <t>Vessbank</t>
        </is>
      </c>
      <c r="G83" s="37" t="n">
        <v>32</v>
      </c>
      <c r="H83" s="37" t="inlineStr">
        <is>
          <t>COVERED</t>
        </is>
      </c>
      <c r="I83" s="37" t="inlineStr">
        <is>
          <t>DECLINED</t>
        </is>
      </c>
    </row>
    <row r="84">
      <c r="A84" s="37" t="inlineStr">
        <is>
          <t>OFR-2022-0083</t>
        </is>
      </c>
      <c r="B84" s="43" t="n">
        <v>44659</v>
      </c>
      <c r="C84" s="37" t="inlineStr">
        <is>
          <t>WL-03115</t>
        </is>
      </c>
      <c r="D84" s="37" t="n">
        <v>2115</v>
      </c>
      <c r="E84" s="37" t="inlineStr">
        <is>
          <t>LP-0513</t>
        </is>
      </c>
      <c r="F84" s="37" t="inlineStr">
        <is>
          <t>Ledgport</t>
        </is>
      </c>
      <c r="G84" s="37" t="n">
        <v>24</v>
      </c>
      <c r="H84" s="37" t="inlineStr">
        <is>
          <t>COVERED</t>
        </is>
      </c>
      <c r="I84" s="37" t="inlineStr">
        <is>
          <t>ACCEPTED</t>
        </is>
      </c>
    </row>
    <row r="85">
      <c r="A85" s="37" t="inlineStr">
        <is>
          <t>OFR-2022-0084</t>
        </is>
      </c>
      <c r="B85" s="43" t="n">
        <v>44678</v>
      </c>
      <c r="C85" s="37" t="inlineStr">
        <is>
          <t>WL-02287</t>
        </is>
      </c>
      <c r="D85" s="37" t="n">
        <v>1287</v>
      </c>
      <c r="E85" s="37" t="inlineStr">
        <is>
          <t>GW-0219</t>
        </is>
      </c>
      <c r="F85" s="37" t="inlineStr">
        <is>
          <t>Gullwing</t>
        </is>
      </c>
      <c r="G85" s="37" t="n">
        <v>80</v>
      </c>
      <c r="H85" s="37" t="inlineStr">
        <is>
          <t>OPEN</t>
        </is>
      </c>
      <c r="I85" s="37" t="inlineStr">
        <is>
          <t>ACCEPTED</t>
        </is>
      </c>
    </row>
    <row r="86">
      <c r="A86" s="37" t="inlineStr">
        <is>
          <t>OFR-2022-0085</t>
        </is>
      </c>
      <c r="B86" s="43" t="n">
        <v>44678</v>
      </c>
      <c r="C86" s="37" t="inlineStr">
        <is>
          <t>WL-03014</t>
        </is>
      </c>
      <c r="D86" s="37" t="n">
        <v>2014</v>
      </c>
      <c r="E86" s="37" t="inlineStr">
        <is>
          <t>GW-0606</t>
        </is>
      </c>
      <c r="F86" s="37" t="inlineStr">
        <is>
          <t>Gullwing</t>
        </is>
      </c>
      <c r="G86" s="37" t="n">
        <v>60</v>
      </c>
      <c r="H86" s="37" t="inlineStr">
        <is>
          <t>OPEN</t>
        </is>
      </c>
      <c r="I86" s="37" t="inlineStr">
        <is>
          <t>SKIPPED</t>
        </is>
      </c>
      <c r="J86" s="37" t="inlineStr">
        <is>
          <t>declined-prior-offer</t>
        </is>
      </c>
    </row>
    <row r="87">
      <c r="A87" s="37" t="inlineStr">
        <is>
          <t>OFR-2022-0086</t>
        </is>
      </c>
      <c r="B87" s="43" t="n">
        <v>44661</v>
      </c>
      <c r="C87" s="37" t="inlineStr">
        <is>
          <t>WL-01852</t>
        </is>
      </c>
      <c r="D87" s="37" t="n">
        <v>852</v>
      </c>
      <c r="E87" s="37" t="inlineStr">
        <is>
          <t>VB-0915</t>
        </is>
      </c>
      <c r="F87" s="37" t="inlineStr">
        <is>
          <t>Vessbank</t>
        </is>
      </c>
      <c r="G87" s="37" t="n">
        <v>28</v>
      </c>
      <c r="H87" s="37" t="inlineStr">
        <is>
          <t>COVERED</t>
        </is>
      </c>
      <c r="I87" s="37" t="inlineStr">
        <is>
          <t>ACCEPTED</t>
        </is>
      </c>
    </row>
    <row r="88">
      <c r="A88" s="37" t="inlineStr">
        <is>
          <t>OFR-2022-0087</t>
        </is>
      </c>
      <c r="B88" s="43" t="n">
        <v>44652</v>
      </c>
      <c r="C88" s="37" t="inlineStr">
        <is>
          <t>WL-03157</t>
        </is>
      </c>
      <c r="D88" s="37" t="n">
        <v>2157</v>
      </c>
      <c r="E88" s="37" t="inlineStr">
        <is>
          <t>LP-0506</t>
        </is>
      </c>
      <c r="F88" s="37" t="inlineStr">
        <is>
          <t>Ledgport</t>
        </is>
      </c>
      <c r="G88" s="37" t="n">
        <v>24</v>
      </c>
      <c r="H88" s="37" t="inlineStr">
        <is>
          <t>COVERED</t>
        </is>
      </c>
      <c r="I88" s="37" t="inlineStr">
        <is>
          <t>SKIPPED</t>
        </is>
      </c>
      <c r="J88" s="37" t="inlineStr">
        <is>
          <t>vessel-fit</t>
        </is>
      </c>
    </row>
    <row r="89">
      <c r="A89" s="37" t="inlineStr">
        <is>
          <t>OFR-2022-0088</t>
        </is>
      </c>
      <c r="B89" s="43" t="n">
        <v>44654</v>
      </c>
      <c r="C89" s="37" t="inlineStr">
        <is>
          <t>WL-03215</t>
        </is>
      </c>
      <c r="D89" s="37" t="n">
        <v>2215</v>
      </c>
      <c r="E89" s="37" t="inlineStr">
        <is>
          <t>LP-0811</t>
        </is>
      </c>
      <c r="F89" s="37" t="inlineStr">
        <is>
          <t>Ledgport</t>
        </is>
      </c>
      <c r="G89" s="37" t="n">
        <v>36</v>
      </c>
      <c r="H89" s="37" t="inlineStr">
        <is>
          <t>COVERED</t>
        </is>
      </c>
      <c r="I89" s="37" t="inlineStr">
        <is>
          <t>ACCEPTED</t>
        </is>
      </c>
    </row>
    <row r="90">
      <c r="A90" s="37" t="inlineStr">
        <is>
          <t>OFR-2022-0089</t>
        </is>
      </c>
      <c r="B90" s="43" t="n">
        <v>44657</v>
      </c>
      <c r="C90" s="37" t="inlineStr">
        <is>
          <t>WL-03054</t>
        </is>
      </c>
      <c r="D90" s="37" t="n">
        <v>2054</v>
      </c>
      <c r="E90" s="37" t="inlineStr">
        <is>
          <t>EW-0122</t>
        </is>
      </c>
      <c r="F90" s="37" t="inlineStr">
        <is>
          <t>Eastwey</t>
        </is>
      </c>
      <c r="G90" s="37" t="n">
        <v>70</v>
      </c>
      <c r="H90" s="37" t="inlineStr">
        <is>
          <t>OPEN</t>
        </is>
      </c>
      <c r="I90" s="37" t="inlineStr">
        <is>
          <t>ACCEPTED</t>
        </is>
      </c>
    </row>
    <row r="91">
      <c r="A91" s="37" t="inlineStr">
        <is>
          <t>OFR-2022-0090</t>
        </is>
      </c>
      <c r="B91" s="43" t="n">
        <v>44656</v>
      </c>
      <c r="C91" s="37" t="inlineStr">
        <is>
          <t>WL-01269</t>
        </is>
      </c>
      <c r="D91" s="37" t="n">
        <v>269</v>
      </c>
      <c r="E91" s="37" t="inlineStr">
        <is>
          <t>GW-0617</t>
        </is>
      </c>
      <c r="F91" s="37" t="inlineStr">
        <is>
          <t>Gullwing</t>
        </is>
      </c>
      <c r="G91" s="37" t="n">
        <v>32</v>
      </c>
      <c r="H91" s="37" t="inlineStr">
        <is>
          <t>OPEN</t>
        </is>
      </c>
      <c r="I91" s="37" t="inlineStr">
        <is>
          <t>SKIPPED</t>
        </is>
      </c>
      <c r="J91" s="37" t="inlineStr">
        <is>
          <t>preference-mismatch</t>
        </is>
      </c>
    </row>
    <row r="92">
      <c r="A92" s="37" t="inlineStr">
        <is>
          <t>OFR-2022-0091</t>
        </is>
      </c>
      <c r="B92" s="43" t="n">
        <v>44661</v>
      </c>
      <c r="C92" s="37" t="inlineStr">
        <is>
          <t>WL-02846</t>
        </is>
      </c>
      <c r="D92" s="37" t="n">
        <v>1846</v>
      </c>
      <c r="E92" s="37" t="inlineStr">
        <is>
          <t>EW-0814</t>
        </is>
      </c>
      <c r="F92" s="37" t="inlineStr">
        <is>
          <t>Eastwey</t>
        </is>
      </c>
      <c r="G92" s="37" t="n">
        <v>40</v>
      </c>
      <c r="H92" s="37" t="inlineStr">
        <is>
          <t>OPEN</t>
        </is>
      </c>
      <c r="I92" s="37" t="inlineStr">
        <is>
          <t>EXPIRED</t>
        </is>
      </c>
    </row>
    <row r="93">
      <c r="A93" s="37" t="inlineStr">
        <is>
          <t>OFR-2022-0092</t>
        </is>
      </c>
      <c r="B93" s="43" t="n">
        <v>44661</v>
      </c>
      <c r="C93" s="37" t="inlineStr">
        <is>
          <t>WL-03454</t>
        </is>
      </c>
      <c r="D93" s="37" t="n">
        <v>2454</v>
      </c>
      <c r="E93" s="37" t="inlineStr">
        <is>
          <t>VB-1016</t>
        </is>
      </c>
      <c r="F93" s="37" t="inlineStr">
        <is>
          <t>Vessbank</t>
        </is>
      </c>
      <c r="G93" s="37" t="n">
        <v>24</v>
      </c>
      <c r="H93" s="37" t="inlineStr">
        <is>
          <t>COVERED</t>
        </is>
      </c>
      <c r="I93" s="37" t="inlineStr">
        <is>
          <t>DECLINED</t>
        </is>
      </c>
    </row>
    <row r="94">
      <c r="A94" s="37" t="inlineStr">
        <is>
          <t>OFR-2022-0093</t>
        </is>
      </c>
      <c r="B94" s="43" t="n">
        <v>44657</v>
      </c>
      <c r="C94" s="37" t="inlineStr">
        <is>
          <t>WL-02387</t>
        </is>
      </c>
      <c r="D94" s="37" t="n">
        <v>1387</v>
      </c>
      <c r="E94" s="37" t="inlineStr">
        <is>
          <t>LP-0715</t>
        </is>
      </c>
      <c r="F94" s="37" t="inlineStr">
        <is>
          <t>Ledgport</t>
        </is>
      </c>
      <c r="G94" s="37" t="n">
        <v>32</v>
      </c>
      <c r="H94" s="37" t="inlineStr">
        <is>
          <t>COVERED</t>
        </is>
      </c>
      <c r="I94" s="37" t="inlineStr">
        <is>
          <t>WITHDRAWN</t>
        </is>
      </c>
    </row>
    <row r="95">
      <c r="A95" s="37" t="inlineStr">
        <is>
          <t>OFR-2022-0094</t>
        </is>
      </c>
      <c r="B95" s="43" t="n">
        <v>44669</v>
      </c>
      <c r="C95" s="37" t="inlineStr">
        <is>
          <t>WL-01357</t>
        </is>
      </c>
      <c r="D95" s="37" t="n">
        <v>357</v>
      </c>
      <c r="E95" s="37" t="inlineStr">
        <is>
          <t>EW-0318</t>
        </is>
      </c>
      <c r="F95" s="37" t="inlineStr">
        <is>
          <t>Eastwey</t>
        </is>
      </c>
      <c r="G95" s="37" t="n">
        <v>32</v>
      </c>
      <c r="H95" s="37" t="inlineStr">
        <is>
          <t>OPEN</t>
        </is>
      </c>
      <c r="I95" s="37" t="inlineStr">
        <is>
          <t>DECLINED</t>
        </is>
      </c>
    </row>
    <row r="96">
      <c r="A96" s="37" t="inlineStr">
        <is>
          <t>OFR-2022-0095</t>
        </is>
      </c>
      <c r="B96" s="43" t="n">
        <v>44705</v>
      </c>
      <c r="C96" s="37" t="inlineStr">
        <is>
          <t>WL-02258</t>
        </is>
      </c>
      <c r="D96" s="37" t="n">
        <v>1258</v>
      </c>
      <c r="E96" s="37" t="inlineStr">
        <is>
          <t>EW-0624</t>
        </is>
      </c>
      <c r="F96" s="37" t="inlineStr">
        <is>
          <t>Eastwey</t>
        </is>
      </c>
      <c r="G96" s="37" t="n">
        <v>60</v>
      </c>
      <c r="H96" s="37" t="inlineStr">
        <is>
          <t>OPEN</t>
        </is>
      </c>
      <c r="I96" s="37" t="inlineStr">
        <is>
          <t>SKIPPED</t>
        </is>
      </c>
      <c r="J96" s="37" t="inlineStr">
        <is>
          <t>vessel-fit</t>
        </is>
      </c>
    </row>
    <row r="97">
      <c r="A97" s="37" t="inlineStr">
        <is>
          <t>OFR-2022-0096</t>
        </is>
      </c>
      <c r="B97" s="43" t="n">
        <v>44687</v>
      </c>
      <c r="C97" s="37" t="inlineStr">
        <is>
          <t>WL-01214</t>
        </is>
      </c>
      <c r="D97" s="37" t="n">
        <v>214</v>
      </c>
      <c r="E97" s="37" t="inlineStr">
        <is>
          <t>EW-0601</t>
        </is>
      </c>
      <c r="F97" s="37" t="inlineStr">
        <is>
          <t>Eastwey</t>
        </is>
      </c>
      <c r="G97" s="37" t="n">
        <v>24</v>
      </c>
      <c r="H97" s="37" t="inlineStr">
        <is>
          <t>OPEN</t>
        </is>
      </c>
      <c r="I97" s="37" t="inlineStr">
        <is>
          <t>ACCEPTED</t>
        </is>
      </c>
    </row>
    <row r="98">
      <c r="A98" s="37" t="inlineStr">
        <is>
          <t>OFR-2022-0097</t>
        </is>
      </c>
      <c r="B98" s="43" t="n">
        <v>44706</v>
      </c>
      <c r="C98" s="37" t="inlineStr">
        <is>
          <t>WL-01273</t>
        </is>
      </c>
      <c r="D98" s="37" t="n">
        <v>273</v>
      </c>
      <c r="E98" s="37" t="inlineStr">
        <is>
          <t>GW-0420</t>
        </is>
      </c>
      <c r="F98" s="37" t="inlineStr">
        <is>
          <t>Gullwing</t>
        </is>
      </c>
      <c r="G98" s="37" t="n">
        <v>28</v>
      </c>
      <c r="H98" s="37" t="inlineStr">
        <is>
          <t>OPEN</t>
        </is>
      </c>
      <c r="I98" s="37" t="inlineStr">
        <is>
          <t>SKIPPED</t>
        </is>
      </c>
      <c r="J98" s="37" t="inlineStr">
        <is>
          <t>vessel-fit</t>
        </is>
      </c>
    </row>
    <row r="99">
      <c r="A99" s="37" t="inlineStr">
        <is>
          <t>OFR-2022-0098</t>
        </is>
      </c>
      <c r="B99" s="43" t="n">
        <v>44688</v>
      </c>
      <c r="C99" s="37" t="inlineStr">
        <is>
          <t>WL-01087</t>
        </is>
      </c>
      <c r="D99" s="37" t="n">
        <v>87</v>
      </c>
      <c r="E99" s="37" t="inlineStr">
        <is>
          <t>LP-0720</t>
        </is>
      </c>
      <c r="F99" s="37" t="inlineStr">
        <is>
          <t>Ledgport</t>
        </is>
      </c>
      <c r="G99" s="37" t="n">
        <v>32</v>
      </c>
      <c r="H99" s="37" t="inlineStr">
        <is>
          <t>COVERED</t>
        </is>
      </c>
      <c r="I99" s="37" t="inlineStr">
        <is>
          <t>SKIPPED</t>
        </is>
      </c>
      <c r="J99" s="37" t="inlineStr">
        <is>
          <t>declined-prior-offer</t>
        </is>
      </c>
    </row>
    <row r="100">
      <c r="A100" s="37" t="inlineStr">
        <is>
          <t>OFR-2022-0099</t>
        </is>
      </c>
      <c r="B100" s="43" t="n">
        <v>44686</v>
      </c>
      <c r="C100" s="37" t="inlineStr">
        <is>
          <t>WL-02619</t>
        </is>
      </c>
      <c r="D100" s="37" t="n">
        <v>1619</v>
      </c>
      <c r="E100" s="37" t="inlineStr">
        <is>
          <t>LP-0411</t>
        </is>
      </c>
      <c r="F100" s="37" t="inlineStr">
        <is>
          <t>Ledgport</t>
        </is>
      </c>
      <c r="G100" s="37" t="n">
        <v>24</v>
      </c>
      <c r="H100" s="37" t="inlineStr">
        <is>
          <t>COVERED</t>
        </is>
      </c>
      <c r="I100" s="37" t="inlineStr">
        <is>
          <t>ACCEPTED</t>
        </is>
      </c>
    </row>
    <row r="101">
      <c r="A101" s="37" t="inlineStr">
        <is>
          <t>OFR-2022-0100</t>
        </is>
      </c>
      <c r="B101" s="43" t="n">
        <v>44682</v>
      </c>
      <c r="C101" s="37" t="inlineStr">
        <is>
          <t>WL-03755</t>
        </is>
      </c>
      <c r="D101" s="37" t="n">
        <v>2755</v>
      </c>
      <c r="E101" s="37" t="inlineStr">
        <is>
          <t>GW-0712</t>
        </is>
      </c>
      <c r="F101" s="37" t="inlineStr">
        <is>
          <t>Gullwing</t>
        </is>
      </c>
      <c r="G101" s="37" t="n">
        <v>45</v>
      </c>
      <c r="H101" s="37" t="inlineStr">
        <is>
          <t>OPEN</t>
        </is>
      </c>
      <c r="I101" s="37" t="inlineStr">
        <is>
          <t>DECLINED</t>
        </is>
      </c>
    </row>
    <row r="102">
      <c r="A102" s="37" t="inlineStr">
        <is>
          <t>OFR-2022-0101</t>
        </is>
      </c>
      <c r="B102" s="43" t="n">
        <v>44701</v>
      </c>
      <c r="C102" s="37" t="inlineStr">
        <is>
          <t>WL-03708</t>
        </is>
      </c>
      <c r="D102" s="37" t="n">
        <v>2708</v>
      </c>
      <c r="E102" s="37" t="inlineStr">
        <is>
          <t>VB-1024</t>
        </is>
      </c>
      <c r="F102" s="37" t="inlineStr">
        <is>
          <t>Vessbank</t>
        </is>
      </c>
      <c r="G102" s="37" t="n">
        <v>32</v>
      </c>
      <c r="H102" s="37" t="inlineStr">
        <is>
          <t>COVERED</t>
        </is>
      </c>
      <c r="I102" s="37" t="inlineStr">
        <is>
          <t>SKIPPED</t>
        </is>
      </c>
      <c r="J102" s="37" t="inlineStr">
        <is>
          <t>not-current</t>
        </is>
      </c>
    </row>
    <row r="103">
      <c r="A103" s="37" t="inlineStr">
        <is>
          <t>OFR-2022-0102</t>
        </is>
      </c>
      <c r="B103" s="43" t="n">
        <v>44686</v>
      </c>
      <c r="C103" s="37" t="inlineStr">
        <is>
          <t>WL-02825</t>
        </is>
      </c>
      <c r="D103" s="37" t="n">
        <v>1825</v>
      </c>
      <c r="E103" s="37" t="inlineStr">
        <is>
          <t>VB-1001</t>
        </is>
      </c>
      <c r="F103" s="37" t="inlineStr">
        <is>
          <t>Vessbank</t>
        </is>
      </c>
      <c r="G103" s="37" t="n">
        <v>40</v>
      </c>
      <c r="H103" s="37" t="inlineStr">
        <is>
          <t>COVERED</t>
        </is>
      </c>
      <c r="I103" s="37" t="inlineStr">
        <is>
          <t>SKIPPED</t>
        </is>
      </c>
      <c r="J103" s="37" t="inlineStr">
        <is>
          <t>declined-prior-offer</t>
        </is>
      </c>
    </row>
    <row r="104">
      <c r="A104" s="37" t="inlineStr">
        <is>
          <t>OFR-2022-0103</t>
        </is>
      </c>
      <c r="B104" s="43" t="n">
        <v>44694</v>
      </c>
      <c r="C104" s="37" t="inlineStr">
        <is>
          <t>WL-03259</t>
        </is>
      </c>
      <c r="D104" s="37" t="n">
        <v>2259</v>
      </c>
      <c r="E104" s="37" t="inlineStr">
        <is>
          <t>SB-0110</t>
        </is>
      </c>
      <c r="F104" s="37" t="inlineStr">
        <is>
          <t>Salmonberry</t>
        </is>
      </c>
      <c r="G104" s="37" t="n">
        <v>28</v>
      </c>
      <c r="H104" s="37" t="inlineStr">
        <is>
          <t>OPEN</t>
        </is>
      </c>
      <c r="I104" s="37" t="inlineStr">
        <is>
          <t>ACCEPTED</t>
        </is>
      </c>
    </row>
    <row r="105">
      <c r="A105" s="37" t="inlineStr">
        <is>
          <t>OFR-2022-0104</t>
        </is>
      </c>
      <c r="B105" s="43" t="n">
        <v>44682</v>
      </c>
      <c r="C105" s="37" t="inlineStr">
        <is>
          <t>WL-01462</t>
        </is>
      </c>
      <c r="D105" s="37" t="n">
        <v>462</v>
      </c>
      <c r="E105" s="37" t="inlineStr">
        <is>
          <t>GW-1012</t>
        </is>
      </c>
      <c r="F105" s="37" t="inlineStr">
        <is>
          <t>Gullwing</t>
        </is>
      </c>
      <c r="G105" s="37" t="n">
        <v>80</v>
      </c>
      <c r="H105" s="37" t="inlineStr">
        <is>
          <t>OPEN</t>
        </is>
      </c>
      <c r="I105" s="37" t="inlineStr">
        <is>
          <t>ACCEPTED</t>
        </is>
      </c>
    </row>
    <row r="106">
      <c r="A106" s="37" t="inlineStr">
        <is>
          <t>OFR-2022-0105</t>
        </is>
      </c>
      <c r="B106" s="43" t="n">
        <v>44700</v>
      </c>
      <c r="C106" s="37" t="inlineStr">
        <is>
          <t>WL-02858</t>
        </is>
      </c>
      <c r="D106" s="37" t="n">
        <v>1858</v>
      </c>
      <c r="E106" s="37" t="inlineStr">
        <is>
          <t>VB-0203</t>
        </is>
      </c>
      <c r="F106" s="37" t="inlineStr">
        <is>
          <t>Vessbank</t>
        </is>
      </c>
      <c r="G106" s="37" t="n">
        <v>32</v>
      </c>
      <c r="H106" s="37" t="inlineStr">
        <is>
          <t>COVERED</t>
        </is>
      </c>
      <c r="I106" s="37" t="inlineStr">
        <is>
          <t>SKIPPED</t>
        </is>
      </c>
      <c r="J106" s="37" t="inlineStr">
        <is>
          <t>declined-prior-offer</t>
        </is>
      </c>
    </row>
    <row r="107">
      <c r="A107" s="37" t="inlineStr">
        <is>
          <t>OFR-2022-0106</t>
        </is>
      </c>
      <c r="B107" s="43" t="n">
        <v>44704</v>
      </c>
      <c r="C107" s="37" t="inlineStr">
        <is>
          <t>WL-02629</t>
        </is>
      </c>
      <c r="D107" s="37" t="n">
        <v>1629</v>
      </c>
      <c r="E107" s="37" t="inlineStr">
        <is>
          <t>VB-0815</t>
        </is>
      </c>
      <c r="F107" s="37" t="inlineStr">
        <is>
          <t>Vessbank</t>
        </is>
      </c>
      <c r="G107" s="37" t="n">
        <v>36</v>
      </c>
      <c r="H107" s="37" t="inlineStr">
        <is>
          <t>COVERED</t>
        </is>
      </c>
      <c r="I107" s="37" t="inlineStr">
        <is>
          <t>EXPIRED</t>
        </is>
      </c>
    </row>
    <row r="108">
      <c r="A108" s="37" t="inlineStr">
        <is>
          <t>OFR-2022-0107</t>
        </is>
      </c>
      <c r="B108" s="43" t="n">
        <v>44700</v>
      </c>
      <c r="C108" s="37" t="inlineStr">
        <is>
          <t>WL-02231</t>
        </is>
      </c>
      <c r="D108" s="37" t="n">
        <v>1231</v>
      </c>
      <c r="E108" s="37" t="inlineStr">
        <is>
          <t>LP-0322</t>
        </is>
      </c>
      <c r="F108" s="37" t="inlineStr">
        <is>
          <t>Ledgport</t>
        </is>
      </c>
      <c r="G108" s="37" t="n">
        <v>24</v>
      </c>
      <c r="H108" s="37" t="inlineStr">
        <is>
          <t>COVERED</t>
        </is>
      </c>
      <c r="I108" s="37" t="inlineStr">
        <is>
          <t>SKIPPED</t>
        </is>
      </c>
      <c r="J108" s="37" t="inlineStr">
        <is>
          <t>not-current</t>
        </is>
      </c>
    </row>
    <row r="109">
      <c r="A109" s="37" t="inlineStr">
        <is>
          <t>OFR-2022-0108</t>
        </is>
      </c>
      <c r="B109" s="43" t="n">
        <v>44695</v>
      </c>
      <c r="C109" s="37" t="inlineStr">
        <is>
          <t>WL-02858</t>
        </is>
      </c>
      <c r="D109" s="37" t="n">
        <v>1858</v>
      </c>
      <c r="E109" s="37" t="inlineStr">
        <is>
          <t>SB-0418</t>
        </is>
      </c>
      <c r="F109" s="37" t="inlineStr">
        <is>
          <t>Salmonberry</t>
        </is>
      </c>
      <c r="G109" s="37" t="n">
        <v>45</v>
      </c>
      <c r="H109" s="37" t="inlineStr">
        <is>
          <t>OPEN</t>
        </is>
      </c>
      <c r="I109" s="37" t="inlineStr">
        <is>
          <t>DECLINED</t>
        </is>
      </c>
    </row>
    <row r="110">
      <c r="A110" s="37" t="inlineStr">
        <is>
          <t>OFR-2022-0109</t>
        </is>
      </c>
      <c r="B110" s="43" t="n">
        <v>44709</v>
      </c>
      <c r="C110" s="37" t="inlineStr">
        <is>
          <t>WL-03215</t>
        </is>
      </c>
      <c r="D110" s="37" t="n">
        <v>2215</v>
      </c>
      <c r="E110" s="37" t="inlineStr">
        <is>
          <t>LP-0216</t>
        </is>
      </c>
      <c r="F110" s="37" t="inlineStr">
        <is>
          <t>Ledgport</t>
        </is>
      </c>
      <c r="G110" s="37" t="n">
        <v>32</v>
      </c>
      <c r="H110" s="37" t="inlineStr">
        <is>
          <t>COVERED</t>
        </is>
      </c>
      <c r="I110" s="37" t="inlineStr">
        <is>
          <t>ACCEPTED</t>
        </is>
      </c>
    </row>
    <row r="111">
      <c r="A111" s="37" t="inlineStr">
        <is>
          <t>OFR-2022-0110</t>
        </is>
      </c>
      <c r="B111" s="43" t="n">
        <v>44696</v>
      </c>
      <c r="C111" s="37" t="inlineStr">
        <is>
          <t>WL-02094</t>
        </is>
      </c>
      <c r="D111" s="37" t="n">
        <v>1094</v>
      </c>
      <c r="E111" s="37" t="inlineStr">
        <is>
          <t>SB-0114</t>
        </is>
      </c>
      <c r="F111" s="37" t="inlineStr">
        <is>
          <t>Salmonberry</t>
        </is>
      </c>
      <c r="G111" s="37" t="n">
        <v>32</v>
      </c>
      <c r="H111" s="37" t="inlineStr">
        <is>
          <t>OPEN</t>
        </is>
      </c>
      <c r="I111" s="37" t="inlineStr">
        <is>
          <t>SKIPPED</t>
        </is>
      </c>
      <c r="J111" s="37" t="inlineStr">
        <is>
          <t>preference-mismatch</t>
        </is>
      </c>
    </row>
    <row r="112">
      <c r="A112" s="37" t="inlineStr">
        <is>
          <t>OFR-2022-0111</t>
        </is>
      </c>
      <c r="B112" s="43" t="n">
        <v>44695</v>
      </c>
      <c r="C112" s="37" t="inlineStr">
        <is>
          <t>WL-03016</t>
        </is>
      </c>
      <c r="D112" s="37" t="n">
        <v>2016</v>
      </c>
      <c r="E112" s="37" t="inlineStr">
        <is>
          <t>EW-0701</t>
        </is>
      </c>
      <c r="F112" s="37" t="inlineStr">
        <is>
          <t>Eastwey</t>
        </is>
      </c>
      <c r="G112" s="37" t="n">
        <v>60</v>
      </c>
      <c r="H112" s="37" t="inlineStr">
        <is>
          <t>OPEN</t>
        </is>
      </c>
      <c r="I112" s="37" t="inlineStr">
        <is>
          <t>ACCEPTED</t>
        </is>
      </c>
    </row>
    <row r="113">
      <c r="A113" s="37" t="inlineStr">
        <is>
          <t>OFR-2022-0112</t>
        </is>
      </c>
      <c r="B113" s="43" t="n">
        <v>44693</v>
      </c>
      <c r="C113" s="37" t="inlineStr">
        <is>
          <t>WL-01152</t>
        </is>
      </c>
      <c r="D113" s="37" t="n">
        <v>152</v>
      </c>
      <c r="E113" s="37" t="inlineStr">
        <is>
          <t>LP-0820</t>
        </is>
      </c>
      <c r="F113" s="37" t="inlineStr">
        <is>
          <t>Ledgport</t>
        </is>
      </c>
      <c r="G113" s="37" t="n">
        <v>32</v>
      </c>
      <c r="H113" s="37" t="inlineStr">
        <is>
          <t>COVERED</t>
        </is>
      </c>
      <c r="I113" s="37" t="inlineStr">
        <is>
          <t>DECLINED</t>
        </is>
      </c>
    </row>
    <row r="114">
      <c r="A114" s="37" t="inlineStr">
        <is>
          <t>OFR-2022-0113</t>
        </is>
      </c>
      <c r="B114" s="43" t="n">
        <v>44696</v>
      </c>
      <c r="C114" s="37" t="inlineStr">
        <is>
          <t>WL-03342</t>
        </is>
      </c>
      <c r="D114" s="37" t="n">
        <v>2342</v>
      </c>
      <c r="E114" s="37" t="inlineStr">
        <is>
          <t>GW-0216</t>
        </is>
      </c>
      <c r="F114" s="37" t="inlineStr">
        <is>
          <t>Gullwing</t>
        </is>
      </c>
      <c r="G114" s="37" t="n">
        <v>80</v>
      </c>
      <c r="H114" s="37" t="inlineStr">
        <is>
          <t>OPEN</t>
        </is>
      </c>
      <c r="I114" s="37" t="inlineStr">
        <is>
          <t>ACCEPTED</t>
        </is>
      </c>
    </row>
    <row r="115">
      <c r="A115" s="37" t="inlineStr">
        <is>
          <t>OFR-2022-0114</t>
        </is>
      </c>
      <c r="B115" s="43" t="n">
        <v>44703</v>
      </c>
      <c r="C115" s="37" t="inlineStr">
        <is>
          <t>WL-03152</t>
        </is>
      </c>
      <c r="D115" s="37" t="n">
        <v>2152</v>
      </c>
      <c r="E115" s="37" t="inlineStr">
        <is>
          <t>SB-0102</t>
        </is>
      </c>
      <c r="F115" s="37" t="inlineStr">
        <is>
          <t>Salmonberry</t>
        </is>
      </c>
      <c r="G115" s="37" t="n">
        <v>32</v>
      </c>
      <c r="H115" s="37" t="inlineStr">
        <is>
          <t>OPEN</t>
        </is>
      </c>
      <c r="I115" s="37" t="inlineStr">
        <is>
          <t>ACCEPTED</t>
        </is>
      </c>
    </row>
    <row r="116">
      <c r="A116" s="37" t="inlineStr">
        <is>
          <t>OFR-2022-0115</t>
        </is>
      </c>
      <c r="B116" s="43" t="n">
        <v>44698</v>
      </c>
      <c r="C116" s="37" t="inlineStr">
        <is>
          <t>WL-02180</t>
        </is>
      </c>
      <c r="D116" s="37" t="n">
        <v>1180</v>
      </c>
      <c r="E116" s="37" t="inlineStr">
        <is>
          <t>EW-0411</t>
        </is>
      </c>
      <c r="F116" s="37" t="inlineStr">
        <is>
          <t>Eastwey</t>
        </is>
      </c>
      <c r="G116" s="37" t="n">
        <v>70</v>
      </c>
      <c r="H116" s="37" t="inlineStr">
        <is>
          <t>OPEN</t>
        </is>
      </c>
      <c r="I116" s="37" t="inlineStr">
        <is>
          <t>SKIPPED</t>
        </is>
      </c>
      <c r="J116" s="37" t="inlineStr">
        <is>
          <t>vessel-fit</t>
        </is>
      </c>
    </row>
    <row r="117">
      <c r="A117" s="37" t="inlineStr">
        <is>
          <t>OFR-2022-0116</t>
        </is>
      </c>
      <c r="B117" s="43" t="n">
        <v>44696</v>
      </c>
      <c r="C117" s="37" t="inlineStr">
        <is>
          <t>WL-01083</t>
        </is>
      </c>
      <c r="D117" s="37" t="n">
        <v>83</v>
      </c>
      <c r="E117" s="37" t="inlineStr">
        <is>
          <t>SB-0204</t>
        </is>
      </c>
      <c r="F117" s="37" t="inlineStr">
        <is>
          <t>Salmonberry</t>
        </is>
      </c>
      <c r="G117" s="37" t="n">
        <v>32</v>
      </c>
      <c r="H117" s="37" t="inlineStr">
        <is>
          <t>OPEN</t>
        </is>
      </c>
      <c r="I117" s="37" t="inlineStr">
        <is>
          <t>EXPIRED</t>
        </is>
      </c>
    </row>
    <row r="118">
      <c r="A118" s="37" t="inlineStr">
        <is>
          <t>OFR-2022-0117</t>
        </is>
      </c>
      <c r="B118" s="43" t="n">
        <v>44697</v>
      </c>
      <c r="C118" s="37" t="inlineStr">
        <is>
          <t>WL-02224</t>
        </is>
      </c>
      <c r="D118" s="37" t="n">
        <v>1224</v>
      </c>
      <c r="E118" s="37" t="inlineStr">
        <is>
          <t>GW-0407</t>
        </is>
      </c>
      <c r="F118" s="37" t="inlineStr">
        <is>
          <t>Gullwing</t>
        </is>
      </c>
      <c r="G118" s="37" t="n">
        <v>45</v>
      </c>
      <c r="H118" s="37" t="inlineStr">
        <is>
          <t>OPEN</t>
        </is>
      </c>
      <c r="I118" s="37" t="inlineStr">
        <is>
          <t>SKIPPED</t>
        </is>
      </c>
      <c r="J118" s="37" t="inlineStr">
        <is>
          <t>vessel-fit</t>
        </is>
      </c>
    </row>
    <row r="119">
      <c r="A119" s="37" t="inlineStr">
        <is>
          <t>OFR-2022-0118</t>
        </is>
      </c>
      <c r="B119" s="43" t="n">
        <v>44705</v>
      </c>
      <c r="C119" s="37" t="inlineStr">
        <is>
          <t>WL-02139</t>
        </is>
      </c>
      <c r="D119" s="37" t="n">
        <v>1139</v>
      </c>
      <c r="E119" s="37" t="inlineStr">
        <is>
          <t>VB-0611</t>
        </is>
      </c>
      <c r="F119" s="37" t="inlineStr">
        <is>
          <t>Vessbank</t>
        </is>
      </c>
      <c r="G119" s="37" t="n">
        <v>32</v>
      </c>
      <c r="H119" s="37" t="inlineStr">
        <is>
          <t>COVERED</t>
        </is>
      </c>
      <c r="I119" s="37" t="inlineStr">
        <is>
          <t>ACCEPTED</t>
        </is>
      </c>
    </row>
    <row r="120">
      <c r="A120" s="37" t="inlineStr">
        <is>
          <t>OFR-2022-0119</t>
        </is>
      </c>
      <c r="B120" s="43" t="n">
        <v>44692</v>
      </c>
      <c r="C120" s="37" t="inlineStr">
        <is>
          <t>WL-03392</t>
        </is>
      </c>
      <c r="D120" s="37" t="n">
        <v>2392</v>
      </c>
      <c r="E120" s="37" t="inlineStr">
        <is>
          <t>LP-1010</t>
        </is>
      </c>
      <c r="F120" s="37" t="inlineStr">
        <is>
          <t>Ledgport</t>
        </is>
      </c>
      <c r="G120" s="37" t="n">
        <v>32</v>
      </c>
      <c r="H120" s="37" t="inlineStr">
        <is>
          <t>COVERED</t>
        </is>
      </c>
      <c r="I120" s="37" t="inlineStr">
        <is>
          <t>ACCEPTED</t>
        </is>
      </c>
    </row>
    <row r="121">
      <c r="A121" s="37" t="inlineStr">
        <is>
          <t>OFR-2022-0120</t>
        </is>
      </c>
      <c r="B121" s="43" t="n">
        <v>44692</v>
      </c>
      <c r="C121" s="37" t="inlineStr">
        <is>
          <t>WL-01279</t>
        </is>
      </c>
      <c r="D121" s="37" t="n">
        <v>279</v>
      </c>
      <c r="E121" s="37" t="inlineStr">
        <is>
          <t>SB-0213</t>
        </is>
      </c>
      <c r="F121" s="37" t="inlineStr">
        <is>
          <t>Salmonberry</t>
        </is>
      </c>
      <c r="G121" s="37" t="n">
        <v>40</v>
      </c>
      <c r="H121" s="37" t="inlineStr">
        <is>
          <t>OPEN</t>
        </is>
      </c>
      <c r="I121" s="37" t="inlineStr">
        <is>
          <t>ACCEPTED</t>
        </is>
      </c>
    </row>
    <row r="122">
      <c r="A122" s="37" t="inlineStr">
        <is>
          <t>OFR-2022-0121</t>
        </is>
      </c>
      <c r="B122" s="43" t="n">
        <v>44690</v>
      </c>
      <c r="C122" s="37" t="inlineStr">
        <is>
          <t>WL-03162</t>
        </is>
      </c>
      <c r="D122" s="37" t="n">
        <v>2162</v>
      </c>
      <c r="E122" s="37" t="inlineStr">
        <is>
          <t>SB-0717</t>
        </is>
      </c>
      <c r="F122" s="37" t="inlineStr">
        <is>
          <t>Salmonberry</t>
        </is>
      </c>
      <c r="G122" s="37" t="n">
        <v>60</v>
      </c>
      <c r="H122" s="37" t="inlineStr">
        <is>
          <t>OPEN</t>
        </is>
      </c>
      <c r="I122" s="37" t="inlineStr">
        <is>
          <t>DECLINED_RETAINER</t>
        </is>
      </c>
    </row>
    <row r="123">
      <c r="A123" s="37" t="inlineStr">
        <is>
          <t>OFR-2022-0122</t>
        </is>
      </c>
      <c r="B123" s="43" t="n">
        <v>44682</v>
      </c>
      <c r="C123" s="37" t="inlineStr">
        <is>
          <t>WL-03531</t>
        </is>
      </c>
      <c r="D123" s="37" t="n">
        <v>2531</v>
      </c>
      <c r="E123" s="37" t="inlineStr">
        <is>
          <t>GW-0401</t>
        </is>
      </c>
      <c r="F123" s="37" t="inlineStr">
        <is>
          <t>Gullwing</t>
        </is>
      </c>
      <c r="G123" s="37" t="n">
        <v>45</v>
      </c>
      <c r="H123" s="37" t="inlineStr">
        <is>
          <t>OPEN</t>
        </is>
      </c>
      <c r="I123" s="37" t="inlineStr">
        <is>
          <t>ACCEPTED</t>
        </is>
      </c>
    </row>
    <row r="124">
      <c r="A124" s="37" t="inlineStr">
        <is>
          <t>OFR-2022-0123</t>
        </is>
      </c>
      <c r="B124" s="43" t="n">
        <v>44696</v>
      </c>
      <c r="C124" s="37" t="inlineStr">
        <is>
          <t>WL-01441</t>
        </is>
      </c>
      <c r="D124" s="37" t="n">
        <v>441</v>
      </c>
      <c r="E124" s="37" t="inlineStr">
        <is>
          <t>LP-0523</t>
        </is>
      </c>
      <c r="F124" s="37" t="inlineStr">
        <is>
          <t>Ledgport</t>
        </is>
      </c>
      <c r="G124" s="37" t="n">
        <v>24</v>
      </c>
      <c r="H124" s="37" t="inlineStr">
        <is>
          <t>COVERED</t>
        </is>
      </c>
      <c r="I124" s="37" t="inlineStr">
        <is>
          <t>PENDING</t>
        </is>
      </c>
    </row>
    <row r="125">
      <c r="A125" s="37" t="inlineStr">
        <is>
          <t>OFR-2022-0124</t>
        </is>
      </c>
      <c r="B125" s="43" t="n">
        <v>44682</v>
      </c>
      <c r="C125" s="37" t="inlineStr">
        <is>
          <t>WL-03085</t>
        </is>
      </c>
      <c r="D125" s="37" t="n">
        <v>2085</v>
      </c>
      <c r="E125" s="37" t="inlineStr">
        <is>
          <t>VB-0615</t>
        </is>
      </c>
      <c r="F125" s="37" t="inlineStr">
        <is>
          <t>Vessbank</t>
        </is>
      </c>
      <c r="G125" s="37" t="n">
        <v>40</v>
      </c>
      <c r="H125" s="37" t="inlineStr">
        <is>
          <t>COVERED</t>
        </is>
      </c>
      <c r="I125" s="37" t="inlineStr">
        <is>
          <t>ACCEPTED</t>
        </is>
      </c>
    </row>
    <row r="126">
      <c r="A126" s="37" t="inlineStr">
        <is>
          <t>OFR-2022-0125</t>
        </is>
      </c>
      <c r="B126" s="43" t="n">
        <v>44713</v>
      </c>
      <c r="C126" s="37" t="inlineStr">
        <is>
          <t>WL-02782</t>
        </is>
      </c>
      <c r="D126" s="37" t="n">
        <v>1782</v>
      </c>
      <c r="E126" s="37" t="inlineStr">
        <is>
          <t>LP-0812</t>
        </is>
      </c>
      <c r="F126" s="37" t="inlineStr">
        <is>
          <t>Ledgport</t>
        </is>
      </c>
      <c r="G126" s="37" t="n">
        <v>28</v>
      </c>
      <c r="H126" s="37" t="inlineStr">
        <is>
          <t>COVERED</t>
        </is>
      </c>
      <c r="I126" s="37" t="inlineStr">
        <is>
          <t>SKIPPED</t>
        </is>
      </c>
      <c r="J126" s="37" t="inlineStr">
        <is>
          <t>vessel-fit</t>
        </is>
      </c>
    </row>
    <row r="127">
      <c r="A127" s="37" t="inlineStr">
        <is>
          <t>OFR-2022-0126</t>
        </is>
      </c>
      <c r="B127" s="43" t="n">
        <v>44713</v>
      </c>
      <c r="C127" s="37" t="inlineStr">
        <is>
          <t>WL-01533</t>
        </is>
      </c>
      <c r="D127" s="37" t="n">
        <v>533</v>
      </c>
      <c r="E127" s="37" t="inlineStr">
        <is>
          <t>EW-0616</t>
        </is>
      </c>
      <c r="F127" s="37" t="inlineStr">
        <is>
          <t>Eastwey</t>
        </is>
      </c>
      <c r="G127" s="37" t="n">
        <v>36</v>
      </c>
      <c r="H127" s="37" t="inlineStr">
        <is>
          <t>OPEN</t>
        </is>
      </c>
      <c r="I127" s="37" t="inlineStr">
        <is>
          <t>EXPIRED</t>
        </is>
      </c>
    </row>
    <row r="128">
      <c r="A128" s="37" t="inlineStr">
        <is>
          <t>OFR-2022-0127</t>
        </is>
      </c>
      <c r="B128" s="43" t="n">
        <v>44718</v>
      </c>
      <c r="C128" s="37" t="inlineStr">
        <is>
          <t>WL-03263</t>
        </is>
      </c>
      <c r="D128" s="37" t="n">
        <v>2263</v>
      </c>
      <c r="E128" s="37" t="inlineStr">
        <is>
          <t>EW-0419</t>
        </is>
      </c>
      <c r="F128" s="37" t="inlineStr">
        <is>
          <t>Eastwey</t>
        </is>
      </c>
      <c r="G128" s="37" t="n">
        <v>45</v>
      </c>
      <c r="H128" s="37" t="inlineStr">
        <is>
          <t>OPEN</t>
        </is>
      </c>
      <c r="I128" s="37" t="inlineStr">
        <is>
          <t>ACCEPTED</t>
        </is>
      </c>
    </row>
    <row r="129">
      <c r="A129" s="37" t="inlineStr">
        <is>
          <t>OFR-2022-0128</t>
        </is>
      </c>
      <c r="B129" s="43" t="n">
        <v>44726</v>
      </c>
      <c r="C129" s="37" t="inlineStr">
        <is>
          <t>WL-02799</t>
        </is>
      </c>
      <c r="D129" s="37" t="n">
        <v>1799</v>
      </c>
      <c r="E129" s="37" t="inlineStr">
        <is>
          <t>EW-0511</t>
        </is>
      </c>
      <c r="F129" s="37" t="inlineStr">
        <is>
          <t>Eastwey</t>
        </is>
      </c>
      <c r="G129" s="37" t="n">
        <v>28</v>
      </c>
      <c r="H129" s="37" t="inlineStr">
        <is>
          <t>OPEN</t>
        </is>
      </c>
      <c r="I129" s="37" t="inlineStr">
        <is>
          <t>ACCEPTED</t>
        </is>
      </c>
    </row>
    <row r="130">
      <c r="A130" s="37" t="inlineStr">
        <is>
          <t>OFR-2022-0129</t>
        </is>
      </c>
      <c r="B130" s="43" t="n">
        <v>44736</v>
      </c>
      <c r="C130" s="37" t="inlineStr">
        <is>
          <t>WL-01509</t>
        </is>
      </c>
      <c r="D130" s="37" t="n">
        <v>509</v>
      </c>
      <c r="E130" s="37" t="inlineStr">
        <is>
          <t>EW-0322</t>
        </is>
      </c>
      <c r="F130" s="37" t="inlineStr">
        <is>
          <t>Eastwey</t>
        </is>
      </c>
      <c r="G130" s="37" t="n">
        <v>28</v>
      </c>
      <c r="H130" s="37" t="inlineStr">
        <is>
          <t>OPEN</t>
        </is>
      </c>
      <c r="I130" s="37" t="inlineStr">
        <is>
          <t>DECLINED</t>
        </is>
      </c>
    </row>
    <row r="131">
      <c r="A131" s="37" t="inlineStr">
        <is>
          <t>OFR-2022-0130</t>
        </is>
      </c>
      <c r="B131" s="43" t="n">
        <v>44737</v>
      </c>
      <c r="C131" s="37" t="inlineStr">
        <is>
          <t>WL-03403</t>
        </is>
      </c>
      <c r="D131" s="37" t="n">
        <v>2403</v>
      </c>
      <c r="E131" s="37" t="inlineStr">
        <is>
          <t>GW-0519</t>
        </is>
      </c>
      <c r="F131" s="37" t="inlineStr">
        <is>
          <t>Gullwing</t>
        </is>
      </c>
      <c r="G131" s="37" t="n">
        <v>40</v>
      </c>
      <c r="H131" s="37" t="inlineStr">
        <is>
          <t>OPEN</t>
        </is>
      </c>
      <c r="I131" s="37" t="inlineStr">
        <is>
          <t>SKIPPED</t>
        </is>
      </c>
      <c r="J131" s="37" t="inlineStr">
        <is>
          <t>not-current</t>
        </is>
      </c>
    </row>
    <row r="132">
      <c r="A132" s="37" t="inlineStr">
        <is>
          <t>OFR-2022-0131</t>
        </is>
      </c>
      <c r="B132" s="43" t="n">
        <v>44719</v>
      </c>
      <c r="C132" s="37" t="inlineStr">
        <is>
          <t>WL-01981</t>
        </is>
      </c>
      <c r="D132" s="37" t="n">
        <v>981</v>
      </c>
      <c r="E132" s="37" t="inlineStr">
        <is>
          <t>SB-0517</t>
        </is>
      </c>
      <c r="F132" s="37" t="inlineStr">
        <is>
          <t>Salmonberry</t>
        </is>
      </c>
      <c r="G132" s="37" t="n">
        <v>32</v>
      </c>
      <c r="H132" s="37" t="inlineStr">
        <is>
          <t>OPEN</t>
        </is>
      </c>
      <c r="I132" s="37" t="inlineStr">
        <is>
          <t>ACCEPTED</t>
        </is>
      </c>
    </row>
    <row r="133">
      <c r="A133" s="37" t="inlineStr">
        <is>
          <t>OFR-2022-0132</t>
        </is>
      </c>
      <c r="B133" s="43" t="n">
        <v>44720</v>
      </c>
      <c r="C133" s="37" t="inlineStr">
        <is>
          <t>WL-03030</t>
        </is>
      </c>
      <c r="D133" s="37" t="n">
        <v>2030</v>
      </c>
      <c r="E133" s="37" t="inlineStr">
        <is>
          <t>EW-0920</t>
        </is>
      </c>
      <c r="F133" s="37" t="inlineStr">
        <is>
          <t>Eastwey</t>
        </is>
      </c>
      <c r="G133" s="37" t="n">
        <v>40</v>
      </c>
      <c r="H133" s="37" t="inlineStr">
        <is>
          <t>OPEN</t>
        </is>
      </c>
      <c r="I133" s="37" t="inlineStr">
        <is>
          <t>ACCEPTED</t>
        </is>
      </c>
    </row>
    <row r="134">
      <c r="A134" s="37" t="inlineStr">
        <is>
          <t>OFR-2022-0133</t>
        </is>
      </c>
      <c r="B134" s="43" t="n">
        <v>44725</v>
      </c>
      <c r="C134" s="37" t="inlineStr">
        <is>
          <t>WL-01857</t>
        </is>
      </c>
      <c r="D134" s="37" t="n">
        <v>857</v>
      </c>
      <c r="E134" s="37" t="inlineStr">
        <is>
          <t>SB-0801</t>
        </is>
      </c>
      <c r="F134" s="37" t="inlineStr">
        <is>
          <t>Salmonberry</t>
        </is>
      </c>
      <c r="G134" s="37" t="n">
        <v>32</v>
      </c>
      <c r="H134" s="37" t="inlineStr">
        <is>
          <t>OPEN</t>
        </is>
      </c>
      <c r="I134" s="37" t="inlineStr">
        <is>
          <t>PENDING</t>
        </is>
      </c>
    </row>
    <row r="135">
      <c r="A135" s="37" t="inlineStr">
        <is>
          <t>OFR-2022-0134</t>
        </is>
      </c>
      <c r="B135" s="43" t="n">
        <v>44728</v>
      </c>
      <c r="C135" s="37" t="inlineStr">
        <is>
          <t>WL-03617</t>
        </is>
      </c>
      <c r="D135" s="37" t="n">
        <v>2617</v>
      </c>
      <c r="E135" s="37" t="inlineStr">
        <is>
          <t>SB-0415</t>
        </is>
      </c>
      <c r="F135" s="37" t="inlineStr">
        <is>
          <t>Salmonberry</t>
        </is>
      </c>
      <c r="G135" s="37" t="n">
        <v>28</v>
      </c>
      <c r="H135" s="37" t="inlineStr">
        <is>
          <t>OPEN</t>
        </is>
      </c>
      <c r="I135" s="37" t="inlineStr">
        <is>
          <t>ACCEPTED</t>
        </is>
      </c>
    </row>
    <row r="136">
      <c r="A136" s="37" t="inlineStr">
        <is>
          <t>OFR-2022-0135</t>
        </is>
      </c>
      <c r="B136" s="43" t="n">
        <v>44725</v>
      </c>
      <c r="C136" s="37" t="inlineStr">
        <is>
          <t>WL-02893</t>
        </is>
      </c>
      <c r="D136" s="37" t="n">
        <v>1893</v>
      </c>
      <c r="E136" s="37" t="inlineStr">
        <is>
          <t>GW-0805</t>
        </is>
      </c>
      <c r="F136" s="37" t="inlineStr">
        <is>
          <t>Gullwing</t>
        </is>
      </c>
      <c r="G136" s="37" t="n">
        <v>28</v>
      </c>
      <c r="H136" s="37" t="inlineStr">
        <is>
          <t>OPEN</t>
        </is>
      </c>
      <c r="I136" s="37" t="inlineStr">
        <is>
          <t>EXPIRED</t>
        </is>
      </c>
    </row>
    <row r="137">
      <c r="A137" s="37" t="inlineStr">
        <is>
          <t>OFR-2022-0136</t>
        </is>
      </c>
      <c r="B137" s="43" t="n">
        <v>44723</v>
      </c>
      <c r="C137" s="37" t="inlineStr">
        <is>
          <t>WL-03339</t>
        </is>
      </c>
      <c r="D137" s="37" t="n">
        <v>2339</v>
      </c>
      <c r="E137" s="37" t="inlineStr">
        <is>
          <t>VB-0712</t>
        </is>
      </c>
      <c r="F137" s="37" t="inlineStr">
        <is>
          <t>Vessbank</t>
        </is>
      </c>
      <c r="G137" s="37" t="n">
        <v>28</v>
      </c>
      <c r="H137" s="37" t="inlineStr">
        <is>
          <t>COVERED</t>
        </is>
      </c>
      <c r="I137" s="37" t="inlineStr">
        <is>
          <t>ACCEPTED</t>
        </is>
      </c>
    </row>
    <row r="138">
      <c r="A138" s="37" t="inlineStr">
        <is>
          <t>OFR-2022-0137</t>
        </is>
      </c>
      <c r="B138" s="43" t="n">
        <v>44724</v>
      </c>
      <c r="C138" s="37" t="inlineStr">
        <is>
          <t>WL-03414</t>
        </is>
      </c>
      <c r="D138" s="37" t="n">
        <v>2414</v>
      </c>
      <c r="E138" s="37" t="inlineStr">
        <is>
          <t>GW-0207</t>
        </is>
      </c>
      <c r="F138" s="37" t="inlineStr">
        <is>
          <t>Gullwing</t>
        </is>
      </c>
      <c r="G138" s="37" t="n">
        <v>24</v>
      </c>
      <c r="H138" s="37" t="inlineStr">
        <is>
          <t>OPEN</t>
        </is>
      </c>
      <c r="I138" s="37" t="inlineStr">
        <is>
          <t>SKIPPED</t>
        </is>
      </c>
      <c r="J138" s="37" t="inlineStr">
        <is>
          <t>preference-mismatch</t>
        </is>
      </c>
    </row>
    <row r="139">
      <c r="A139" s="37" t="inlineStr">
        <is>
          <t>OFR-2022-0138</t>
        </is>
      </c>
      <c r="B139" s="43" t="n">
        <v>44738</v>
      </c>
      <c r="C139" s="37" t="inlineStr">
        <is>
          <t>WL-01601</t>
        </is>
      </c>
      <c r="D139" s="37" t="n">
        <v>601</v>
      </c>
      <c r="E139" s="37" t="inlineStr">
        <is>
          <t>GW-0907</t>
        </is>
      </c>
      <c r="F139" s="37" t="inlineStr">
        <is>
          <t>Gullwing</t>
        </is>
      </c>
      <c r="G139" s="37" t="n">
        <v>45</v>
      </c>
      <c r="H139" s="37" t="inlineStr">
        <is>
          <t>OPEN</t>
        </is>
      </c>
      <c r="I139" s="37" t="inlineStr">
        <is>
          <t>SKIPPED</t>
        </is>
      </c>
      <c r="J139" s="37" t="inlineStr">
        <is>
          <t>declined-prior-offer</t>
        </is>
      </c>
    </row>
    <row r="140">
      <c r="A140" s="37" t="inlineStr">
        <is>
          <t>OFR-2022-0139</t>
        </is>
      </c>
      <c r="B140" s="43" t="n">
        <v>44714</v>
      </c>
      <c r="C140" s="37" t="inlineStr">
        <is>
          <t>WL-02377</t>
        </is>
      </c>
      <c r="D140" s="37" t="n">
        <v>1377</v>
      </c>
      <c r="E140" s="37" t="inlineStr">
        <is>
          <t>LP-0422</t>
        </is>
      </c>
      <c r="F140" s="37" t="inlineStr">
        <is>
          <t>Ledgport</t>
        </is>
      </c>
      <c r="G140" s="37" t="n">
        <v>32</v>
      </c>
      <c r="H140" s="37" t="inlineStr">
        <is>
          <t>COVERED</t>
        </is>
      </c>
      <c r="I140" s="37" t="inlineStr">
        <is>
          <t>DECLINED</t>
        </is>
      </c>
    </row>
    <row r="141">
      <c r="A141" s="37" t="inlineStr">
        <is>
          <t>OFR-2022-0140</t>
        </is>
      </c>
      <c r="B141" s="43" t="n">
        <v>44724</v>
      </c>
      <c r="C141" s="37" t="inlineStr">
        <is>
          <t>WL-03196</t>
        </is>
      </c>
      <c r="D141" s="37" t="n">
        <v>2196</v>
      </c>
      <c r="E141" s="37" t="inlineStr">
        <is>
          <t>EW-0819</t>
        </is>
      </c>
      <c r="F141" s="37" t="inlineStr">
        <is>
          <t>Eastwey</t>
        </is>
      </c>
      <c r="G141" s="37" t="n">
        <v>24</v>
      </c>
      <c r="H141" s="37" t="inlineStr">
        <is>
          <t>OPEN</t>
        </is>
      </c>
      <c r="I141" s="37" t="inlineStr">
        <is>
          <t>ACCEPTED</t>
        </is>
      </c>
    </row>
    <row r="142">
      <c r="A142" s="37" t="inlineStr">
        <is>
          <t>OFR-2022-0141</t>
        </is>
      </c>
      <c r="B142" s="43" t="n">
        <v>44725</v>
      </c>
      <c r="C142" s="37" t="inlineStr">
        <is>
          <t>WL-02147</t>
        </is>
      </c>
      <c r="D142" s="37" t="n">
        <v>1147</v>
      </c>
      <c r="E142" s="37" t="inlineStr">
        <is>
          <t>EW-0822</t>
        </is>
      </c>
      <c r="F142" s="37" t="inlineStr">
        <is>
          <t>Eastwey</t>
        </is>
      </c>
      <c r="G142" s="37" t="n">
        <v>60</v>
      </c>
      <c r="H142" s="37" t="inlineStr">
        <is>
          <t>OPEN</t>
        </is>
      </c>
      <c r="I142" s="37" t="inlineStr">
        <is>
          <t>DECLINED</t>
        </is>
      </c>
    </row>
    <row r="143">
      <c r="A143" s="37" t="inlineStr">
        <is>
          <t>OFR-2022-0142</t>
        </is>
      </c>
      <c r="B143" s="43" t="n">
        <v>44719</v>
      </c>
      <c r="C143" s="37" t="inlineStr">
        <is>
          <t>WL-03338</t>
        </is>
      </c>
      <c r="D143" s="37" t="n">
        <v>2338</v>
      </c>
      <c r="E143" s="37" t="inlineStr">
        <is>
          <t>LP-0222</t>
        </is>
      </c>
      <c r="F143" s="37" t="inlineStr">
        <is>
          <t>Ledgport</t>
        </is>
      </c>
      <c r="G143" s="37" t="n">
        <v>36</v>
      </c>
      <c r="H143" s="37" t="inlineStr">
        <is>
          <t>COVERED</t>
        </is>
      </c>
      <c r="I143" s="37" t="inlineStr">
        <is>
          <t>DECLINED</t>
        </is>
      </c>
    </row>
    <row r="144">
      <c r="A144" s="37" t="inlineStr">
        <is>
          <t>OFR-2022-0143</t>
        </is>
      </c>
      <c r="B144" s="43" t="n">
        <v>44723</v>
      </c>
      <c r="C144" s="37" t="inlineStr">
        <is>
          <t>WL-01660</t>
        </is>
      </c>
      <c r="D144" s="37" t="n">
        <v>660</v>
      </c>
      <c r="E144" s="37" t="inlineStr">
        <is>
          <t>SB-0402</t>
        </is>
      </c>
      <c r="F144" s="37" t="inlineStr">
        <is>
          <t>Salmonberry</t>
        </is>
      </c>
      <c r="G144" s="37" t="n">
        <v>32</v>
      </c>
      <c r="H144" s="37" t="inlineStr">
        <is>
          <t>OPEN</t>
        </is>
      </c>
      <c r="I144" s="37" t="inlineStr">
        <is>
          <t>ACCEPTED</t>
        </is>
      </c>
    </row>
    <row r="145">
      <c r="A145" s="37" t="inlineStr">
        <is>
          <t>OFR-2022-0144</t>
        </is>
      </c>
      <c r="B145" s="43" t="n">
        <v>44733</v>
      </c>
      <c r="C145" s="37" t="inlineStr">
        <is>
          <t>WL-02952</t>
        </is>
      </c>
      <c r="D145" s="37" t="n">
        <v>1952</v>
      </c>
      <c r="E145" s="37" t="inlineStr">
        <is>
          <t>VB-0416</t>
        </is>
      </c>
      <c r="F145" s="37" t="inlineStr">
        <is>
          <t>Vessbank</t>
        </is>
      </c>
      <c r="G145" s="37" t="n">
        <v>36</v>
      </c>
      <c r="H145" s="37" t="inlineStr">
        <is>
          <t>COVERED</t>
        </is>
      </c>
      <c r="I145" s="37" t="inlineStr">
        <is>
          <t>SKIPPED</t>
        </is>
      </c>
      <c r="J145" s="37" t="inlineStr">
        <is>
          <t>not-current</t>
        </is>
      </c>
    </row>
    <row r="146">
      <c r="A146" s="37" t="inlineStr">
        <is>
          <t>OFR-2022-0145</t>
        </is>
      </c>
      <c r="B146" s="43" t="n">
        <v>44730</v>
      </c>
      <c r="C146" s="37" t="inlineStr">
        <is>
          <t>WL-03256</t>
        </is>
      </c>
      <c r="D146" s="37" t="n">
        <v>2256</v>
      </c>
      <c r="E146" s="37" t="inlineStr">
        <is>
          <t>SB-0523</t>
        </is>
      </c>
      <c r="F146" s="37" t="inlineStr">
        <is>
          <t>Salmonberry</t>
        </is>
      </c>
      <c r="G146" s="37" t="n">
        <v>32</v>
      </c>
      <c r="H146" s="37" t="inlineStr">
        <is>
          <t>OPEN</t>
        </is>
      </c>
      <c r="I146" s="37" t="inlineStr">
        <is>
          <t>ACCEPTED</t>
        </is>
      </c>
    </row>
    <row r="147">
      <c r="A147" s="37" t="inlineStr">
        <is>
          <t>OFR-2022-0146</t>
        </is>
      </c>
      <c r="B147" s="43" t="n">
        <v>44727</v>
      </c>
      <c r="C147" s="37" t="inlineStr">
        <is>
          <t>WL-03459</t>
        </is>
      </c>
      <c r="D147" s="37" t="n">
        <v>2459</v>
      </c>
      <c r="E147" s="37" t="inlineStr">
        <is>
          <t>VB-0804</t>
        </is>
      </c>
      <c r="F147" s="37" t="inlineStr">
        <is>
          <t>Vessbank</t>
        </is>
      </c>
      <c r="G147" s="37" t="n">
        <v>24</v>
      </c>
      <c r="H147" s="37" t="inlineStr">
        <is>
          <t>COVERED</t>
        </is>
      </c>
      <c r="I147" s="37" t="inlineStr">
        <is>
          <t>SKIPPED</t>
        </is>
      </c>
      <c r="J147" s="37" t="inlineStr">
        <is>
          <t>declined-prior-offer</t>
        </is>
      </c>
    </row>
    <row r="148">
      <c r="A148" s="37" t="inlineStr">
        <is>
          <t>OFR-2022-0147</t>
        </is>
      </c>
      <c r="B148" s="43" t="n">
        <v>44739</v>
      </c>
      <c r="C148" s="37" t="inlineStr">
        <is>
          <t>WL-02472</t>
        </is>
      </c>
      <c r="D148" s="37" t="n">
        <v>1472</v>
      </c>
      <c r="E148" s="37" t="inlineStr">
        <is>
          <t>VB-0723</t>
        </is>
      </c>
      <c r="F148" s="37" t="inlineStr">
        <is>
          <t>Vessbank</t>
        </is>
      </c>
      <c r="G148" s="37" t="n">
        <v>24</v>
      </c>
      <c r="H148" s="37" t="inlineStr">
        <is>
          <t>COVERED</t>
        </is>
      </c>
      <c r="I148" s="37" t="inlineStr">
        <is>
          <t>EXPIRED</t>
        </is>
      </c>
    </row>
    <row r="149">
      <c r="A149" s="37" t="inlineStr">
        <is>
          <t>OFR-2022-0148</t>
        </is>
      </c>
      <c r="B149" s="43" t="n">
        <v>44735</v>
      </c>
      <c r="C149" s="37" t="inlineStr">
        <is>
          <t>WL-01040</t>
        </is>
      </c>
      <c r="D149" s="37" t="n">
        <v>40</v>
      </c>
      <c r="E149" s="37" t="inlineStr">
        <is>
          <t>GW-0307</t>
        </is>
      </c>
      <c r="F149" s="37" t="inlineStr">
        <is>
          <t>Gullwing</t>
        </is>
      </c>
      <c r="G149" s="37" t="n">
        <v>32</v>
      </c>
      <c r="H149" s="37" t="inlineStr">
        <is>
          <t>OPEN</t>
        </is>
      </c>
      <c r="I149" s="37" t="inlineStr">
        <is>
          <t>DECLINED</t>
        </is>
      </c>
    </row>
    <row r="150">
      <c r="A150" s="37" t="inlineStr">
        <is>
          <t>OFR-2022-0149</t>
        </is>
      </c>
      <c r="B150" s="43" t="n">
        <v>44735</v>
      </c>
      <c r="C150" s="37" t="inlineStr">
        <is>
          <t>WL-02532</t>
        </is>
      </c>
      <c r="D150" s="37" t="n">
        <v>1532</v>
      </c>
      <c r="E150" s="37" t="inlineStr">
        <is>
          <t>LP-0620</t>
        </is>
      </c>
      <c r="F150" s="37" t="inlineStr">
        <is>
          <t>Ledgport</t>
        </is>
      </c>
      <c r="G150" s="37" t="n">
        <v>32</v>
      </c>
      <c r="H150" s="37" t="inlineStr">
        <is>
          <t>COVERED</t>
        </is>
      </c>
      <c r="I150" s="37" t="inlineStr">
        <is>
          <t>ACCEPTED</t>
        </is>
      </c>
    </row>
    <row r="151">
      <c r="A151" s="37" t="inlineStr">
        <is>
          <t>OFR-2022-0150</t>
        </is>
      </c>
      <c r="B151" s="43" t="n">
        <v>44724</v>
      </c>
      <c r="C151" s="37" t="inlineStr">
        <is>
          <t>WL-02533</t>
        </is>
      </c>
      <c r="D151" s="37" t="n">
        <v>1533</v>
      </c>
      <c r="E151" s="37" t="inlineStr">
        <is>
          <t>EW-0816</t>
        </is>
      </c>
      <c r="F151" s="37" t="inlineStr">
        <is>
          <t>Eastwey</t>
        </is>
      </c>
      <c r="G151" s="37" t="n">
        <v>80</v>
      </c>
      <c r="H151" s="37" t="inlineStr">
        <is>
          <t>OPEN</t>
        </is>
      </c>
      <c r="I151" s="37" t="inlineStr">
        <is>
          <t>PENDING</t>
        </is>
      </c>
    </row>
    <row r="152">
      <c r="A152" s="37" t="inlineStr">
        <is>
          <t>OFR-2022-0151</t>
        </is>
      </c>
      <c r="B152" s="43" t="n">
        <v>44737</v>
      </c>
      <c r="C152" s="37" t="inlineStr">
        <is>
          <t>WL-02605</t>
        </is>
      </c>
      <c r="D152" s="37" t="n">
        <v>1605</v>
      </c>
      <c r="E152" s="37" t="inlineStr">
        <is>
          <t>GW-0308</t>
        </is>
      </c>
      <c r="F152" s="37" t="inlineStr">
        <is>
          <t>Gullwing</t>
        </is>
      </c>
      <c r="G152" s="37" t="n">
        <v>60</v>
      </c>
      <c r="H152" s="37" t="inlineStr">
        <is>
          <t>OPEN</t>
        </is>
      </c>
      <c r="I152" s="37" t="inlineStr">
        <is>
          <t>EXPIRED</t>
        </is>
      </c>
    </row>
    <row r="153">
      <c r="A153" s="37" t="inlineStr">
        <is>
          <t>OFR-2022-0152</t>
        </is>
      </c>
      <c r="B153" s="43" t="n">
        <v>44733</v>
      </c>
      <c r="C153" s="37" t="inlineStr">
        <is>
          <t>WL-02681</t>
        </is>
      </c>
      <c r="D153" s="37" t="n">
        <v>1681</v>
      </c>
      <c r="E153" s="37" t="inlineStr">
        <is>
          <t>EW-0717</t>
        </is>
      </c>
      <c r="F153" s="37" t="inlineStr">
        <is>
          <t>Eastwey</t>
        </is>
      </c>
      <c r="G153" s="37" t="n">
        <v>36</v>
      </c>
      <c r="H153" s="37" t="inlineStr">
        <is>
          <t>OPEN</t>
        </is>
      </c>
      <c r="I153" s="37" t="inlineStr">
        <is>
          <t>WITHDRAWN</t>
        </is>
      </c>
    </row>
    <row r="154">
      <c r="A154" s="37" t="inlineStr">
        <is>
          <t>OFR-2022-0153</t>
        </is>
      </c>
      <c r="B154" s="43" t="n">
        <v>44722</v>
      </c>
      <c r="C154" s="37" t="inlineStr">
        <is>
          <t>WL-02543</t>
        </is>
      </c>
      <c r="D154" s="37" t="n">
        <v>1543</v>
      </c>
      <c r="E154" s="37" t="inlineStr">
        <is>
          <t>SB-0106</t>
        </is>
      </c>
      <c r="F154" s="37" t="inlineStr">
        <is>
          <t>Salmonberry</t>
        </is>
      </c>
      <c r="G154" s="37" t="n">
        <v>28</v>
      </c>
      <c r="H154" s="37" t="inlineStr">
        <is>
          <t>OPEN</t>
        </is>
      </c>
      <c r="I154" s="37" t="inlineStr">
        <is>
          <t>DECLINED_RETAINER</t>
        </is>
      </c>
    </row>
    <row r="155">
      <c r="A155" s="37" t="inlineStr">
        <is>
          <t>OFR-2022-0154</t>
        </is>
      </c>
      <c r="B155" s="43" t="n">
        <v>44732</v>
      </c>
      <c r="C155" s="37" t="inlineStr">
        <is>
          <t>WL-02260</t>
        </is>
      </c>
      <c r="D155" s="37" t="n">
        <v>1260</v>
      </c>
      <c r="E155" s="37" t="inlineStr">
        <is>
          <t>LP-0307</t>
        </is>
      </c>
      <c r="F155" s="37" t="inlineStr">
        <is>
          <t>Ledgport</t>
        </is>
      </c>
      <c r="G155" s="37" t="n">
        <v>36</v>
      </c>
      <c r="H155" s="37" t="inlineStr">
        <is>
          <t>COVERED</t>
        </is>
      </c>
      <c r="I155" s="37" t="inlineStr">
        <is>
          <t>ACCEPTED</t>
        </is>
      </c>
    </row>
    <row r="156">
      <c r="A156" s="37" t="inlineStr">
        <is>
          <t>OFR-2022-0155</t>
        </is>
      </c>
      <c r="B156" s="43" t="n">
        <v>44720</v>
      </c>
      <c r="C156" s="37" t="inlineStr">
        <is>
          <t>WL-03209</t>
        </is>
      </c>
      <c r="D156" s="37" t="n">
        <v>2209</v>
      </c>
      <c r="E156" s="37" t="inlineStr">
        <is>
          <t>VB-0408</t>
        </is>
      </c>
      <c r="F156" s="37" t="inlineStr">
        <is>
          <t>Vessbank</t>
        </is>
      </c>
      <c r="G156" s="37" t="n">
        <v>36</v>
      </c>
      <c r="H156" s="37" t="inlineStr">
        <is>
          <t>COVERED</t>
        </is>
      </c>
      <c r="I156" s="37" t="inlineStr">
        <is>
          <t>SKIPPED</t>
        </is>
      </c>
      <c r="J156" s="37" t="inlineStr">
        <is>
          <t>preference-mismatch</t>
        </is>
      </c>
    </row>
    <row r="157">
      <c r="A157" s="37" t="inlineStr">
        <is>
          <t>OFR-2022-0156</t>
        </is>
      </c>
      <c r="B157" s="43" t="n">
        <v>44730</v>
      </c>
      <c r="C157" s="37" t="inlineStr">
        <is>
          <t>WL-02650</t>
        </is>
      </c>
      <c r="D157" s="37" t="n">
        <v>1650</v>
      </c>
      <c r="E157" s="37" t="inlineStr">
        <is>
          <t>VB-0524</t>
        </is>
      </c>
      <c r="F157" s="37" t="inlineStr">
        <is>
          <t>Vessbank</t>
        </is>
      </c>
      <c r="G157" s="37" t="n">
        <v>28</v>
      </c>
      <c r="H157" s="37" t="inlineStr">
        <is>
          <t>COVERED</t>
        </is>
      </c>
      <c r="I157" s="37" t="inlineStr">
        <is>
          <t>DECLINED_RETAINER</t>
        </is>
      </c>
    </row>
    <row r="158">
      <c r="A158" s="37" t="inlineStr">
        <is>
          <t>OFR-2022-0157</t>
        </is>
      </c>
      <c r="B158" s="43" t="n">
        <v>44728</v>
      </c>
      <c r="C158" s="37" t="inlineStr">
        <is>
          <t>WL-01046</t>
        </is>
      </c>
      <c r="D158" s="37" t="n">
        <v>46</v>
      </c>
      <c r="E158" s="37" t="inlineStr">
        <is>
          <t>EW-1020</t>
        </is>
      </c>
      <c r="F158" s="37" t="inlineStr">
        <is>
          <t>Eastwey</t>
        </is>
      </c>
      <c r="G158" s="37" t="n">
        <v>28</v>
      </c>
      <c r="H158" s="37" t="inlineStr">
        <is>
          <t>OPEN</t>
        </is>
      </c>
      <c r="I158" s="37" t="inlineStr">
        <is>
          <t>SKIPPED</t>
        </is>
      </c>
      <c r="J158" s="37" t="inlineStr">
        <is>
          <t>vessel-fit</t>
        </is>
      </c>
    </row>
    <row r="159">
      <c r="A159" s="37" t="inlineStr">
        <is>
          <t>OFR-2022-0158</t>
        </is>
      </c>
      <c r="B159" s="43" t="n">
        <v>44730</v>
      </c>
      <c r="C159" s="37" t="inlineStr">
        <is>
          <t>WL-03668</t>
        </is>
      </c>
      <c r="D159" s="37" t="n">
        <v>2668</v>
      </c>
      <c r="E159" s="37" t="inlineStr">
        <is>
          <t>VB-1014</t>
        </is>
      </c>
      <c r="F159" s="37" t="inlineStr">
        <is>
          <t>Vessbank</t>
        </is>
      </c>
      <c r="G159" s="37" t="n">
        <v>36</v>
      </c>
      <c r="H159" s="37" t="inlineStr">
        <is>
          <t>COVERED</t>
        </is>
      </c>
      <c r="I159" s="37" t="inlineStr">
        <is>
          <t>ACCEPTED</t>
        </is>
      </c>
    </row>
    <row r="160">
      <c r="A160" s="37" t="inlineStr">
        <is>
          <t>OFR-2022-0159</t>
        </is>
      </c>
      <c r="B160" s="43" t="n">
        <v>44716</v>
      </c>
      <c r="C160" s="37" t="inlineStr">
        <is>
          <t>WL-03172</t>
        </is>
      </c>
      <c r="D160" s="37" t="n">
        <v>2172</v>
      </c>
      <c r="E160" s="37" t="inlineStr">
        <is>
          <t>SB-0702</t>
        </is>
      </c>
      <c r="F160" s="37" t="inlineStr">
        <is>
          <t>Salmonberry</t>
        </is>
      </c>
      <c r="G160" s="37" t="n">
        <v>50</v>
      </c>
      <c r="H160" s="37" t="inlineStr">
        <is>
          <t>OPEN</t>
        </is>
      </c>
      <c r="I160" s="37" t="inlineStr">
        <is>
          <t>SKIPPED</t>
        </is>
      </c>
      <c r="J160" s="37" t="inlineStr">
        <is>
          <t>declined-prior-offer</t>
        </is>
      </c>
    </row>
    <row r="161">
      <c r="A161" s="37" t="inlineStr">
        <is>
          <t>OFR-2022-0160</t>
        </is>
      </c>
      <c r="B161" s="43" t="n">
        <v>44722</v>
      </c>
      <c r="C161" s="37" t="inlineStr">
        <is>
          <t>WL-03257</t>
        </is>
      </c>
      <c r="D161" s="37" t="n">
        <v>2257</v>
      </c>
      <c r="E161" s="37" t="inlineStr">
        <is>
          <t>LP-0505</t>
        </is>
      </c>
      <c r="F161" s="37" t="inlineStr">
        <is>
          <t>Ledgport</t>
        </is>
      </c>
      <c r="G161" s="37" t="n">
        <v>28</v>
      </c>
      <c r="H161" s="37" t="inlineStr">
        <is>
          <t>COVERED</t>
        </is>
      </c>
      <c r="I161" s="37" t="inlineStr">
        <is>
          <t>SKIPPED</t>
        </is>
      </c>
      <c r="J161" s="37" t="inlineStr">
        <is>
          <t>vessel-fit</t>
        </is>
      </c>
    </row>
    <row r="162">
      <c r="A162" s="37" t="inlineStr">
        <is>
          <t>OFR-2022-0161</t>
        </is>
      </c>
      <c r="B162" s="43" t="n">
        <v>44757</v>
      </c>
      <c r="C162" s="37" t="inlineStr">
        <is>
          <t>WL-02501</t>
        </is>
      </c>
      <c r="D162" s="37" t="n">
        <v>1501</v>
      </c>
      <c r="E162" s="37" t="inlineStr">
        <is>
          <t>VB-1011</t>
        </is>
      </c>
      <c r="F162" s="37" t="inlineStr">
        <is>
          <t>Vessbank</t>
        </is>
      </c>
      <c r="G162" s="37" t="n">
        <v>40</v>
      </c>
      <c r="H162" s="37" t="inlineStr">
        <is>
          <t>COVERED</t>
        </is>
      </c>
      <c r="I162" s="37" t="inlineStr">
        <is>
          <t>ACCEPTED</t>
        </is>
      </c>
    </row>
    <row r="163">
      <c r="A163" s="37" t="inlineStr">
        <is>
          <t>OFR-2022-0162</t>
        </is>
      </c>
      <c r="B163" s="43" t="n">
        <v>44759</v>
      </c>
      <c r="C163" s="37" t="inlineStr">
        <is>
          <t>WL-02425</t>
        </is>
      </c>
      <c r="D163" s="37" t="n">
        <v>1425</v>
      </c>
      <c r="E163" s="37" t="inlineStr">
        <is>
          <t>LP-0314</t>
        </is>
      </c>
      <c r="F163" s="37" t="inlineStr">
        <is>
          <t>Ledgport</t>
        </is>
      </c>
      <c r="G163" s="37" t="n">
        <v>32</v>
      </c>
      <c r="H163" s="37" t="inlineStr">
        <is>
          <t>COVERED</t>
        </is>
      </c>
      <c r="I163" s="37" t="inlineStr">
        <is>
          <t>ACCEPTED</t>
        </is>
      </c>
    </row>
    <row r="164">
      <c r="A164" s="37" t="inlineStr">
        <is>
          <t>OFR-2022-0163</t>
        </is>
      </c>
      <c r="B164" s="43" t="n">
        <v>44761</v>
      </c>
      <c r="C164" s="37" t="inlineStr">
        <is>
          <t>WL-03110</t>
        </is>
      </c>
      <c r="D164" s="37" t="n">
        <v>2110</v>
      </c>
      <c r="E164" s="37" t="inlineStr">
        <is>
          <t>LP-1112</t>
        </is>
      </c>
      <c r="F164" s="37" t="inlineStr">
        <is>
          <t>Ledgport</t>
        </is>
      </c>
      <c r="G164" s="37" t="n">
        <v>40</v>
      </c>
      <c r="H164" s="37" t="inlineStr">
        <is>
          <t>COVERED</t>
        </is>
      </c>
      <c r="I164" s="37" t="inlineStr">
        <is>
          <t>DECLINED_RETAINER</t>
        </is>
      </c>
    </row>
    <row r="165">
      <c r="A165" s="37" t="inlineStr">
        <is>
          <t>OFR-2022-0164</t>
        </is>
      </c>
      <c r="B165" s="43" t="n">
        <v>44770</v>
      </c>
      <c r="C165" s="37" t="inlineStr">
        <is>
          <t>WL-01498</t>
        </is>
      </c>
      <c r="D165" s="37" t="n">
        <v>498</v>
      </c>
      <c r="E165" s="37" t="inlineStr">
        <is>
          <t>SB-0705</t>
        </is>
      </c>
      <c r="F165" s="37" t="inlineStr">
        <is>
          <t>Salmonberry</t>
        </is>
      </c>
      <c r="G165" s="37" t="n">
        <v>28</v>
      </c>
      <c r="H165" s="37" t="inlineStr">
        <is>
          <t>OPEN</t>
        </is>
      </c>
      <c r="I165" s="37" t="inlineStr">
        <is>
          <t>ACCEPTED</t>
        </is>
      </c>
    </row>
    <row r="166">
      <c r="A166" s="37" t="inlineStr">
        <is>
          <t>OFR-2022-0165</t>
        </is>
      </c>
      <c r="B166" s="43" t="n">
        <v>44767</v>
      </c>
      <c r="C166" s="37" t="inlineStr">
        <is>
          <t>WL-01331</t>
        </is>
      </c>
      <c r="D166" s="37" t="n">
        <v>331</v>
      </c>
      <c r="E166" s="37" t="inlineStr">
        <is>
          <t>VB-0718</t>
        </is>
      </c>
      <c r="F166" s="37" t="inlineStr">
        <is>
          <t>Vessbank</t>
        </is>
      </c>
      <c r="G166" s="37" t="n">
        <v>28</v>
      </c>
      <c r="H166" s="37" t="inlineStr">
        <is>
          <t>COVERED</t>
        </is>
      </c>
      <c r="I166" s="37" t="inlineStr">
        <is>
          <t>ACCEPTED</t>
        </is>
      </c>
    </row>
    <row r="167">
      <c r="A167" s="37" t="inlineStr">
        <is>
          <t>OFR-2022-0166</t>
        </is>
      </c>
      <c r="B167" s="43" t="n">
        <v>44748</v>
      </c>
      <c r="C167" s="37" t="inlineStr">
        <is>
          <t>WL-01090</t>
        </is>
      </c>
      <c r="D167" s="37" t="n">
        <v>90</v>
      </c>
      <c r="E167" s="37" t="inlineStr">
        <is>
          <t>GW-0214</t>
        </is>
      </c>
      <c r="F167" s="37" t="inlineStr">
        <is>
          <t>Gullwing</t>
        </is>
      </c>
      <c r="G167" s="37" t="n">
        <v>24</v>
      </c>
      <c r="H167" s="37" t="inlineStr">
        <is>
          <t>OPEN</t>
        </is>
      </c>
      <c r="I167" s="37" t="inlineStr">
        <is>
          <t>DECLINED_RETAINER</t>
        </is>
      </c>
    </row>
    <row r="168">
      <c r="A168" s="37" t="inlineStr">
        <is>
          <t>OFR-2022-0167</t>
        </is>
      </c>
      <c r="B168" s="43" t="n">
        <v>44767</v>
      </c>
      <c r="C168" s="37" t="inlineStr">
        <is>
          <t>WL-01135</t>
        </is>
      </c>
      <c r="D168" s="37" t="n">
        <v>135</v>
      </c>
      <c r="E168" s="37" t="inlineStr">
        <is>
          <t>LP-0215</t>
        </is>
      </c>
      <c r="F168" s="37" t="inlineStr">
        <is>
          <t>Ledgport</t>
        </is>
      </c>
      <c r="G168" s="37" t="n">
        <v>28</v>
      </c>
      <c r="H168" s="37" t="inlineStr">
        <is>
          <t>COVERED</t>
        </is>
      </c>
      <c r="I168" s="37" t="inlineStr">
        <is>
          <t>ACCEPTED</t>
        </is>
      </c>
    </row>
    <row r="169">
      <c r="A169" s="37" t="inlineStr">
        <is>
          <t>OFR-2022-0168</t>
        </is>
      </c>
      <c r="B169" s="43" t="n">
        <v>44748</v>
      </c>
      <c r="C169" s="37" t="inlineStr">
        <is>
          <t>WL-02990</t>
        </is>
      </c>
      <c r="D169" s="37" t="n">
        <v>1990</v>
      </c>
      <c r="E169" s="37" t="inlineStr">
        <is>
          <t>GW-0919</t>
        </is>
      </c>
      <c r="F169" s="37" t="inlineStr">
        <is>
          <t>Gullwing</t>
        </is>
      </c>
      <c r="G169" s="37" t="n">
        <v>36</v>
      </c>
      <c r="H169" s="37" t="inlineStr">
        <is>
          <t>OPEN</t>
        </is>
      </c>
      <c r="I169" s="37" t="inlineStr">
        <is>
          <t>EXPIRED</t>
        </is>
      </c>
    </row>
    <row r="170">
      <c r="A170" s="37" t="inlineStr">
        <is>
          <t>OFR-2022-0169</t>
        </is>
      </c>
      <c r="B170" s="43" t="n">
        <v>44749</v>
      </c>
      <c r="C170" s="37" t="inlineStr">
        <is>
          <t>WL-02981</t>
        </is>
      </c>
      <c r="D170" s="37" t="n">
        <v>1981</v>
      </c>
      <c r="E170" s="37" t="inlineStr">
        <is>
          <t>GW-0118</t>
        </is>
      </c>
      <c r="F170" s="37" t="inlineStr">
        <is>
          <t>Gullwing</t>
        </is>
      </c>
      <c r="G170" s="37" t="n">
        <v>60</v>
      </c>
      <c r="H170" s="37" t="inlineStr">
        <is>
          <t>OPEN</t>
        </is>
      </c>
      <c r="I170" s="37" t="inlineStr">
        <is>
          <t>SKIPPED</t>
        </is>
      </c>
      <c r="J170" s="37" t="inlineStr">
        <is>
          <t>not-current</t>
        </is>
      </c>
    </row>
    <row r="171">
      <c r="A171" s="37" t="inlineStr">
        <is>
          <t>OFR-2022-0170</t>
        </is>
      </c>
      <c r="B171" s="43" t="n">
        <v>44770</v>
      </c>
      <c r="C171" s="37" t="inlineStr">
        <is>
          <t>WL-02728</t>
        </is>
      </c>
      <c r="D171" s="37" t="n">
        <v>1728</v>
      </c>
      <c r="E171" s="37" t="inlineStr">
        <is>
          <t>GW-0920</t>
        </is>
      </c>
      <c r="F171" s="37" t="inlineStr">
        <is>
          <t>Gullwing</t>
        </is>
      </c>
      <c r="G171" s="37" t="n">
        <v>28</v>
      </c>
      <c r="H171" s="37" t="inlineStr">
        <is>
          <t>OPEN</t>
        </is>
      </c>
      <c r="I171" s="37" t="inlineStr">
        <is>
          <t>DECLINED</t>
        </is>
      </c>
    </row>
    <row r="172">
      <c r="A172" s="37" t="inlineStr">
        <is>
          <t>OFR-2022-0171</t>
        </is>
      </c>
      <c r="B172" s="43" t="n">
        <v>44764</v>
      </c>
      <c r="C172" s="37" t="inlineStr">
        <is>
          <t>WL-02475</t>
        </is>
      </c>
      <c r="D172" s="37" t="n">
        <v>1475</v>
      </c>
      <c r="E172" s="37" t="inlineStr">
        <is>
          <t>EW-0703</t>
        </is>
      </c>
      <c r="F172" s="37" t="inlineStr">
        <is>
          <t>Eastwey</t>
        </is>
      </c>
      <c r="G172" s="37" t="n">
        <v>32</v>
      </c>
      <c r="H172" s="37" t="inlineStr">
        <is>
          <t>OPEN</t>
        </is>
      </c>
      <c r="I172" s="37" t="inlineStr">
        <is>
          <t>EXPIRED</t>
        </is>
      </c>
    </row>
    <row r="173">
      <c r="A173" s="37" t="inlineStr">
        <is>
          <t>OFR-2022-0172</t>
        </is>
      </c>
      <c r="B173" s="43" t="n">
        <v>44761</v>
      </c>
      <c r="C173" s="37" t="inlineStr">
        <is>
          <t>WL-03529</t>
        </is>
      </c>
      <c r="D173" s="37" t="n">
        <v>2529</v>
      </c>
      <c r="E173" s="37" t="inlineStr">
        <is>
          <t>EW-1022</t>
        </is>
      </c>
      <c r="F173" s="37" t="inlineStr">
        <is>
          <t>Eastwey</t>
        </is>
      </c>
      <c r="G173" s="37" t="n">
        <v>32</v>
      </c>
      <c r="H173" s="37" t="inlineStr">
        <is>
          <t>OPEN</t>
        </is>
      </c>
      <c r="I173" s="37" t="inlineStr">
        <is>
          <t>SKIPPED</t>
        </is>
      </c>
      <c r="J173" s="37" t="inlineStr">
        <is>
          <t>vessel-fit</t>
        </is>
      </c>
    </row>
    <row r="174">
      <c r="A174" s="37" t="inlineStr">
        <is>
          <t>OFR-2022-0173</t>
        </is>
      </c>
      <c r="B174" s="43" t="n">
        <v>44755</v>
      </c>
      <c r="C174" s="37" t="inlineStr">
        <is>
          <t>WL-02456</t>
        </is>
      </c>
      <c r="D174" s="37" t="n">
        <v>1456</v>
      </c>
      <c r="E174" s="37" t="inlineStr">
        <is>
          <t>VB-0821</t>
        </is>
      </c>
      <c r="F174" s="37" t="inlineStr">
        <is>
          <t>Vessbank</t>
        </is>
      </c>
      <c r="G174" s="37" t="n">
        <v>40</v>
      </c>
      <c r="H174" s="37" t="inlineStr">
        <is>
          <t>COVERED</t>
        </is>
      </c>
      <c r="I174" s="37" t="inlineStr">
        <is>
          <t>DECLINED_RETAINER</t>
        </is>
      </c>
    </row>
    <row r="175">
      <c r="A175" s="37" t="inlineStr">
        <is>
          <t>OFR-2022-0174</t>
        </is>
      </c>
      <c r="B175" s="43" t="n">
        <v>44744</v>
      </c>
      <c r="C175" s="37" t="inlineStr">
        <is>
          <t>WL-02368</t>
        </is>
      </c>
      <c r="D175" s="37" t="n">
        <v>1368</v>
      </c>
      <c r="E175" s="37" t="inlineStr">
        <is>
          <t>VB-0919</t>
        </is>
      </c>
      <c r="F175" s="37" t="inlineStr">
        <is>
          <t>Vessbank</t>
        </is>
      </c>
      <c r="G175" s="37" t="n">
        <v>24</v>
      </c>
      <c r="H175" s="37" t="inlineStr">
        <is>
          <t>COVERED</t>
        </is>
      </c>
      <c r="I175" s="37" t="inlineStr">
        <is>
          <t>SKIPPED</t>
        </is>
      </c>
      <c r="J175" s="37" t="inlineStr">
        <is>
          <t>vessel-fit</t>
        </is>
      </c>
    </row>
    <row r="176">
      <c r="A176" s="37" t="inlineStr">
        <is>
          <t>OFR-2022-0175</t>
        </is>
      </c>
      <c r="B176" s="43" t="n">
        <v>44759</v>
      </c>
      <c r="C176" s="37" t="inlineStr">
        <is>
          <t>WL-01166</t>
        </is>
      </c>
      <c r="D176" s="37" t="n">
        <v>166</v>
      </c>
      <c r="E176" s="37" t="inlineStr">
        <is>
          <t>LP-0514</t>
        </is>
      </c>
      <c r="F176" s="37" t="inlineStr">
        <is>
          <t>Ledgport</t>
        </is>
      </c>
      <c r="G176" s="37" t="n">
        <v>28</v>
      </c>
      <c r="H176" s="37" t="inlineStr">
        <is>
          <t>COVERED</t>
        </is>
      </c>
      <c r="I176" s="37" t="inlineStr">
        <is>
          <t>ACCEPTED</t>
        </is>
      </c>
    </row>
    <row r="177">
      <c r="A177" s="37" t="inlineStr">
        <is>
          <t>OFR-2022-0176</t>
        </is>
      </c>
      <c r="B177" s="43" t="n">
        <v>44759</v>
      </c>
      <c r="C177" s="37" t="inlineStr">
        <is>
          <t>WL-01493</t>
        </is>
      </c>
      <c r="D177" s="37" t="n">
        <v>493</v>
      </c>
      <c r="E177" s="37" t="inlineStr">
        <is>
          <t>EW-0401</t>
        </is>
      </c>
      <c r="F177" s="37" t="inlineStr">
        <is>
          <t>Eastwey</t>
        </is>
      </c>
      <c r="G177" s="37" t="n">
        <v>28</v>
      </c>
      <c r="H177" s="37" t="inlineStr">
        <is>
          <t>OPEN</t>
        </is>
      </c>
      <c r="I177" s="37" t="inlineStr">
        <is>
          <t>PENDING</t>
        </is>
      </c>
    </row>
    <row r="178">
      <c r="A178" s="37" t="inlineStr">
        <is>
          <t>OFR-2022-0177</t>
        </is>
      </c>
      <c r="B178" s="43" t="n">
        <v>44760</v>
      </c>
      <c r="C178" s="37" t="inlineStr">
        <is>
          <t>WL-02099</t>
        </is>
      </c>
      <c r="D178" s="37" t="n">
        <v>1099</v>
      </c>
      <c r="E178" s="37" t="inlineStr">
        <is>
          <t>SB-0607</t>
        </is>
      </c>
      <c r="F178" s="37" t="inlineStr">
        <is>
          <t>Salmonberry</t>
        </is>
      </c>
      <c r="G178" s="37" t="n">
        <v>40</v>
      </c>
      <c r="H178" s="37" t="inlineStr">
        <is>
          <t>OPEN</t>
        </is>
      </c>
      <c r="I178" s="37" t="inlineStr">
        <is>
          <t>SKIPPED</t>
        </is>
      </c>
      <c r="J178" s="37" t="inlineStr">
        <is>
          <t>vessel-fit</t>
        </is>
      </c>
    </row>
    <row r="179">
      <c r="A179" s="37" t="inlineStr">
        <is>
          <t>OFR-2022-0178</t>
        </is>
      </c>
      <c r="B179" s="43" t="n">
        <v>44765</v>
      </c>
      <c r="C179" s="37" t="inlineStr">
        <is>
          <t>WL-01647</t>
        </is>
      </c>
      <c r="D179" s="37" t="n">
        <v>647</v>
      </c>
      <c r="E179" s="37" t="inlineStr">
        <is>
          <t>LP-0805</t>
        </is>
      </c>
      <c r="F179" s="37" t="inlineStr">
        <is>
          <t>Ledgport</t>
        </is>
      </c>
      <c r="G179" s="37" t="n">
        <v>36</v>
      </c>
      <c r="H179" s="37" t="inlineStr">
        <is>
          <t>COVERED</t>
        </is>
      </c>
      <c r="I179" s="37" t="inlineStr">
        <is>
          <t>SKIPPED</t>
        </is>
      </c>
      <c r="J179" s="37" t="inlineStr">
        <is>
          <t>vessel-fit</t>
        </is>
      </c>
    </row>
    <row r="180">
      <c r="A180" s="37" t="inlineStr">
        <is>
          <t>OFR-2022-0179</t>
        </is>
      </c>
      <c r="B180" s="43" t="n">
        <v>44755</v>
      </c>
      <c r="C180" s="37" t="inlineStr">
        <is>
          <t>WL-01888</t>
        </is>
      </c>
      <c r="D180" s="37" t="n">
        <v>888</v>
      </c>
      <c r="E180" s="37" t="inlineStr">
        <is>
          <t>LP-0113</t>
        </is>
      </c>
      <c r="F180" s="37" t="inlineStr">
        <is>
          <t>Ledgport</t>
        </is>
      </c>
      <c r="G180" s="37" t="n">
        <v>36</v>
      </c>
      <c r="H180" s="37" t="inlineStr">
        <is>
          <t>COVERED</t>
        </is>
      </c>
      <c r="I180" s="37" t="inlineStr">
        <is>
          <t>ACCEPTED</t>
        </is>
      </c>
    </row>
    <row r="181">
      <c r="A181" s="37" t="inlineStr">
        <is>
          <t>OFR-2022-0180</t>
        </is>
      </c>
      <c r="B181" s="43" t="n">
        <v>44754</v>
      </c>
      <c r="C181" s="37" t="inlineStr">
        <is>
          <t>WL-01394</t>
        </is>
      </c>
      <c r="D181" s="37" t="n">
        <v>394</v>
      </c>
      <c r="E181" s="37" t="inlineStr">
        <is>
          <t>LP-0516</t>
        </is>
      </c>
      <c r="F181" s="37" t="inlineStr">
        <is>
          <t>Ledgport</t>
        </is>
      </c>
      <c r="G181" s="37" t="n">
        <v>40</v>
      </c>
      <c r="H181" s="37" t="inlineStr">
        <is>
          <t>COVERED</t>
        </is>
      </c>
      <c r="I181" s="37" t="inlineStr">
        <is>
          <t>ACCEPTED</t>
        </is>
      </c>
    </row>
    <row r="182">
      <c r="A182" s="37" t="inlineStr">
        <is>
          <t>OFR-2022-0181</t>
        </is>
      </c>
      <c r="B182" s="43" t="n">
        <v>44770</v>
      </c>
      <c r="C182" s="37" t="inlineStr">
        <is>
          <t>WL-02851</t>
        </is>
      </c>
      <c r="D182" s="37" t="n">
        <v>1851</v>
      </c>
      <c r="E182" s="37" t="inlineStr">
        <is>
          <t>SB-0420</t>
        </is>
      </c>
      <c r="F182" s="37" t="inlineStr">
        <is>
          <t>Salmonberry</t>
        </is>
      </c>
      <c r="G182" s="37" t="n">
        <v>32</v>
      </c>
      <c r="H182" s="37" t="inlineStr">
        <is>
          <t>OPEN</t>
        </is>
      </c>
      <c r="I182" s="37" t="inlineStr">
        <is>
          <t>WITHDRAWN</t>
        </is>
      </c>
    </row>
    <row r="183">
      <c r="A183" s="37" t="inlineStr">
        <is>
          <t>OFR-2022-0182</t>
        </is>
      </c>
      <c r="B183" s="43" t="n">
        <v>44764</v>
      </c>
      <c r="C183" s="37" t="inlineStr">
        <is>
          <t>WL-01682</t>
        </is>
      </c>
      <c r="D183" s="37" t="n">
        <v>682</v>
      </c>
      <c r="E183" s="37" t="inlineStr">
        <is>
          <t>GW-0521</t>
        </is>
      </c>
      <c r="F183" s="37" t="inlineStr">
        <is>
          <t>Gullwing</t>
        </is>
      </c>
      <c r="G183" s="37" t="n">
        <v>80</v>
      </c>
      <c r="H183" s="37" t="inlineStr">
        <is>
          <t>OPEN</t>
        </is>
      </c>
      <c r="I183" s="37" t="inlineStr">
        <is>
          <t>SKIPPED</t>
        </is>
      </c>
      <c r="J183" s="37" t="inlineStr">
        <is>
          <t>vessel-fit</t>
        </is>
      </c>
    </row>
    <row r="184">
      <c r="A184" s="37" t="inlineStr">
        <is>
          <t>OFR-2022-0183</t>
        </is>
      </c>
      <c r="B184" s="43" t="n">
        <v>44762</v>
      </c>
      <c r="C184" s="37" t="inlineStr">
        <is>
          <t>WL-02245</t>
        </is>
      </c>
      <c r="D184" s="37" t="n">
        <v>1245</v>
      </c>
      <c r="E184" s="37" t="inlineStr">
        <is>
          <t>VB-0620</t>
        </is>
      </c>
      <c r="F184" s="37" t="inlineStr">
        <is>
          <t>Vessbank</t>
        </is>
      </c>
      <c r="G184" s="37" t="n">
        <v>40</v>
      </c>
      <c r="H184" s="37" t="inlineStr">
        <is>
          <t>COVERED</t>
        </is>
      </c>
      <c r="I184" s="37" t="inlineStr">
        <is>
          <t>PENDING</t>
        </is>
      </c>
    </row>
    <row r="185">
      <c r="A185" s="37" t="inlineStr">
        <is>
          <t>OFR-2022-0184</t>
        </is>
      </c>
      <c r="B185" s="43" t="n">
        <v>44766</v>
      </c>
      <c r="C185" s="37" t="inlineStr">
        <is>
          <t>WL-02796</t>
        </is>
      </c>
      <c r="D185" s="37" t="n">
        <v>1796</v>
      </c>
      <c r="E185" s="37" t="inlineStr">
        <is>
          <t>LP-1017</t>
        </is>
      </c>
      <c r="F185" s="37" t="inlineStr">
        <is>
          <t>Ledgport</t>
        </is>
      </c>
      <c r="G185" s="37" t="n">
        <v>32</v>
      </c>
      <c r="H185" s="37" t="inlineStr">
        <is>
          <t>COVERED</t>
        </is>
      </c>
      <c r="I185" s="37" t="inlineStr">
        <is>
          <t>EXPIRED</t>
        </is>
      </c>
    </row>
    <row r="186">
      <c r="A186" s="37" t="inlineStr">
        <is>
          <t>OFR-2022-0185</t>
        </is>
      </c>
      <c r="B186" s="43" t="n">
        <v>44767</v>
      </c>
      <c r="C186" s="37" t="inlineStr">
        <is>
          <t>WL-01993</t>
        </is>
      </c>
      <c r="D186" s="37" t="n">
        <v>993</v>
      </c>
      <c r="E186" s="37" t="inlineStr">
        <is>
          <t>GW-0521</t>
        </is>
      </c>
      <c r="F186" s="37" t="inlineStr">
        <is>
          <t>Gullwing</t>
        </is>
      </c>
      <c r="G186" s="37" t="n">
        <v>80</v>
      </c>
      <c r="H186" s="37" t="inlineStr">
        <is>
          <t>OPEN</t>
        </is>
      </c>
      <c r="I186" s="37" t="inlineStr">
        <is>
          <t>ACCEPTED</t>
        </is>
      </c>
    </row>
    <row r="187">
      <c r="A187" s="37" t="inlineStr">
        <is>
          <t>OFR-2022-0186</t>
        </is>
      </c>
      <c r="B187" s="43" t="n">
        <v>44793</v>
      </c>
      <c r="C187" s="37" t="inlineStr">
        <is>
          <t>WL-01407</t>
        </is>
      </c>
      <c r="D187" s="37" t="n">
        <v>407</v>
      </c>
      <c r="E187" s="37" t="inlineStr">
        <is>
          <t>VB-0222</t>
        </is>
      </c>
      <c r="F187" s="37" t="inlineStr">
        <is>
          <t>Vessbank</t>
        </is>
      </c>
      <c r="G187" s="37" t="n">
        <v>28</v>
      </c>
      <c r="H187" s="37" t="inlineStr">
        <is>
          <t>COVERED</t>
        </is>
      </c>
      <c r="I187" s="37" t="inlineStr">
        <is>
          <t>EXPIRED</t>
        </is>
      </c>
    </row>
    <row r="188">
      <c r="A188" s="37" t="inlineStr">
        <is>
          <t>OFR-2022-0187</t>
        </is>
      </c>
      <c r="B188" s="43" t="n">
        <v>44777</v>
      </c>
      <c r="C188" s="37" t="inlineStr">
        <is>
          <t>WL-03336</t>
        </is>
      </c>
      <c r="D188" s="37" t="n">
        <v>2336</v>
      </c>
      <c r="E188" s="37" t="inlineStr">
        <is>
          <t>GW-0502</t>
        </is>
      </c>
      <c r="F188" s="37" t="inlineStr">
        <is>
          <t>Gullwing</t>
        </is>
      </c>
      <c r="G188" s="37" t="n">
        <v>60</v>
      </c>
      <c r="H188" s="37" t="inlineStr">
        <is>
          <t>OPEN</t>
        </is>
      </c>
      <c r="I188" s="37" t="inlineStr">
        <is>
          <t>ACCEPTED</t>
        </is>
      </c>
    </row>
    <row r="189">
      <c r="A189" s="37" t="inlineStr">
        <is>
          <t>OFR-2022-0188</t>
        </is>
      </c>
      <c r="B189" s="43" t="n">
        <v>44793</v>
      </c>
      <c r="C189" s="37" t="inlineStr">
        <is>
          <t>WL-02287</t>
        </is>
      </c>
      <c r="D189" s="37" t="n">
        <v>1287</v>
      </c>
      <c r="E189" s="37" t="inlineStr">
        <is>
          <t>GW-0405</t>
        </is>
      </c>
      <c r="F189" s="37" t="inlineStr">
        <is>
          <t>Gullwing</t>
        </is>
      </c>
      <c r="G189" s="37" t="n">
        <v>45</v>
      </c>
      <c r="H189" s="37" t="inlineStr">
        <is>
          <t>OPEN</t>
        </is>
      </c>
      <c r="I189" s="37" t="inlineStr">
        <is>
          <t>SKIPPED</t>
        </is>
      </c>
      <c r="J189" s="37" t="inlineStr">
        <is>
          <t>vessel-fit</t>
        </is>
      </c>
    </row>
    <row r="190">
      <c r="A190" s="37" t="inlineStr">
        <is>
          <t>OFR-2022-0189</t>
        </is>
      </c>
      <c r="B190" s="43" t="n">
        <v>44792</v>
      </c>
      <c r="C190" s="37" t="inlineStr">
        <is>
          <t>WL-01774</t>
        </is>
      </c>
      <c r="D190" s="37" t="n">
        <v>774</v>
      </c>
      <c r="E190" s="37" t="inlineStr">
        <is>
          <t>GW-0503</t>
        </is>
      </c>
      <c r="F190" s="37" t="inlineStr">
        <is>
          <t>Gullwing</t>
        </is>
      </c>
      <c r="G190" s="37" t="n">
        <v>32</v>
      </c>
      <c r="H190" s="37" t="inlineStr">
        <is>
          <t>OPEN</t>
        </is>
      </c>
      <c r="I190" s="37" t="inlineStr">
        <is>
          <t>ACCEPTED</t>
        </is>
      </c>
    </row>
    <row r="191">
      <c r="A191" s="37" t="inlineStr">
        <is>
          <t>OFR-2022-0190</t>
        </is>
      </c>
      <c r="B191" s="43" t="n">
        <v>44780</v>
      </c>
      <c r="C191" s="37" t="inlineStr">
        <is>
          <t>WL-02126</t>
        </is>
      </c>
      <c r="D191" s="37" t="n">
        <v>1126</v>
      </c>
      <c r="E191" s="37" t="inlineStr">
        <is>
          <t>EW-0708</t>
        </is>
      </c>
      <c r="F191" s="37" t="inlineStr">
        <is>
          <t>Eastwey</t>
        </is>
      </c>
      <c r="G191" s="37" t="n">
        <v>50</v>
      </c>
      <c r="H191" s="37" t="inlineStr">
        <is>
          <t>OPEN</t>
        </is>
      </c>
      <c r="I191" s="37" t="inlineStr">
        <is>
          <t>ACCEPTED</t>
        </is>
      </c>
    </row>
    <row r="192">
      <c r="A192" s="37" t="inlineStr">
        <is>
          <t>OFR-2022-0191</t>
        </is>
      </c>
      <c r="B192" s="43" t="n">
        <v>44793</v>
      </c>
      <c r="C192" s="37" t="inlineStr">
        <is>
          <t>WL-03215</t>
        </is>
      </c>
      <c r="D192" s="37" t="n">
        <v>2215</v>
      </c>
      <c r="E192" s="37" t="inlineStr">
        <is>
          <t>SB-0217</t>
        </is>
      </c>
      <c r="F192" s="37" t="inlineStr">
        <is>
          <t>Salmonberry</t>
        </is>
      </c>
      <c r="G192" s="37" t="n">
        <v>50</v>
      </c>
      <c r="H192" s="37" t="inlineStr">
        <is>
          <t>OPEN</t>
        </is>
      </c>
      <c r="I192" s="37" t="inlineStr">
        <is>
          <t>ACCEPTED</t>
        </is>
      </c>
    </row>
    <row r="193">
      <c r="A193" s="37" t="inlineStr">
        <is>
          <t>OFR-2022-0192</t>
        </is>
      </c>
      <c r="B193" s="43" t="n">
        <v>44788</v>
      </c>
      <c r="C193" s="37" t="inlineStr">
        <is>
          <t>WL-02270</t>
        </is>
      </c>
      <c r="D193" s="37" t="n">
        <v>1270</v>
      </c>
      <c r="E193" s="37" t="inlineStr">
        <is>
          <t>LP-0123</t>
        </is>
      </c>
      <c r="F193" s="37" t="inlineStr">
        <is>
          <t>Ledgport</t>
        </is>
      </c>
      <c r="G193" s="37" t="n">
        <v>32</v>
      </c>
      <c r="H193" s="37" t="inlineStr">
        <is>
          <t>COVERED</t>
        </is>
      </c>
      <c r="I193" s="37" t="inlineStr">
        <is>
          <t>ACCEPTED</t>
        </is>
      </c>
    </row>
    <row r="194">
      <c r="A194" s="37" t="inlineStr">
        <is>
          <t>OFR-2022-0193</t>
        </is>
      </c>
      <c r="B194" s="43" t="n">
        <v>44782</v>
      </c>
      <c r="C194" s="37" t="inlineStr">
        <is>
          <t>WL-02268</t>
        </is>
      </c>
      <c r="D194" s="37" t="n">
        <v>1268</v>
      </c>
      <c r="E194" s="37" t="inlineStr">
        <is>
          <t>EW-1004</t>
        </is>
      </c>
      <c r="F194" s="37" t="inlineStr">
        <is>
          <t>Eastwey</t>
        </is>
      </c>
      <c r="G194" s="37" t="n">
        <v>24</v>
      </c>
      <c r="H194" s="37" t="inlineStr">
        <is>
          <t>OPEN</t>
        </is>
      </c>
      <c r="I194" s="37" t="inlineStr">
        <is>
          <t>ACCEPTED</t>
        </is>
      </c>
    </row>
    <row r="195">
      <c r="A195" s="37" t="inlineStr">
        <is>
          <t>OFR-2022-0194</t>
        </is>
      </c>
      <c r="B195" s="43" t="n">
        <v>44775</v>
      </c>
      <c r="C195" s="37" t="inlineStr">
        <is>
          <t>WL-01050</t>
        </is>
      </c>
      <c r="D195" s="37" t="n">
        <v>50</v>
      </c>
      <c r="E195" s="37" t="inlineStr">
        <is>
          <t>GW-0513</t>
        </is>
      </c>
      <c r="F195" s="37" t="inlineStr">
        <is>
          <t>Gullwing</t>
        </is>
      </c>
      <c r="G195" s="37" t="n">
        <v>32</v>
      </c>
      <c r="H195" s="37" t="inlineStr">
        <is>
          <t>OPEN</t>
        </is>
      </c>
      <c r="I195" s="37" t="inlineStr">
        <is>
          <t>SKIPPED</t>
        </is>
      </c>
      <c r="J195" s="37" t="inlineStr">
        <is>
          <t>declined-prior-offer</t>
        </is>
      </c>
    </row>
    <row r="196">
      <c r="A196" s="37" t="inlineStr">
        <is>
          <t>OFR-2022-0195</t>
        </is>
      </c>
      <c r="B196" s="43" t="n">
        <v>44786</v>
      </c>
      <c r="C196" s="37" t="inlineStr">
        <is>
          <t>WL-02540</t>
        </is>
      </c>
      <c r="D196" s="37" t="n">
        <v>1540</v>
      </c>
      <c r="E196" s="37" t="inlineStr">
        <is>
          <t>EW-0916</t>
        </is>
      </c>
      <c r="F196" s="37" t="inlineStr">
        <is>
          <t>Eastwey</t>
        </is>
      </c>
      <c r="G196" s="37" t="n">
        <v>24</v>
      </c>
      <c r="H196" s="37" t="inlineStr">
        <is>
          <t>OPEN</t>
        </is>
      </c>
      <c r="I196" s="37" t="inlineStr">
        <is>
          <t>ACCEPTED</t>
        </is>
      </c>
    </row>
    <row r="197">
      <c r="A197" s="37" t="inlineStr">
        <is>
          <t>OFR-2022-0196</t>
        </is>
      </c>
      <c r="B197" s="43" t="n">
        <v>44793</v>
      </c>
      <c r="C197" s="37" t="inlineStr">
        <is>
          <t>WL-03519</t>
        </is>
      </c>
      <c r="D197" s="37" t="n">
        <v>2519</v>
      </c>
      <c r="E197" s="37" t="inlineStr">
        <is>
          <t>GW-0913</t>
        </is>
      </c>
      <c r="F197" s="37" t="inlineStr">
        <is>
          <t>Gullwing</t>
        </is>
      </c>
      <c r="G197" s="37" t="n">
        <v>28</v>
      </c>
      <c r="H197" s="37" t="inlineStr">
        <is>
          <t>OPEN</t>
        </is>
      </c>
      <c r="I197" s="37" t="inlineStr">
        <is>
          <t>ACCEPTED</t>
        </is>
      </c>
    </row>
    <row r="198">
      <c r="A198" s="37" t="inlineStr">
        <is>
          <t>OFR-2022-0197</t>
        </is>
      </c>
      <c r="B198" s="43" t="n">
        <v>44794</v>
      </c>
      <c r="C198" s="37" t="inlineStr">
        <is>
          <t>WL-03212</t>
        </is>
      </c>
      <c r="D198" s="37" t="n">
        <v>2212</v>
      </c>
      <c r="E198" s="37" t="inlineStr">
        <is>
          <t>GW-0206</t>
        </is>
      </c>
      <c r="F198" s="37" t="inlineStr">
        <is>
          <t>Gullwing</t>
        </is>
      </c>
      <c r="G198" s="37" t="n">
        <v>24</v>
      </c>
      <c r="H198" s="37" t="inlineStr">
        <is>
          <t>OPEN</t>
        </is>
      </c>
      <c r="I198" s="37" t="inlineStr">
        <is>
          <t>DECLINED</t>
        </is>
      </c>
    </row>
    <row r="199">
      <c r="A199" s="37" t="inlineStr">
        <is>
          <t>OFR-2022-0198</t>
        </is>
      </c>
      <c r="B199" s="43" t="n">
        <v>44788</v>
      </c>
      <c r="C199" s="37" t="inlineStr">
        <is>
          <t>WL-03120</t>
        </is>
      </c>
      <c r="D199" s="37" t="n">
        <v>2120</v>
      </c>
      <c r="E199" s="37" t="inlineStr">
        <is>
          <t>GW-0501</t>
        </is>
      </c>
      <c r="F199" s="37" t="inlineStr">
        <is>
          <t>Gullwing</t>
        </is>
      </c>
      <c r="G199" s="37" t="n">
        <v>40</v>
      </c>
      <c r="H199" s="37" t="inlineStr">
        <is>
          <t>OPEN</t>
        </is>
      </c>
      <c r="I199" s="37" t="inlineStr">
        <is>
          <t>ACCEPTED</t>
        </is>
      </c>
    </row>
    <row r="200">
      <c r="A200" s="37" t="inlineStr">
        <is>
          <t>OFR-2022-0199</t>
        </is>
      </c>
      <c r="B200" s="43" t="n">
        <v>44788</v>
      </c>
      <c r="C200" s="37" t="inlineStr">
        <is>
          <t>WL-03330</t>
        </is>
      </c>
      <c r="D200" s="37" t="n">
        <v>2330</v>
      </c>
      <c r="E200" s="37" t="inlineStr">
        <is>
          <t>EW-0823</t>
        </is>
      </c>
      <c r="F200" s="37" t="inlineStr">
        <is>
          <t>Eastwey</t>
        </is>
      </c>
      <c r="G200" s="37" t="n">
        <v>32</v>
      </c>
      <c r="H200" s="37" t="inlineStr">
        <is>
          <t>OPEN</t>
        </is>
      </c>
      <c r="I200" s="37" t="inlineStr">
        <is>
          <t>SKIPPED</t>
        </is>
      </c>
      <c r="J200" s="37" t="inlineStr">
        <is>
          <t>vessel-fit</t>
        </is>
      </c>
    </row>
    <row r="201">
      <c r="A201" s="37" t="inlineStr">
        <is>
          <t>OFR-2022-0200</t>
        </is>
      </c>
      <c r="B201" s="43" t="n">
        <v>44800</v>
      </c>
      <c r="C201" s="37" t="inlineStr">
        <is>
          <t>WL-02011</t>
        </is>
      </c>
      <c r="D201" s="37" t="n">
        <v>1011</v>
      </c>
      <c r="E201" s="37" t="inlineStr">
        <is>
          <t>LP-0305</t>
        </is>
      </c>
      <c r="F201" s="37" t="inlineStr">
        <is>
          <t>Ledgport</t>
        </is>
      </c>
      <c r="G201" s="37" t="n">
        <v>32</v>
      </c>
      <c r="H201" s="37" t="inlineStr">
        <is>
          <t>COVERED</t>
        </is>
      </c>
      <c r="I201" s="37" t="inlineStr">
        <is>
          <t>PENDING</t>
        </is>
      </c>
    </row>
    <row r="202">
      <c r="A202" s="37" t="inlineStr">
        <is>
          <t>OFR-2022-0201</t>
        </is>
      </c>
      <c r="B202" s="43" t="n">
        <v>44775</v>
      </c>
      <c r="C202" s="37" t="inlineStr">
        <is>
          <t>WL-01901</t>
        </is>
      </c>
      <c r="D202" s="37" t="n">
        <v>901</v>
      </c>
      <c r="E202" s="37" t="inlineStr">
        <is>
          <t>VB-1018</t>
        </is>
      </c>
      <c r="F202" s="37" t="inlineStr">
        <is>
          <t>Vessbank</t>
        </is>
      </c>
      <c r="G202" s="37" t="n">
        <v>36</v>
      </c>
      <c r="H202" s="37" t="inlineStr">
        <is>
          <t>COVERED</t>
        </is>
      </c>
      <c r="I202" s="37" t="inlineStr">
        <is>
          <t>WITHDRAWN</t>
        </is>
      </c>
    </row>
    <row r="203">
      <c r="A203" s="37" t="inlineStr">
        <is>
          <t>OFR-2022-0202</t>
        </is>
      </c>
      <c r="B203" s="43" t="n">
        <v>44775</v>
      </c>
      <c r="C203" s="37" t="inlineStr">
        <is>
          <t>WL-01933</t>
        </is>
      </c>
      <c r="D203" s="37" t="n">
        <v>933</v>
      </c>
      <c r="E203" s="37" t="inlineStr">
        <is>
          <t>SB-0609</t>
        </is>
      </c>
      <c r="F203" s="37" t="inlineStr">
        <is>
          <t>Salmonberry</t>
        </is>
      </c>
      <c r="G203" s="37" t="n">
        <v>36</v>
      </c>
      <c r="H203" s="37" t="inlineStr">
        <is>
          <t>OPEN</t>
        </is>
      </c>
      <c r="I203" s="37" t="inlineStr">
        <is>
          <t>ACCEPTED</t>
        </is>
      </c>
    </row>
    <row r="204">
      <c r="A204" s="37" t="inlineStr">
        <is>
          <t>OFR-2022-0203</t>
        </is>
      </c>
      <c r="B204" s="43" t="n">
        <v>44790</v>
      </c>
      <c r="C204" s="37" t="inlineStr">
        <is>
          <t>WL-02512</t>
        </is>
      </c>
      <c r="D204" s="37" t="n">
        <v>1512</v>
      </c>
      <c r="E204" s="37" t="inlineStr">
        <is>
          <t>SB-0804</t>
        </is>
      </c>
      <c r="F204" s="37" t="inlineStr">
        <is>
          <t>Salmonberry</t>
        </is>
      </c>
      <c r="G204" s="37" t="n">
        <v>24</v>
      </c>
      <c r="H204" s="37" t="inlineStr">
        <is>
          <t>OPEN</t>
        </is>
      </c>
      <c r="I204" s="37" t="inlineStr">
        <is>
          <t>ACCEPTED</t>
        </is>
      </c>
    </row>
    <row r="205">
      <c r="A205" s="37" t="inlineStr">
        <is>
          <t>OFR-2022-0204</t>
        </is>
      </c>
      <c r="B205" s="43" t="n">
        <v>44786</v>
      </c>
      <c r="C205" s="37" t="inlineStr">
        <is>
          <t>WL-01584</t>
        </is>
      </c>
      <c r="D205" s="37" t="n">
        <v>584</v>
      </c>
      <c r="E205" s="37" t="inlineStr">
        <is>
          <t>SB-0103</t>
        </is>
      </c>
      <c r="F205" s="37" t="inlineStr">
        <is>
          <t>Salmonberry</t>
        </is>
      </c>
      <c r="G205" s="37" t="n">
        <v>36</v>
      </c>
      <c r="H205" s="37" t="inlineStr">
        <is>
          <t>OPEN</t>
        </is>
      </c>
      <c r="I205" s="37" t="inlineStr">
        <is>
          <t>ACCEPTED</t>
        </is>
      </c>
    </row>
    <row r="206">
      <c r="A206" s="37" t="inlineStr">
        <is>
          <t>OFR-2022-0205</t>
        </is>
      </c>
      <c r="B206" s="43" t="n">
        <v>44798</v>
      </c>
      <c r="C206" s="37" t="inlineStr">
        <is>
          <t>WL-02553</t>
        </is>
      </c>
      <c r="D206" s="37" t="n">
        <v>1553</v>
      </c>
      <c r="E206" s="37" t="inlineStr">
        <is>
          <t>LP-1114</t>
        </is>
      </c>
      <c r="F206" s="37" t="inlineStr">
        <is>
          <t>Ledgport</t>
        </is>
      </c>
      <c r="G206" s="37" t="n">
        <v>32</v>
      </c>
      <c r="H206" s="37" t="inlineStr">
        <is>
          <t>COVERED</t>
        </is>
      </c>
      <c r="I206" s="37" t="inlineStr">
        <is>
          <t>SKIPPED</t>
        </is>
      </c>
      <c r="J206" s="37" t="inlineStr">
        <is>
          <t>declined-prior-offer</t>
        </is>
      </c>
    </row>
    <row r="207">
      <c r="A207" s="37" t="inlineStr">
        <is>
          <t>OFR-2022-0206</t>
        </is>
      </c>
      <c r="B207" s="43" t="n">
        <v>44785</v>
      </c>
      <c r="C207" s="37" t="inlineStr">
        <is>
          <t>WL-02263</t>
        </is>
      </c>
      <c r="D207" s="37" t="n">
        <v>1263</v>
      </c>
      <c r="E207" s="37" t="inlineStr">
        <is>
          <t>EW-0806</t>
        </is>
      </c>
      <c r="F207" s="37" t="inlineStr">
        <is>
          <t>Eastwey</t>
        </is>
      </c>
      <c r="G207" s="37" t="n">
        <v>36</v>
      </c>
      <c r="H207" s="37" t="inlineStr">
        <is>
          <t>OPEN</t>
        </is>
      </c>
      <c r="I207" s="37" t="inlineStr">
        <is>
          <t>ACCEPTED</t>
        </is>
      </c>
    </row>
    <row r="208">
      <c r="A208" s="37" t="inlineStr">
        <is>
          <t>OFR-2022-0207</t>
        </is>
      </c>
      <c r="B208" s="43" t="n">
        <v>44783</v>
      </c>
      <c r="C208" s="37" t="inlineStr">
        <is>
          <t>WL-01372</t>
        </is>
      </c>
      <c r="D208" s="37" t="n">
        <v>372</v>
      </c>
      <c r="E208" s="37" t="inlineStr">
        <is>
          <t>VB-0819</t>
        </is>
      </c>
      <c r="F208" s="37" t="inlineStr">
        <is>
          <t>Vessbank</t>
        </is>
      </c>
      <c r="G208" s="37" t="n">
        <v>24</v>
      </c>
      <c r="H208" s="37" t="inlineStr">
        <is>
          <t>COVERED</t>
        </is>
      </c>
      <c r="I208" s="37" t="inlineStr">
        <is>
          <t>ACCEPTED</t>
        </is>
      </c>
    </row>
    <row r="209">
      <c r="A209" s="37" t="inlineStr">
        <is>
          <t>OFR-2022-0208</t>
        </is>
      </c>
      <c r="B209" s="43" t="n">
        <v>44783</v>
      </c>
      <c r="C209" s="37" t="inlineStr">
        <is>
          <t>WL-03425</t>
        </is>
      </c>
      <c r="D209" s="37" t="n">
        <v>2425</v>
      </c>
      <c r="E209" s="37" t="inlineStr">
        <is>
          <t>EW-0602</t>
        </is>
      </c>
      <c r="F209" s="37" t="inlineStr">
        <is>
          <t>Eastwey</t>
        </is>
      </c>
      <c r="G209" s="37" t="n">
        <v>50</v>
      </c>
      <c r="H209" s="37" t="inlineStr">
        <is>
          <t>OPEN</t>
        </is>
      </c>
      <c r="I209" s="37" t="inlineStr">
        <is>
          <t>SKIPPED</t>
        </is>
      </c>
      <c r="J209" s="37" t="inlineStr">
        <is>
          <t>not-current</t>
        </is>
      </c>
    </row>
    <row r="210">
      <c r="A210" s="37" t="inlineStr">
        <is>
          <t>OFR-2022-0209</t>
        </is>
      </c>
      <c r="B210" s="43" t="n">
        <v>44793</v>
      </c>
      <c r="C210" s="37" t="inlineStr">
        <is>
          <t>WL-02375</t>
        </is>
      </c>
      <c r="D210" s="37" t="n">
        <v>1375</v>
      </c>
      <c r="E210" s="37" t="inlineStr">
        <is>
          <t>SB-0617</t>
        </is>
      </c>
      <c r="F210" s="37" t="inlineStr">
        <is>
          <t>Salmonberry</t>
        </is>
      </c>
      <c r="G210" s="37" t="n">
        <v>36</v>
      </c>
      <c r="H210" s="37" t="inlineStr">
        <is>
          <t>OPEN</t>
        </is>
      </c>
      <c r="I210" s="37" t="inlineStr">
        <is>
          <t>ACCEPTED</t>
        </is>
      </c>
    </row>
    <row r="211">
      <c r="A211" s="37" t="inlineStr">
        <is>
          <t>OFR-2022-0210</t>
        </is>
      </c>
      <c r="B211" s="43" t="n">
        <v>44798</v>
      </c>
      <c r="C211" s="37" t="inlineStr">
        <is>
          <t>WL-01476</t>
        </is>
      </c>
      <c r="D211" s="37" t="n">
        <v>476</v>
      </c>
      <c r="E211" s="37" t="inlineStr">
        <is>
          <t>SB-0402</t>
        </is>
      </c>
      <c r="F211" s="37" t="inlineStr">
        <is>
          <t>Salmonberry</t>
        </is>
      </c>
      <c r="G211" s="37" t="n">
        <v>32</v>
      </c>
      <c r="H211" s="37" t="inlineStr">
        <is>
          <t>OPEN</t>
        </is>
      </c>
      <c r="I211" s="37" t="inlineStr">
        <is>
          <t>ACCEPTED</t>
        </is>
      </c>
    </row>
    <row r="212">
      <c r="A212" s="37" t="inlineStr">
        <is>
          <t>OFR-2022-0211</t>
        </is>
      </c>
      <c r="B212" s="43" t="n">
        <v>44799</v>
      </c>
      <c r="C212" s="37" t="inlineStr">
        <is>
          <t>WL-02325</t>
        </is>
      </c>
      <c r="D212" s="37" t="n">
        <v>1325</v>
      </c>
      <c r="E212" s="37" t="inlineStr">
        <is>
          <t>GW-0303</t>
        </is>
      </c>
      <c r="F212" s="37" t="inlineStr">
        <is>
          <t>Gullwing</t>
        </is>
      </c>
      <c r="G212" s="37" t="n">
        <v>28</v>
      </c>
      <c r="H212" s="37" t="inlineStr">
        <is>
          <t>OPEN</t>
        </is>
      </c>
      <c r="I212" s="37" t="inlineStr">
        <is>
          <t>SKIPPED</t>
        </is>
      </c>
      <c r="J212" s="37" t="inlineStr">
        <is>
          <t>not-current</t>
        </is>
      </c>
    </row>
    <row r="213">
      <c r="A213" s="37" t="inlineStr">
        <is>
          <t>OFR-2022-0212</t>
        </is>
      </c>
      <c r="B213" s="43" t="n">
        <v>44799</v>
      </c>
      <c r="C213" s="37" t="inlineStr">
        <is>
          <t>WL-02468</t>
        </is>
      </c>
      <c r="D213" s="37" t="n">
        <v>1468</v>
      </c>
      <c r="E213" s="37" t="inlineStr">
        <is>
          <t>LP-1106</t>
        </is>
      </c>
      <c r="F213" s="37" t="inlineStr">
        <is>
          <t>Ledgport</t>
        </is>
      </c>
      <c r="G213" s="37" t="n">
        <v>24</v>
      </c>
      <c r="H213" s="37" t="inlineStr">
        <is>
          <t>COVERED</t>
        </is>
      </c>
      <c r="I213" s="37" t="inlineStr">
        <is>
          <t>DECLINED</t>
        </is>
      </c>
    </row>
    <row r="214">
      <c r="A214" s="37" t="inlineStr">
        <is>
          <t>OFR-2022-0213</t>
        </is>
      </c>
      <c r="B214" s="43" t="n">
        <v>44781</v>
      </c>
      <c r="C214" s="37" t="inlineStr">
        <is>
          <t>WL-02761</t>
        </is>
      </c>
      <c r="D214" s="37" t="n">
        <v>1761</v>
      </c>
      <c r="E214" s="37" t="inlineStr">
        <is>
          <t>SB-0608</t>
        </is>
      </c>
      <c r="F214" s="37" t="inlineStr">
        <is>
          <t>Salmonberry</t>
        </is>
      </c>
      <c r="G214" s="37" t="n">
        <v>50</v>
      </c>
      <c r="H214" s="37" t="inlineStr">
        <is>
          <t>OPEN</t>
        </is>
      </c>
      <c r="I214" s="37" t="inlineStr">
        <is>
          <t>ACCEPTED</t>
        </is>
      </c>
    </row>
    <row r="215">
      <c r="A215" s="37" t="inlineStr">
        <is>
          <t>OFR-2022-0214</t>
        </is>
      </c>
      <c r="B215" s="43" t="n">
        <v>44784</v>
      </c>
      <c r="C215" s="37" t="inlineStr">
        <is>
          <t>WL-03621</t>
        </is>
      </c>
      <c r="D215" s="37" t="n">
        <v>2621</v>
      </c>
      <c r="E215" s="37" t="inlineStr">
        <is>
          <t>VB-0717</t>
        </is>
      </c>
      <c r="F215" s="37" t="inlineStr">
        <is>
          <t>Vessbank</t>
        </is>
      </c>
      <c r="G215" s="37" t="n">
        <v>32</v>
      </c>
      <c r="H215" s="37" t="inlineStr">
        <is>
          <t>COVERED</t>
        </is>
      </c>
      <c r="I215" s="37" t="inlineStr">
        <is>
          <t>ACCEPTED</t>
        </is>
      </c>
    </row>
    <row r="216">
      <c r="A216" s="37" t="inlineStr">
        <is>
          <t>OFR-2022-0215</t>
        </is>
      </c>
      <c r="B216" s="43" t="n">
        <v>44783</v>
      </c>
      <c r="C216" s="37" t="inlineStr">
        <is>
          <t>WL-03474</t>
        </is>
      </c>
      <c r="D216" s="37" t="n">
        <v>2474</v>
      </c>
      <c r="E216" s="37" t="inlineStr">
        <is>
          <t>SB-0807</t>
        </is>
      </c>
      <c r="F216" s="37" t="inlineStr">
        <is>
          <t>Salmonberry</t>
        </is>
      </c>
      <c r="G216" s="37" t="n">
        <v>50</v>
      </c>
      <c r="H216" s="37" t="inlineStr">
        <is>
          <t>OPEN</t>
        </is>
      </c>
      <c r="I216" s="37" t="inlineStr">
        <is>
          <t>PENDING</t>
        </is>
      </c>
    </row>
    <row r="217">
      <c r="A217" s="37" t="inlineStr">
        <is>
          <t>OFR-2022-0216</t>
        </is>
      </c>
      <c r="B217" s="43" t="n">
        <v>44789</v>
      </c>
      <c r="C217" s="37" t="inlineStr">
        <is>
          <t>WL-03172</t>
        </is>
      </c>
      <c r="D217" s="37" t="n">
        <v>2172</v>
      </c>
      <c r="E217" s="37" t="inlineStr">
        <is>
          <t>SB-0703</t>
        </is>
      </c>
      <c r="F217" s="37" t="inlineStr">
        <is>
          <t>Salmonberry</t>
        </is>
      </c>
      <c r="G217" s="37" t="n">
        <v>32</v>
      </c>
      <c r="H217" s="37" t="inlineStr">
        <is>
          <t>OPEN</t>
        </is>
      </c>
      <c r="I217" s="37" t="inlineStr">
        <is>
          <t>ACCEPTED</t>
        </is>
      </c>
    </row>
    <row r="218">
      <c r="A218" s="37" t="inlineStr">
        <is>
          <t>OFR-2022-0217</t>
        </is>
      </c>
      <c r="B218" s="43" t="n">
        <v>44787</v>
      </c>
      <c r="C218" s="37" t="inlineStr">
        <is>
          <t>WL-02495</t>
        </is>
      </c>
      <c r="D218" s="37" t="n">
        <v>1495</v>
      </c>
      <c r="E218" s="37" t="inlineStr">
        <is>
          <t>EW-0120</t>
        </is>
      </c>
      <c r="F218" s="37" t="inlineStr">
        <is>
          <t>Eastwey</t>
        </is>
      </c>
      <c r="G218" s="37" t="n">
        <v>80</v>
      </c>
      <c r="H218" s="37" t="inlineStr">
        <is>
          <t>OPEN</t>
        </is>
      </c>
      <c r="I218" s="37" t="inlineStr">
        <is>
          <t>SKIPPED</t>
        </is>
      </c>
      <c r="J218" s="37" t="inlineStr">
        <is>
          <t>preference-mismatch</t>
        </is>
      </c>
    </row>
    <row r="219">
      <c r="A219" s="37" t="inlineStr">
        <is>
          <t>OFR-2022-0218</t>
        </is>
      </c>
      <c r="B219" s="43" t="n">
        <v>44775</v>
      </c>
      <c r="C219" s="37" t="inlineStr">
        <is>
          <t>WL-02244</t>
        </is>
      </c>
      <c r="D219" s="37" t="n">
        <v>1244</v>
      </c>
      <c r="E219" s="37" t="inlineStr">
        <is>
          <t>EW-0222</t>
        </is>
      </c>
      <c r="F219" s="37" t="inlineStr">
        <is>
          <t>Eastwey</t>
        </is>
      </c>
      <c r="G219" s="37" t="n">
        <v>24</v>
      </c>
      <c r="H219" s="37" t="inlineStr">
        <is>
          <t>OPEN</t>
        </is>
      </c>
      <c r="I219" s="37" t="inlineStr">
        <is>
          <t>ACCEPTED</t>
        </is>
      </c>
    </row>
    <row r="220">
      <c r="A220" s="37" t="inlineStr">
        <is>
          <t>OFR-2022-0219</t>
        </is>
      </c>
      <c r="B220" s="43" t="n">
        <v>44793</v>
      </c>
      <c r="C220" s="37" t="inlineStr">
        <is>
          <t>WL-03877</t>
        </is>
      </c>
      <c r="D220" s="37" t="n">
        <v>2877</v>
      </c>
      <c r="E220" s="37" t="inlineStr">
        <is>
          <t>VB-0621</t>
        </is>
      </c>
      <c r="F220" s="37" t="inlineStr">
        <is>
          <t>Vessbank</t>
        </is>
      </c>
      <c r="G220" s="37" t="n">
        <v>24</v>
      </c>
      <c r="H220" s="37" t="inlineStr">
        <is>
          <t>COVERED</t>
        </is>
      </c>
      <c r="I220" s="37" t="inlineStr">
        <is>
          <t>SKIPPED</t>
        </is>
      </c>
      <c r="J220" s="37" t="inlineStr">
        <is>
          <t>vessel-fit</t>
        </is>
      </c>
    </row>
    <row r="221">
      <c r="A221" s="37" t="inlineStr">
        <is>
          <t>OFR-2022-0220</t>
        </is>
      </c>
      <c r="B221" s="43" t="n">
        <v>44787</v>
      </c>
      <c r="C221" s="37" t="inlineStr">
        <is>
          <t>WL-01882</t>
        </is>
      </c>
      <c r="D221" s="37" t="n">
        <v>882</v>
      </c>
      <c r="E221" s="37" t="inlineStr">
        <is>
          <t>GW-1015</t>
        </is>
      </c>
      <c r="F221" s="37" t="inlineStr">
        <is>
          <t>Gullwing</t>
        </is>
      </c>
      <c r="G221" s="37" t="n">
        <v>70</v>
      </c>
      <c r="H221" s="37" t="inlineStr">
        <is>
          <t>OPEN</t>
        </is>
      </c>
      <c r="I221" s="37" t="inlineStr">
        <is>
          <t>SKIPPED</t>
        </is>
      </c>
      <c r="J221" s="37" t="inlineStr">
        <is>
          <t>declined-prior-offer</t>
        </is>
      </c>
    </row>
    <row r="222">
      <c r="A222" s="37" t="inlineStr">
        <is>
          <t>OFR-2022-0221</t>
        </is>
      </c>
      <c r="B222" s="43" t="n">
        <v>44789</v>
      </c>
      <c r="C222" s="37" t="inlineStr">
        <is>
          <t>WL-02811</t>
        </is>
      </c>
      <c r="D222" s="37" t="n">
        <v>1811</v>
      </c>
      <c r="E222" s="37" t="inlineStr">
        <is>
          <t>SB-0122</t>
        </is>
      </c>
      <c r="F222" s="37" t="inlineStr">
        <is>
          <t>Salmonberry</t>
        </is>
      </c>
      <c r="G222" s="37" t="n">
        <v>24</v>
      </c>
      <c r="H222" s="37" t="inlineStr">
        <is>
          <t>OPEN</t>
        </is>
      </c>
      <c r="I222" s="37" t="inlineStr">
        <is>
          <t>ACCEPTED</t>
        </is>
      </c>
    </row>
    <row r="223">
      <c r="A223" s="37" t="inlineStr">
        <is>
          <t>OFR-2022-0222</t>
        </is>
      </c>
      <c r="B223" s="43" t="n">
        <v>44790</v>
      </c>
      <c r="C223" s="37" t="inlineStr">
        <is>
          <t>WL-03562</t>
        </is>
      </c>
      <c r="D223" s="37" t="n">
        <v>2562</v>
      </c>
      <c r="E223" s="37" t="inlineStr">
        <is>
          <t>VB-1019</t>
        </is>
      </c>
      <c r="F223" s="37" t="inlineStr">
        <is>
          <t>Vessbank</t>
        </is>
      </c>
      <c r="G223" s="37" t="n">
        <v>24</v>
      </c>
      <c r="H223" s="37" t="inlineStr">
        <is>
          <t>COVERED</t>
        </is>
      </c>
      <c r="I223" s="37" t="inlineStr">
        <is>
          <t>DECLINED</t>
        </is>
      </c>
    </row>
    <row r="224">
      <c r="A224" s="37" t="inlineStr">
        <is>
          <t>OFR-2022-0223</t>
        </is>
      </c>
      <c r="B224" s="43" t="n">
        <v>44782</v>
      </c>
      <c r="C224" s="37" t="inlineStr">
        <is>
          <t>WL-03316</t>
        </is>
      </c>
      <c r="D224" s="37" t="n">
        <v>2316</v>
      </c>
      <c r="E224" s="37" t="inlineStr">
        <is>
          <t>EW-0921</t>
        </is>
      </c>
      <c r="F224" s="37" t="inlineStr">
        <is>
          <t>Eastwey</t>
        </is>
      </c>
      <c r="G224" s="37" t="n">
        <v>32</v>
      </c>
      <c r="H224" s="37" t="inlineStr">
        <is>
          <t>OPEN</t>
        </is>
      </c>
      <c r="I224" s="37" t="inlineStr">
        <is>
          <t>ACCEPTED</t>
        </is>
      </c>
    </row>
    <row r="225">
      <c r="A225" s="37" t="inlineStr">
        <is>
          <t>OFR-2022-0224</t>
        </is>
      </c>
      <c r="B225" s="43" t="n">
        <v>44778</v>
      </c>
      <c r="C225" s="37" t="inlineStr">
        <is>
          <t>WL-01421</t>
        </is>
      </c>
      <c r="D225" s="37" t="n">
        <v>421</v>
      </c>
      <c r="E225" s="37" t="inlineStr">
        <is>
          <t>SB-0609</t>
        </is>
      </c>
      <c r="F225" s="37" t="inlineStr">
        <is>
          <t>Salmonberry</t>
        </is>
      </c>
      <c r="G225" s="37" t="n">
        <v>36</v>
      </c>
      <c r="H225" s="37" t="inlineStr">
        <is>
          <t>OPEN</t>
        </is>
      </c>
      <c r="I225" s="37" t="inlineStr">
        <is>
          <t>ACCEPTED</t>
        </is>
      </c>
    </row>
    <row r="226">
      <c r="A226" s="37" t="inlineStr">
        <is>
          <t>OFR-2022-0225</t>
        </is>
      </c>
      <c r="B226" s="43" t="n">
        <v>44822</v>
      </c>
      <c r="C226" s="37" t="inlineStr">
        <is>
          <t>WL-02987</t>
        </is>
      </c>
      <c r="D226" s="37" t="n">
        <v>1987</v>
      </c>
      <c r="E226" s="37" t="inlineStr">
        <is>
          <t>VB-0115</t>
        </is>
      </c>
      <c r="F226" s="37" t="inlineStr">
        <is>
          <t>Vessbank</t>
        </is>
      </c>
      <c r="G226" s="37" t="n">
        <v>24</v>
      </c>
      <c r="H226" s="37" t="inlineStr">
        <is>
          <t>COVERED</t>
        </is>
      </c>
      <c r="I226" s="37" t="inlineStr">
        <is>
          <t>ACCEPTED</t>
        </is>
      </c>
    </row>
    <row r="227">
      <c r="A227" s="37" t="inlineStr">
        <is>
          <t>OFR-2022-0226</t>
        </is>
      </c>
      <c r="B227" s="43" t="n">
        <v>44811</v>
      </c>
      <c r="C227" s="37" t="inlineStr">
        <is>
          <t>WL-01561</t>
        </is>
      </c>
      <c r="D227" s="37" t="n">
        <v>561</v>
      </c>
      <c r="E227" s="37" t="inlineStr">
        <is>
          <t>VB-0123</t>
        </is>
      </c>
      <c r="F227" s="37" t="inlineStr">
        <is>
          <t>Vessbank</t>
        </is>
      </c>
      <c r="G227" s="37" t="n">
        <v>36</v>
      </c>
      <c r="H227" s="37" t="inlineStr">
        <is>
          <t>COVERED</t>
        </is>
      </c>
      <c r="I227" s="37" t="inlineStr">
        <is>
          <t>WITHDRAWN</t>
        </is>
      </c>
    </row>
    <row r="228">
      <c r="A228" s="37" t="inlineStr">
        <is>
          <t>OFR-2022-0227</t>
        </is>
      </c>
      <c r="B228" s="43" t="n">
        <v>44819</v>
      </c>
      <c r="C228" s="37" t="inlineStr">
        <is>
          <t>WL-03909</t>
        </is>
      </c>
      <c r="D228" s="37" t="n">
        <v>2909</v>
      </c>
      <c r="E228" s="37" t="inlineStr">
        <is>
          <t>GW-0914</t>
        </is>
      </c>
      <c r="F228" s="37" t="inlineStr">
        <is>
          <t>Gullwing</t>
        </is>
      </c>
      <c r="G228" s="37" t="n">
        <v>24</v>
      </c>
      <c r="H228" s="37" t="inlineStr">
        <is>
          <t>OPEN</t>
        </is>
      </c>
      <c r="I228" s="37" t="inlineStr">
        <is>
          <t>DECLINED</t>
        </is>
      </c>
    </row>
    <row r="229">
      <c r="A229" s="37" t="inlineStr">
        <is>
          <t>OFR-2022-0228</t>
        </is>
      </c>
      <c r="B229" s="43" t="n">
        <v>44808</v>
      </c>
      <c r="C229" s="37" t="inlineStr">
        <is>
          <t>WL-02625</t>
        </is>
      </c>
      <c r="D229" s="37" t="n">
        <v>1625</v>
      </c>
      <c r="E229" s="37" t="inlineStr">
        <is>
          <t>LP-0423</t>
        </is>
      </c>
      <c r="F229" s="37" t="inlineStr">
        <is>
          <t>Ledgport</t>
        </is>
      </c>
      <c r="G229" s="37" t="n">
        <v>40</v>
      </c>
      <c r="H229" s="37" t="inlineStr">
        <is>
          <t>COVERED</t>
        </is>
      </c>
      <c r="I229" s="37" t="inlineStr">
        <is>
          <t>ACCEPTED</t>
        </is>
      </c>
    </row>
    <row r="230">
      <c r="A230" s="37" t="inlineStr">
        <is>
          <t>OFR-2022-0229</t>
        </is>
      </c>
      <c r="B230" s="43" t="n">
        <v>44831</v>
      </c>
      <c r="C230" s="37" t="inlineStr">
        <is>
          <t>WL-02670</t>
        </is>
      </c>
      <c r="D230" s="37" t="n">
        <v>1670</v>
      </c>
      <c r="E230" s="37" t="inlineStr">
        <is>
          <t>GW-0109</t>
        </is>
      </c>
      <c r="F230" s="37" t="inlineStr">
        <is>
          <t>Gullwing</t>
        </is>
      </c>
      <c r="G230" s="37" t="n">
        <v>28</v>
      </c>
      <c r="H230" s="37" t="inlineStr">
        <is>
          <t>OPEN</t>
        </is>
      </c>
      <c r="I230" s="37" t="inlineStr">
        <is>
          <t>SKIPPED</t>
        </is>
      </c>
      <c r="J230" s="37" t="inlineStr">
        <is>
          <t>vessel-fit</t>
        </is>
      </c>
    </row>
    <row r="231">
      <c r="A231" s="37" t="inlineStr">
        <is>
          <t>OFR-2022-0230</t>
        </is>
      </c>
      <c r="B231" s="43" t="n">
        <v>44811</v>
      </c>
      <c r="C231" s="37" t="inlineStr">
        <is>
          <t>WL-02588</t>
        </is>
      </c>
      <c r="D231" s="37" t="n">
        <v>1588</v>
      </c>
      <c r="E231" s="37" t="inlineStr">
        <is>
          <t>GW-0421</t>
        </is>
      </c>
      <c r="F231" s="37" t="inlineStr">
        <is>
          <t>Gullwing</t>
        </is>
      </c>
      <c r="G231" s="37" t="n">
        <v>80</v>
      </c>
      <c r="H231" s="37" t="inlineStr">
        <is>
          <t>OPEN</t>
        </is>
      </c>
      <c r="I231" s="37" t="inlineStr">
        <is>
          <t>ACCEPTED</t>
        </is>
      </c>
    </row>
    <row r="232">
      <c r="A232" s="37" t="inlineStr">
        <is>
          <t>OFR-2022-0231</t>
        </is>
      </c>
      <c r="B232" s="43" t="n">
        <v>44818</v>
      </c>
      <c r="C232" s="37" t="inlineStr">
        <is>
          <t>WL-02008</t>
        </is>
      </c>
      <c r="D232" s="37" t="n">
        <v>1008</v>
      </c>
      <c r="E232" s="37" t="inlineStr">
        <is>
          <t>LP-0719</t>
        </is>
      </c>
      <c r="F232" s="37" t="inlineStr">
        <is>
          <t>Ledgport</t>
        </is>
      </c>
      <c r="G232" s="37" t="n">
        <v>32</v>
      </c>
      <c r="H232" s="37" t="inlineStr">
        <is>
          <t>COVERED</t>
        </is>
      </c>
      <c r="I232" s="37" t="inlineStr">
        <is>
          <t>ACCEPTED</t>
        </is>
      </c>
    </row>
    <row r="233">
      <c r="A233" s="37" t="inlineStr">
        <is>
          <t>OFR-2022-0232</t>
        </is>
      </c>
      <c r="B233" s="43" t="n">
        <v>44829</v>
      </c>
      <c r="C233" s="37" t="inlineStr">
        <is>
          <t>WL-02300</t>
        </is>
      </c>
      <c r="D233" s="37" t="n">
        <v>1300</v>
      </c>
      <c r="E233" s="37" t="inlineStr">
        <is>
          <t>LP-0811</t>
        </is>
      </c>
      <c r="F233" s="37" t="inlineStr">
        <is>
          <t>Ledgport</t>
        </is>
      </c>
      <c r="G233" s="37" t="n">
        <v>36</v>
      </c>
      <c r="H233" s="37" t="inlineStr">
        <is>
          <t>COVERED</t>
        </is>
      </c>
      <c r="I233" s="37" t="inlineStr">
        <is>
          <t>WITHDRAWN</t>
        </is>
      </c>
    </row>
    <row r="234">
      <c r="A234" s="37" t="inlineStr">
        <is>
          <t>OFR-2022-0233</t>
        </is>
      </c>
      <c r="B234" s="43" t="n">
        <v>44831</v>
      </c>
      <c r="C234" s="37" t="inlineStr">
        <is>
          <t>WL-02340</t>
        </is>
      </c>
      <c r="D234" s="37" t="n">
        <v>1340</v>
      </c>
      <c r="E234" s="37" t="inlineStr">
        <is>
          <t>EW-0323</t>
        </is>
      </c>
      <c r="F234" s="37" t="inlineStr">
        <is>
          <t>Eastwey</t>
        </is>
      </c>
      <c r="G234" s="37" t="n">
        <v>36</v>
      </c>
      <c r="H234" s="37" t="inlineStr">
        <is>
          <t>OPEN</t>
        </is>
      </c>
      <c r="I234" s="37" t="inlineStr">
        <is>
          <t>PENDING</t>
        </is>
      </c>
    </row>
    <row r="235">
      <c r="A235" s="37" t="inlineStr">
        <is>
          <t>OFR-2022-0234</t>
        </is>
      </c>
      <c r="B235" s="43" t="n">
        <v>44828</v>
      </c>
      <c r="C235" s="37" t="inlineStr">
        <is>
          <t>WL-02704</t>
        </is>
      </c>
      <c r="D235" s="37" t="n">
        <v>1704</v>
      </c>
      <c r="E235" s="37" t="inlineStr">
        <is>
          <t>VB-0623</t>
        </is>
      </c>
      <c r="F235" s="37" t="inlineStr">
        <is>
          <t>Vessbank</t>
        </is>
      </c>
      <c r="G235" s="37" t="n">
        <v>24</v>
      </c>
      <c r="H235" s="37" t="inlineStr">
        <is>
          <t>COVERED</t>
        </is>
      </c>
      <c r="I235" s="37" t="inlineStr">
        <is>
          <t>ACCEPTED</t>
        </is>
      </c>
    </row>
    <row r="236">
      <c r="A236" s="37" t="inlineStr">
        <is>
          <t>OFR-2022-0235</t>
        </is>
      </c>
      <c r="B236" s="43" t="n">
        <v>44832</v>
      </c>
      <c r="C236" s="37" t="inlineStr">
        <is>
          <t>WL-02164</t>
        </is>
      </c>
      <c r="D236" s="37" t="n">
        <v>1164</v>
      </c>
      <c r="E236" s="37" t="inlineStr">
        <is>
          <t>VB-0905</t>
        </is>
      </c>
      <c r="F236" s="37" t="inlineStr">
        <is>
          <t>Vessbank</t>
        </is>
      </c>
      <c r="G236" s="37" t="n">
        <v>28</v>
      </c>
      <c r="H236" s="37" t="inlineStr">
        <is>
          <t>COVERED</t>
        </is>
      </c>
      <c r="I236" s="37" t="inlineStr">
        <is>
          <t>EXPIRED</t>
        </is>
      </c>
    </row>
    <row r="237">
      <c r="A237" s="37" t="inlineStr">
        <is>
          <t>OFR-2022-0236</t>
        </is>
      </c>
      <c r="B237" s="43" t="n">
        <v>44808</v>
      </c>
      <c r="C237" s="37" t="inlineStr">
        <is>
          <t>WL-02978</t>
        </is>
      </c>
      <c r="D237" s="37" t="n">
        <v>1978</v>
      </c>
      <c r="E237" s="37" t="inlineStr">
        <is>
          <t>GW-0415</t>
        </is>
      </c>
      <c r="F237" s="37" t="inlineStr">
        <is>
          <t>Gullwing</t>
        </is>
      </c>
      <c r="G237" s="37" t="n">
        <v>24</v>
      </c>
      <c r="H237" s="37" t="inlineStr">
        <is>
          <t>OPEN</t>
        </is>
      </c>
      <c r="I237" s="37" t="inlineStr">
        <is>
          <t>SKIPPED</t>
        </is>
      </c>
      <c r="J237" s="37" t="inlineStr">
        <is>
          <t>vessel-fit</t>
        </is>
      </c>
    </row>
    <row r="238">
      <c r="A238" s="37" t="inlineStr">
        <is>
          <t>OFR-2022-0237</t>
        </is>
      </c>
      <c r="B238" s="43" t="n">
        <v>44807</v>
      </c>
      <c r="C238" s="37" t="inlineStr">
        <is>
          <t>WL-03013</t>
        </is>
      </c>
      <c r="D238" s="37" t="n">
        <v>2013</v>
      </c>
      <c r="E238" s="37" t="inlineStr">
        <is>
          <t>GW-0118</t>
        </is>
      </c>
      <c r="F238" s="37" t="inlineStr">
        <is>
          <t>Gullwing</t>
        </is>
      </c>
      <c r="G238" s="37" t="n">
        <v>60</v>
      </c>
      <c r="H238" s="37" t="inlineStr">
        <is>
          <t>OPEN</t>
        </is>
      </c>
      <c r="I238" s="37" t="inlineStr">
        <is>
          <t>ACCEPTED</t>
        </is>
      </c>
    </row>
    <row r="239">
      <c r="A239" s="37" t="inlineStr">
        <is>
          <t>OFR-2022-0238</t>
        </is>
      </c>
      <c r="B239" s="43" t="n">
        <v>44829</v>
      </c>
      <c r="C239" s="37" t="inlineStr">
        <is>
          <t>WL-02292</t>
        </is>
      </c>
      <c r="D239" s="37" t="n">
        <v>1292</v>
      </c>
      <c r="E239" s="37" t="inlineStr">
        <is>
          <t>SB-0119</t>
        </is>
      </c>
      <c r="F239" s="37" t="inlineStr">
        <is>
          <t>Salmonberry</t>
        </is>
      </c>
      <c r="G239" s="37" t="n">
        <v>32</v>
      </c>
      <c r="H239" s="37" t="inlineStr">
        <is>
          <t>OPEN</t>
        </is>
      </c>
      <c r="I239" s="37" t="inlineStr">
        <is>
          <t>SKIPPED</t>
        </is>
      </c>
      <c r="J239" s="37" t="inlineStr">
        <is>
          <t>not-current</t>
        </is>
      </c>
    </row>
    <row r="240">
      <c r="A240" s="37" t="inlineStr">
        <is>
          <t>OFR-2022-0239</t>
        </is>
      </c>
      <c r="B240" s="43" t="n">
        <v>44817</v>
      </c>
      <c r="C240" s="37" t="inlineStr">
        <is>
          <t>WL-01492</t>
        </is>
      </c>
      <c r="D240" s="37" t="n">
        <v>492</v>
      </c>
      <c r="E240" s="37" t="inlineStr">
        <is>
          <t>GW-0709</t>
        </is>
      </c>
      <c r="F240" s="37" t="inlineStr">
        <is>
          <t>Gullwing</t>
        </is>
      </c>
      <c r="G240" s="37" t="n">
        <v>32</v>
      </c>
      <c r="H240" s="37" t="inlineStr">
        <is>
          <t>OPEN</t>
        </is>
      </c>
      <c r="I240" s="37" t="inlineStr">
        <is>
          <t>SKIPPED</t>
        </is>
      </c>
      <c r="J240" s="37" t="inlineStr">
        <is>
          <t>vessel-fit</t>
        </is>
      </c>
    </row>
    <row r="241">
      <c r="A241" s="37" t="inlineStr">
        <is>
          <t>OFR-2022-0240</t>
        </is>
      </c>
      <c r="B241" s="43" t="n">
        <v>44817</v>
      </c>
      <c r="C241" s="37" t="inlineStr">
        <is>
          <t>WL-01326</t>
        </is>
      </c>
      <c r="D241" s="37" t="n">
        <v>326</v>
      </c>
      <c r="E241" s="37" t="inlineStr">
        <is>
          <t>VB-0821</t>
        </is>
      </c>
      <c r="F241" s="37" t="inlineStr">
        <is>
          <t>Vessbank</t>
        </is>
      </c>
      <c r="G241" s="37" t="n">
        <v>40</v>
      </c>
      <c r="H241" s="37" t="inlineStr">
        <is>
          <t>COVERED</t>
        </is>
      </c>
      <c r="I241" s="37" t="inlineStr">
        <is>
          <t>SKIPPED</t>
        </is>
      </c>
      <c r="J241" s="37" t="inlineStr">
        <is>
          <t>preference-mismatch</t>
        </is>
      </c>
    </row>
    <row r="242">
      <c r="A242" s="37" t="inlineStr">
        <is>
          <t>OFR-2022-0241</t>
        </is>
      </c>
      <c r="B242" s="43" t="n">
        <v>44816</v>
      </c>
      <c r="C242" s="37" t="inlineStr">
        <is>
          <t>WL-02270</t>
        </is>
      </c>
      <c r="D242" s="37" t="n">
        <v>1270</v>
      </c>
      <c r="E242" s="37" t="inlineStr">
        <is>
          <t>VB-0102</t>
        </is>
      </c>
      <c r="F242" s="37" t="inlineStr">
        <is>
          <t>Vessbank</t>
        </is>
      </c>
      <c r="G242" s="37" t="n">
        <v>24</v>
      </c>
      <c r="H242" s="37" t="inlineStr">
        <is>
          <t>COVERED</t>
        </is>
      </c>
      <c r="I242" s="37" t="inlineStr">
        <is>
          <t>DECLINED_RETAINER</t>
        </is>
      </c>
    </row>
    <row r="243">
      <c r="A243" s="37" t="inlineStr">
        <is>
          <t>OFR-2022-0242</t>
        </is>
      </c>
      <c r="B243" s="43" t="n">
        <v>44806</v>
      </c>
      <c r="C243" s="37" t="inlineStr">
        <is>
          <t>WL-01796</t>
        </is>
      </c>
      <c r="D243" s="37" t="n">
        <v>796</v>
      </c>
      <c r="E243" s="37" t="inlineStr">
        <is>
          <t>EW-1021</t>
        </is>
      </c>
      <c r="F243" s="37" t="inlineStr">
        <is>
          <t>Eastwey</t>
        </is>
      </c>
      <c r="G243" s="37" t="n">
        <v>70</v>
      </c>
      <c r="H243" s="37" t="inlineStr">
        <is>
          <t>OPEN</t>
        </is>
      </c>
      <c r="I243" s="37" t="inlineStr">
        <is>
          <t>ACCEPTED</t>
        </is>
      </c>
    </row>
    <row r="244">
      <c r="A244" s="37" t="inlineStr">
        <is>
          <t>OFR-2022-0243</t>
        </is>
      </c>
      <c r="B244" s="43" t="n">
        <v>44811</v>
      </c>
      <c r="C244" s="37" t="inlineStr">
        <is>
          <t>WL-03389</t>
        </is>
      </c>
      <c r="D244" s="37" t="n">
        <v>2389</v>
      </c>
      <c r="E244" s="37" t="inlineStr">
        <is>
          <t>GW-1022</t>
        </is>
      </c>
      <c r="F244" s="37" t="inlineStr">
        <is>
          <t>Gullwing</t>
        </is>
      </c>
      <c r="G244" s="37" t="n">
        <v>36</v>
      </c>
      <c r="H244" s="37" t="inlineStr">
        <is>
          <t>OPEN</t>
        </is>
      </c>
      <c r="I244" s="37" t="inlineStr">
        <is>
          <t>DECLINED</t>
        </is>
      </c>
    </row>
    <row r="245">
      <c r="A245" s="37" t="inlineStr">
        <is>
          <t>OFR-2022-0244</t>
        </is>
      </c>
      <c r="B245" s="43" t="n">
        <v>44820</v>
      </c>
      <c r="C245" s="37" t="inlineStr">
        <is>
          <t>WL-01729</t>
        </is>
      </c>
      <c r="D245" s="37" t="n">
        <v>729</v>
      </c>
      <c r="E245" s="37" t="inlineStr">
        <is>
          <t>EW-1023</t>
        </is>
      </c>
      <c r="F245" s="37" t="inlineStr">
        <is>
          <t>Eastwey</t>
        </is>
      </c>
      <c r="G245" s="37" t="n">
        <v>60</v>
      </c>
      <c r="H245" s="37" t="inlineStr">
        <is>
          <t>OPEN</t>
        </is>
      </c>
      <c r="I245" s="37" t="inlineStr">
        <is>
          <t>SKIPPED</t>
        </is>
      </c>
      <c r="J245" s="37" t="inlineStr">
        <is>
          <t>preference-mismatch</t>
        </is>
      </c>
    </row>
    <row r="246">
      <c r="A246" s="37" t="inlineStr">
        <is>
          <t>OFR-2022-0245</t>
        </is>
      </c>
      <c r="B246" s="43" t="n">
        <v>44825</v>
      </c>
      <c r="C246" s="37" t="inlineStr">
        <is>
          <t>WL-01603</t>
        </is>
      </c>
      <c r="D246" s="37" t="n">
        <v>603</v>
      </c>
      <c r="E246" s="37" t="inlineStr">
        <is>
          <t>GW-0417</t>
        </is>
      </c>
      <c r="F246" s="37" t="inlineStr">
        <is>
          <t>Gullwing</t>
        </is>
      </c>
      <c r="G246" s="37" t="n">
        <v>32</v>
      </c>
      <c r="H246" s="37" t="inlineStr">
        <is>
          <t>OPEN</t>
        </is>
      </c>
      <c r="I246" s="37" t="inlineStr">
        <is>
          <t>ACCEPTED</t>
        </is>
      </c>
    </row>
    <row r="247">
      <c r="A247" s="37" t="inlineStr">
        <is>
          <t>OFR-2022-0246</t>
        </is>
      </c>
      <c r="B247" s="43" t="n">
        <v>44818</v>
      </c>
      <c r="C247" s="37" t="inlineStr">
        <is>
          <t>WL-01915</t>
        </is>
      </c>
      <c r="D247" s="37" t="n">
        <v>915</v>
      </c>
      <c r="E247" s="37" t="inlineStr">
        <is>
          <t>EW-0911</t>
        </is>
      </c>
      <c r="F247" s="37" t="inlineStr">
        <is>
          <t>Eastwey</t>
        </is>
      </c>
      <c r="G247" s="37" t="n">
        <v>60</v>
      </c>
      <c r="H247" s="37" t="inlineStr">
        <is>
          <t>OPEN</t>
        </is>
      </c>
      <c r="I247" s="37" t="inlineStr">
        <is>
          <t>SKIPPED</t>
        </is>
      </c>
      <c r="J247" s="37" t="inlineStr">
        <is>
          <t>vessel-fit</t>
        </is>
      </c>
    </row>
    <row r="248">
      <c r="A248" s="37" t="inlineStr">
        <is>
          <t>OFR-2022-0247</t>
        </is>
      </c>
      <c r="B248" s="43" t="n">
        <v>44822</v>
      </c>
      <c r="C248" s="37" t="inlineStr">
        <is>
          <t>WL-02299</t>
        </is>
      </c>
      <c r="D248" s="37" t="n">
        <v>1299</v>
      </c>
      <c r="E248" s="37" t="inlineStr">
        <is>
          <t>EW-0307</t>
        </is>
      </c>
      <c r="F248" s="37" t="inlineStr">
        <is>
          <t>Eastwey</t>
        </is>
      </c>
      <c r="G248" s="37" t="n">
        <v>70</v>
      </c>
      <c r="H248" s="37" t="inlineStr">
        <is>
          <t>OPEN</t>
        </is>
      </c>
      <c r="I248" s="37" t="inlineStr">
        <is>
          <t>DECLINED</t>
        </is>
      </c>
    </row>
    <row r="249">
      <c r="A249" s="37" t="inlineStr">
        <is>
          <t>OFR-2022-0248</t>
        </is>
      </c>
      <c r="B249" s="43" t="n">
        <v>44818</v>
      </c>
      <c r="C249" s="37" t="inlineStr">
        <is>
          <t>WL-01440</t>
        </is>
      </c>
      <c r="D249" s="37" t="n">
        <v>440</v>
      </c>
      <c r="E249" s="37" t="inlineStr">
        <is>
          <t>EW-0717</t>
        </is>
      </c>
      <c r="F249" s="37" t="inlineStr">
        <is>
          <t>Eastwey</t>
        </is>
      </c>
      <c r="G249" s="37" t="n">
        <v>36</v>
      </c>
      <c r="H249" s="37" t="inlineStr">
        <is>
          <t>OPEN</t>
        </is>
      </c>
      <c r="I249" s="37" t="inlineStr">
        <is>
          <t>SKIPPED</t>
        </is>
      </c>
      <c r="J249" s="37" t="inlineStr">
        <is>
          <t>vessel-fit</t>
        </is>
      </c>
    </row>
    <row r="250">
      <c r="A250" s="37" t="inlineStr">
        <is>
          <t>OFR-2022-0249</t>
        </is>
      </c>
      <c r="B250" s="43" t="n">
        <v>44813</v>
      </c>
      <c r="C250" s="37" t="inlineStr">
        <is>
          <t>WL-03845</t>
        </is>
      </c>
      <c r="D250" s="37" t="n">
        <v>2845</v>
      </c>
      <c r="E250" s="37" t="inlineStr">
        <is>
          <t>EW-0316</t>
        </is>
      </c>
      <c r="F250" s="37" t="inlineStr">
        <is>
          <t>Eastwey</t>
        </is>
      </c>
      <c r="G250" s="37" t="n">
        <v>36</v>
      </c>
      <c r="H250" s="37" t="inlineStr">
        <is>
          <t>OPEN</t>
        </is>
      </c>
      <c r="I250" s="37" t="inlineStr">
        <is>
          <t>ACCEPTED</t>
        </is>
      </c>
    </row>
    <row r="251">
      <c r="A251" s="37" t="inlineStr">
        <is>
          <t>OFR-2022-0250</t>
        </is>
      </c>
      <c r="B251" s="43" t="n">
        <v>44810</v>
      </c>
      <c r="C251" s="37" t="inlineStr">
        <is>
          <t>WL-01165</t>
        </is>
      </c>
      <c r="D251" s="37" t="n">
        <v>165</v>
      </c>
      <c r="E251" s="37" t="inlineStr">
        <is>
          <t>VB-0302</t>
        </is>
      </c>
      <c r="F251" s="37" t="inlineStr">
        <is>
          <t>Vessbank</t>
        </is>
      </c>
      <c r="G251" s="37" t="n">
        <v>28</v>
      </c>
      <c r="H251" s="37" t="inlineStr">
        <is>
          <t>COVERED</t>
        </is>
      </c>
      <c r="I251" s="37" t="inlineStr">
        <is>
          <t>SKIPPED</t>
        </is>
      </c>
      <c r="J251" s="37" t="inlineStr">
        <is>
          <t>vessel-fit</t>
        </is>
      </c>
    </row>
    <row r="252">
      <c r="A252" s="37" t="inlineStr">
        <is>
          <t>OFR-2022-0251</t>
        </is>
      </c>
      <c r="B252" s="43" t="n">
        <v>44821</v>
      </c>
      <c r="C252" s="37" t="inlineStr">
        <is>
          <t>WL-02274</t>
        </is>
      </c>
      <c r="D252" s="37" t="n">
        <v>1274</v>
      </c>
      <c r="E252" s="37" t="inlineStr">
        <is>
          <t>EW-0614</t>
        </is>
      </c>
      <c r="F252" s="37" t="inlineStr">
        <is>
          <t>Eastwey</t>
        </is>
      </c>
      <c r="G252" s="37" t="n">
        <v>45</v>
      </c>
      <c r="H252" s="37" t="inlineStr">
        <is>
          <t>OPEN</t>
        </is>
      </c>
      <c r="I252" s="37" t="inlineStr">
        <is>
          <t>ACCEPTED</t>
        </is>
      </c>
    </row>
    <row r="253">
      <c r="A253" s="37" t="inlineStr">
        <is>
          <t>OFR-2022-0252</t>
        </is>
      </c>
      <c r="B253" s="43" t="n">
        <v>44810</v>
      </c>
      <c r="C253" s="37" t="inlineStr">
        <is>
          <t>WL-03768</t>
        </is>
      </c>
      <c r="D253" s="37" t="n">
        <v>2768</v>
      </c>
      <c r="E253" s="37" t="inlineStr">
        <is>
          <t>VB-0304</t>
        </is>
      </c>
      <c r="F253" s="37" t="inlineStr">
        <is>
          <t>Vessbank</t>
        </is>
      </c>
      <c r="G253" s="37" t="n">
        <v>32</v>
      </c>
      <c r="H253" s="37" t="inlineStr">
        <is>
          <t>COVERED</t>
        </is>
      </c>
      <c r="I253" s="37" t="inlineStr">
        <is>
          <t>ACCEPTED</t>
        </is>
      </c>
    </row>
    <row r="254">
      <c r="A254" s="37" t="inlineStr">
        <is>
          <t>OFR-2022-0253</t>
        </is>
      </c>
      <c r="B254" s="43" t="n">
        <v>44822</v>
      </c>
      <c r="C254" s="37" t="inlineStr">
        <is>
          <t>WL-01927</t>
        </is>
      </c>
      <c r="D254" s="37" t="n">
        <v>927</v>
      </c>
      <c r="E254" s="37" t="inlineStr">
        <is>
          <t>GW-0720</t>
        </is>
      </c>
      <c r="F254" s="37" t="inlineStr">
        <is>
          <t>Gullwing</t>
        </is>
      </c>
      <c r="G254" s="37" t="n">
        <v>50</v>
      </c>
      <c r="H254" s="37" t="inlineStr">
        <is>
          <t>OPEN</t>
        </is>
      </c>
      <c r="I254" s="37" t="inlineStr">
        <is>
          <t>DECLINED_RETAINER</t>
        </is>
      </c>
    </row>
    <row r="255">
      <c r="A255" s="37" t="inlineStr">
        <is>
          <t>OFR-2022-0254</t>
        </is>
      </c>
      <c r="B255" s="43" t="n">
        <v>44809</v>
      </c>
      <c r="C255" s="37" t="inlineStr">
        <is>
          <t>WL-02579</t>
        </is>
      </c>
      <c r="D255" s="37" t="n">
        <v>1579</v>
      </c>
      <c r="E255" s="37" t="inlineStr">
        <is>
          <t>VB-0812</t>
        </is>
      </c>
      <c r="F255" s="37" t="inlineStr">
        <is>
          <t>Vessbank</t>
        </is>
      </c>
      <c r="G255" s="37" t="n">
        <v>32</v>
      </c>
      <c r="H255" s="37" t="inlineStr">
        <is>
          <t>COVERED</t>
        </is>
      </c>
      <c r="I255" s="37" t="inlineStr">
        <is>
          <t>ACCEPTED</t>
        </is>
      </c>
    </row>
    <row r="256">
      <c r="A256" s="37" t="inlineStr">
        <is>
          <t>OFR-2022-0255</t>
        </is>
      </c>
      <c r="B256" s="43" t="n">
        <v>44809</v>
      </c>
      <c r="C256" s="37" t="inlineStr">
        <is>
          <t>WL-01185</t>
        </is>
      </c>
      <c r="D256" s="37" t="n">
        <v>185</v>
      </c>
      <c r="E256" s="37" t="inlineStr">
        <is>
          <t>EW-1013</t>
        </is>
      </c>
      <c r="F256" s="37" t="inlineStr">
        <is>
          <t>Eastwey</t>
        </is>
      </c>
      <c r="G256" s="37" t="n">
        <v>40</v>
      </c>
      <c r="H256" s="37" t="inlineStr">
        <is>
          <t>OPEN</t>
        </is>
      </c>
      <c r="I256" s="37" t="inlineStr">
        <is>
          <t>SKIPPED</t>
        </is>
      </c>
      <c r="J256" s="37" t="inlineStr">
        <is>
          <t>vessel-fit</t>
        </is>
      </c>
    </row>
    <row r="257">
      <c r="A257" s="37" t="inlineStr">
        <is>
          <t>OFR-2022-0256</t>
        </is>
      </c>
      <c r="B257" s="43" t="n">
        <v>44825</v>
      </c>
      <c r="C257" s="37" t="inlineStr">
        <is>
          <t>WL-03824</t>
        </is>
      </c>
      <c r="D257" s="37" t="n">
        <v>2824</v>
      </c>
      <c r="E257" s="37" t="inlineStr">
        <is>
          <t>SB-0222</t>
        </is>
      </c>
      <c r="F257" s="37" t="inlineStr">
        <is>
          <t>Salmonberry</t>
        </is>
      </c>
      <c r="G257" s="37" t="n">
        <v>32</v>
      </c>
      <c r="H257" s="37" t="inlineStr">
        <is>
          <t>OPEN</t>
        </is>
      </c>
      <c r="I257" s="37" t="inlineStr">
        <is>
          <t>ACCEPTED</t>
        </is>
      </c>
    </row>
    <row r="258">
      <c r="A258" s="37" t="inlineStr">
        <is>
          <t>OFR-2022-0257</t>
        </is>
      </c>
      <c r="B258" s="43" t="n">
        <v>44821</v>
      </c>
      <c r="C258" s="37" t="inlineStr">
        <is>
          <t>WL-01646</t>
        </is>
      </c>
      <c r="D258" s="37" t="n">
        <v>646</v>
      </c>
      <c r="E258" s="37" t="inlineStr">
        <is>
          <t>LP-1020</t>
        </is>
      </c>
      <c r="F258" s="37" t="inlineStr">
        <is>
          <t>Ledgport</t>
        </is>
      </c>
      <c r="G258" s="37" t="n">
        <v>32</v>
      </c>
      <c r="H258" s="37" t="inlineStr">
        <is>
          <t>COVERED</t>
        </is>
      </c>
      <c r="I258" s="37" t="inlineStr">
        <is>
          <t>ACCEPTED</t>
        </is>
      </c>
    </row>
    <row r="259">
      <c r="A259" s="37" t="inlineStr">
        <is>
          <t>OFR-2022-0258</t>
        </is>
      </c>
      <c r="B259" s="43" t="n">
        <v>44836</v>
      </c>
      <c r="C259" s="37" t="inlineStr">
        <is>
          <t>WL-03510</t>
        </is>
      </c>
      <c r="D259" s="37" t="n">
        <v>2510</v>
      </c>
      <c r="E259" s="37" t="inlineStr">
        <is>
          <t>EW-0322</t>
        </is>
      </c>
      <c r="F259" s="37" t="inlineStr">
        <is>
          <t>Eastwey</t>
        </is>
      </c>
      <c r="G259" s="37" t="n">
        <v>28</v>
      </c>
      <c r="H259" s="37" t="inlineStr">
        <is>
          <t>OPEN</t>
        </is>
      </c>
      <c r="I259" s="37" t="inlineStr">
        <is>
          <t>WITHDRAWN</t>
        </is>
      </c>
    </row>
    <row r="260">
      <c r="A260" s="37" t="inlineStr">
        <is>
          <t>OFR-2022-0259</t>
        </is>
      </c>
      <c r="B260" s="43" t="n">
        <v>44850</v>
      </c>
      <c r="C260" s="37" t="inlineStr">
        <is>
          <t>WL-03652</t>
        </is>
      </c>
      <c r="D260" s="37" t="n">
        <v>2652</v>
      </c>
      <c r="E260" s="37" t="inlineStr">
        <is>
          <t>GW-0612</t>
        </is>
      </c>
      <c r="F260" s="37" t="inlineStr">
        <is>
          <t>Gullwing</t>
        </is>
      </c>
      <c r="G260" s="37" t="n">
        <v>32</v>
      </c>
      <c r="H260" s="37" t="inlineStr">
        <is>
          <t>OPEN</t>
        </is>
      </c>
      <c r="I260" s="37" t="inlineStr">
        <is>
          <t>SKIPPED</t>
        </is>
      </c>
      <c r="J260" s="37" t="inlineStr">
        <is>
          <t>declined-prior-offer</t>
        </is>
      </c>
    </row>
    <row r="261">
      <c r="A261" s="37" t="inlineStr">
        <is>
          <t>OFR-2022-0260</t>
        </is>
      </c>
      <c r="B261" s="43" t="n">
        <v>44855</v>
      </c>
      <c r="C261" s="37" t="inlineStr">
        <is>
          <t>WL-01981</t>
        </is>
      </c>
      <c r="D261" s="37" t="n">
        <v>981</v>
      </c>
      <c r="E261" s="37" t="inlineStr">
        <is>
          <t>GW-0103</t>
        </is>
      </c>
      <c r="F261" s="37" t="inlineStr">
        <is>
          <t>Gullwing</t>
        </is>
      </c>
      <c r="G261" s="37" t="n">
        <v>45</v>
      </c>
      <c r="H261" s="37" t="inlineStr">
        <is>
          <t>OPEN</t>
        </is>
      </c>
      <c r="I261" s="37" t="inlineStr">
        <is>
          <t>DECLINED</t>
        </is>
      </c>
    </row>
    <row r="262">
      <c r="A262" s="37" t="inlineStr">
        <is>
          <t>OFR-2022-0261</t>
        </is>
      </c>
      <c r="B262" s="43" t="n">
        <v>44844</v>
      </c>
      <c r="C262" s="37" t="inlineStr">
        <is>
          <t>WL-03842</t>
        </is>
      </c>
      <c r="D262" s="37" t="n">
        <v>2842</v>
      </c>
      <c r="E262" s="37" t="inlineStr">
        <is>
          <t>SB-0705</t>
        </is>
      </c>
      <c r="F262" s="37" t="inlineStr">
        <is>
          <t>Salmonberry</t>
        </is>
      </c>
      <c r="G262" s="37" t="n">
        <v>28</v>
      </c>
      <c r="H262" s="37" t="inlineStr">
        <is>
          <t>OPEN</t>
        </is>
      </c>
      <c r="I262" s="37" t="inlineStr">
        <is>
          <t>ACCEPTED</t>
        </is>
      </c>
    </row>
    <row r="263">
      <c r="A263" s="37" t="inlineStr">
        <is>
          <t>OFR-2022-0262</t>
        </is>
      </c>
      <c r="B263" s="43" t="n">
        <v>44842</v>
      </c>
      <c r="C263" s="37" t="inlineStr">
        <is>
          <t>WL-01903</t>
        </is>
      </c>
      <c r="D263" s="37" t="n">
        <v>903</v>
      </c>
      <c r="E263" s="37" t="inlineStr">
        <is>
          <t>VB-0112</t>
        </is>
      </c>
      <c r="F263" s="37" t="inlineStr">
        <is>
          <t>Vessbank</t>
        </is>
      </c>
      <c r="G263" s="37" t="n">
        <v>36</v>
      </c>
      <c r="H263" s="37" t="inlineStr">
        <is>
          <t>COVERED</t>
        </is>
      </c>
      <c r="I263" s="37" t="inlineStr">
        <is>
          <t>PENDING</t>
        </is>
      </c>
    </row>
    <row r="264">
      <c r="A264" s="37" t="inlineStr">
        <is>
          <t>OFR-2022-0263</t>
        </is>
      </c>
      <c r="B264" s="43" t="n">
        <v>44845</v>
      </c>
      <c r="C264" s="37" t="inlineStr">
        <is>
          <t>WL-02474</t>
        </is>
      </c>
      <c r="D264" s="37" t="n">
        <v>1474</v>
      </c>
      <c r="E264" s="37" t="inlineStr">
        <is>
          <t>EW-0502</t>
        </is>
      </c>
      <c r="F264" s="37" t="inlineStr">
        <is>
          <t>Eastwey</t>
        </is>
      </c>
      <c r="G264" s="37" t="n">
        <v>32</v>
      </c>
      <c r="H264" s="37" t="inlineStr">
        <is>
          <t>OPEN</t>
        </is>
      </c>
      <c r="I264" s="37" t="inlineStr">
        <is>
          <t>ACCEPTED</t>
        </is>
      </c>
    </row>
    <row r="265">
      <c r="A265" s="37" t="inlineStr">
        <is>
          <t>OFR-2022-0264</t>
        </is>
      </c>
      <c r="B265" s="43" t="n">
        <v>44853</v>
      </c>
      <c r="C265" s="37" t="inlineStr">
        <is>
          <t>WL-02535</t>
        </is>
      </c>
      <c r="D265" s="37" t="n">
        <v>1535</v>
      </c>
      <c r="E265" s="37" t="inlineStr">
        <is>
          <t>LP-1019</t>
        </is>
      </c>
      <c r="F265" s="37" t="inlineStr">
        <is>
          <t>Ledgport</t>
        </is>
      </c>
      <c r="G265" s="37" t="n">
        <v>32</v>
      </c>
      <c r="H265" s="37" t="inlineStr">
        <is>
          <t>COVERED</t>
        </is>
      </c>
      <c r="I265" s="37" t="inlineStr">
        <is>
          <t>EXPIRED</t>
        </is>
      </c>
    </row>
    <row r="266">
      <c r="A266" s="37" t="inlineStr">
        <is>
          <t>OFR-2022-0265</t>
        </is>
      </c>
      <c r="B266" s="43" t="n">
        <v>44854</v>
      </c>
      <c r="C266" s="37" t="inlineStr">
        <is>
          <t>WL-03637</t>
        </is>
      </c>
      <c r="D266" s="37" t="n">
        <v>2637</v>
      </c>
      <c r="E266" s="37" t="inlineStr">
        <is>
          <t>VB-0717</t>
        </is>
      </c>
      <c r="F266" s="37" t="inlineStr">
        <is>
          <t>Vessbank</t>
        </is>
      </c>
      <c r="G266" s="37" t="n">
        <v>32</v>
      </c>
      <c r="H266" s="37" t="inlineStr">
        <is>
          <t>COVERED</t>
        </is>
      </c>
      <c r="I266" s="37" t="inlineStr">
        <is>
          <t>SKIPPED</t>
        </is>
      </c>
      <c r="J266" s="37" t="inlineStr">
        <is>
          <t>declined-prior-offer</t>
        </is>
      </c>
    </row>
    <row r="267">
      <c r="A267" s="37" t="inlineStr">
        <is>
          <t>OFR-2022-0266</t>
        </is>
      </c>
      <c r="B267" s="43" t="n">
        <v>44861</v>
      </c>
      <c r="C267" s="37" t="inlineStr">
        <is>
          <t>WL-02186</t>
        </is>
      </c>
      <c r="D267" s="37" t="n">
        <v>1186</v>
      </c>
      <c r="E267" s="37" t="inlineStr">
        <is>
          <t>GW-0116</t>
        </is>
      </c>
      <c r="F267" s="37" t="inlineStr">
        <is>
          <t>Gullwing</t>
        </is>
      </c>
      <c r="G267" s="37" t="n">
        <v>32</v>
      </c>
      <c r="H267" s="37" t="inlineStr">
        <is>
          <t>OPEN</t>
        </is>
      </c>
      <c r="I267" s="37" t="inlineStr">
        <is>
          <t>ACCEPTED</t>
        </is>
      </c>
    </row>
    <row r="268">
      <c r="A268" s="37" t="inlineStr">
        <is>
          <t>OFR-2022-0267</t>
        </is>
      </c>
      <c r="B268" s="43" t="n">
        <v>44846</v>
      </c>
      <c r="C268" s="37" t="inlineStr">
        <is>
          <t>WL-02652</t>
        </is>
      </c>
      <c r="D268" s="37" t="n">
        <v>1652</v>
      </c>
      <c r="E268" s="37" t="inlineStr">
        <is>
          <t>LP-1111</t>
        </is>
      </c>
      <c r="F268" s="37" t="inlineStr">
        <is>
          <t>Ledgport</t>
        </is>
      </c>
      <c r="G268" s="37" t="n">
        <v>32</v>
      </c>
      <c r="H268" s="37" t="inlineStr">
        <is>
          <t>COVERED</t>
        </is>
      </c>
      <c r="I268" s="37" t="inlineStr">
        <is>
          <t>PENDING</t>
        </is>
      </c>
    </row>
    <row r="269">
      <c r="A269" s="37" t="inlineStr">
        <is>
          <t>OFR-2022-0268</t>
        </is>
      </c>
      <c r="B269" s="43" t="n">
        <v>44841</v>
      </c>
      <c r="C269" s="37" t="inlineStr">
        <is>
          <t>WL-02634</t>
        </is>
      </c>
      <c r="D269" s="37" t="n">
        <v>1634</v>
      </c>
      <c r="E269" s="37" t="inlineStr">
        <is>
          <t>EW-0514</t>
        </is>
      </c>
      <c r="F269" s="37" t="inlineStr">
        <is>
          <t>Eastwey</t>
        </is>
      </c>
      <c r="G269" s="37" t="n">
        <v>24</v>
      </c>
      <c r="H269" s="37" t="inlineStr">
        <is>
          <t>OPEN</t>
        </is>
      </c>
      <c r="I269" s="37" t="inlineStr">
        <is>
          <t>ACCEPTED</t>
        </is>
      </c>
    </row>
    <row r="270">
      <c r="A270" s="37" t="inlineStr">
        <is>
          <t>OFR-2022-0269</t>
        </is>
      </c>
      <c r="B270" s="43" t="n">
        <v>44851</v>
      </c>
      <c r="C270" s="37" t="inlineStr">
        <is>
          <t>WL-02804</t>
        </is>
      </c>
      <c r="D270" s="37" t="n">
        <v>1804</v>
      </c>
      <c r="E270" s="37" t="inlineStr">
        <is>
          <t>GW-0622</t>
        </is>
      </c>
      <c r="F270" s="37" t="inlineStr">
        <is>
          <t>Gullwing</t>
        </is>
      </c>
      <c r="G270" s="37" t="n">
        <v>60</v>
      </c>
      <c r="H270" s="37" t="inlineStr">
        <is>
          <t>OPEN</t>
        </is>
      </c>
      <c r="I270" s="37" t="inlineStr">
        <is>
          <t>ACCEPTED</t>
        </is>
      </c>
    </row>
    <row r="271">
      <c r="A271" s="37" t="inlineStr">
        <is>
          <t>OFR-2022-0270</t>
        </is>
      </c>
      <c r="B271" s="43" t="n">
        <v>44840</v>
      </c>
      <c r="C271" s="37" t="inlineStr">
        <is>
          <t>WL-03753</t>
        </is>
      </c>
      <c r="D271" s="37" t="n">
        <v>2753</v>
      </c>
      <c r="E271" s="37" t="inlineStr">
        <is>
          <t>GW-0522</t>
        </is>
      </c>
      <c r="F271" s="37" t="inlineStr">
        <is>
          <t>Gullwing</t>
        </is>
      </c>
      <c r="G271" s="37" t="n">
        <v>28</v>
      </c>
      <c r="H271" s="37" t="inlineStr">
        <is>
          <t>OPEN</t>
        </is>
      </c>
      <c r="I271" s="37" t="inlineStr">
        <is>
          <t>SKIPPED</t>
        </is>
      </c>
      <c r="J271" s="37" t="inlineStr">
        <is>
          <t>vessel-fit</t>
        </is>
      </c>
    </row>
    <row r="272">
      <c r="A272" s="37" t="inlineStr">
        <is>
          <t>OFR-2022-0271</t>
        </is>
      </c>
      <c r="B272" s="43" t="n">
        <v>44851</v>
      </c>
      <c r="C272" s="37" t="inlineStr">
        <is>
          <t>WL-02940</t>
        </is>
      </c>
      <c r="D272" s="37" t="n">
        <v>1940</v>
      </c>
      <c r="E272" s="37" t="inlineStr">
        <is>
          <t>SB-0801</t>
        </is>
      </c>
      <c r="F272" s="37" t="inlineStr">
        <is>
          <t>Salmonberry</t>
        </is>
      </c>
      <c r="G272" s="37" t="n">
        <v>32</v>
      </c>
      <c r="H272" s="37" t="inlineStr">
        <is>
          <t>OPEN</t>
        </is>
      </c>
      <c r="I272" s="37" t="inlineStr">
        <is>
          <t>SKIPPED</t>
        </is>
      </c>
      <c r="J272" s="37" t="inlineStr">
        <is>
          <t>vessel-fit</t>
        </is>
      </c>
    </row>
    <row r="273">
      <c r="A273" s="37" t="inlineStr">
        <is>
          <t>OFR-2022-0272</t>
        </is>
      </c>
      <c r="B273" s="43" t="n">
        <v>44852</v>
      </c>
      <c r="C273" s="37" t="inlineStr">
        <is>
          <t>WL-01837</t>
        </is>
      </c>
      <c r="D273" s="37" t="n">
        <v>837</v>
      </c>
      <c r="E273" s="37" t="inlineStr">
        <is>
          <t>LP-1001</t>
        </is>
      </c>
      <c r="F273" s="37" t="inlineStr">
        <is>
          <t>Ledgport</t>
        </is>
      </c>
      <c r="G273" s="37" t="n">
        <v>40</v>
      </c>
      <c r="H273" s="37" t="inlineStr">
        <is>
          <t>COVERED</t>
        </is>
      </c>
      <c r="I273" s="37" t="inlineStr">
        <is>
          <t>SKIPPED</t>
        </is>
      </c>
      <c r="J273" s="37" t="inlineStr">
        <is>
          <t>vessel-fit</t>
        </is>
      </c>
    </row>
    <row r="274">
      <c r="A274" s="37" t="inlineStr">
        <is>
          <t>OFR-2022-0273</t>
        </is>
      </c>
      <c r="B274" s="43" t="n">
        <v>44862</v>
      </c>
      <c r="C274" s="37" t="inlineStr">
        <is>
          <t>WL-01973</t>
        </is>
      </c>
      <c r="D274" s="37" t="n">
        <v>973</v>
      </c>
      <c r="E274" s="37" t="inlineStr">
        <is>
          <t>SB-0808</t>
        </is>
      </c>
      <c r="F274" s="37" t="inlineStr">
        <is>
          <t>Salmonberry</t>
        </is>
      </c>
      <c r="G274" s="37" t="n">
        <v>28</v>
      </c>
      <c r="H274" s="37" t="inlineStr">
        <is>
          <t>OPEN</t>
        </is>
      </c>
      <c r="I274" s="37" t="inlineStr">
        <is>
          <t>EXPIRED</t>
        </is>
      </c>
    </row>
    <row r="275">
      <c r="A275" s="37" t="inlineStr">
        <is>
          <t>OFR-2022-0274</t>
        </is>
      </c>
      <c r="B275" s="43" t="n">
        <v>44840</v>
      </c>
      <c r="C275" s="37" t="inlineStr">
        <is>
          <t>WL-03245</t>
        </is>
      </c>
      <c r="D275" s="37" t="n">
        <v>2245</v>
      </c>
      <c r="E275" s="37" t="inlineStr">
        <is>
          <t>GW-0614</t>
        </is>
      </c>
      <c r="F275" s="37" t="inlineStr">
        <is>
          <t>Gullwing</t>
        </is>
      </c>
      <c r="G275" s="37" t="n">
        <v>32</v>
      </c>
      <c r="H275" s="37" t="inlineStr">
        <is>
          <t>OPEN</t>
        </is>
      </c>
      <c r="I275" s="37" t="inlineStr">
        <is>
          <t>SKIPPED</t>
        </is>
      </c>
      <c r="J275" s="37" t="inlineStr">
        <is>
          <t>vessel-fit</t>
        </is>
      </c>
    </row>
    <row r="276">
      <c r="A276" s="37" t="inlineStr">
        <is>
          <t>OFR-2022-0275</t>
        </is>
      </c>
      <c r="B276" s="43" t="n">
        <v>44847</v>
      </c>
      <c r="C276" s="37" t="inlineStr">
        <is>
          <t>WL-02695</t>
        </is>
      </c>
      <c r="D276" s="37" t="n">
        <v>1695</v>
      </c>
      <c r="E276" s="37" t="inlineStr">
        <is>
          <t>VB-0203</t>
        </is>
      </c>
      <c r="F276" s="37" t="inlineStr">
        <is>
          <t>Vessbank</t>
        </is>
      </c>
      <c r="G276" s="37" t="n">
        <v>32</v>
      </c>
      <c r="H276" s="37" t="inlineStr">
        <is>
          <t>COVERED</t>
        </is>
      </c>
      <c r="I276" s="37" t="inlineStr">
        <is>
          <t>ACCEPTED</t>
        </is>
      </c>
    </row>
    <row r="277">
      <c r="A277" s="37" t="inlineStr">
        <is>
          <t>OFR-2022-0276</t>
        </is>
      </c>
      <c r="B277" s="43" t="n">
        <v>44838</v>
      </c>
      <c r="C277" s="37" t="inlineStr">
        <is>
          <t>WL-01246</t>
        </is>
      </c>
      <c r="D277" s="37" t="n">
        <v>246</v>
      </c>
      <c r="E277" s="37" t="inlineStr">
        <is>
          <t>EW-0316</t>
        </is>
      </c>
      <c r="F277" s="37" t="inlineStr">
        <is>
          <t>Eastwey</t>
        </is>
      </c>
      <c r="G277" s="37" t="n">
        <v>36</v>
      </c>
      <c r="H277" s="37" t="inlineStr">
        <is>
          <t>OPEN</t>
        </is>
      </c>
      <c r="I277" s="37" t="inlineStr">
        <is>
          <t>SKIPPED</t>
        </is>
      </c>
      <c r="J277" s="37" t="inlineStr">
        <is>
          <t>not-current</t>
        </is>
      </c>
    </row>
    <row r="278">
      <c r="A278" s="37" t="inlineStr">
        <is>
          <t>OFR-2022-0277</t>
        </is>
      </c>
      <c r="B278" s="43" t="n">
        <v>44860</v>
      </c>
      <c r="C278" s="37" t="inlineStr">
        <is>
          <t>WL-03365</t>
        </is>
      </c>
      <c r="D278" s="37" t="n">
        <v>2365</v>
      </c>
      <c r="E278" s="37" t="inlineStr">
        <is>
          <t>LP-0720</t>
        </is>
      </c>
      <c r="F278" s="37" t="inlineStr">
        <is>
          <t>Ledgport</t>
        </is>
      </c>
      <c r="G278" s="37" t="n">
        <v>32</v>
      </c>
      <c r="H278" s="37" t="inlineStr">
        <is>
          <t>COVERED</t>
        </is>
      </c>
      <c r="I278" s="37" t="inlineStr">
        <is>
          <t>ACCEPTED</t>
        </is>
      </c>
    </row>
    <row r="279">
      <c r="A279" s="37" t="inlineStr">
        <is>
          <t>OFR-2022-0278</t>
        </is>
      </c>
      <c r="B279" s="43" t="n">
        <v>44842</v>
      </c>
      <c r="C279" s="37" t="inlineStr">
        <is>
          <t>WL-02072</t>
        </is>
      </c>
      <c r="D279" s="37" t="n">
        <v>1072</v>
      </c>
      <c r="E279" s="37" t="inlineStr">
        <is>
          <t>EW-0219</t>
        </is>
      </c>
      <c r="F279" s="37" t="inlineStr">
        <is>
          <t>Eastwey</t>
        </is>
      </c>
      <c r="G279" s="37" t="n">
        <v>70</v>
      </c>
      <c r="H279" s="37" t="inlineStr">
        <is>
          <t>OPEN</t>
        </is>
      </c>
      <c r="I279" s="37" t="inlineStr">
        <is>
          <t>SKIPPED</t>
        </is>
      </c>
      <c r="J279" s="37" t="inlineStr">
        <is>
          <t>declined-prior-offer</t>
        </is>
      </c>
    </row>
    <row r="280">
      <c r="A280" s="37" t="inlineStr">
        <is>
          <t>OFR-2022-0279</t>
        </is>
      </c>
      <c r="B280" s="43" t="n">
        <v>44861</v>
      </c>
      <c r="C280" s="37" t="inlineStr">
        <is>
          <t>WL-02843</t>
        </is>
      </c>
      <c r="D280" s="37" t="n">
        <v>1843</v>
      </c>
      <c r="E280" s="37" t="inlineStr">
        <is>
          <t>LP-0321</t>
        </is>
      </c>
      <c r="F280" s="37" t="inlineStr">
        <is>
          <t>Ledgport</t>
        </is>
      </c>
      <c r="G280" s="37" t="n">
        <v>28</v>
      </c>
      <c r="H280" s="37" t="inlineStr">
        <is>
          <t>COVERED</t>
        </is>
      </c>
      <c r="I280" s="37" t="inlineStr">
        <is>
          <t>SKIPPED</t>
        </is>
      </c>
      <c r="J280" s="37" t="inlineStr">
        <is>
          <t>vessel-fit</t>
        </is>
      </c>
    </row>
    <row r="281">
      <c r="A281" s="37" t="inlineStr">
        <is>
          <t>OFR-2022-0280</t>
        </is>
      </c>
      <c r="B281" s="43" t="n">
        <v>44842</v>
      </c>
      <c r="C281" s="37" t="inlineStr">
        <is>
          <t>WL-01283</t>
        </is>
      </c>
      <c r="D281" s="37" t="n">
        <v>283</v>
      </c>
      <c r="E281" s="37" t="inlineStr">
        <is>
          <t>SB-0306</t>
        </is>
      </c>
      <c r="F281" s="37" t="inlineStr">
        <is>
          <t>Salmonberry</t>
        </is>
      </c>
      <c r="G281" s="37" t="n">
        <v>70</v>
      </c>
      <c r="H281" s="37" t="inlineStr">
        <is>
          <t>OPEN</t>
        </is>
      </c>
      <c r="I281" s="37" t="inlineStr">
        <is>
          <t>ACCEPTED</t>
        </is>
      </c>
    </row>
    <row r="282">
      <c r="A282" s="37" t="inlineStr">
        <is>
          <t>OFR-2022-0281</t>
        </is>
      </c>
      <c r="B282" s="43" t="n">
        <v>44844</v>
      </c>
      <c r="C282" s="37" t="inlineStr">
        <is>
          <t>WL-03559</t>
        </is>
      </c>
      <c r="D282" s="37" t="n">
        <v>2559</v>
      </c>
      <c r="E282" s="37" t="inlineStr">
        <is>
          <t>GW-0808</t>
        </is>
      </c>
      <c r="F282" s="37" t="inlineStr">
        <is>
          <t>Gullwing</t>
        </is>
      </c>
      <c r="G282" s="37" t="n">
        <v>28</v>
      </c>
      <c r="H282" s="37" t="inlineStr">
        <is>
          <t>OPEN</t>
        </is>
      </c>
      <c r="I282" s="37" t="inlineStr">
        <is>
          <t>DECLINED</t>
        </is>
      </c>
    </row>
    <row r="283">
      <c r="A283" s="37" t="inlineStr">
        <is>
          <t>OFR-2022-0282</t>
        </is>
      </c>
      <c r="B283" s="43" t="n">
        <v>44849</v>
      </c>
      <c r="C283" s="37" t="inlineStr">
        <is>
          <t>WL-03204</t>
        </is>
      </c>
      <c r="D283" s="37" t="n">
        <v>2204</v>
      </c>
      <c r="E283" s="37" t="inlineStr">
        <is>
          <t>LP-1015</t>
        </is>
      </c>
      <c r="F283" s="37" t="inlineStr">
        <is>
          <t>Ledgport</t>
        </is>
      </c>
      <c r="G283" s="37" t="n">
        <v>24</v>
      </c>
      <c r="H283" s="37" t="inlineStr">
        <is>
          <t>COVERED</t>
        </is>
      </c>
      <c r="I283" s="37" t="inlineStr">
        <is>
          <t>SKIPPED</t>
        </is>
      </c>
      <c r="J283" s="37" t="inlineStr">
        <is>
          <t>not-current</t>
        </is>
      </c>
    </row>
    <row r="284">
      <c r="A284" s="37" t="inlineStr">
        <is>
          <t>OFR-2022-0283</t>
        </is>
      </c>
      <c r="B284" s="43" t="n">
        <v>44836</v>
      </c>
      <c r="C284" s="37" t="inlineStr">
        <is>
          <t>WL-03149</t>
        </is>
      </c>
      <c r="D284" s="37" t="n">
        <v>2149</v>
      </c>
      <c r="E284" s="37" t="inlineStr">
        <is>
          <t>EW-0424</t>
        </is>
      </c>
      <c r="F284" s="37" t="inlineStr">
        <is>
          <t>Eastwey</t>
        </is>
      </c>
      <c r="G284" s="37" t="n">
        <v>45</v>
      </c>
      <c r="H284" s="37" t="inlineStr">
        <is>
          <t>OPEN</t>
        </is>
      </c>
      <c r="I284" s="37" t="inlineStr">
        <is>
          <t>ACCEPTED</t>
        </is>
      </c>
    </row>
    <row r="285">
      <c r="A285" s="37" t="inlineStr">
        <is>
          <t>OFR-2022-0284</t>
        </is>
      </c>
      <c r="B285" s="43" t="n">
        <v>44840</v>
      </c>
      <c r="C285" s="37" t="inlineStr">
        <is>
          <t>WL-01405</t>
        </is>
      </c>
      <c r="D285" s="37" t="n">
        <v>405</v>
      </c>
      <c r="E285" s="37" t="inlineStr">
        <is>
          <t>SB-0421</t>
        </is>
      </c>
      <c r="F285" s="37" t="inlineStr">
        <is>
          <t>Salmonberry</t>
        </is>
      </c>
      <c r="G285" s="37" t="n">
        <v>60</v>
      </c>
      <c r="H285" s="37" t="inlineStr">
        <is>
          <t>OPEN</t>
        </is>
      </c>
      <c r="I285" s="37" t="inlineStr">
        <is>
          <t>ACCEPTED</t>
        </is>
      </c>
    </row>
    <row r="286">
      <c r="A286" s="37" t="inlineStr">
        <is>
          <t>OFR-2022-0285</t>
        </is>
      </c>
      <c r="B286" s="43" t="n">
        <v>44848</v>
      </c>
      <c r="C286" s="37" t="inlineStr">
        <is>
          <t>WL-01296</t>
        </is>
      </c>
      <c r="D286" s="37" t="n">
        <v>296</v>
      </c>
      <c r="E286" s="37" t="inlineStr">
        <is>
          <t>SB-0607</t>
        </is>
      </c>
      <c r="F286" s="37" t="inlineStr">
        <is>
          <t>Salmonberry</t>
        </is>
      </c>
      <c r="G286" s="37" t="n">
        <v>40</v>
      </c>
      <c r="H286" s="37" t="inlineStr">
        <is>
          <t>OPEN</t>
        </is>
      </c>
      <c r="I286" s="37" t="inlineStr">
        <is>
          <t>ACCEPTED</t>
        </is>
      </c>
    </row>
    <row r="287">
      <c r="A287" s="37" t="inlineStr">
        <is>
          <t>OFR-2022-0286</t>
        </is>
      </c>
      <c r="B287" s="43" t="n">
        <v>44861</v>
      </c>
      <c r="C287" s="37" t="inlineStr">
        <is>
          <t>WL-02711</t>
        </is>
      </c>
      <c r="D287" s="37" t="n">
        <v>1711</v>
      </c>
      <c r="E287" s="37" t="inlineStr">
        <is>
          <t>GW-0503</t>
        </is>
      </c>
      <c r="F287" s="37" t="inlineStr">
        <is>
          <t>Gullwing</t>
        </is>
      </c>
      <c r="G287" s="37" t="n">
        <v>32</v>
      </c>
      <c r="H287" s="37" t="inlineStr">
        <is>
          <t>OPEN</t>
        </is>
      </c>
      <c r="I287" s="37" t="inlineStr">
        <is>
          <t>PENDING</t>
        </is>
      </c>
    </row>
    <row r="288">
      <c r="A288" s="37" t="inlineStr">
        <is>
          <t>OFR-2022-0287</t>
        </is>
      </c>
      <c r="B288" s="43" t="n">
        <v>44840</v>
      </c>
      <c r="C288" s="37" t="inlineStr">
        <is>
          <t>WL-02811</t>
        </is>
      </c>
      <c r="D288" s="37" t="n">
        <v>1811</v>
      </c>
      <c r="E288" s="37" t="inlineStr">
        <is>
          <t>SB-0120</t>
        </is>
      </c>
      <c r="F288" s="37" t="inlineStr">
        <is>
          <t>Salmonberry</t>
        </is>
      </c>
      <c r="G288" s="37" t="n">
        <v>40</v>
      </c>
      <c r="H288" s="37" t="inlineStr">
        <is>
          <t>OPEN</t>
        </is>
      </c>
      <c r="I288" s="37" t="inlineStr">
        <is>
          <t>ACCEPTED</t>
        </is>
      </c>
    </row>
    <row r="289">
      <c r="A289" s="37" t="inlineStr">
        <is>
          <t>OFR-2022-0288</t>
        </is>
      </c>
      <c r="B289" s="43" t="n">
        <v>44855</v>
      </c>
      <c r="C289" s="37" t="inlineStr">
        <is>
          <t>WL-03232</t>
        </is>
      </c>
      <c r="D289" s="37" t="n">
        <v>2232</v>
      </c>
      <c r="E289" s="37" t="inlineStr">
        <is>
          <t>SB-0517</t>
        </is>
      </c>
      <c r="F289" s="37" t="inlineStr">
        <is>
          <t>Salmonberry</t>
        </is>
      </c>
      <c r="G289" s="37" t="n">
        <v>32</v>
      </c>
      <c r="H289" s="37" t="inlineStr">
        <is>
          <t>OPEN</t>
        </is>
      </c>
      <c r="I289" s="37" t="inlineStr">
        <is>
          <t>DECLINED</t>
        </is>
      </c>
    </row>
    <row r="290">
      <c r="A290" s="37" t="inlineStr">
        <is>
          <t>OFR-2022-0289</t>
        </is>
      </c>
      <c r="B290" s="43" t="n">
        <v>44862</v>
      </c>
      <c r="C290" s="37" t="inlineStr">
        <is>
          <t>WL-03352</t>
        </is>
      </c>
      <c r="D290" s="37" t="n">
        <v>2352</v>
      </c>
      <c r="E290" s="37" t="inlineStr">
        <is>
          <t>VB-0505</t>
        </is>
      </c>
      <c r="F290" s="37" t="inlineStr">
        <is>
          <t>Vessbank</t>
        </is>
      </c>
      <c r="G290" s="37" t="n">
        <v>36</v>
      </c>
      <c r="H290" s="37" t="inlineStr">
        <is>
          <t>COVERED</t>
        </is>
      </c>
      <c r="I290" s="37" t="inlineStr">
        <is>
          <t>EXPIRED</t>
        </is>
      </c>
    </row>
    <row r="291">
      <c r="A291" s="37" t="inlineStr">
        <is>
          <t>OFR-2022-0290</t>
        </is>
      </c>
      <c r="B291" s="43" t="n">
        <v>44868</v>
      </c>
      <c r="C291" s="37" t="inlineStr">
        <is>
          <t>WL-02158</t>
        </is>
      </c>
      <c r="D291" s="37" t="n">
        <v>1158</v>
      </c>
      <c r="E291" s="37" t="inlineStr">
        <is>
          <t>SB-0918</t>
        </is>
      </c>
      <c r="F291" s="37" t="inlineStr">
        <is>
          <t>Salmonberry</t>
        </is>
      </c>
      <c r="G291" s="37" t="n">
        <v>80</v>
      </c>
      <c r="H291" s="37" t="inlineStr">
        <is>
          <t>OPEN</t>
        </is>
      </c>
      <c r="I291" s="37" t="inlineStr">
        <is>
          <t>SKIPPED</t>
        </is>
      </c>
      <c r="J291" s="37" t="inlineStr">
        <is>
          <t>not-current</t>
        </is>
      </c>
    </row>
    <row r="292">
      <c r="A292" s="37" t="inlineStr">
        <is>
          <t>OFR-2022-0291</t>
        </is>
      </c>
      <c r="B292" s="43" t="n">
        <v>44877</v>
      </c>
      <c r="C292" s="37" t="inlineStr">
        <is>
          <t>WL-02448</t>
        </is>
      </c>
      <c r="D292" s="37" t="n">
        <v>1448</v>
      </c>
      <c r="E292" s="37" t="inlineStr">
        <is>
          <t>SB-0817</t>
        </is>
      </c>
      <c r="F292" s="37" t="inlineStr">
        <is>
          <t>Salmonberry</t>
        </is>
      </c>
      <c r="G292" s="37" t="n">
        <v>36</v>
      </c>
      <c r="H292" s="37" t="inlineStr">
        <is>
          <t>OPEN</t>
        </is>
      </c>
      <c r="I292" s="37" t="inlineStr">
        <is>
          <t>EXPIRED</t>
        </is>
      </c>
    </row>
    <row r="293">
      <c r="A293" s="37" t="inlineStr">
        <is>
          <t>OFR-2022-0292</t>
        </is>
      </c>
      <c r="B293" s="43" t="n">
        <v>44872</v>
      </c>
      <c r="C293" s="37" t="inlineStr">
        <is>
          <t>WL-01592</t>
        </is>
      </c>
      <c r="D293" s="37" t="n">
        <v>592</v>
      </c>
      <c r="E293" s="37" t="inlineStr">
        <is>
          <t>GW-0413</t>
        </is>
      </c>
      <c r="F293" s="37" t="inlineStr">
        <is>
          <t>Gullwing</t>
        </is>
      </c>
      <c r="G293" s="37" t="n">
        <v>60</v>
      </c>
      <c r="H293" s="37" t="inlineStr">
        <is>
          <t>OPEN</t>
        </is>
      </c>
      <c r="I293" s="37" t="inlineStr">
        <is>
          <t>DECLINED</t>
        </is>
      </c>
    </row>
    <row r="294">
      <c r="A294" s="37" t="inlineStr">
        <is>
          <t>OFR-2022-0293</t>
        </is>
      </c>
      <c r="B294" s="43" t="n">
        <v>44890</v>
      </c>
      <c r="C294" s="37" t="inlineStr">
        <is>
          <t>WL-02212</t>
        </is>
      </c>
      <c r="D294" s="37" t="n">
        <v>1212</v>
      </c>
      <c r="E294" s="37" t="inlineStr">
        <is>
          <t>LP-0813</t>
        </is>
      </c>
      <c r="F294" s="37" t="inlineStr">
        <is>
          <t>Ledgport</t>
        </is>
      </c>
      <c r="G294" s="37" t="n">
        <v>32</v>
      </c>
      <c r="H294" s="37" t="inlineStr">
        <is>
          <t>COVERED</t>
        </is>
      </c>
      <c r="I294" s="37" t="inlineStr">
        <is>
          <t>SKIPPED</t>
        </is>
      </c>
      <c r="J294" s="37" t="inlineStr">
        <is>
          <t>not-current</t>
        </is>
      </c>
    </row>
    <row r="295">
      <c r="A295" s="37" t="inlineStr">
        <is>
          <t>OFR-2022-0294</t>
        </is>
      </c>
      <c r="B295" s="43" t="n">
        <v>44891</v>
      </c>
      <c r="C295" s="37" t="inlineStr">
        <is>
          <t>WL-03850</t>
        </is>
      </c>
      <c r="D295" s="37" t="n">
        <v>2850</v>
      </c>
      <c r="E295" s="37" t="inlineStr">
        <is>
          <t>SB-0307</t>
        </is>
      </c>
      <c r="F295" s="37" t="inlineStr">
        <is>
          <t>Salmonberry</t>
        </is>
      </c>
      <c r="G295" s="37" t="n">
        <v>32</v>
      </c>
      <c r="H295" s="37" t="inlineStr">
        <is>
          <t>OPEN</t>
        </is>
      </c>
      <c r="I295" s="37" t="inlineStr">
        <is>
          <t>DECLINED_RETAINER</t>
        </is>
      </c>
    </row>
    <row r="296">
      <c r="A296" s="37" t="inlineStr">
        <is>
          <t>OFR-2022-0295</t>
        </is>
      </c>
      <c r="B296" s="43" t="n">
        <v>44874</v>
      </c>
      <c r="C296" s="37" t="inlineStr">
        <is>
          <t>WL-02898</t>
        </is>
      </c>
      <c r="D296" s="37" t="n">
        <v>1898</v>
      </c>
      <c r="E296" s="37" t="inlineStr">
        <is>
          <t>GW-0707</t>
        </is>
      </c>
      <c r="F296" s="37" t="inlineStr">
        <is>
          <t>Gullwing</t>
        </is>
      </c>
      <c r="G296" s="37" t="n">
        <v>24</v>
      </c>
      <c r="H296" s="37" t="inlineStr">
        <is>
          <t>OPEN</t>
        </is>
      </c>
      <c r="I296" s="37" t="inlineStr">
        <is>
          <t>SKIPPED</t>
        </is>
      </c>
      <c r="J296" s="37" t="inlineStr">
        <is>
          <t>vessel-fit</t>
        </is>
      </c>
    </row>
    <row r="297">
      <c r="A297" s="37" t="inlineStr">
        <is>
          <t>OFR-2022-0296</t>
        </is>
      </c>
      <c r="B297" s="43" t="n">
        <v>44868</v>
      </c>
      <c r="C297" s="37" t="inlineStr">
        <is>
          <t>WL-03263</t>
        </is>
      </c>
      <c r="D297" s="37" t="n">
        <v>2263</v>
      </c>
      <c r="E297" s="37" t="inlineStr">
        <is>
          <t>SB-0311</t>
        </is>
      </c>
      <c r="F297" s="37" t="inlineStr">
        <is>
          <t>Salmonberry</t>
        </is>
      </c>
      <c r="G297" s="37" t="n">
        <v>28</v>
      </c>
      <c r="H297" s="37" t="inlineStr">
        <is>
          <t>OPEN</t>
        </is>
      </c>
      <c r="I297" s="37" t="inlineStr">
        <is>
          <t>SKIPPED</t>
        </is>
      </c>
      <c r="J297" s="37" t="inlineStr">
        <is>
          <t>vessel-fit</t>
        </is>
      </c>
    </row>
    <row r="298">
      <c r="A298" s="37" t="inlineStr">
        <is>
          <t>OFR-2022-0297</t>
        </is>
      </c>
      <c r="B298" s="43" t="n">
        <v>44868</v>
      </c>
      <c r="C298" s="37" t="inlineStr">
        <is>
          <t>WL-01919</t>
        </is>
      </c>
      <c r="D298" s="37" t="n">
        <v>919</v>
      </c>
      <c r="E298" s="37" t="inlineStr">
        <is>
          <t>VB-1024</t>
        </is>
      </c>
      <c r="F298" s="37" t="inlineStr">
        <is>
          <t>Vessbank</t>
        </is>
      </c>
      <c r="G298" s="37" t="n">
        <v>32</v>
      </c>
      <c r="H298" s="37" t="inlineStr">
        <is>
          <t>COVERED</t>
        </is>
      </c>
      <c r="I298" s="37" t="inlineStr">
        <is>
          <t>ACCEPTED</t>
        </is>
      </c>
    </row>
    <row r="299">
      <c r="A299" s="37" t="inlineStr">
        <is>
          <t>OFR-2022-0298</t>
        </is>
      </c>
      <c r="B299" s="43" t="n">
        <v>44870</v>
      </c>
      <c r="C299" s="37" t="inlineStr">
        <is>
          <t>WL-03034</t>
        </is>
      </c>
      <c r="D299" s="37" t="n">
        <v>2034</v>
      </c>
      <c r="E299" s="37" t="inlineStr">
        <is>
          <t>EW-0804</t>
        </is>
      </c>
      <c r="F299" s="37" t="inlineStr">
        <is>
          <t>Eastwey</t>
        </is>
      </c>
      <c r="G299" s="37" t="n">
        <v>32</v>
      </c>
      <c r="H299" s="37" t="inlineStr">
        <is>
          <t>OPEN</t>
        </is>
      </c>
      <c r="I299" s="37" t="inlineStr">
        <is>
          <t>ACCEPTED</t>
        </is>
      </c>
    </row>
    <row r="300">
      <c r="A300" s="37" t="inlineStr">
        <is>
          <t>OFR-2022-0299</t>
        </is>
      </c>
      <c r="B300" s="43" t="n">
        <v>44877</v>
      </c>
      <c r="C300" s="37" t="inlineStr">
        <is>
          <t>WL-03327</t>
        </is>
      </c>
      <c r="D300" s="37" t="n">
        <v>2327</v>
      </c>
      <c r="E300" s="37" t="inlineStr">
        <is>
          <t>LP-0916</t>
        </is>
      </c>
      <c r="F300" s="37" t="inlineStr">
        <is>
          <t>Ledgport</t>
        </is>
      </c>
      <c r="G300" s="37" t="n">
        <v>36</v>
      </c>
      <c r="H300" s="37" t="inlineStr">
        <is>
          <t>COVERED</t>
        </is>
      </c>
      <c r="I300" s="37" t="inlineStr">
        <is>
          <t>ACCEPTED</t>
        </is>
      </c>
    </row>
    <row r="301">
      <c r="A301" s="37" t="inlineStr">
        <is>
          <t>OFR-2022-0300</t>
        </is>
      </c>
      <c r="B301" s="43" t="n">
        <v>44886</v>
      </c>
      <c r="C301" s="37" t="inlineStr">
        <is>
          <t>WL-01360</t>
        </is>
      </c>
      <c r="D301" s="37" t="n">
        <v>360</v>
      </c>
      <c r="E301" s="37" t="inlineStr">
        <is>
          <t>LP-0702</t>
        </is>
      </c>
      <c r="F301" s="37" t="inlineStr">
        <is>
          <t>Ledgport</t>
        </is>
      </c>
      <c r="G301" s="37" t="n">
        <v>32</v>
      </c>
      <c r="H301" s="37" t="inlineStr">
        <is>
          <t>COVERED</t>
        </is>
      </c>
      <c r="I301" s="37" t="inlineStr">
        <is>
          <t>SKIPPED</t>
        </is>
      </c>
      <c r="J301" s="37" t="inlineStr">
        <is>
          <t>vessel-fit</t>
        </is>
      </c>
    </row>
    <row r="302">
      <c r="A302" s="37" t="inlineStr">
        <is>
          <t>OFR-2022-0301</t>
        </is>
      </c>
      <c r="B302" s="43" t="n">
        <v>44887</v>
      </c>
      <c r="C302" s="37" t="inlineStr">
        <is>
          <t>WL-03068</t>
        </is>
      </c>
      <c r="D302" s="37" t="n">
        <v>2068</v>
      </c>
      <c r="E302" s="37" t="inlineStr">
        <is>
          <t>LP-0223</t>
        </is>
      </c>
      <c r="F302" s="37" t="inlineStr">
        <is>
          <t>Ledgport</t>
        </is>
      </c>
      <c r="G302" s="37" t="n">
        <v>24</v>
      </c>
      <c r="H302" s="37" t="inlineStr">
        <is>
          <t>COVERED</t>
        </is>
      </c>
      <c r="I302" s="37" t="inlineStr">
        <is>
          <t>PENDING</t>
        </is>
      </c>
    </row>
    <row r="303">
      <c r="A303" s="37" t="inlineStr">
        <is>
          <t>OFR-2022-0302</t>
        </is>
      </c>
      <c r="B303" s="43" t="n">
        <v>44871</v>
      </c>
      <c r="C303" s="37" t="inlineStr">
        <is>
          <t>WL-03295</t>
        </is>
      </c>
      <c r="D303" s="37" t="n">
        <v>2295</v>
      </c>
      <c r="E303" s="37" t="inlineStr">
        <is>
          <t>SB-0315</t>
        </is>
      </c>
      <c r="F303" s="37" t="inlineStr">
        <is>
          <t>Salmonberry</t>
        </is>
      </c>
      <c r="G303" s="37" t="n">
        <v>24</v>
      </c>
      <c r="H303" s="37" t="inlineStr">
        <is>
          <t>OPEN</t>
        </is>
      </c>
      <c r="I303" s="37" t="inlineStr">
        <is>
          <t>DECLINED</t>
        </is>
      </c>
    </row>
    <row r="304">
      <c r="A304" s="37" t="inlineStr">
        <is>
          <t>OFR-2022-0303</t>
        </is>
      </c>
      <c r="B304" s="43" t="n">
        <v>44870</v>
      </c>
      <c r="C304" s="37" t="inlineStr">
        <is>
          <t>WL-03326</t>
        </is>
      </c>
      <c r="D304" s="37" t="n">
        <v>2326</v>
      </c>
      <c r="E304" s="37" t="inlineStr">
        <is>
          <t>LP-0314</t>
        </is>
      </c>
      <c r="F304" s="37" t="inlineStr">
        <is>
          <t>Ledgport</t>
        </is>
      </c>
      <c r="G304" s="37" t="n">
        <v>32</v>
      </c>
      <c r="H304" s="37" t="inlineStr">
        <is>
          <t>COVERED</t>
        </is>
      </c>
      <c r="I304" s="37" t="inlineStr">
        <is>
          <t>ACCEPTED</t>
        </is>
      </c>
    </row>
    <row r="305">
      <c r="A305" s="37" t="inlineStr">
        <is>
          <t>OFR-2022-0304</t>
        </is>
      </c>
      <c r="B305" s="43" t="n">
        <v>44878</v>
      </c>
      <c r="C305" s="37" t="inlineStr">
        <is>
          <t>WL-01465</t>
        </is>
      </c>
      <c r="D305" s="37" t="n">
        <v>465</v>
      </c>
      <c r="E305" s="37" t="inlineStr">
        <is>
          <t>VB-0719</t>
        </is>
      </c>
      <c r="F305" s="37" t="inlineStr">
        <is>
          <t>Vessbank</t>
        </is>
      </c>
      <c r="G305" s="37" t="n">
        <v>32</v>
      </c>
      <c r="H305" s="37" t="inlineStr">
        <is>
          <t>COVERED</t>
        </is>
      </c>
      <c r="I305" s="37" t="inlineStr">
        <is>
          <t>PENDING</t>
        </is>
      </c>
    </row>
    <row r="306">
      <c r="A306" s="37" t="inlineStr">
        <is>
          <t>OFR-2022-0305</t>
        </is>
      </c>
      <c r="B306" s="43" t="n">
        <v>44886</v>
      </c>
      <c r="C306" s="37" t="inlineStr">
        <is>
          <t>WL-02645</t>
        </is>
      </c>
      <c r="D306" s="37" t="n">
        <v>1645</v>
      </c>
      <c r="E306" s="37" t="inlineStr">
        <is>
          <t>LP-0916</t>
        </is>
      </c>
      <c r="F306" s="37" t="inlineStr">
        <is>
          <t>Ledgport</t>
        </is>
      </c>
      <c r="G306" s="37" t="n">
        <v>36</v>
      </c>
      <c r="H306" s="37" t="inlineStr">
        <is>
          <t>COVERED</t>
        </is>
      </c>
      <c r="I306" s="37" t="inlineStr">
        <is>
          <t>EXPIRED</t>
        </is>
      </c>
    </row>
    <row r="307">
      <c r="A307" s="37" t="inlineStr">
        <is>
          <t>OFR-2022-0306</t>
        </is>
      </c>
      <c r="B307" s="43" t="n">
        <v>44879</v>
      </c>
      <c r="C307" s="37" t="inlineStr">
        <is>
          <t>WL-01233</t>
        </is>
      </c>
      <c r="D307" s="37" t="n">
        <v>233</v>
      </c>
      <c r="E307" s="37" t="inlineStr">
        <is>
          <t>GW-0320</t>
        </is>
      </c>
      <c r="F307" s="37" t="inlineStr">
        <is>
          <t>Gullwing</t>
        </is>
      </c>
      <c r="G307" s="37" t="n">
        <v>36</v>
      </c>
      <c r="H307" s="37" t="inlineStr">
        <is>
          <t>OPEN</t>
        </is>
      </c>
      <c r="I307" s="37" t="inlineStr">
        <is>
          <t>EXPIRED</t>
        </is>
      </c>
    </row>
    <row r="308">
      <c r="A308" s="37" t="inlineStr">
        <is>
          <t>OFR-2022-0307</t>
        </is>
      </c>
      <c r="B308" s="43" t="n">
        <v>44881</v>
      </c>
      <c r="C308" s="37" t="inlineStr">
        <is>
          <t>WL-01609</t>
        </is>
      </c>
      <c r="D308" s="37" t="n">
        <v>609</v>
      </c>
      <c r="E308" s="37" t="inlineStr">
        <is>
          <t>EW-1014</t>
        </is>
      </c>
      <c r="F308" s="37" t="inlineStr">
        <is>
          <t>Eastwey</t>
        </is>
      </c>
      <c r="G308" s="37" t="n">
        <v>40</v>
      </c>
      <c r="H308" s="37" t="inlineStr">
        <is>
          <t>OPEN</t>
        </is>
      </c>
      <c r="I308" s="37" t="inlineStr">
        <is>
          <t>ACCEPTED</t>
        </is>
      </c>
    </row>
    <row r="309">
      <c r="A309" s="37" t="inlineStr">
        <is>
          <t>OFR-2022-0308</t>
        </is>
      </c>
      <c r="B309" s="43" t="n">
        <v>44882</v>
      </c>
      <c r="C309" s="37" t="inlineStr">
        <is>
          <t>WL-03590</t>
        </is>
      </c>
      <c r="D309" s="37" t="n">
        <v>2590</v>
      </c>
      <c r="E309" s="37" t="inlineStr">
        <is>
          <t>VB-0215</t>
        </is>
      </c>
      <c r="F309" s="37" t="inlineStr">
        <is>
          <t>Vessbank</t>
        </is>
      </c>
      <c r="G309" s="37" t="n">
        <v>28</v>
      </c>
      <c r="H309" s="37" t="inlineStr">
        <is>
          <t>COVERED</t>
        </is>
      </c>
      <c r="I309" s="37" t="inlineStr">
        <is>
          <t>DECLINED_RETAINER</t>
        </is>
      </c>
    </row>
    <row r="310">
      <c r="A310" s="37" t="inlineStr">
        <is>
          <t>OFR-2022-0309</t>
        </is>
      </c>
      <c r="B310" s="43" t="n">
        <v>44879</v>
      </c>
      <c r="C310" s="37" t="inlineStr">
        <is>
          <t>WL-02860</t>
        </is>
      </c>
      <c r="D310" s="37" t="n">
        <v>1860</v>
      </c>
      <c r="E310" s="37" t="inlineStr">
        <is>
          <t>GW-0317</t>
        </is>
      </c>
      <c r="F310" s="37" t="inlineStr">
        <is>
          <t>Gullwing</t>
        </is>
      </c>
      <c r="G310" s="37" t="n">
        <v>32</v>
      </c>
      <c r="H310" s="37" t="inlineStr">
        <is>
          <t>OPEN</t>
        </is>
      </c>
      <c r="I310" s="37" t="inlineStr">
        <is>
          <t>SKIPPED</t>
        </is>
      </c>
      <c r="J310" s="37" t="inlineStr">
        <is>
          <t>preference-mismatch</t>
        </is>
      </c>
    </row>
    <row r="311">
      <c r="A311" s="37" t="inlineStr">
        <is>
          <t>OFR-2022-0310</t>
        </is>
      </c>
      <c r="B311" s="43" t="n">
        <v>44881</v>
      </c>
      <c r="C311" s="37" t="inlineStr">
        <is>
          <t>WL-01162</t>
        </is>
      </c>
      <c r="D311" s="37" t="n">
        <v>162</v>
      </c>
      <c r="E311" s="37" t="inlineStr">
        <is>
          <t>VB-0518</t>
        </is>
      </c>
      <c r="F311" s="37" t="inlineStr">
        <is>
          <t>Vessbank</t>
        </is>
      </c>
      <c r="G311" s="37" t="n">
        <v>28</v>
      </c>
      <c r="H311" s="37" t="inlineStr">
        <is>
          <t>COVERED</t>
        </is>
      </c>
      <c r="I311" s="37" t="inlineStr">
        <is>
          <t>SKIPPED</t>
        </is>
      </c>
      <c r="J311" s="37" t="inlineStr">
        <is>
          <t>not-current</t>
        </is>
      </c>
    </row>
    <row r="312">
      <c r="A312" s="37" t="inlineStr">
        <is>
          <t>OFR-2022-0311</t>
        </is>
      </c>
      <c r="B312" s="43" t="n">
        <v>44900</v>
      </c>
      <c r="C312" s="37" t="inlineStr">
        <is>
          <t>WL-01957</t>
        </is>
      </c>
      <c r="D312" s="37" t="n">
        <v>957</v>
      </c>
      <c r="E312" s="37" t="inlineStr">
        <is>
          <t>GW-0910</t>
        </is>
      </c>
      <c r="F312" s="37" t="inlineStr">
        <is>
          <t>Gullwing</t>
        </is>
      </c>
      <c r="G312" s="37" t="n">
        <v>50</v>
      </c>
      <c r="H312" s="37" t="inlineStr">
        <is>
          <t>OPEN</t>
        </is>
      </c>
      <c r="I312" s="37" t="inlineStr">
        <is>
          <t>PENDING</t>
        </is>
      </c>
    </row>
    <row r="313">
      <c r="A313" s="37" t="inlineStr">
        <is>
          <t>OFR-2022-0312</t>
        </is>
      </c>
      <c r="B313" s="43" t="n">
        <v>44915</v>
      </c>
      <c r="C313" s="37" t="inlineStr">
        <is>
          <t>WL-03470</t>
        </is>
      </c>
      <c r="D313" s="37" t="n">
        <v>2470</v>
      </c>
      <c r="E313" s="37" t="inlineStr">
        <is>
          <t>SB-0601</t>
        </is>
      </c>
      <c r="F313" s="37" t="inlineStr">
        <is>
          <t>Salmonberry</t>
        </is>
      </c>
      <c r="G313" s="37" t="n">
        <v>24</v>
      </c>
      <c r="H313" s="37" t="inlineStr">
        <is>
          <t>OPEN</t>
        </is>
      </c>
      <c r="I313" s="37" t="inlineStr">
        <is>
          <t>SKIPPED</t>
        </is>
      </c>
      <c r="J313" s="37" t="inlineStr">
        <is>
          <t>preference-mismatch</t>
        </is>
      </c>
    </row>
    <row r="314">
      <c r="A314" s="37" t="inlineStr">
        <is>
          <t>OFR-2022-0313</t>
        </is>
      </c>
      <c r="B314" s="43" t="n">
        <v>44913</v>
      </c>
      <c r="C314" s="37" t="inlineStr">
        <is>
          <t>WL-01471</t>
        </is>
      </c>
      <c r="D314" s="37" t="n">
        <v>471</v>
      </c>
      <c r="E314" s="37" t="inlineStr">
        <is>
          <t>GW-0807</t>
        </is>
      </c>
      <c r="F314" s="37" t="inlineStr">
        <is>
          <t>Gullwing</t>
        </is>
      </c>
      <c r="G314" s="37" t="n">
        <v>45</v>
      </c>
      <c r="H314" s="37" t="inlineStr">
        <is>
          <t>OPEN</t>
        </is>
      </c>
      <c r="I314" s="37" t="inlineStr">
        <is>
          <t>ACCEPTED</t>
        </is>
      </c>
    </row>
    <row r="315">
      <c r="A315" s="37" t="inlineStr">
        <is>
          <t>OFR-2022-0314</t>
        </is>
      </c>
      <c r="B315" s="43" t="n">
        <v>44909</v>
      </c>
      <c r="C315" s="37" t="inlineStr">
        <is>
          <t>WL-02070</t>
        </is>
      </c>
      <c r="D315" s="37" t="n">
        <v>1070</v>
      </c>
      <c r="E315" s="37" t="inlineStr">
        <is>
          <t>GW-0823</t>
        </is>
      </c>
      <c r="F315" s="37" t="inlineStr">
        <is>
          <t>Gullwing</t>
        </is>
      </c>
      <c r="G315" s="37" t="n">
        <v>60</v>
      </c>
      <c r="H315" s="37" t="inlineStr">
        <is>
          <t>OPEN</t>
        </is>
      </c>
      <c r="I315" s="37" t="inlineStr">
        <is>
          <t>ACCEPTED</t>
        </is>
      </c>
    </row>
    <row r="316">
      <c r="A316" s="37" t="inlineStr">
        <is>
          <t>OFR-2022-0315</t>
        </is>
      </c>
      <c r="B316" s="43" t="n">
        <v>44905</v>
      </c>
      <c r="C316" s="37" t="inlineStr">
        <is>
          <t>WL-01331</t>
        </is>
      </c>
      <c r="D316" s="37" t="n">
        <v>331</v>
      </c>
      <c r="E316" s="37" t="inlineStr">
        <is>
          <t>LP-0204</t>
        </is>
      </c>
      <c r="F316" s="37" t="inlineStr">
        <is>
          <t>Ledgport</t>
        </is>
      </c>
      <c r="G316" s="37" t="n">
        <v>28</v>
      </c>
      <c r="H316" s="37" t="inlineStr">
        <is>
          <t>COVERED</t>
        </is>
      </c>
      <c r="I316" s="37" t="inlineStr">
        <is>
          <t>ACCEPTED</t>
        </is>
      </c>
    </row>
    <row r="317">
      <c r="A317" s="37" t="inlineStr">
        <is>
          <t>OFR-2022-0316</t>
        </is>
      </c>
      <c r="B317" s="43" t="n">
        <v>44907</v>
      </c>
      <c r="C317" s="37" t="inlineStr">
        <is>
          <t>WL-01824</t>
        </is>
      </c>
      <c r="D317" s="37" t="n">
        <v>824</v>
      </c>
      <c r="E317" s="37" t="inlineStr">
        <is>
          <t>LP-0805</t>
        </is>
      </c>
      <c r="F317" s="37" t="inlineStr">
        <is>
          <t>Ledgport</t>
        </is>
      </c>
      <c r="G317" s="37" t="n">
        <v>36</v>
      </c>
      <c r="H317" s="37" t="inlineStr">
        <is>
          <t>COVERED</t>
        </is>
      </c>
      <c r="I317" s="37" t="inlineStr">
        <is>
          <t>SKIPPED</t>
        </is>
      </c>
      <c r="J317" s="37" t="inlineStr">
        <is>
          <t>not-current</t>
        </is>
      </c>
    </row>
    <row r="318">
      <c r="A318" s="37" t="inlineStr">
        <is>
          <t>OFR-2022-0317</t>
        </is>
      </c>
      <c r="B318" s="43" t="n">
        <v>44901</v>
      </c>
      <c r="C318" s="37" t="inlineStr">
        <is>
          <t>WL-02845</t>
        </is>
      </c>
      <c r="D318" s="37" t="n">
        <v>1845</v>
      </c>
      <c r="E318" s="37" t="inlineStr">
        <is>
          <t>EW-0624</t>
        </is>
      </c>
      <c r="F318" s="37" t="inlineStr">
        <is>
          <t>Eastwey</t>
        </is>
      </c>
      <c r="G318" s="37" t="n">
        <v>60</v>
      </c>
      <c r="H318" s="37" t="inlineStr">
        <is>
          <t>OPEN</t>
        </is>
      </c>
      <c r="I318" s="37" t="inlineStr">
        <is>
          <t>ACCEPTED</t>
        </is>
      </c>
    </row>
    <row r="319">
      <c r="A319" s="37" t="inlineStr">
        <is>
          <t>OFR-2022-0318</t>
        </is>
      </c>
      <c r="B319" s="43" t="n">
        <v>44923</v>
      </c>
      <c r="C319" s="37" t="inlineStr">
        <is>
          <t>WL-02646</t>
        </is>
      </c>
      <c r="D319" s="37" t="n">
        <v>1646</v>
      </c>
      <c r="E319" s="37" t="inlineStr">
        <is>
          <t>LP-0107</t>
        </is>
      </c>
      <c r="F319" s="37" t="inlineStr">
        <is>
          <t>Ledgport</t>
        </is>
      </c>
      <c r="G319" s="37" t="n">
        <v>24</v>
      </c>
      <c r="H319" s="37" t="inlineStr">
        <is>
          <t>COVERED</t>
        </is>
      </c>
      <c r="I319" s="37" t="inlineStr">
        <is>
          <t>ACCEPTED</t>
        </is>
      </c>
    </row>
    <row r="320">
      <c r="A320" s="37" t="inlineStr">
        <is>
          <t>OFR-2022-0319</t>
        </is>
      </c>
      <c r="B320" s="43" t="n">
        <v>44897</v>
      </c>
      <c r="C320" s="37" t="inlineStr">
        <is>
          <t>WL-02643</t>
        </is>
      </c>
      <c r="D320" s="37" t="n">
        <v>1643</v>
      </c>
      <c r="E320" s="37" t="inlineStr">
        <is>
          <t>EW-0420</t>
        </is>
      </c>
      <c r="F320" s="37" t="inlineStr">
        <is>
          <t>Eastwey</t>
        </is>
      </c>
      <c r="G320" s="37" t="n">
        <v>32</v>
      </c>
      <c r="H320" s="37" t="inlineStr">
        <is>
          <t>OPEN</t>
        </is>
      </c>
      <c r="I320" s="37" t="inlineStr">
        <is>
          <t>DECLINED</t>
        </is>
      </c>
    </row>
    <row r="321">
      <c r="A321" s="37" t="inlineStr">
        <is>
          <t>OFR-2022-0320</t>
        </is>
      </c>
      <c r="B321" s="43" t="n">
        <v>44900</v>
      </c>
      <c r="C321" s="37" t="inlineStr">
        <is>
          <t>WL-02696</t>
        </is>
      </c>
      <c r="D321" s="37" t="n">
        <v>1696</v>
      </c>
      <c r="E321" s="37" t="inlineStr">
        <is>
          <t>SB-0512</t>
        </is>
      </c>
      <c r="F321" s="37" t="inlineStr">
        <is>
          <t>Salmonberry</t>
        </is>
      </c>
      <c r="G321" s="37" t="n">
        <v>45</v>
      </c>
      <c r="H321" s="37" t="inlineStr">
        <is>
          <t>OPEN</t>
        </is>
      </c>
      <c r="I321" s="37" t="inlineStr">
        <is>
          <t>PENDING</t>
        </is>
      </c>
    </row>
    <row r="322">
      <c r="A322" s="37" t="inlineStr">
        <is>
          <t>OFR-2023-0321</t>
        </is>
      </c>
      <c r="B322" s="43" t="n">
        <v>44948</v>
      </c>
      <c r="C322" s="37" t="inlineStr">
        <is>
          <t>WL-03017</t>
        </is>
      </c>
      <c r="D322" s="37" t="n">
        <v>2017</v>
      </c>
      <c r="E322" s="37" t="inlineStr">
        <is>
          <t>EW-0621</t>
        </is>
      </c>
      <c r="F322" s="37" t="inlineStr">
        <is>
          <t>Eastwey</t>
        </is>
      </c>
      <c r="G322" s="37" t="n">
        <v>80</v>
      </c>
      <c r="H322" s="37" t="inlineStr">
        <is>
          <t>OPEN</t>
        </is>
      </c>
      <c r="I322" s="37" t="inlineStr">
        <is>
          <t>ACCEPTED</t>
        </is>
      </c>
    </row>
    <row r="323">
      <c r="A323" s="37" t="inlineStr">
        <is>
          <t>OFR-2023-0322</t>
        </is>
      </c>
      <c r="B323" s="43" t="n">
        <v>44932</v>
      </c>
      <c r="C323" s="37" t="inlineStr">
        <is>
          <t>WL-02119</t>
        </is>
      </c>
      <c r="D323" s="37" t="n">
        <v>1119</v>
      </c>
      <c r="E323" s="37" t="inlineStr">
        <is>
          <t>EW-0621</t>
        </is>
      </c>
      <c r="F323" s="37" t="inlineStr">
        <is>
          <t>Eastwey</t>
        </is>
      </c>
      <c r="G323" s="37" t="n">
        <v>80</v>
      </c>
      <c r="H323" s="37" t="inlineStr">
        <is>
          <t>OPEN</t>
        </is>
      </c>
      <c r="I323" s="37" t="inlineStr">
        <is>
          <t>ACCEPTED</t>
        </is>
      </c>
    </row>
    <row r="324">
      <c r="A324" s="37" t="inlineStr">
        <is>
          <t>OFR-2023-0323</t>
        </is>
      </c>
      <c r="B324" s="43" t="n">
        <v>44934</v>
      </c>
      <c r="C324" s="37" t="inlineStr">
        <is>
          <t>WL-03099</t>
        </is>
      </c>
      <c r="D324" s="37" t="n">
        <v>2099</v>
      </c>
      <c r="E324" s="37" t="inlineStr">
        <is>
          <t>LP-0317</t>
        </is>
      </c>
      <c r="F324" s="37" t="inlineStr">
        <is>
          <t>Ledgport</t>
        </is>
      </c>
      <c r="G324" s="37" t="n">
        <v>40</v>
      </c>
      <c r="H324" s="37" t="inlineStr">
        <is>
          <t>COVERED</t>
        </is>
      </c>
      <c r="I324" s="37" t="inlineStr">
        <is>
          <t>SKIPPED</t>
        </is>
      </c>
      <c r="J324" s="37" t="inlineStr">
        <is>
          <t>vessel-fit</t>
        </is>
      </c>
    </row>
    <row r="325">
      <c r="A325" s="37" t="inlineStr">
        <is>
          <t>OFR-2023-0324</t>
        </is>
      </c>
      <c r="B325" s="43" t="n">
        <v>44934</v>
      </c>
      <c r="C325" s="37" t="inlineStr">
        <is>
          <t>WL-02685</t>
        </is>
      </c>
      <c r="D325" s="37" t="n">
        <v>1685</v>
      </c>
      <c r="E325" s="37" t="inlineStr">
        <is>
          <t>LP-0906</t>
        </is>
      </c>
      <c r="F325" s="37" t="inlineStr">
        <is>
          <t>Ledgport</t>
        </is>
      </c>
      <c r="G325" s="37" t="n">
        <v>28</v>
      </c>
      <c r="H325" s="37" t="inlineStr">
        <is>
          <t>COVERED</t>
        </is>
      </c>
      <c r="I325" s="37" t="inlineStr">
        <is>
          <t>SKIPPED</t>
        </is>
      </c>
      <c r="J325" s="37" t="inlineStr">
        <is>
          <t>vessel-fit</t>
        </is>
      </c>
    </row>
    <row r="326">
      <c r="A326" s="37" t="inlineStr">
        <is>
          <t>OFR-2023-0325</t>
        </is>
      </c>
      <c r="B326" s="43" t="n">
        <v>44936</v>
      </c>
      <c r="C326" s="37" t="inlineStr">
        <is>
          <t>WL-02143</t>
        </is>
      </c>
      <c r="D326" s="37" t="n">
        <v>1143</v>
      </c>
      <c r="E326" s="37" t="inlineStr">
        <is>
          <t>EW-1015</t>
        </is>
      </c>
      <c r="F326" s="37" t="inlineStr">
        <is>
          <t>Eastwey</t>
        </is>
      </c>
      <c r="G326" s="37" t="n">
        <v>24</v>
      </c>
      <c r="H326" s="37" t="inlineStr">
        <is>
          <t>OPEN</t>
        </is>
      </c>
      <c r="I326" s="37" t="inlineStr">
        <is>
          <t>DECLINED</t>
        </is>
      </c>
    </row>
    <row r="327">
      <c r="A327" s="37" t="inlineStr">
        <is>
          <t>OFR-2023-0326</t>
        </is>
      </c>
      <c r="B327" s="43" t="n">
        <v>44952</v>
      </c>
      <c r="C327" s="37" t="inlineStr">
        <is>
          <t>WL-01298</t>
        </is>
      </c>
      <c r="D327" s="37" t="n">
        <v>298</v>
      </c>
      <c r="E327" s="37" t="inlineStr">
        <is>
          <t>GW-0708</t>
        </is>
      </c>
      <c r="F327" s="37" t="inlineStr">
        <is>
          <t>Gullwing</t>
        </is>
      </c>
      <c r="G327" s="37" t="n">
        <v>70</v>
      </c>
      <c r="H327" s="37" t="inlineStr">
        <is>
          <t>OPEN</t>
        </is>
      </c>
      <c r="I327" s="37" t="inlineStr">
        <is>
          <t>SKIPPED</t>
        </is>
      </c>
      <c r="J327" s="37" t="inlineStr">
        <is>
          <t>vessel-fit</t>
        </is>
      </c>
    </row>
    <row r="328">
      <c r="A328" s="37" t="inlineStr">
        <is>
          <t>OFR-2023-0327</t>
        </is>
      </c>
      <c r="B328" s="43" t="n">
        <v>44933</v>
      </c>
      <c r="C328" s="37" t="inlineStr">
        <is>
          <t>WL-02085</t>
        </is>
      </c>
      <c r="D328" s="37" t="n">
        <v>1085</v>
      </c>
      <c r="E328" s="37" t="inlineStr">
        <is>
          <t>SB-0917</t>
        </is>
      </c>
      <c r="F328" s="37" t="inlineStr">
        <is>
          <t>Salmonberry</t>
        </is>
      </c>
      <c r="G328" s="37" t="n">
        <v>45</v>
      </c>
      <c r="H328" s="37" t="inlineStr">
        <is>
          <t>OPEN</t>
        </is>
      </c>
      <c r="I328" s="37" t="inlineStr">
        <is>
          <t>EXPIRED</t>
        </is>
      </c>
    </row>
    <row r="329">
      <c r="A329" s="37" t="inlineStr">
        <is>
          <t>OFR-2023-0328</t>
        </is>
      </c>
      <c r="B329" s="43" t="n">
        <v>44941</v>
      </c>
      <c r="C329" s="37" t="inlineStr">
        <is>
          <t>WL-01372</t>
        </is>
      </c>
      <c r="D329" s="37" t="n">
        <v>372</v>
      </c>
      <c r="E329" s="37" t="inlineStr">
        <is>
          <t>GW-0610</t>
        </is>
      </c>
      <c r="F329" s="37" t="inlineStr">
        <is>
          <t>Gullwing</t>
        </is>
      </c>
      <c r="G329" s="37" t="n">
        <v>32</v>
      </c>
      <c r="H329" s="37" t="inlineStr">
        <is>
          <t>OPEN</t>
        </is>
      </c>
      <c r="I329" s="37" t="inlineStr">
        <is>
          <t>DECLINED</t>
        </is>
      </c>
    </row>
    <row r="330">
      <c r="A330" s="37" t="inlineStr">
        <is>
          <t>OFR-2023-0329</t>
        </is>
      </c>
      <c r="B330" s="43" t="n">
        <v>44927</v>
      </c>
      <c r="C330" s="37" t="inlineStr">
        <is>
          <t>WL-02020</t>
        </is>
      </c>
      <c r="D330" s="37" t="n">
        <v>1020</v>
      </c>
      <c r="E330" s="37" t="inlineStr">
        <is>
          <t>EW-0101</t>
        </is>
      </c>
      <c r="F330" s="37" t="inlineStr">
        <is>
          <t>Eastwey</t>
        </is>
      </c>
      <c r="G330" s="37" t="n">
        <v>80</v>
      </c>
      <c r="H330" s="37" t="inlineStr">
        <is>
          <t>OPEN</t>
        </is>
      </c>
      <c r="I330" s="37" t="inlineStr">
        <is>
          <t>ACCEPTED</t>
        </is>
      </c>
    </row>
    <row r="331">
      <c r="A331" s="37" t="inlineStr">
        <is>
          <t>OFR-2023-0330</t>
        </is>
      </c>
      <c r="B331" s="43" t="n">
        <v>44940</v>
      </c>
      <c r="C331" s="37" t="inlineStr">
        <is>
          <t>WL-02632</t>
        </is>
      </c>
      <c r="D331" s="37" t="n">
        <v>1632</v>
      </c>
      <c r="E331" s="37" t="inlineStr">
        <is>
          <t>SB-0210</t>
        </is>
      </c>
      <c r="F331" s="37" t="inlineStr">
        <is>
          <t>Salmonberry</t>
        </is>
      </c>
      <c r="G331" s="37" t="n">
        <v>24</v>
      </c>
      <c r="H331" s="37" t="inlineStr">
        <is>
          <t>OPEN</t>
        </is>
      </c>
      <c r="I331" s="37" t="inlineStr">
        <is>
          <t>EXPIRED</t>
        </is>
      </c>
    </row>
    <row r="332">
      <c r="A332" s="37" t="inlineStr">
        <is>
          <t>OFR-2023-0331</t>
        </is>
      </c>
      <c r="B332" s="43" t="n">
        <v>44943</v>
      </c>
      <c r="C332" s="37" t="inlineStr">
        <is>
          <t>WL-03173</t>
        </is>
      </c>
      <c r="D332" s="37" t="n">
        <v>2173</v>
      </c>
      <c r="E332" s="37" t="inlineStr">
        <is>
          <t>SB-0803</t>
        </is>
      </c>
      <c r="F332" s="37" t="inlineStr">
        <is>
          <t>Salmonberry</t>
        </is>
      </c>
      <c r="G332" s="37" t="n">
        <v>32</v>
      </c>
      <c r="H332" s="37" t="inlineStr">
        <is>
          <t>OPEN</t>
        </is>
      </c>
      <c r="I332" s="37" t="inlineStr">
        <is>
          <t>ACCEPTED</t>
        </is>
      </c>
    </row>
    <row r="333">
      <c r="A333" s="37" t="inlineStr">
        <is>
          <t>OFR-2023-0332</t>
        </is>
      </c>
      <c r="B333" s="43" t="n">
        <v>44941</v>
      </c>
      <c r="C333" s="37" t="inlineStr">
        <is>
          <t>WL-01610</t>
        </is>
      </c>
      <c r="D333" s="37" t="n">
        <v>610</v>
      </c>
      <c r="E333" s="37" t="inlineStr">
        <is>
          <t>LP-0408</t>
        </is>
      </c>
      <c r="F333" s="37" t="inlineStr">
        <is>
          <t>Ledgport</t>
        </is>
      </c>
      <c r="G333" s="37" t="n">
        <v>40</v>
      </c>
      <c r="H333" s="37" t="inlineStr">
        <is>
          <t>COVERED</t>
        </is>
      </c>
      <c r="I333" s="37" t="inlineStr">
        <is>
          <t>PENDING</t>
        </is>
      </c>
    </row>
    <row r="334">
      <c r="A334" s="37" t="inlineStr">
        <is>
          <t>OFR-2023-0333</t>
        </is>
      </c>
      <c r="B334" s="43" t="n">
        <v>44953</v>
      </c>
      <c r="C334" s="37" t="inlineStr">
        <is>
          <t>WL-03901</t>
        </is>
      </c>
      <c r="D334" s="37" t="n">
        <v>2901</v>
      </c>
      <c r="E334" s="37" t="inlineStr">
        <is>
          <t>GW-0304</t>
        </is>
      </c>
      <c r="F334" s="37" t="inlineStr">
        <is>
          <t>Gullwing</t>
        </is>
      </c>
      <c r="G334" s="37" t="n">
        <v>32</v>
      </c>
      <c r="H334" s="37" t="inlineStr">
        <is>
          <t>OPEN</t>
        </is>
      </c>
      <c r="I334" s="37" t="inlineStr">
        <is>
          <t>EXPIRED</t>
        </is>
      </c>
    </row>
    <row r="335">
      <c r="A335" s="37" t="inlineStr">
        <is>
          <t>OFR-2023-0334</t>
        </is>
      </c>
      <c r="B335" s="43" t="n">
        <v>44934</v>
      </c>
      <c r="C335" s="37" t="inlineStr">
        <is>
          <t>WL-01959</t>
        </is>
      </c>
      <c r="D335" s="37" t="n">
        <v>959</v>
      </c>
      <c r="E335" s="37" t="inlineStr">
        <is>
          <t>VB-1023</t>
        </is>
      </c>
      <c r="F335" s="37" t="inlineStr">
        <is>
          <t>Vessbank</t>
        </is>
      </c>
      <c r="G335" s="37" t="n">
        <v>28</v>
      </c>
      <c r="H335" s="37" t="inlineStr">
        <is>
          <t>COVERED</t>
        </is>
      </c>
      <c r="I335" s="37" t="inlineStr">
        <is>
          <t>SKIPPED</t>
        </is>
      </c>
      <c r="J335" s="37" t="inlineStr">
        <is>
          <t>not-current</t>
        </is>
      </c>
    </row>
    <row r="336">
      <c r="A336" s="37" t="inlineStr">
        <is>
          <t>OFR-2023-0335</t>
        </is>
      </c>
      <c r="B336" s="43" t="n">
        <v>44935</v>
      </c>
      <c r="C336" s="37" t="inlineStr">
        <is>
          <t>WL-02962</t>
        </is>
      </c>
      <c r="D336" s="37" t="n">
        <v>1962</v>
      </c>
      <c r="E336" s="37" t="inlineStr">
        <is>
          <t>SB-0821</t>
        </is>
      </c>
      <c r="F336" s="37" t="inlineStr">
        <is>
          <t>Salmonberry</t>
        </is>
      </c>
      <c r="G336" s="37" t="n">
        <v>36</v>
      </c>
      <c r="H336" s="37" t="inlineStr">
        <is>
          <t>OPEN</t>
        </is>
      </c>
      <c r="I336" s="37" t="inlineStr">
        <is>
          <t>ACCEPTED</t>
        </is>
      </c>
    </row>
    <row r="337">
      <c r="A337" s="37" t="inlineStr">
        <is>
          <t>OFR-2023-0336</t>
        </is>
      </c>
      <c r="B337" s="43" t="n">
        <v>44944</v>
      </c>
      <c r="C337" s="37" t="inlineStr">
        <is>
          <t>WL-01594</t>
        </is>
      </c>
      <c r="D337" s="37" t="n">
        <v>594</v>
      </c>
      <c r="E337" s="37" t="inlineStr">
        <is>
          <t>EW-0311</t>
        </is>
      </c>
      <c r="F337" s="37" t="inlineStr">
        <is>
          <t>Eastwey</t>
        </is>
      </c>
      <c r="G337" s="37" t="n">
        <v>32</v>
      </c>
      <c r="H337" s="37" t="inlineStr">
        <is>
          <t>OPEN</t>
        </is>
      </c>
      <c r="I337" s="37" t="inlineStr">
        <is>
          <t>PENDING</t>
        </is>
      </c>
    </row>
    <row r="338">
      <c r="A338" s="37" t="inlineStr">
        <is>
          <t>OFR-2023-0337</t>
        </is>
      </c>
      <c r="B338" s="43" t="n">
        <v>44944</v>
      </c>
      <c r="C338" s="37" t="inlineStr">
        <is>
          <t>WL-01341</t>
        </is>
      </c>
      <c r="D338" s="37" t="n">
        <v>341</v>
      </c>
      <c r="E338" s="37" t="inlineStr">
        <is>
          <t>GW-0507</t>
        </is>
      </c>
      <c r="F338" s="37" t="inlineStr">
        <is>
          <t>Gullwing</t>
        </is>
      </c>
      <c r="G338" s="37" t="n">
        <v>24</v>
      </c>
      <c r="H338" s="37" t="inlineStr">
        <is>
          <t>OPEN</t>
        </is>
      </c>
      <c r="I338" s="37" t="inlineStr">
        <is>
          <t>ACCEPTED</t>
        </is>
      </c>
    </row>
    <row r="339">
      <c r="A339" s="37" t="inlineStr">
        <is>
          <t>OFR-2023-0338</t>
        </is>
      </c>
      <c r="B339" s="43" t="n">
        <v>44936</v>
      </c>
      <c r="C339" s="37" t="inlineStr">
        <is>
          <t>WL-01695</t>
        </is>
      </c>
      <c r="D339" s="37" t="n">
        <v>695</v>
      </c>
      <c r="E339" s="37" t="inlineStr">
        <is>
          <t>EW-0203</t>
        </is>
      </c>
      <c r="F339" s="37" t="inlineStr">
        <is>
          <t>Eastwey</t>
        </is>
      </c>
      <c r="G339" s="37" t="n">
        <v>28</v>
      </c>
      <c r="H339" s="37" t="inlineStr">
        <is>
          <t>OPEN</t>
        </is>
      </c>
      <c r="I339" s="37" t="inlineStr">
        <is>
          <t>SKIPPED</t>
        </is>
      </c>
      <c r="J339" s="37" t="inlineStr">
        <is>
          <t>vessel-fit</t>
        </is>
      </c>
    </row>
    <row r="340">
      <c r="A340" s="37" t="inlineStr">
        <is>
          <t>OFR-2023-0339</t>
        </is>
      </c>
      <c r="B340" s="43" t="n">
        <v>44934</v>
      </c>
      <c r="C340" s="37" t="inlineStr">
        <is>
          <t>WL-01471</t>
        </is>
      </c>
      <c r="D340" s="37" t="n">
        <v>471</v>
      </c>
      <c r="E340" s="37" t="inlineStr">
        <is>
          <t>EW-0707</t>
        </is>
      </c>
      <c r="F340" s="37" t="inlineStr">
        <is>
          <t>Eastwey</t>
        </is>
      </c>
      <c r="G340" s="37" t="n">
        <v>28</v>
      </c>
      <c r="H340" s="37" t="inlineStr">
        <is>
          <t>OPEN</t>
        </is>
      </c>
      <c r="I340" s="37" t="inlineStr">
        <is>
          <t>DECLINED</t>
        </is>
      </c>
    </row>
    <row r="341">
      <c r="A341" s="37" t="inlineStr">
        <is>
          <t>OFR-2023-0340</t>
        </is>
      </c>
      <c r="B341" s="43" t="n">
        <v>44981</v>
      </c>
      <c r="C341" s="37" t="inlineStr">
        <is>
          <t>WL-03036</t>
        </is>
      </c>
      <c r="D341" s="37" t="n">
        <v>2036</v>
      </c>
      <c r="E341" s="37" t="inlineStr">
        <is>
          <t>GW-0214</t>
        </is>
      </c>
      <c r="F341" s="37" t="inlineStr">
        <is>
          <t>Gullwing</t>
        </is>
      </c>
      <c r="G341" s="37" t="n">
        <v>24</v>
      </c>
      <c r="H341" s="37" t="inlineStr">
        <is>
          <t>OPEN</t>
        </is>
      </c>
      <c r="I341" s="37" t="inlineStr">
        <is>
          <t>WITHDRAWN</t>
        </is>
      </c>
    </row>
    <row r="342">
      <c r="A342" s="37" t="inlineStr">
        <is>
          <t>OFR-2023-0341</t>
        </is>
      </c>
      <c r="B342" s="43" t="n">
        <v>44962</v>
      </c>
      <c r="C342" s="37" t="inlineStr">
        <is>
          <t>WL-03031</t>
        </is>
      </c>
      <c r="D342" s="37" t="n">
        <v>2031</v>
      </c>
      <c r="E342" s="37" t="inlineStr">
        <is>
          <t>SB-0218</t>
        </is>
      </c>
      <c r="F342" s="37" t="inlineStr">
        <is>
          <t>Salmonberry</t>
        </is>
      </c>
      <c r="G342" s="37" t="n">
        <v>50</v>
      </c>
      <c r="H342" s="37" t="inlineStr">
        <is>
          <t>OPEN</t>
        </is>
      </c>
      <c r="I342" s="37" t="inlineStr">
        <is>
          <t>ACCEPTED</t>
        </is>
      </c>
    </row>
    <row r="343">
      <c r="A343" s="37" t="inlineStr">
        <is>
          <t>OFR-2023-0342</t>
        </is>
      </c>
      <c r="B343" s="43" t="n">
        <v>44979</v>
      </c>
      <c r="C343" s="37" t="inlineStr">
        <is>
          <t>WL-01614</t>
        </is>
      </c>
      <c r="D343" s="37" t="n">
        <v>614</v>
      </c>
      <c r="E343" s="37" t="inlineStr">
        <is>
          <t>LP-0601</t>
        </is>
      </c>
      <c r="F343" s="37" t="inlineStr">
        <is>
          <t>Ledgport</t>
        </is>
      </c>
      <c r="G343" s="37" t="n">
        <v>24</v>
      </c>
      <c r="H343" s="37" t="inlineStr">
        <is>
          <t>COVERED</t>
        </is>
      </c>
      <c r="I343" s="37" t="inlineStr">
        <is>
          <t>EXPIRED</t>
        </is>
      </c>
    </row>
    <row r="344">
      <c r="A344" s="37" t="inlineStr">
        <is>
          <t>OFR-2023-0343</t>
        </is>
      </c>
      <c r="B344" s="43" t="n">
        <v>44975</v>
      </c>
      <c r="C344" s="37" t="inlineStr">
        <is>
          <t>WL-02565</t>
        </is>
      </c>
      <c r="D344" s="37" t="n">
        <v>1565</v>
      </c>
      <c r="E344" s="37" t="inlineStr">
        <is>
          <t>GW-0116</t>
        </is>
      </c>
      <c r="F344" s="37" t="inlineStr">
        <is>
          <t>Gullwing</t>
        </is>
      </c>
      <c r="G344" s="37" t="n">
        <v>32</v>
      </c>
      <c r="H344" s="37" t="inlineStr">
        <is>
          <t>OPEN</t>
        </is>
      </c>
      <c r="I344" s="37" t="inlineStr">
        <is>
          <t>SKIPPED</t>
        </is>
      </c>
      <c r="J344" s="37" t="inlineStr">
        <is>
          <t>vessel-fit</t>
        </is>
      </c>
    </row>
    <row r="345">
      <c r="A345" s="37" t="inlineStr">
        <is>
          <t>OFR-2023-0344</t>
        </is>
      </c>
      <c r="B345" s="43" t="n">
        <v>44984</v>
      </c>
      <c r="C345" s="37" t="inlineStr">
        <is>
          <t>WL-02566</t>
        </is>
      </c>
      <c r="D345" s="37" t="n">
        <v>1566</v>
      </c>
      <c r="E345" s="37" t="inlineStr">
        <is>
          <t>GW-0402</t>
        </is>
      </c>
      <c r="F345" s="37" t="inlineStr">
        <is>
          <t>Gullwing</t>
        </is>
      </c>
      <c r="G345" s="37" t="n">
        <v>24</v>
      </c>
      <c r="H345" s="37" t="inlineStr">
        <is>
          <t>OPEN</t>
        </is>
      </c>
      <c r="I345" s="37" t="inlineStr">
        <is>
          <t>ACCEPTED</t>
        </is>
      </c>
    </row>
    <row r="346">
      <c r="A346" s="37" t="inlineStr">
        <is>
          <t>OFR-2023-0345</t>
        </is>
      </c>
      <c r="B346" s="43" t="n">
        <v>44976</v>
      </c>
      <c r="C346" s="37" t="inlineStr">
        <is>
          <t>WL-02664</t>
        </is>
      </c>
      <c r="D346" s="37" t="n">
        <v>1664</v>
      </c>
      <c r="E346" s="37" t="inlineStr">
        <is>
          <t>GW-0220</t>
        </is>
      </c>
      <c r="F346" s="37" t="inlineStr">
        <is>
          <t>Gullwing</t>
        </is>
      </c>
      <c r="G346" s="37" t="n">
        <v>60</v>
      </c>
      <c r="H346" s="37" t="inlineStr">
        <is>
          <t>OPEN</t>
        </is>
      </c>
      <c r="I346" s="37" t="inlineStr">
        <is>
          <t>SKIPPED</t>
        </is>
      </c>
      <c r="J346" s="37" t="inlineStr">
        <is>
          <t>preference-mismatch</t>
        </is>
      </c>
    </row>
    <row r="347">
      <c r="A347" s="37" t="inlineStr">
        <is>
          <t>OFR-2023-0346</t>
        </is>
      </c>
      <c r="B347" s="43" t="n">
        <v>44967</v>
      </c>
      <c r="C347" s="37" t="inlineStr">
        <is>
          <t>WL-03582</t>
        </is>
      </c>
      <c r="D347" s="37" t="n">
        <v>2582</v>
      </c>
      <c r="E347" s="37" t="inlineStr">
        <is>
          <t>GW-0615</t>
        </is>
      </c>
      <c r="F347" s="37" t="inlineStr">
        <is>
          <t>Gullwing</t>
        </is>
      </c>
      <c r="G347" s="37" t="n">
        <v>24</v>
      </c>
      <c r="H347" s="37" t="inlineStr">
        <is>
          <t>OPEN</t>
        </is>
      </c>
      <c r="I347" s="37" t="inlineStr">
        <is>
          <t>SKIPPED</t>
        </is>
      </c>
      <c r="J347" s="37" t="inlineStr">
        <is>
          <t>not-current</t>
        </is>
      </c>
    </row>
    <row r="348">
      <c r="A348" s="37" t="inlineStr">
        <is>
          <t>OFR-2023-0347</t>
        </is>
      </c>
      <c r="B348" s="43" t="n">
        <v>44959</v>
      </c>
      <c r="C348" s="37" t="inlineStr">
        <is>
          <t>WL-02469</t>
        </is>
      </c>
      <c r="D348" s="37" t="n">
        <v>1469</v>
      </c>
      <c r="E348" s="37" t="inlineStr">
        <is>
          <t>GW-0505</t>
        </is>
      </c>
      <c r="F348" s="37" t="inlineStr">
        <is>
          <t>Gullwing</t>
        </is>
      </c>
      <c r="G348" s="37" t="n">
        <v>60</v>
      </c>
      <c r="H348" s="37" t="inlineStr">
        <is>
          <t>OPEN</t>
        </is>
      </c>
      <c r="I348" s="37" t="inlineStr">
        <is>
          <t>ACCEPTED</t>
        </is>
      </c>
    </row>
    <row r="349">
      <c r="A349" s="37" t="inlineStr">
        <is>
          <t>OFR-2023-0348</t>
        </is>
      </c>
      <c r="B349" s="43" t="n">
        <v>44966</v>
      </c>
      <c r="C349" s="37" t="inlineStr">
        <is>
          <t>WL-02972</t>
        </is>
      </c>
      <c r="D349" s="37" t="n">
        <v>1972</v>
      </c>
      <c r="E349" s="37" t="inlineStr">
        <is>
          <t>LP-0106</t>
        </is>
      </c>
      <c r="F349" s="37" t="inlineStr">
        <is>
          <t>Ledgport</t>
        </is>
      </c>
      <c r="G349" s="37" t="n">
        <v>24</v>
      </c>
      <c r="H349" s="37" t="inlineStr">
        <is>
          <t>COVERED</t>
        </is>
      </c>
      <c r="I349" s="37" t="inlineStr">
        <is>
          <t>ACCEPTED</t>
        </is>
      </c>
    </row>
    <row r="350">
      <c r="A350" s="37" t="inlineStr">
        <is>
          <t>OFR-2023-0349</t>
        </is>
      </c>
      <c r="B350" s="43" t="n">
        <v>44959</v>
      </c>
      <c r="C350" s="37" t="inlineStr">
        <is>
          <t>WL-01866</t>
        </is>
      </c>
      <c r="D350" s="37" t="n">
        <v>866</v>
      </c>
      <c r="E350" s="37" t="inlineStr">
        <is>
          <t>VB-0909</t>
        </is>
      </c>
      <c r="F350" s="37" t="inlineStr">
        <is>
          <t>Vessbank</t>
        </is>
      </c>
      <c r="G350" s="37" t="n">
        <v>24</v>
      </c>
      <c r="H350" s="37" t="inlineStr">
        <is>
          <t>COVERED</t>
        </is>
      </c>
      <c r="I350" s="37" t="inlineStr">
        <is>
          <t>ACCEPTED</t>
        </is>
      </c>
    </row>
    <row r="351">
      <c r="A351" s="37" t="inlineStr">
        <is>
          <t>OFR-2023-0350</t>
        </is>
      </c>
      <c r="B351" s="43" t="n">
        <v>44974</v>
      </c>
      <c r="C351" s="37" t="inlineStr">
        <is>
          <t>WL-02918</t>
        </is>
      </c>
      <c r="D351" s="37" t="n">
        <v>1918</v>
      </c>
      <c r="E351" s="37" t="inlineStr">
        <is>
          <t>LP-1116</t>
        </is>
      </c>
      <c r="F351" s="37" t="inlineStr">
        <is>
          <t>Ledgport</t>
        </is>
      </c>
      <c r="G351" s="37" t="n">
        <v>28</v>
      </c>
      <c r="H351" s="37" t="inlineStr">
        <is>
          <t>COVERED</t>
        </is>
      </c>
      <c r="I351" s="37" t="inlineStr">
        <is>
          <t>SKIPPED</t>
        </is>
      </c>
      <c r="J351" s="37" t="inlineStr">
        <is>
          <t>declined-prior-offer</t>
        </is>
      </c>
    </row>
    <row r="352">
      <c r="A352" s="37" t="inlineStr">
        <is>
          <t>OFR-2023-0351</t>
        </is>
      </c>
      <c r="B352" s="43" t="n">
        <v>44981</v>
      </c>
      <c r="C352" s="37" t="inlineStr">
        <is>
          <t>WL-01029</t>
        </is>
      </c>
      <c r="D352" s="37" t="n">
        <v>29</v>
      </c>
      <c r="E352" s="37" t="inlineStr">
        <is>
          <t>SB-0717</t>
        </is>
      </c>
      <c r="F352" s="37" t="inlineStr">
        <is>
          <t>Salmonberry</t>
        </is>
      </c>
      <c r="G352" s="37" t="n">
        <v>60</v>
      </c>
      <c r="H352" s="37" t="inlineStr">
        <is>
          <t>OPEN</t>
        </is>
      </c>
      <c r="I352" s="37" t="inlineStr">
        <is>
          <t>DECLINED_RETAINER</t>
        </is>
      </c>
    </row>
    <row r="353">
      <c r="A353" s="37" t="inlineStr">
        <is>
          <t>OFR-2023-0352</t>
        </is>
      </c>
      <c r="B353" s="43" t="n">
        <v>44984</v>
      </c>
      <c r="C353" s="37" t="inlineStr">
        <is>
          <t>WL-02657</t>
        </is>
      </c>
      <c r="D353" s="37" t="n">
        <v>1657</v>
      </c>
      <c r="E353" s="37" t="inlineStr">
        <is>
          <t>SB-0714</t>
        </is>
      </c>
      <c r="F353" s="37" t="inlineStr">
        <is>
          <t>Salmonberry</t>
        </is>
      </c>
      <c r="G353" s="37" t="n">
        <v>70</v>
      </c>
      <c r="H353" s="37" t="inlineStr">
        <is>
          <t>OPEN</t>
        </is>
      </c>
      <c r="I353" s="37" t="inlineStr">
        <is>
          <t>ACCEPTED</t>
        </is>
      </c>
    </row>
    <row r="354">
      <c r="A354" s="37" t="inlineStr">
        <is>
          <t>OFR-2023-0353</t>
        </is>
      </c>
      <c r="B354" s="43" t="n">
        <v>44975</v>
      </c>
      <c r="C354" s="37" t="inlineStr">
        <is>
          <t>WL-03905</t>
        </is>
      </c>
      <c r="D354" s="37" t="n">
        <v>2905</v>
      </c>
      <c r="E354" s="37" t="inlineStr">
        <is>
          <t>EW-0807</t>
        </is>
      </c>
      <c r="F354" s="37" t="inlineStr">
        <is>
          <t>Eastwey</t>
        </is>
      </c>
      <c r="G354" s="37" t="n">
        <v>28</v>
      </c>
      <c r="H354" s="37" t="inlineStr">
        <is>
          <t>OPEN</t>
        </is>
      </c>
      <c r="I354" s="37" t="inlineStr">
        <is>
          <t>ACCEPTED</t>
        </is>
      </c>
    </row>
    <row r="355">
      <c r="A355" s="37" t="inlineStr">
        <is>
          <t>OFR-2023-0354</t>
        </is>
      </c>
      <c r="B355" s="43" t="n">
        <v>44966</v>
      </c>
      <c r="C355" s="37" t="inlineStr">
        <is>
          <t>WL-03677</t>
        </is>
      </c>
      <c r="D355" s="37" t="n">
        <v>2677</v>
      </c>
      <c r="E355" s="37" t="inlineStr">
        <is>
          <t>SB-0317</t>
        </is>
      </c>
      <c r="F355" s="37" t="inlineStr">
        <is>
          <t>Salmonberry</t>
        </is>
      </c>
      <c r="G355" s="37" t="n">
        <v>28</v>
      </c>
      <c r="H355" s="37" t="inlineStr">
        <is>
          <t>OPEN</t>
        </is>
      </c>
      <c r="I355" s="37" t="inlineStr">
        <is>
          <t>ACCEPTED</t>
        </is>
      </c>
    </row>
    <row r="356">
      <c r="A356" s="37" t="inlineStr">
        <is>
          <t>OFR-2023-0355</t>
        </is>
      </c>
      <c r="B356" s="43" t="n">
        <v>44964</v>
      </c>
      <c r="C356" s="37" t="inlineStr">
        <is>
          <t>WL-01699</t>
        </is>
      </c>
      <c r="D356" s="37" t="n">
        <v>699</v>
      </c>
      <c r="E356" s="37" t="inlineStr">
        <is>
          <t>LP-0912</t>
        </is>
      </c>
      <c r="F356" s="37" t="inlineStr">
        <is>
          <t>Ledgport</t>
        </is>
      </c>
      <c r="G356" s="37" t="n">
        <v>32</v>
      </c>
      <c r="H356" s="37" t="inlineStr">
        <is>
          <t>COVERED</t>
        </is>
      </c>
      <c r="I356" s="37" t="inlineStr">
        <is>
          <t>ACCEPTED</t>
        </is>
      </c>
    </row>
    <row r="357">
      <c r="A357" s="37" t="inlineStr">
        <is>
          <t>OFR-2023-0356</t>
        </is>
      </c>
      <c r="B357" s="43" t="n">
        <v>44978</v>
      </c>
      <c r="C357" s="37" t="inlineStr">
        <is>
          <t>WL-01308</t>
        </is>
      </c>
      <c r="D357" s="37" t="n">
        <v>308</v>
      </c>
      <c r="E357" s="37" t="inlineStr">
        <is>
          <t>SB-0201</t>
        </is>
      </c>
      <c r="F357" s="37" t="inlineStr">
        <is>
          <t>Salmonberry</t>
        </is>
      </c>
      <c r="G357" s="37" t="n">
        <v>32</v>
      </c>
      <c r="H357" s="37" t="inlineStr">
        <is>
          <t>OPEN</t>
        </is>
      </c>
      <c r="I357" s="37" t="inlineStr">
        <is>
          <t>PENDING</t>
        </is>
      </c>
    </row>
    <row r="358">
      <c r="A358" s="37" t="inlineStr">
        <is>
          <t>OFR-2023-0357</t>
        </is>
      </c>
      <c r="B358" s="43" t="n">
        <v>44973</v>
      </c>
      <c r="C358" s="37" t="inlineStr">
        <is>
          <t>WL-02561</t>
        </is>
      </c>
      <c r="D358" s="37" t="n">
        <v>1561</v>
      </c>
      <c r="E358" s="37" t="inlineStr">
        <is>
          <t>SB-0409</t>
        </is>
      </c>
      <c r="F358" s="37" t="inlineStr">
        <is>
          <t>Salmonberry</t>
        </is>
      </c>
      <c r="G358" s="37" t="n">
        <v>40</v>
      </c>
      <c r="H358" s="37" t="inlineStr">
        <is>
          <t>OPEN</t>
        </is>
      </c>
      <c r="I358" s="37" t="inlineStr">
        <is>
          <t>DECLINED</t>
        </is>
      </c>
    </row>
    <row r="359">
      <c r="A359" s="37" t="inlineStr">
        <is>
          <t>OFR-2023-0358</t>
        </is>
      </c>
      <c r="B359" s="43" t="n">
        <v>44963</v>
      </c>
      <c r="C359" s="37" t="inlineStr">
        <is>
          <t>WL-03791</t>
        </is>
      </c>
      <c r="D359" s="37" t="n">
        <v>2791</v>
      </c>
      <c r="E359" s="37" t="inlineStr">
        <is>
          <t>SB-0503</t>
        </is>
      </c>
      <c r="F359" s="37" t="inlineStr">
        <is>
          <t>Salmonberry</t>
        </is>
      </c>
      <c r="G359" s="37" t="n">
        <v>45</v>
      </c>
      <c r="H359" s="37" t="inlineStr">
        <is>
          <t>OPEN</t>
        </is>
      </c>
      <c r="I359" s="37" t="inlineStr">
        <is>
          <t>ACCEPTED</t>
        </is>
      </c>
    </row>
    <row r="360">
      <c r="A360" s="37" t="inlineStr">
        <is>
          <t>OFR-2023-0359</t>
        </is>
      </c>
      <c r="B360" s="43" t="n">
        <v>44995</v>
      </c>
      <c r="C360" s="37" t="inlineStr">
        <is>
          <t>WL-01170</t>
        </is>
      </c>
      <c r="D360" s="37" t="n">
        <v>170</v>
      </c>
      <c r="E360" s="37" t="inlineStr">
        <is>
          <t>VB-0706</t>
        </is>
      </c>
      <c r="F360" s="37" t="inlineStr">
        <is>
          <t>Vessbank</t>
        </is>
      </c>
      <c r="G360" s="37" t="n">
        <v>32</v>
      </c>
      <c r="H360" s="37" t="inlineStr">
        <is>
          <t>COVERED</t>
        </is>
      </c>
      <c r="I360" s="37" t="inlineStr">
        <is>
          <t>EXPIRED</t>
        </is>
      </c>
    </row>
    <row r="361">
      <c r="A361" s="37" t="inlineStr">
        <is>
          <t>OFR-2023-0360</t>
        </is>
      </c>
      <c r="B361" s="43" t="n">
        <v>45000</v>
      </c>
      <c r="C361" s="37" t="inlineStr">
        <is>
          <t>WL-03523</t>
        </is>
      </c>
      <c r="D361" s="37" t="n">
        <v>2523</v>
      </c>
      <c r="E361" s="37" t="inlineStr">
        <is>
          <t>SB-0210</t>
        </is>
      </c>
      <c r="F361" s="37" t="inlineStr">
        <is>
          <t>Salmonberry</t>
        </is>
      </c>
      <c r="G361" s="37" t="n">
        <v>24</v>
      </c>
      <c r="H361" s="37" t="inlineStr">
        <is>
          <t>OPEN</t>
        </is>
      </c>
      <c r="I361" s="37" t="inlineStr">
        <is>
          <t>SKIPPED</t>
        </is>
      </c>
      <c r="J361" s="37" t="inlineStr">
        <is>
          <t>vessel-fit</t>
        </is>
      </c>
    </row>
    <row r="362">
      <c r="A362" s="37" t="inlineStr">
        <is>
          <t>OFR-2023-0361</t>
        </is>
      </c>
      <c r="B362" s="43" t="n">
        <v>44991</v>
      </c>
      <c r="C362" s="37" t="inlineStr">
        <is>
          <t>WL-02366</t>
        </is>
      </c>
      <c r="D362" s="37" t="n">
        <v>1366</v>
      </c>
      <c r="E362" s="37" t="inlineStr">
        <is>
          <t>LP-1116</t>
        </is>
      </c>
      <c r="F362" s="37" t="inlineStr">
        <is>
          <t>Ledgport</t>
        </is>
      </c>
      <c r="G362" s="37" t="n">
        <v>28</v>
      </c>
      <c r="H362" s="37" t="inlineStr">
        <is>
          <t>COVERED</t>
        </is>
      </c>
      <c r="I362" s="37" t="inlineStr">
        <is>
          <t>SKIPPED</t>
        </is>
      </c>
      <c r="J362" s="37" t="inlineStr">
        <is>
          <t>vessel-fit</t>
        </is>
      </c>
    </row>
    <row r="363">
      <c r="A363" s="37" t="inlineStr">
        <is>
          <t>OFR-2023-0362</t>
        </is>
      </c>
      <c r="B363" s="43" t="n">
        <v>45011</v>
      </c>
      <c r="C363" s="37" t="inlineStr">
        <is>
          <t>WL-03459</t>
        </is>
      </c>
      <c r="D363" s="37" t="n">
        <v>2459</v>
      </c>
      <c r="E363" s="37" t="inlineStr">
        <is>
          <t>SB-0410</t>
        </is>
      </c>
      <c r="F363" s="37" t="inlineStr">
        <is>
          <t>Salmonberry</t>
        </is>
      </c>
      <c r="G363" s="37" t="n">
        <v>24</v>
      </c>
      <c r="H363" s="37" t="inlineStr">
        <is>
          <t>OPEN</t>
        </is>
      </c>
      <c r="I363" s="37" t="inlineStr">
        <is>
          <t>ACCEPTED</t>
        </is>
      </c>
    </row>
    <row r="364">
      <c r="A364" s="37" t="inlineStr">
        <is>
          <t>OFR-2023-0363</t>
        </is>
      </c>
      <c r="B364" s="43" t="n">
        <v>44987</v>
      </c>
      <c r="C364" s="37" t="inlineStr">
        <is>
          <t>WL-02946</t>
        </is>
      </c>
      <c r="D364" s="37" t="n">
        <v>1946</v>
      </c>
      <c r="E364" s="37" t="inlineStr">
        <is>
          <t>LP-1012</t>
        </is>
      </c>
      <c r="F364" s="37" t="inlineStr">
        <is>
          <t>Ledgport</t>
        </is>
      </c>
      <c r="G364" s="37" t="n">
        <v>28</v>
      </c>
      <c r="H364" s="37" t="inlineStr">
        <is>
          <t>COVERED</t>
        </is>
      </c>
      <c r="I364" s="37" t="inlineStr">
        <is>
          <t>ACCEPTED</t>
        </is>
      </c>
    </row>
    <row r="365">
      <c r="A365" s="37" t="inlineStr">
        <is>
          <t>OFR-2023-0364</t>
        </is>
      </c>
      <c r="B365" s="43" t="n">
        <v>45012</v>
      </c>
      <c r="C365" s="37" t="inlineStr">
        <is>
          <t>WL-01388</t>
        </is>
      </c>
      <c r="D365" s="37" t="n">
        <v>388</v>
      </c>
      <c r="E365" s="37" t="inlineStr">
        <is>
          <t>SB-0617</t>
        </is>
      </c>
      <c r="F365" s="37" t="inlineStr">
        <is>
          <t>Salmonberry</t>
        </is>
      </c>
      <c r="G365" s="37" t="n">
        <v>36</v>
      </c>
      <c r="H365" s="37" t="inlineStr">
        <is>
          <t>OPEN</t>
        </is>
      </c>
      <c r="I365" s="37" t="inlineStr">
        <is>
          <t>SKIPPED</t>
        </is>
      </c>
      <c r="J365" s="37" t="inlineStr">
        <is>
          <t>vessel-fit</t>
        </is>
      </c>
    </row>
    <row r="366">
      <c r="A366" s="37" t="inlineStr">
        <is>
          <t>OFR-2023-0365</t>
        </is>
      </c>
      <c r="B366" s="43" t="n">
        <v>44993</v>
      </c>
      <c r="C366" s="37" t="inlineStr">
        <is>
          <t>WL-03000</t>
        </is>
      </c>
      <c r="D366" s="37" t="n">
        <v>2000</v>
      </c>
      <c r="E366" s="37" t="inlineStr">
        <is>
          <t>LP-0423</t>
        </is>
      </c>
      <c r="F366" s="37" t="inlineStr">
        <is>
          <t>Ledgport</t>
        </is>
      </c>
      <c r="G366" s="37" t="n">
        <v>40</v>
      </c>
      <c r="H366" s="37" t="inlineStr">
        <is>
          <t>COVERED</t>
        </is>
      </c>
      <c r="I366" s="37" t="inlineStr">
        <is>
          <t>ACCEPTED</t>
        </is>
      </c>
    </row>
    <row r="367">
      <c r="A367" s="37" t="inlineStr">
        <is>
          <t>OFR-2023-0366</t>
        </is>
      </c>
      <c r="B367" s="43" t="n">
        <v>44998</v>
      </c>
      <c r="C367" s="37" t="inlineStr">
        <is>
          <t>WL-01407</t>
        </is>
      </c>
      <c r="D367" s="37" t="n">
        <v>407</v>
      </c>
      <c r="E367" s="37" t="inlineStr">
        <is>
          <t>LP-0103</t>
        </is>
      </c>
      <c r="F367" s="37" t="inlineStr">
        <is>
          <t>Ledgport</t>
        </is>
      </c>
      <c r="G367" s="37" t="n">
        <v>28</v>
      </c>
      <c r="H367" s="37" t="inlineStr">
        <is>
          <t>COVERED</t>
        </is>
      </c>
      <c r="I367" s="37" t="inlineStr">
        <is>
          <t>EXPIRED</t>
        </is>
      </c>
    </row>
    <row r="368">
      <c r="A368" s="37" t="inlineStr">
        <is>
          <t>OFR-2023-0367</t>
        </is>
      </c>
      <c r="B368" s="43" t="n">
        <v>45005</v>
      </c>
      <c r="C368" s="37" t="inlineStr">
        <is>
          <t>WL-02168</t>
        </is>
      </c>
      <c r="D368" s="37" t="n">
        <v>1168</v>
      </c>
      <c r="E368" s="37" t="inlineStr">
        <is>
          <t>VB-0818</t>
        </is>
      </c>
      <c r="F368" s="37" t="inlineStr">
        <is>
          <t>Vessbank</t>
        </is>
      </c>
      <c r="G368" s="37" t="n">
        <v>24</v>
      </c>
      <c r="H368" s="37" t="inlineStr">
        <is>
          <t>COVERED</t>
        </is>
      </c>
      <c r="I368" s="37" t="inlineStr">
        <is>
          <t>PENDING</t>
        </is>
      </c>
    </row>
    <row r="369">
      <c r="A369" s="37" t="inlineStr">
        <is>
          <t>OFR-2023-0368</t>
        </is>
      </c>
      <c r="B369" s="43" t="n">
        <v>44995</v>
      </c>
      <c r="C369" s="37" t="inlineStr">
        <is>
          <t>WL-01984</t>
        </is>
      </c>
      <c r="D369" s="37" t="n">
        <v>984</v>
      </c>
      <c r="E369" s="37" t="inlineStr">
        <is>
          <t>GW-0606</t>
        </is>
      </c>
      <c r="F369" s="37" t="inlineStr">
        <is>
          <t>Gullwing</t>
        </is>
      </c>
      <c r="G369" s="37" t="n">
        <v>60</v>
      </c>
      <c r="H369" s="37" t="inlineStr">
        <is>
          <t>OPEN</t>
        </is>
      </c>
      <c r="I369" s="37" t="inlineStr">
        <is>
          <t>SKIPPED</t>
        </is>
      </c>
      <c r="J369" s="37" t="inlineStr">
        <is>
          <t>declined-prior-offer</t>
        </is>
      </c>
    </row>
    <row r="370">
      <c r="A370" s="37" t="inlineStr">
        <is>
          <t>OFR-2023-0369</t>
        </is>
      </c>
      <c r="B370" s="43" t="n">
        <v>45011</v>
      </c>
      <c r="C370" s="37" t="inlineStr">
        <is>
          <t>WL-01755</t>
        </is>
      </c>
      <c r="D370" s="37" t="n">
        <v>755</v>
      </c>
      <c r="E370" s="37" t="inlineStr">
        <is>
          <t>SB-0219</t>
        </is>
      </c>
      <c r="F370" s="37" t="inlineStr">
        <is>
          <t>Salmonberry</t>
        </is>
      </c>
      <c r="G370" s="37" t="n">
        <v>28</v>
      </c>
      <c r="H370" s="37" t="inlineStr">
        <is>
          <t>OPEN</t>
        </is>
      </c>
      <c r="I370" s="37" t="inlineStr">
        <is>
          <t>PENDING</t>
        </is>
      </c>
    </row>
    <row r="371">
      <c r="A371" s="37" t="inlineStr">
        <is>
          <t>OFR-2023-0370</t>
        </is>
      </c>
      <c r="B371" s="43" t="n">
        <v>45006</v>
      </c>
      <c r="C371" s="37" t="inlineStr">
        <is>
          <t>WL-01649</t>
        </is>
      </c>
      <c r="D371" s="37" t="n">
        <v>649</v>
      </c>
      <c r="E371" s="37" t="inlineStr">
        <is>
          <t>VB-0717</t>
        </is>
      </c>
      <c r="F371" s="37" t="inlineStr">
        <is>
          <t>Vessbank</t>
        </is>
      </c>
      <c r="G371" s="37" t="n">
        <v>32</v>
      </c>
      <c r="H371" s="37" t="inlineStr">
        <is>
          <t>COVERED</t>
        </is>
      </c>
      <c r="I371" s="37" t="inlineStr">
        <is>
          <t>SKIPPED</t>
        </is>
      </c>
      <c r="J371" s="37" t="inlineStr">
        <is>
          <t>vessel-fit</t>
        </is>
      </c>
    </row>
    <row r="372">
      <c r="A372" s="37" t="inlineStr">
        <is>
          <t>OFR-2023-0371</t>
        </is>
      </c>
      <c r="B372" s="43" t="n">
        <v>45010</v>
      </c>
      <c r="C372" s="37" t="inlineStr">
        <is>
          <t>WL-03535</t>
        </is>
      </c>
      <c r="D372" s="37" t="n">
        <v>2535</v>
      </c>
      <c r="E372" s="37" t="inlineStr">
        <is>
          <t>GW-0101</t>
        </is>
      </c>
      <c r="F372" s="37" t="inlineStr">
        <is>
          <t>Gullwing</t>
        </is>
      </c>
      <c r="G372" s="37" t="n">
        <v>24</v>
      </c>
      <c r="H372" s="37" t="inlineStr">
        <is>
          <t>OPEN</t>
        </is>
      </c>
      <c r="I372" s="37" t="inlineStr">
        <is>
          <t>SKIPPED</t>
        </is>
      </c>
      <c r="J372" s="37" t="inlineStr">
        <is>
          <t>vessel-fit</t>
        </is>
      </c>
    </row>
    <row r="373">
      <c r="A373" s="37" t="inlineStr">
        <is>
          <t>OFR-2023-0372</t>
        </is>
      </c>
      <c r="B373" s="43" t="n">
        <v>45000</v>
      </c>
      <c r="C373" s="37" t="inlineStr">
        <is>
          <t>WL-02634</t>
        </is>
      </c>
      <c r="D373" s="37" t="n">
        <v>1634</v>
      </c>
      <c r="E373" s="37" t="inlineStr">
        <is>
          <t>SB-0802</t>
        </is>
      </c>
      <c r="F373" s="37" t="inlineStr">
        <is>
          <t>Salmonberry</t>
        </is>
      </c>
      <c r="G373" s="37" t="n">
        <v>45</v>
      </c>
      <c r="H373" s="37" t="inlineStr">
        <is>
          <t>OPEN</t>
        </is>
      </c>
      <c r="I373" s="37" t="inlineStr">
        <is>
          <t>PENDING</t>
        </is>
      </c>
    </row>
    <row r="374">
      <c r="A374" s="37" t="inlineStr">
        <is>
          <t>OFR-2023-0373</t>
        </is>
      </c>
      <c r="B374" s="43" t="n">
        <v>45012</v>
      </c>
      <c r="C374" s="37" t="inlineStr">
        <is>
          <t>WL-03469</t>
        </is>
      </c>
      <c r="D374" s="37" t="n">
        <v>2469</v>
      </c>
      <c r="E374" s="37" t="inlineStr">
        <is>
          <t>LP-0215</t>
        </is>
      </c>
      <c r="F374" s="37" t="inlineStr">
        <is>
          <t>Ledgport</t>
        </is>
      </c>
      <c r="G374" s="37" t="n">
        <v>28</v>
      </c>
      <c r="H374" s="37" t="inlineStr">
        <is>
          <t>COVERED</t>
        </is>
      </c>
      <c r="I374" s="37" t="inlineStr">
        <is>
          <t>ACCEPTED</t>
        </is>
      </c>
    </row>
    <row r="375">
      <c r="A375" s="37" t="inlineStr">
        <is>
          <t>OFR-2023-0374</t>
        </is>
      </c>
      <c r="B375" s="43" t="n">
        <v>45036</v>
      </c>
      <c r="C375" s="37" t="inlineStr">
        <is>
          <t>WL-01473</t>
        </is>
      </c>
      <c r="D375" s="37" t="n">
        <v>473</v>
      </c>
      <c r="E375" s="37" t="inlineStr">
        <is>
          <t>SB-0623</t>
        </is>
      </c>
      <c r="F375" s="37" t="inlineStr">
        <is>
          <t>Salmonberry</t>
        </is>
      </c>
      <c r="G375" s="37" t="n">
        <v>28</v>
      </c>
      <c r="H375" s="37" t="inlineStr">
        <is>
          <t>OPEN</t>
        </is>
      </c>
      <c r="I375" s="37" t="inlineStr">
        <is>
          <t>SKIPPED</t>
        </is>
      </c>
      <c r="J375" s="37" t="inlineStr">
        <is>
          <t>vessel-fit</t>
        </is>
      </c>
    </row>
    <row r="376">
      <c r="A376" s="37" t="inlineStr">
        <is>
          <t>OFR-2023-0375</t>
        </is>
      </c>
      <c r="B376" s="43" t="n">
        <v>45036</v>
      </c>
      <c r="C376" s="37" t="inlineStr">
        <is>
          <t>WL-02941</t>
        </is>
      </c>
      <c r="D376" s="37" t="n">
        <v>1941</v>
      </c>
      <c r="E376" s="37" t="inlineStr">
        <is>
          <t>SB-0109</t>
        </is>
      </c>
      <c r="F376" s="37" t="inlineStr">
        <is>
          <t>Salmonberry</t>
        </is>
      </c>
      <c r="G376" s="37" t="n">
        <v>32</v>
      </c>
      <c r="H376" s="37" t="inlineStr">
        <is>
          <t>OPEN</t>
        </is>
      </c>
      <c r="I376" s="37" t="inlineStr">
        <is>
          <t>SKIPPED</t>
        </is>
      </c>
      <c r="J376" s="37" t="inlineStr">
        <is>
          <t>vessel-fit</t>
        </is>
      </c>
    </row>
    <row r="377">
      <c r="A377" s="37" t="inlineStr">
        <is>
          <t>OFR-2023-0376</t>
        </is>
      </c>
      <c r="B377" s="43" t="n">
        <v>45031</v>
      </c>
      <c r="C377" s="37" t="inlineStr">
        <is>
          <t>WL-01529</t>
        </is>
      </c>
      <c r="D377" s="37" t="n">
        <v>529</v>
      </c>
      <c r="E377" s="37" t="inlineStr">
        <is>
          <t>VB-0103</t>
        </is>
      </c>
      <c r="F377" s="37" t="inlineStr">
        <is>
          <t>Vessbank</t>
        </is>
      </c>
      <c r="G377" s="37" t="n">
        <v>24</v>
      </c>
      <c r="H377" s="37" t="inlineStr">
        <is>
          <t>COVERED</t>
        </is>
      </c>
      <c r="I377" s="37" t="inlineStr">
        <is>
          <t>ACCEPTED</t>
        </is>
      </c>
    </row>
    <row r="378">
      <c r="A378" s="37" t="inlineStr">
        <is>
          <t>OFR-2023-0377</t>
        </is>
      </c>
      <c r="B378" s="43" t="n">
        <v>45027</v>
      </c>
      <c r="C378" s="37" t="inlineStr">
        <is>
          <t>WL-01156</t>
        </is>
      </c>
      <c r="D378" s="37" t="n">
        <v>156</v>
      </c>
      <c r="E378" s="37" t="inlineStr">
        <is>
          <t>GW-0903</t>
        </is>
      </c>
      <c r="F378" s="37" t="inlineStr">
        <is>
          <t>Gullwing</t>
        </is>
      </c>
      <c r="G378" s="37" t="n">
        <v>36</v>
      </c>
      <c r="H378" s="37" t="inlineStr">
        <is>
          <t>OPEN</t>
        </is>
      </c>
      <c r="I378" s="37" t="inlineStr">
        <is>
          <t>DECLINED</t>
        </is>
      </c>
    </row>
    <row r="379">
      <c r="A379" s="37" t="inlineStr">
        <is>
          <t>OFR-2023-0378</t>
        </is>
      </c>
      <c r="B379" s="43" t="n">
        <v>45031</v>
      </c>
      <c r="C379" s="37" t="inlineStr">
        <is>
          <t>WL-02270</t>
        </is>
      </c>
      <c r="D379" s="37" t="n">
        <v>1270</v>
      </c>
      <c r="E379" s="37" t="inlineStr">
        <is>
          <t>SB-0410</t>
        </is>
      </c>
      <c r="F379" s="37" t="inlineStr">
        <is>
          <t>Salmonberry</t>
        </is>
      </c>
      <c r="G379" s="37" t="n">
        <v>24</v>
      </c>
      <c r="H379" s="37" t="inlineStr">
        <is>
          <t>OPEN</t>
        </is>
      </c>
      <c r="I379" s="37" t="inlineStr">
        <is>
          <t>ACCEPTED</t>
        </is>
      </c>
    </row>
    <row r="380">
      <c r="A380" s="37" t="inlineStr">
        <is>
          <t>OFR-2023-0379</t>
        </is>
      </c>
      <c r="B380" s="43" t="n">
        <v>45025</v>
      </c>
      <c r="C380" s="37" t="inlineStr">
        <is>
          <t>WL-01779</t>
        </is>
      </c>
      <c r="D380" s="37" t="n">
        <v>779</v>
      </c>
      <c r="E380" s="37" t="inlineStr">
        <is>
          <t>EW-0617</t>
        </is>
      </c>
      <c r="F380" s="37" t="inlineStr">
        <is>
          <t>Eastwey</t>
        </is>
      </c>
      <c r="G380" s="37" t="n">
        <v>70</v>
      </c>
      <c r="H380" s="37" t="inlineStr">
        <is>
          <t>OPEN</t>
        </is>
      </c>
      <c r="I380" s="37" t="inlineStr">
        <is>
          <t>WITHDRAWN</t>
        </is>
      </c>
    </row>
    <row r="381">
      <c r="A381" s="37" t="inlineStr">
        <is>
          <t>OFR-2023-0380</t>
        </is>
      </c>
      <c r="B381" s="43" t="n">
        <v>45044</v>
      </c>
      <c r="C381" s="37" t="inlineStr">
        <is>
          <t>WL-03586</t>
        </is>
      </c>
      <c r="D381" s="37" t="n">
        <v>2586</v>
      </c>
      <c r="E381" s="37" t="inlineStr">
        <is>
          <t>LP-0807</t>
        </is>
      </c>
      <c r="F381" s="37" t="inlineStr">
        <is>
          <t>Ledgport</t>
        </is>
      </c>
      <c r="G381" s="37" t="n">
        <v>24</v>
      </c>
      <c r="H381" s="37" t="inlineStr">
        <is>
          <t>COVERED</t>
        </is>
      </c>
      <c r="I381" s="37" t="inlineStr">
        <is>
          <t>ACCEPTED</t>
        </is>
      </c>
    </row>
    <row r="382">
      <c r="A382" s="37" t="inlineStr">
        <is>
          <t>OFR-2023-0381</t>
        </is>
      </c>
      <c r="B382" s="43" t="n">
        <v>45024</v>
      </c>
      <c r="C382" s="37" t="inlineStr">
        <is>
          <t>WL-02470</t>
        </is>
      </c>
      <c r="D382" s="37" t="n">
        <v>1470</v>
      </c>
      <c r="E382" s="37" t="inlineStr">
        <is>
          <t>GW-0414</t>
        </is>
      </c>
      <c r="F382" s="37" t="inlineStr">
        <is>
          <t>Gullwing</t>
        </is>
      </c>
      <c r="G382" s="37" t="n">
        <v>45</v>
      </c>
      <c r="H382" s="37" t="inlineStr">
        <is>
          <t>OPEN</t>
        </is>
      </c>
      <c r="I382" s="37" t="inlineStr">
        <is>
          <t>PENDING</t>
        </is>
      </c>
    </row>
    <row r="383">
      <c r="A383" s="37" t="inlineStr">
        <is>
          <t>OFR-2023-0382</t>
        </is>
      </c>
      <c r="B383" s="43" t="n">
        <v>45042</v>
      </c>
      <c r="C383" s="37" t="inlineStr">
        <is>
          <t>WL-03428</t>
        </is>
      </c>
      <c r="D383" s="37" t="n">
        <v>2428</v>
      </c>
      <c r="E383" s="37" t="inlineStr">
        <is>
          <t>LP-0524</t>
        </is>
      </c>
      <c r="F383" s="37" t="inlineStr">
        <is>
          <t>Ledgport</t>
        </is>
      </c>
      <c r="G383" s="37" t="n">
        <v>28</v>
      </c>
      <c r="H383" s="37" t="inlineStr">
        <is>
          <t>COVERED</t>
        </is>
      </c>
      <c r="I383" s="37" t="inlineStr">
        <is>
          <t>ACCEPTED</t>
        </is>
      </c>
    </row>
    <row r="384">
      <c r="A384" s="37" t="inlineStr">
        <is>
          <t>OFR-2023-0383</t>
        </is>
      </c>
      <c r="B384" s="43" t="n">
        <v>45022</v>
      </c>
      <c r="C384" s="37" t="inlineStr">
        <is>
          <t>WL-02601</t>
        </is>
      </c>
      <c r="D384" s="37" t="n">
        <v>1601</v>
      </c>
      <c r="E384" s="37" t="inlineStr">
        <is>
          <t>VB-0510</t>
        </is>
      </c>
      <c r="F384" s="37" t="inlineStr">
        <is>
          <t>Vessbank</t>
        </is>
      </c>
      <c r="G384" s="37" t="n">
        <v>40</v>
      </c>
      <c r="H384" s="37" t="inlineStr">
        <is>
          <t>COVERED</t>
        </is>
      </c>
      <c r="I384" s="37" t="inlineStr">
        <is>
          <t>ACCEPTED</t>
        </is>
      </c>
    </row>
    <row r="385">
      <c r="A385" s="37" t="inlineStr">
        <is>
          <t>OFR-2023-0384</t>
        </is>
      </c>
      <c r="B385" s="43" t="n">
        <v>45031</v>
      </c>
      <c r="C385" s="37" t="inlineStr">
        <is>
          <t>WL-01242</t>
        </is>
      </c>
      <c r="D385" s="37" t="n">
        <v>242</v>
      </c>
      <c r="E385" s="37" t="inlineStr">
        <is>
          <t>VB-0301</t>
        </is>
      </c>
      <c r="F385" s="37" t="inlineStr">
        <is>
          <t>Vessbank</t>
        </is>
      </c>
      <c r="G385" s="37" t="n">
        <v>24</v>
      </c>
      <c r="H385" s="37" t="inlineStr">
        <is>
          <t>COVERED</t>
        </is>
      </c>
      <c r="I385" s="37" t="inlineStr">
        <is>
          <t>EXPIRED</t>
        </is>
      </c>
    </row>
    <row r="386">
      <c r="A386" s="37" t="inlineStr">
        <is>
          <t>OFR-2023-0385</t>
        </is>
      </c>
      <c r="B386" s="43" t="n">
        <v>45021</v>
      </c>
      <c r="C386" s="37" t="inlineStr">
        <is>
          <t>WL-02339</t>
        </is>
      </c>
      <c r="D386" s="37" t="n">
        <v>1339</v>
      </c>
      <c r="E386" s="37" t="inlineStr">
        <is>
          <t>LP-0923</t>
        </is>
      </c>
      <c r="F386" s="37" t="inlineStr">
        <is>
          <t>Ledgport</t>
        </is>
      </c>
      <c r="G386" s="37" t="n">
        <v>24</v>
      </c>
      <c r="H386" s="37" t="inlineStr">
        <is>
          <t>COVERED</t>
        </is>
      </c>
      <c r="I386" s="37" t="inlineStr">
        <is>
          <t>PENDING</t>
        </is>
      </c>
    </row>
    <row r="387">
      <c r="A387" s="37" t="inlineStr">
        <is>
          <t>OFR-2023-0386</t>
        </is>
      </c>
      <c r="B387" s="43" t="n">
        <v>45032</v>
      </c>
      <c r="C387" s="37" t="inlineStr">
        <is>
          <t>WL-03898</t>
        </is>
      </c>
      <c r="D387" s="37" t="n">
        <v>2898</v>
      </c>
      <c r="E387" s="37" t="inlineStr">
        <is>
          <t>VB-0109</t>
        </is>
      </c>
      <c r="F387" s="37" t="inlineStr">
        <is>
          <t>Vessbank</t>
        </is>
      </c>
      <c r="G387" s="37" t="n">
        <v>28</v>
      </c>
      <c r="H387" s="37" t="inlineStr">
        <is>
          <t>COVERED</t>
        </is>
      </c>
      <c r="I387" s="37" t="inlineStr">
        <is>
          <t>WITHDRAWN</t>
        </is>
      </c>
    </row>
    <row r="388">
      <c r="A388" s="37" t="inlineStr">
        <is>
          <t>OFR-2023-0387</t>
        </is>
      </c>
      <c r="B388" s="43" t="n">
        <v>45019</v>
      </c>
      <c r="C388" s="37" t="inlineStr">
        <is>
          <t>WL-03014</t>
        </is>
      </c>
      <c r="D388" s="37" t="n">
        <v>2014</v>
      </c>
      <c r="E388" s="37" t="inlineStr">
        <is>
          <t>LP-0204</t>
        </is>
      </c>
      <c r="F388" s="37" t="inlineStr">
        <is>
          <t>Ledgport</t>
        </is>
      </c>
      <c r="G388" s="37" t="n">
        <v>28</v>
      </c>
      <c r="H388" s="37" t="inlineStr">
        <is>
          <t>COVERED</t>
        </is>
      </c>
      <c r="I388" s="37" t="inlineStr">
        <is>
          <t>SKIPPED</t>
        </is>
      </c>
      <c r="J388" s="37" t="inlineStr">
        <is>
          <t>vessel-fit</t>
        </is>
      </c>
    </row>
    <row r="389">
      <c r="A389" s="37" t="inlineStr">
        <is>
          <t>OFR-2023-0388</t>
        </is>
      </c>
      <c r="B389" s="43" t="n">
        <v>45030</v>
      </c>
      <c r="C389" s="37" t="inlineStr">
        <is>
          <t>WL-02503</t>
        </is>
      </c>
      <c r="D389" s="37" t="n">
        <v>1503</v>
      </c>
      <c r="E389" s="37" t="inlineStr">
        <is>
          <t>SB-0713</t>
        </is>
      </c>
      <c r="F389" s="37" t="inlineStr">
        <is>
          <t>Salmonberry</t>
        </is>
      </c>
      <c r="G389" s="37" t="n">
        <v>60</v>
      </c>
      <c r="H389" s="37" t="inlineStr">
        <is>
          <t>OPEN</t>
        </is>
      </c>
      <c r="I389" s="37" t="inlineStr">
        <is>
          <t>ACCEPTED</t>
        </is>
      </c>
    </row>
    <row r="390">
      <c r="A390" s="37" t="inlineStr">
        <is>
          <t>OFR-2023-0389</t>
        </is>
      </c>
      <c r="B390" s="43" t="n">
        <v>45023</v>
      </c>
      <c r="C390" s="37" t="inlineStr">
        <is>
          <t>WL-01122</t>
        </is>
      </c>
      <c r="D390" s="37" t="n">
        <v>122</v>
      </c>
      <c r="E390" s="37" t="inlineStr">
        <is>
          <t>LP-0302</t>
        </is>
      </c>
      <c r="F390" s="37" t="inlineStr">
        <is>
          <t>Ledgport</t>
        </is>
      </c>
      <c r="G390" s="37" t="n">
        <v>32</v>
      </c>
      <c r="H390" s="37" t="inlineStr">
        <is>
          <t>COVERED</t>
        </is>
      </c>
      <c r="I390" s="37" t="inlineStr">
        <is>
          <t>ACCEPTED</t>
        </is>
      </c>
    </row>
    <row r="391">
      <c r="A391" s="37" t="inlineStr">
        <is>
          <t>OFR-2023-0390</t>
        </is>
      </c>
      <c r="B391" s="43" t="n">
        <v>45017</v>
      </c>
      <c r="C391" s="37" t="inlineStr">
        <is>
          <t>WL-01730</t>
        </is>
      </c>
      <c r="D391" s="37" t="n">
        <v>730</v>
      </c>
      <c r="E391" s="37" t="inlineStr">
        <is>
          <t>GW-0907</t>
        </is>
      </c>
      <c r="F391" s="37" t="inlineStr">
        <is>
          <t>Gullwing</t>
        </is>
      </c>
      <c r="G391" s="37" t="n">
        <v>45</v>
      </c>
      <c r="H391" s="37" t="inlineStr">
        <is>
          <t>OPEN</t>
        </is>
      </c>
      <c r="I391" s="37" t="inlineStr">
        <is>
          <t>EXPIRED</t>
        </is>
      </c>
    </row>
    <row r="392">
      <c r="A392" s="37" t="inlineStr">
        <is>
          <t>OFR-2023-0391</t>
        </is>
      </c>
      <c r="B392" s="43" t="n">
        <v>45025</v>
      </c>
      <c r="C392" s="37" t="inlineStr">
        <is>
          <t>WL-01866</t>
        </is>
      </c>
      <c r="D392" s="37" t="n">
        <v>866</v>
      </c>
      <c r="E392" s="37" t="inlineStr">
        <is>
          <t>EW-0910</t>
        </is>
      </c>
      <c r="F392" s="37" t="inlineStr">
        <is>
          <t>Eastwey</t>
        </is>
      </c>
      <c r="G392" s="37" t="n">
        <v>70</v>
      </c>
      <c r="H392" s="37" t="inlineStr">
        <is>
          <t>OPEN</t>
        </is>
      </c>
      <c r="I392" s="37" t="inlineStr">
        <is>
          <t>PENDING</t>
        </is>
      </c>
    </row>
    <row r="393">
      <c r="A393" s="37" t="inlineStr">
        <is>
          <t>OFR-2023-0392</t>
        </is>
      </c>
      <c r="B393" s="43" t="n">
        <v>45025</v>
      </c>
      <c r="C393" s="37" t="inlineStr">
        <is>
          <t>WL-01886</t>
        </is>
      </c>
      <c r="D393" s="37" t="n">
        <v>886</v>
      </c>
      <c r="E393" s="37" t="inlineStr">
        <is>
          <t>GW-0116</t>
        </is>
      </c>
      <c r="F393" s="37" t="inlineStr">
        <is>
          <t>Gullwing</t>
        </is>
      </c>
      <c r="G393" s="37" t="n">
        <v>32</v>
      </c>
      <c r="H393" s="37" t="inlineStr">
        <is>
          <t>OPEN</t>
        </is>
      </c>
      <c r="I393" s="37" t="inlineStr">
        <is>
          <t>SKIPPED</t>
        </is>
      </c>
      <c r="J393" s="37" t="inlineStr">
        <is>
          <t>not-current</t>
        </is>
      </c>
    </row>
    <row r="394">
      <c r="A394" s="37" t="inlineStr">
        <is>
          <t>OFR-2023-0393</t>
        </is>
      </c>
      <c r="B394" s="43" t="n">
        <v>45039</v>
      </c>
      <c r="C394" s="37" t="inlineStr">
        <is>
          <t>WL-01065</t>
        </is>
      </c>
      <c r="D394" s="37" t="n">
        <v>65</v>
      </c>
      <c r="E394" s="37" t="inlineStr">
        <is>
          <t>SB-0816</t>
        </is>
      </c>
      <c r="F394" s="37" t="inlineStr">
        <is>
          <t>Salmonberry</t>
        </is>
      </c>
      <c r="G394" s="37" t="n">
        <v>28</v>
      </c>
      <c r="H394" s="37" t="inlineStr">
        <is>
          <t>OPEN</t>
        </is>
      </c>
      <c r="I394" s="37" t="inlineStr">
        <is>
          <t>PENDING</t>
        </is>
      </c>
    </row>
    <row r="395">
      <c r="A395" s="37" t="inlineStr">
        <is>
          <t>OFR-2023-0394</t>
        </is>
      </c>
      <c r="B395" s="43" t="n">
        <v>45020</v>
      </c>
      <c r="C395" s="37" t="inlineStr">
        <is>
          <t>WL-03900</t>
        </is>
      </c>
      <c r="D395" s="37" t="n">
        <v>2900</v>
      </c>
      <c r="E395" s="37" t="inlineStr">
        <is>
          <t>GW-0608</t>
        </is>
      </c>
      <c r="F395" s="37" t="inlineStr">
        <is>
          <t>Gullwing</t>
        </is>
      </c>
      <c r="G395" s="37" t="n">
        <v>70</v>
      </c>
      <c r="H395" s="37" t="inlineStr">
        <is>
          <t>OPEN</t>
        </is>
      </c>
      <c r="I395" s="37" t="inlineStr">
        <is>
          <t>ACCEPTED</t>
        </is>
      </c>
    </row>
    <row r="396">
      <c r="A396" s="37" t="inlineStr">
        <is>
          <t>OFR-2023-0395</t>
        </is>
      </c>
      <c r="B396" s="43" t="n">
        <v>45027</v>
      </c>
      <c r="C396" s="37" t="inlineStr">
        <is>
          <t>WL-02074</t>
        </is>
      </c>
      <c r="D396" s="37" t="n">
        <v>1074</v>
      </c>
      <c r="E396" s="37" t="inlineStr">
        <is>
          <t>EW-1007</t>
        </is>
      </c>
      <c r="F396" s="37" t="inlineStr">
        <is>
          <t>Eastwey</t>
        </is>
      </c>
      <c r="G396" s="37" t="n">
        <v>32</v>
      </c>
      <c r="H396" s="37" t="inlineStr">
        <is>
          <t>OPEN</t>
        </is>
      </c>
      <c r="I396" s="37" t="inlineStr">
        <is>
          <t>SKIPPED</t>
        </is>
      </c>
      <c r="J396" s="37" t="inlineStr">
        <is>
          <t>vessel-fit</t>
        </is>
      </c>
    </row>
    <row r="397">
      <c r="A397" s="37" t="inlineStr">
        <is>
          <t>OFR-2023-0396</t>
        </is>
      </c>
      <c r="B397" s="43" t="n">
        <v>45036</v>
      </c>
      <c r="C397" s="37" t="inlineStr">
        <is>
          <t>WL-03697</t>
        </is>
      </c>
      <c r="D397" s="37" t="n">
        <v>2697</v>
      </c>
      <c r="E397" s="37" t="inlineStr">
        <is>
          <t>EW-0215</t>
        </is>
      </c>
      <c r="F397" s="37" t="inlineStr">
        <is>
          <t>Eastwey</t>
        </is>
      </c>
      <c r="G397" s="37" t="n">
        <v>32</v>
      </c>
      <c r="H397" s="37" t="inlineStr">
        <is>
          <t>OPEN</t>
        </is>
      </c>
      <c r="I397" s="37" t="inlineStr">
        <is>
          <t>EXPIRED</t>
        </is>
      </c>
    </row>
    <row r="398">
      <c r="A398" s="37" t="inlineStr">
        <is>
          <t>OFR-2023-0397</t>
        </is>
      </c>
      <c r="B398" s="43" t="n">
        <v>45043</v>
      </c>
      <c r="C398" s="37" t="inlineStr">
        <is>
          <t>WL-01812</t>
        </is>
      </c>
      <c r="D398" s="37" t="n">
        <v>812</v>
      </c>
      <c r="E398" s="37" t="inlineStr">
        <is>
          <t>GW-1012</t>
        </is>
      </c>
      <c r="F398" s="37" t="inlineStr">
        <is>
          <t>Gullwing</t>
        </is>
      </c>
      <c r="G398" s="37" t="n">
        <v>80</v>
      </c>
      <c r="H398" s="37" t="inlineStr">
        <is>
          <t>OPEN</t>
        </is>
      </c>
      <c r="I398" s="37" t="inlineStr">
        <is>
          <t>ACCEPTED</t>
        </is>
      </c>
    </row>
    <row r="399">
      <c r="A399" s="37" t="inlineStr">
        <is>
          <t>OFR-2023-0398</t>
        </is>
      </c>
      <c r="B399" s="43" t="n">
        <v>45035</v>
      </c>
      <c r="C399" s="37" t="inlineStr">
        <is>
          <t>WL-02434</t>
        </is>
      </c>
      <c r="D399" s="37" t="n">
        <v>1434</v>
      </c>
      <c r="E399" s="37" t="inlineStr">
        <is>
          <t>EW-1022</t>
        </is>
      </c>
      <c r="F399" s="37" t="inlineStr">
        <is>
          <t>Eastwey</t>
        </is>
      </c>
      <c r="G399" s="37" t="n">
        <v>32</v>
      </c>
      <c r="H399" s="37" t="inlineStr">
        <is>
          <t>OPEN</t>
        </is>
      </c>
      <c r="I399" s="37" t="inlineStr">
        <is>
          <t>DECLINED_RETAINER</t>
        </is>
      </c>
    </row>
    <row r="400">
      <c r="A400" s="37" t="inlineStr">
        <is>
          <t>OFR-2023-0399</t>
        </is>
      </c>
      <c r="B400" s="43" t="n">
        <v>45017</v>
      </c>
      <c r="C400" s="37" t="inlineStr">
        <is>
          <t>WL-01750</t>
        </is>
      </c>
      <c r="D400" s="37" t="n">
        <v>750</v>
      </c>
      <c r="E400" s="37" t="inlineStr">
        <is>
          <t>VB-0508</t>
        </is>
      </c>
      <c r="F400" s="37" t="inlineStr">
        <is>
          <t>Vessbank</t>
        </is>
      </c>
      <c r="G400" s="37" t="n">
        <v>24</v>
      </c>
      <c r="H400" s="37" t="inlineStr">
        <is>
          <t>COVERED</t>
        </is>
      </c>
      <c r="I400" s="37" t="inlineStr">
        <is>
          <t>DECLINED</t>
        </is>
      </c>
    </row>
    <row r="401">
      <c r="A401" s="37" t="inlineStr">
        <is>
          <t>OFR-2023-0400</t>
        </is>
      </c>
      <c r="B401" s="43" t="n">
        <v>45019</v>
      </c>
      <c r="C401" s="37" t="inlineStr">
        <is>
          <t>WL-02305</t>
        </is>
      </c>
      <c r="D401" s="37" t="n">
        <v>1305</v>
      </c>
      <c r="E401" s="37" t="inlineStr">
        <is>
          <t>LP-0217</t>
        </is>
      </c>
      <c r="F401" s="37" t="inlineStr">
        <is>
          <t>Ledgport</t>
        </is>
      </c>
      <c r="G401" s="37" t="n">
        <v>40</v>
      </c>
      <c r="H401" s="37" t="inlineStr">
        <is>
          <t>COVERED</t>
        </is>
      </c>
      <c r="I401" s="37" t="inlineStr">
        <is>
          <t>DECLINED</t>
        </is>
      </c>
    </row>
    <row r="402">
      <c r="A402" s="37" t="inlineStr">
        <is>
          <t>OFR-2023-0401</t>
        </is>
      </c>
      <c r="B402" s="43" t="n">
        <v>45024</v>
      </c>
      <c r="C402" s="37" t="inlineStr">
        <is>
          <t>WL-01145</t>
        </is>
      </c>
      <c r="D402" s="37" t="n">
        <v>145</v>
      </c>
      <c r="E402" s="37" t="inlineStr">
        <is>
          <t>EW-0304</t>
        </is>
      </c>
      <c r="F402" s="37" t="inlineStr">
        <is>
          <t>Eastwey</t>
        </is>
      </c>
      <c r="G402" s="37" t="n">
        <v>36</v>
      </c>
      <c r="H402" s="37" t="inlineStr">
        <is>
          <t>OPEN</t>
        </is>
      </c>
      <c r="I402" s="37" t="inlineStr">
        <is>
          <t>SKIPPED</t>
        </is>
      </c>
      <c r="J402" s="37" t="inlineStr">
        <is>
          <t>not-current</t>
        </is>
      </c>
    </row>
    <row r="403">
      <c r="A403" s="37" t="inlineStr">
        <is>
          <t>OFR-2023-0402</t>
        </is>
      </c>
      <c r="B403" s="43" t="n">
        <v>45021</v>
      </c>
      <c r="C403" s="37" t="inlineStr">
        <is>
          <t>WL-03861</t>
        </is>
      </c>
      <c r="D403" s="37" t="n">
        <v>2861</v>
      </c>
      <c r="E403" s="37" t="inlineStr">
        <is>
          <t>VB-1013</t>
        </is>
      </c>
      <c r="F403" s="37" t="inlineStr">
        <is>
          <t>Vessbank</t>
        </is>
      </c>
      <c r="G403" s="37" t="n">
        <v>28</v>
      </c>
      <c r="H403" s="37" t="inlineStr">
        <is>
          <t>COVERED</t>
        </is>
      </c>
      <c r="I403" s="37" t="inlineStr">
        <is>
          <t>ACCEPTED</t>
        </is>
      </c>
    </row>
    <row r="404">
      <c r="A404" s="37" t="inlineStr">
        <is>
          <t>OFR-2023-0403</t>
        </is>
      </c>
      <c r="B404" s="43" t="n">
        <v>45044</v>
      </c>
      <c r="C404" s="37" t="inlineStr">
        <is>
          <t>WL-01274</t>
        </is>
      </c>
      <c r="D404" s="37" t="n">
        <v>274</v>
      </c>
      <c r="E404" s="37" t="inlineStr">
        <is>
          <t>GW-0905</t>
        </is>
      </c>
      <c r="F404" s="37" t="inlineStr">
        <is>
          <t>Gullwing</t>
        </is>
      </c>
      <c r="G404" s="37" t="n">
        <v>50</v>
      </c>
      <c r="H404" s="37" t="inlineStr">
        <is>
          <t>OPEN</t>
        </is>
      </c>
      <c r="I404" s="37" t="inlineStr">
        <is>
          <t>SKIPPED</t>
        </is>
      </c>
      <c r="J404" s="37" t="inlineStr">
        <is>
          <t>vessel-fit</t>
        </is>
      </c>
    </row>
    <row r="405">
      <c r="A405" s="37" t="inlineStr">
        <is>
          <t>OFR-2023-0404</t>
        </is>
      </c>
      <c r="B405" s="43" t="n">
        <v>45038</v>
      </c>
      <c r="C405" s="37" t="inlineStr">
        <is>
          <t>WL-02797</t>
        </is>
      </c>
      <c r="D405" s="37" t="n">
        <v>1797</v>
      </c>
      <c r="E405" s="37" t="inlineStr">
        <is>
          <t>GW-1003</t>
        </is>
      </c>
      <c r="F405" s="37" t="inlineStr">
        <is>
          <t>Gullwing</t>
        </is>
      </c>
      <c r="G405" s="37" t="n">
        <v>24</v>
      </c>
      <c r="H405" s="37" t="inlineStr">
        <is>
          <t>OPEN</t>
        </is>
      </c>
      <c r="I405" s="37" t="inlineStr">
        <is>
          <t>ACCEPTED</t>
        </is>
      </c>
    </row>
    <row r="406">
      <c r="A406" s="37" t="inlineStr">
        <is>
          <t>OFR-2023-0405</t>
        </is>
      </c>
      <c r="B406" s="43" t="n">
        <v>45035</v>
      </c>
      <c r="C406" s="37" t="inlineStr">
        <is>
          <t>WL-02132</t>
        </is>
      </c>
      <c r="D406" s="37" t="n">
        <v>1132</v>
      </c>
      <c r="E406" s="37" t="inlineStr">
        <is>
          <t>VB-0610</t>
        </is>
      </c>
      <c r="F406" s="37" t="inlineStr">
        <is>
          <t>Vessbank</t>
        </is>
      </c>
      <c r="G406" s="37" t="n">
        <v>32</v>
      </c>
      <c r="H406" s="37" t="inlineStr">
        <is>
          <t>COVERED</t>
        </is>
      </c>
      <c r="I406" s="37" t="inlineStr">
        <is>
          <t>ACCEPTED</t>
        </is>
      </c>
    </row>
    <row r="407">
      <c r="A407" s="37" t="inlineStr">
        <is>
          <t>OFR-2023-0406</t>
        </is>
      </c>
      <c r="B407" s="43" t="n">
        <v>45034</v>
      </c>
      <c r="C407" s="37" t="inlineStr">
        <is>
          <t>WL-02266</t>
        </is>
      </c>
      <c r="D407" s="37" t="n">
        <v>1266</v>
      </c>
      <c r="E407" s="37" t="inlineStr">
        <is>
          <t>VB-0522</t>
        </is>
      </c>
      <c r="F407" s="37" t="inlineStr">
        <is>
          <t>Vessbank</t>
        </is>
      </c>
      <c r="G407" s="37" t="n">
        <v>32</v>
      </c>
      <c r="H407" s="37" t="inlineStr">
        <is>
          <t>COVERED</t>
        </is>
      </c>
      <c r="I407" s="37" t="inlineStr">
        <is>
          <t>ACCEPTED</t>
        </is>
      </c>
    </row>
    <row r="408">
      <c r="A408" s="37" t="inlineStr">
        <is>
          <t>OFR-2023-0407</t>
        </is>
      </c>
      <c r="B408" s="43" t="n">
        <v>45017</v>
      </c>
      <c r="C408" s="37" t="inlineStr">
        <is>
          <t>WL-01948</t>
        </is>
      </c>
      <c r="D408" s="37" t="n">
        <v>948</v>
      </c>
      <c r="E408" s="37" t="inlineStr">
        <is>
          <t>SB-0715</t>
        </is>
      </c>
      <c r="F408" s="37" t="inlineStr">
        <is>
          <t>Salmonberry</t>
        </is>
      </c>
      <c r="G408" s="37" t="n">
        <v>28</v>
      </c>
      <c r="H408" s="37" t="inlineStr">
        <is>
          <t>OPEN</t>
        </is>
      </c>
      <c r="I408" s="37" t="inlineStr">
        <is>
          <t>EXPIRED</t>
        </is>
      </c>
    </row>
    <row r="409">
      <c r="A409" s="37" t="inlineStr">
        <is>
          <t>OFR-2023-0408</t>
        </is>
      </c>
      <c r="B409" s="43" t="n">
        <v>45041</v>
      </c>
      <c r="C409" s="37" t="inlineStr">
        <is>
          <t>WL-03140</t>
        </is>
      </c>
      <c r="D409" s="37" t="n">
        <v>2140</v>
      </c>
      <c r="E409" s="37" t="inlineStr">
        <is>
          <t>VB-1021</t>
        </is>
      </c>
      <c r="F409" s="37" t="inlineStr">
        <is>
          <t>Vessbank</t>
        </is>
      </c>
      <c r="G409" s="37" t="n">
        <v>40</v>
      </c>
      <c r="H409" s="37" t="inlineStr">
        <is>
          <t>COVERED</t>
        </is>
      </c>
      <c r="I409" s="37" t="inlineStr">
        <is>
          <t>ACCEPTED</t>
        </is>
      </c>
    </row>
    <row r="410">
      <c r="A410" s="37" t="inlineStr">
        <is>
          <t>OFR-2023-0409</t>
        </is>
      </c>
      <c r="B410" s="43" t="n">
        <v>45018</v>
      </c>
      <c r="C410" s="37" t="inlineStr">
        <is>
          <t>WL-01089</t>
        </is>
      </c>
      <c r="D410" s="37" t="n">
        <v>89</v>
      </c>
      <c r="E410" s="37" t="inlineStr">
        <is>
          <t>GW-0306</t>
        </is>
      </c>
      <c r="F410" s="37" t="inlineStr">
        <is>
          <t>Gullwing</t>
        </is>
      </c>
      <c r="G410" s="37" t="n">
        <v>32</v>
      </c>
      <c r="H410" s="37" t="inlineStr">
        <is>
          <t>OPEN</t>
        </is>
      </c>
      <c r="I410" s="37" t="inlineStr">
        <is>
          <t>SKIPPED</t>
        </is>
      </c>
      <c r="J410" s="37" t="inlineStr">
        <is>
          <t>declined-prior-offer</t>
        </is>
      </c>
    </row>
    <row r="411">
      <c r="A411" s="37" t="inlineStr">
        <is>
          <t>OFR-2023-0410</t>
        </is>
      </c>
      <c r="B411" s="43" t="n">
        <v>45063</v>
      </c>
      <c r="C411" s="37" t="inlineStr">
        <is>
          <t>WL-03334</t>
        </is>
      </c>
      <c r="D411" s="37" t="n">
        <v>2334</v>
      </c>
      <c r="E411" s="37" t="inlineStr">
        <is>
          <t>SB-0211</t>
        </is>
      </c>
      <c r="F411" s="37" t="inlineStr">
        <is>
          <t>Salmonberry</t>
        </is>
      </c>
      <c r="G411" s="37" t="n">
        <v>45</v>
      </c>
      <c r="H411" s="37" t="inlineStr">
        <is>
          <t>OPEN</t>
        </is>
      </c>
      <c r="I411" s="37" t="inlineStr">
        <is>
          <t>ACCEPTED</t>
        </is>
      </c>
    </row>
    <row r="412">
      <c r="A412" s="37" t="inlineStr">
        <is>
          <t>OFR-2023-0411</t>
        </is>
      </c>
      <c r="B412" s="43" t="n">
        <v>45059</v>
      </c>
      <c r="C412" s="37" t="inlineStr">
        <is>
          <t>WL-02485</t>
        </is>
      </c>
      <c r="D412" s="37" t="n">
        <v>1485</v>
      </c>
      <c r="E412" s="37" t="inlineStr">
        <is>
          <t>VB-0521</t>
        </is>
      </c>
      <c r="F412" s="37" t="inlineStr">
        <is>
          <t>Vessbank</t>
        </is>
      </c>
      <c r="G412" s="37" t="n">
        <v>32</v>
      </c>
      <c r="H412" s="37" t="inlineStr">
        <is>
          <t>COVERED</t>
        </is>
      </c>
      <c r="I412" s="37" t="inlineStr">
        <is>
          <t>SKIPPED</t>
        </is>
      </c>
      <c r="J412" s="37" t="inlineStr">
        <is>
          <t>not-current</t>
        </is>
      </c>
    </row>
    <row r="413">
      <c r="A413" s="37" t="inlineStr">
        <is>
          <t>OFR-2023-0412</t>
        </is>
      </c>
      <c r="B413" s="43" t="n">
        <v>45051</v>
      </c>
      <c r="C413" s="37" t="inlineStr">
        <is>
          <t>WL-03151</t>
        </is>
      </c>
      <c r="D413" s="37" t="n">
        <v>2151</v>
      </c>
      <c r="E413" s="37" t="inlineStr">
        <is>
          <t>VB-0220</t>
        </is>
      </c>
      <c r="F413" s="37" t="inlineStr">
        <is>
          <t>Vessbank</t>
        </is>
      </c>
      <c r="G413" s="37" t="n">
        <v>28</v>
      </c>
      <c r="H413" s="37" t="inlineStr">
        <is>
          <t>COVERED</t>
        </is>
      </c>
      <c r="I413" s="37" t="inlineStr">
        <is>
          <t>SKIPPED</t>
        </is>
      </c>
      <c r="J413" s="37" t="inlineStr">
        <is>
          <t>declined-prior-offer</t>
        </is>
      </c>
    </row>
    <row r="414">
      <c r="A414" s="37" t="inlineStr">
        <is>
          <t>OFR-2023-0413</t>
        </is>
      </c>
      <c r="B414" s="43" t="n">
        <v>45066</v>
      </c>
      <c r="C414" s="37" t="inlineStr">
        <is>
          <t>WL-03829</t>
        </is>
      </c>
      <c r="D414" s="37" t="n">
        <v>2829</v>
      </c>
      <c r="E414" s="37" t="inlineStr">
        <is>
          <t>SB-0708</t>
        </is>
      </c>
      <c r="F414" s="37" t="inlineStr">
        <is>
          <t>Salmonberry</t>
        </is>
      </c>
      <c r="G414" s="37" t="n">
        <v>24</v>
      </c>
      <c r="H414" s="37" t="inlineStr">
        <is>
          <t>OPEN</t>
        </is>
      </c>
      <c r="I414" s="37" t="inlineStr">
        <is>
          <t>ACCEPTED</t>
        </is>
      </c>
    </row>
    <row r="415">
      <c r="A415" s="37" t="inlineStr">
        <is>
          <t>OFR-2023-0414</t>
        </is>
      </c>
      <c r="B415" s="43" t="n">
        <v>45065</v>
      </c>
      <c r="C415" s="37" t="inlineStr">
        <is>
          <t>WL-03643</t>
        </is>
      </c>
      <c r="D415" s="37" t="n">
        <v>2643</v>
      </c>
      <c r="E415" s="37" t="inlineStr">
        <is>
          <t>VB-0607</t>
        </is>
      </c>
      <c r="F415" s="37" t="inlineStr">
        <is>
          <t>Vessbank</t>
        </is>
      </c>
      <c r="G415" s="37" t="n">
        <v>36</v>
      </c>
      <c r="H415" s="37" t="inlineStr">
        <is>
          <t>COVERED</t>
        </is>
      </c>
      <c r="I415" s="37" t="inlineStr">
        <is>
          <t>ACCEPTED</t>
        </is>
      </c>
    </row>
    <row r="416">
      <c r="A416" s="37" t="inlineStr">
        <is>
          <t>OFR-2023-0415</t>
        </is>
      </c>
      <c r="B416" s="43" t="n">
        <v>45069</v>
      </c>
      <c r="C416" s="37" t="inlineStr">
        <is>
          <t>WL-01917</t>
        </is>
      </c>
      <c r="D416" s="37" t="n">
        <v>917</v>
      </c>
      <c r="E416" s="37" t="inlineStr">
        <is>
          <t>VB-0322</t>
        </is>
      </c>
      <c r="F416" s="37" t="inlineStr">
        <is>
          <t>Vessbank</t>
        </is>
      </c>
      <c r="G416" s="37" t="n">
        <v>40</v>
      </c>
      <c r="H416" s="37" t="inlineStr">
        <is>
          <t>COVERED</t>
        </is>
      </c>
      <c r="I416" s="37" t="inlineStr">
        <is>
          <t>ACCEPTED</t>
        </is>
      </c>
    </row>
    <row r="417">
      <c r="A417" s="37" t="inlineStr">
        <is>
          <t>OFR-2023-0416</t>
        </is>
      </c>
      <c r="B417" s="43" t="n">
        <v>45072</v>
      </c>
      <c r="C417" s="37" t="inlineStr">
        <is>
          <t>WL-03732</t>
        </is>
      </c>
      <c r="D417" s="37" t="n">
        <v>2732</v>
      </c>
      <c r="E417" s="37" t="inlineStr">
        <is>
          <t>VB-0907</t>
        </is>
      </c>
      <c r="F417" s="37" t="inlineStr">
        <is>
          <t>Vessbank</t>
        </is>
      </c>
      <c r="G417" s="37" t="n">
        <v>28</v>
      </c>
      <c r="H417" s="37" t="inlineStr">
        <is>
          <t>COVERED</t>
        </is>
      </c>
      <c r="I417" s="37" t="inlineStr">
        <is>
          <t>DECLINED</t>
        </is>
      </c>
    </row>
    <row r="418">
      <c r="A418" s="37" t="inlineStr">
        <is>
          <t>OFR-2023-0417</t>
        </is>
      </c>
      <c r="B418" s="43" t="n">
        <v>45048</v>
      </c>
      <c r="C418" s="37" t="inlineStr">
        <is>
          <t>WL-01469</t>
        </is>
      </c>
      <c r="D418" s="37" t="n">
        <v>469</v>
      </c>
      <c r="E418" s="37" t="inlineStr">
        <is>
          <t>LP-1104</t>
        </is>
      </c>
      <c r="F418" s="37" t="inlineStr">
        <is>
          <t>Ledgport</t>
        </is>
      </c>
      <c r="G418" s="37" t="n">
        <v>32</v>
      </c>
      <c r="H418" s="37" t="inlineStr">
        <is>
          <t>COVERED</t>
        </is>
      </c>
      <c r="I418" s="37" t="inlineStr">
        <is>
          <t>SKIPPED</t>
        </is>
      </c>
      <c r="J418" s="37" t="inlineStr">
        <is>
          <t>vessel-fit</t>
        </is>
      </c>
    </row>
    <row r="419">
      <c r="A419" s="37" t="inlineStr">
        <is>
          <t>OFR-2023-0418</t>
        </is>
      </c>
      <c r="B419" s="43" t="n">
        <v>45058</v>
      </c>
      <c r="C419" s="37" t="inlineStr">
        <is>
          <t>WL-03181</t>
        </is>
      </c>
      <c r="D419" s="37" t="n">
        <v>2181</v>
      </c>
      <c r="E419" s="37" t="inlineStr">
        <is>
          <t>SB-0903</t>
        </is>
      </c>
      <c r="F419" s="37" t="inlineStr">
        <is>
          <t>Salmonberry</t>
        </is>
      </c>
      <c r="G419" s="37" t="n">
        <v>80</v>
      </c>
      <c r="H419" s="37" t="inlineStr">
        <is>
          <t>OPEN</t>
        </is>
      </c>
      <c r="I419" s="37" t="inlineStr">
        <is>
          <t>SKIPPED</t>
        </is>
      </c>
      <c r="J419" s="37" t="inlineStr">
        <is>
          <t>vessel-fit</t>
        </is>
      </c>
    </row>
    <row r="420">
      <c r="A420" s="37" t="inlineStr">
        <is>
          <t>OFR-2023-0419</t>
        </is>
      </c>
      <c r="B420" s="43" t="n">
        <v>45066</v>
      </c>
      <c r="C420" s="37" t="inlineStr">
        <is>
          <t>WL-03816</t>
        </is>
      </c>
      <c r="D420" s="37" t="n">
        <v>2816</v>
      </c>
      <c r="E420" s="37" t="inlineStr">
        <is>
          <t>VB-0113</t>
        </is>
      </c>
      <c r="F420" s="37" t="inlineStr">
        <is>
          <t>Vessbank</t>
        </is>
      </c>
      <c r="G420" s="37" t="n">
        <v>28</v>
      </c>
      <c r="H420" s="37" t="inlineStr">
        <is>
          <t>COVERED</t>
        </is>
      </c>
      <c r="I420" s="37" t="inlineStr">
        <is>
          <t>SKIPPED</t>
        </is>
      </c>
      <c r="J420" s="37" t="inlineStr">
        <is>
          <t>preference-mismatch</t>
        </is>
      </c>
    </row>
    <row r="421">
      <c r="A421" s="37" t="inlineStr">
        <is>
          <t>OFR-2023-0420</t>
        </is>
      </c>
      <c r="B421" s="43" t="n">
        <v>45049</v>
      </c>
      <c r="C421" s="37" t="inlineStr">
        <is>
          <t>WL-03828</t>
        </is>
      </c>
      <c r="D421" s="37" t="n">
        <v>2828</v>
      </c>
      <c r="E421" s="37" t="inlineStr">
        <is>
          <t>LP-0301</t>
        </is>
      </c>
      <c r="F421" s="37" t="inlineStr">
        <is>
          <t>Ledgport</t>
        </is>
      </c>
      <c r="G421" s="37" t="n">
        <v>28</v>
      </c>
      <c r="H421" s="37" t="inlineStr">
        <is>
          <t>COVERED</t>
        </is>
      </c>
      <c r="I421" s="37" t="inlineStr">
        <is>
          <t>PENDING</t>
        </is>
      </c>
    </row>
    <row r="422">
      <c r="A422" s="37" t="inlineStr">
        <is>
          <t>OFR-2023-0421</t>
        </is>
      </c>
      <c r="B422" s="43" t="n">
        <v>45067</v>
      </c>
      <c r="C422" s="37" t="inlineStr">
        <is>
          <t>WL-03712</t>
        </is>
      </c>
      <c r="D422" s="37" t="n">
        <v>2712</v>
      </c>
      <c r="E422" s="37" t="inlineStr">
        <is>
          <t>LP-0113</t>
        </is>
      </c>
      <c r="F422" s="37" t="inlineStr">
        <is>
          <t>Ledgport</t>
        </is>
      </c>
      <c r="G422" s="37" t="n">
        <v>36</v>
      </c>
      <c r="H422" s="37" t="inlineStr">
        <is>
          <t>COVERED</t>
        </is>
      </c>
      <c r="I422" s="37" t="inlineStr">
        <is>
          <t>SKIPPED</t>
        </is>
      </c>
      <c r="J422" s="37" t="inlineStr">
        <is>
          <t>declined-prior-offer</t>
        </is>
      </c>
    </row>
    <row r="423">
      <c r="A423" s="37" t="inlineStr">
        <is>
          <t>OFR-2023-0422</t>
        </is>
      </c>
      <c r="B423" s="43" t="n">
        <v>45065</v>
      </c>
      <c r="C423" s="37" t="inlineStr">
        <is>
          <t>WL-02100</t>
        </is>
      </c>
      <c r="D423" s="37" t="n">
        <v>1100</v>
      </c>
      <c r="E423" s="37" t="inlineStr">
        <is>
          <t>VB-0504</t>
        </is>
      </c>
      <c r="F423" s="37" t="inlineStr">
        <is>
          <t>Vessbank</t>
        </is>
      </c>
      <c r="G423" s="37" t="n">
        <v>36</v>
      </c>
      <c r="H423" s="37" t="inlineStr">
        <is>
          <t>COVERED</t>
        </is>
      </c>
      <c r="I423" s="37" t="inlineStr">
        <is>
          <t>SKIPPED</t>
        </is>
      </c>
      <c r="J423" s="37" t="inlineStr">
        <is>
          <t>preference-mismatch</t>
        </is>
      </c>
    </row>
    <row r="424">
      <c r="A424" s="37" t="inlineStr">
        <is>
          <t>OFR-2023-0423</t>
        </is>
      </c>
      <c r="B424" s="43" t="n">
        <v>45052</v>
      </c>
      <c r="C424" s="37" t="inlineStr">
        <is>
          <t>WL-02632</t>
        </is>
      </c>
      <c r="D424" s="37" t="n">
        <v>1632</v>
      </c>
      <c r="E424" s="37" t="inlineStr">
        <is>
          <t>GW-0709</t>
        </is>
      </c>
      <c r="F424" s="37" t="inlineStr">
        <is>
          <t>Gullwing</t>
        </is>
      </c>
      <c r="G424" s="37" t="n">
        <v>32</v>
      </c>
      <c r="H424" s="37" t="inlineStr">
        <is>
          <t>OPEN</t>
        </is>
      </c>
      <c r="I424" s="37" t="inlineStr">
        <is>
          <t>PENDING</t>
        </is>
      </c>
    </row>
    <row r="425">
      <c r="A425" s="37" t="inlineStr">
        <is>
          <t>OFR-2023-0424</t>
        </is>
      </c>
      <c r="B425" s="43" t="n">
        <v>45053</v>
      </c>
      <c r="C425" s="37" t="inlineStr">
        <is>
          <t>WL-01078</t>
        </is>
      </c>
      <c r="D425" s="37" t="n">
        <v>78</v>
      </c>
      <c r="E425" s="37" t="inlineStr">
        <is>
          <t>LP-1001</t>
        </is>
      </c>
      <c r="F425" s="37" t="inlineStr">
        <is>
          <t>Ledgport</t>
        </is>
      </c>
      <c r="G425" s="37" t="n">
        <v>40</v>
      </c>
      <c r="H425" s="37" t="inlineStr">
        <is>
          <t>COVERED</t>
        </is>
      </c>
      <c r="I425" s="37" t="inlineStr">
        <is>
          <t>DECLINED</t>
        </is>
      </c>
    </row>
    <row r="426">
      <c r="A426" s="37" t="inlineStr">
        <is>
          <t>OFR-2023-0425</t>
        </is>
      </c>
      <c r="B426" s="43" t="n">
        <v>45062</v>
      </c>
      <c r="C426" s="37" t="inlineStr">
        <is>
          <t>WL-01804</t>
        </is>
      </c>
      <c r="D426" s="37" t="n">
        <v>804</v>
      </c>
      <c r="E426" s="37" t="inlineStr">
        <is>
          <t>GW-0414</t>
        </is>
      </c>
      <c r="F426" s="37" t="inlineStr">
        <is>
          <t>Gullwing</t>
        </is>
      </c>
      <c r="G426" s="37" t="n">
        <v>45</v>
      </c>
      <c r="H426" s="37" t="inlineStr">
        <is>
          <t>OPEN</t>
        </is>
      </c>
      <c r="I426" s="37" t="inlineStr">
        <is>
          <t>PENDING</t>
        </is>
      </c>
    </row>
    <row r="427">
      <c r="A427" s="37" t="inlineStr">
        <is>
          <t>OFR-2023-0426</t>
        </is>
      </c>
      <c r="B427" s="43" t="n">
        <v>45059</v>
      </c>
      <c r="C427" s="37" t="inlineStr">
        <is>
          <t>WL-01822</t>
        </is>
      </c>
      <c r="D427" s="37" t="n">
        <v>822</v>
      </c>
      <c r="E427" s="37" t="inlineStr">
        <is>
          <t>EW-0615</t>
        </is>
      </c>
      <c r="F427" s="37" t="inlineStr">
        <is>
          <t>Eastwey</t>
        </is>
      </c>
      <c r="G427" s="37" t="n">
        <v>45</v>
      </c>
      <c r="H427" s="37" t="inlineStr">
        <is>
          <t>OPEN</t>
        </is>
      </c>
      <c r="I427" s="37" t="inlineStr">
        <is>
          <t>ACCEPTED</t>
        </is>
      </c>
    </row>
    <row r="428">
      <c r="A428" s="37" t="inlineStr">
        <is>
          <t>OFR-2023-0427</t>
        </is>
      </c>
      <c r="B428" s="43" t="n">
        <v>45053</v>
      </c>
      <c r="C428" s="37" t="inlineStr">
        <is>
          <t>WL-02848</t>
        </is>
      </c>
      <c r="D428" s="37" t="n">
        <v>1848</v>
      </c>
      <c r="E428" s="37" t="inlineStr">
        <is>
          <t>GW-0708</t>
        </is>
      </c>
      <c r="F428" s="37" t="inlineStr">
        <is>
          <t>Gullwing</t>
        </is>
      </c>
      <c r="G428" s="37" t="n">
        <v>70</v>
      </c>
      <c r="H428" s="37" t="inlineStr">
        <is>
          <t>OPEN</t>
        </is>
      </c>
      <c r="I428" s="37" t="inlineStr">
        <is>
          <t>ACCEPTED</t>
        </is>
      </c>
    </row>
    <row r="429">
      <c r="A429" s="37" t="inlineStr">
        <is>
          <t>OFR-2023-0428</t>
        </is>
      </c>
      <c r="B429" s="43" t="n">
        <v>45067</v>
      </c>
      <c r="C429" s="37" t="inlineStr">
        <is>
          <t>WL-01576</t>
        </is>
      </c>
      <c r="D429" s="37" t="n">
        <v>576</v>
      </c>
      <c r="E429" s="37" t="inlineStr">
        <is>
          <t>EW-0816</t>
        </is>
      </c>
      <c r="F429" s="37" t="inlineStr">
        <is>
          <t>Eastwey</t>
        </is>
      </c>
      <c r="G429" s="37" t="n">
        <v>80</v>
      </c>
      <c r="H429" s="37" t="inlineStr">
        <is>
          <t>OPEN</t>
        </is>
      </c>
      <c r="I429" s="37" t="inlineStr">
        <is>
          <t>ACCEPTED</t>
        </is>
      </c>
    </row>
    <row r="430">
      <c r="A430" s="37" t="inlineStr">
        <is>
          <t>OFR-2023-0429</t>
        </is>
      </c>
      <c r="B430" s="43" t="n">
        <v>45067</v>
      </c>
      <c r="C430" s="37" t="inlineStr">
        <is>
          <t>WL-02777</t>
        </is>
      </c>
      <c r="D430" s="37" t="n">
        <v>1777</v>
      </c>
      <c r="E430" s="37" t="inlineStr">
        <is>
          <t>LP-0402</t>
        </is>
      </c>
      <c r="F430" s="37" t="inlineStr">
        <is>
          <t>Ledgport</t>
        </is>
      </c>
      <c r="G430" s="37" t="n">
        <v>28</v>
      </c>
      <c r="H430" s="37" t="inlineStr">
        <is>
          <t>COVERED</t>
        </is>
      </c>
      <c r="I430" s="37" t="inlineStr">
        <is>
          <t>SKIPPED</t>
        </is>
      </c>
      <c r="J430" s="37" t="inlineStr">
        <is>
          <t>vessel-fit</t>
        </is>
      </c>
    </row>
    <row r="431">
      <c r="A431" s="37" t="inlineStr">
        <is>
          <t>OFR-2023-0430</t>
        </is>
      </c>
      <c r="B431" s="43" t="n">
        <v>45072</v>
      </c>
      <c r="C431" s="37" t="inlineStr">
        <is>
          <t>WL-01876</t>
        </is>
      </c>
      <c r="D431" s="37" t="n">
        <v>876</v>
      </c>
      <c r="E431" s="37" t="inlineStr">
        <is>
          <t>SB-0521</t>
        </is>
      </c>
      <c r="F431" s="37" t="inlineStr">
        <is>
          <t>Salmonberry</t>
        </is>
      </c>
      <c r="G431" s="37" t="n">
        <v>28</v>
      </c>
      <c r="H431" s="37" t="inlineStr">
        <is>
          <t>OPEN</t>
        </is>
      </c>
      <c r="I431" s="37" t="inlineStr">
        <is>
          <t>DECLINED</t>
        </is>
      </c>
    </row>
    <row r="432">
      <c r="A432" s="37" t="inlineStr">
        <is>
          <t>OFR-2023-0431</t>
        </is>
      </c>
      <c r="B432" s="43" t="n">
        <v>45071</v>
      </c>
      <c r="C432" s="37" t="inlineStr">
        <is>
          <t>WL-01612</t>
        </is>
      </c>
      <c r="D432" s="37" t="n">
        <v>612</v>
      </c>
      <c r="E432" s="37" t="inlineStr">
        <is>
          <t>EW-0905</t>
        </is>
      </c>
      <c r="F432" s="37" t="inlineStr">
        <is>
          <t>Eastwey</t>
        </is>
      </c>
      <c r="G432" s="37" t="n">
        <v>45</v>
      </c>
      <c r="H432" s="37" t="inlineStr">
        <is>
          <t>OPEN</t>
        </is>
      </c>
      <c r="I432" s="37" t="inlineStr">
        <is>
          <t>ACCEPTED</t>
        </is>
      </c>
    </row>
    <row r="433">
      <c r="A433" s="37" t="inlineStr">
        <is>
          <t>OFR-2023-0432</t>
        </is>
      </c>
      <c r="B433" s="43" t="n">
        <v>45056</v>
      </c>
      <c r="C433" s="37" t="inlineStr">
        <is>
          <t>WL-02134</t>
        </is>
      </c>
      <c r="D433" s="37" t="n">
        <v>1134</v>
      </c>
      <c r="E433" s="37" t="inlineStr">
        <is>
          <t>EW-0320</t>
        </is>
      </c>
      <c r="F433" s="37" t="inlineStr">
        <is>
          <t>Eastwey</t>
        </is>
      </c>
      <c r="G433" s="37" t="n">
        <v>60</v>
      </c>
      <c r="H433" s="37" t="inlineStr">
        <is>
          <t>OPEN</t>
        </is>
      </c>
      <c r="I433" s="37" t="inlineStr">
        <is>
          <t>SKIPPED</t>
        </is>
      </c>
      <c r="J433" s="37" t="inlineStr">
        <is>
          <t>not-current</t>
        </is>
      </c>
    </row>
    <row r="434">
      <c r="A434" s="37" t="inlineStr">
        <is>
          <t>OFR-2023-0433</t>
        </is>
      </c>
      <c r="B434" s="43" t="n">
        <v>45065</v>
      </c>
      <c r="C434" s="37" t="inlineStr">
        <is>
          <t>WL-03464</t>
        </is>
      </c>
      <c r="D434" s="37" t="n">
        <v>2464</v>
      </c>
      <c r="E434" s="37" t="inlineStr">
        <is>
          <t>EW-0102</t>
        </is>
      </c>
      <c r="F434" s="37" t="inlineStr">
        <is>
          <t>Eastwey</t>
        </is>
      </c>
      <c r="G434" s="37" t="n">
        <v>24</v>
      </c>
      <c r="H434" s="37" t="inlineStr">
        <is>
          <t>OPEN</t>
        </is>
      </c>
      <c r="I434" s="37" t="inlineStr">
        <is>
          <t>ACCEPTED</t>
        </is>
      </c>
    </row>
    <row r="435">
      <c r="A435" s="37" t="inlineStr">
        <is>
          <t>OFR-2023-0434</t>
        </is>
      </c>
      <c r="B435" s="43" t="n">
        <v>45052</v>
      </c>
      <c r="C435" s="37" t="inlineStr">
        <is>
          <t>WL-02382</t>
        </is>
      </c>
      <c r="D435" s="37" t="n">
        <v>1382</v>
      </c>
      <c r="E435" s="37" t="inlineStr">
        <is>
          <t>LP-0513</t>
        </is>
      </c>
      <c r="F435" s="37" t="inlineStr">
        <is>
          <t>Ledgport</t>
        </is>
      </c>
      <c r="G435" s="37" t="n">
        <v>24</v>
      </c>
      <c r="H435" s="37" t="inlineStr">
        <is>
          <t>COVERED</t>
        </is>
      </c>
      <c r="I435" s="37" t="inlineStr">
        <is>
          <t>DECLINED</t>
        </is>
      </c>
    </row>
    <row r="436">
      <c r="A436" s="37" t="inlineStr">
        <is>
          <t>OFR-2023-0435</t>
        </is>
      </c>
      <c r="B436" s="43" t="n">
        <v>45067</v>
      </c>
      <c r="C436" s="37" t="inlineStr">
        <is>
          <t>WL-01420</t>
        </is>
      </c>
      <c r="D436" s="37" t="n">
        <v>420</v>
      </c>
      <c r="E436" s="37" t="inlineStr">
        <is>
          <t>SB-0405</t>
        </is>
      </c>
      <c r="F436" s="37" t="inlineStr">
        <is>
          <t>Salmonberry</t>
        </is>
      </c>
      <c r="G436" s="37" t="n">
        <v>45</v>
      </c>
      <c r="H436" s="37" t="inlineStr">
        <is>
          <t>OPEN</t>
        </is>
      </c>
      <c r="I436" s="37" t="inlineStr">
        <is>
          <t>SKIPPED</t>
        </is>
      </c>
      <c r="J436" s="37" t="inlineStr">
        <is>
          <t>vessel-fit</t>
        </is>
      </c>
    </row>
    <row r="437">
      <c r="A437" s="37" t="inlineStr">
        <is>
          <t>OFR-2023-0436</t>
        </is>
      </c>
      <c r="B437" s="43" t="n">
        <v>45050</v>
      </c>
      <c r="C437" s="37" t="inlineStr">
        <is>
          <t>WL-03537</t>
        </is>
      </c>
      <c r="D437" s="37" t="n">
        <v>2537</v>
      </c>
      <c r="E437" s="37" t="inlineStr">
        <is>
          <t>GW-0709</t>
        </is>
      </c>
      <c r="F437" s="37" t="inlineStr">
        <is>
          <t>Gullwing</t>
        </is>
      </c>
      <c r="G437" s="37" t="n">
        <v>32</v>
      </c>
      <c r="H437" s="37" t="inlineStr">
        <is>
          <t>OPEN</t>
        </is>
      </c>
      <c r="I437" s="37" t="inlineStr">
        <is>
          <t>SKIPPED</t>
        </is>
      </c>
      <c r="J437" s="37" t="inlineStr">
        <is>
          <t>not-current</t>
        </is>
      </c>
    </row>
    <row r="438">
      <c r="A438" s="37" t="inlineStr">
        <is>
          <t>OFR-2023-0437</t>
        </is>
      </c>
      <c r="B438" s="43" t="n">
        <v>45047</v>
      </c>
      <c r="C438" s="37" t="inlineStr">
        <is>
          <t>WL-01442</t>
        </is>
      </c>
      <c r="D438" s="37" t="n">
        <v>442</v>
      </c>
      <c r="E438" s="37" t="inlineStr">
        <is>
          <t>VB-0617</t>
        </is>
      </c>
      <c r="F438" s="37" t="inlineStr">
        <is>
          <t>Vessbank</t>
        </is>
      </c>
      <c r="G438" s="37" t="n">
        <v>40</v>
      </c>
      <c r="H438" s="37" t="inlineStr">
        <is>
          <t>COVERED</t>
        </is>
      </c>
      <c r="I438" s="37" t="inlineStr">
        <is>
          <t>EXPIRED</t>
        </is>
      </c>
    </row>
    <row r="439">
      <c r="A439" s="37" t="inlineStr">
        <is>
          <t>OFR-2023-0438</t>
        </is>
      </c>
      <c r="B439" s="43" t="n">
        <v>45055</v>
      </c>
      <c r="C439" s="37" t="inlineStr">
        <is>
          <t>WL-03533</t>
        </is>
      </c>
      <c r="D439" s="37" t="n">
        <v>2533</v>
      </c>
      <c r="E439" s="37" t="inlineStr">
        <is>
          <t>SB-0410</t>
        </is>
      </c>
      <c r="F439" s="37" t="inlineStr">
        <is>
          <t>Salmonberry</t>
        </is>
      </c>
      <c r="G439" s="37" t="n">
        <v>24</v>
      </c>
      <c r="H439" s="37" t="inlineStr">
        <is>
          <t>OPEN</t>
        </is>
      </c>
      <c r="I439" s="37" t="inlineStr">
        <is>
          <t>ACCEPTED</t>
        </is>
      </c>
    </row>
    <row r="440">
      <c r="A440" s="37" t="inlineStr">
        <is>
          <t>OFR-2023-0439</t>
        </is>
      </c>
      <c r="B440" s="43" t="n">
        <v>45073</v>
      </c>
      <c r="C440" s="37" t="inlineStr">
        <is>
          <t>WL-02819</t>
        </is>
      </c>
      <c r="D440" s="37" t="n">
        <v>1819</v>
      </c>
      <c r="E440" s="37" t="inlineStr">
        <is>
          <t>GW-0114</t>
        </is>
      </c>
      <c r="F440" s="37" t="inlineStr">
        <is>
          <t>Gullwing</t>
        </is>
      </c>
      <c r="G440" s="37" t="n">
        <v>24</v>
      </c>
      <c r="H440" s="37" t="inlineStr">
        <is>
          <t>OPEN</t>
        </is>
      </c>
      <c r="I440" s="37" t="inlineStr">
        <is>
          <t>ACCEPTED</t>
        </is>
      </c>
    </row>
    <row r="441">
      <c r="A441" s="37" t="inlineStr">
        <is>
          <t>OFR-2023-0440</t>
        </is>
      </c>
      <c r="B441" s="43" t="n">
        <v>45048</v>
      </c>
      <c r="C441" s="37" t="inlineStr">
        <is>
          <t>WL-03178</t>
        </is>
      </c>
      <c r="D441" s="37" t="n">
        <v>2178</v>
      </c>
      <c r="E441" s="37" t="inlineStr">
        <is>
          <t>VB-0810</t>
        </is>
      </c>
      <c r="F441" s="37" t="inlineStr">
        <is>
          <t>Vessbank</t>
        </is>
      </c>
      <c r="G441" s="37" t="n">
        <v>32</v>
      </c>
      <c r="H441" s="37" t="inlineStr">
        <is>
          <t>COVERED</t>
        </is>
      </c>
      <c r="I441" s="37" t="inlineStr">
        <is>
          <t>SKIPPED</t>
        </is>
      </c>
      <c r="J441" s="37" t="inlineStr">
        <is>
          <t>vessel-fit</t>
        </is>
      </c>
    </row>
    <row r="442">
      <c r="A442" s="37" t="inlineStr">
        <is>
          <t>OFR-2023-0441</t>
        </is>
      </c>
      <c r="B442" s="43" t="n">
        <v>45050</v>
      </c>
      <c r="C442" s="37" t="inlineStr">
        <is>
          <t>WL-01442</t>
        </is>
      </c>
      <c r="D442" s="37" t="n">
        <v>442</v>
      </c>
      <c r="E442" s="37" t="inlineStr">
        <is>
          <t>VB-1007</t>
        </is>
      </c>
      <c r="F442" s="37" t="inlineStr">
        <is>
          <t>Vessbank</t>
        </is>
      </c>
      <c r="G442" s="37" t="n">
        <v>36</v>
      </c>
      <c r="H442" s="37" t="inlineStr">
        <is>
          <t>COVERED</t>
        </is>
      </c>
      <c r="I442" s="37" t="inlineStr">
        <is>
          <t>ACCEPTED</t>
        </is>
      </c>
    </row>
    <row r="443">
      <c r="A443" s="37" t="inlineStr">
        <is>
          <t>OFR-2023-0442</t>
        </is>
      </c>
      <c r="B443" s="43" t="n">
        <v>45087</v>
      </c>
      <c r="C443" s="37" t="inlineStr">
        <is>
          <t>WL-02030</t>
        </is>
      </c>
      <c r="D443" s="37" t="n">
        <v>1030</v>
      </c>
      <c r="E443" s="37" t="inlineStr">
        <is>
          <t>LP-0418</t>
        </is>
      </c>
      <c r="F443" s="37" t="inlineStr">
        <is>
          <t>Ledgport</t>
        </is>
      </c>
      <c r="G443" s="37" t="n">
        <v>24</v>
      </c>
      <c r="H443" s="37" t="inlineStr">
        <is>
          <t>COVERED</t>
        </is>
      </c>
      <c r="I443" s="37" t="inlineStr">
        <is>
          <t>DECLINED</t>
        </is>
      </c>
    </row>
    <row r="444">
      <c r="A444" s="37" t="inlineStr">
        <is>
          <t>OFR-2023-0443</t>
        </is>
      </c>
      <c r="B444" s="43" t="n">
        <v>45087</v>
      </c>
      <c r="C444" s="37" t="inlineStr">
        <is>
          <t>WL-03085</t>
        </is>
      </c>
      <c r="D444" s="37" t="n">
        <v>2085</v>
      </c>
      <c r="E444" s="37" t="inlineStr">
        <is>
          <t>GW-0822</t>
        </is>
      </c>
      <c r="F444" s="37" t="inlineStr">
        <is>
          <t>Gullwing</t>
        </is>
      </c>
      <c r="G444" s="37" t="n">
        <v>24</v>
      </c>
      <c r="H444" s="37" t="inlineStr">
        <is>
          <t>OPEN</t>
        </is>
      </c>
      <c r="I444" s="37" t="inlineStr">
        <is>
          <t>ACCEPTED</t>
        </is>
      </c>
    </row>
    <row r="445">
      <c r="A445" s="37" t="inlineStr">
        <is>
          <t>OFR-2023-0444</t>
        </is>
      </c>
      <c r="B445" s="43" t="n">
        <v>45096</v>
      </c>
      <c r="C445" s="37" t="inlineStr">
        <is>
          <t>WL-03676</t>
        </is>
      </c>
      <c r="D445" s="37" t="n">
        <v>2676</v>
      </c>
      <c r="E445" s="37" t="inlineStr">
        <is>
          <t>SB-0907</t>
        </is>
      </c>
      <c r="F445" s="37" t="inlineStr">
        <is>
          <t>Salmonberry</t>
        </is>
      </c>
      <c r="G445" s="37" t="n">
        <v>32</v>
      </c>
      <c r="H445" s="37" t="inlineStr">
        <is>
          <t>OPEN</t>
        </is>
      </c>
      <c r="I445" s="37" t="inlineStr">
        <is>
          <t>DECLINED</t>
        </is>
      </c>
    </row>
    <row r="446">
      <c r="A446" s="37" t="inlineStr">
        <is>
          <t>OFR-2023-0445</t>
        </is>
      </c>
      <c r="B446" s="43" t="n">
        <v>45080</v>
      </c>
      <c r="C446" s="37" t="inlineStr">
        <is>
          <t>WL-02716</t>
        </is>
      </c>
      <c r="D446" s="37" t="n">
        <v>1716</v>
      </c>
      <c r="E446" s="37" t="inlineStr">
        <is>
          <t>EW-1016</t>
        </is>
      </c>
      <c r="F446" s="37" t="inlineStr">
        <is>
          <t>Eastwey</t>
        </is>
      </c>
      <c r="G446" s="37" t="n">
        <v>28</v>
      </c>
      <c r="H446" s="37" t="inlineStr">
        <is>
          <t>OPEN</t>
        </is>
      </c>
      <c r="I446" s="37" t="inlineStr">
        <is>
          <t>DECLINED</t>
        </is>
      </c>
    </row>
    <row r="447">
      <c r="A447" s="37" t="inlineStr">
        <is>
          <t>OFR-2023-0446</t>
        </is>
      </c>
      <c r="B447" s="43" t="n">
        <v>45089</v>
      </c>
      <c r="C447" s="37" t="inlineStr">
        <is>
          <t>WL-01263</t>
        </is>
      </c>
      <c r="D447" s="37" t="n">
        <v>263</v>
      </c>
      <c r="E447" s="37" t="inlineStr">
        <is>
          <t>VB-0605</t>
        </is>
      </c>
      <c r="F447" s="37" t="inlineStr">
        <is>
          <t>Vessbank</t>
        </is>
      </c>
      <c r="G447" s="37" t="n">
        <v>24</v>
      </c>
      <c r="H447" s="37" t="inlineStr">
        <is>
          <t>COVERED</t>
        </is>
      </c>
      <c r="I447" s="37" t="inlineStr">
        <is>
          <t>DECLINED</t>
        </is>
      </c>
    </row>
    <row r="448">
      <c r="A448" s="37" t="inlineStr">
        <is>
          <t>OFR-2023-0447</t>
        </is>
      </c>
      <c r="B448" s="43" t="n">
        <v>45089</v>
      </c>
      <c r="C448" s="37" t="inlineStr">
        <is>
          <t>WL-02924</t>
        </is>
      </c>
      <c r="D448" s="37" t="n">
        <v>1924</v>
      </c>
      <c r="E448" s="37" t="inlineStr">
        <is>
          <t>VB-0720</t>
        </is>
      </c>
      <c r="F448" s="37" t="inlineStr">
        <is>
          <t>Vessbank</t>
        </is>
      </c>
      <c r="G448" s="37" t="n">
        <v>40</v>
      </c>
      <c r="H448" s="37" t="inlineStr">
        <is>
          <t>COVERED</t>
        </is>
      </c>
      <c r="I448" s="37" t="inlineStr">
        <is>
          <t>SKIPPED</t>
        </is>
      </c>
      <c r="J448" s="37" t="inlineStr">
        <is>
          <t>not-current</t>
        </is>
      </c>
    </row>
    <row r="449">
      <c r="A449" s="37" t="inlineStr">
        <is>
          <t>OFR-2023-0448</t>
        </is>
      </c>
      <c r="B449" s="43" t="n">
        <v>45092</v>
      </c>
      <c r="C449" s="37" t="inlineStr">
        <is>
          <t>WL-01781</t>
        </is>
      </c>
      <c r="D449" s="37" t="n">
        <v>781</v>
      </c>
      <c r="E449" s="37" t="inlineStr">
        <is>
          <t>LP-0220</t>
        </is>
      </c>
      <c r="F449" s="37" t="inlineStr">
        <is>
          <t>Ledgport</t>
        </is>
      </c>
      <c r="G449" s="37" t="n">
        <v>28</v>
      </c>
      <c r="H449" s="37" t="inlineStr">
        <is>
          <t>COVERED</t>
        </is>
      </c>
      <c r="I449" s="37" t="inlineStr">
        <is>
          <t>SKIPPED</t>
        </is>
      </c>
      <c r="J449" s="37" t="inlineStr">
        <is>
          <t>preference-mismatch</t>
        </is>
      </c>
    </row>
    <row r="450">
      <c r="A450" s="37" t="inlineStr">
        <is>
          <t>OFR-2023-0449</t>
        </is>
      </c>
      <c r="B450" s="43" t="n">
        <v>45085</v>
      </c>
      <c r="C450" s="37" t="inlineStr">
        <is>
          <t>WL-01193</t>
        </is>
      </c>
      <c r="D450" s="37" t="n">
        <v>193</v>
      </c>
      <c r="E450" s="37" t="inlineStr">
        <is>
          <t>VB-0205</t>
        </is>
      </c>
      <c r="F450" s="37" t="inlineStr">
        <is>
          <t>Vessbank</t>
        </is>
      </c>
      <c r="G450" s="37" t="n">
        <v>28</v>
      </c>
      <c r="H450" s="37" t="inlineStr">
        <is>
          <t>COVERED</t>
        </is>
      </c>
      <c r="I450" s="37" t="inlineStr">
        <is>
          <t>SKIPPED</t>
        </is>
      </c>
      <c r="J450" s="37" t="inlineStr">
        <is>
          <t>declined-prior-offer</t>
        </is>
      </c>
    </row>
    <row r="451">
      <c r="A451" s="37" t="inlineStr">
        <is>
          <t>OFR-2023-0450</t>
        </is>
      </c>
      <c r="B451" s="43" t="n">
        <v>45090</v>
      </c>
      <c r="C451" s="37" t="inlineStr">
        <is>
          <t>WL-02621</t>
        </is>
      </c>
      <c r="D451" s="37" t="n">
        <v>1621</v>
      </c>
      <c r="E451" s="37" t="inlineStr">
        <is>
          <t>EW-0219</t>
        </is>
      </c>
      <c r="F451" s="37" t="inlineStr">
        <is>
          <t>Eastwey</t>
        </is>
      </c>
      <c r="G451" s="37" t="n">
        <v>70</v>
      </c>
      <c r="H451" s="37" t="inlineStr">
        <is>
          <t>OPEN</t>
        </is>
      </c>
      <c r="I451" s="37" t="inlineStr">
        <is>
          <t>ACCEPTED</t>
        </is>
      </c>
    </row>
    <row r="452">
      <c r="A452" s="37" t="inlineStr">
        <is>
          <t>OFR-2023-0451</t>
        </is>
      </c>
      <c r="B452" s="43" t="n">
        <v>45083</v>
      </c>
      <c r="C452" s="37" t="inlineStr">
        <is>
          <t>WL-02262</t>
        </is>
      </c>
      <c r="D452" s="37" t="n">
        <v>1262</v>
      </c>
      <c r="E452" s="37" t="inlineStr">
        <is>
          <t>EW-0522</t>
        </is>
      </c>
      <c r="F452" s="37" t="inlineStr">
        <is>
          <t>Eastwey</t>
        </is>
      </c>
      <c r="G452" s="37" t="n">
        <v>36</v>
      </c>
      <c r="H452" s="37" t="inlineStr">
        <is>
          <t>OPEN</t>
        </is>
      </c>
      <c r="I452" s="37" t="inlineStr">
        <is>
          <t>EXPIRED</t>
        </is>
      </c>
    </row>
    <row r="453">
      <c r="A453" s="37" t="inlineStr">
        <is>
          <t>OFR-2023-0452</t>
        </is>
      </c>
      <c r="B453" s="43" t="n">
        <v>45105</v>
      </c>
      <c r="C453" s="37" t="inlineStr">
        <is>
          <t>WL-01254</t>
        </is>
      </c>
      <c r="D453" s="37" t="n">
        <v>254</v>
      </c>
      <c r="E453" s="37" t="inlineStr">
        <is>
          <t>GW-0119</t>
        </is>
      </c>
      <c r="F453" s="37" t="inlineStr">
        <is>
          <t>Gullwing</t>
        </is>
      </c>
      <c r="G453" s="37" t="n">
        <v>28</v>
      </c>
      <c r="H453" s="37" t="inlineStr">
        <is>
          <t>OPEN</t>
        </is>
      </c>
      <c r="I453" s="37" t="inlineStr">
        <is>
          <t>DECLINED_RETAINER</t>
        </is>
      </c>
    </row>
    <row r="454">
      <c r="A454" s="37" t="inlineStr">
        <is>
          <t>OFR-2023-0453</t>
        </is>
      </c>
      <c r="B454" s="43" t="n">
        <v>45095</v>
      </c>
      <c r="C454" s="37" t="inlineStr">
        <is>
          <t>WL-01354</t>
        </is>
      </c>
      <c r="D454" s="37" t="n">
        <v>354</v>
      </c>
      <c r="E454" s="37" t="inlineStr">
        <is>
          <t>LP-0204</t>
        </is>
      </c>
      <c r="F454" s="37" t="inlineStr">
        <is>
          <t>Ledgport</t>
        </is>
      </c>
      <c r="G454" s="37" t="n">
        <v>28</v>
      </c>
      <c r="H454" s="37" t="inlineStr">
        <is>
          <t>COVERED</t>
        </is>
      </c>
      <c r="I454" s="37" t="inlineStr">
        <is>
          <t>ACCEPTED</t>
        </is>
      </c>
    </row>
    <row r="455">
      <c r="A455" s="37" t="inlineStr">
        <is>
          <t>OFR-2023-0454</t>
        </is>
      </c>
      <c r="B455" s="43" t="n">
        <v>45092</v>
      </c>
      <c r="C455" s="37" t="inlineStr">
        <is>
          <t>WL-03272</t>
        </is>
      </c>
      <c r="D455" s="37" t="n">
        <v>2272</v>
      </c>
      <c r="E455" s="37" t="inlineStr">
        <is>
          <t>LP-0613</t>
        </is>
      </c>
      <c r="F455" s="37" t="inlineStr">
        <is>
          <t>Ledgport</t>
        </is>
      </c>
      <c r="G455" s="37" t="n">
        <v>24</v>
      </c>
      <c r="H455" s="37" t="inlineStr">
        <is>
          <t>COVERED</t>
        </is>
      </c>
      <c r="I455" s="37" t="inlineStr">
        <is>
          <t>PENDING</t>
        </is>
      </c>
    </row>
    <row r="456">
      <c r="A456" s="37" t="inlineStr">
        <is>
          <t>OFR-2023-0455</t>
        </is>
      </c>
      <c r="B456" s="43" t="n">
        <v>45091</v>
      </c>
      <c r="C456" s="37" t="inlineStr">
        <is>
          <t>WL-02890</t>
        </is>
      </c>
      <c r="D456" s="37" t="n">
        <v>1890</v>
      </c>
      <c r="E456" s="37" t="inlineStr">
        <is>
          <t>GW-0913</t>
        </is>
      </c>
      <c r="F456" s="37" t="inlineStr">
        <is>
          <t>Gullwing</t>
        </is>
      </c>
      <c r="G456" s="37" t="n">
        <v>28</v>
      </c>
      <c r="H456" s="37" t="inlineStr">
        <is>
          <t>OPEN</t>
        </is>
      </c>
      <c r="I456" s="37" t="inlineStr">
        <is>
          <t>PENDING</t>
        </is>
      </c>
    </row>
    <row r="457">
      <c r="A457" s="37" t="inlineStr">
        <is>
          <t>OFR-2023-0456</t>
        </is>
      </c>
      <c r="B457" s="43" t="n">
        <v>45099</v>
      </c>
      <c r="C457" s="37" t="inlineStr">
        <is>
          <t>WL-01594</t>
        </is>
      </c>
      <c r="D457" s="37" t="n">
        <v>594</v>
      </c>
      <c r="E457" s="37" t="inlineStr">
        <is>
          <t>EW-0807</t>
        </is>
      </c>
      <c r="F457" s="37" t="inlineStr">
        <is>
          <t>Eastwey</t>
        </is>
      </c>
      <c r="G457" s="37" t="n">
        <v>28</v>
      </c>
      <c r="H457" s="37" t="inlineStr">
        <is>
          <t>OPEN</t>
        </is>
      </c>
      <c r="I457" s="37" t="inlineStr">
        <is>
          <t>EXPIRED</t>
        </is>
      </c>
    </row>
    <row r="458">
      <c r="A458" s="37" t="inlineStr">
        <is>
          <t>OFR-2023-0457</t>
        </is>
      </c>
      <c r="B458" s="43" t="n">
        <v>45087</v>
      </c>
      <c r="C458" s="37" t="inlineStr">
        <is>
          <t>WL-01319</t>
        </is>
      </c>
      <c r="D458" s="37" t="n">
        <v>319</v>
      </c>
      <c r="E458" s="37" t="inlineStr">
        <is>
          <t>GW-1008</t>
        </is>
      </c>
      <c r="F458" s="37" t="inlineStr">
        <is>
          <t>Gullwing</t>
        </is>
      </c>
      <c r="G458" s="37" t="n">
        <v>60</v>
      </c>
      <c r="H458" s="37" t="inlineStr">
        <is>
          <t>OPEN</t>
        </is>
      </c>
      <c r="I458" s="37" t="inlineStr">
        <is>
          <t>SKIPPED</t>
        </is>
      </c>
      <c r="J458" s="37" t="inlineStr">
        <is>
          <t>not-current</t>
        </is>
      </c>
    </row>
    <row r="459">
      <c r="A459" s="37" t="inlineStr">
        <is>
          <t>OFR-2023-0458</t>
        </is>
      </c>
      <c r="B459" s="43" t="n">
        <v>45101</v>
      </c>
      <c r="C459" s="37" t="inlineStr">
        <is>
          <t>WL-02173</t>
        </is>
      </c>
      <c r="D459" s="37" t="n">
        <v>1173</v>
      </c>
      <c r="E459" s="37" t="inlineStr">
        <is>
          <t>SB-0205</t>
        </is>
      </c>
      <c r="F459" s="37" t="inlineStr">
        <is>
          <t>Salmonberry</t>
        </is>
      </c>
      <c r="G459" s="37" t="n">
        <v>45</v>
      </c>
      <c r="H459" s="37" t="inlineStr">
        <is>
          <t>OPEN</t>
        </is>
      </c>
      <c r="I459" s="37" t="inlineStr">
        <is>
          <t>SKIPPED</t>
        </is>
      </c>
      <c r="J459" s="37" t="inlineStr">
        <is>
          <t>vessel-fit</t>
        </is>
      </c>
    </row>
    <row r="460">
      <c r="A460" s="37" t="inlineStr">
        <is>
          <t>OFR-2023-0459</t>
        </is>
      </c>
      <c r="B460" s="43" t="n">
        <v>45098</v>
      </c>
      <c r="C460" s="37" t="inlineStr">
        <is>
          <t>WL-03468</t>
        </is>
      </c>
      <c r="D460" s="37" t="n">
        <v>2468</v>
      </c>
      <c r="E460" s="37" t="inlineStr">
        <is>
          <t>SB-0408</t>
        </is>
      </c>
      <c r="F460" s="37" t="inlineStr">
        <is>
          <t>Salmonberry</t>
        </is>
      </c>
      <c r="G460" s="37" t="n">
        <v>28</v>
      </c>
      <c r="H460" s="37" t="inlineStr">
        <is>
          <t>OPEN</t>
        </is>
      </c>
      <c r="I460" s="37" t="inlineStr">
        <is>
          <t>ACCEPTED</t>
        </is>
      </c>
    </row>
    <row r="461">
      <c r="A461" s="37" t="inlineStr">
        <is>
          <t>OFR-2023-0460</t>
        </is>
      </c>
      <c r="B461" s="43" t="n">
        <v>45102</v>
      </c>
      <c r="C461" s="37" t="inlineStr">
        <is>
          <t>WL-01568</t>
        </is>
      </c>
      <c r="D461" s="37" t="n">
        <v>568</v>
      </c>
      <c r="E461" s="37" t="inlineStr">
        <is>
          <t>LP-0219</t>
        </is>
      </c>
      <c r="F461" s="37" t="inlineStr">
        <is>
          <t>Ledgport</t>
        </is>
      </c>
      <c r="G461" s="37" t="n">
        <v>28</v>
      </c>
      <c r="H461" s="37" t="inlineStr">
        <is>
          <t>COVERED</t>
        </is>
      </c>
      <c r="I461" s="37" t="inlineStr">
        <is>
          <t>SKIPPED</t>
        </is>
      </c>
      <c r="J461" s="37" t="inlineStr">
        <is>
          <t>declined-prior-offer</t>
        </is>
      </c>
    </row>
    <row r="462">
      <c r="A462" s="37" t="inlineStr">
        <is>
          <t>OFR-2023-0461</t>
        </is>
      </c>
      <c r="B462" s="43" t="n">
        <v>45085</v>
      </c>
      <c r="C462" s="37" t="inlineStr">
        <is>
          <t>WL-03758</t>
        </is>
      </c>
      <c r="D462" s="37" t="n">
        <v>2758</v>
      </c>
      <c r="E462" s="37" t="inlineStr">
        <is>
          <t>LP-0121</t>
        </is>
      </c>
      <c r="F462" s="37" t="inlineStr">
        <is>
          <t>Ledgport</t>
        </is>
      </c>
      <c r="G462" s="37" t="n">
        <v>32</v>
      </c>
      <c r="H462" s="37" t="inlineStr">
        <is>
          <t>COVERED</t>
        </is>
      </c>
      <c r="I462" s="37" t="inlineStr">
        <is>
          <t>SKIPPED</t>
        </is>
      </c>
      <c r="J462" s="37" t="inlineStr">
        <is>
          <t>preference-mismatch</t>
        </is>
      </c>
    </row>
    <row r="463">
      <c r="A463" s="37" t="inlineStr">
        <is>
          <t>OFR-2023-0462</t>
        </is>
      </c>
      <c r="B463" s="43" t="n">
        <v>45084</v>
      </c>
      <c r="C463" s="37" t="inlineStr">
        <is>
          <t>WL-02535</t>
        </is>
      </c>
      <c r="D463" s="37" t="n">
        <v>1535</v>
      </c>
      <c r="E463" s="37" t="inlineStr">
        <is>
          <t>VB-0805</t>
        </is>
      </c>
      <c r="F463" s="37" t="inlineStr">
        <is>
          <t>Vessbank</t>
        </is>
      </c>
      <c r="G463" s="37" t="n">
        <v>32</v>
      </c>
      <c r="H463" s="37" t="inlineStr">
        <is>
          <t>COVERED</t>
        </is>
      </c>
      <c r="I463" s="37" t="inlineStr">
        <is>
          <t>SKIPPED</t>
        </is>
      </c>
      <c r="J463" s="37" t="inlineStr">
        <is>
          <t>declined-prior-offer</t>
        </is>
      </c>
    </row>
    <row r="464">
      <c r="A464" s="37" t="inlineStr">
        <is>
          <t>OFR-2023-0463</t>
        </is>
      </c>
      <c r="B464" s="43" t="n">
        <v>45081</v>
      </c>
      <c r="C464" s="37" t="inlineStr">
        <is>
          <t>WL-02104</t>
        </is>
      </c>
      <c r="D464" s="37" t="n">
        <v>1104</v>
      </c>
      <c r="E464" s="37" t="inlineStr">
        <is>
          <t>LP-1008</t>
        </is>
      </c>
      <c r="F464" s="37" t="inlineStr">
        <is>
          <t>Ledgport</t>
        </is>
      </c>
      <c r="G464" s="37" t="n">
        <v>32</v>
      </c>
      <c r="H464" s="37" t="inlineStr">
        <is>
          <t>COVERED</t>
        </is>
      </c>
      <c r="I464" s="37" t="inlineStr">
        <is>
          <t>ACCEPTED</t>
        </is>
      </c>
    </row>
    <row r="465">
      <c r="A465" s="37" t="inlineStr">
        <is>
          <t>OFR-2023-0464</t>
        </is>
      </c>
      <c r="B465" s="43" t="n">
        <v>45090</v>
      </c>
      <c r="C465" s="37" t="inlineStr">
        <is>
          <t>WL-02663</t>
        </is>
      </c>
      <c r="D465" s="37" t="n">
        <v>1663</v>
      </c>
      <c r="E465" s="37" t="inlineStr">
        <is>
          <t>GW-0810</t>
        </is>
      </c>
      <c r="F465" s="37" t="inlineStr">
        <is>
          <t>Gullwing</t>
        </is>
      </c>
      <c r="G465" s="37" t="n">
        <v>70</v>
      </c>
      <c r="H465" s="37" t="inlineStr">
        <is>
          <t>OPEN</t>
        </is>
      </c>
      <c r="I465" s="37" t="inlineStr">
        <is>
          <t>SKIPPED</t>
        </is>
      </c>
      <c r="J465" s="37" t="inlineStr">
        <is>
          <t>vessel-fit</t>
        </is>
      </c>
    </row>
    <row r="466">
      <c r="A466" s="37" t="inlineStr">
        <is>
          <t>OFR-2023-0465</t>
        </is>
      </c>
      <c r="B466" s="43" t="n">
        <v>45097</v>
      </c>
      <c r="C466" s="37" t="inlineStr">
        <is>
          <t>WL-03460</t>
        </is>
      </c>
      <c r="D466" s="37" t="n">
        <v>2460</v>
      </c>
      <c r="E466" s="37" t="inlineStr">
        <is>
          <t>EW-0911</t>
        </is>
      </c>
      <c r="F466" s="37" t="inlineStr">
        <is>
          <t>Eastwey</t>
        </is>
      </c>
      <c r="G466" s="37" t="n">
        <v>60</v>
      </c>
      <c r="H466" s="37" t="inlineStr">
        <is>
          <t>OPEN</t>
        </is>
      </c>
      <c r="I466" s="37" t="inlineStr">
        <is>
          <t>ACCEPTED</t>
        </is>
      </c>
    </row>
    <row r="467">
      <c r="A467" s="37" t="inlineStr">
        <is>
          <t>OFR-2023-0466</t>
        </is>
      </c>
      <c r="B467" s="43" t="n">
        <v>45085</v>
      </c>
      <c r="C467" s="37" t="inlineStr">
        <is>
          <t>WL-02558</t>
        </is>
      </c>
      <c r="D467" s="37" t="n">
        <v>1558</v>
      </c>
      <c r="E467" s="37" t="inlineStr">
        <is>
          <t>SB-0507</t>
        </is>
      </c>
      <c r="F467" s="37" t="inlineStr">
        <is>
          <t>Salmonberry</t>
        </is>
      </c>
      <c r="G467" s="37" t="n">
        <v>24</v>
      </c>
      <c r="H467" s="37" t="inlineStr">
        <is>
          <t>OPEN</t>
        </is>
      </c>
      <c r="I467" s="37" t="inlineStr">
        <is>
          <t>DECLINED</t>
        </is>
      </c>
    </row>
    <row r="468">
      <c r="A468" s="37" t="inlineStr">
        <is>
          <t>OFR-2023-0467</t>
        </is>
      </c>
      <c r="B468" s="43" t="n">
        <v>45102</v>
      </c>
      <c r="C468" s="37" t="inlineStr">
        <is>
          <t>WL-01048</t>
        </is>
      </c>
      <c r="D468" s="37" t="n">
        <v>48</v>
      </c>
      <c r="E468" s="37" t="inlineStr">
        <is>
          <t>EW-0306</t>
        </is>
      </c>
      <c r="F468" s="37" t="inlineStr">
        <is>
          <t>Eastwey</t>
        </is>
      </c>
      <c r="G468" s="37" t="n">
        <v>50</v>
      </c>
      <c r="H468" s="37" t="inlineStr">
        <is>
          <t>OPEN</t>
        </is>
      </c>
      <c r="I468" s="37" t="inlineStr">
        <is>
          <t>ACCEPTED</t>
        </is>
      </c>
    </row>
    <row r="469">
      <c r="A469" s="37" t="inlineStr">
        <is>
          <t>OFR-2023-0468</t>
        </is>
      </c>
      <c r="B469" s="43" t="n">
        <v>45102</v>
      </c>
      <c r="C469" s="37" t="inlineStr">
        <is>
          <t>WL-01102</t>
        </is>
      </c>
      <c r="D469" s="37" t="n">
        <v>102</v>
      </c>
      <c r="E469" s="37" t="inlineStr">
        <is>
          <t>EW-0315</t>
        </is>
      </c>
      <c r="F469" s="37" t="inlineStr">
        <is>
          <t>Eastwey</t>
        </is>
      </c>
      <c r="G469" s="37" t="n">
        <v>24</v>
      </c>
      <c r="H469" s="37" t="inlineStr">
        <is>
          <t>OPEN</t>
        </is>
      </c>
      <c r="I469" s="37" t="inlineStr">
        <is>
          <t>PENDING</t>
        </is>
      </c>
    </row>
    <row r="470">
      <c r="A470" s="37" t="inlineStr">
        <is>
          <t>OFR-2023-0469</t>
        </is>
      </c>
      <c r="B470" s="43" t="n">
        <v>45086</v>
      </c>
      <c r="C470" s="37" t="inlineStr">
        <is>
          <t>WL-01129</t>
        </is>
      </c>
      <c r="D470" s="37" t="n">
        <v>129</v>
      </c>
      <c r="E470" s="37" t="inlineStr">
        <is>
          <t>GW-0414</t>
        </is>
      </c>
      <c r="F470" s="37" t="inlineStr">
        <is>
          <t>Gullwing</t>
        </is>
      </c>
      <c r="G470" s="37" t="n">
        <v>45</v>
      </c>
      <c r="H470" s="37" t="inlineStr">
        <is>
          <t>OPEN</t>
        </is>
      </c>
      <c r="I470" s="37" t="inlineStr">
        <is>
          <t>SKIPPED</t>
        </is>
      </c>
      <c r="J470" s="37" t="inlineStr">
        <is>
          <t>preference-mismatch</t>
        </is>
      </c>
    </row>
    <row r="471">
      <c r="A471" s="37" t="inlineStr">
        <is>
          <t>OFR-2023-0470</t>
        </is>
      </c>
      <c r="B471" s="43" t="n">
        <v>45097</v>
      </c>
      <c r="C471" s="37" t="inlineStr">
        <is>
          <t>WL-01145</t>
        </is>
      </c>
      <c r="D471" s="37" t="n">
        <v>145</v>
      </c>
      <c r="E471" s="37" t="inlineStr">
        <is>
          <t>LP-1009</t>
        </is>
      </c>
      <c r="F471" s="37" t="inlineStr">
        <is>
          <t>Ledgport</t>
        </is>
      </c>
      <c r="G471" s="37" t="n">
        <v>32</v>
      </c>
      <c r="H471" s="37" t="inlineStr">
        <is>
          <t>COVERED</t>
        </is>
      </c>
      <c r="I471" s="37" t="inlineStr">
        <is>
          <t>EXPIRED</t>
        </is>
      </c>
    </row>
    <row r="472">
      <c r="A472" s="37" t="inlineStr">
        <is>
          <t>OFR-2023-0471</t>
        </is>
      </c>
      <c r="B472" s="43" t="n">
        <v>45090</v>
      </c>
      <c r="C472" s="37" t="inlineStr">
        <is>
          <t>WL-03891</t>
        </is>
      </c>
      <c r="D472" s="37" t="n">
        <v>2891</v>
      </c>
      <c r="E472" s="37" t="inlineStr">
        <is>
          <t>GW-0703</t>
        </is>
      </c>
      <c r="F472" s="37" t="inlineStr">
        <is>
          <t>Gullwing</t>
        </is>
      </c>
      <c r="G472" s="37" t="n">
        <v>32</v>
      </c>
      <c r="H472" s="37" t="inlineStr">
        <is>
          <t>OPEN</t>
        </is>
      </c>
      <c r="I472" s="37" t="inlineStr">
        <is>
          <t>ACCEPTED</t>
        </is>
      </c>
    </row>
    <row r="473">
      <c r="A473" s="37" t="inlineStr">
        <is>
          <t>OFR-2023-0472</t>
        </is>
      </c>
      <c r="B473" s="43" t="n">
        <v>45084</v>
      </c>
      <c r="C473" s="37" t="inlineStr">
        <is>
          <t>WL-02632</t>
        </is>
      </c>
      <c r="D473" s="37" t="n">
        <v>1632</v>
      </c>
      <c r="E473" s="37" t="inlineStr">
        <is>
          <t>LP-0203</t>
        </is>
      </c>
      <c r="F473" s="37" t="inlineStr">
        <is>
          <t>Ledgport</t>
        </is>
      </c>
      <c r="G473" s="37" t="n">
        <v>28</v>
      </c>
      <c r="H473" s="37" t="inlineStr">
        <is>
          <t>COVERED</t>
        </is>
      </c>
      <c r="I473" s="37" t="inlineStr">
        <is>
          <t>ACCEPTED</t>
        </is>
      </c>
    </row>
    <row r="474">
      <c r="A474" s="37" t="inlineStr">
        <is>
          <t>OFR-2023-0473</t>
        </is>
      </c>
      <c r="B474" s="43" t="n">
        <v>45089</v>
      </c>
      <c r="C474" s="37" t="inlineStr">
        <is>
          <t>WL-03100</t>
        </is>
      </c>
      <c r="D474" s="37" t="n">
        <v>2100</v>
      </c>
      <c r="E474" s="37" t="inlineStr">
        <is>
          <t>EW-0622</t>
        </is>
      </c>
      <c r="F474" s="37" t="inlineStr">
        <is>
          <t>Eastwey</t>
        </is>
      </c>
      <c r="G474" s="37" t="n">
        <v>70</v>
      </c>
      <c r="H474" s="37" t="inlineStr">
        <is>
          <t>OPEN</t>
        </is>
      </c>
      <c r="I474" s="37" t="inlineStr">
        <is>
          <t>SKIPPED</t>
        </is>
      </c>
      <c r="J474" s="37" t="inlineStr">
        <is>
          <t>vessel-fit</t>
        </is>
      </c>
    </row>
    <row r="475">
      <c r="A475" s="37" t="inlineStr">
        <is>
          <t>OFR-2023-0474</t>
        </is>
      </c>
      <c r="B475" s="43" t="n">
        <v>45105</v>
      </c>
      <c r="C475" s="37" t="inlineStr">
        <is>
          <t>WL-03342</t>
        </is>
      </c>
      <c r="D475" s="37" t="n">
        <v>2342</v>
      </c>
      <c r="E475" s="37" t="inlineStr">
        <is>
          <t>VB-0720</t>
        </is>
      </c>
      <c r="F475" s="37" t="inlineStr">
        <is>
          <t>Vessbank</t>
        </is>
      </c>
      <c r="G475" s="37" t="n">
        <v>40</v>
      </c>
      <c r="H475" s="37" t="inlineStr">
        <is>
          <t>COVERED</t>
        </is>
      </c>
      <c r="I475" s="37" t="inlineStr">
        <is>
          <t>WITHDRAWN</t>
        </is>
      </c>
    </row>
    <row r="476">
      <c r="A476" s="37" t="inlineStr">
        <is>
          <t>OFR-2023-0475</t>
        </is>
      </c>
      <c r="B476" s="43" t="n">
        <v>45100</v>
      </c>
      <c r="C476" s="37" t="inlineStr">
        <is>
          <t>WL-02389</t>
        </is>
      </c>
      <c r="D476" s="37" t="n">
        <v>1389</v>
      </c>
      <c r="E476" s="37" t="inlineStr">
        <is>
          <t>LP-0201</t>
        </is>
      </c>
      <c r="F476" s="37" t="inlineStr">
        <is>
          <t>Ledgport</t>
        </is>
      </c>
      <c r="G476" s="37" t="n">
        <v>36</v>
      </c>
      <c r="H476" s="37" t="inlineStr">
        <is>
          <t>COVERED</t>
        </is>
      </c>
      <c r="I476" s="37" t="inlineStr">
        <is>
          <t>ACCEPTED</t>
        </is>
      </c>
    </row>
    <row r="477">
      <c r="A477" s="37" t="inlineStr">
        <is>
          <t>OFR-2023-0476</t>
        </is>
      </c>
      <c r="B477" s="43" t="n">
        <v>45110</v>
      </c>
      <c r="C477" s="37" t="inlineStr">
        <is>
          <t>WL-01899</t>
        </is>
      </c>
      <c r="D477" s="37" t="n">
        <v>899</v>
      </c>
      <c r="E477" s="37" t="inlineStr">
        <is>
          <t>VB-0513</t>
        </is>
      </c>
      <c r="F477" s="37" t="inlineStr">
        <is>
          <t>Vessbank</t>
        </is>
      </c>
      <c r="G477" s="37" t="n">
        <v>32</v>
      </c>
      <c r="H477" s="37" t="inlineStr">
        <is>
          <t>COVERED</t>
        </is>
      </c>
      <c r="I477" s="37" t="inlineStr">
        <is>
          <t>ACCEPTED</t>
        </is>
      </c>
    </row>
    <row r="478">
      <c r="A478" s="37" t="inlineStr">
        <is>
          <t>OFR-2023-0477</t>
        </is>
      </c>
      <c r="B478" s="43" t="n">
        <v>45113</v>
      </c>
      <c r="C478" s="37" t="inlineStr">
        <is>
          <t>WL-01129</t>
        </is>
      </c>
      <c r="D478" s="37" t="n">
        <v>129</v>
      </c>
      <c r="E478" s="37" t="inlineStr">
        <is>
          <t>GW-0509</t>
        </is>
      </c>
      <c r="F478" s="37" t="inlineStr">
        <is>
          <t>Gullwing</t>
        </is>
      </c>
      <c r="G478" s="37" t="n">
        <v>45</v>
      </c>
      <c r="H478" s="37" t="inlineStr">
        <is>
          <t>OPEN</t>
        </is>
      </c>
      <c r="I478" s="37" t="inlineStr">
        <is>
          <t>ACCEPTED</t>
        </is>
      </c>
    </row>
    <row r="479">
      <c r="A479" s="37" t="inlineStr">
        <is>
          <t>OFR-2023-0478</t>
        </is>
      </c>
      <c r="B479" s="43" t="n">
        <v>45111</v>
      </c>
      <c r="C479" s="37" t="inlineStr">
        <is>
          <t>WL-03857</t>
        </is>
      </c>
      <c r="D479" s="37" t="n">
        <v>2857</v>
      </c>
      <c r="E479" s="37" t="inlineStr">
        <is>
          <t>SB-0602</t>
        </is>
      </c>
      <c r="F479" s="37" t="inlineStr">
        <is>
          <t>Salmonberry</t>
        </is>
      </c>
      <c r="G479" s="37" t="n">
        <v>40</v>
      </c>
      <c r="H479" s="37" t="inlineStr">
        <is>
          <t>OPEN</t>
        </is>
      </c>
      <c r="I479" s="37" t="inlineStr">
        <is>
          <t>SKIPPED</t>
        </is>
      </c>
      <c r="J479" s="37" t="inlineStr">
        <is>
          <t>not-current</t>
        </is>
      </c>
    </row>
    <row r="480">
      <c r="A480" s="37" t="inlineStr">
        <is>
          <t>OFR-2023-0479</t>
        </is>
      </c>
      <c r="B480" s="43" t="n">
        <v>45122</v>
      </c>
      <c r="C480" s="37" t="inlineStr">
        <is>
          <t>WL-01054</t>
        </is>
      </c>
      <c r="D480" s="37" t="n">
        <v>54</v>
      </c>
      <c r="E480" s="37" t="inlineStr">
        <is>
          <t>VB-0620</t>
        </is>
      </c>
      <c r="F480" s="37" t="inlineStr">
        <is>
          <t>Vessbank</t>
        </is>
      </c>
      <c r="G480" s="37" t="n">
        <v>40</v>
      </c>
      <c r="H480" s="37" t="inlineStr">
        <is>
          <t>COVERED</t>
        </is>
      </c>
      <c r="I480" s="37" t="inlineStr">
        <is>
          <t>SKIPPED</t>
        </is>
      </c>
      <c r="J480" s="37" t="inlineStr">
        <is>
          <t>vessel-fit</t>
        </is>
      </c>
    </row>
    <row r="481">
      <c r="A481" s="37" t="inlineStr">
        <is>
          <t>OFR-2023-0480</t>
        </is>
      </c>
      <c r="B481" s="43" t="n">
        <v>45126</v>
      </c>
      <c r="C481" s="37" t="inlineStr">
        <is>
          <t>WL-02447</t>
        </is>
      </c>
      <c r="D481" s="37" t="n">
        <v>1447</v>
      </c>
      <c r="E481" s="37" t="inlineStr">
        <is>
          <t>VB-0403</t>
        </is>
      </c>
      <c r="F481" s="37" t="inlineStr">
        <is>
          <t>Vessbank</t>
        </is>
      </c>
      <c r="G481" s="37" t="n">
        <v>28</v>
      </c>
      <c r="H481" s="37" t="inlineStr">
        <is>
          <t>COVERED</t>
        </is>
      </c>
      <c r="I481" s="37" t="inlineStr">
        <is>
          <t>ACCEPTED</t>
        </is>
      </c>
    </row>
    <row r="482">
      <c r="A482" s="37" t="inlineStr">
        <is>
          <t>OFR-2023-0481</t>
        </is>
      </c>
      <c r="B482" s="43" t="n">
        <v>45110</v>
      </c>
      <c r="C482" s="37" t="inlineStr">
        <is>
          <t>WL-01712</t>
        </is>
      </c>
      <c r="D482" s="37" t="n">
        <v>712</v>
      </c>
      <c r="E482" s="37" t="inlineStr">
        <is>
          <t>GW-0118</t>
        </is>
      </c>
      <c r="F482" s="37" t="inlineStr">
        <is>
          <t>Gullwing</t>
        </is>
      </c>
      <c r="G482" s="37" t="n">
        <v>60</v>
      </c>
      <c r="H482" s="37" t="inlineStr">
        <is>
          <t>OPEN</t>
        </is>
      </c>
      <c r="I482" s="37" t="inlineStr">
        <is>
          <t>SKIPPED</t>
        </is>
      </c>
      <c r="J482" s="37" t="inlineStr">
        <is>
          <t>vessel-fit</t>
        </is>
      </c>
    </row>
    <row r="483">
      <c r="A483" s="37" t="inlineStr">
        <is>
          <t>OFR-2023-0482</t>
        </is>
      </c>
      <c r="B483" s="43" t="n">
        <v>45131</v>
      </c>
      <c r="C483" s="37" t="inlineStr">
        <is>
          <t>WL-02874</t>
        </is>
      </c>
      <c r="D483" s="37" t="n">
        <v>1874</v>
      </c>
      <c r="E483" s="37" t="inlineStr">
        <is>
          <t>EW-1013</t>
        </is>
      </c>
      <c r="F483" s="37" t="inlineStr">
        <is>
          <t>Eastwey</t>
        </is>
      </c>
      <c r="G483" s="37" t="n">
        <v>40</v>
      </c>
      <c r="H483" s="37" t="inlineStr">
        <is>
          <t>OPEN</t>
        </is>
      </c>
      <c r="I483" s="37" t="inlineStr">
        <is>
          <t>DECLINED</t>
        </is>
      </c>
    </row>
    <row r="484">
      <c r="A484" s="37" t="inlineStr">
        <is>
          <t>OFR-2023-0483</t>
        </is>
      </c>
      <c r="B484" s="43" t="n">
        <v>45114</v>
      </c>
      <c r="C484" s="37" t="inlineStr">
        <is>
          <t>WL-02160</t>
        </is>
      </c>
      <c r="D484" s="37" t="n">
        <v>1160</v>
      </c>
      <c r="E484" s="37" t="inlineStr">
        <is>
          <t>LP-0520</t>
        </is>
      </c>
      <c r="F484" s="37" t="inlineStr">
        <is>
          <t>Ledgport</t>
        </is>
      </c>
      <c r="G484" s="37" t="n">
        <v>32</v>
      </c>
      <c r="H484" s="37" t="inlineStr">
        <is>
          <t>COVERED</t>
        </is>
      </c>
      <c r="I484" s="37" t="inlineStr">
        <is>
          <t>SKIPPED</t>
        </is>
      </c>
      <c r="J484" s="37" t="inlineStr">
        <is>
          <t>not-current</t>
        </is>
      </c>
    </row>
    <row r="485">
      <c r="A485" s="37" t="inlineStr">
        <is>
          <t>OFR-2023-0484</t>
        </is>
      </c>
      <c r="B485" s="43" t="n">
        <v>45129</v>
      </c>
      <c r="C485" s="37" t="inlineStr">
        <is>
          <t>WL-02256</t>
        </is>
      </c>
      <c r="D485" s="37" t="n">
        <v>1256</v>
      </c>
      <c r="E485" s="37" t="inlineStr">
        <is>
          <t>VB-0804</t>
        </is>
      </c>
      <c r="F485" s="37" t="inlineStr">
        <is>
          <t>Vessbank</t>
        </is>
      </c>
      <c r="G485" s="37" t="n">
        <v>24</v>
      </c>
      <c r="H485" s="37" t="inlineStr">
        <is>
          <t>COVERED</t>
        </is>
      </c>
      <c r="I485" s="37" t="inlineStr">
        <is>
          <t>EXPIRED</t>
        </is>
      </c>
    </row>
    <row r="486">
      <c r="A486" s="37" t="inlineStr">
        <is>
          <t>OFR-2023-0485</t>
        </is>
      </c>
      <c r="B486" s="43" t="n">
        <v>45116</v>
      </c>
      <c r="C486" s="37" t="inlineStr">
        <is>
          <t>WL-01242</t>
        </is>
      </c>
      <c r="D486" s="37" t="n">
        <v>242</v>
      </c>
      <c r="E486" s="37" t="inlineStr">
        <is>
          <t>SB-0314</t>
        </is>
      </c>
      <c r="F486" s="37" t="inlineStr">
        <is>
          <t>Salmonberry</t>
        </is>
      </c>
      <c r="G486" s="37" t="n">
        <v>70</v>
      </c>
      <c r="H486" s="37" t="inlineStr">
        <is>
          <t>OPEN</t>
        </is>
      </c>
      <c r="I486" s="37" t="inlineStr">
        <is>
          <t>SKIPPED</t>
        </is>
      </c>
      <c r="J486" s="37" t="inlineStr">
        <is>
          <t>vessel-fit</t>
        </is>
      </c>
    </row>
    <row r="487">
      <c r="A487" s="37" t="inlineStr">
        <is>
          <t>OFR-2023-0486</t>
        </is>
      </c>
      <c r="B487" s="43" t="n">
        <v>45131</v>
      </c>
      <c r="C487" s="37" t="inlineStr">
        <is>
          <t>WL-02199</t>
        </is>
      </c>
      <c r="D487" s="37" t="n">
        <v>1199</v>
      </c>
      <c r="E487" s="37" t="inlineStr">
        <is>
          <t>GW-1003</t>
        </is>
      </c>
      <c r="F487" s="37" t="inlineStr">
        <is>
          <t>Gullwing</t>
        </is>
      </c>
      <c r="G487" s="37" t="n">
        <v>24</v>
      </c>
      <c r="H487" s="37" t="inlineStr">
        <is>
          <t>OPEN</t>
        </is>
      </c>
      <c r="I487" s="37" t="inlineStr">
        <is>
          <t>SKIPPED</t>
        </is>
      </c>
      <c r="J487" s="37" t="inlineStr">
        <is>
          <t>not-current</t>
        </is>
      </c>
    </row>
    <row r="488">
      <c r="A488" s="37" t="inlineStr">
        <is>
          <t>OFR-2023-0487</t>
        </is>
      </c>
      <c r="B488" s="43" t="n">
        <v>45126</v>
      </c>
      <c r="C488" s="37" t="inlineStr">
        <is>
          <t>WL-03377</t>
        </is>
      </c>
      <c r="D488" s="37" t="n">
        <v>2377</v>
      </c>
      <c r="E488" s="37" t="inlineStr">
        <is>
          <t>SB-0909</t>
        </is>
      </c>
      <c r="F488" s="37" t="inlineStr">
        <is>
          <t>Salmonberry</t>
        </is>
      </c>
      <c r="G488" s="37" t="n">
        <v>24</v>
      </c>
      <c r="H488" s="37" t="inlineStr">
        <is>
          <t>OPEN</t>
        </is>
      </c>
      <c r="I488" s="37" t="inlineStr">
        <is>
          <t>DECLINED</t>
        </is>
      </c>
    </row>
    <row r="489">
      <c r="A489" s="37" t="inlineStr">
        <is>
          <t>OFR-2023-0488</t>
        </is>
      </c>
      <c r="B489" s="43" t="n">
        <v>45116</v>
      </c>
      <c r="C489" s="37" t="inlineStr">
        <is>
          <t>WL-03127</t>
        </is>
      </c>
      <c r="D489" s="37" t="n">
        <v>2127</v>
      </c>
      <c r="E489" s="37" t="inlineStr">
        <is>
          <t>LP-0402</t>
        </is>
      </c>
      <c r="F489" s="37" t="inlineStr">
        <is>
          <t>Ledgport</t>
        </is>
      </c>
      <c r="G489" s="37" t="n">
        <v>28</v>
      </c>
      <c r="H489" s="37" t="inlineStr">
        <is>
          <t>COVERED</t>
        </is>
      </c>
      <c r="I489" s="37" t="inlineStr">
        <is>
          <t>DECLINED_RETAINER</t>
        </is>
      </c>
    </row>
    <row r="490">
      <c r="A490" s="37" t="inlineStr">
        <is>
          <t>OFR-2023-0489</t>
        </is>
      </c>
      <c r="B490" s="43" t="n">
        <v>45133</v>
      </c>
      <c r="C490" s="37" t="inlineStr">
        <is>
          <t>WL-01248</t>
        </is>
      </c>
      <c r="D490" s="37" t="n">
        <v>248</v>
      </c>
      <c r="E490" s="37" t="inlineStr">
        <is>
          <t>SB-0915</t>
        </is>
      </c>
      <c r="F490" s="37" t="inlineStr">
        <is>
          <t>Salmonberry</t>
        </is>
      </c>
      <c r="G490" s="37" t="n">
        <v>32</v>
      </c>
      <c r="H490" s="37" t="inlineStr">
        <is>
          <t>OPEN</t>
        </is>
      </c>
      <c r="I490" s="37" t="inlineStr">
        <is>
          <t>SKIPPED</t>
        </is>
      </c>
      <c r="J490" s="37" t="inlineStr">
        <is>
          <t>preference-mismatch</t>
        </is>
      </c>
    </row>
    <row r="491">
      <c r="A491" s="37" t="inlineStr">
        <is>
          <t>OFR-2023-0490</t>
        </is>
      </c>
      <c r="B491" s="43" t="n">
        <v>45118</v>
      </c>
      <c r="C491" s="37" t="inlineStr">
        <is>
          <t>WL-02206</t>
        </is>
      </c>
      <c r="D491" s="37" t="n">
        <v>1206</v>
      </c>
      <c r="E491" s="37" t="inlineStr">
        <is>
          <t>GW-0719</t>
        </is>
      </c>
      <c r="F491" s="37" t="inlineStr">
        <is>
          <t>Gullwing</t>
        </is>
      </c>
      <c r="G491" s="37" t="n">
        <v>50</v>
      </c>
      <c r="H491" s="37" t="inlineStr">
        <is>
          <t>OPEN</t>
        </is>
      </c>
      <c r="I491" s="37" t="inlineStr">
        <is>
          <t>SKIPPED</t>
        </is>
      </c>
      <c r="J491" s="37" t="inlineStr">
        <is>
          <t>vessel-fit</t>
        </is>
      </c>
    </row>
    <row r="492">
      <c r="A492" s="37" t="inlineStr">
        <is>
          <t>OFR-2023-0491</t>
        </is>
      </c>
      <c r="B492" s="43" t="n">
        <v>45112</v>
      </c>
      <c r="C492" s="37" t="inlineStr">
        <is>
          <t>WL-01217</t>
        </is>
      </c>
      <c r="D492" s="37" t="n">
        <v>217</v>
      </c>
      <c r="E492" s="37" t="inlineStr">
        <is>
          <t>GW-0403</t>
        </is>
      </c>
      <c r="F492" s="37" t="inlineStr">
        <is>
          <t>Gullwing</t>
        </is>
      </c>
      <c r="G492" s="37" t="n">
        <v>32</v>
      </c>
      <c r="H492" s="37" t="inlineStr">
        <is>
          <t>OPEN</t>
        </is>
      </c>
      <c r="I492" s="37" t="inlineStr">
        <is>
          <t>ACCEPTED</t>
        </is>
      </c>
    </row>
    <row r="493">
      <c r="A493" s="37" t="inlineStr">
        <is>
          <t>OFR-2023-0492</t>
        </is>
      </c>
      <c r="B493" s="43" t="n">
        <v>45129</v>
      </c>
      <c r="C493" s="37" t="inlineStr">
        <is>
          <t>WL-03420</t>
        </is>
      </c>
      <c r="D493" s="37" t="n">
        <v>2420</v>
      </c>
      <c r="E493" s="37" t="inlineStr">
        <is>
          <t>SB-0714</t>
        </is>
      </c>
      <c r="F493" s="37" t="inlineStr">
        <is>
          <t>Salmonberry</t>
        </is>
      </c>
      <c r="G493" s="37" t="n">
        <v>70</v>
      </c>
      <c r="H493" s="37" t="inlineStr">
        <is>
          <t>OPEN</t>
        </is>
      </c>
      <c r="I493" s="37" t="inlineStr">
        <is>
          <t>EXPIRED</t>
        </is>
      </c>
    </row>
    <row r="494">
      <c r="A494" s="37" t="inlineStr">
        <is>
          <t>OFR-2023-0493</t>
        </is>
      </c>
      <c r="B494" s="43" t="n">
        <v>45112</v>
      </c>
      <c r="C494" s="37" t="inlineStr">
        <is>
          <t>WL-01012</t>
        </is>
      </c>
      <c r="D494" s="37" t="n">
        <v>12</v>
      </c>
      <c r="E494" s="37" t="inlineStr">
        <is>
          <t>SB-0821</t>
        </is>
      </c>
      <c r="F494" s="37" t="inlineStr">
        <is>
          <t>Salmonberry</t>
        </is>
      </c>
      <c r="G494" s="37" t="n">
        <v>36</v>
      </c>
      <c r="H494" s="37" t="inlineStr">
        <is>
          <t>OPEN</t>
        </is>
      </c>
      <c r="I494" s="37" t="inlineStr">
        <is>
          <t>EXPIRED</t>
        </is>
      </c>
    </row>
    <row r="495">
      <c r="A495" s="37" t="inlineStr">
        <is>
          <t>OFR-2023-0494</t>
        </is>
      </c>
      <c r="B495" s="43" t="n">
        <v>45123</v>
      </c>
      <c r="C495" s="37" t="inlineStr">
        <is>
          <t>WL-01573</t>
        </is>
      </c>
      <c r="D495" s="37" t="n">
        <v>573</v>
      </c>
      <c r="E495" s="37" t="inlineStr">
        <is>
          <t>LP-1104</t>
        </is>
      </c>
      <c r="F495" s="37" t="inlineStr">
        <is>
          <t>Ledgport</t>
        </is>
      </c>
      <c r="G495" s="37" t="n">
        <v>32</v>
      </c>
      <c r="H495" s="37" t="inlineStr">
        <is>
          <t>COVERED</t>
        </is>
      </c>
      <c r="I495" s="37" t="inlineStr">
        <is>
          <t>EXPIRED</t>
        </is>
      </c>
    </row>
    <row r="496">
      <c r="A496" s="37" t="inlineStr">
        <is>
          <t>OFR-2023-0495</t>
        </is>
      </c>
      <c r="B496" s="43" t="n">
        <v>45133</v>
      </c>
      <c r="C496" s="37" t="inlineStr">
        <is>
          <t>WL-02706</t>
        </is>
      </c>
      <c r="D496" s="37" t="n">
        <v>1706</v>
      </c>
      <c r="E496" s="37" t="inlineStr">
        <is>
          <t>LP-0104</t>
        </is>
      </c>
      <c r="F496" s="37" t="inlineStr">
        <is>
          <t>Ledgport</t>
        </is>
      </c>
      <c r="G496" s="37" t="n">
        <v>24</v>
      </c>
      <c r="H496" s="37" t="inlineStr">
        <is>
          <t>COVERED</t>
        </is>
      </c>
      <c r="I496" s="37" t="inlineStr">
        <is>
          <t>SKIPPED</t>
        </is>
      </c>
      <c r="J496" s="37" t="inlineStr">
        <is>
          <t>declined-prior-offer</t>
        </is>
      </c>
    </row>
    <row r="497">
      <c r="A497" s="37" t="inlineStr">
        <is>
          <t>OFR-2023-0496</t>
        </is>
      </c>
      <c r="B497" s="43" t="n">
        <v>45110</v>
      </c>
      <c r="C497" s="37" t="inlineStr">
        <is>
          <t>WL-01292</t>
        </is>
      </c>
      <c r="D497" s="37" t="n">
        <v>292</v>
      </c>
      <c r="E497" s="37" t="inlineStr">
        <is>
          <t>EW-0110</t>
        </is>
      </c>
      <c r="F497" s="37" t="inlineStr">
        <is>
          <t>Eastwey</t>
        </is>
      </c>
      <c r="G497" s="37" t="n">
        <v>28</v>
      </c>
      <c r="H497" s="37" t="inlineStr">
        <is>
          <t>OPEN</t>
        </is>
      </c>
      <c r="I497" s="37" t="inlineStr">
        <is>
          <t>ACCEPTED</t>
        </is>
      </c>
    </row>
    <row r="498">
      <c r="A498" s="37" t="inlineStr">
        <is>
          <t>OFR-2023-0497</t>
        </is>
      </c>
      <c r="B498" s="43" t="n">
        <v>45119</v>
      </c>
      <c r="C498" s="37" t="inlineStr">
        <is>
          <t>WL-01732</t>
        </is>
      </c>
      <c r="D498" s="37" t="n">
        <v>732</v>
      </c>
      <c r="E498" s="37" t="inlineStr">
        <is>
          <t>GW-0821</t>
        </is>
      </c>
      <c r="F498" s="37" t="inlineStr">
        <is>
          <t>Gullwing</t>
        </is>
      </c>
      <c r="G498" s="37" t="n">
        <v>24</v>
      </c>
      <c r="H498" s="37" t="inlineStr">
        <is>
          <t>OPEN</t>
        </is>
      </c>
      <c r="I498" s="37" t="inlineStr">
        <is>
          <t>DECLINED</t>
        </is>
      </c>
    </row>
    <row r="499">
      <c r="A499" s="37" t="inlineStr">
        <is>
          <t>OFR-2023-0498</t>
        </is>
      </c>
      <c r="B499" s="43" t="n">
        <v>45121</v>
      </c>
      <c r="C499" s="37" t="inlineStr">
        <is>
          <t>WL-02671</t>
        </is>
      </c>
      <c r="D499" s="37" t="n">
        <v>1671</v>
      </c>
      <c r="E499" s="37" t="inlineStr">
        <is>
          <t>SB-0103</t>
        </is>
      </c>
      <c r="F499" s="37" t="inlineStr">
        <is>
          <t>Salmonberry</t>
        </is>
      </c>
      <c r="G499" s="37" t="n">
        <v>36</v>
      </c>
      <c r="H499" s="37" t="inlineStr">
        <is>
          <t>OPEN</t>
        </is>
      </c>
      <c r="I499" s="37" t="inlineStr">
        <is>
          <t>DECLINED</t>
        </is>
      </c>
    </row>
    <row r="500">
      <c r="A500" s="37" t="inlineStr">
        <is>
          <t>OFR-2023-0499</t>
        </is>
      </c>
      <c r="B500" s="43" t="n">
        <v>45124</v>
      </c>
      <c r="C500" s="37" t="inlineStr">
        <is>
          <t>WL-02912</t>
        </is>
      </c>
      <c r="D500" s="37" t="n">
        <v>1912</v>
      </c>
      <c r="E500" s="37" t="inlineStr">
        <is>
          <t>EW-0504</t>
        </is>
      </c>
      <c r="F500" s="37" t="inlineStr">
        <is>
          <t>Eastwey</t>
        </is>
      </c>
      <c r="G500" s="37" t="n">
        <v>28</v>
      </c>
      <c r="H500" s="37" t="inlineStr">
        <is>
          <t>OPEN</t>
        </is>
      </c>
      <c r="I500" s="37" t="inlineStr">
        <is>
          <t>ACCEPTED</t>
        </is>
      </c>
    </row>
    <row r="501">
      <c r="A501" s="37" t="inlineStr">
        <is>
          <t>OFR-2023-0500</t>
        </is>
      </c>
      <c r="B501" s="43" t="n">
        <v>45123</v>
      </c>
      <c r="C501" s="37" t="inlineStr">
        <is>
          <t>WL-02934</t>
        </is>
      </c>
      <c r="D501" s="37" t="n">
        <v>1934</v>
      </c>
      <c r="E501" s="37" t="inlineStr">
        <is>
          <t>LP-0717</t>
        </is>
      </c>
      <c r="F501" s="37" t="inlineStr">
        <is>
          <t>Ledgport</t>
        </is>
      </c>
      <c r="G501" s="37" t="n">
        <v>24</v>
      </c>
      <c r="H501" s="37" t="inlineStr">
        <is>
          <t>COVERED</t>
        </is>
      </c>
      <c r="I501" s="37" t="inlineStr">
        <is>
          <t>ACCEPTED</t>
        </is>
      </c>
    </row>
    <row r="502">
      <c r="A502" s="37" t="inlineStr">
        <is>
          <t>OFR-2023-0501</t>
        </is>
      </c>
      <c r="B502" s="43" t="n">
        <v>45110</v>
      </c>
      <c r="C502" s="37" t="inlineStr">
        <is>
          <t>WL-01924</t>
        </is>
      </c>
      <c r="D502" s="37" t="n">
        <v>924</v>
      </c>
      <c r="E502" s="37" t="inlineStr">
        <is>
          <t>EW-0111</t>
        </is>
      </c>
      <c r="F502" s="37" t="inlineStr">
        <is>
          <t>Eastwey</t>
        </is>
      </c>
      <c r="G502" s="37" t="n">
        <v>28</v>
      </c>
      <c r="H502" s="37" t="inlineStr">
        <is>
          <t>OPEN</t>
        </is>
      </c>
      <c r="I502" s="37" t="inlineStr">
        <is>
          <t>SKIPPED</t>
        </is>
      </c>
      <c r="J502" s="37" t="inlineStr">
        <is>
          <t>vessel-fit</t>
        </is>
      </c>
    </row>
    <row r="503">
      <c r="A503" s="37" t="inlineStr">
        <is>
          <t>OFR-2023-0502</t>
        </is>
      </c>
      <c r="B503" s="43" t="n">
        <v>45117</v>
      </c>
      <c r="C503" s="37" t="inlineStr">
        <is>
          <t>WL-02990</t>
        </is>
      </c>
      <c r="D503" s="37" t="n">
        <v>1990</v>
      </c>
      <c r="E503" s="37" t="inlineStr">
        <is>
          <t>SB-0609</t>
        </is>
      </c>
      <c r="F503" s="37" t="inlineStr">
        <is>
          <t>Salmonberry</t>
        </is>
      </c>
      <c r="G503" s="37" t="n">
        <v>36</v>
      </c>
      <c r="H503" s="37" t="inlineStr">
        <is>
          <t>OPEN</t>
        </is>
      </c>
      <c r="I503" s="37" t="inlineStr">
        <is>
          <t>ACCEPTED</t>
        </is>
      </c>
    </row>
    <row r="504">
      <c r="A504" s="37" t="inlineStr">
        <is>
          <t>OFR-2023-0503</t>
        </is>
      </c>
      <c r="B504" s="43" t="n">
        <v>45132</v>
      </c>
      <c r="C504" s="37" t="inlineStr">
        <is>
          <t>WL-01115</t>
        </is>
      </c>
      <c r="D504" s="37" t="n">
        <v>115</v>
      </c>
      <c r="E504" s="37" t="inlineStr">
        <is>
          <t>EW-1001</t>
        </is>
      </c>
      <c r="F504" s="37" t="inlineStr">
        <is>
          <t>Eastwey</t>
        </is>
      </c>
      <c r="G504" s="37" t="n">
        <v>45</v>
      </c>
      <c r="H504" s="37" t="inlineStr">
        <is>
          <t>OPEN</t>
        </is>
      </c>
      <c r="I504" s="37" t="inlineStr">
        <is>
          <t>EXPIRED</t>
        </is>
      </c>
    </row>
    <row r="505">
      <c r="A505" s="37" t="inlineStr">
        <is>
          <t>OFR-2023-0504</t>
        </is>
      </c>
      <c r="B505" s="43" t="n">
        <v>45134</v>
      </c>
      <c r="C505" s="37" t="inlineStr">
        <is>
          <t>WL-03652</t>
        </is>
      </c>
      <c r="D505" s="37" t="n">
        <v>2652</v>
      </c>
      <c r="E505" s="37" t="inlineStr">
        <is>
          <t>GW-0301</t>
        </is>
      </c>
      <c r="F505" s="37" t="inlineStr">
        <is>
          <t>Gullwing</t>
        </is>
      </c>
      <c r="G505" s="37" t="n">
        <v>24</v>
      </c>
      <c r="H505" s="37" t="inlineStr">
        <is>
          <t>OPEN</t>
        </is>
      </c>
      <c r="I505" s="37" t="inlineStr">
        <is>
          <t>SKIPPED</t>
        </is>
      </c>
      <c r="J505" s="37" t="inlineStr">
        <is>
          <t>vessel-fit</t>
        </is>
      </c>
    </row>
    <row r="506">
      <c r="A506" s="37" t="inlineStr">
        <is>
          <t>OFR-2023-0505</t>
        </is>
      </c>
      <c r="B506" s="43" t="n">
        <v>45127</v>
      </c>
      <c r="C506" s="37" t="inlineStr">
        <is>
          <t>WL-03411</t>
        </is>
      </c>
      <c r="D506" s="37" t="n">
        <v>2411</v>
      </c>
      <c r="E506" s="37" t="inlineStr">
        <is>
          <t>VB-0719</t>
        </is>
      </c>
      <c r="F506" s="37" t="inlineStr">
        <is>
          <t>Vessbank</t>
        </is>
      </c>
      <c r="G506" s="37" t="n">
        <v>32</v>
      </c>
      <c r="H506" s="37" t="inlineStr">
        <is>
          <t>COVERED</t>
        </is>
      </c>
      <c r="I506" s="37" t="inlineStr">
        <is>
          <t>SKIPPED</t>
        </is>
      </c>
      <c r="J506" s="37" t="inlineStr">
        <is>
          <t>preference-mismatch</t>
        </is>
      </c>
    </row>
    <row r="507">
      <c r="A507" s="37" t="inlineStr">
        <is>
          <t>OFR-2023-0506</t>
        </is>
      </c>
      <c r="B507" s="43" t="n">
        <v>45114</v>
      </c>
      <c r="C507" s="37" t="inlineStr">
        <is>
          <t>WL-03026</t>
        </is>
      </c>
      <c r="D507" s="37" t="n">
        <v>2026</v>
      </c>
      <c r="E507" s="37" t="inlineStr">
        <is>
          <t>LP-0804</t>
        </is>
      </c>
      <c r="F507" s="37" t="inlineStr">
        <is>
          <t>Ledgport</t>
        </is>
      </c>
      <c r="G507" s="37" t="n">
        <v>32</v>
      </c>
      <c r="H507" s="37" t="inlineStr">
        <is>
          <t>COVERED</t>
        </is>
      </c>
      <c r="I507" s="37" t="inlineStr">
        <is>
          <t>ACCEPTED</t>
        </is>
      </c>
    </row>
    <row r="508">
      <c r="A508" s="37" t="inlineStr">
        <is>
          <t>OFR-2023-0507</t>
        </is>
      </c>
      <c r="B508" s="43" t="n">
        <v>45135</v>
      </c>
      <c r="C508" s="37" t="inlineStr">
        <is>
          <t>WL-02139</t>
        </is>
      </c>
      <c r="D508" s="37" t="n">
        <v>1139</v>
      </c>
      <c r="E508" s="37" t="inlineStr">
        <is>
          <t>SB-0514</t>
        </is>
      </c>
      <c r="F508" s="37" t="inlineStr">
        <is>
          <t>Salmonberry</t>
        </is>
      </c>
      <c r="G508" s="37" t="n">
        <v>45</v>
      </c>
      <c r="H508" s="37" t="inlineStr">
        <is>
          <t>OPEN</t>
        </is>
      </c>
      <c r="I508" s="37" t="inlineStr">
        <is>
          <t>EXPIRED</t>
        </is>
      </c>
    </row>
    <row r="509">
      <c r="A509" s="37" t="inlineStr">
        <is>
          <t>OFR-2023-0508</t>
        </is>
      </c>
      <c r="B509" s="43" t="n">
        <v>45144</v>
      </c>
      <c r="C509" s="37" t="inlineStr">
        <is>
          <t>WL-01029</t>
        </is>
      </c>
      <c r="D509" s="37" t="n">
        <v>29</v>
      </c>
      <c r="E509" s="37" t="inlineStr">
        <is>
          <t>EW-0119</t>
        </is>
      </c>
      <c r="F509" s="37" t="inlineStr">
        <is>
          <t>Eastwey</t>
        </is>
      </c>
      <c r="G509" s="37" t="n">
        <v>32</v>
      </c>
      <c r="H509" s="37" t="inlineStr">
        <is>
          <t>OPEN</t>
        </is>
      </c>
      <c r="I509" s="37" t="inlineStr">
        <is>
          <t>SKIPPED</t>
        </is>
      </c>
      <c r="J509" s="37" t="inlineStr">
        <is>
          <t>preference-mismatch</t>
        </is>
      </c>
    </row>
    <row r="510">
      <c r="A510" s="37" t="inlineStr">
        <is>
          <t>OFR-2023-0509</t>
        </is>
      </c>
      <c r="B510" s="43" t="n">
        <v>45141</v>
      </c>
      <c r="C510" s="37" t="inlineStr">
        <is>
          <t>WL-02414</t>
        </is>
      </c>
      <c r="D510" s="37" t="n">
        <v>1414</v>
      </c>
      <c r="E510" s="37" t="inlineStr">
        <is>
          <t>SB-0911</t>
        </is>
      </c>
      <c r="F510" s="37" t="inlineStr">
        <is>
          <t>Salmonberry</t>
        </is>
      </c>
      <c r="G510" s="37" t="n">
        <v>28</v>
      </c>
      <c r="H510" s="37" t="inlineStr">
        <is>
          <t>OPEN</t>
        </is>
      </c>
      <c r="I510" s="37" t="inlineStr">
        <is>
          <t>ACCEPTED</t>
        </is>
      </c>
    </row>
    <row r="511">
      <c r="A511" s="37" t="inlineStr">
        <is>
          <t>OFR-2023-0510</t>
        </is>
      </c>
      <c r="B511" s="43" t="n">
        <v>45149</v>
      </c>
      <c r="C511" s="37" t="inlineStr">
        <is>
          <t>WL-02542</t>
        </is>
      </c>
      <c r="D511" s="37" t="n">
        <v>1542</v>
      </c>
      <c r="E511" s="37" t="inlineStr">
        <is>
          <t>VB-0824</t>
        </is>
      </c>
      <c r="F511" s="37" t="inlineStr">
        <is>
          <t>Vessbank</t>
        </is>
      </c>
      <c r="G511" s="37" t="n">
        <v>28</v>
      </c>
      <c r="H511" s="37" t="inlineStr">
        <is>
          <t>COVERED</t>
        </is>
      </c>
      <c r="I511" s="37" t="inlineStr">
        <is>
          <t>ACCEPTED</t>
        </is>
      </c>
    </row>
    <row r="512">
      <c r="A512" s="37" t="inlineStr">
        <is>
          <t>OFR-2023-0511</t>
        </is>
      </c>
      <c r="B512" s="43" t="n">
        <v>45160</v>
      </c>
      <c r="C512" s="37" t="inlineStr">
        <is>
          <t>WL-02535</t>
        </is>
      </c>
      <c r="D512" s="37" t="n">
        <v>1535</v>
      </c>
      <c r="E512" s="37" t="inlineStr">
        <is>
          <t>GW-0721</t>
        </is>
      </c>
      <c r="F512" s="37" t="inlineStr">
        <is>
          <t>Gullwing</t>
        </is>
      </c>
      <c r="G512" s="37" t="n">
        <v>50</v>
      </c>
      <c r="H512" s="37" t="inlineStr">
        <is>
          <t>OPEN</t>
        </is>
      </c>
      <c r="I512" s="37" t="inlineStr">
        <is>
          <t>ACCEPTED</t>
        </is>
      </c>
    </row>
    <row r="513">
      <c r="A513" s="37" t="inlineStr">
        <is>
          <t>OFR-2023-0512</t>
        </is>
      </c>
      <c r="B513" s="43" t="n">
        <v>45143</v>
      </c>
      <c r="C513" s="37" t="inlineStr">
        <is>
          <t>WL-02543</t>
        </is>
      </c>
      <c r="D513" s="37" t="n">
        <v>1543</v>
      </c>
      <c r="E513" s="37" t="inlineStr">
        <is>
          <t>GW-0121</t>
        </is>
      </c>
      <c r="F513" s="37" t="inlineStr">
        <is>
          <t>Gullwing</t>
        </is>
      </c>
      <c r="G513" s="37" t="n">
        <v>32</v>
      </c>
      <c r="H513" s="37" t="inlineStr">
        <is>
          <t>OPEN</t>
        </is>
      </c>
      <c r="I513" s="37" t="inlineStr">
        <is>
          <t>ACCEPTED</t>
        </is>
      </c>
    </row>
    <row r="514">
      <c r="A514" s="37" t="inlineStr">
        <is>
          <t>OFR-2023-0513</t>
        </is>
      </c>
      <c r="B514" s="43" t="n">
        <v>45149</v>
      </c>
      <c r="C514" s="37" t="inlineStr">
        <is>
          <t>WL-01710</t>
        </is>
      </c>
      <c r="D514" s="37" t="n">
        <v>710</v>
      </c>
      <c r="E514" s="37" t="inlineStr">
        <is>
          <t>SB-0401</t>
        </is>
      </c>
      <c r="F514" s="37" t="inlineStr">
        <is>
          <t>Salmonberry</t>
        </is>
      </c>
      <c r="G514" s="37" t="n">
        <v>60</v>
      </c>
      <c r="H514" s="37" t="inlineStr">
        <is>
          <t>OPEN</t>
        </is>
      </c>
      <c r="I514" s="37" t="inlineStr">
        <is>
          <t>EXPIRED</t>
        </is>
      </c>
    </row>
    <row r="515">
      <c r="A515" s="37" t="inlineStr">
        <is>
          <t>OFR-2023-0514</t>
        </is>
      </c>
      <c r="B515" s="43" t="n">
        <v>45147</v>
      </c>
      <c r="C515" s="37" t="inlineStr">
        <is>
          <t>WL-03071</t>
        </is>
      </c>
      <c r="D515" s="37" t="n">
        <v>2071</v>
      </c>
      <c r="E515" s="37" t="inlineStr">
        <is>
          <t>GW-0218</t>
        </is>
      </c>
      <c r="F515" s="37" t="inlineStr">
        <is>
          <t>Gullwing</t>
        </is>
      </c>
      <c r="G515" s="37" t="n">
        <v>60</v>
      </c>
      <c r="H515" s="37" t="inlineStr">
        <is>
          <t>OPEN</t>
        </is>
      </c>
      <c r="I515" s="37" t="inlineStr">
        <is>
          <t>DECLINED_RETAINER</t>
        </is>
      </c>
    </row>
    <row r="516">
      <c r="A516" s="37" t="inlineStr">
        <is>
          <t>OFR-2023-0515</t>
        </is>
      </c>
      <c r="B516" s="43" t="n">
        <v>45154</v>
      </c>
      <c r="C516" s="37" t="inlineStr">
        <is>
          <t>WL-01847</t>
        </is>
      </c>
      <c r="D516" s="37" t="n">
        <v>847</v>
      </c>
      <c r="E516" s="37" t="inlineStr">
        <is>
          <t>EW-0110</t>
        </is>
      </c>
      <c r="F516" s="37" t="inlineStr">
        <is>
          <t>Eastwey</t>
        </is>
      </c>
      <c r="G516" s="37" t="n">
        <v>28</v>
      </c>
      <c r="H516" s="37" t="inlineStr">
        <is>
          <t>OPEN</t>
        </is>
      </c>
      <c r="I516" s="37" t="inlineStr">
        <is>
          <t>SKIPPED</t>
        </is>
      </c>
      <c r="J516" s="37" t="inlineStr">
        <is>
          <t>not-current</t>
        </is>
      </c>
    </row>
    <row r="517">
      <c r="A517" s="37" t="inlineStr">
        <is>
          <t>OFR-2023-0516</t>
        </is>
      </c>
      <c r="B517" s="43" t="n">
        <v>45166</v>
      </c>
      <c r="C517" s="37" t="inlineStr">
        <is>
          <t>WL-02023</t>
        </is>
      </c>
      <c r="D517" s="37" t="n">
        <v>1023</v>
      </c>
      <c r="E517" s="37" t="inlineStr">
        <is>
          <t>GW-0920</t>
        </is>
      </c>
      <c r="F517" s="37" t="inlineStr">
        <is>
          <t>Gullwing</t>
        </is>
      </c>
      <c r="G517" s="37" t="n">
        <v>28</v>
      </c>
      <c r="H517" s="37" t="inlineStr">
        <is>
          <t>OPEN</t>
        </is>
      </c>
      <c r="I517" s="37" t="inlineStr">
        <is>
          <t>DECLINED</t>
        </is>
      </c>
    </row>
    <row r="518">
      <c r="A518" s="37" t="inlineStr">
        <is>
          <t>OFR-2023-0517</t>
        </is>
      </c>
      <c r="B518" s="43" t="n">
        <v>45147</v>
      </c>
      <c r="C518" s="37" t="inlineStr">
        <is>
          <t>WL-01297</t>
        </is>
      </c>
      <c r="D518" s="37" t="n">
        <v>297</v>
      </c>
      <c r="E518" s="37" t="inlineStr">
        <is>
          <t>VB-0512</t>
        </is>
      </c>
      <c r="F518" s="37" t="inlineStr">
        <is>
          <t>Vessbank</t>
        </is>
      </c>
      <c r="G518" s="37" t="n">
        <v>28</v>
      </c>
      <c r="H518" s="37" t="inlineStr">
        <is>
          <t>COVERED</t>
        </is>
      </c>
      <c r="I518" s="37" t="inlineStr">
        <is>
          <t>SKIPPED</t>
        </is>
      </c>
      <c r="J518" s="37" t="inlineStr">
        <is>
          <t>not-current</t>
        </is>
      </c>
    </row>
    <row r="519">
      <c r="A519" s="37" t="inlineStr">
        <is>
          <t>OFR-2023-0518</t>
        </is>
      </c>
      <c r="B519" s="43" t="n">
        <v>45140</v>
      </c>
      <c r="C519" s="37" t="inlineStr">
        <is>
          <t>WL-02603</t>
        </is>
      </c>
      <c r="D519" s="37" t="n">
        <v>1603</v>
      </c>
      <c r="E519" s="37" t="inlineStr">
        <is>
          <t>GW-0611</t>
        </is>
      </c>
      <c r="F519" s="37" t="inlineStr">
        <is>
          <t>Gullwing</t>
        </is>
      </c>
      <c r="G519" s="37" t="n">
        <v>24</v>
      </c>
      <c r="H519" s="37" t="inlineStr">
        <is>
          <t>OPEN</t>
        </is>
      </c>
      <c r="I519" s="37" t="inlineStr">
        <is>
          <t>SKIPPED</t>
        </is>
      </c>
      <c r="J519" s="37" t="inlineStr">
        <is>
          <t>declined-prior-offer</t>
        </is>
      </c>
    </row>
    <row r="520">
      <c r="A520" s="37" t="inlineStr">
        <is>
          <t>OFR-2023-0519</t>
        </is>
      </c>
      <c r="B520" s="43" t="n">
        <v>45158</v>
      </c>
      <c r="C520" s="37" t="inlineStr">
        <is>
          <t>WL-01863</t>
        </is>
      </c>
      <c r="D520" s="37" t="n">
        <v>863</v>
      </c>
      <c r="E520" s="37" t="inlineStr">
        <is>
          <t>LP-0404</t>
        </is>
      </c>
      <c r="F520" s="37" t="inlineStr">
        <is>
          <t>Ledgport</t>
        </is>
      </c>
      <c r="G520" s="37" t="n">
        <v>24</v>
      </c>
      <c r="H520" s="37" t="inlineStr">
        <is>
          <t>COVERED</t>
        </is>
      </c>
      <c r="I520" s="37" t="inlineStr">
        <is>
          <t>EXPIRED</t>
        </is>
      </c>
    </row>
    <row r="521">
      <c r="A521" s="37" t="inlineStr">
        <is>
          <t>OFR-2023-0520</t>
        </is>
      </c>
      <c r="B521" s="43" t="n">
        <v>45162</v>
      </c>
      <c r="C521" s="37" t="inlineStr">
        <is>
          <t>WL-02127</t>
        </is>
      </c>
      <c r="D521" s="37" t="n">
        <v>1127</v>
      </c>
      <c r="E521" s="37" t="inlineStr">
        <is>
          <t>EW-0306</t>
        </is>
      </c>
      <c r="F521" s="37" t="inlineStr">
        <is>
          <t>Eastwey</t>
        </is>
      </c>
      <c r="G521" s="37" t="n">
        <v>50</v>
      </c>
      <c r="H521" s="37" t="inlineStr">
        <is>
          <t>OPEN</t>
        </is>
      </c>
      <c r="I521" s="37" t="inlineStr">
        <is>
          <t>ACCEPTED</t>
        </is>
      </c>
    </row>
    <row r="522">
      <c r="A522" s="37" t="inlineStr">
        <is>
          <t>OFR-2023-0521</t>
        </is>
      </c>
      <c r="B522" s="43" t="n">
        <v>45146</v>
      </c>
      <c r="C522" s="37" t="inlineStr">
        <is>
          <t>WL-02822</t>
        </is>
      </c>
      <c r="D522" s="37" t="n">
        <v>1822</v>
      </c>
      <c r="E522" s="37" t="inlineStr">
        <is>
          <t>EW-0105</t>
        </is>
      </c>
      <c r="F522" s="37" t="inlineStr">
        <is>
          <t>Eastwey</t>
        </is>
      </c>
      <c r="G522" s="37" t="n">
        <v>36</v>
      </c>
      <c r="H522" s="37" t="inlineStr">
        <is>
          <t>OPEN</t>
        </is>
      </c>
      <c r="I522" s="37" t="inlineStr">
        <is>
          <t>ACCEPTED</t>
        </is>
      </c>
    </row>
    <row r="523">
      <c r="A523" s="37" t="inlineStr">
        <is>
          <t>OFR-2023-0522</t>
        </is>
      </c>
      <c r="B523" s="43" t="n">
        <v>45153</v>
      </c>
      <c r="C523" s="37" t="inlineStr">
        <is>
          <t>WL-02127</t>
        </is>
      </c>
      <c r="D523" s="37" t="n">
        <v>1127</v>
      </c>
      <c r="E523" s="37" t="inlineStr">
        <is>
          <t>SB-0207</t>
        </is>
      </c>
      <c r="F523" s="37" t="inlineStr">
        <is>
          <t>Salmonberry</t>
        </is>
      </c>
      <c r="G523" s="37" t="n">
        <v>24</v>
      </c>
      <c r="H523" s="37" t="inlineStr">
        <is>
          <t>OPEN</t>
        </is>
      </c>
      <c r="I523" s="37" t="inlineStr">
        <is>
          <t>EXPIRED</t>
        </is>
      </c>
    </row>
    <row r="524">
      <c r="A524" s="37" t="inlineStr">
        <is>
          <t>OFR-2023-0523</t>
        </is>
      </c>
      <c r="B524" s="43" t="n">
        <v>45142</v>
      </c>
      <c r="C524" s="37" t="inlineStr">
        <is>
          <t>WL-03145</t>
        </is>
      </c>
      <c r="D524" s="37" t="n">
        <v>2145</v>
      </c>
      <c r="E524" s="37" t="inlineStr">
        <is>
          <t>GW-0410</t>
        </is>
      </c>
      <c r="F524" s="37" t="inlineStr">
        <is>
          <t>Gullwing</t>
        </is>
      </c>
      <c r="G524" s="37" t="n">
        <v>70</v>
      </c>
      <c r="H524" s="37" t="inlineStr">
        <is>
          <t>OPEN</t>
        </is>
      </c>
      <c r="I524" s="37" t="inlineStr">
        <is>
          <t>ACCEPTED</t>
        </is>
      </c>
    </row>
    <row r="525">
      <c r="A525" s="37" t="inlineStr">
        <is>
          <t>OFR-2023-0524</t>
        </is>
      </c>
      <c r="B525" s="43" t="n">
        <v>45160</v>
      </c>
      <c r="C525" s="37" t="inlineStr">
        <is>
          <t>WL-03153</t>
        </is>
      </c>
      <c r="D525" s="37" t="n">
        <v>2153</v>
      </c>
      <c r="E525" s="37" t="inlineStr">
        <is>
          <t>EW-0213</t>
        </is>
      </c>
      <c r="F525" s="37" t="inlineStr">
        <is>
          <t>Eastwey</t>
        </is>
      </c>
      <c r="G525" s="37" t="n">
        <v>28</v>
      </c>
      <c r="H525" s="37" t="inlineStr">
        <is>
          <t>OPEN</t>
        </is>
      </c>
      <c r="I525" s="37" t="inlineStr">
        <is>
          <t>SKIPPED</t>
        </is>
      </c>
      <c r="J525" s="37" t="inlineStr">
        <is>
          <t>preference-mismatch</t>
        </is>
      </c>
    </row>
    <row r="526">
      <c r="A526" s="37" t="inlineStr">
        <is>
          <t>OFR-2023-0525</t>
        </is>
      </c>
      <c r="B526" s="43" t="n">
        <v>45142</v>
      </c>
      <c r="C526" s="37" t="inlineStr">
        <is>
          <t>WL-03787</t>
        </is>
      </c>
      <c r="D526" s="37" t="n">
        <v>2787</v>
      </c>
      <c r="E526" s="37" t="inlineStr">
        <is>
          <t>EW-0803</t>
        </is>
      </c>
      <c r="F526" s="37" t="inlineStr">
        <is>
          <t>Eastwey</t>
        </is>
      </c>
      <c r="G526" s="37" t="n">
        <v>28</v>
      </c>
      <c r="H526" s="37" t="inlineStr">
        <is>
          <t>OPEN</t>
        </is>
      </c>
      <c r="I526" s="37" t="inlineStr">
        <is>
          <t>WITHDRAWN</t>
        </is>
      </c>
    </row>
    <row r="527">
      <c r="A527" s="37" t="inlineStr">
        <is>
          <t>OFR-2023-0526</t>
        </is>
      </c>
      <c r="B527" s="43" t="n">
        <v>45160</v>
      </c>
      <c r="C527" s="37" t="inlineStr">
        <is>
          <t>WL-02650</t>
        </is>
      </c>
      <c r="D527" s="37" t="n">
        <v>1650</v>
      </c>
      <c r="E527" s="37" t="inlineStr">
        <is>
          <t>EW-0310</t>
        </is>
      </c>
      <c r="F527" s="37" t="inlineStr">
        <is>
          <t>Eastwey</t>
        </is>
      </c>
      <c r="G527" s="37" t="n">
        <v>24</v>
      </c>
      <c r="H527" s="37" t="inlineStr">
        <is>
          <t>OPEN</t>
        </is>
      </c>
      <c r="I527" s="37" t="inlineStr">
        <is>
          <t>SKIPPED</t>
        </is>
      </c>
      <c r="J527" s="37" t="inlineStr">
        <is>
          <t>declined-prior-offer</t>
        </is>
      </c>
    </row>
    <row r="528">
      <c r="A528" s="37" t="inlineStr">
        <is>
          <t>OFR-2023-0527</t>
        </is>
      </c>
      <c r="B528" s="43" t="n">
        <v>45143</v>
      </c>
      <c r="C528" s="37" t="inlineStr">
        <is>
          <t>WL-01804</t>
        </is>
      </c>
      <c r="D528" s="37" t="n">
        <v>804</v>
      </c>
      <c r="E528" s="37" t="inlineStr">
        <is>
          <t>VB-0606</t>
        </is>
      </c>
      <c r="F528" s="37" t="inlineStr">
        <is>
          <t>Vessbank</t>
        </is>
      </c>
      <c r="G528" s="37" t="n">
        <v>28</v>
      </c>
      <c r="H528" s="37" t="inlineStr">
        <is>
          <t>COVERED</t>
        </is>
      </c>
      <c r="I528" s="37" t="inlineStr">
        <is>
          <t>ACCEPTED</t>
        </is>
      </c>
    </row>
    <row r="529">
      <c r="A529" s="37" t="inlineStr">
        <is>
          <t>OFR-2023-0528</t>
        </is>
      </c>
      <c r="B529" s="43" t="n">
        <v>45148</v>
      </c>
      <c r="C529" s="37" t="inlineStr">
        <is>
          <t>WL-01360</t>
        </is>
      </c>
      <c r="D529" s="37" t="n">
        <v>360</v>
      </c>
      <c r="E529" s="37" t="inlineStr">
        <is>
          <t>LP-0516</t>
        </is>
      </c>
      <c r="F529" s="37" t="inlineStr">
        <is>
          <t>Ledgport</t>
        </is>
      </c>
      <c r="G529" s="37" t="n">
        <v>40</v>
      </c>
      <c r="H529" s="37" t="inlineStr">
        <is>
          <t>COVERED</t>
        </is>
      </c>
      <c r="I529" s="37" t="inlineStr">
        <is>
          <t>SKIPPED</t>
        </is>
      </c>
      <c r="J529" s="37" t="inlineStr">
        <is>
          <t>vessel-fit</t>
        </is>
      </c>
    </row>
    <row r="530">
      <c r="A530" s="37" t="inlineStr">
        <is>
          <t>OFR-2023-0529</t>
        </is>
      </c>
      <c r="B530" s="43" t="n">
        <v>45159</v>
      </c>
      <c r="C530" s="37" t="inlineStr">
        <is>
          <t>WL-03821</t>
        </is>
      </c>
      <c r="D530" s="37" t="n">
        <v>2821</v>
      </c>
      <c r="E530" s="37" t="inlineStr">
        <is>
          <t>GW-0421</t>
        </is>
      </c>
      <c r="F530" s="37" t="inlineStr">
        <is>
          <t>Gullwing</t>
        </is>
      </c>
      <c r="G530" s="37" t="n">
        <v>80</v>
      </c>
      <c r="H530" s="37" t="inlineStr">
        <is>
          <t>OPEN</t>
        </is>
      </c>
      <c r="I530" s="37" t="inlineStr">
        <is>
          <t>ACCEPTED</t>
        </is>
      </c>
    </row>
    <row r="531">
      <c r="A531" s="37" t="inlineStr">
        <is>
          <t>OFR-2023-0530</t>
        </is>
      </c>
      <c r="B531" s="43" t="n">
        <v>45143</v>
      </c>
      <c r="C531" s="37" t="inlineStr">
        <is>
          <t>WL-01367</t>
        </is>
      </c>
      <c r="D531" s="37" t="n">
        <v>367</v>
      </c>
      <c r="E531" s="37" t="inlineStr">
        <is>
          <t>GW-0703</t>
        </is>
      </c>
      <c r="F531" s="37" t="inlineStr">
        <is>
          <t>Gullwing</t>
        </is>
      </c>
      <c r="G531" s="37" t="n">
        <v>32</v>
      </c>
      <c r="H531" s="37" t="inlineStr">
        <is>
          <t>OPEN</t>
        </is>
      </c>
      <c r="I531" s="37" t="inlineStr">
        <is>
          <t>SKIPPED</t>
        </is>
      </c>
      <c r="J531" s="37" t="inlineStr">
        <is>
          <t>vessel-fit</t>
        </is>
      </c>
    </row>
    <row r="532">
      <c r="A532" s="37" t="inlineStr">
        <is>
          <t>OFR-2023-0531</t>
        </is>
      </c>
      <c r="B532" s="43" t="n">
        <v>45154</v>
      </c>
      <c r="C532" s="37" t="inlineStr">
        <is>
          <t>WL-01085</t>
        </is>
      </c>
      <c r="D532" s="37" t="n">
        <v>85</v>
      </c>
      <c r="E532" s="37" t="inlineStr">
        <is>
          <t>LP-0323</t>
        </is>
      </c>
      <c r="F532" s="37" t="inlineStr">
        <is>
          <t>Ledgport</t>
        </is>
      </c>
      <c r="G532" s="37" t="n">
        <v>24</v>
      </c>
      <c r="H532" s="37" t="inlineStr">
        <is>
          <t>COVERED</t>
        </is>
      </c>
      <c r="I532" s="37" t="inlineStr">
        <is>
          <t>EXPIRED</t>
        </is>
      </c>
    </row>
    <row r="533">
      <c r="A533" s="37" t="inlineStr">
        <is>
          <t>OFR-2023-0532</t>
        </is>
      </c>
      <c r="B533" s="43" t="n">
        <v>45148</v>
      </c>
      <c r="C533" s="37" t="inlineStr">
        <is>
          <t>WL-02707</t>
        </is>
      </c>
      <c r="D533" s="37" t="n">
        <v>1707</v>
      </c>
      <c r="E533" s="37" t="inlineStr">
        <is>
          <t>EW-0715</t>
        </is>
      </c>
      <c r="F533" s="37" t="inlineStr">
        <is>
          <t>Eastwey</t>
        </is>
      </c>
      <c r="G533" s="37" t="n">
        <v>45</v>
      </c>
      <c r="H533" s="37" t="inlineStr">
        <is>
          <t>OPEN</t>
        </is>
      </c>
      <c r="I533" s="37" t="inlineStr">
        <is>
          <t>ACCEPTED</t>
        </is>
      </c>
    </row>
    <row r="534">
      <c r="A534" s="37" t="inlineStr">
        <is>
          <t>OFR-2023-0533</t>
        </is>
      </c>
      <c r="B534" s="43" t="n">
        <v>45156</v>
      </c>
      <c r="C534" s="37" t="inlineStr">
        <is>
          <t>WL-02793</t>
        </is>
      </c>
      <c r="D534" s="37" t="n">
        <v>1793</v>
      </c>
      <c r="E534" s="37" t="inlineStr">
        <is>
          <t>EW-0814</t>
        </is>
      </c>
      <c r="F534" s="37" t="inlineStr">
        <is>
          <t>Eastwey</t>
        </is>
      </c>
      <c r="G534" s="37" t="n">
        <v>40</v>
      </c>
      <c r="H534" s="37" t="inlineStr">
        <is>
          <t>OPEN</t>
        </is>
      </c>
      <c r="I534" s="37" t="inlineStr">
        <is>
          <t>SKIPPED</t>
        </is>
      </c>
      <c r="J534" s="37" t="inlineStr">
        <is>
          <t>vessel-fit</t>
        </is>
      </c>
    </row>
    <row r="535">
      <c r="A535" s="37" t="inlineStr">
        <is>
          <t>OFR-2023-0534</t>
        </is>
      </c>
      <c r="B535" s="43" t="n">
        <v>45139</v>
      </c>
      <c r="C535" s="37" t="inlineStr">
        <is>
          <t>WL-02500</t>
        </is>
      </c>
      <c r="D535" s="37" t="n">
        <v>1500</v>
      </c>
      <c r="E535" s="37" t="inlineStr">
        <is>
          <t>LP-0401</t>
        </is>
      </c>
      <c r="F535" s="37" t="inlineStr">
        <is>
          <t>Ledgport</t>
        </is>
      </c>
      <c r="G535" s="37" t="n">
        <v>24</v>
      </c>
      <c r="H535" s="37" t="inlineStr">
        <is>
          <t>COVERED</t>
        </is>
      </c>
      <c r="I535" s="37" t="inlineStr">
        <is>
          <t>EXPIRED</t>
        </is>
      </c>
    </row>
    <row r="536">
      <c r="A536" s="37" t="inlineStr">
        <is>
          <t>OFR-2023-0535</t>
        </is>
      </c>
      <c r="B536" s="43" t="n">
        <v>45150</v>
      </c>
      <c r="C536" s="37" t="inlineStr">
        <is>
          <t>WL-02532</t>
        </is>
      </c>
      <c r="D536" s="37" t="n">
        <v>1532</v>
      </c>
      <c r="E536" s="37" t="inlineStr">
        <is>
          <t>VB-0114</t>
        </is>
      </c>
      <c r="F536" s="37" t="inlineStr">
        <is>
          <t>Vessbank</t>
        </is>
      </c>
      <c r="G536" s="37" t="n">
        <v>28</v>
      </c>
      <c r="H536" s="37" t="inlineStr">
        <is>
          <t>COVERED</t>
        </is>
      </c>
      <c r="I536" s="37" t="inlineStr">
        <is>
          <t>DECLINED</t>
        </is>
      </c>
    </row>
    <row r="537">
      <c r="A537" s="37" t="inlineStr">
        <is>
          <t>OFR-2023-0536</t>
        </is>
      </c>
      <c r="B537" s="43" t="n">
        <v>45145</v>
      </c>
      <c r="C537" s="37" t="inlineStr">
        <is>
          <t>WL-01945</t>
        </is>
      </c>
      <c r="D537" s="37" t="n">
        <v>945</v>
      </c>
      <c r="E537" s="37" t="inlineStr">
        <is>
          <t>LP-1018</t>
        </is>
      </c>
      <c r="F537" s="37" t="inlineStr">
        <is>
          <t>Ledgport</t>
        </is>
      </c>
      <c r="G537" s="37" t="n">
        <v>32</v>
      </c>
      <c r="H537" s="37" t="inlineStr">
        <is>
          <t>COVERED</t>
        </is>
      </c>
      <c r="I537" s="37" t="inlineStr">
        <is>
          <t>DECLINED</t>
        </is>
      </c>
    </row>
    <row r="538">
      <c r="A538" s="37" t="inlineStr">
        <is>
          <t>OFR-2023-0537</t>
        </is>
      </c>
      <c r="B538" s="43" t="n">
        <v>45166</v>
      </c>
      <c r="C538" s="37" t="inlineStr">
        <is>
          <t>WL-02162</t>
        </is>
      </c>
      <c r="D538" s="37" t="n">
        <v>1162</v>
      </c>
      <c r="E538" s="37" t="inlineStr">
        <is>
          <t>VB-0902</t>
        </is>
      </c>
      <c r="F538" s="37" t="inlineStr">
        <is>
          <t>Vessbank</t>
        </is>
      </c>
      <c r="G538" s="37" t="n">
        <v>28</v>
      </c>
      <c r="H538" s="37" t="inlineStr">
        <is>
          <t>COVERED</t>
        </is>
      </c>
      <c r="I538" s="37" t="inlineStr">
        <is>
          <t>ACCEPTED</t>
        </is>
      </c>
    </row>
    <row r="539">
      <c r="A539" s="37" t="inlineStr">
        <is>
          <t>OFR-2023-0538</t>
        </is>
      </c>
      <c r="B539" s="43" t="n">
        <v>45150</v>
      </c>
      <c r="C539" s="37" t="inlineStr">
        <is>
          <t>WL-01239</t>
        </is>
      </c>
      <c r="D539" s="37" t="n">
        <v>239</v>
      </c>
      <c r="E539" s="37" t="inlineStr">
        <is>
          <t>GW-0220</t>
        </is>
      </c>
      <c r="F539" s="37" t="inlineStr">
        <is>
          <t>Gullwing</t>
        </is>
      </c>
      <c r="G539" s="37" t="n">
        <v>60</v>
      </c>
      <c r="H539" s="37" t="inlineStr">
        <is>
          <t>OPEN</t>
        </is>
      </c>
      <c r="I539" s="37" t="inlineStr">
        <is>
          <t>EXPIRED</t>
        </is>
      </c>
    </row>
    <row r="540">
      <c r="A540" s="37" t="inlineStr">
        <is>
          <t>OFR-2023-0539</t>
        </is>
      </c>
      <c r="B540" s="43" t="n">
        <v>45165</v>
      </c>
      <c r="C540" s="37" t="inlineStr">
        <is>
          <t>WL-03096</t>
        </is>
      </c>
      <c r="D540" s="37" t="n">
        <v>2096</v>
      </c>
      <c r="E540" s="37" t="inlineStr">
        <is>
          <t>GW-0218</t>
        </is>
      </c>
      <c r="F540" s="37" t="inlineStr">
        <is>
          <t>Gullwing</t>
        </is>
      </c>
      <c r="G540" s="37" t="n">
        <v>60</v>
      </c>
      <c r="H540" s="37" t="inlineStr">
        <is>
          <t>OPEN</t>
        </is>
      </c>
      <c r="I540" s="37" t="inlineStr">
        <is>
          <t>ACCEPTED</t>
        </is>
      </c>
    </row>
    <row r="541">
      <c r="A541" s="37" t="inlineStr">
        <is>
          <t>OFR-2023-0540</t>
        </is>
      </c>
      <c r="B541" s="43" t="n">
        <v>45139</v>
      </c>
      <c r="C541" s="37" t="inlineStr">
        <is>
          <t>WL-01627</t>
        </is>
      </c>
      <c r="D541" s="37" t="n">
        <v>627</v>
      </c>
      <c r="E541" s="37" t="inlineStr">
        <is>
          <t>GW-0412</t>
        </is>
      </c>
      <c r="F541" s="37" t="inlineStr">
        <is>
          <t>Gullwing</t>
        </is>
      </c>
      <c r="G541" s="37" t="n">
        <v>24</v>
      </c>
      <c r="H541" s="37" t="inlineStr">
        <is>
          <t>OPEN</t>
        </is>
      </c>
      <c r="I541" s="37" t="inlineStr">
        <is>
          <t>WITHDRAWN</t>
        </is>
      </c>
    </row>
    <row r="542">
      <c r="A542" s="37" t="inlineStr">
        <is>
          <t>OFR-2023-0541</t>
        </is>
      </c>
      <c r="B542" s="43" t="n">
        <v>45187</v>
      </c>
      <c r="C542" s="37" t="inlineStr">
        <is>
          <t>WL-03249</t>
        </is>
      </c>
      <c r="D542" s="37" t="n">
        <v>2249</v>
      </c>
      <c r="E542" s="37" t="inlineStr">
        <is>
          <t>EW-0518</t>
        </is>
      </c>
      <c r="F542" s="37" t="inlineStr">
        <is>
          <t>Eastwey</t>
        </is>
      </c>
      <c r="G542" s="37" t="n">
        <v>50</v>
      </c>
      <c r="H542" s="37" t="inlineStr">
        <is>
          <t>OPEN</t>
        </is>
      </c>
      <c r="I542" s="37" t="inlineStr">
        <is>
          <t>SKIPPED</t>
        </is>
      </c>
      <c r="J542" s="37" t="inlineStr">
        <is>
          <t>not-current</t>
        </is>
      </c>
    </row>
    <row r="543">
      <c r="A543" s="37" t="inlineStr">
        <is>
          <t>OFR-2023-0542</t>
        </is>
      </c>
      <c r="B543" s="43" t="n">
        <v>45183</v>
      </c>
      <c r="C543" s="37" t="inlineStr">
        <is>
          <t>WL-02811</t>
        </is>
      </c>
      <c r="D543" s="37" t="n">
        <v>1811</v>
      </c>
      <c r="E543" s="37" t="inlineStr">
        <is>
          <t>LP-0501</t>
        </is>
      </c>
      <c r="F543" s="37" t="inlineStr">
        <is>
          <t>Ledgport</t>
        </is>
      </c>
      <c r="G543" s="37" t="n">
        <v>40</v>
      </c>
      <c r="H543" s="37" t="inlineStr">
        <is>
          <t>COVERED</t>
        </is>
      </c>
      <c r="I543" s="37" t="inlineStr">
        <is>
          <t>DECLINED</t>
        </is>
      </c>
    </row>
    <row r="544">
      <c r="A544" s="37" t="inlineStr">
        <is>
          <t>OFR-2023-0543</t>
        </is>
      </c>
      <c r="B544" s="43" t="n">
        <v>45194</v>
      </c>
      <c r="C544" s="37" t="inlineStr">
        <is>
          <t>WL-01313</t>
        </is>
      </c>
      <c r="D544" s="37" t="n">
        <v>313</v>
      </c>
      <c r="E544" s="37" t="inlineStr">
        <is>
          <t>GW-0308</t>
        </is>
      </c>
      <c r="F544" s="37" t="inlineStr">
        <is>
          <t>Gullwing</t>
        </is>
      </c>
      <c r="G544" s="37" t="n">
        <v>60</v>
      </c>
      <c r="H544" s="37" t="inlineStr">
        <is>
          <t>OPEN</t>
        </is>
      </c>
      <c r="I544" s="37" t="inlineStr">
        <is>
          <t>EXPIRED</t>
        </is>
      </c>
    </row>
    <row r="545">
      <c r="A545" s="37" t="inlineStr">
        <is>
          <t>OFR-2023-0544</t>
        </is>
      </c>
      <c r="B545" s="43" t="n">
        <v>45187</v>
      </c>
      <c r="C545" s="37" t="inlineStr">
        <is>
          <t>WL-02768</t>
        </is>
      </c>
      <c r="D545" s="37" t="n">
        <v>1768</v>
      </c>
      <c r="E545" s="37" t="inlineStr">
        <is>
          <t>VB-0302</t>
        </is>
      </c>
      <c r="F545" s="37" t="inlineStr">
        <is>
          <t>Vessbank</t>
        </is>
      </c>
      <c r="G545" s="37" t="n">
        <v>28</v>
      </c>
      <c r="H545" s="37" t="inlineStr">
        <is>
          <t>COVERED</t>
        </is>
      </c>
      <c r="I545" s="37" t="inlineStr">
        <is>
          <t>DECLINED</t>
        </is>
      </c>
    </row>
    <row r="546">
      <c r="A546" s="37" t="inlineStr">
        <is>
          <t>OFR-2023-0545</t>
        </is>
      </c>
      <c r="B546" s="43" t="n">
        <v>45192</v>
      </c>
      <c r="C546" s="37" t="inlineStr">
        <is>
          <t>WL-03316</t>
        </is>
      </c>
      <c r="D546" s="37" t="n">
        <v>2316</v>
      </c>
      <c r="E546" s="37" t="inlineStr">
        <is>
          <t>LP-0403</t>
        </is>
      </c>
      <c r="F546" s="37" t="inlineStr">
        <is>
          <t>Ledgport</t>
        </is>
      </c>
      <c r="G546" s="37" t="n">
        <v>24</v>
      </c>
      <c r="H546" s="37" t="inlineStr">
        <is>
          <t>COVERED</t>
        </is>
      </c>
      <c r="I546" s="37" t="inlineStr">
        <is>
          <t>ACCEPTED</t>
        </is>
      </c>
    </row>
    <row r="547">
      <c r="A547" s="37" t="inlineStr">
        <is>
          <t>OFR-2023-0546</t>
        </is>
      </c>
      <c r="B547" s="43" t="n">
        <v>45180</v>
      </c>
      <c r="C547" s="37" t="inlineStr">
        <is>
          <t>WL-03629</t>
        </is>
      </c>
      <c r="D547" s="37" t="n">
        <v>2629</v>
      </c>
      <c r="E547" s="37" t="inlineStr">
        <is>
          <t>LP-1116</t>
        </is>
      </c>
      <c r="F547" s="37" t="inlineStr">
        <is>
          <t>Ledgport</t>
        </is>
      </c>
      <c r="G547" s="37" t="n">
        <v>28</v>
      </c>
      <c r="H547" s="37" t="inlineStr">
        <is>
          <t>COVERED</t>
        </is>
      </c>
      <c r="I547" s="37" t="inlineStr">
        <is>
          <t>SKIPPED</t>
        </is>
      </c>
      <c r="J547" s="37" t="inlineStr">
        <is>
          <t>vessel-fit</t>
        </is>
      </c>
    </row>
    <row r="548">
      <c r="A548" s="37" t="inlineStr">
        <is>
          <t>OFR-2023-0547</t>
        </is>
      </c>
      <c r="B548" s="43" t="n">
        <v>45174</v>
      </c>
      <c r="C548" s="37" t="inlineStr">
        <is>
          <t>WL-03673</t>
        </is>
      </c>
      <c r="D548" s="37" t="n">
        <v>2673</v>
      </c>
      <c r="E548" s="37" t="inlineStr">
        <is>
          <t>GW-0801</t>
        </is>
      </c>
      <c r="F548" s="37" t="inlineStr">
        <is>
          <t>Gullwing</t>
        </is>
      </c>
      <c r="G548" s="37" t="n">
        <v>80</v>
      </c>
      <c r="H548" s="37" t="inlineStr">
        <is>
          <t>OPEN</t>
        </is>
      </c>
      <c r="I548" s="37" t="inlineStr">
        <is>
          <t>SKIPPED</t>
        </is>
      </c>
      <c r="J548" s="37" t="inlineStr">
        <is>
          <t>preference-mismatch</t>
        </is>
      </c>
    </row>
    <row r="549">
      <c r="A549" s="37" t="inlineStr">
        <is>
          <t>OFR-2023-0548</t>
        </is>
      </c>
      <c r="B549" s="43" t="n">
        <v>45185</v>
      </c>
      <c r="C549" s="37" t="inlineStr">
        <is>
          <t>WL-03521</t>
        </is>
      </c>
      <c r="D549" s="37" t="n">
        <v>2521</v>
      </c>
      <c r="E549" s="37" t="inlineStr">
        <is>
          <t>GW-1005</t>
        </is>
      </c>
      <c r="F549" s="37" t="inlineStr">
        <is>
          <t>Gullwing</t>
        </is>
      </c>
      <c r="G549" s="37" t="n">
        <v>32</v>
      </c>
      <c r="H549" s="37" t="inlineStr">
        <is>
          <t>OPEN</t>
        </is>
      </c>
      <c r="I549" s="37" t="inlineStr">
        <is>
          <t>DECLINED_RETAINER</t>
        </is>
      </c>
    </row>
    <row r="550">
      <c r="A550" s="37" t="inlineStr">
        <is>
          <t>OFR-2023-0549</t>
        </is>
      </c>
      <c r="B550" s="43" t="n">
        <v>45183</v>
      </c>
      <c r="C550" s="37" t="inlineStr">
        <is>
          <t>WL-01089</t>
        </is>
      </c>
      <c r="D550" s="37" t="n">
        <v>89</v>
      </c>
      <c r="E550" s="37" t="inlineStr">
        <is>
          <t>GW-1013</t>
        </is>
      </c>
      <c r="F550" s="37" t="inlineStr">
        <is>
          <t>Gullwing</t>
        </is>
      </c>
      <c r="G550" s="37" t="n">
        <v>60</v>
      </c>
      <c r="H550" s="37" t="inlineStr">
        <is>
          <t>OPEN</t>
        </is>
      </c>
      <c r="I550" s="37" t="inlineStr">
        <is>
          <t>DECLINED</t>
        </is>
      </c>
    </row>
    <row r="551">
      <c r="A551" s="37" t="inlineStr">
        <is>
          <t>OFR-2023-0550</t>
        </is>
      </c>
      <c r="B551" s="43" t="n">
        <v>45174</v>
      </c>
      <c r="C551" s="37" t="inlineStr">
        <is>
          <t>WL-01746</t>
        </is>
      </c>
      <c r="D551" s="37" t="n">
        <v>746</v>
      </c>
      <c r="E551" s="37" t="inlineStr">
        <is>
          <t>SB-0209</t>
        </is>
      </c>
      <c r="F551" s="37" t="inlineStr">
        <is>
          <t>Salmonberry</t>
        </is>
      </c>
      <c r="G551" s="37" t="n">
        <v>24</v>
      </c>
      <c r="H551" s="37" t="inlineStr">
        <is>
          <t>OPEN</t>
        </is>
      </c>
      <c r="I551" s="37" t="inlineStr">
        <is>
          <t>SKIPPED</t>
        </is>
      </c>
      <c r="J551" s="37" t="inlineStr">
        <is>
          <t>not-current</t>
        </is>
      </c>
    </row>
    <row r="552">
      <c r="A552" s="37" t="inlineStr">
        <is>
          <t>OFR-2023-0551</t>
        </is>
      </c>
      <c r="B552" s="43" t="n">
        <v>45185</v>
      </c>
      <c r="C552" s="37" t="inlineStr">
        <is>
          <t>WL-03844</t>
        </is>
      </c>
      <c r="D552" s="37" t="n">
        <v>2844</v>
      </c>
      <c r="E552" s="37" t="inlineStr">
        <is>
          <t>EW-0109</t>
        </is>
      </c>
      <c r="F552" s="37" t="inlineStr">
        <is>
          <t>Eastwey</t>
        </is>
      </c>
      <c r="G552" s="37" t="n">
        <v>60</v>
      </c>
      <c r="H552" s="37" t="inlineStr">
        <is>
          <t>OPEN</t>
        </is>
      </c>
      <c r="I552" s="37" t="inlineStr">
        <is>
          <t>SKIPPED</t>
        </is>
      </c>
      <c r="J552" s="37" t="inlineStr">
        <is>
          <t>vessel-fit</t>
        </is>
      </c>
    </row>
    <row r="553">
      <c r="A553" s="37" t="inlineStr">
        <is>
          <t>OFR-2023-0552</t>
        </is>
      </c>
      <c r="B553" s="43" t="n">
        <v>45181</v>
      </c>
      <c r="C553" s="37" t="inlineStr">
        <is>
          <t>WL-02651</t>
        </is>
      </c>
      <c r="D553" s="37" t="n">
        <v>1651</v>
      </c>
      <c r="E553" s="37" t="inlineStr">
        <is>
          <t>SB-0110</t>
        </is>
      </c>
      <c r="F553" s="37" t="inlineStr">
        <is>
          <t>Salmonberry</t>
        </is>
      </c>
      <c r="G553" s="37" t="n">
        <v>28</v>
      </c>
      <c r="H553" s="37" t="inlineStr">
        <is>
          <t>OPEN</t>
        </is>
      </c>
      <c r="I553" s="37" t="inlineStr">
        <is>
          <t>ACCEPTED</t>
        </is>
      </c>
    </row>
    <row r="554">
      <c r="A554" s="37" t="inlineStr">
        <is>
          <t>OFR-2023-0553</t>
        </is>
      </c>
      <c r="B554" s="43" t="n">
        <v>45177</v>
      </c>
      <c r="C554" s="37" t="inlineStr">
        <is>
          <t>WL-01289</t>
        </is>
      </c>
      <c r="D554" s="37" t="n">
        <v>289</v>
      </c>
      <c r="E554" s="37" t="inlineStr">
        <is>
          <t>EW-0119</t>
        </is>
      </c>
      <c r="F554" s="37" t="inlineStr">
        <is>
          <t>Eastwey</t>
        </is>
      </c>
      <c r="G554" s="37" t="n">
        <v>32</v>
      </c>
      <c r="H554" s="37" t="inlineStr">
        <is>
          <t>OPEN</t>
        </is>
      </c>
      <c r="I554" s="37" t="inlineStr">
        <is>
          <t>DECLINED</t>
        </is>
      </c>
    </row>
    <row r="555">
      <c r="A555" s="37" t="inlineStr">
        <is>
          <t>OFR-2023-0554</t>
        </is>
      </c>
      <c r="B555" s="43" t="n">
        <v>45186</v>
      </c>
      <c r="C555" s="37" t="inlineStr">
        <is>
          <t>WL-01703</t>
        </is>
      </c>
      <c r="D555" s="37" t="n">
        <v>703</v>
      </c>
      <c r="E555" s="37" t="inlineStr">
        <is>
          <t>VB-1007</t>
        </is>
      </c>
      <c r="F555" s="37" t="inlineStr">
        <is>
          <t>Vessbank</t>
        </is>
      </c>
      <c r="G555" s="37" t="n">
        <v>36</v>
      </c>
      <c r="H555" s="37" t="inlineStr">
        <is>
          <t>COVERED</t>
        </is>
      </c>
      <c r="I555" s="37" t="inlineStr">
        <is>
          <t>ACCEPTED</t>
        </is>
      </c>
    </row>
    <row r="556">
      <c r="A556" s="37" t="inlineStr">
        <is>
          <t>OFR-2023-0555</t>
        </is>
      </c>
      <c r="B556" s="43" t="n">
        <v>45194</v>
      </c>
      <c r="C556" s="37" t="inlineStr">
        <is>
          <t>WL-01566</t>
        </is>
      </c>
      <c r="D556" s="37" t="n">
        <v>566</v>
      </c>
      <c r="E556" s="37" t="inlineStr">
        <is>
          <t>LP-0706</t>
        </is>
      </c>
      <c r="F556" s="37" t="inlineStr">
        <is>
          <t>Ledgport</t>
        </is>
      </c>
      <c r="G556" s="37" t="n">
        <v>28</v>
      </c>
      <c r="H556" s="37" t="inlineStr">
        <is>
          <t>COVERED</t>
        </is>
      </c>
      <c r="I556" s="37" t="inlineStr">
        <is>
          <t>SKIPPED</t>
        </is>
      </c>
      <c r="J556" s="37" t="inlineStr">
        <is>
          <t>vessel-fit</t>
        </is>
      </c>
    </row>
    <row r="557">
      <c r="A557" s="37" t="inlineStr">
        <is>
          <t>OFR-2023-0556</t>
        </is>
      </c>
      <c r="B557" s="43" t="n">
        <v>45176</v>
      </c>
      <c r="C557" s="37" t="inlineStr">
        <is>
          <t>WL-01576</t>
        </is>
      </c>
      <c r="D557" s="37" t="n">
        <v>576</v>
      </c>
      <c r="E557" s="37" t="inlineStr">
        <is>
          <t>EW-0813</t>
        </is>
      </c>
      <c r="F557" s="37" t="inlineStr">
        <is>
          <t>Eastwey</t>
        </is>
      </c>
      <c r="G557" s="37" t="n">
        <v>45</v>
      </c>
      <c r="H557" s="37" t="inlineStr">
        <is>
          <t>OPEN</t>
        </is>
      </c>
      <c r="I557" s="37" t="inlineStr">
        <is>
          <t>ACCEPTED</t>
        </is>
      </c>
    </row>
    <row r="558">
      <c r="A558" s="37" t="inlineStr">
        <is>
          <t>OFR-2023-0557</t>
        </is>
      </c>
      <c r="B558" s="43" t="n">
        <v>45196</v>
      </c>
      <c r="C558" s="37" t="inlineStr">
        <is>
          <t>WL-02706</t>
        </is>
      </c>
      <c r="D558" s="37" t="n">
        <v>1706</v>
      </c>
      <c r="E558" s="37" t="inlineStr">
        <is>
          <t>LP-0222</t>
        </is>
      </c>
      <c r="F558" s="37" t="inlineStr">
        <is>
          <t>Ledgport</t>
        </is>
      </c>
      <c r="G558" s="37" t="n">
        <v>36</v>
      </c>
      <c r="H558" s="37" t="inlineStr">
        <is>
          <t>COVERED</t>
        </is>
      </c>
      <c r="I558" s="37" t="inlineStr">
        <is>
          <t>DECLINED_RETAINER</t>
        </is>
      </c>
    </row>
    <row r="559">
      <c r="A559" s="37" t="inlineStr">
        <is>
          <t>OFR-2023-0558</t>
        </is>
      </c>
      <c r="B559" s="43" t="n">
        <v>45182</v>
      </c>
      <c r="C559" s="37" t="inlineStr">
        <is>
          <t>WL-03764</t>
        </is>
      </c>
      <c r="D559" s="37" t="n">
        <v>2764</v>
      </c>
      <c r="E559" s="37" t="inlineStr">
        <is>
          <t>EW-0818</t>
        </is>
      </c>
      <c r="F559" s="37" t="inlineStr">
        <is>
          <t>Eastwey</t>
        </is>
      </c>
      <c r="G559" s="37" t="n">
        <v>32</v>
      </c>
      <c r="H559" s="37" t="inlineStr">
        <is>
          <t>OPEN</t>
        </is>
      </c>
      <c r="I559" s="37" t="inlineStr">
        <is>
          <t>ACCEPTED</t>
        </is>
      </c>
    </row>
    <row r="560">
      <c r="A560" s="37" t="inlineStr">
        <is>
          <t>OFR-2023-0559</t>
        </is>
      </c>
      <c r="B560" s="43" t="n">
        <v>45182</v>
      </c>
      <c r="C560" s="37" t="inlineStr">
        <is>
          <t>WL-02912</t>
        </is>
      </c>
      <c r="D560" s="37" t="n">
        <v>1912</v>
      </c>
      <c r="E560" s="37" t="inlineStr">
        <is>
          <t>SB-0916</t>
        </is>
      </c>
      <c r="F560" s="37" t="inlineStr">
        <is>
          <t>Salmonberry</t>
        </is>
      </c>
      <c r="G560" s="37" t="n">
        <v>60</v>
      </c>
      <c r="H560" s="37" t="inlineStr">
        <is>
          <t>OPEN</t>
        </is>
      </c>
      <c r="I560" s="37" t="inlineStr">
        <is>
          <t>SKIPPED</t>
        </is>
      </c>
      <c r="J560" s="37" t="inlineStr">
        <is>
          <t>vessel-fit</t>
        </is>
      </c>
    </row>
    <row r="561">
      <c r="A561" s="37" t="inlineStr">
        <is>
          <t>OFR-2023-0560</t>
        </is>
      </c>
      <c r="B561" s="43" t="n">
        <v>45194</v>
      </c>
      <c r="C561" s="37" t="inlineStr">
        <is>
          <t>WL-01267</t>
        </is>
      </c>
      <c r="D561" s="37" t="n">
        <v>267</v>
      </c>
      <c r="E561" s="37" t="inlineStr">
        <is>
          <t>GW-0623</t>
        </is>
      </c>
      <c r="F561" s="37" t="inlineStr">
        <is>
          <t>Gullwing</t>
        </is>
      </c>
      <c r="G561" s="37" t="n">
        <v>70</v>
      </c>
      <c r="H561" s="37" t="inlineStr">
        <is>
          <t>OPEN</t>
        </is>
      </c>
      <c r="I561" s="37" t="inlineStr">
        <is>
          <t>ACCEPTED</t>
        </is>
      </c>
    </row>
    <row r="562">
      <c r="A562" s="37" t="inlineStr">
        <is>
          <t>OFR-2023-0561</t>
        </is>
      </c>
      <c r="B562" s="43" t="n">
        <v>45172</v>
      </c>
      <c r="C562" s="37" t="inlineStr">
        <is>
          <t>WL-01038</t>
        </is>
      </c>
      <c r="D562" s="37" t="n">
        <v>38</v>
      </c>
      <c r="E562" s="37" t="inlineStr">
        <is>
          <t>LP-0223</t>
        </is>
      </c>
      <c r="F562" s="37" t="inlineStr">
        <is>
          <t>Ledgport</t>
        </is>
      </c>
      <c r="G562" s="37" t="n">
        <v>24</v>
      </c>
      <c r="H562" s="37" t="inlineStr">
        <is>
          <t>COVERED</t>
        </is>
      </c>
      <c r="I562" s="37" t="inlineStr">
        <is>
          <t>ACCEPTED</t>
        </is>
      </c>
    </row>
    <row r="563">
      <c r="A563" s="37" t="inlineStr">
        <is>
          <t>OFR-2023-0562</t>
        </is>
      </c>
      <c r="B563" s="43" t="n">
        <v>45180</v>
      </c>
      <c r="C563" s="37" t="inlineStr">
        <is>
          <t>WL-02614</t>
        </is>
      </c>
      <c r="D563" s="37" t="n">
        <v>1614</v>
      </c>
      <c r="E563" s="37" t="inlineStr">
        <is>
          <t>LP-0601</t>
        </is>
      </c>
      <c r="F563" s="37" t="inlineStr">
        <is>
          <t>Ledgport</t>
        </is>
      </c>
      <c r="G563" s="37" t="n">
        <v>24</v>
      </c>
      <c r="H563" s="37" t="inlineStr">
        <is>
          <t>COVERED</t>
        </is>
      </c>
      <c r="I563" s="37" t="inlineStr">
        <is>
          <t>ACCEPTED</t>
        </is>
      </c>
    </row>
    <row r="564">
      <c r="A564" s="37" t="inlineStr">
        <is>
          <t>OFR-2023-0563</t>
        </is>
      </c>
      <c r="B564" s="43" t="n">
        <v>45179</v>
      </c>
      <c r="C564" s="37" t="inlineStr">
        <is>
          <t>WL-02465</t>
        </is>
      </c>
      <c r="D564" s="37" t="n">
        <v>1465</v>
      </c>
      <c r="E564" s="37" t="inlineStr">
        <is>
          <t>LP-0708</t>
        </is>
      </c>
      <c r="F564" s="37" t="inlineStr">
        <is>
          <t>Ledgport</t>
        </is>
      </c>
      <c r="G564" s="37" t="n">
        <v>32</v>
      </c>
      <c r="H564" s="37" t="inlineStr">
        <is>
          <t>COVERED</t>
        </is>
      </c>
      <c r="I564" s="37" t="inlineStr">
        <is>
          <t>DECLINED</t>
        </is>
      </c>
    </row>
    <row r="565">
      <c r="A565" s="37" t="inlineStr">
        <is>
          <t>OFR-2023-0564</t>
        </is>
      </c>
      <c r="B565" s="43" t="n">
        <v>45182</v>
      </c>
      <c r="C565" s="37" t="inlineStr">
        <is>
          <t>WL-03335</t>
        </is>
      </c>
      <c r="D565" s="37" t="n">
        <v>2335</v>
      </c>
      <c r="E565" s="37" t="inlineStr">
        <is>
          <t>EW-0519</t>
        </is>
      </c>
      <c r="F565" s="37" t="inlineStr">
        <is>
          <t>Eastwey</t>
        </is>
      </c>
      <c r="G565" s="37" t="n">
        <v>32</v>
      </c>
      <c r="H565" s="37" t="inlineStr">
        <is>
          <t>OPEN</t>
        </is>
      </c>
      <c r="I565" s="37" t="inlineStr">
        <is>
          <t>ACCEPTED</t>
        </is>
      </c>
    </row>
    <row r="566">
      <c r="A566" s="37" t="inlineStr">
        <is>
          <t>OFR-2023-0565</t>
        </is>
      </c>
      <c r="B566" s="43" t="n">
        <v>45189</v>
      </c>
      <c r="C566" s="37" t="inlineStr">
        <is>
          <t>WL-02382</t>
        </is>
      </c>
      <c r="D566" s="37" t="n">
        <v>1382</v>
      </c>
      <c r="E566" s="37" t="inlineStr">
        <is>
          <t>EW-0615</t>
        </is>
      </c>
      <c r="F566" s="37" t="inlineStr">
        <is>
          <t>Eastwey</t>
        </is>
      </c>
      <c r="G566" s="37" t="n">
        <v>45</v>
      </c>
      <c r="H566" s="37" t="inlineStr">
        <is>
          <t>OPEN</t>
        </is>
      </c>
      <c r="I566" s="37" t="inlineStr">
        <is>
          <t>ACCEPTED</t>
        </is>
      </c>
    </row>
    <row r="567">
      <c r="A567" s="37" t="inlineStr">
        <is>
          <t>OFR-2023-0566</t>
        </is>
      </c>
      <c r="B567" s="43" t="n">
        <v>45171</v>
      </c>
      <c r="C567" s="37" t="inlineStr">
        <is>
          <t>WL-03249</t>
        </is>
      </c>
      <c r="D567" s="37" t="n">
        <v>2249</v>
      </c>
      <c r="E567" s="37" t="inlineStr">
        <is>
          <t>VB-0717</t>
        </is>
      </c>
      <c r="F567" s="37" t="inlineStr">
        <is>
          <t>Vessbank</t>
        </is>
      </c>
      <c r="G567" s="37" t="n">
        <v>32</v>
      </c>
      <c r="H567" s="37" t="inlineStr">
        <is>
          <t>COVERED</t>
        </is>
      </c>
      <c r="I567" s="37" t="inlineStr">
        <is>
          <t>EXPIRED</t>
        </is>
      </c>
    </row>
    <row r="568">
      <c r="A568" s="37" t="inlineStr">
        <is>
          <t>OFR-2023-0567</t>
        </is>
      </c>
      <c r="B568" s="43" t="n">
        <v>45190</v>
      </c>
      <c r="C568" s="37" t="inlineStr">
        <is>
          <t>WL-01168</t>
        </is>
      </c>
      <c r="D568" s="37" t="n">
        <v>168</v>
      </c>
      <c r="E568" s="37" t="inlineStr">
        <is>
          <t>LP-0604</t>
        </is>
      </c>
      <c r="F568" s="37" t="inlineStr">
        <is>
          <t>Ledgport</t>
        </is>
      </c>
      <c r="G568" s="37" t="n">
        <v>40</v>
      </c>
      <c r="H568" s="37" t="inlineStr">
        <is>
          <t>COVERED</t>
        </is>
      </c>
      <c r="I568" s="37" t="inlineStr">
        <is>
          <t>SKIPPED</t>
        </is>
      </c>
      <c r="J568" s="37" t="inlineStr">
        <is>
          <t>declined-prior-offer</t>
        </is>
      </c>
    </row>
    <row r="569">
      <c r="A569" s="37" t="inlineStr">
        <is>
          <t>OFR-2023-0568</t>
        </is>
      </c>
      <c r="B569" s="43" t="n">
        <v>45181</v>
      </c>
      <c r="C569" s="37" t="inlineStr">
        <is>
          <t>WL-03235</t>
        </is>
      </c>
      <c r="D569" s="37" t="n">
        <v>2235</v>
      </c>
      <c r="E569" s="37" t="inlineStr">
        <is>
          <t>EW-0901</t>
        </is>
      </c>
      <c r="F569" s="37" t="inlineStr">
        <is>
          <t>Eastwey</t>
        </is>
      </c>
      <c r="G569" s="37" t="n">
        <v>28</v>
      </c>
      <c r="H569" s="37" t="inlineStr">
        <is>
          <t>OPEN</t>
        </is>
      </c>
      <c r="I569" s="37" t="inlineStr">
        <is>
          <t>ACCEPTED</t>
        </is>
      </c>
    </row>
    <row r="570">
      <c r="A570" s="37" t="inlineStr">
        <is>
          <t>OFR-2023-0569</t>
        </is>
      </c>
      <c r="B570" s="43" t="n">
        <v>45182</v>
      </c>
      <c r="C570" s="37" t="inlineStr">
        <is>
          <t>WL-01733</t>
        </is>
      </c>
      <c r="D570" s="37" t="n">
        <v>733</v>
      </c>
      <c r="E570" s="37" t="inlineStr">
        <is>
          <t>GW-0218</t>
        </is>
      </c>
      <c r="F570" s="37" t="inlineStr">
        <is>
          <t>Gullwing</t>
        </is>
      </c>
      <c r="G570" s="37" t="n">
        <v>60</v>
      </c>
      <c r="H570" s="37" t="inlineStr">
        <is>
          <t>OPEN</t>
        </is>
      </c>
      <c r="I570" s="37" t="inlineStr">
        <is>
          <t>PENDING</t>
        </is>
      </c>
    </row>
    <row r="571">
      <c r="A571" s="37" t="inlineStr">
        <is>
          <t>OFR-2023-0570</t>
        </is>
      </c>
      <c r="B571" s="43" t="n">
        <v>45171</v>
      </c>
      <c r="C571" s="37" t="inlineStr">
        <is>
          <t>WL-01979</t>
        </is>
      </c>
      <c r="D571" s="37" t="n">
        <v>979</v>
      </c>
      <c r="E571" s="37" t="inlineStr">
        <is>
          <t>EW-0810</t>
        </is>
      </c>
      <c r="F571" s="37" t="inlineStr">
        <is>
          <t>Eastwey</t>
        </is>
      </c>
      <c r="G571" s="37" t="n">
        <v>28</v>
      </c>
      <c r="H571" s="37" t="inlineStr">
        <is>
          <t>OPEN</t>
        </is>
      </c>
      <c r="I571" s="37" t="inlineStr">
        <is>
          <t>ACCEPTED</t>
        </is>
      </c>
    </row>
    <row r="572">
      <c r="A572" s="37" t="inlineStr">
        <is>
          <t>OFR-2023-0571</t>
        </is>
      </c>
      <c r="B572" s="43" t="n">
        <v>45173</v>
      </c>
      <c r="C572" s="37" t="inlineStr">
        <is>
          <t>WL-03700</t>
        </is>
      </c>
      <c r="D572" s="37" t="n">
        <v>2700</v>
      </c>
      <c r="E572" s="37" t="inlineStr">
        <is>
          <t>LP-0412</t>
        </is>
      </c>
      <c r="F572" s="37" t="inlineStr">
        <is>
          <t>Ledgport</t>
        </is>
      </c>
      <c r="G572" s="37" t="n">
        <v>32</v>
      </c>
      <c r="H572" s="37" t="inlineStr">
        <is>
          <t>COVERED</t>
        </is>
      </c>
      <c r="I572" s="37" t="inlineStr">
        <is>
          <t>SKIPPED</t>
        </is>
      </c>
      <c r="J572" s="37" t="inlineStr">
        <is>
          <t>not-current</t>
        </is>
      </c>
    </row>
    <row r="573">
      <c r="A573" s="37" t="inlineStr">
        <is>
          <t>OFR-2023-0572</t>
        </is>
      </c>
      <c r="B573" s="43" t="n">
        <v>45187</v>
      </c>
      <c r="C573" s="37" t="inlineStr">
        <is>
          <t>WL-01331</t>
        </is>
      </c>
      <c r="D573" s="37" t="n">
        <v>331</v>
      </c>
      <c r="E573" s="37" t="inlineStr">
        <is>
          <t>GW-0314</t>
        </is>
      </c>
      <c r="F573" s="37" t="inlineStr">
        <is>
          <t>Gullwing</t>
        </is>
      </c>
      <c r="G573" s="37" t="n">
        <v>32</v>
      </c>
      <c r="H573" s="37" t="inlineStr">
        <is>
          <t>OPEN</t>
        </is>
      </c>
      <c r="I573" s="37" t="inlineStr">
        <is>
          <t>DECLINED</t>
        </is>
      </c>
    </row>
    <row r="574">
      <c r="A574" s="37" t="inlineStr">
        <is>
          <t>OFR-2023-0573</t>
        </is>
      </c>
      <c r="B574" s="43" t="n">
        <v>45185</v>
      </c>
      <c r="C574" s="37" t="inlineStr">
        <is>
          <t>WL-02000</t>
        </is>
      </c>
      <c r="D574" s="37" t="n">
        <v>1000</v>
      </c>
      <c r="E574" s="37" t="inlineStr">
        <is>
          <t>VB-0820</t>
        </is>
      </c>
      <c r="F574" s="37" t="inlineStr">
        <is>
          <t>Vessbank</t>
        </is>
      </c>
      <c r="G574" s="37" t="n">
        <v>36</v>
      </c>
      <c r="H574" s="37" t="inlineStr">
        <is>
          <t>COVERED</t>
        </is>
      </c>
      <c r="I574" s="37" t="inlineStr">
        <is>
          <t>SKIPPED</t>
        </is>
      </c>
      <c r="J574" s="37" t="inlineStr">
        <is>
          <t>preference-mismatch</t>
        </is>
      </c>
    </row>
    <row r="575">
      <c r="A575" s="37" t="inlineStr">
        <is>
          <t>OFR-2023-0574</t>
        </is>
      </c>
      <c r="B575" s="43" t="n">
        <v>45186</v>
      </c>
      <c r="C575" s="37" t="inlineStr">
        <is>
          <t>WL-01080</t>
        </is>
      </c>
      <c r="D575" s="37" t="n">
        <v>80</v>
      </c>
      <c r="E575" s="37" t="inlineStr">
        <is>
          <t>EW-0511</t>
        </is>
      </c>
      <c r="F575" s="37" t="inlineStr">
        <is>
          <t>Eastwey</t>
        </is>
      </c>
      <c r="G575" s="37" t="n">
        <v>28</v>
      </c>
      <c r="H575" s="37" t="inlineStr">
        <is>
          <t>OPEN</t>
        </is>
      </c>
      <c r="I575" s="37" t="inlineStr">
        <is>
          <t>SKIPPED</t>
        </is>
      </c>
      <c r="J575" s="37" t="inlineStr">
        <is>
          <t>declined-prior-offer</t>
        </is>
      </c>
    </row>
    <row r="576">
      <c r="A576" s="37" t="inlineStr">
        <is>
          <t>OFR-2023-0575</t>
        </is>
      </c>
      <c r="B576" s="43" t="n">
        <v>45189</v>
      </c>
      <c r="C576" s="37" t="inlineStr">
        <is>
          <t>WL-02266</t>
        </is>
      </c>
      <c r="D576" s="37" t="n">
        <v>1266</v>
      </c>
      <c r="E576" s="37" t="inlineStr">
        <is>
          <t>VB-0224</t>
        </is>
      </c>
      <c r="F576" s="37" t="inlineStr">
        <is>
          <t>Vessbank</t>
        </is>
      </c>
      <c r="G576" s="37" t="n">
        <v>28</v>
      </c>
      <c r="H576" s="37" t="inlineStr">
        <is>
          <t>COVERED</t>
        </is>
      </c>
      <c r="I576" s="37" t="inlineStr">
        <is>
          <t>ACCEPTED</t>
        </is>
      </c>
    </row>
    <row r="577">
      <c r="A577" s="37" t="inlineStr">
        <is>
          <t>OFR-2023-0576</t>
        </is>
      </c>
      <c r="B577" s="43" t="n">
        <v>45179</v>
      </c>
      <c r="C577" s="37" t="inlineStr">
        <is>
          <t>WL-03648</t>
        </is>
      </c>
      <c r="D577" s="37" t="n">
        <v>2648</v>
      </c>
      <c r="E577" s="37" t="inlineStr">
        <is>
          <t>VB-0713</t>
        </is>
      </c>
      <c r="F577" s="37" t="inlineStr">
        <is>
          <t>Vessbank</t>
        </is>
      </c>
      <c r="G577" s="37" t="n">
        <v>32</v>
      </c>
      <c r="H577" s="37" t="inlineStr">
        <is>
          <t>COVERED</t>
        </is>
      </c>
      <c r="I577" s="37" t="inlineStr">
        <is>
          <t>ACCEPTED</t>
        </is>
      </c>
    </row>
    <row r="578">
      <c r="A578" s="37" t="inlineStr">
        <is>
          <t>OFR-2023-0577</t>
        </is>
      </c>
      <c r="B578" s="43" t="n">
        <v>45172</v>
      </c>
      <c r="C578" s="37" t="inlineStr">
        <is>
          <t>WL-03715</t>
        </is>
      </c>
      <c r="D578" s="37" t="n">
        <v>2715</v>
      </c>
      <c r="E578" s="37" t="inlineStr">
        <is>
          <t>VB-0705</t>
        </is>
      </c>
      <c r="F578" s="37" t="inlineStr">
        <is>
          <t>Vessbank</t>
        </is>
      </c>
      <c r="G578" s="37" t="n">
        <v>28</v>
      </c>
      <c r="H578" s="37" t="inlineStr">
        <is>
          <t>COVERED</t>
        </is>
      </c>
      <c r="I578" s="37" t="inlineStr">
        <is>
          <t>SKIPPED</t>
        </is>
      </c>
      <c r="J578" s="37" t="inlineStr">
        <is>
          <t>vessel-fit</t>
        </is>
      </c>
    </row>
    <row r="579">
      <c r="A579" s="37" t="inlineStr">
        <is>
          <t>OFR-2023-0578</t>
        </is>
      </c>
      <c r="B579" s="43" t="n">
        <v>45180</v>
      </c>
      <c r="C579" s="37" t="inlineStr">
        <is>
          <t>WL-02285</t>
        </is>
      </c>
      <c r="D579" s="37" t="n">
        <v>1285</v>
      </c>
      <c r="E579" s="37" t="inlineStr">
        <is>
          <t>EW-0107</t>
        </is>
      </c>
      <c r="F579" s="37" t="inlineStr">
        <is>
          <t>Eastwey</t>
        </is>
      </c>
      <c r="G579" s="37" t="n">
        <v>28</v>
      </c>
      <c r="H579" s="37" t="inlineStr">
        <is>
          <t>OPEN</t>
        </is>
      </c>
      <c r="I579" s="37" t="inlineStr">
        <is>
          <t>SKIPPED</t>
        </is>
      </c>
      <c r="J579" s="37" t="inlineStr">
        <is>
          <t>declined-prior-offer</t>
        </is>
      </c>
    </row>
    <row r="580">
      <c r="A580" s="37" t="inlineStr">
        <is>
          <t>OFR-2023-0579</t>
        </is>
      </c>
      <c r="B580" s="43" t="n">
        <v>45185</v>
      </c>
      <c r="C580" s="37" t="inlineStr">
        <is>
          <t>WL-03639</t>
        </is>
      </c>
      <c r="D580" s="37" t="n">
        <v>2639</v>
      </c>
      <c r="E580" s="37" t="inlineStr">
        <is>
          <t>VB-0720</t>
        </is>
      </c>
      <c r="F580" s="37" t="inlineStr">
        <is>
          <t>Vessbank</t>
        </is>
      </c>
      <c r="G580" s="37" t="n">
        <v>40</v>
      </c>
      <c r="H580" s="37" t="inlineStr">
        <is>
          <t>COVERED</t>
        </is>
      </c>
      <c r="I580" s="37" t="inlineStr">
        <is>
          <t>DECLINED</t>
        </is>
      </c>
    </row>
    <row r="581">
      <c r="A581" s="37" t="inlineStr">
        <is>
          <t>OFR-2023-0580</t>
        </is>
      </c>
      <c r="B581" s="43" t="n">
        <v>45177</v>
      </c>
      <c r="C581" s="37" t="inlineStr">
        <is>
          <t>WL-03745</t>
        </is>
      </c>
      <c r="D581" s="37" t="n">
        <v>2745</v>
      </c>
      <c r="E581" s="37" t="inlineStr">
        <is>
          <t>EW-0614</t>
        </is>
      </c>
      <c r="F581" s="37" t="inlineStr">
        <is>
          <t>Eastwey</t>
        </is>
      </c>
      <c r="G581" s="37" t="n">
        <v>45</v>
      </c>
      <c r="H581" s="37" t="inlineStr">
        <is>
          <t>OPEN</t>
        </is>
      </c>
      <c r="I581" s="37" t="inlineStr">
        <is>
          <t>DECLINED</t>
        </is>
      </c>
    </row>
    <row r="582">
      <c r="A582" s="37" t="inlineStr">
        <is>
          <t>OFR-2023-0581</t>
        </is>
      </c>
      <c r="B582" s="43" t="n">
        <v>45209</v>
      </c>
      <c r="C582" s="37" t="inlineStr">
        <is>
          <t>WL-02391</t>
        </is>
      </c>
      <c r="D582" s="37" t="n">
        <v>1391</v>
      </c>
      <c r="E582" s="37" t="inlineStr">
        <is>
          <t>EW-0614</t>
        </is>
      </c>
      <c r="F582" s="37" t="inlineStr">
        <is>
          <t>Eastwey</t>
        </is>
      </c>
      <c r="G582" s="37" t="n">
        <v>45</v>
      </c>
      <c r="H582" s="37" t="inlineStr">
        <is>
          <t>OPEN</t>
        </is>
      </c>
      <c r="I582" s="37" t="inlineStr">
        <is>
          <t>ACCEPTED</t>
        </is>
      </c>
    </row>
    <row r="583">
      <c r="A583" s="37" t="inlineStr">
        <is>
          <t>OFR-2023-0582</t>
        </is>
      </c>
      <c r="B583" s="43" t="n">
        <v>45205</v>
      </c>
      <c r="C583" s="37" t="inlineStr">
        <is>
          <t>WL-01589</t>
        </is>
      </c>
      <c r="D583" s="37" t="n">
        <v>589</v>
      </c>
      <c r="E583" s="37" t="inlineStr">
        <is>
          <t>LP-0102</t>
        </is>
      </c>
      <c r="F583" s="37" t="inlineStr">
        <is>
          <t>Ledgport</t>
        </is>
      </c>
      <c r="G583" s="37" t="n">
        <v>40</v>
      </c>
      <c r="H583" s="37" t="inlineStr">
        <is>
          <t>COVERED</t>
        </is>
      </c>
      <c r="I583" s="37" t="inlineStr">
        <is>
          <t>DECLINED</t>
        </is>
      </c>
    </row>
    <row r="584">
      <c r="A584" s="37" t="inlineStr">
        <is>
          <t>OFR-2023-0583</t>
        </is>
      </c>
      <c r="B584" s="43" t="n">
        <v>45221</v>
      </c>
      <c r="C584" s="37" t="inlineStr">
        <is>
          <t>WL-02794</t>
        </is>
      </c>
      <c r="D584" s="37" t="n">
        <v>1794</v>
      </c>
      <c r="E584" s="37" t="inlineStr">
        <is>
          <t>VB-0218</t>
        </is>
      </c>
      <c r="F584" s="37" t="inlineStr">
        <is>
          <t>Vessbank</t>
        </is>
      </c>
      <c r="G584" s="37" t="n">
        <v>24</v>
      </c>
      <c r="H584" s="37" t="inlineStr">
        <is>
          <t>COVERED</t>
        </is>
      </c>
      <c r="I584" s="37" t="inlineStr">
        <is>
          <t>ACCEPTED</t>
        </is>
      </c>
    </row>
    <row r="585">
      <c r="A585" s="37" t="inlineStr">
        <is>
          <t>OFR-2023-0584</t>
        </is>
      </c>
      <c r="B585" s="43" t="n">
        <v>45202</v>
      </c>
      <c r="C585" s="37" t="inlineStr">
        <is>
          <t>WL-03889</t>
        </is>
      </c>
      <c r="D585" s="37" t="n">
        <v>2889</v>
      </c>
      <c r="E585" s="37" t="inlineStr">
        <is>
          <t>EW-1005</t>
        </is>
      </c>
      <c r="F585" s="37" t="inlineStr">
        <is>
          <t>Eastwey</t>
        </is>
      </c>
      <c r="G585" s="37" t="n">
        <v>32</v>
      </c>
      <c r="H585" s="37" t="inlineStr">
        <is>
          <t>OPEN</t>
        </is>
      </c>
      <c r="I585" s="37" t="inlineStr">
        <is>
          <t>DECLINED</t>
        </is>
      </c>
    </row>
    <row r="586">
      <c r="A586" s="37" t="inlineStr">
        <is>
          <t>OFR-2023-0585</t>
        </is>
      </c>
      <c r="B586" s="43" t="n">
        <v>45222</v>
      </c>
      <c r="C586" s="37" t="inlineStr">
        <is>
          <t>WL-01684</t>
        </is>
      </c>
      <c r="D586" s="37" t="n">
        <v>684</v>
      </c>
      <c r="E586" s="37" t="inlineStr">
        <is>
          <t>GW-0113</t>
        </is>
      </c>
      <c r="F586" s="37" t="inlineStr">
        <is>
          <t>Gullwing</t>
        </is>
      </c>
      <c r="G586" s="37" t="n">
        <v>45</v>
      </c>
      <c r="H586" s="37" t="inlineStr">
        <is>
          <t>OPEN</t>
        </is>
      </c>
      <c r="I586" s="37" t="inlineStr">
        <is>
          <t>EXPIRED</t>
        </is>
      </c>
    </row>
    <row r="587">
      <c r="A587" s="37" t="inlineStr">
        <is>
          <t>OFR-2023-0586</t>
        </is>
      </c>
      <c r="B587" s="43" t="n">
        <v>45205</v>
      </c>
      <c r="C587" s="37" t="inlineStr">
        <is>
          <t>WL-01003</t>
        </is>
      </c>
      <c r="D587" s="37" t="n">
        <v>3</v>
      </c>
      <c r="E587" s="37" t="inlineStr">
        <is>
          <t>SB-0401</t>
        </is>
      </c>
      <c r="F587" s="37" t="inlineStr">
        <is>
          <t>Salmonberry</t>
        </is>
      </c>
      <c r="G587" s="37" t="n">
        <v>60</v>
      </c>
      <c r="H587" s="37" t="inlineStr">
        <is>
          <t>OPEN</t>
        </is>
      </c>
      <c r="I587" s="37" t="inlineStr">
        <is>
          <t>SKIPPED</t>
        </is>
      </c>
      <c r="J587" s="37" t="inlineStr">
        <is>
          <t>not-current</t>
        </is>
      </c>
    </row>
    <row r="588">
      <c r="A588" s="37" t="inlineStr">
        <is>
          <t>OFR-2023-0587</t>
        </is>
      </c>
      <c r="B588" s="43" t="n">
        <v>45210</v>
      </c>
      <c r="C588" s="37" t="inlineStr">
        <is>
          <t>WL-03550</t>
        </is>
      </c>
      <c r="D588" s="37" t="n">
        <v>2550</v>
      </c>
      <c r="E588" s="37" t="inlineStr">
        <is>
          <t>SB-0211</t>
        </is>
      </c>
      <c r="F588" s="37" t="inlineStr">
        <is>
          <t>Salmonberry</t>
        </is>
      </c>
      <c r="G588" s="37" t="n">
        <v>45</v>
      </c>
      <c r="H588" s="37" t="inlineStr">
        <is>
          <t>OPEN</t>
        </is>
      </c>
      <c r="I588" s="37" t="inlineStr">
        <is>
          <t>ACCEPTED</t>
        </is>
      </c>
    </row>
    <row r="589">
      <c r="A589" s="37" t="inlineStr">
        <is>
          <t>OFR-2023-0588</t>
        </is>
      </c>
      <c r="B589" s="43" t="n">
        <v>45220</v>
      </c>
      <c r="C589" s="37" t="inlineStr">
        <is>
          <t>WL-02600</t>
        </is>
      </c>
      <c r="D589" s="37" t="n">
        <v>1600</v>
      </c>
      <c r="E589" s="37" t="inlineStr">
        <is>
          <t>LP-0917</t>
        </is>
      </c>
      <c r="F589" s="37" t="inlineStr">
        <is>
          <t>Ledgport</t>
        </is>
      </c>
      <c r="G589" s="37" t="n">
        <v>36</v>
      </c>
      <c r="H589" s="37" t="inlineStr">
        <is>
          <t>COVERED</t>
        </is>
      </c>
      <c r="I589" s="37" t="inlineStr">
        <is>
          <t>ACCEPTED</t>
        </is>
      </c>
    </row>
    <row r="590">
      <c r="A590" s="37" t="inlineStr">
        <is>
          <t>OFR-2023-0589</t>
        </is>
      </c>
      <c r="B590" s="43" t="n">
        <v>45208</v>
      </c>
      <c r="C590" s="37" t="inlineStr">
        <is>
          <t>WL-01010</t>
        </is>
      </c>
      <c r="D590" s="37" t="n">
        <v>10</v>
      </c>
      <c r="E590" s="37" t="inlineStr">
        <is>
          <t>EW-0410</t>
        </is>
      </c>
      <c r="F590" s="37" t="inlineStr">
        <is>
          <t>Eastwey</t>
        </is>
      </c>
      <c r="G590" s="37" t="n">
        <v>32</v>
      </c>
      <c r="H590" s="37" t="inlineStr">
        <is>
          <t>OPEN</t>
        </is>
      </c>
      <c r="I590" s="37" t="inlineStr">
        <is>
          <t>PENDING</t>
        </is>
      </c>
    </row>
    <row r="591">
      <c r="A591" s="37" t="inlineStr">
        <is>
          <t>OFR-2023-0590</t>
        </is>
      </c>
      <c r="B591" s="43" t="n">
        <v>45214</v>
      </c>
      <c r="C591" s="37" t="inlineStr">
        <is>
          <t>WL-02095</t>
        </is>
      </c>
      <c r="D591" s="37" t="n">
        <v>1095</v>
      </c>
      <c r="E591" s="37" t="inlineStr">
        <is>
          <t>LP-1118</t>
        </is>
      </c>
      <c r="F591" s="37" t="inlineStr">
        <is>
          <t>Ledgport</t>
        </is>
      </c>
      <c r="G591" s="37" t="n">
        <v>24</v>
      </c>
      <c r="H591" s="37" t="inlineStr">
        <is>
          <t>COVERED</t>
        </is>
      </c>
      <c r="I591" s="37" t="inlineStr">
        <is>
          <t>ACCEPTED</t>
        </is>
      </c>
    </row>
    <row r="592">
      <c r="A592" s="37" t="inlineStr">
        <is>
          <t>OFR-2023-0591</t>
        </is>
      </c>
      <c r="B592" s="43" t="n">
        <v>45212</v>
      </c>
      <c r="C592" s="37" t="inlineStr">
        <is>
          <t>WL-01201</t>
        </is>
      </c>
      <c r="D592" s="37" t="n">
        <v>201</v>
      </c>
      <c r="E592" s="37" t="inlineStr">
        <is>
          <t>GW-0822</t>
        </is>
      </c>
      <c r="F592" s="37" t="inlineStr">
        <is>
          <t>Gullwing</t>
        </is>
      </c>
      <c r="G592" s="37" t="n">
        <v>24</v>
      </c>
      <c r="H592" s="37" t="inlineStr">
        <is>
          <t>OPEN</t>
        </is>
      </c>
      <c r="I592" s="37" t="inlineStr">
        <is>
          <t>ACCEPTED</t>
        </is>
      </c>
    </row>
    <row r="593">
      <c r="A593" s="37" t="inlineStr">
        <is>
          <t>OFR-2023-0592</t>
        </is>
      </c>
      <c r="B593" s="43" t="n">
        <v>45211</v>
      </c>
      <c r="C593" s="37" t="inlineStr">
        <is>
          <t>WL-02034</t>
        </is>
      </c>
      <c r="D593" s="37" t="n">
        <v>1034</v>
      </c>
      <c r="E593" s="37" t="inlineStr">
        <is>
          <t>SB-0406</t>
        </is>
      </c>
      <c r="F593" s="37" t="inlineStr">
        <is>
          <t>Salmonberry</t>
        </is>
      </c>
      <c r="G593" s="37" t="n">
        <v>40</v>
      </c>
      <c r="H593" s="37" t="inlineStr">
        <is>
          <t>OPEN</t>
        </is>
      </c>
      <c r="I593" s="37" t="inlineStr">
        <is>
          <t>DECLINED</t>
        </is>
      </c>
    </row>
    <row r="594">
      <c r="A594" s="37" t="inlineStr">
        <is>
          <t>OFR-2023-0593</t>
        </is>
      </c>
      <c r="B594" s="43" t="n">
        <v>45220</v>
      </c>
      <c r="C594" s="37" t="inlineStr">
        <is>
          <t>WL-03879</t>
        </is>
      </c>
      <c r="D594" s="37" t="n">
        <v>2879</v>
      </c>
      <c r="E594" s="37" t="inlineStr">
        <is>
          <t>VB-0504</t>
        </is>
      </c>
      <c r="F594" s="37" t="inlineStr">
        <is>
          <t>Vessbank</t>
        </is>
      </c>
      <c r="G594" s="37" t="n">
        <v>36</v>
      </c>
      <c r="H594" s="37" t="inlineStr">
        <is>
          <t>COVERED</t>
        </is>
      </c>
      <c r="I594" s="37" t="inlineStr">
        <is>
          <t>ACCEPTED</t>
        </is>
      </c>
    </row>
    <row r="595">
      <c r="A595" s="37" t="inlineStr">
        <is>
          <t>OFR-2023-0594</t>
        </is>
      </c>
      <c r="B595" s="43" t="n">
        <v>45216</v>
      </c>
      <c r="C595" s="37" t="inlineStr">
        <is>
          <t>WL-03051</t>
        </is>
      </c>
      <c r="D595" s="37" t="n">
        <v>2051</v>
      </c>
      <c r="E595" s="37" t="inlineStr">
        <is>
          <t>VB-0214</t>
        </is>
      </c>
      <c r="F595" s="37" t="inlineStr">
        <is>
          <t>Vessbank</t>
        </is>
      </c>
      <c r="G595" s="37" t="n">
        <v>24</v>
      </c>
      <c r="H595" s="37" t="inlineStr">
        <is>
          <t>COVERED</t>
        </is>
      </c>
      <c r="I595" s="37" t="inlineStr">
        <is>
          <t>ACCEPTED</t>
        </is>
      </c>
    </row>
    <row r="596">
      <c r="A596" s="37" t="inlineStr">
        <is>
          <t>OFR-2023-0595</t>
        </is>
      </c>
      <c r="B596" s="43" t="n">
        <v>45200</v>
      </c>
      <c r="C596" s="37" t="inlineStr">
        <is>
          <t>WL-02672</t>
        </is>
      </c>
      <c r="D596" s="37" t="n">
        <v>1672</v>
      </c>
      <c r="E596" s="37" t="inlineStr">
        <is>
          <t>VB-0717</t>
        </is>
      </c>
      <c r="F596" s="37" t="inlineStr">
        <is>
          <t>Vessbank</t>
        </is>
      </c>
      <c r="G596" s="37" t="n">
        <v>32</v>
      </c>
      <c r="H596" s="37" t="inlineStr">
        <is>
          <t>COVERED</t>
        </is>
      </c>
      <c r="I596" s="37" t="inlineStr">
        <is>
          <t>ACCEPTED</t>
        </is>
      </c>
    </row>
    <row r="597">
      <c r="A597" s="37" t="inlineStr">
        <is>
          <t>OFR-2023-0596</t>
        </is>
      </c>
      <c r="B597" s="43" t="n">
        <v>45223</v>
      </c>
      <c r="C597" s="37" t="inlineStr">
        <is>
          <t>WL-03145</t>
        </is>
      </c>
      <c r="D597" s="37" t="n">
        <v>2145</v>
      </c>
      <c r="E597" s="37" t="inlineStr">
        <is>
          <t>SB-0724</t>
        </is>
      </c>
      <c r="F597" s="37" t="inlineStr">
        <is>
          <t>Salmonberry</t>
        </is>
      </c>
      <c r="G597" s="37" t="n">
        <v>40</v>
      </c>
      <c r="H597" s="37" t="inlineStr">
        <is>
          <t>OPEN</t>
        </is>
      </c>
      <c r="I597" s="37" t="inlineStr">
        <is>
          <t>DECLINED</t>
        </is>
      </c>
    </row>
    <row r="598">
      <c r="A598" s="37" t="inlineStr">
        <is>
          <t>OFR-2023-0597</t>
        </is>
      </c>
      <c r="B598" s="43" t="n">
        <v>45224</v>
      </c>
      <c r="C598" s="37" t="inlineStr">
        <is>
          <t>WL-02021</t>
        </is>
      </c>
      <c r="D598" s="37" t="n">
        <v>1021</v>
      </c>
      <c r="E598" s="37" t="inlineStr">
        <is>
          <t>LP-0407</t>
        </is>
      </c>
      <c r="F598" s="37" t="inlineStr">
        <is>
          <t>Ledgport</t>
        </is>
      </c>
      <c r="G598" s="37" t="n">
        <v>28</v>
      </c>
      <c r="H598" s="37" t="inlineStr">
        <is>
          <t>COVERED</t>
        </is>
      </c>
      <c r="I598" s="37" t="inlineStr">
        <is>
          <t>ACCEPTED</t>
        </is>
      </c>
    </row>
    <row r="599">
      <c r="A599" s="37" t="inlineStr">
        <is>
          <t>OFR-2023-0598</t>
        </is>
      </c>
      <c r="B599" s="43" t="n">
        <v>45217</v>
      </c>
      <c r="C599" s="37" t="inlineStr">
        <is>
          <t>WL-03680</t>
        </is>
      </c>
      <c r="D599" s="37" t="n">
        <v>2680</v>
      </c>
      <c r="E599" s="37" t="inlineStr">
        <is>
          <t>EW-0615</t>
        </is>
      </c>
      <c r="F599" s="37" t="inlineStr">
        <is>
          <t>Eastwey</t>
        </is>
      </c>
      <c r="G599" s="37" t="n">
        <v>45</v>
      </c>
      <c r="H599" s="37" t="inlineStr">
        <is>
          <t>OPEN</t>
        </is>
      </c>
      <c r="I599" s="37" t="inlineStr">
        <is>
          <t>DECLINED</t>
        </is>
      </c>
    </row>
    <row r="600">
      <c r="A600" s="37" t="inlineStr">
        <is>
          <t>OFR-2023-0599</t>
        </is>
      </c>
      <c r="B600" s="43" t="n">
        <v>45202</v>
      </c>
      <c r="C600" s="37" t="inlineStr">
        <is>
          <t>WL-02041</t>
        </is>
      </c>
      <c r="D600" s="37" t="n">
        <v>1041</v>
      </c>
      <c r="E600" s="37" t="inlineStr">
        <is>
          <t>GW-0602</t>
        </is>
      </c>
      <c r="F600" s="37" t="inlineStr">
        <is>
          <t>Gullwing</t>
        </is>
      </c>
      <c r="G600" s="37" t="n">
        <v>50</v>
      </c>
      <c r="H600" s="37" t="inlineStr">
        <is>
          <t>OPEN</t>
        </is>
      </c>
      <c r="I600" s="37" t="inlineStr">
        <is>
          <t>EXPIRED</t>
        </is>
      </c>
    </row>
    <row r="601">
      <c r="A601" s="37" t="inlineStr">
        <is>
          <t>OFR-2023-0600</t>
        </is>
      </c>
      <c r="B601" s="43" t="n">
        <v>45204</v>
      </c>
      <c r="C601" s="37" t="inlineStr">
        <is>
          <t>WL-01403</t>
        </is>
      </c>
      <c r="D601" s="37" t="n">
        <v>403</v>
      </c>
      <c r="E601" s="37" t="inlineStr">
        <is>
          <t>SB-0112</t>
        </is>
      </c>
      <c r="F601" s="37" t="inlineStr">
        <is>
          <t>Salmonberry</t>
        </is>
      </c>
      <c r="G601" s="37" t="n">
        <v>32</v>
      </c>
      <c r="H601" s="37" t="inlineStr">
        <is>
          <t>OPEN</t>
        </is>
      </c>
      <c r="I601" s="37" t="inlineStr">
        <is>
          <t>ACCEPTED</t>
        </is>
      </c>
    </row>
    <row r="602">
      <c r="A602" s="37" t="inlineStr">
        <is>
          <t>OFR-2023-0601</t>
        </is>
      </c>
      <c r="B602" s="43" t="n">
        <v>45200</v>
      </c>
      <c r="C602" s="37" t="inlineStr">
        <is>
          <t>WL-03872</t>
        </is>
      </c>
      <c r="D602" s="37" t="n">
        <v>2872</v>
      </c>
      <c r="E602" s="37" t="inlineStr">
        <is>
          <t>EW-0915</t>
        </is>
      </c>
      <c r="F602" s="37" t="inlineStr">
        <is>
          <t>Eastwey</t>
        </is>
      </c>
      <c r="G602" s="37" t="n">
        <v>50</v>
      </c>
      <c r="H602" s="37" t="inlineStr">
        <is>
          <t>OPEN</t>
        </is>
      </c>
      <c r="I602" s="37" t="inlineStr">
        <is>
          <t>ACCEPTED</t>
        </is>
      </c>
    </row>
    <row r="603">
      <c r="A603" s="37" t="inlineStr">
        <is>
          <t>OFR-2023-0602</t>
        </is>
      </c>
      <c r="B603" s="43" t="n">
        <v>45220</v>
      </c>
      <c r="C603" s="37" t="inlineStr">
        <is>
          <t>WL-02156</t>
        </is>
      </c>
      <c r="D603" s="37" t="n">
        <v>1156</v>
      </c>
      <c r="E603" s="37" t="inlineStr">
        <is>
          <t>EW-0110</t>
        </is>
      </c>
      <c r="F603" s="37" t="inlineStr">
        <is>
          <t>Eastwey</t>
        </is>
      </c>
      <c r="G603" s="37" t="n">
        <v>28</v>
      </c>
      <c r="H603" s="37" t="inlineStr">
        <is>
          <t>OPEN</t>
        </is>
      </c>
      <c r="I603" s="37" t="inlineStr">
        <is>
          <t>ACCEPTED</t>
        </is>
      </c>
    </row>
    <row r="604">
      <c r="A604" s="37" t="inlineStr">
        <is>
          <t>OFR-2023-0603</t>
        </is>
      </c>
      <c r="B604" s="43" t="n">
        <v>45223</v>
      </c>
      <c r="C604" s="37" t="inlineStr">
        <is>
          <t>WL-03312</t>
        </is>
      </c>
      <c r="D604" s="37" t="n">
        <v>2312</v>
      </c>
      <c r="E604" s="37" t="inlineStr">
        <is>
          <t>VB-0710</t>
        </is>
      </c>
      <c r="F604" s="37" t="inlineStr">
        <is>
          <t>Vessbank</t>
        </is>
      </c>
      <c r="G604" s="37" t="n">
        <v>36</v>
      </c>
      <c r="H604" s="37" t="inlineStr">
        <is>
          <t>COVERED</t>
        </is>
      </c>
      <c r="I604" s="37" t="inlineStr">
        <is>
          <t>ACCEPTED</t>
        </is>
      </c>
    </row>
    <row r="605">
      <c r="A605" s="37" t="inlineStr">
        <is>
          <t>OFR-2023-0604</t>
        </is>
      </c>
      <c r="B605" s="43" t="n">
        <v>45204</v>
      </c>
      <c r="C605" s="37" t="inlineStr">
        <is>
          <t>WL-01594</t>
        </is>
      </c>
      <c r="D605" s="37" t="n">
        <v>594</v>
      </c>
      <c r="E605" s="37" t="inlineStr">
        <is>
          <t>GW-0705</t>
        </is>
      </c>
      <c r="F605" s="37" t="inlineStr">
        <is>
          <t>Gullwing</t>
        </is>
      </c>
      <c r="G605" s="37" t="n">
        <v>24</v>
      </c>
      <c r="H605" s="37" t="inlineStr">
        <is>
          <t>OPEN</t>
        </is>
      </c>
      <c r="I605" s="37" t="inlineStr">
        <is>
          <t>SKIPPED</t>
        </is>
      </c>
      <c r="J605" s="37" t="inlineStr">
        <is>
          <t>vessel-fit</t>
        </is>
      </c>
    </row>
    <row r="606">
      <c r="A606" s="37" t="inlineStr">
        <is>
          <t>OFR-2023-0605</t>
        </is>
      </c>
      <c r="B606" s="43" t="n">
        <v>45202</v>
      </c>
      <c r="C606" s="37" t="inlineStr">
        <is>
          <t>WL-02432</t>
        </is>
      </c>
      <c r="D606" s="37" t="n">
        <v>1432</v>
      </c>
      <c r="E606" s="37" t="inlineStr">
        <is>
          <t>LP-0502</t>
        </is>
      </c>
      <c r="F606" s="37" t="inlineStr">
        <is>
          <t>Ledgport</t>
        </is>
      </c>
      <c r="G606" s="37" t="n">
        <v>32</v>
      </c>
      <c r="H606" s="37" t="inlineStr">
        <is>
          <t>COVERED</t>
        </is>
      </c>
      <c r="I606" s="37" t="inlineStr">
        <is>
          <t>PENDING</t>
        </is>
      </c>
    </row>
    <row r="607">
      <c r="A607" s="37" t="inlineStr">
        <is>
          <t>OFR-2023-0606</t>
        </is>
      </c>
      <c r="B607" s="43" t="n">
        <v>45202</v>
      </c>
      <c r="C607" s="37" t="inlineStr">
        <is>
          <t>WL-02033</t>
        </is>
      </c>
      <c r="D607" s="37" t="n">
        <v>1033</v>
      </c>
      <c r="E607" s="37" t="inlineStr">
        <is>
          <t>GW-0803</t>
        </is>
      </c>
      <c r="F607" s="37" t="inlineStr">
        <is>
          <t>Gullwing</t>
        </is>
      </c>
      <c r="G607" s="37" t="n">
        <v>45</v>
      </c>
      <c r="H607" s="37" t="inlineStr">
        <is>
          <t>OPEN</t>
        </is>
      </c>
      <c r="I607" s="37" t="inlineStr">
        <is>
          <t>ACCEPTED</t>
        </is>
      </c>
    </row>
    <row r="608">
      <c r="A608" s="37" t="inlineStr">
        <is>
          <t>OFR-2023-0607</t>
        </is>
      </c>
      <c r="B608" s="43" t="n">
        <v>45215</v>
      </c>
      <c r="C608" s="37" t="inlineStr">
        <is>
          <t>WL-01076</t>
        </is>
      </c>
      <c r="D608" s="37" t="n">
        <v>76</v>
      </c>
      <c r="E608" s="37" t="inlineStr">
        <is>
          <t>EW-0724</t>
        </is>
      </c>
      <c r="F608" s="37" t="inlineStr">
        <is>
          <t>Eastwey</t>
        </is>
      </c>
      <c r="G608" s="37" t="n">
        <v>70</v>
      </c>
      <c r="H608" s="37" t="inlineStr">
        <is>
          <t>OPEN</t>
        </is>
      </c>
      <c r="I608" s="37" t="inlineStr">
        <is>
          <t>ACCEPTED</t>
        </is>
      </c>
    </row>
    <row r="609">
      <c r="A609" s="37" t="inlineStr">
        <is>
          <t>OFR-2023-0608</t>
        </is>
      </c>
      <c r="B609" s="43" t="n">
        <v>45213</v>
      </c>
      <c r="C609" s="37" t="inlineStr">
        <is>
          <t>WL-01071</t>
        </is>
      </c>
      <c r="D609" s="37" t="n">
        <v>71</v>
      </c>
      <c r="E609" s="37" t="inlineStr">
        <is>
          <t>GW-0820</t>
        </is>
      </c>
      <c r="F609" s="37" t="inlineStr">
        <is>
          <t>Gullwing</t>
        </is>
      </c>
      <c r="G609" s="37" t="n">
        <v>28</v>
      </c>
      <c r="H609" s="37" t="inlineStr">
        <is>
          <t>OPEN</t>
        </is>
      </c>
      <c r="I609" s="37" t="inlineStr">
        <is>
          <t>ACCEPTED</t>
        </is>
      </c>
    </row>
    <row r="610">
      <c r="A610" s="37" t="inlineStr">
        <is>
          <t>OFR-2023-0609</t>
        </is>
      </c>
      <c r="B610" s="43" t="n">
        <v>45220</v>
      </c>
      <c r="C610" s="37" t="inlineStr">
        <is>
          <t>WL-01918</t>
        </is>
      </c>
      <c r="D610" s="37" t="n">
        <v>918</v>
      </c>
      <c r="E610" s="37" t="inlineStr">
        <is>
          <t>VB-0118</t>
        </is>
      </c>
      <c r="F610" s="37" t="inlineStr">
        <is>
          <t>Vessbank</t>
        </is>
      </c>
      <c r="G610" s="37" t="n">
        <v>24</v>
      </c>
      <c r="H610" s="37" t="inlineStr">
        <is>
          <t>COVERED</t>
        </is>
      </c>
      <c r="I610" s="37" t="inlineStr">
        <is>
          <t>SKIPPED</t>
        </is>
      </c>
      <c r="J610" s="37" t="inlineStr">
        <is>
          <t>preference-mismatch</t>
        </is>
      </c>
    </row>
    <row r="611">
      <c r="A611" s="37" t="inlineStr">
        <is>
          <t>OFR-2023-0610</t>
        </is>
      </c>
      <c r="B611" s="43" t="n">
        <v>45207</v>
      </c>
      <c r="C611" s="37" t="inlineStr">
        <is>
          <t>WL-02635</t>
        </is>
      </c>
      <c r="D611" s="37" t="n">
        <v>1635</v>
      </c>
      <c r="E611" s="37" t="inlineStr">
        <is>
          <t>GW-0914</t>
        </is>
      </c>
      <c r="F611" s="37" t="inlineStr">
        <is>
          <t>Gullwing</t>
        </is>
      </c>
      <c r="G611" s="37" t="n">
        <v>24</v>
      </c>
      <c r="H611" s="37" t="inlineStr">
        <is>
          <t>OPEN</t>
        </is>
      </c>
      <c r="I611" s="37" t="inlineStr">
        <is>
          <t>ACCEPTED</t>
        </is>
      </c>
    </row>
    <row r="612">
      <c r="A612" s="37" t="inlineStr">
        <is>
          <t>OFR-2023-0611</t>
        </is>
      </c>
      <c r="B612" s="43" t="n">
        <v>45202</v>
      </c>
      <c r="C612" s="37" t="inlineStr">
        <is>
          <t>WL-02767</t>
        </is>
      </c>
      <c r="D612" s="37" t="n">
        <v>1767</v>
      </c>
      <c r="E612" s="37" t="inlineStr">
        <is>
          <t>SB-0203</t>
        </is>
      </c>
      <c r="F612" s="37" t="inlineStr">
        <is>
          <t>Salmonberry</t>
        </is>
      </c>
      <c r="G612" s="37" t="n">
        <v>36</v>
      </c>
      <c r="H612" s="37" t="inlineStr">
        <is>
          <t>OPEN</t>
        </is>
      </c>
      <c r="I612" s="37" t="inlineStr">
        <is>
          <t>DECLINED</t>
        </is>
      </c>
    </row>
    <row r="613">
      <c r="A613" s="37" t="inlineStr">
        <is>
          <t>OFR-2023-0612</t>
        </is>
      </c>
      <c r="B613" s="43" t="n">
        <v>45207</v>
      </c>
      <c r="C613" s="37" t="inlineStr">
        <is>
          <t>WL-02216</t>
        </is>
      </c>
      <c r="D613" s="37" t="n">
        <v>1216</v>
      </c>
      <c r="E613" s="37" t="inlineStr">
        <is>
          <t>EW-0324</t>
        </is>
      </c>
      <c r="F613" s="37" t="inlineStr">
        <is>
          <t>Eastwey</t>
        </is>
      </c>
      <c r="G613" s="37" t="n">
        <v>80</v>
      </c>
      <c r="H613" s="37" t="inlineStr">
        <is>
          <t>OPEN</t>
        </is>
      </c>
      <c r="I613" s="37" t="inlineStr">
        <is>
          <t>ACCEPTED</t>
        </is>
      </c>
    </row>
    <row r="614">
      <c r="A614" s="37" t="inlineStr">
        <is>
          <t>OFR-2023-0613</t>
        </is>
      </c>
      <c r="B614" s="43" t="n">
        <v>45223</v>
      </c>
      <c r="C614" s="37" t="inlineStr">
        <is>
          <t>WL-03849</t>
        </is>
      </c>
      <c r="D614" s="37" t="n">
        <v>2849</v>
      </c>
      <c r="E614" s="37" t="inlineStr">
        <is>
          <t>SB-0406</t>
        </is>
      </c>
      <c r="F614" s="37" t="inlineStr">
        <is>
          <t>Salmonberry</t>
        </is>
      </c>
      <c r="G614" s="37" t="n">
        <v>40</v>
      </c>
      <c r="H614" s="37" t="inlineStr">
        <is>
          <t>OPEN</t>
        </is>
      </c>
      <c r="I614" s="37" t="inlineStr">
        <is>
          <t>SKIPPED</t>
        </is>
      </c>
      <c r="J614" s="37" t="inlineStr">
        <is>
          <t>not-current</t>
        </is>
      </c>
    </row>
    <row r="615">
      <c r="A615" s="37" t="inlineStr">
        <is>
          <t>OFR-2023-0614</t>
        </is>
      </c>
      <c r="B615" s="43" t="n">
        <v>45218</v>
      </c>
      <c r="C615" s="37" t="inlineStr">
        <is>
          <t>WL-01664</t>
        </is>
      </c>
      <c r="D615" s="37" t="n">
        <v>664</v>
      </c>
      <c r="E615" s="37" t="inlineStr">
        <is>
          <t>LP-0113</t>
        </is>
      </c>
      <c r="F615" s="37" t="inlineStr">
        <is>
          <t>Ledgport</t>
        </is>
      </c>
      <c r="G615" s="37" t="n">
        <v>36</v>
      </c>
      <c r="H615" s="37" t="inlineStr">
        <is>
          <t>COVERED</t>
        </is>
      </c>
      <c r="I615" s="37" t="inlineStr">
        <is>
          <t>PENDING</t>
        </is>
      </c>
    </row>
    <row r="616">
      <c r="A616" s="37" t="inlineStr">
        <is>
          <t>OFR-2023-0615</t>
        </is>
      </c>
      <c r="B616" s="43" t="n">
        <v>45209</v>
      </c>
      <c r="C616" s="37" t="inlineStr">
        <is>
          <t>WL-02781</t>
        </is>
      </c>
      <c r="D616" s="37" t="n">
        <v>1781</v>
      </c>
      <c r="E616" s="37" t="inlineStr">
        <is>
          <t>GW-1005</t>
        </is>
      </c>
      <c r="F616" s="37" t="inlineStr">
        <is>
          <t>Gullwing</t>
        </is>
      </c>
      <c r="G616" s="37" t="n">
        <v>32</v>
      </c>
      <c r="H616" s="37" t="inlineStr">
        <is>
          <t>OPEN</t>
        </is>
      </c>
      <c r="I616" s="37" t="inlineStr">
        <is>
          <t>ACCEPTED</t>
        </is>
      </c>
    </row>
    <row r="617">
      <c r="A617" s="37" t="inlineStr">
        <is>
          <t>OFR-2023-0616</t>
        </is>
      </c>
      <c r="B617" s="43" t="n">
        <v>45218</v>
      </c>
      <c r="C617" s="37" t="inlineStr">
        <is>
          <t>WL-03482</t>
        </is>
      </c>
      <c r="D617" s="37" t="n">
        <v>2482</v>
      </c>
      <c r="E617" s="37" t="inlineStr">
        <is>
          <t>LP-0718</t>
        </is>
      </c>
      <c r="F617" s="37" t="inlineStr">
        <is>
          <t>Ledgport</t>
        </is>
      </c>
      <c r="G617" s="37" t="n">
        <v>32</v>
      </c>
      <c r="H617" s="37" t="inlineStr">
        <is>
          <t>COVERED</t>
        </is>
      </c>
      <c r="I617" s="37" t="inlineStr">
        <is>
          <t>ACCEPTED</t>
        </is>
      </c>
    </row>
    <row r="618">
      <c r="A618" s="37" t="inlineStr">
        <is>
          <t>OFR-2023-0617</t>
        </is>
      </c>
      <c r="B618" s="43" t="n">
        <v>45208</v>
      </c>
      <c r="C618" s="37" t="inlineStr">
        <is>
          <t>WL-01704</t>
        </is>
      </c>
      <c r="D618" s="37" t="n">
        <v>704</v>
      </c>
      <c r="E618" s="37" t="inlineStr">
        <is>
          <t>EW-0804</t>
        </is>
      </c>
      <c r="F618" s="37" t="inlineStr">
        <is>
          <t>Eastwey</t>
        </is>
      </c>
      <c r="G618" s="37" t="n">
        <v>32</v>
      </c>
      <c r="H618" s="37" t="inlineStr">
        <is>
          <t>OPEN</t>
        </is>
      </c>
      <c r="I618" s="37" t="inlineStr">
        <is>
          <t>SKIPPED</t>
        </is>
      </c>
      <c r="J618" s="37" t="inlineStr">
        <is>
          <t>preference-mismatch</t>
        </is>
      </c>
    </row>
    <row r="619">
      <c r="A619" s="37" t="inlineStr">
        <is>
          <t>OFR-2023-0618</t>
        </is>
      </c>
      <c r="B619" s="43" t="n">
        <v>45213</v>
      </c>
      <c r="C619" s="37" t="inlineStr">
        <is>
          <t>WL-03488</t>
        </is>
      </c>
      <c r="D619" s="37" t="n">
        <v>2488</v>
      </c>
      <c r="E619" s="37" t="inlineStr">
        <is>
          <t>LP-0307</t>
        </is>
      </c>
      <c r="F619" s="37" t="inlineStr">
        <is>
          <t>Ledgport</t>
        </is>
      </c>
      <c r="G619" s="37" t="n">
        <v>36</v>
      </c>
      <c r="H619" s="37" t="inlineStr">
        <is>
          <t>COVERED</t>
        </is>
      </c>
      <c r="I619" s="37" t="inlineStr">
        <is>
          <t>DECLINED</t>
        </is>
      </c>
    </row>
    <row r="620">
      <c r="A620" s="37" t="inlineStr">
        <is>
          <t>OFR-2023-0619</t>
        </is>
      </c>
      <c r="B620" s="43" t="n">
        <v>45202</v>
      </c>
      <c r="C620" s="37" t="inlineStr">
        <is>
          <t>WL-02065</t>
        </is>
      </c>
      <c r="D620" s="37" t="n">
        <v>1065</v>
      </c>
      <c r="E620" s="37" t="inlineStr">
        <is>
          <t>VB-0423</t>
        </is>
      </c>
      <c r="F620" s="37" t="inlineStr">
        <is>
          <t>Vessbank</t>
        </is>
      </c>
      <c r="G620" s="37" t="n">
        <v>24</v>
      </c>
      <c r="H620" s="37" t="inlineStr">
        <is>
          <t>COVERED</t>
        </is>
      </c>
      <c r="I620" s="37" t="inlineStr">
        <is>
          <t>EXPIRED</t>
        </is>
      </c>
    </row>
    <row r="621">
      <c r="A621" s="37" t="inlineStr">
        <is>
          <t>OFR-2023-0620</t>
        </is>
      </c>
      <c r="B621" s="43" t="n">
        <v>45242</v>
      </c>
      <c r="C621" s="37" t="inlineStr">
        <is>
          <t>WL-02178</t>
        </is>
      </c>
      <c r="D621" s="37" t="n">
        <v>1178</v>
      </c>
      <c r="E621" s="37" t="inlineStr">
        <is>
          <t>VB-0524</t>
        </is>
      </c>
      <c r="F621" s="37" t="inlineStr">
        <is>
          <t>Vessbank</t>
        </is>
      </c>
      <c r="G621" s="37" t="n">
        <v>28</v>
      </c>
      <c r="H621" s="37" t="inlineStr">
        <is>
          <t>COVERED</t>
        </is>
      </c>
      <c r="I621" s="37" t="inlineStr">
        <is>
          <t>PENDING</t>
        </is>
      </c>
    </row>
    <row r="622">
      <c r="A622" s="37" t="inlineStr">
        <is>
          <t>OFR-2023-0621</t>
        </is>
      </c>
      <c r="B622" s="43" t="n">
        <v>45251</v>
      </c>
      <c r="C622" s="37" t="inlineStr">
        <is>
          <t>WL-02119</t>
        </is>
      </c>
      <c r="D622" s="37" t="n">
        <v>1119</v>
      </c>
      <c r="E622" s="37" t="inlineStr">
        <is>
          <t>VB-0504</t>
        </is>
      </c>
      <c r="F622" s="37" t="inlineStr">
        <is>
          <t>Vessbank</t>
        </is>
      </c>
      <c r="G622" s="37" t="n">
        <v>36</v>
      </c>
      <c r="H622" s="37" t="inlineStr">
        <is>
          <t>COVERED</t>
        </is>
      </c>
      <c r="I622" s="37" t="inlineStr">
        <is>
          <t>ACCEPTED</t>
        </is>
      </c>
    </row>
    <row r="623">
      <c r="A623" s="37" t="inlineStr">
        <is>
          <t>OFR-2023-0622</t>
        </is>
      </c>
      <c r="B623" s="43" t="n">
        <v>45256</v>
      </c>
      <c r="C623" s="37" t="inlineStr">
        <is>
          <t>WL-02959</t>
        </is>
      </c>
      <c r="D623" s="37" t="n">
        <v>1959</v>
      </c>
      <c r="E623" s="37" t="inlineStr">
        <is>
          <t>VB-0216</t>
        </is>
      </c>
      <c r="F623" s="37" t="inlineStr">
        <is>
          <t>Vessbank</t>
        </is>
      </c>
      <c r="G623" s="37" t="n">
        <v>40</v>
      </c>
      <c r="H623" s="37" t="inlineStr">
        <is>
          <t>COVERED</t>
        </is>
      </c>
      <c r="I623" s="37" t="inlineStr">
        <is>
          <t>ACCEPTED</t>
        </is>
      </c>
    </row>
    <row r="624">
      <c r="A624" s="37" t="inlineStr">
        <is>
          <t>OFR-2023-0623</t>
        </is>
      </c>
      <c r="B624" s="43" t="n">
        <v>45252</v>
      </c>
      <c r="C624" s="37" t="inlineStr">
        <is>
          <t>WL-03696</t>
        </is>
      </c>
      <c r="D624" s="37" t="n">
        <v>2696</v>
      </c>
      <c r="E624" s="37" t="inlineStr">
        <is>
          <t>LP-0114</t>
        </is>
      </c>
      <c r="F624" s="37" t="inlineStr">
        <is>
          <t>Ledgport</t>
        </is>
      </c>
      <c r="G624" s="37" t="n">
        <v>24</v>
      </c>
      <c r="H624" s="37" t="inlineStr">
        <is>
          <t>COVERED</t>
        </is>
      </c>
      <c r="I624" s="37" t="inlineStr">
        <is>
          <t>SKIPPED</t>
        </is>
      </c>
      <c r="J624" s="37" t="inlineStr">
        <is>
          <t>vessel-fit</t>
        </is>
      </c>
    </row>
    <row r="625">
      <c r="A625" s="37" t="inlineStr">
        <is>
          <t>OFR-2023-0624</t>
        </is>
      </c>
      <c r="B625" s="43" t="n">
        <v>45233</v>
      </c>
      <c r="C625" s="37" t="inlineStr">
        <is>
          <t>WL-01023</t>
        </is>
      </c>
      <c r="D625" s="37" t="n">
        <v>23</v>
      </c>
      <c r="E625" s="37" t="inlineStr">
        <is>
          <t>VB-0509</t>
        </is>
      </c>
      <c r="F625" s="37" t="inlineStr">
        <is>
          <t>Vessbank</t>
        </is>
      </c>
      <c r="G625" s="37" t="n">
        <v>28</v>
      </c>
      <c r="H625" s="37" t="inlineStr">
        <is>
          <t>COVERED</t>
        </is>
      </c>
      <c r="I625" s="37" t="inlineStr">
        <is>
          <t>DECLINED</t>
        </is>
      </c>
    </row>
    <row r="626">
      <c r="A626" s="37" t="inlineStr">
        <is>
          <t>OFR-2023-0625</t>
        </is>
      </c>
      <c r="B626" s="43" t="n">
        <v>45240</v>
      </c>
      <c r="C626" s="37" t="inlineStr">
        <is>
          <t>WL-01628</t>
        </is>
      </c>
      <c r="D626" s="37" t="n">
        <v>628</v>
      </c>
      <c r="E626" s="37" t="inlineStr">
        <is>
          <t>LP-0401</t>
        </is>
      </c>
      <c r="F626" s="37" t="inlineStr">
        <is>
          <t>Ledgport</t>
        </is>
      </c>
      <c r="G626" s="37" t="n">
        <v>24</v>
      </c>
      <c r="H626" s="37" t="inlineStr">
        <is>
          <t>COVERED</t>
        </is>
      </c>
      <c r="I626" s="37" t="inlineStr">
        <is>
          <t>ACCEPTED</t>
        </is>
      </c>
    </row>
    <row r="627">
      <c r="A627" s="37" t="inlineStr">
        <is>
          <t>OFR-2023-0626</t>
        </is>
      </c>
      <c r="B627" s="43" t="n">
        <v>45249</v>
      </c>
      <c r="C627" s="37" t="inlineStr">
        <is>
          <t>WL-02679</t>
        </is>
      </c>
      <c r="D627" s="37" t="n">
        <v>1679</v>
      </c>
      <c r="E627" s="37" t="inlineStr">
        <is>
          <t>LP-0518</t>
        </is>
      </c>
      <c r="F627" s="37" t="inlineStr">
        <is>
          <t>Ledgport</t>
        </is>
      </c>
      <c r="G627" s="37" t="n">
        <v>36</v>
      </c>
      <c r="H627" s="37" t="inlineStr">
        <is>
          <t>COVERED</t>
        </is>
      </c>
      <c r="I627" s="37" t="inlineStr">
        <is>
          <t>EXPIRED</t>
        </is>
      </c>
    </row>
    <row r="628">
      <c r="A628" s="37" t="inlineStr">
        <is>
          <t>OFR-2023-0627</t>
        </is>
      </c>
      <c r="B628" s="43" t="n">
        <v>45240</v>
      </c>
      <c r="C628" s="37" t="inlineStr">
        <is>
          <t>WL-01004</t>
        </is>
      </c>
      <c r="D628" s="37" t="n">
        <v>4</v>
      </c>
      <c r="E628" s="37" t="inlineStr">
        <is>
          <t>EW-1002</t>
        </is>
      </c>
      <c r="F628" s="37" t="inlineStr">
        <is>
          <t>Eastwey</t>
        </is>
      </c>
      <c r="G628" s="37" t="n">
        <v>28</v>
      </c>
      <c r="H628" s="37" t="inlineStr">
        <is>
          <t>OPEN</t>
        </is>
      </c>
      <c r="I628" s="37" t="inlineStr">
        <is>
          <t>WITHDRAWN</t>
        </is>
      </c>
    </row>
    <row r="629">
      <c r="A629" s="37" t="inlineStr">
        <is>
          <t>OFR-2023-0628</t>
        </is>
      </c>
      <c r="B629" s="43" t="n">
        <v>45243</v>
      </c>
      <c r="C629" s="37" t="inlineStr">
        <is>
          <t>WL-03895</t>
        </is>
      </c>
      <c r="D629" s="37" t="n">
        <v>2895</v>
      </c>
      <c r="E629" s="37" t="inlineStr">
        <is>
          <t>VB-0220</t>
        </is>
      </c>
      <c r="F629" s="37" t="inlineStr">
        <is>
          <t>Vessbank</t>
        </is>
      </c>
      <c r="G629" s="37" t="n">
        <v>28</v>
      </c>
      <c r="H629" s="37" t="inlineStr">
        <is>
          <t>COVERED</t>
        </is>
      </c>
      <c r="I629" s="37" t="inlineStr">
        <is>
          <t>ACCEPTED</t>
        </is>
      </c>
    </row>
    <row r="630">
      <c r="A630" s="37" t="inlineStr">
        <is>
          <t>OFR-2023-0629</t>
        </is>
      </c>
      <c r="B630" s="43" t="n">
        <v>45251</v>
      </c>
      <c r="C630" s="37" t="inlineStr">
        <is>
          <t>WL-02485</t>
        </is>
      </c>
      <c r="D630" s="37" t="n">
        <v>1485</v>
      </c>
      <c r="E630" s="37" t="inlineStr">
        <is>
          <t>LP-1111</t>
        </is>
      </c>
      <c r="F630" s="37" t="inlineStr">
        <is>
          <t>Ledgport</t>
        </is>
      </c>
      <c r="G630" s="37" t="n">
        <v>32</v>
      </c>
      <c r="H630" s="37" t="inlineStr">
        <is>
          <t>COVERED</t>
        </is>
      </c>
      <c r="I630" s="37" t="inlineStr">
        <is>
          <t>ACCEPTED</t>
        </is>
      </c>
    </row>
    <row r="631">
      <c r="A631" s="37" t="inlineStr">
        <is>
          <t>OFR-2023-0630</t>
        </is>
      </c>
      <c r="B631" s="43" t="n">
        <v>45258</v>
      </c>
      <c r="C631" s="37" t="inlineStr">
        <is>
          <t>WL-01172</t>
        </is>
      </c>
      <c r="D631" s="37" t="n">
        <v>172</v>
      </c>
      <c r="E631" s="37" t="inlineStr">
        <is>
          <t>EW-0116</t>
        </is>
      </c>
      <c r="F631" s="37" t="inlineStr">
        <is>
          <t>Eastwey</t>
        </is>
      </c>
      <c r="G631" s="37" t="n">
        <v>32</v>
      </c>
      <c r="H631" s="37" t="inlineStr">
        <is>
          <t>OPEN</t>
        </is>
      </c>
      <c r="I631" s="37" t="inlineStr">
        <is>
          <t>DECLINED</t>
        </is>
      </c>
    </row>
    <row r="632">
      <c r="A632" s="37" t="inlineStr">
        <is>
          <t>OFR-2023-0631</t>
        </is>
      </c>
      <c r="B632" s="43" t="n">
        <v>45253</v>
      </c>
      <c r="C632" s="37" t="inlineStr">
        <is>
          <t>WL-02630</t>
        </is>
      </c>
      <c r="D632" s="37" t="n">
        <v>1630</v>
      </c>
      <c r="E632" s="37" t="inlineStr">
        <is>
          <t>EW-0820</t>
        </is>
      </c>
      <c r="F632" s="37" t="inlineStr">
        <is>
          <t>Eastwey</t>
        </is>
      </c>
      <c r="G632" s="37" t="n">
        <v>40</v>
      </c>
      <c r="H632" s="37" t="inlineStr">
        <is>
          <t>OPEN</t>
        </is>
      </c>
      <c r="I632" s="37" t="inlineStr">
        <is>
          <t>ACCEPTED</t>
        </is>
      </c>
    </row>
    <row r="633">
      <c r="A633" s="37" t="inlineStr">
        <is>
          <t>OFR-2023-0632</t>
        </is>
      </c>
      <c r="B633" s="43" t="n">
        <v>45245</v>
      </c>
      <c r="C633" s="37" t="inlineStr">
        <is>
          <t>WL-03502</t>
        </is>
      </c>
      <c r="D633" s="37" t="n">
        <v>2502</v>
      </c>
      <c r="E633" s="37" t="inlineStr">
        <is>
          <t>LP-0603</t>
        </is>
      </c>
      <c r="F633" s="37" t="inlineStr">
        <is>
          <t>Ledgport</t>
        </is>
      </c>
      <c r="G633" s="37" t="n">
        <v>28</v>
      </c>
      <c r="H633" s="37" t="inlineStr">
        <is>
          <t>COVERED</t>
        </is>
      </c>
      <c r="I633" s="37" t="inlineStr">
        <is>
          <t>ACCEPTED</t>
        </is>
      </c>
    </row>
    <row r="634">
      <c r="A634" s="37" t="inlineStr">
        <is>
          <t>OFR-2023-0633</t>
        </is>
      </c>
      <c r="B634" s="43" t="n">
        <v>45287</v>
      </c>
      <c r="C634" s="37" t="inlineStr">
        <is>
          <t>WL-02383</t>
        </is>
      </c>
      <c r="D634" s="37" t="n">
        <v>1383</v>
      </c>
      <c r="E634" s="37" t="inlineStr">
        <is>
          <t>GW-0718</t>
        </is>
      </c>
      <c r="F634" s="37" t="inlineStr">
        <is>
          <t>Gullwing</t>
        </is>
      </c>
      <c r="G634" s="37" t="n">
        <v>32</v>
      </c>
      <c r="H634" s="37" t="inlineStr">
        <is>
          <t>OPEN</t>
        </is>
      </c>
      <c r="I634" s="37" t="inlineStr">
        <is>
          <t>DECLINED</t>
        </is>
      </c>
    </row>
    <row r="635">
      <c r="A635" s="37" t="inlineStr">
        <is>
          <t>OFR-2023-0634</t>
        </is>
      </c>
      <c r="B635" s="43" t="n">
        <v>45277</v>
      </c>
      <c r="C635" s="37" t="inlineStr">
        <is>
          <t>WL-01016</t>
        </is>
      </c>
      <c r="D635" s="37" t="n">
        <v>16</v>
      </c>
      <c r="E635" s="37" t="inlineStr">
        <is>
          <t>LP-0416</t>
        </is>
      </c>
      <c r="F635" s="37" t="inlineStr">
        <is>
          <t>Ledgport</t>
        </is>
      </c>
      <c r="G635" s="37" t="n">
        <v>24</v>
      </c>
      <c r="H635" s="37" t="inlineStr">
        <is>
          <t>COVERED</t>
        </is>
      </c>
      <c r="I635" s="37" t="inlineStr">
        <is>
          <t>SKIPPED</t>
        </is>
      </c>
      <c r="J635" s="37" t="inlineStr">
        <is>
          <t>vessel-fit</t>
        </is>
      </c>
    </row>
    <row r="636">
      <c r="A636" s="37" t="inlineStr">
        <is>
          <t>OFR-2023-0635</t>
        </is>
      </c>
      <c r="B636" s="43" t="n">
        <v>45282</v>
      </c>
      <c r="C636" s="37" t="inlineStr">
        <is>
          <t>WL-01209</t>
        </is>
      </c>
      <c r="D636" s="37" t="n">
        <v>209</v>
      </c>
      <c r="E636" s="37" t="inlineStr">
        <is>
          <t>VB-0413</t>
        </is>
      </c>
      <c r="F636" s="37" t="inlineStr">
        <is>
          <t>Vessbank</t>
        </is>
      </c>
      <c r="G636" s="37" t="n">
        <v>32</v>
      </c>
      <c r="H636" s="37" t="inlineStr">
        <is>
          <t>COVERED</t>
        </is>
      </c>
      <c r="I636" s="37" t="inlineStr">
        <is>
          <t>PENDING</t>
        </is>
      </c>
    </row>
    <row r="637">
      <c r="A637" s="37" t="inlineStr">
        <is>
          <t>OFR-2023-0636</t>
        </is>
      </c>
      <c r="B637" s="43" t="n">
        <v>45281</v>
      </c>
      <c r="C637" s="37" t="inlineStr">
        <is>
          <t>WL-01186</t>
        </is>
      </c>
      <c r="D637" s="37" t="n">
        <v>186</v>
      </c>
      <c r="E637" s="37" t="inlineStr">
        <is>
          <t>SB-0610</t>
        </is>
      </c>
      <c r="F637" s="37" t="inlineStr">
        <is>
          <t>Salmonberry</t>
        </is>
      </c>
      <c r="G637" s="37" t="n">
        <v>60</v>
      </c>
      <c r="H637" s="37" t="inlineStr">
        <is>
          <t>OPEN</t>
        </is>
      </c>
      <c r="I637" s="37" t="inlineStr">
        <is>
          <t>SKIPPED</t>
        </is>
      </c>
      <c r="J637" s="37" t="inlineStr">
        <is>
          <t>not-current</t>
        </is>
      </c>
    </row>
    <row r="638">
      <c r="A638" s="37" t="inlineStr">
        <is>
          <t>OFR-2023-0637</t>
        </is>
      </c>
      <c r="B638" s="43" t="n">
        <v>45266</v>
      </c>
      <c r="C638" s="37" t="inlineStr">
        <is>
          <t>WL-03573</t>
        </is>
      </c>
      <c r="D638" s="37" t="n">
        <v>2573</v>
      </c>
      <c r="E638" s="37" t="inlineStr">
        <is>
          <t>VB-0309</t>
        </is>
      </c>
      <c r="F638" s="37" t="inlineStr">
        <is>
          <t>Vessbank</t>
        </is>
      </c>
      <c r="G638" s="37" t="n">
        <v>36</v>
      </c>
      <c r="H638" s="37" t="inlineStr">
        <is>
          <t>COVERED</t>
        </is>
      </c>
      <c r="I638" s="37" t="inlineStr">
        <is>
          <t>ACCEPTED</t>
        </is>
      </c>
    </row>
    <row r="639">
      <c r="A639" s="37" t="inlineStr">
        <is>
          <t>OFR-2023-0638</t>
        </is>
      </c>
      <c r="B639" s="43" t="n">
        <v>45286</v>
      </c>
      <c r="C639" s="37" t="inlineStr">
        <is>
          <t>WL-01524</t>
        </is>
      </c>
      <c r="D639" s="37" t="n">
        <v>524</v>
      </c>
      <c r="E639" s="37" t="inlineStr">
        <is>
          <t>VB-0804</t>
        </is>
      </c>
      <c r="F639" s="37" t="inlineStr">
        <is>
          <t>Vessbank</t>
        </is>
      </c>
      <c r="G639" s="37" t="n">
        <v>24</v>
      </c>
      <c r="H639" s="37" t="inlineStr">
        <is>
          <t>COVERED</t>
        </is>
      </c>
      <c r="I639" s="37" t="inlineStr">
        <is>
          <t>SKIPPED</t>
        </is>
      </c>
      <c r="J639" s="37" t="inlineStr">
        <is>
          <t>not-current</t>
        </is>
      </c>
    </row>
    <row r="640">
      <c r="A640" s="37" t="inlineStr">
        <is>
          <t>OFR-2023-0639</t>
        </is>
      </c>
      <c r="B640" s="43" t="n">
        <v>45271</v>
      </c>
      <c r="C640" s="37" t="inlineStr">
        <is>
          <t>WL-02333</t>
        </is>
      </c>
      <c r="D640" s="37" t="n">
        <v>1333</v>
      </c>
      <c r="E640" s="37" t="inlineStr">
        <is>
          <t>VB-0204</t>
        </is>
      </c>
      <c r="F640" s="37" t="inlineStr">
        <is>
          <t>Vessbank</t>
        </is>
      </c>
      <c r="G640" s="37" t="n">
        <v>40</v>
      </c>
      <c r="H640" s="37" t="inlineStr">
        <is>
          <t>COVERED</t>
        </is>
      </c>
      <c r="I640" s="37" t="inlineStr">
        <is>
          <t>ACCEPTED</t>
        </is>
      </c>
    </row>
    <row r="641">
      <c r="A641" s="37" t="inlineStr">
        <is>
          <t>OFR-2023-0640</t>
        </is>
      </c>
      <c r="B641" s="43" t="n">
        <v>45269</v>
      </c>
      <c r="C641" s="37" t="inlineStr">
        <is>
          <t>WL-03380</t>
        </is>
      </c>
      <c r="D641" s="37" t="n">
        <v>2380</v>
      </c>
      <c r="E641" s="37" t="inlineStr">
        <is>
          <t>GW-0223</t>
        </is>
      </c>
      <c r="F641" s="37" t="inlineStr">
        <is>
          <t>Gullwing</t>
        </is>
      </c>
      <c r="G641" s="37" t="n">
        <v>28</v>
      </c>
      <c r="H641" s="37" t="inlineStr">
        <is>
          <t>OPEN</t>
        </is>
      </c>
      <c r="I641" s="37" t="inlineStr">
        <is>
          <t>ACCEPTED</t>
        </is>
      </c>
    </row>
    <row r="642">
      <c r="A642" s="37" t="inlineStr">
        <is>
          <t>OFR-2023-0641</t>
        </is>
      </c>
      <c r="B642" s="43" t="n">
        <v>45277</v>
      </c>
      <c r="C642" s="37" t="inlineStr">
        <is>
          <t>WL-01961</t>
        </is>
      </c>
      <c r="D642" s="37" t="n">
        <v>961</v>
      </c>
      <c r="E642" s="37" t="inlineStr">
        <is>
          <t>GW-1020</t>
        </is>
      </c>
      <c r="F642" s="37" t="inlineStr">
        <is>
          <t>Gullwing</t>
        </is>
      </c>
      <c r="G642" s="37" t="n">
        <v>32</v>
      </c>
      <c r="H642" s="37" t="inlineStr">
        <is>
          <t>OPEN</t>
        </is>
      </c>
      <c r="I642" s="37" t="inlineStr">
        <is>
          <t>EXPIRED</t>
        </is>
      </c>
    </row>
    <row r="643">
      <c r="A643" s="37" t="inlineStr">
        <is>
          <t>OFR-2023-0642</t>
        </is>
      </c>
      <c r="B643" s="43" t="n">
        <v>45276</v>
      </c>
      <c r="C643" s="37" t="inlineStr">
        <is>
          <t>WL-02107</t>
        </is>
      </c>
      <c r="D643" s="37" t="n">
        <v>1107</v>
      </c>
      <c r="E643" s="37" t="inlineStr">
        <is>
          <t>VB-0818</t>
        </is>
      </c>
      <c r="F643" s="37" t="inlineStr">
        <is>
          <t>Vessbank</t>
        </is>
      </c>
      <c r="G643" s="37" t="n">
        <v>24</v>
      </c>
      <c r="H643" s="37" t="inlineStr">
        <is>
          <t>COVERED</t>
        </is>
      </c>
      <c r="I643" s="37" t="inlineStr">
        <is>
          <t>ACCEPTED</t>
        </is>
      </c>
    </row>
    <row r="644">
      <c r="A644" s="37" t="inlineStr">
        <is>
          <t>OFR-2023-0643</t>
        </is>
      </c>
      <c r="B644" s="43" t="n">
        <v>45286</v>
      </c>
      <c r="C644" s="37" t="inlineStr">
        <is>
          <t>WL-03111</t>
        </is>
      </c>
      <c r="D644" s="37" t="n">
        <v>2111</v>
      </c>
      <c r="E644" s="37" t="inlineStr">
        <is>
          <t>VB-0311</t>
        </is>
      </c>
      <c r="F644" s="37" t="inlineStr">
        <is>
          <t>Vessbank</t>
        </is>
      </c>
      <c r="G644" s="37" t="n">
        <v>32</v>
      </c>
      <c r="H644" s="37" t="inlineStr">
        <is>
          <t>COVERED</t>
        </is>
      </c>
      <c r="I644" s="37" t="inlineStr">
        <is>
          <t>SKIPPED</t>
        </is>
      </c>
      <c r="J644" s="37" t="inlineStr">
        <is>
          <t>not-current</t>
        </is>
      </c>
    </row>
    <row r="645">
      <c r="A645" s="37" t="inlineStr">
        <is>
          <t>OFR-2023-0644</t>
        </is>
      </c>
      <c r="B645" s="43" t="n">
        <v>45271</v>
      </c>
      <c r="C645" s="37" t="inlineStr">
        <is>
          <t>WL-01087</t>
        </is>
      </c>
      <c r="D645" s="37" t="n">
        <v>87</v>
      </c>
      <c r="E645" s="37" t="inlineStr">
        <is>
          <t>VB-0423</t>
        </is>
      </c>
      <c r="F645" s="37" t="inlineStr">
        <is>
          <t>Vessbank</t>
        </is>
      </c>
      <c r="G645" s="37" t="n">
        <v>24</v>
      </c>
      <c r="H645" s="37" t="inlineStr">
        <is>
          <t>COVERED</t>
        </is>
      </c>
      <c r="I645" s="37" t="inlineStr">
        <is>
          <t>ACCEPTED</t>
        </is>
      </c>
    </row>
    <row r="646">
      <c r="A646" s="37" t="inlineStr">
        <is>
          <t>OFR-2023-0645</t>
        </is>
      </c>
      <c r="B646" s="43" t="n">
        <v>45284</v>
      </c>
      <c r="C646" s="37" t="inlineStr">
        <is>
          <t>WL-02726</t>
        </is>
      </c>
      <c r="D646" s="37" t="n">
        <v>1726</v>
      </c>
      <c r="E646" s="37" t="inlineStr">
        <is>
          <t>EW-0916</t>
        </is>
      </c>
      <c r="F646" s="37" t="inlineStr">
        <is>
          <t>Eastwey</t>
        </is>
      </c>
      <c r="G646" s="37" t="n">
        <v>24</v>
      </c>
      <c r="H646" s="37" t="inlineStr">
        <is>
          <t>OPEN</t>
        </is>
      </c>
      <c r="I646" s="37" t="inlineStr">
        <is>
          <t>SKIPPED</t>
        </is>
      </c>
      <c r="J646" s="37" t="inlineStr">
        <is>
          <t>vessel-fit</t>
        </is>
      </c>
    </row>
    <row r="647">
      <c r="A647" s="37" t="inlineStr">
        <is>
          <t>OFR-2023-0646</t>
        </is>
      </c>
      <c r="B647" s="43" t="n">
        <v>45282</v>
      </c>
      <c r="C647" s="37" t="inlineStr">
        <is>
          <t>WL-02874</t>
        </is>
      </c>
      <c r="D647" s="37" t="n">
        <v>1874</v>
      </c>
      <c r="E647" s="37" t="inlineStr">
        <is>
          <t>GW-0106</t>
        </is>
      </c>
      <c r="F647" s="37" t="inlineStr">
        <is>
          <t>Gullwing</t>
        </is>
      </c>
      <c r="G647" s="37" t="n">
        <v>80</v>
      </c>
      <c r="H647" s="37" t="inlineStr">
        <is>
          <t>OPEN</t>
        </is>
      </c>
      <c r="I647" s="37" t="inlineStr">
        <is>
          <t>ACCEPTED</t>
        </is>
      </c>
    </row>
    <row r="648">
      <c r="A648" s="37" t="inlineStr">
        <is>
          <t>OFR-2023-0647</t>
        </is>
      </c>
      <c r="B648" s="43" t="n">
        <v>45278</v>
      </c>
      <c r="C648" s="37" t="inlineStr">
        <is>
          <t>WL-03391</t>
        </is>
      </c>
      <c r="D648" s="37" t="n">
        <v>2391</v>
      </c>
      <c r="E648" s="37" t="inlineStr">
        <is>
          <t>SB-0223</t>
        </is>
      </c>
      <c r="F648" s="37" t="inlineStr">
        <is>
          <t>Salmonberry</t>
        </is>
      </c>
      <c r="G648" s="37" t="n">
        <v>80</v>
      </c>
      <c r="H648" s="37" t="inlineStr">
        <is>
          <t>OPEN</t>
        </is>
      </c>
      <c r="I648" s="37" t="inlineStr">
        <is>
          <t>ACCEPTED</t>
        </is>
      </c>
    </row>
    <row r="649">
      <c r="A649" s="37" t="inlineStr">
        <is>
          <t>OFR-2023-0648</t>
        </is>
      </c>
      <c r="B649" s="43" t="n">
        <v>45263</v>
      </c>
      <c r="C649" s="37" t="inlineStr">
        <is>
          <t>WL-01924</t>
        </is>
      </c>
      <c r="D649" s="37" t="n">
        <v>924</v>
      </c>
      <c r="E649" s="37" t="inlineStr">
        <is>
          <t>EW-1002</t>
        </is>
      </c>
      <c r="F649" s="37" t="inlineStr">
        <is>
          <t>Eastwey</t>
        </is>
      </c>
      <c r="G649" s="37" t="n">
        <v>28</v>
      </c>
      <c r="H649" s="37" t="inlineStr">
        <is>
          <t>OPEN</t>
        </is>
      </c>
      <c r="I649" s="37" t="inlineStr">
        <is>
          <t>SKIPPED</t>
        </is>
      </c>
      <c r="J649" s="37" t="inlineStr">
        <is>
          <t>declined-prior-offer</t>
        </is>
      </c>
    </row>
    <row r="650">
      <c r="A650" s="37" t="inlineStr">
        <is>
          <t>OFR-2024-0649</t>
        </is>
      </c>
      <c r="B650" s="43" t="n">
        <v>45302</v>
      </c>
      <c r="C650" s="37" t="inlineStr">
        <is>
          <t>WL-02805</t>
        </is>
      </c>
      <c r="D650" s="37" t="n">
        <v>1805</v>
      </c>
      <c r="E650" s="37" t="inlineStr">
        <is>
          <t>GW-0301</t>
        </is>
      </c>
      <c r="F650" s="37" t="inlineStr">
        <is>
          <t>Gullwing</t>
        </is>
      </c>
      <c r="G650" s="37" t="n">
        <v>24</v>
      </c>
      <c r="H650" s="37" t="inlineStr">
        <is>
          <t>OPEN</t>
        </is>
      </c>
      <c r="I650" s="37" t="inlineStr">
        <is>
          <t>ACCEPTED</t>
        </is>
      </c>
    </row>
    <row r="651">
      <c r="A651" s="37" t="inlineStr">
        <is>
          <t>OFR-2024-0650</t>
        </is>
      </c>
      <c r="B651" s="43" t="n">
        <v>45301</v>
      </c>
      <c r="C651" s="37" t="inlineStr">
        <is>
          <t>WL-02498</t>
        </is>
      </c>
      <c r="D651" s="37" t="n">
        <v>1498</v>
      </c>
      <c r="E651" s="37" t="inlineStr">
        <is>
          <t>GW-0215</t>
        </is>
      </c>
      <c r="F651" s="37" t="inlineStr">
        <is>
          <t>Gullwing</t>
        </is>
      </c>
      <c r="G651" s="37" t="n">
        <v>28</v>
      </c>
      <c r="H651" s="37" t="inlineStr">
        <is>
          <t>OPEN</t>
        </is>
      </c>
      <c r="I651" s="37" t="inlineStr">
        <is>
          <t>ACCEPTED</t>
        </is>
      </c>
    </row>
    <row r="652">
      <c r="A652" s="37" t="inlineStr">
        <is>
          <t>OFR-2024-0651</t>
        </is>
      </c>
      <c r="B652" s="43" t="n">
        <v>45296</v>
      </c>
      <c r="C652" s="37" t="inlineStr">
        <is>
          <t>WL-01764</t>
        </is>
      </c>
      <c r="D652" s="37" t="n">
        <v>764</v>
      </c>
      <c r="E652" s="37" t="inlineStr">
        <is>
          <t>EW-0209</t>
        </is>
      </c>
      <c r="F652" s="37" t="inlineStr">
        <is>
          <t>Eastwey</t>
        </is>
      </c>
      <c r="G652" s="37" t="n">
        <v>36</v>
      </c>
      <c r="H652" s="37" t="inlineStr">
        <is>
          <t>OPEN</t>
        </is>
      </c>
      <c r="I652" s="37" t="inlineStr">
        <is>
          <t>EXPIRED</t>
        </is>
      </c>
    </row>
    <row r="653">
      <c r="A653" s="37" t="inlineStr">
        <is>
          <t>OFR-2024-0652</t>
        </is>
      </c>
      <c r="B653" s="43" t="n">
        <v>45306</v>
      </c>
      <c r="C653" s="37" t="inlineStr">
        <is>
          <t>WL-03693</t>
        </is>
      </c>
      <c r="D653" s="37" t="n">
        <v>2693</v>
      </c>
      <c r="E653" s="37" t="inlineStr">
        <is>
          <t>SB-0216</t>
        </is>
      </c>
      <c r="F653" s="37" t="inlineStr">
        <is>
          <t>Salmonberry</t>
        </is>
      </c>
      <c r="G653" s="37" t="n">
        <v>28</v>
      </c>
      <c r="H653" s="37" t="inlineStr">
        <is>
          <t>OPEN</t>
        </is>
      </c>
      <c r="I653" s="37" t="inlineStr">
        <is>
          <t>DECLINED_RETAINER</t>
        </is>
      </c>
    </row>
    <row r="654">
      <c r="A654" s="37" t="inlineStr">
        <is>
          <t>OFR-2024-0653</t>
        </is>
      </c>
      <c r="B654" s="43" t="n">
        <v>45305</v>
      </c>
      <c r="C654" s="37" t="inlineStr">
        <is>
          <t>WL-02759</t>
        </is>
      </c>
      <c r="D654" s="37" t="n">
        <v>1759</v>
      </c>
      <c r="E654" s="37" t="inlineStr">
        <is>
          <t>EW-0708</t>
        </is>
      </c>
      <c r="F654" s="37" t="inlineStr">
        <is>
          <t>Eastwey</t>
        </is>
      </c>
      <c r="G654" s="37" t="n">
        <v>50</v>
      </c>
      <c r="H654" s="37" t="inlineStr">
        <is>
          <t>OPEN</t>
        </is>
      </c>
      <c r="I654" s="37" t="inlineStr">
        <is>
          <t>SKIPPED</t>
        </is>
      </c>
      <c r="J654" s="37" t="inlineStr">
        <is>
          <t>vessel-fit</t>
        </is>
      </c>
    </row>
    <row r="655">
      <c r="A655" s="37" t="inlineStr">
        <is>
          <t>OFR-2024-0654</t>
        </is>
      </c>
      <c r="B655" s="43" t="n">
        <v>45295</v>
      </c>
      <c r="C655" s="37" t="inlineStr">
        <is>
          <t>WL-01632</t>
        </is>
      </c>
      <c r="D655" s="37" t="n">
        <v>632</v>
      </c>
      <c r="E655" s="37" t="inlineStr">
        <is>
          <t>SB-0306</t>
        </is>
      </c>
      <c r="F655" s="37" t="inlineStr">
        <is>
          <t>Salmonberry</t>
        </is>
      </c>
      <c r="G655" s="37" t="n">
        <v>70</v>
      </c>
      <c r="H655" s="37" t="inlineStr">
        <is>
          <t>OPEN</t>
        </is>
      </c>
      <c r="I655" s="37" t="inlineStr">
        <is>
          <t>SKIPPED</t>
        </is>
      </c>
      <c r="J655" s="37" t="inlineStr">
        <is>
          <t>preference-mismatch</t>
        </is>
      </c>
    </row>
    <row r="656">
      <c r="A656" s="37" t="inlineStr">
        <is>
          <t>OFR-2024-0655</t>
        </is>
      </c>
      <c r="B656" s="43" t="n">
        <v>45305</v>
      </c>
      <c r="C656" s="37" t="inlineStr">
        <is>
          <t>WL-02238</t>
        </is>
      </c>
      <c r="D656" s="37" t="n">
        <v>1238</v>
      </c>
      <c r="E656" s="37" t="inlineStr">
        <is>
          <t>LP-1114</t>
        </is>
      </c>
      <c r="F656" s="37" t="inlineStr">
        <is>
          <t>Ledgport</t>
        </is>
      </c>
      <c r="G656" s="37" t="n">
        <v>32</v>
      </c>
      <c r="H656" s="37" t="inlineStr">
        <is>
          <t>COVERED</t>
        </is>
      </c>
      <c r="I656" s="37" t="inlineStr">
        <is>
          <t>EXPIRED</t>
        </is>
      </c>
    </row>
    <row r="657">
      <c r="A657" s="37" t="inlineStr">
        <is>
          <t>OFR-2024-0656</t>
        </is>
      </c>
      <c r="B657" s="43" t="n">
        <v>45310</v>
      </c>
      <c r="C657" s="37" t="inlineStr">
        <is>
          <t>WL-03903</t>
        </is>
      </c>
      <c r="D657" s="37" t="n">
        <v>2903</v>
      </c>
      <c r="E657" s="37" t="inlineStr">
        <is>
          <t>EW-0408</t>
        </is>
      </c>
      <c r="F657" s="37" t="inlineStr">
        <is>
          <t>Eastwey</t>
        </is>
      </c>
      <c r="G657" s="37" t="n">
        <v>28</v>
      </c>
      <c r="H657" s="37" t="inlineStr">
        <is>
          <t>OPEN</t>
        </is>
      </c>
      <c r="I657" s="37" t="inlineStr">
        <is>
          <t>DECLINED</t>
        </is>
      </c>
    </row>
    <row r="658">
      <c r="A658" s="37" t="inlineStr">
        <is>
          <t>OFR-2024-0657</t>
        </is>
      </c>
      <c r="B658" s="43" t="n">
        <v>45311</v>
      </c>
      <c r="C658" s="37" t="inlineStr">
        <is>
          <t>WL-01388</t>
        </is>
      </c>
      <c r="D658" s="37" t="n">
        <v>388</v>
      </c>
      <c r="E658" s="37" t="inlineStr">
        <is>
          <t>GW-0208</t>
        </is>
      </c>
      <c r="F658" s="37" t="inlineStr">
        <is>
          <t>Gullwing</t>
        </is>
      </c>
      <c r="G658" s="37" t="n">
        <v>24</v>
      </c>
      <c r="H658" s="37" t="inlineStr">
        <is>
          <t>OPEN</t>
        </is>
      </c>
      <c r="I658" s="37" t="inlineStr">
        <is>
          <t>ACCEPTED</t>
        </is>
      </c>
    </row>
    <row r="659">
      <c r="A659" s="37" t="inlineStr">
        <is>
          <t>OFR-2024-0658</t>
        </is>
      </c>
      <c r="B659" s="43" t="n">
        <v>45294</v>
      </c>
      <c r="C659" s="37" t="inlineStr">
        <is>
          <t>WL-01935</t>
        </is>
      </c>
      <c r="D659" s="37" t="n">
        <v>935</v>
      </c>
      <c r="E659" s="37" t="inlineStr">
        <is>
          <t>GW-0409</t>
        </is>
      </c>
      <c r="F659" s="37" t="inlineStr">
        <is>
          <t>Gullwing</t>
        </is>
      </c>
      <c r="G659" s="37" t="n">
        <v>45</v>
      </c>
      <c r="H659" s="37" t="inlineStr">
        <is>
          <t>OPEN</t>
        </is>
      </c>
      <c r="I659" s="37" t="inlineStr">
        <is>
          <t>DECLINED</t>
        </is>
      </c>
    </row>
    <row r="660">
      <c r="A660" s="37" t="inlineStr">
        <is>
          <t>OFR-2024-0659</t>
        </is>
      </c>
      <c r="B660" s="43" t="n">
        <v>45314</v>
      </c>
      <c r="C660" s="37" t="inlineStr">
        <is>
          <t>WL-03107</t>
        </is>
      </c>
      <c r="D660" s="37" t="n">
        <v>2107</v>
      </c>
      <c r="E660" s="37" t="inlineStr">
        <is>
          <t>SB-0606</t>
        </is>
      </c>
      <c r="F660" s="37" t="inlineStr">
        <is>
          <t>Salmonberry</t>
        </is>
      </c>
      <c r="G660" s="37" t="n">
        <v>80</v>
      </c>
      <c r="H660" s="37" t="inlineStr">
        <is>
          <t>OPEN</t>
        </is>
      </c>
      <c r="I660" s="37" t="inlineStr">
        <is>
          <t>ACCEPTED</t>
        </is>
      </c>
    </row>
    <row r="661">
      <c r="A661" s="37" t="inlineStr">
        <is>
          <t>OFR-2024-0660</t>
        </is>
      </c>
      <c r="B661" s="43" t="n">
        <v>45304</v>
      </c>
      <c r="C661" s="37" t="inlineStr">
        <is>
          <t>WL-02337</t>
        </is>
      </c>
      <c r="D661" s="37" t="n">
        <v>1337</v>
      </c>
      <c r="E661" s="37" t="inlineStr">
        <is>
          <t>SB-0506</t>
        </is>
      </c>
      <c r="F661" s="37" t="inlineStr">
        <is>
          <t>Salmonberry</t>
        </is>
      </c>
      <c r="G661" s="37" t="n">
        <v>32</v>
      </c>
      <c r="H661" s="37" t="inlineStr">
        <is>
          <t>OPEN</t>
        </is>
      </c>
      <c r="I661" s="37" t="inlineStr">
        <is>
          <t>EXPIRED</t>
        </is>
      </c>
    </row>
    <row r="662">
      <c r="A662" s="37" t="inlineStr">
        <is>
          <t>OFR-2024-0661</t>
        </is>
      </c>
      <c r="B662" s="43" t="n">
        <v>45342</v>
      </c>
      <c r="C662" s="37" t="inlineStr">
        <is>
          <t>WL-03141</t>
        </is>
      </c>
      <c r="D662" s="37" t="n">
        <v>2141</v>
      </c>
      <c r="E662" s="37" t="inlineStr">
        <is>
          <t>LP-0203</t>
        </is>
      </c>
      <c r="F662" s="37" t="inlineStr">
        <is>
          <t>Ledgport</t>
        </is>
      </c>
      <c r="G662" s="37" t="n">
        <v>28</v>
      </c>
      <c r="H662" s="37" t="inlineStr">
        <is>
          <t>COVERED</t>
        </is>
      </c>
      <c r="I662" s="37" t="inlineStr">
        <is>
          <t>SKIPPED</t>
        </is>
      </c>
      <c r="J662" s="37" t="inlineStr">
        <is>
          <t>vessel-fit</t>
        </is>
      </c>
    </row>
    <row r="663">
      <c r="A663" s="37" t="inlineStr">
        <is>
          <t>OFR-2024-0662</t>
        </is>
      </c>
      <c r="B663" s="43" t="n">
        <v>45331</v>
      </c>
      <c r="C663" s="37" t="inlineStr">
        <is>
          <t>WL-02698</t>
        </is>
      </c>
      <c r="D663" s="37" t="n">
        <v>1698</v>
      </c>
      <c r="E663" s="37" t="inlineStr">
        <is>
          <t>SB-0808</t>
        </is>
      </c>
      <c r="F663" s="37" t="inlineStr">
        <is>
          <t>Salmonberry</t>
        </is>
      </c>
      <c r="G663" s="37" t="n">
        <v>28</v>
      </c>
      <c r="H663" s="37" t="inlineStr">
        <is>
          <t>OPEN</t>
        </is>
      </c>
      <c r="I663" s="37" t="inlineStr">
        <is>
          <t>DECLINED</t>
        </is>
      </c>
    </row>
    <row r="664">
      <c r="A664" s="37" t="inlineStr">
        <is>
          <t>OFR-2024-0663</t>
        </is>
      </c>
      <c r="B664" s="43" t="n">
        <v>45346</v>
      </c>
      <c r="C664" s="37" t="inlineStr">
        <is>
          <t>WL-02349</t>
        </is>
      </c>
      <c r="D664" s="37" t="n">
        <v>1349</v>
      </c>
      <c r="E664" s="37" t="inlineStr">
        <is>
          <t>SB-0403</t>
        </is>
      </c>
      <c r="F664" s="37" t="inlineStr">
        <is>
          <t>Salmonberry</t>
        </is>
      </c>
      <c r="G664" s="37" t="n">
        <v>24</v>
      </c>
      <c r="H664" s="37" t="inlineStr">
        <is>
          <t>OPEN</t>
        </is>
      </c>
      <c r="I664" s="37" t="inlineStr">
        <is>
          <t>SKIPPED</t>
        </is>
      </c>
      <c r="J664" s="37" t="inlineStr">
        <is>
          <t>preference-mismatch</t>
        </is>
      </c>
    </row>
    <row r="665">
      <c r="A665" s="37" t="inlineStr">
        <is>
          <t>OFR-2024-0664</t>
        </is>
      </c>
      <c r="B665" s="43" t="n">
        <v>45325</v>
      </c>
      <c r="C665" s="37" t="inlineStr">
        <is>
          <t>WL-02547</t>
        </is>
      </c>
      <c r="D665" s="37" t="n">
        <v>1547</v>
      </c>
      <c r="E665" s="37" t="inlineStr">
        <is>
          <t>GW-0903</t>
        </is>
      </c>
      <c r="F665" s="37" t="inlineStr">
        <is>
          <t>Gullwing</t>
        </is>
      </c>
      <c r="G665" s="37" t="n">
        <v>36</v>
      </c>
      <c r="H665" s="37" t="inlineStr">
        <is>
          <t>OPEN</t>
        </is>
      </c>
      <c r="I665" s="37" t="inlineStr">
        <is>
          <t>EXPIRED</t>
        </is>
      </c>
    </row>
    <row r="666">
      <c r="A666" s="37" t="inlineStr">
        <is>
          <t>OFR-2024-0665</t>
        </is>
      </c>
      <c r="B666" s="43" t="n">
        <v>45349</v>
      </c>
      <c r="C666" s="37" t="inlineStr">
        <is>
          <t>WL-03355</t>
        </is>
      </c>
      <c r="D666" s="37" t="n">
        <v>2355</v>
      </c>
      <c r="E666" s="37" t="inlineStr">
        <is>
          <t>LP-0410</t>
        </is>
      </c>
      <c r="F666" s="37" t="inlineStr">
        <is>
          <t>Ledgport</t>
        </is>
      </c>
      <c r="G666" s="37" t="n">
        <v>24</v>
      </c>
      <c r="H666" s="37" t="inlineStr">
        <is>
          <t>COVERED</t>
        </is>
      </c>
      <c r="I666" s="37" t="inlineStr">
        <is>
          <t>ACCEPTED</t>
        </is>
      </c>
    </row>
    <row r="667">
      <c r="A667" s="37" t="inlineStr">
        <is>
          <t>OFR-2024-0666</t>
        </is>
      </c>
      <c r="B667" s="43" t="n">
        <v>45325</v>
      </c>
      <c r="C667" s="37" t="inlineStr">
        <is>
          <t>WL-01253</t>
        </is>
      </c>
      <c r="D667" s="37" t="n">
        <v>253</v>
      </c>
      <c r="E667" s="37" t="inlineStr">
        <is>
          <t>LP-0307</t>
        </is>
      </c>
      <c r="F667" s="37" t="inlineStr">
        <is>
          <t>Ledgport</t>
        </is>
      </c>
      <c r="G667" s="37" t="n">
        <v>36</v>
      </c>
      <c r="H667" s="37" t="inlineStr">
        <is>
          <t>COVERED</t>
        </is>
      </c>
      <c r="I667" s="37" t="inlineStr">
        <is>
          <t>SKIPPED</t>
        </is>
      </c>
      <c r="J667" s="37" t="inlineStr">
        <is>
          <t>declined-prior-offer</t>
        </is>
      </c>
    </row>
    <row r="668">
      <c r="A668" s="37" t="inlineStr">
        <is>
          <t>OFR-2024-0667</t>
        </is>
      </c>
      <c r="B668" s="43" t="n">
        <v>45344</v>
      </c>
      <c r="C668" s="37" t="inlineStr">
        <is>
          <t>WL-02479</t>
        </is>
      </c>
      <c r="D668" s="37" t="n">
        <v>1479</v>
      </c>
      <c r="E668" s="37" t="inlineStr">
        <is>
          <t>SB-0603</t>
        </is>
      </c>
      <c r="F668" s="37" t="inlineStr">
        <is>
          <t>Salmonberry</t>
        </is>
      </c>
      <c r="G668" s="37" t="n">
        <v>32</v>
      </c>
      <c r="H668" s="37" t="inlineStr">
        <is>
          <t>OPEN</t>
        </is>
      </c>
      <c r="I668" s="37" t="inlineStr">
        <is>
          <t>ACCEPTED</t>
        </is>
      </c>
    </row>
    <row r="669">
      <c r="A669" s="37" t="inlineStr">
        <is>
          <t>OFR-2024-0668</t>
        </is>
      </c>
      <c r="B669" s="43" t="n">
        <v>45323</v>
      </c>
      <c r="C669" s="37" t="inlineStr">
        <is>
          <t>WL-03468</t>
        </is>
      </c>
      <c r="D669" s="37" t="n">
        <v>2468</v>
      </c>
      <c r="E669" s="37" t="inlineStr">
        <is>
          <t>GW-0613</t>
        </is>
      </c>
      <c r="F669" s="37" t="inlineStr">
        <is>
          <t>Gullwing</t>
        </is>
      </c>
      <c r="G669" s="37" t="n">
        <v>28</v>
      </c>
      <c r="H669" s="37" t="inlineStr">
        <is>
          <t>OPEN</t>
        </is>
      </c>
      <c r="I669" s="37" t="inlineStr">
        <is>
          <t>ACCEPTED</t>
        </is>
      </c>
    </row>
    <row r="670">
      <c r="A670" s="37" t="inlineStr">
        <is>
          <t>OFR-2024-0669</t>
        </is>
      </c>
      <c r="B670" s="43" t="n">
        <v>45324</v>
      </c>
      <c r="C670" s="37" t="inlineStr">
        <is>
          <t>WL-01580</t>
        </is>
      </c>
      <c r="D670" s="37" t="n">
        <v>580</v>
      </c>
      <c r="E670" s="37" t="inlineStr">
        <is>
          <t>LP-0920</t>
        </is>
      </c>
      <c r="F670" s="37" t="inlineStr">
        <is>
          <t>Ledgport</t>
        </is>
      </c>
      <c r="G670" s="37" t="n">
        <v>28</v>
      </c>
      <c r="H670" s="37" t="inlineStr">
        <is>
          <t>COVERED</t>
        </is>
      </c>
      <c r="I670" s="37" t="inlineStr">
        <is>
          <t>DECLINED_RETAINER</t>
        </is>
      </c>
    </row>
    <row r="671">
      <c r="A671" s="37" t="inlineStr">
        <is>
          <t>OFR-2024-0670</t>
        </is>
      </c>
      <c r="B671" s="43" t="n">
        <v>45337</v>
      </c>
      <c r="C671" s="37" t="inlineStr">
        <is>
          <t>WL-03127</t>
        </is>
      </c>
      <c r="D671" s="37" t="n">
        <v>2127</v>
      </c>
      <c r="E671" s="37" t="inlineStr">
        <is>
          <t>LP-0515</t>
        </is>
      </c>
      <c r="F671" s="37" t="inlineStr">
        <is>
          <t>Ledgport</t>
        </is>
      </c>
      <c r="G671" s="37" t="n">
        <v>40</v>
      </c>
      <c r="H671" s="37" t="inlineStr">
        <is>
          <t>COVERED</t>
        </is>
      </c>
      <c r="I671" s="37" t="inlineStr">
        <is>
          <t>SKIPPED</t>
        </is>
      </c>
      <c r="J671" s="37" t="inlineStr">
        <is>
          <t>preference-mismatch</t>
        </is>
      </c>
    </row>
    <row r="672">
      <c r="A672" s="37" t="inlineStr">
        <is>
          <t>OFR-2024-0671</t>
        </is>
      </c>
      <c r="B672" s="43" t="n">
        <v>45330</v>
      </c>
      <c r="C672" s="37" t="inlineStr">
        <is>
          <t>WL-02653</t>
        </is>
      </c>
      <c r="D672" s="37" t="n">
        <v>1653</v>
      </c>
      <c r="E672" s="37" t="inlineStr">
        <is>
          <t>SB-0616</t>
        </is>
      </c>
      <c r="F672" s="37" t="inlineStr">
        <is>
          <t>Salmonberry</t>
        </is>
      </c>
      <c r="G672" s="37" t="n">
        <v>24</v>
      </c>
      <c r="H672" s="37" t="inlineStr">
        <is>
          <t>OPEN</t>
        </is>
      </c>
      <c r="I672" s="37" t="inlineStr">
        <is>
          <t>SKIPPED</t>
        </is>
      </c>
      <c r="J672" s="37" t="inlineStr">
        <is>
          <t>vessel-fit</t>
        </is>
      </c>
    </row>
    <row r="673">
      <c r="A673" s="37" t="inlineStr">
        <is>
          <t>OFR-2024-0672</t>
        </is>
      </c>
      <c r="B673" s="43" t="n">
        <v>45329</v>
      </c>
      <c r="C673" s="37" t="inlineStr">
        <is>
          <t>WL-01347</t>
        </is>
      </c>
      <c r="D673" s="37" t="n">
        <v>347</v>
      </c>
      <c r="E673" s="37" t="inlineStr">
        <is>
          <t>EW-0624</t>
        </is>
      </c>
      <c r="F673" s="37" t="inlineStr">
        <is>
          <t>Eastwey</t>
        </is>
      </c>
      <c r="G673" s="37" t="n">
        <v>60</v>
      </c>
      <c r="H673" s="37" t="inlineStr">
        <is>
          <t>OPEN</t>
        </is>
      </c>
      <c r="I673" s="37" t="inlineStr">
        <is>
          <t>SKIPPED</t>
        </is>
      </c>
      <c r="J673" s="37" t="inlineStr">
        <is>
          <t>preference-mismatch</t>
        </is>
      </c>
    </row>
    <row r="674">
      <c r="A674" s="37" t="inlineStr">
        <is>
          <t>OFR-2024-0673</t>
        </is>
      </c>
      <c r="B674" s="43" t="n">
        <v>45331</v>
      </c>
      <c r="C674" s="37" t="inlineStr">
        <is>
          <t>WL-01562</t>
        </is>
      </c>
      <c r="D674" s="37" t="n">
        <v>562</v>
      </c>
      <c r="E674" s="37" t="inlineStr">
        <is>
          <t>GW-0219</t>
        </is>
      </c>
      <c r="F674" s="37" t="inlineStr">
        <is>
          <t>Gullwing</t>
        </is>
      </c>
      <c r="G674" s="37" t="n">
        <v>80</v>
      </c>
      <c r="H674" s="37" t="inlineStr">
        <is>
          <t>OPEN</t>
        </is>
      </c>
      <c r="I674" s="37" t="inlineStr">
        <is>
          <t>SKIPPED</t>
        </is>
      </c>
      <c r="J674" s="37" t="inlineStr">
        <is>
          <t>preference-mismatch</t>
        </is>
      </c>
    </row>
    <row r="675">
      <c r="A675" s="37" t="inlineStr">
        <is>
          <t>OFR-2024-0674</t>
        </is>
      </c>
      <c r="B675" s="43" t="n">
        <v>45349</v>
      </c>
      <c r="C675" s="37" t="inlineStr">
        <is>
          <t>WL-03440</t>
        </is>
      </c>
      <c r="D675" s="37" t="n">
        <v>2440</v>
      </c>
      <c r="E675" s="37" t="inlineStr">
        <is>
          <t>SB-0822</t>
        </is>
      </c>
      <c r="F675" s="37" t="inlineStr">
        <is>
          <t>Salmonberry</t>
        </is>
      </c>
      <c r="G675" s="37" t="n">
        <v>32</v>
      </c>
      <c r="H675" s="37" t="inlineStr">
        <is>
          <t>OPEN</t>
        </is>
      </c>
      <c r="I675" s="37" t="inlineStr">
        <is>
          <t>EXPIRED</t>
        </is>
      </c>
    </row>
    <row r="676">
      <c r="A676" s="37" t="inlineStr">
        <is>
          <t>OFR-2024-0675</t>
        </is>
      </c>
      <c r="B676" s="43" t="n">
        <v>45339</v>
      </c>
      <c r="C676" s="37" t="inlineStr">
        <is>
          <t>WL-02524</t>
        </is>
      </c>
      <c r="D676" s="37" t="n">
        <v>1524</v>
      </c>
      <c r="E676" s="37" t="inlineStr">
        <is>
          <t>LP-0405</t>
        </is>
      </c>
      <c r="F676" s="37" t="inlineStr">
        <is>
          <t>Ledgport</t>
        </is>
      </c>
      <c r="G676" s="37" t="n">
        <v>24</v>
      </c>
      <c r="H676" s="37" t="inlineStr">
        <is>
          <t>COVERED</t>
        </is>
      </c>
      <c r="I676" s="37" t="inlineStr">
        <is>
          <t>PENDING</t>
        </is>
      </c>
    </row>
    <row r="677">
      <c r="A677" s="37" t="inlineStr">
        <is>
          <t>OFR-2024-0676</t>
        </is>
      </c>
      <c r="B677" s="43" t="n">
        <v>45374</v>
      </c>
      <c r="C677" s="37" t="inlineStr">
        <is>
          <t>WL-02629</t>
        </is>
      </c>
      <c r="D677" s="37" t="n">
        <v>1629</v>
      </c>
      <c r="E677" s="37" t="inlineStr">
        <is>
          <t>VB-1021</t>
        </is>
      </c>
      <c r="F677" s="37" t="inlineStr">
        <is>
          <t>Vessbank</t>
        </is>
      </c>
      <c r="G677" s="37" t="n">
        <v>40</v>
      </c>
      <c r="H677" s="37" t="inlineStr">
        <is>
          <t>COVERED</t>
        </is>
      </c>
      <c r="I677" s="37" t="inlineStr">
        <is>
          <t>SKIPPED</t>
        </is>
      </c>
      <c r="J677" s="37" t="inlineStr">
        <is>
          <t>vessel-fit</t>
        </is>
      </c>
    </row>
    <row r="678">
      <c r="A678" s="37" t="inlineStr">
        <is>
          <t>OFR-2024-0677</t>
        </is>
      </c>
      <c r="B678" s="43" t="n">
        <v>45365</v>
      </c>
      <c r="C678" s="37" t="inlineStr">
        <is>
          <t>WL-02428</t>
        </is>
      </c>
      <c r="D678" s="37" t="n">
        <v>1428</v>
      </c>
      <c r="E678" s="37" t="inlineStr">
        <is>
          <t>GW-0711</t>
        </is>
      </c>
      <c r="F678" s="37" t="inlineStr">
        <is>
          <t>Gullwing</t>
        </is>
      </c>
      <c r="G678" s="37" t="n">
        <v>45</v>
      </c>
      <c r="H678" s="37" t="inlineStr">
        <is>
          <t>OPEN</t>
        </is>
      </c>
      <c r="I678" s="37" t="inlineStr">
        <is>
          <t>ACCEPTED</t>
        </is>
      </c>
    </row>
    <row r="679">
      <c r="A679" s="37" t="inlineStr">
        <is>
          <t>OFR-2024-0678</t>
        </is>
      </c>
      <c r="B679" s="43" t="n">
        <v>45376</v>
      </c>
      <c r="C679" s="37" t="inlineStr">
        <is>
          <t>WL-02389</t>
        </is>
      </c>
      <c r="D679" s="37" t="n">
        <v>1389</v>
      </c>
      <c r="E679" s="37" t="inlineStr">
        <is>
          <t>EW-0214</t>
        </is>
      </c>
      <c r="F679" s="37" t="inlineStr">
        <is>
          <t>Eastwey</t>
        </is>
      </c>
      <c r="G679" s="37" t="n">
        <v>60</v>
      </c>
      <c r="H679" s="37" t="inlineStr">
        <is>
          <t>OPEN</t>
        </is>
      </c>
      <c r="I679" s="37" t="inlineStr">
        <is>
          <t>ACCEPTED</t>
        </is>
      </c>
    </row>
    <row r="680">
      <c r="A680" s="37" t="inlineStr">
        <is>
          <t>OFR-2024-0679</t>
        </is>
      </c>
      <c r="B680" s="43" t="n">
        <v>45379</v>
      </c>
      <c r="C680" s="37" t="inlineStr">
        <is>
          <t>WL-03621</t>
        </is>
      </c>
      <c r="D680" s="37" t="n">
        <v>2621</v>
      </c>
      <c r="E680" s="37" t="inlineStr">
        <is>
          <t>SB-0601</t>
        </is>
      </c>
      <c r="F680" s="37" t="inlineStr">
        <is>
          <t>Salmonberry</t>
        </is>
      </c>
      <c r="G680" s="37" t="n">
        <v>24</v>
      </c>
      <c r="H680" s="37" t="inlineStr">
        <is>
          <t>OPEN</t>
        </is>
      </c>
      <c r="I680" s="37" t="inlineStr">
        <is>
          <t>SKIPPED</t>
        </is>
      </c>
      <c r="J680" s="37" t="inlineStr">
        <is>
          <t>declined-prior-offer</t>
        </is>
      </c>
    </row>
    <row r="681">
      <c r="A681" s="37" t="inlineStr">
        <is>
          <t>OFR-2024-0680</t>
        </is>
      </c>
      <c r="B681" s="43" t="n">
        <v>45360</v>
      </c>
      <c r="C681" s="37" t="inlineStr">
        <is>
          <t>WL-03098</t>
        </is>
      </c>
      <c r="D681" s="37" t="n">
        <v>2098</v>
      </c>
      <c r="E681" s="37" t="inlineStr">
        <is>
          <t>SB-0116</t>
        </is>
      </c>
      <c r="F681" s="37" t="inlineStr">
        <is>
          <t>Salmonberry</t>
        </is>
      </c>
      <c r="G681" s="37" t="n">
        <v>70</v>
      </c>
      <c r="H681" s="37" t="inlineStr">
        <is>
          <t>OPEN</t>
        </is>
      </c>
      <c r="I681" s="37" t="inlineStr">
        <is>
          <t>ACCEPTED</t>
        </is>
      </c>
    </row>
    <row r="682">
      <c r="A682" s="37" t="inlineStr">
        <is>
          <t>OFR-2024-0681</t>
        </is>
      </c>
      <c r="B682" s="43" t="n">
        <v>45372</v>
      </c>
      <c r="C682" s="37" t="inlineStr">
        <is>
          <t>WL-03714</t>
        </is>
      </c>
      <c r="D682" s="37" t="n">
        <v>2714</v>
      </c>
      <c r="E682" s="37" t="inlineStr">
        <is>
          <t>LP-0104</t>
        </is>
      </c>
      <c r="F682" s="37" t="inlineStr">
        <is>
          <t>Ledgport</t>
        </is>
      </c>
      <c r="G682" s="37" t="n">
        <v>24</v>
      </c>
      <c r="H682" s="37" t="inlineStr">
        <is>
          <t>COVERED</t>
        </is>
      </c>
      <c r="I682" s="37" t="inlineStr">
        <is>
          <t>DECLINED</t>
        </is>
      </c>
    </row>
    <row r="683">
      <c r="A683" s="37" t="inlineStr">
        <is>
          <t>OFR-2024-0682</t>
        </is>
      </c>
      <c r="B683" s="43" t="n">
        <v>45368</v>
      </c>
      <c r="C683" s="37" t="inlineStr">
        <is>
          <t>WL-02504</t>
        </is>
      </c>
      <c r="D683" s="37" t="n">
        <v>1504</v>
      </c>
      <c r="E683" s="37" t="inlineStr">
        <is>
          <t>EW-0616</t>
        </is>
      </c>
      <c r="F683" s="37" t="inlineStr">
        <is>
          <t>Eastwey</t>
        </is>
      </c>
      <c r="G683" s="37" t="n">
        <v>36</v>
      </c>
      <c r="H683" s="37" t="inlineStr">
        <is>
          <t>OPEN</t>
        </is>
      </c>
      <c r="I683" s="37" t="inlineStr">
        <is>
          <t>ACCEPTED</t>
        </is>
      </c>
    </row>
    <row r="684">
      <c r="A684" s="37" t="inlineStr">
        <is>
          <t>OFR-2024-0683</t>
        </is>
      </c>
      <c r="B684" s="43" t="n">
        <v>45373</v>
      </c>
      <c r="C684" s="37" t="inlineStr">
        <is>
          <t>WL-02027</t>
        </is>
      </c>
      <c r="D684" s="37" t="n">
        <v>1027</v>
      </c>
      <c r="E684" s="37" t="inlineStr">
        <is>
          <t>GW-0801</t>
        </is>
      </c>
      <c r="F684" s="37" t="inlineStr">
        <is>
          <t>Gullwing</t>
        </is>
      </c>
      <c r="G684" s="37" t="n">
        <v>80</v>
      </c>
      <c r="H684" s="37" t="inlineStr">
        <is>
          <t>OPEN</t>
        </is>
      </c>
      <c r="I684" s="37" t="inlineStr">
        <is>
          <t>SKIPPED</t>
        </is>
      </c>
      <c r="J684" s="37" t="inlineStr">
        <is>
          <t>not-current</t>
        </is>
      </c>
    </row>
    <row r="685">
      <c r="A685" s="37" t="inlineStr">
        <is>
          <t>OFR-2024-0684</t>
        </is>
      </c>
      <c r="B685" s="43" t="n">
        <v>45378</v>
      </c>
      <c r="C685" s="37" t="inlineStr">
        <is>
          <t>WL-02119</t>
        </is>
      </c>
      <c r="D685" s="37" t="n">
        <v>1119</v>
      </c>
      <c r="E685" s="37" t="inlineStr">
        <is>
          <t>GW-0216</t>
        </is>
      </c>
      <c r="F685" s="37" t="inlineStr">
        <is>
          <t>Gullwing</t>
        </is>
      </c>
      <c r="G685" s="37" t="n">
        <v>80</v>
      </c>
      <c r="H685" s="37" t="inlineStr">
        <is>
          <t>OPEN</t>
        </is>
      </c>
      <c r="I685" s="37" t="inlineStr">
        <is>
          <t>DECLINED</t>
        </is>
      </c>
    </row>
    <row r="686">
      <c r="A686" s="37" t="inlineStr">
        <is>
          <t>OFR-2024-0685</t>
        </is>
      </c>
      <c r="B686" s="43" t="n">
        <v>45374</v>
      </c>
      <c r="C686" s="37" t="inlineStr">
        <is>
          <t>WL-01074</t>
        </is>
      </c>
      <c r="D686" s="37" t="n">
        <v>74</v>
      </c>
      <c r="E686" s="37" t="inlineStr">
        <is>
          <t>EW-0503</t>
        </is>
      </c>
      <c r="F686" s="37" t="inlineStr">
        <is>
          <t>Eastwey</t>
        </is>
      </c>
      <c r="G686" s="37" t="n">
        <v>36</v>
      </c>
      <c r="H686" s="37" t="inlineStr">
        <is>
          <t>OPEN</t>
        </is>
      </c>
      <c r="I686" s="37" t="inlineStr">
        <is>
          <t>EXPIRED</t>
        </is>
      </c>
    </row>
    <row r="687">
      <c r="A687" s="37" t="inlineStr">
        <is>
          <t>OFR-2024-0686</t>
        </is>
      </c>
      <c r="B687" s="43" t="n">
        <v>45359</v>
      </c>
      <c r="C687" s="37" t="inlineStr">
        <is>
          <t>WL-01013</t>
        </is>
      </c>
      <c r="D687" s="37" t="n">
        <v>13</v>
      </c>
      <c r="E687" s="37" t="inlineStr">
        <is>
          <t>SB-0410</t>
        </is>
      </c>
      <c r="F687" s="37" t="inlineStr">
        <is>
          <t>Salmonberry</t>
        </is>
      </c>
      <c r="G687" s="37" t="n">
        <v>24</v>
      </c>
      <c r="H687" s="37" t="inlineStr">
        <is>
          <t>OPEN</t>
        </is>
      </c>
      <c r="I687" s="37" t="inlineStr">
        <is>
          <t>ACCEPTED</t>
        </is>
      </c>
    </row>
    <row r="688">
      <c r="A688" s="37" t="inlineStr">
        <is>
          <t>OFR-2024-0687</t>
        </is>
      </c>
      <c r="B688" s="43" t="n">
        <v>45356</v>
      </c>
      <c r="C688" s="37" t="inlineStr">
        <is>
          <t>WL-03441</t>
        </is>
      </c>
      <c r="D688" s="37" t="n">
        <v>2441</v>
      </c>
      <c r="E688" s="37" t="inlineStr">
        <is>
          <t>GW-0410</t>
        </is>
      </c>
      <c r="F688" s="37" t="inlineStr">
        <is>
          <t>Gullwing</t>
        </is>
      </c>
      <c r="G688" s="37" t="n">
        <v>70</v>
      </c>
      <c r="H688" s="37" t="inlineStr">
        <is>
          <t>OPEN</t>
        </is>
      </c>
      <c r="I688" s="37" t="inlineStr">
        <is>
          <t>EXPIRED</t>
        </is>
      </c>
    </row>
    <row r="689">
      <c r="A689" s="37" t="inlineStr">
        <is>
          <t>OFR-2024-0688</t>
        </is>
      </c>
      <c r="B689" s="43" t="n">
        <v>45368</v>
      </c>
      <c r="C689" s="37" t="inlineStr">
        <is>
          <t>WL-03501</t>
        </is>
      </c>
      <c r="D689" s="37" t="n">
        <v>2501</v>
      </c>
      <c r="E689" s="37" t="inlineStr">
        <is>
          <t>SB-0510</t>
        </is>
      </c>
      <c r="F689" s="37" t="inlineStr">
        <is>
          <t>Salmonberry</t>
        </is>
      </c>
      <c r="G689" s="37" t="n">
        <v>32</v>
      </c>
      <c r="H689" s="37" t="inlineStr">
        <is>
          <t>OPEN</t>
        </is>
      </c>
      <c r="I689" s="37" t="inlineStr">
        <is>
          <t>WITHDRAWN</t>
        </is>
      </c>
    </row>
    <row r="690">
      <c r="A690" s="37" t="inlineStr">
        <is>
          <t>OFR-2024-0689</t>
        </is>
      </c>
      <c r="B690" s="43" t="n">
        <v>45361</v>
      </c>
      <c r="C690" s="37" t="inlineStr">
        <is>
          <t>WL-03783</t>
        </is>
      </c>
      <c r="D690" s="37" t="n">
        <v>2783</v>
      </c>
      <c r="E690" s="37" t="inlineStr">
        <is>
          <t>GW-1010</t>
        </is>
      </c>
      <c r="F690" s="37" t="inlineStr">
        <is>
          <t>Gullwing</t>
        </is>
      </c>
      <c r="G690" s="37" t="n">
        <v>45</v>
      </c>
      <c r="H690" s="37" t="inlineStr">
        <is>
          <t>OPEN</t>
        </is>
      </c>
      <c r="I690" s="37" t="inlineStr">
        <is>
          <t>ACCEPTED</t>
        </is>
      </c>
    </row>
    <row r="691">
      <c r="A691" s="37" t="inlineStr">
        <is>
          <t>OFR-2024-0690</t>
        </is>
      </c>
      <c r="B691" s="43" t="n">
        <v>45378</v>
      </c>
      <c r="C691" s="37" t="inlineStr">
        <is>
          <t>WL-03185</t>
        </is>
      </c>
      <c r="D691" s="37" t="n">
        <v>2185</v>
      </c>
      <c r="E691" s="37" t="inlineStr">
        <is>
          <t>SB-0824</t>
        </is>
      </c>
      <c r="F691" s="37" t="inlineStr">
        <is>
          <t>Salmonberry</t>
        </is>
      </c>
      <c r="G691" s="37" t="n">
        <v>24</v>
      </c>
      <c r="H691" s="37" t="inlineStr">
        <is>
          <t>OPEN</t>
        </is>
      </c>
      <c r="I691" s="37" t="inlineStr">
        <is>
          <t>SKIPPED</t>
        </is>
      </c>
      <c r="J691" s="37" t="inlineStr">
        <is>
          <t>vessel-fit</t>
        </is>
      </c>
    </row>
    <row r="692">
      <c r="A692" s="37" t="inlineStr">
        <is>
          <t>OFR-2024-0691</t>
        </is>
      </c>
      <c r="B692" s="43" t="n">
        <v>45370</v>
      </c>
      <c r="C692" s="37" t="inlineStr">
        <is>
          <t>WL-02437</t>
        </is>
      </c>
      <c r="D692" s="37" t="n">
        <v>1437</v>
      </c>
      <c r="E692" s="37" t="inlineStr">
        <is>
          <t>EW-0618</t>
        </is>
      </c>
      <c r="F692" s="37" t="inlineStr">
        <is>
          <t>Eastwey</t>
        </is>
      </c>
      <c r="G692" s="37" t="n">
        <v>28</v>
      </c>
      <c r="H692" s="37" t="inlineStr">
        <is>
          <t>OPEN</t>
        </is>
      </c>
      <c r="I692" s="37" t="inlineStr">
        <is>
          <t>DECLINED_RETAINER</t>
        </is>
      </c>
    </row>
    <row r="693">
      <c r="A693" s="37" t="inlineStr">
        <is>
          <t>OFR-2024-0692</t>
        </is>
      </c>
      <c r="B693" s="43" t="n">
        <v>45367</v>
      </c>
      <c r="C693" s="37" t="inlineStr">
        <is>
          <t>WL-02125</t>
        </is>
      </c>
      <c r="D693" s="37" t="n">
        <v>1125</v>
      </c>
      <c r="E693" s="37" t="inlineStr">
        <is>
          <t>LP-0809</t>
        </is>
      </c>
      <c r="F693" s="37" t="inlineStr">
        <is>
          <t>Ledgport</t>
        </is>
      </c>
      <c r="G693" s="37" t="n">
        <v>28</v>
      </c>
      <c r="H693" s="37" t="inlineStr">
        <is>
          <t>COVERED</t>
        </is>
      </c>
      <c r="I693" s="37" t="inlineStr">
        <is>
          <t>ACCEPTED</t>
        </is>
      </c>
    </row>
    <row r="694">
      <c r="A694" s="37" t="inlineStr">
        <is>
          <t>OFR-2024-0693</t>
        </is>
      </c>
      <c r="B694" s="43" t="n">
        <v>45353</v>
      </c>
      <c r="C694" s="37" t="inlineStr">
        <is>
          <t>WL-02893</t>
        </is>
      </c>
      <c r="D694" s="37" t="n">
        <v>1893</v>
      </c>
      <c r="E694" s="37" t="inlineStr">
        <is>
          <t>EW-1021</t>
        </is>
      </c>
      <c r="F694" s="37" t="inlineStr">
        <is>
          <t>Eastwey</t>
        </is>
      </c>
      <c r="G694" s="37" t="n">
        <v>70</v>
      </c>
      <c r="H694" s="37" t="inlineStr">
        <is>
          <t>OPEN</t>
        </is>
      </c>
      <c r="I694" s="37" t="inlineStr">
        <is>
          <t>SKIPPED</t>
        </is>
      </c>
      <c r="J694" s="37" t="inlineStr">
        <is>
          <t>declined-prior-offer</t>
        </is>
      </c>
    </row>
    <row r="695">
      <c r="A695" s="37" t="inlineStr">
        <is>
          <t>OFR-2024-0694</t>
        </is>
      </c>
      <c r="B695" s="43" t="n">
        <v>45364</v>
      </c>
      <c r="C695" s="37" t="inlineStr">
        <is>
          <t>WL-01769</t>
        </is>
      </c>
      <c r="D695" s="37" t="n">
        <v>769</v>
      </c>
      <c r="E695" s="37" t="inlineStr">
        <is>
          <t>SB-0124</t>
        </is>
      </c>
      <c r="F695" s="37" t="inlineStr">
        <is>
          <t>Salmonberry</t>
        </is>
      </c>
      <c r="G695" s="37" t="n">
        <v>80</v>
      </c>
      <c r="H695" s="37" t="inlineStr">
        <is>
          <t>OPEN</t>
        </is>
      </c>
      <c r="I695" s="37" t="inlineStr">
        <is>
          <t>WITHDRAWN</t>
        </is>
      </c>
    </row>
    <row r="696">
      <c r="A696" s="37" t="inlineStr">
        <is>
          <t>OFR-2024-0695</t>
        </is>
      </c>
      <c r="B696" s="43" t="n">
        <v>45370</v>
      </c>
      <c r="C696" s="37" t="inlineStr">
        <is>
          <t>WL-03807</t>
        </is>
      </c>
      <c r="D696" s="37" t="n">
        <v>2807</v>
      </c>
      <c r="E696" s="37" t="inlineStr">
        <is>
          <t>GW-0821</t>
        </is>
      </c>
      <c r="F696" s="37" t="inlineStr">
        <is>
          <t>Gullwing</t>
        </is>
      </c>
      <c r="G696" s="37" t="n">
        <v>24</v>
      </c>
      <c r="H696" s="37" t="inlineStr">
        <is>
          <t>OPEN</t>
        </is>
      </c>
      <c r="I696" s="37" t="inlineStr">
        <is>
          <t>DECLINED_RETAINER</t>
        </is>
      </c>
    </row>
    <row r="697">
      <c r="A697" s="37" t="inlineStr">
        <is>
          <t>OFR-2024-0696</t>
        </is>
      </c>
      <c r="B697" s="43" t="n">
        <v>45352</v>
      </c>
      <c r="C697" s="37" t="inlineStr">
        <is>
          <t>WL-02866</t>
        </is>
      </c>
      <c r="D697" s="37" t="n">
        <v>1866</v>
      </c>
      <c r="E697" s="37" t="inlineStr">
        <is>
          <t>SB-0307</t>
        </is>
      </c>
      <c r="F697" s="37" t="inlineStr">
        <is>
          <t>Salmonberry</t>
        </is>
      </c>
      <c r="G697" s="37" t="n">
        <v>32</v>
      </c>
      <c r="H697" s="37" t="inlineStr">
        <is>
          <t>OPEN</t>
        </is>
      </c>
      <c r="I697" s="37" t="inlineStr">
        <is>
          <t>ACCEPTED</t>
        </is>
      </c>
    </row>
    <row r="698">
      <c r="A698" s="37" t="inlineStr">
        <is>
          <t>OFR-2024-0697</t>
        </is>
      </c>
      <c r="B698" s="43" t="n">
        <v>45362</v>
      </c>
      <c r="C698" s="37" t="inlineStr">
        <is>
          <t>WL-02416</t>
        </is>
      </c>
      <c r="D698" s="37" t="n">
        <v>1416</v>
      </c>
      <c r="E698" s="37" t="inlineStr">
        <is>
          <t>EW-0401</t>
        </is>
      </c>
      <c r="F698" s="37" t="inlineStr">
        <is>
          <t>Eastwey</t>
        </is>
      </c>
      <c r="G698" s="37" t="n">
        <v>28</v>
      </c>
      <c r="H698" s="37" t="inlineStr">
        <is>
          <t>OPEN</t>
        </is>
      </c>
      <c r="I698" s="37" t="inlineStr">
        <is>
          <t>EXPIRED</t>
        </is>
      </c>
    </row>
    <row r="699">
      <c r="A699" s="37" t="inlineStr">
        <is>
          <t>OFR-2024-0698</t>
        </is>
      </c>
      <c r="B699" s="43" t="n">
        <v>45376</v>
      </c>
      <c r="C699" s="37" t="inlineStr">
        <is>
          <t>WL-02274</t>
        </is>
      </c>
      <c r="D699" s="37" t="n">
        <v>1274</v>
      </c>
      <c r="E699" s="37" t="inlineStr">
        <is>
          <t>VB-0721</t>
        </is>
      </c>
      <c r="F699" s="37" t="inlineStr">
        <is>
          <t>Vessbank</t>
        </is>
      </c>
      <c r="G699" s="37" t="n">
        <v>28</v>
      </c>
      <c r="H699" s="37" t="inlineStr">
        <is>
          <t>COVERED</t>
        </is>
      </c>
      <c r="I699" s="37" t="inlineStr">
        <is>
          <t>SKIPPED</t>
        </is>
      </c>
      <c r="J699" s="37" t="inlineStr">
        <is>
          <t>vessel-fit</t>
        </is>
      </c>
    </row>
    <row r="700">
      <c r="A700" s="37" t="inlineStr">
        <is>
          <t>OFR-2024-0699</t>
        </is>
      </c>
      <c r="B700" s="43" t="n">
        <v>45357</v>
      </c>
      <c r="C700" s="37" t="inlineStr">
        <is>
          <t>WL-03685</t>
        </is>
      </c>
      <c r="D700" s="37" t="n">
        <v>2685</v>
      </c>
      <c r="E700" s="37" t="inlineStr">
        <is>
          <t>LP-0518</t>
        </is>
      </c>
      <c r="F700" s="37" t="inlineStr">
        <is>
          <t>Ledgport</t>
        </is>
      </c>
      <c r="G700" s="37" t="n">
        <v>36</v>
      </c>
      <c r="H700" s="37" t="inlineStr">
        <is>
          <t>COVERED</t>
        </is>
      </c>
      <c r="I700" s="37" t="inlineStr">
        <is>
          <t>ACCEPTED</t>
        </is>
      </c>
    </row>
    <row r="701">
      <c r="A701" s="37" t="inlineStr">
        <is>
          <t>OFR-2024-0700</t>
        </is>
      </c>
      <c r="B701" s="43" t="n">
        <v>45371</v>
      </c>
      <c r="C701" s="37" t="inlineStr">
        <is>
          <t>WL-03661</t>
        </is>
      </c>
      <c r="D701" s="37" t="n">
        <v>2661</v>
      </c>
      <c r="E701" s="37" t="inlineStr">
        <is>
          <t>EW-0709</t>
        </is>
      </c>
      <c r="F701" s="37" t="inlineStr">
        <is>
          <t>Eastwey</t>
        </is>
      </c>
      <c r="G701" s="37" t="n">
        <v>28</v>
      </c>
      <c r="H701" s="37" t="inlineStr">
        <is>
          <t>OPEN</t>
        </is>
      </c>
      <c r="I701" s="37" t="inlineStr">
        <is>
          <t>SKIPPED</t>
        </is>
      </c>
      <c r="J701" s="37" t="inlineStr">
        <is>
          <t>vessel-fit</t>
        </is>
      </c>
    </row>
    <row r="702">
      <c r="A702" s="37" t="inlineStr">
        <is>
          <t>OFR-2024-0701</t>
        </is>
      </c>
      <c r="B702" s="43" t="n">
        <v>45353</v>
      </c>
      <c r="C702" s="37" t="inlineStr">
        <is>
          <t>WL-02769</t>
        </is>
      </c>
      <c r="D702" s="37" t="n">
        <v>1769</v>
      </c>
      <c r="E702" s="37" t="inlineStr">
        <is>
          <t>EW-0902</t>
        </is>
      </c>
      <c r="F702" s="37" t="inlineStr">
        <is>
          <t>Eastwey</t>
        </is>
      </c>
      <c r="G702" s="37" t="n">
        <v>80</v>
      </c>
      <c r="H702" s="37" t="inlineStr">
        <is>
          <t>OPEN</t>
        </is>
      </c>
      <c r="I702" s="37" t="inlineStr">
        <is>
          <t>SKIPPED</t>
        </is>
      </c>
      <c r="J702" s="37" t="inlineStr">
        <is>
          <t>declined-prior-offer</t>
        </is>
      </c>
    </row>
    <row r="703">
      <c r="A703" s="37" t="inlineStr">
        <is>
          <t>OFR-2024-0702</t>
        </is>
      </c>
      <c r="B703" s="43" t="n">
        <v>45406</v>
      </c>
      <c r="C703" s="37" t="inlineStr">
        <is>
          <t>WL-02559</t>
        </is>
      </c>
      <c r="D703" s="37" t="n">
        <v>1559</v>
      </c>
      <c r="E703" s="37" t="inlineStr">
        <is>
          <t>SB-0421</t>
        </is>
      </c>
      <c r="F703" s="37" t="inlineStr">
        <is>
          <t>Salmonberry</t>
        </is>
      </c>
      <c r="G703" s="37" t="n">
        <v>60</v>
      </c>
      <c r="H703" s="37" t="inlineStr">
        <is>
          <t>OPEN</t>
        </is>
      </c>
      <c r="I703" s="37" t="inlineStr">
        <is>
          <t>ACCEPTED</t>
        </is>
      </c>
    </row>
    <row r="704">
      <c r="A704" s="37" t="inlineStr">
        <is>
          <t>OFR-2024-0703</t>
        </is>
      </c>
      <c r="B704" s="43" t="n">
        <v>45398</v>
      </c>
      <c r="C704" s="37" t="inlineStr">
        <is>
          <t>WL-01685</t>
        </is>
      </c>
      <c r="D704" s="37" t="n">
        <v>685</v>
      </c>
      <c r="E704" s="37" t="inlineStr">
        <is>
          <t>EW-0517</t>
        </is>
      </c>
      <c r="F704" s="37" t="inlineStr">
        <is>
          <t>Eastwey</t>
        </is>
      </c>
      <c r="G704" s="37" t="n">
        <v>24</v>
      </c>
      <c r="H704" s="37" t="inlineStr">
        <is>
          <t>OPEN</t>
        </is>
      </c>
      <c r="I704" s="37" t="inlineStr">
        <is>
          <t>ACCEPTED</t>
        </is>
      </c>
    </row>
    <row r="705">
      <c r="A705" s="37" t="inlineStr">
        <is>
          <t>OFR-2024-0704</t>
        </is>
      </c>
      <c r="B705" s="43" t="n">
        <v>45384</v>
      </c>
      <c r="C705" s="37" t="inlineStr">
        <is>
          <t>WL-01950</t>
        </is>
      </c>
      <c r="D705" s="37" t="n">
        <v>950</v>
      </c>
      <c r="E705" s="37" t="inlineStr">
        <is>
          <t>EW-0608</t>
        </is>
      </c>
      <c r="F705" s="37" t="inlineStr">
        <is>
          <t>Eastwey</t>
        </is>
      </c>
      <c r="G705" s="37" t="n">
        <v>28</v>
      </c>
      <c r="H705" s="37" t="inlineStr">
        <is>
          <t>OPEN</t>
        </is>
      </c>
      <c r="I705" s="37" t="inlineStr">
        <is>
          <t>SKIPPED</t>
        </is>
      </c>
      <c r="J705" s="37" t="inlineStr">
        <is>
          <t>vessel-fit</t>
        </is>
      </c>
    </row>
    <row r="706">
      <c r="A706" s="37" t="inlineStr">
        <is>
          <t>OFR-2024-0705</t>
        </is>
      </c>
      <c r="B706" s="43" t="n">
        <v>45404</v>
      </c>
      <c r="C706" s="37" t="inlineStr">
        <is>
          <t>WL-02523</t>
        </is>
      </c>
      <c r="D706" s="37" t="n">
        <v>1523</v>
      </c>
      <c r="E706" s="37" t="inlineStr">
        <is>
          <t>GW-0706</t>
        </is>
      </c>
      <c r="F706" s="37" t="inlineStr">
        <is>
          <t>Gullwing</t>
        </is>
      </c>
      <c r="G706" s="37" t="n">
        <v>80</v>
      </c>
      <c r="H706" s="37" t="inlineStr">
        <is>
          <t>OPEN</t>
        </is>
      </c>
      <c r="I706" s="37" t="inlineStr">
        <is>
          <t>EXPIRED</t>
        </is>
      </c>
    </row>
    <row r="707">
      <c r="A707" s="37" t="inlineStr">
        <is>
          <t>OFR-2024-0706</t>
        </is>
      </c>
      <c r="B707" s="43" t="n">
        <v>45395</v>
      </c>
      <c r="C707" s="37" t="inlineStr">
        <is>
          <t>WL-01877</t>
        </is>
      </c>
      <c r="D707" s="37" t="n">
        <v>877</v>
      </c>
      <c r="E707" s="37" t="inlineStr">
        <is>
          <t>VB-0922</t>
        </is>
      </c>
      <c r="F707" s="37" t="inlineStr">
        <is>
          <t>Vessbank</t>
        </is>
      </c>
      <c r="G707" s="37" t="n">
        <v>28</v>
      </c>
      <c r="H707" s="37" t="inlineStr">
        <is>
          <t>COVERED</t>
        </is>
      </c>
      <c r="I707" s="37" t="inlineStr">
        <is>
          <t>ACCEPTED</t>
        </is>
      </c>
    </row>
    <row r="708">
      <c r="A708" s="37" t="inlineStr">
        <is>
          <t>OFR-2024-0707</t>
        </is>
      </c>
      <c r="B708" s="43" t="n">
        <v>45407</v>
      </c>
      <c r="C708" s="37" t="inlineStr">
        <is>
          <t>WL-02895</t>
        </is>
      </c>
      <c r="D708" s="37" t="n">
        <v>1895</v>
      </c>
      <c r="E708" s="37" t="inlineStr">
        <is>
          <t>EW-0306</t>
        </is>
      </c>
      <c r="F708" s="37" t="inlineStr">
        <is>
          <t>Eastwey</t>
        </is>
      </c>
      <c r="G708" s="37" t="n">
        <v>50</v>
      </c>
      <c r="H708" s="37" t="inlineStr">
        <is>
          <t>OPEN</t>
        </is>
      </c>
      <c r="I708" s="37" t="inlineStr">
        <is>
          <t>SKIPPED</t>
        </is>
      </c>
      <c r="J708" s="37" t="inlineStr">
        <is>
          <t>vessel-fit</t>
        </is>
      </c>
    </row>
    <row r="709">
      <c r="A709" s="37" t="inlineStr">
        <is>
          <t>OFR-2024-0708</t>
        </is>
      </c>
      <c r="B709" s="43" t="n">
        <v>45396</v>
      </c>
      <c r="C709" s="37" t="inlineStr">
        <is>
          <t>WL-02111</t>
        </is>
      </c>
      <c r="D709" s="37" t="n">
        <v>1111</v>
      </c>
      <c r="E709" s="37" t="inlineStr">
        <is>
          <t>LP-1019</t>
        </is>
      </c>
      <c r="F709" s="37" t="inlineStr">
        <is>
          <t>Ledgport</t>
        </is>
      </c>
      <c r="G709" s="37" t="n">
        <v>32</v>
      </c>
      <c r="H709" s="37" t="inlineStr">
        <is>
          <t>COVERED</t>
        </is>
      </c>
      <c r="I709" s="37" t="inlineStr">
        <is>
          <t>ACCEPTED</t>
        </is>
      </c>
    </row>
    <row r="710">
      <c r="A710" s="37" t="inlineStr">
        <is>
          <t>OFR-2024-0709</t>
        </is>
      </c>
      <c r="B710" s="43" t="n">
        <v>45409</v>
      </c>
      <c r="C710" s="37" t="inlineStr">
        <is>
          <t>WL-01835</t>
        </is>
      </c>
      <c r="D710" s="37" t="n">
        <v>835</v>
      </c>
      <c r="E710" s="37" t="inlineStr">
        <is>
          <t>LP-0702</t>
        </is>
      </c>
      <c r="F710" s="37" t="inlineStr">
        <is>
          <t>Ledgport</t>
        </is>
      </c>
      <c r="G710" s="37" t="n">
        <v>32</v>
      </c>
      <c r="H710" s="37" t="inlineStr">
        <is>
          <t>COVERED</t>
        </is>
      </c>
      <c r="I710" s="37" t="inlineStr">
        <is>
          <t>ACCEPTED</t>
        </is>
      </c>
    </row>
    <row r="711">
      <c r="A711" s="37" t="inlineStr">
        <is>
          <t>OFR-2024-0710</t>
        </is>
      </c>
      <c r="B711" s="43" t="n">
        <v>45410</v>
      </c>
      <c r="C711" s="37" t="inlineStr">
        <is>
          <t>WL-02579</t>
        </is>
      </c>
      <c r="D711" s="37" t="n">
        <v>1579</v>
      </c>
      <c r="E711" s="37" t="inlineStr">
        <is>
          <t>VB-0622</t>
        </is>
      </c>
      <c r="F711" s="37" t="inlineStr">
        <is>
          <t>Vessbank</t>
        </is>
      </c>
      <c r="G711" s="37" t="n">
        <v>32</v>
      </c>
      <c r="H711" s="37" t="inlineStr">
        <is>
          <t>COVERED</t>
        </is>
      </c>
      <c r="I711" s="37" t="inlineStr">
        <is>
          <t>EXPIRED</t>
        </is>
      </c>
    </row>
    <row r="712">
      <c r="A712" s="37" t="inlineStr">
        <is>
          <t>OFR-2024-0711</t>
        </is>
      </c>
      <c r="B712" s="43" t="n">
        <v>45391</v>
      </c>
      <c r="C712" s="37" t="inlineStr">
        <is>
          <t>WL-03061</t>
        </is>
      </c>
      <c r="D712" s="37" t="n">
        <v>2061</v>
      </c>
      <c r="E712" s="37" t="inlineStr">
        <is>
          <t>EW-0321</t>
        </is>
      </c>
      <c r="F712" s="37" t="inlineStr">
        <is>
          <t>Eastwey</t>
        </is>
      </c>
      <c r="G712" s="37" t="n">
        <v>70</v>
      </c>
      <c r="H712" s="37" t="inlineStr">
        <is>
          <t>OPEN</t>
        </is>
      </c>
      <c r="I712" s="37" t="inlineStr">
        <is>
          <t>ACCEPTED</t>
        </is>
      </c>
    </row>
    <row r="713">
      <c r="A713" s="37" t="inlineStr">
        <is>
          <t>OFR-2024-0712</t>
        </is>
      </c>
      <c r="B713" s="43" t="n">
        <v>45403</v>
      </c>
      <c r="C713" s="37" t="inlineStr">
        <is>
          <t>WL-01054</t>
        </is>
      </c>
      <c r="D713" s="37" t="n">
        <v>54</v>
      </c>
      <c r="E713" s="37" t="inlineStr">
        <is>
          <t>SB-0812</t>
        </is>
      </c>
      <c r="F713" s="37" t="inlineStr">
        <is>
          <t>Salmonberry</t>
        </is>
      </c>
      <c r="G713" s="37" t="n">
        <v>32</v>
      </c>
      <c r="H713" s="37" t="inlineStr">
        <is>
          <t>OPEN</t>
        </is>
      </c>
      <c r="I713" s="37" t="inlineStr">
        <is>
          <t>ACCEPTED</t>
        </is>
      </c>
    </row>
    <row r="714">
      <c r="A714" s="37" t="inlineStr">
        <is>
          <t>OFR-2024-0713</t>
        </is>
      </c>
      <c r="B714" s="43" t="n">
        <v>45402</v>
      </c>
      <c r="C714" s="37" t="inlineStr">
        <is>
          <t>WL-01252</t>
        </is>
      </c>
      <c r="D714" s="37" t="n">
        <v>252</v>
      </c>
      <c r="E714" s="37" t="inlineStr">
        <is>
          <t>SB-0906</t>
        </is>
      </c>
      <c r="F714" s="37" t="inlineStr">
        <is>
          <t>Salmonberry</t>
        </is>
      </c>
      <c r="G714" s="37" t="n">
        <v>36</v>
      </c>
      <c r="H714" s="37" t="inlineStr">
        <is>
          <t>OPEN</t>
        </is>
      </c>
      <c r="I714" s="37" t="inlineStr">
        <is>
          <t>ACCEPTED</t>
        </is>
      </c>
    </row>
    <row r="715">
      <c r="A715" s="37" t="inlineStr">
        <is>
          <t>OFR-2024-0714</t>
        </is>
      </c>
      <c r="B715" s="43" t="n">
        <v>45399</v>
      </c>
      <c r="C715" s="37" t="inlineStr">
        <is>
          <t>WL-02552</t>
        </is>
      </c>
      <c r="D715" s="37" t="n">
        <v>1552</v>
      </c>
      <c r="E715" s="37" t="inlineStr">
        <is>
          <t>EW-0209</t>
        </is>
      </c>
      <c r="F715" s="37" t="inlineStr">
        <is>
          <t>Eastwey</t>
        </is>
      </c>
      <c r="G715" s="37" t="n">
        <v>36</v>
      </c>
      <c r="H715" s="37" t="inlineStr">
        <is>
          <t>OPEN</t>
        </is>
      </c>
      <c r="I715" s="37" t="inlineStr">
        <is>
          <t>ACCEPTED</t>
        </is>
      </c>
    </row>
    <row r="716">
      <c r="A716" s="37" t="inlineStr">
        <is>
          <t>OFR-2024-0715</t>
        </is>
      </c>
      <c r="B716" s="43" t="n">
        <v>45384</v>
      </c>
      <c r="C716" s="37" t="inlineStr">
        <is>
          <t>WL-03041</t>
        </is>
      </c>
      <c r="D716" s="37" t="n">
        <v>2041</v>
      </c>
      <c r="E716" s="37" t="inlineStr">
        <is>
          <t>LP-0403</t>
        </is>
      </c>
      <c r="F716" s="37" t="inlineStr">
        <is>
          <t>Ledgport</t>
        </is>
      </c>
      <c r="G716" s="37" t="n">
        <v>24</v>
      </c>
      <c r="H716" s="37" t="inlineStr">
        <is>
          <t>COVERED</t>
        </is>
      </c>
      <c r="I716" s="37" t="inlineStr">
        <is>
          <t>ACCEPTED</t>
        </is>
      </c>
    </row>
    <row r="717">
      <c r="A717" s="37" t="inlineStr">
        <is>
          <t>OFR-2024-0716</t>
        </is>
      </c>
      <c r="B717" s="43" t="n">
        <v>45392</v>
      </c>
      <c r="C717" s="37" t="inlineStr">
        <is>
          <t>WL-02149</t>
        </is>
      </c>
      <c r="D717" s="37" t="n">
        <v>1149</v>
      </c>
      <c r="E717" s="37" t="inlineStr">
        <is>
          <t>GW-0411</t>
        </is>
      </c>
      <c r="F717" s="37" t="inlineStr">
        <is>
          <t>Gullwing</t>
        </is>
      </c>
      <c r="G717" s="37" t="n">
        <v>32</v>
      </c>
      <c r="H717" s="37" t="inlineStr">
        <is>
          <t>OPEN</t>
        </is>
      </c>
      <c r="I717" s="37" t="inlineStr">
        <is>
          <t>ACCEPTED</t>
        </is>
      </c>
    </row>
    <row r="718">
      <c r="A718" s="37" t="inlineStr">
        <is>
          <t>OFR-2024-0717</t>
        </is>
      </c>
      <c r="B718" s="43" t="n">
        <v>45393</v>
      </c>
      <c r="C718" s="37" t="inlineStr">
        <is>
          <t>WL-02365</t>
        </is>
      </c>
      <c r="D718" s="37" t="n">
        <v>1365</v>
      </c>
      <c r="E718" s="37" t="inlineStr">
        <is>
          <t>GW-0405</t>
        </is>
      </c>
      <c r="F718" s="37" t="inlineStr">
        <is>
          <t>Gullwing</t>
        </is>
      </c>
      <c r="G718" s="37" t="n">
        <v>45</v>
      </c>
      <c r="H718" s="37" t="inlineStr">
        <is>
          <t>OPEN</t>
        </is>
      </c>
      <c r="I718" s="37" t="inlineStr">
        <is>
          <t>ACCEPTED</t>
        </is>
      </c>
    </row>
    <row r="719">
      <c r="A719" s="37" t="inlineStr">
        <is>
          <t>OFR-2024-0718</t>
        </is>
      </c>
      <c r="B719" s="43" t="n">
        <v>45408</v>
      </c>
      <c r="C719" s="37" t="inlineStr">
        <is>
          <t>WL-02136</t>
        </is>
      </c>
      <c r="D719" s="37" t="n">
        <v>1136</v>
      </c>
      <c r="E719" s="37" t="inlineStr">
        <is>
          <t>GW-0501</t>
        </is>
      </c>
      <c r="F719" s="37" t="inlineStr">
        <is>
          <t>Gullwing</t>
        </is>
      </c>
      <c r="G719" s="37" t="n">
        <v>40</v>
      </c>
      <c r="H719" s="37" t="inlineStr">
        <is>
          <t>OPEN</t>
        </is>
      </c>
      <c r="I719" s="37" t="inlineStr">
        <is>
          <t>EXPIRED</t>
        </is>
      </c>
    </row>
    <row r="720">
      <c r="A720" s="37" t="inlineStr">
        <is>
          <t>OFR-2024-0719</t>
        </is>
      </c>
      <c r="B720" s="43" t="n">
        <v>45391</v>
      </c>
      <c r="C720" s="37" t="inlineStr">
        <is>
          <t>WL-03237</t>
        </is>
      </c>
      <c r="D720" s="37" t="n">
        <v>2237</v>
      </c>
      <c r="E720" s="37" t="inlineStr">
        <is>
          <t>SB-0722</t>
        </is>
      </c>
      <c r="F720" s="37" t="inlineStr">
        <is>
          <t>Salmonberry</t>
        </is>
      </c>
      <c r="G720" s="37" t="n">
        <v>24</v>
      </c>
      <c r="H720" s="37" t="inlineStr">
        <is>
          <t>OPEN</t>
        </is>
      </c>
      <c r="I720" s="37" t="inlineStr">
        <is>
          <t>DECLINED</t>
        </is>
      </c>
    </row>
    <row r="721">
      <c r="A721" s="37" t="inlineStr">
        <is>
          <t>OFR-2024-0720</t>
        </is>
      </c>
      <c r="B721" s="43" t="n">
        <v>45402</v>
      </c>
      <c r="C721" s="37" t="inlineStr">
        <is>
          <t>WL-01885</t>
        </is>
      </c>
      <c r="D721" s="37" t="n">
        <v>885</v>
      </c>
      <c r="E721" s="37" t="inlineStr">
        <is>
          <t>GW-0615</t>
        </is>
      </c>
      <c r="F721" s="37" t="inlineStr">
        <is>
          <t>Gullwing</t>
        </is>
      </c>
      <c r="G721" s="37" t="n">
        <v>24</v>
      </c>
      <c r="H721" s="37" t="inlineStr">
        <is>
          <t>OPEN</t>
        </is>
      </c>
      <c r="I721" s="37" t="inlineStr">
        <is>
          <t>DECLINED</t>
        </is>
      </c>
    </row>
    <row r="722">
      <c r="A722" s="37" t="inlineStr">
        <is>
          <t>OFR-2024-0721</t>
        </is>
      </c>
      <c r="B722" s="43" t="n">
        <v>45397</v>
      </c>
      <c r="C722" s="37" t="inlineStr">
        <is>
          <t>WL-03185</t>
        </is>
      </c>
      <c r="D722" s="37" t="n">
        <v>2185</v>
      </c>
      <c r="E722" s="37" t="inlineStr">
        <is>
          <t>EW-0416</t>
        </is>
      </c>
      <c r="F722" s="37" t="inlineStr">
        <is>
          <t>Eastwey</t>
        </is>
      </c>
      <c r="G722" s="37" t="n">
        <v>24</v>
      </c>
      <c r="H722" s="37" t="inlineStr">
        <is>
          <t>OPEN</t>
        </is>
      </c>
      <c r="I722" s="37" t="inlineStr">
        <is>
          <t>ACCEPTED</t>
        </is>
      </c>
    </row>
    <row r="723">
      <c r="A723" s="37" t="inlineStr">
        <is>
          <t>OFR-2024-0722</t>
        </is>
      </c>
      <c r="B723" s="43" t="n">
        <v>45397</v>
      </c>
      <c r="C723" s="37" t="inlineStr">
        <is>
          <t>WL-01673</t>
        </is>
      </c>
      <c r="D723" s="37" t="n">
        <v>673</v>
      </c>
      <c r="E723" s="37" t="inlineStr">
        <is>
          <t>VB-0813</t>
        </is>
      </c>
      <c r="F723" s="37" t="inlineStr">
        <is>
          <t>Vessbank</t>
        </is>
      </c>
      <c r="G723" s="37" t="n">
        <v>28</v>
      </c>
      <c r="H723" s="37" t="inlineStr">
        <is>
          <t>COVERED</t>
        </is>
      </c>
      <c r="I723" s="37" t="inlineStr">
        <is>
          <t>ACCEPTED</t>
        </is>
      </c>
    </row>
    <row r="724">
      <c r="A724" s="37" t="inlineStr">
        <is>
          <t>OFR-2024-0723</t>
        </is>
      </c>
      <c r="B724" s="43" t="n">
        <v>45406</v>
      </c>
      <c r="C724" s="37" t="inlineStr">
        <is>
          <t>WL-01839</t>
        </is>
      </c>
      <c r="D724" s="37" t="n">
        <v>839</v>
      </c>
      <c r="E724" s="37" t="inlineStr">
        <is>
          <t>EW-0219</t>
        </is>
      </c>
      <c r="F724" s="37" t="inlineStr">
        <is>
          <t>Eastwey</t>
        </is>
      </c>
      <c r="G724" s="37" t="n">
        <v>70</v>
      </c>
      <c r="H724" s="37" t="inlineStr">
        <is>
          <t>OPEN</t>
        </is>
      </c>
      <c r="I724" s="37" t="inlineStr">
        <is>
          <t>ACCEPTED</t>
        </is>
      </c>
    </row>
    <row r="725">
      <c r="A725" s="37" t="inlineStr">
        <is>
          <t>OFR-2024-0724</t>
        </is>
      </c>
      <c r="B725" s="43" t="n">
        <v>45390</v>
      </c>
      <c r="C725" s="37" t="inlineStr">
        <is>
          <t>WL-03018</t>
        </is>
      </c>
      <c r="D725" s="37" t="n">
        <v>2018</v>
      </c>
      <c r="E725" s="37" t="inlineStr">
        <is>
          <t>VB-0617</t>
        </is>
      </c>
      <c r="F725" s="37" t="inlineStr">
        <is>
          <t>Vessbank</t>
        </is>
      </c>
      <c r="G725" s="37" t="n">
        <v>40</v>
      </c>
      <c r="H725" s="37" t="inlineStr">
        <is>
          <t>COVERED</t>
        </is>
      </c>
      <c r="I725" s="37" t="inlineStr">
        <is>
          <t>SKIPPED</t>
        </is>
      </c>
      <c r="J725" s="37" t="inlineStr">
        <is>
          <t>vessel-fit</t>
        </is>
      </c>
    </row>
    <row r="726">
      <c r="A726" s="37" t="inlineStr">
        <is>
          <t>OFR-2024-0725</t>
        </is>
      </c>
      <c r="B726" s="43" t="n">
        <v>45403</v>
      </c>
      <c r="C726" s="37" t="inlineStr">
        <is>
          <t>WL-01545</t>
        </is>
      </c>
      <c r="D726" s="37" t="n">
        <v>545</v>
      </c>
      <c r="E726" s="37" t="inlineStr">
        <is>
          <t>VB-0720</t>
        </is>
      </c>
      <c r="F726" s="37" t="inlineStr">
        <is>
          <t>Vessbank</t>
        </is>
      </c>
      <c r="G726" s="37" t="n">
        <v>40</v>
      </c>
      <c r="H726" s="37" t="inlineStr">
        <is>
          <t>COVERED</t>
        </is>
      </c>
      <c r="I726" s="37" t="inlineStr">
        <is>
          <t>ACCEPTED</t>
        </is>
      </c>
    </row>
    <row r="727">
      <c r="A727" s="37" t="inlineStr">
        <is>
          <t>OFR-2024-0726</t>
        </is>
      </c>
      <c r="B727" s="43" t="n">
        <v>45383</v>
      </c>
      <c r="C727" s="37" t="inlineStr">
        <is>
          <t>WL-01919</t>
        </is>
      </c>
      <c r="D727" s="37" t="n">
        <v>919</v>
      </c>
      <c r="E727" s="37" t="inlineStr">
        <is>
          <t>VB-0104</t>
        </is>
      </c>
      <c r="F727" s="37" t="inlineStr">
        <is>
          <t>Vessbank</t>
        </is>
      </c>
      <c r="G727" s="37" t="n">
        <v>24</v>
      </c>
      <c r="H727" s="37" t="inlineStr">
        <is>
          <t>COVERED</t>
        </is>
      </c>
      <c r="I727" s="37" t="inlineStr">
        <is>
          <t>EXPIRED</t>
        </is>
      </c>
    </row>
    <row r="728">
      <c r="A728" s="37" t="inlineStr">
        <is>
          <t>OFR-2024-0727</t>
        </is>
      </c>
      <c r="B728" s="43" t="n">
        <v>45408</v>
      </c>
      <c r="C728" s="37" t="inlineStr">
        <is>
          <t>WL-03558</t>
        </is>
      </c>
      <c r="D728" s="37" t="n">
        <v>2558</v>
      </c>
      <c r="E728" s="37" t="inlineStr">
        <is>
          <t>LP-0315</t>
        </is>
      </c>
      <c r="F728" s="37" t="inlineStr">
        <is>
          <t>Ledgport</t>
        </is>
      </c>
      <c r="G728" s="37" t="n">
        <v>24</v>
      </c>
      <c r="H728" s="37" t="inlineStr">
        <is>
          <t>COVERED</t>
        </is>
      </c>
      <c r="I728" s="37" t="inlineStr">
        <is>
          <t>DECLINED_RETAINER</t>
        </is>
      </c>
    </row>
    <row r="729">
      <c r="A729" s="37" t="inlineStr">
        <is>
          <t>OFR-2024-0728</t>
        </is>
      </c>
      <c r="B729" s="43" t="n">
        <v>45397</v>
      </c>
      <c r="C729" s="37" t="inlineStr">
        <is>
          <t>WL-01066</t>
        </is>
      </c>
      <c r="D729" s="37" t="n">
        <v>66</v>
      </c>
      <c r="E729" s="37" t="inlineStr">
        <is>
          <t>EW-0710</t>
        </is>
      </c>
      <c r="F729" s="37" t="inlineStr">
        <is>
          <t>Eastwey</t>
        </is>
      </c>
      <c r="G729" s="37" t="n">
        <v>24</v>
      </c>
      <c r="H729" s="37" t="inlineStr">
        <is>
          <t>OPEN</t>
        </is>
      </c>
      <c r="I729" s="37" t="inlineStr">
        <is>
          <t>ACCEPTED</t>
        </is>
      </c>
    </row>
    <row r="730">
      <c r="A730" s="37" t="inlineStr">
        <is>
          <t>OFR-2024-0729</t>
        </is>
      </c>
      <c r="B730" s="43" t="n">
        <v>45403</v>
      </c>
      <c r="C730" s="37" t="inlineStr">
        <is>
          <t>WL-02948</t>
        </is>
      </c>
      <c r="D730" s="37" t="n">
        <v>1948</v>
      </c>
      <c r="E730" s="37" t="inlineStr">
        <is>
          <t>GW-1013</t>
        </is>
      </c>
      <c r="F730" s="37" t="inlineStr">
        <is>
          <t>Gullwing</t>
        </is>
      </c>
      <c r="G730" s="37" t="n">
        <v>60</v>
      </c>
      <c r="H730" s="37" t="inlineStr">
        <is>
          <t>OPEN</t>
        </is>
      </c>
      <c r="I730" s="37" t="inlineStr">
        <is>
          <t>SKIPPED</t>
        </is>
      </c>
      <c r="J730" s="37" t="inlineStr">
        <is>
          <t>vessel-fit</t>
        </is>
      </c>
    </row>
    <row r="731">
      <c r="A731" s="37" t="inlineStr">
        <is>
          <t>OFR-2024-0730</t>
        </is>
      </c>
      <c r="B731" s="43" t="n">
        <v>45399</v>
      </c>
      <c r="C731" s="37" t="inlineStr">
        <is>
          <t>WL-01684</t>
        </is>
      </c>
      <c r="D731" s="37" t="n">
        <v>684</v>
      </c>
      <c r="E731" s="37" t="inlineStr">
        <is>
          <t>GW-0802</t>
        </is>
      </c>
      <c r="F731" s="37" t="inlineStr">
        <is>
          <t>Gullwing</t>
        </is>
      </c>
      <c r="G731" s="37" t="n">
        <v>45</v>
      </c>
      <c r="H731" s="37" t="inlineStr">
        <is>
          <t>OPEN</t>
        </is>
      </c>
      <c r="I731" s="37" t="inlineStr">
        <is>
          <t>DECLINED</t>
        </is>
      </c>
    </row>
    <row r="732">
      <c r="A732" s="37" t="inlineStr">
        <is>
          <t>OFR-2024-0731</t>
        </is>
      </c>
      <c r="B732" s="43" t="n">
        <v>45384</v>
      </c>
      <c r="C732" s="37" t="inlineStr">
        <is>
          <t>WL-03807</t>
        </is>
      </c>
      <c r="D732" s="37" t="n">
        <v>2807</v>
      </c>
      <c r="E732" s="37" t="inlineStr">
        <is>
          <t>LP-0914</t>
        </is>
      </c>
      <c r="F732" s="37" t="inlineStr">
        <is>
          <t>Ledgport</t>
        </is>
      </c>
      <c r="G732" s="37" t="n">
        <v>40</v>
      </c>
      <c r="H732" s="37" t="inlineStr">
        <is>
          <t>COVERED</t>
        </is>
      </c>
      <c r="I732" s="37" t="inlineStr">
        <is>
          <t>ACCEPTED</t>
        </is>
      </c>
    </row>
    <row r="733">
      <c r="A733" s="37" t="inlineStr">
        <is>
          <t>OFR-2024-0732</t>
        </is>
      </c>
      <c r="B733" s="43" t="n">
        <v>45401</v>
      </c>
      <c r="C733" s="37" t="inlineStr">
        <is>
          <t>WL-01619</t>
        </is>
      </c>
      <c r="D733" s="37" t="n">
        <v>619</v>
      </c>
      <c r="E733" s="37" t="inlineStr">
        <is>
          <t>GW-0916</t>
        </is>
      </c>
      <c r="F733" s="37" t="inlineStr">
        <is>
          <t>Gullwing</t>
        </is>
      </c>
      <c r="G733" s="37" t="n">
        <v>24</v>
      </c>
      <c r="H733" s="37" t="inlineStr">
        <is>
          <t>OPEN</t>
        </is>
      </c>
      <c r="I733" s="37" t="inlineStr">
        <is>
          <t>ACCEPTED</t>
        </is>
      </c>
    </row>
    <row r="734">
      <c r="A734" s="37" t="inlineStr">
        <is>
          <t>OFR-2024-0733</t>
        </is>
      </c>
      <c r="B734" s="43" t="n">
        <v>45399</v>
      </c>
      <c r="C734" s="37" t="inlineStr">
        <is>
          <t>WL-02167</t>
        </is>
      </c>
      <c r="D734" s="37" t="n">
        <v>1167</v>
      </c>
      <c r="E734" s="37" t="inlineStr">
        <is>
          <t>EW-1016</t>
        </is>
      </c>
      <c r="F734" s="37" t="inlineStr">
        <is>
          <t>Eastwey</t>
        </is>
      </c>
      <c r="G734" s="37" t="n">
        <v>28</v>
      </c>
      <c r="H734" s="37" t="inlineStr">
        <is>
          <t>OPEN</t>
        </is>
      </c>
      <c r="I734" s="37" t="inlineStr">
        <is>
          <t>ACCEPTED</t>
        </is>
      </c>
    </row>
    <row r="735">
      <c r="A735" s="37" t="inlineStr">
        <is>
          <t>OFR-2024-0734</t>
        </is>
      </c>
      <c r="B735" s="43" t="n">
        <v>45386</v>
      </c>
      <c r="C735" s="37" t="inlineStr">
        <is>
          <t>WL-03488</t>
        </is>
      </c>
      <c r="D735" s="37" t="n">
        <v>2488</v>
      </c>
      <c r="E735" s="37" t="inlineStr">
        <is>
          <t>LP-0512</t>
        </is>
      </c>
      <c r="F735" s="37" t="inlineStr">
        <is>
          <t>Ledgport</t>
        </is>
      </c>
      <c r="G735" s="37" t="n">
        <v>40</v>
      </c>
      <c r="H735" s="37" t="inlineStr">
        <is>
          <t>COVERED</t>
        </is>
      </c>
      <c r="I735" s="37" t="inlineStr">
        <is>
          <t>ACCEPTED</t>
        </is>
      </c>
    </row>
    <row r="736">
      <c r="A736" s="37" t="inlineStr">
        <is>
          <t>OFR-2024-0735</t>
        </is>
      </c>
      <c r="B736" s="43" t="n">
        <v>45399</v>
      </c>
      <c r="C736" s="37" t="inlineStr">
        <is>
          <t>WL-03043</t>
        </is>
      </c>
      <c r="D736" s="37" t="n">
        <v>2043</v>
      </c>
      <c r="E736" s="37" t="inlineStr">
        <is>
          <t>GW-0207</t>
        </is>
      </c>
      <c r="F736" s="37" t="inlineStr">
        <is>
          <t>Gullwing</t>
        </is>
      </c>
      <c r="G736" s="37" t="n">
        <v>24</v>
      </c>
      <c r="H736" s="37" t="inlineStr">
        <is>
          <t>OPEN</t>
        </is>
      </c>
      <c r="I736" s="37" t="inlineStr">
        <is>
          <t>DECLINED_RETAINER</t>
        </is>
      </c>
    </row>
    <row r="737">
      <c r="A737" s="37" t="inlineStr">
        <is>
          <t>OFR-2024-0736</t>
        </is>
      </c>
      <c r="B737" s="43" t="n">
        <v>45423</v>
      </c>
      <c r="C737" s="37" t="inlineStr">
        <is>
          <t>WL-02098</t>
        </is>
      </c>
      <c r="D737" s="37" t="n">
        <v>1098</v>
      </c>
      <c r="E737" s="37" t="inlineStr">
        <is>
          <t>EW-0206</t>
        </is>
      </c>
      <c r="F737" s="37" t="inlineStr">
        <is>
          <t>Eastwey</t>
        </is>
      </c>
      <c r="G737" s="37" t="n">
        <v>24</v>
      </c>
      <c r="H737" s="37" t="inlineStr">
        <is>
          <t>OPEN</t>
        </is>
      </c>
      <c r="I737" s="37" t="inlineStr">
        <is>
          <t>ACCEPTED</t>
        </is>
      </c>
    </row>
    <row r="738">
      <c r="A738" s="37" t="inlineStr">
        <is>
          <t>OFR-2024-0737</t>
        </is>
      </c>
      <c r="B738" s="43" t="n">
        <v>45420</v>
      </c>
      <c r="C738" s="37" t="inlineStr">
        <is>
          <t>WL-02305</t>
        </is>
      </c>
      <c r="D738" s="37" t="n">
        <v>1305</v>
      </c>
      <c r="E738" s="37" t="inlineStr">
        <is>
          <t>GW-0823</t>
        </is>
      </c>
      <c r="F738" s="37" t="inlineStr">
        <is>
          <t>Gullwing</t>
        </is>
      </c>
      <c r="G738" s="37" t="n">
        <v>60</v>
      </c>
      <c r="H738" s="37" t="inlineStr">
        <is>
          <t>OPEN</t>
        </is>
      </c>
      <c r="I738" s="37" t="inlineStr">
        <is>
          <t>SKIPPED</t>
        </is>
      </c>
      <c r="J738" s="37" t="inlineStr">
        <is>
          <t>declined-prior-offer</t>
        </is>
      </c>
    </row>
    <row r="739">
      <c r="A739" s="37" t="inlineStr">
        <is>
          <t>OFR-2024-0738</t>
        </is>
      </c>
      <c r="B739" s="43" t="n">
        <v>45434</v>
      </c>
      <c r="C739" s="37" t="inlineStr">
        <is>
          <t>WL-01798</t>
        </is>
      </c>
      <c r="D739" s="37" t="n">
        <v>798</v>
      </c>
      <c r="E739" s="37" t="inlineStr">
        <is>
          <t>SB-0523</t>
        </is>
      </c>
      <c r="F739" s="37" t="inlineStr">
        <is>
          <t>Salmonberry</t>
        </is>
      </c>
      <c r="G739" s="37" t="n">
        <v>32</v>
      </c>
      <c r="H739" s="37" t="inlineStr">
        <is>
          <t>OPEN</t>
        </is>
      </c>
      <c r="I739" s="37" t="inlineStr">
        <is>
          <t>ACCEPTED</t>
        </is>
      </c>
    </row>
    <row r="740">
      <c r="A740" s="37" t="inlineStr">
        <is>
          <t>OFR-2024-0739</t>
        </is>
      </c>
      <c r="B740" s="43" t="n">
        <v>45417</v>
      </c>
      <c r="C740" s="37" t="inlineStr">
        <is>
          <t>WL-02819</t>
        </is>
      </c>
      <c r="D740" s="37" t="n">
        <v>1819</v>
      </c>
      <c r="E740" s="37" t="inlineStr">
        <is>
          <t>SB-0102</t>
        </is>
      </c>
      <c r="F740" s="37" t="inlineStr">
        <is>
          <t>Salmonberry</t>
        </is>
      </c>
      <c r="G740" s="37" t="n">
        <v>32</v>
      </c>
      <c r="H740" s="37" t="inlineStr">
        <is>
          <t>OPEN</t>
        </is>
      </c>
      <c r="I740" s="37" t="inlineStr">
        <is>
          <t>DECLINED</t>
        </is>
      </c>
    </row>
    <row r="741">
      <c r="A741" s="37" t="inlineStr">
        <is>
          <t>OFR-2024-0740</t>
        </is>
      </c>
      <c r="B741" s="43" t="n">
        <v>45419</v>
      </c>
      <c r="C741" s="37" t="inlineStr">
        <is>
          <t>WL-01059</t>
        </is>
      </c>
      <c r="D741" s="37" t="n">
        <v>59</v>
      </c>
      <c r="E741" s="37" t="inlineStr">
        <is>
          <t>LP-0717</t>
        </is>
      </c>
      <c r="F741" s="37" t="inlineStr">
        <is>
          <t>Ledgport</t>
        </is>
      </c>
      <c r="G741" s="37" t="n">
        <v>24</v>
      </c>
      <c r="H741" s="37" t="inlineStr">
        <is>
          <t>COVERED</t>
        </is>
      </c>
      <c r="I741" s="37" t="inlineStr">
        <is>
          <t>ACCEPTED</t>
        </is>
      </c>
    </row>
    <row r="742">
      <c r="A742" s="37" t="inlineStr">
        <is>
          <t>OFR-2024-0741</t>
        </is>
      </c>
      <c r="B742" s="43" t="n">
        <v>45419</v>
      </c>
      <c r="C742" s="37" t="inlineStr">
        <is>
          <t>WL-01203</t>
        </is>
      </c>
      <c r="D742" s="37" t="n">
        <v>203</v>
      </c>
      <c r="E742" s="37" t="inlineStr">
        <is>
          <t>LP-0704</t>
        </is>
      </c>
      <c r="F742" s="37" t="inlineStr">
        <is>
          <t>Ledgport</t>
        </is>
      </c>
      <c r="G742" s="37" t="n">
        <v>28</v>
      </c>
      <c r="H742" s="37" t="inlineStr">
        <is>
          <t>COVERED</t>
        </is>
      </c>
      <c r="I742" s="37" t="inlineStr">
        <is>
          <t>ACCEPTED</t>
        </is>
      </c>
    </row>
    <row r="743">
      <c r="A743" s="37" t="inlineStr">
        <is>
          <t>OFR-2024-0742</t>
        </is>
      </c>
      <c r="B743" s="43" t="n">
        <v>45425</v>
      </c>
      <c r="C743" s="37" t="inlineStr">
        <is>
          <t>WL-01593</t>
        </is>
      </c>
      <c r="D743" s="37" t="n">
        <v>593</v>
      </c>
      <c r="E743" s="37" t="inlineStr">
        <is>
          <t>VB-0713</t>
        </is>
      </c>
      <c r="F743" s="37" t="inlineStr">
        <is>
          <t>Vessbank</t>
        </is>
      </c>
      <c r="G743" s="37" t="n">
        <v>32</v>
      </c>
      <c r="H743" s="37" t="inlineStr">
        <is>
          <t>COVERED</t>
        </is>
      </c>
      <c r="I743" s="37" t="inlineStr">
        <is>
          <t>ACCEPTED</t>
        </is>
      </c>
    </row>
    <row r="744">
      <c r="A744" s="37" t="inlineStr">
        <is>
          <t>OFR-2024-0743</t>
        </is>
      </c>
      <c r="B744" s="43" t="n">
        <v>45429</v>
      </c>
      <c r="C744" s="37" t="inlineStr">
        <is>
          <t>WL-03138</t>
        </is>
      </c>
      <c r="D744" s="37" t="n">
        <v>2138</v>
      </c>
      <c r="E744" s="37" t="inlineStr">
        <is>
          <t>LP-0310</t>
        </is>
      </c>
      <c r="F744" s="37" t="inlineStr">
        <is>
          <t>Ledgport</t>
        </is>
      </c>
      <c r="G744" s="37" t="n">
        <v>32</v>
      </c>
      <c r="H744" s="37" t="inlineStr">
        <is>
          <t>COVERED</t>
        </is>
      </c>
      <c r="I744" s="37" t="inlineStr">
        <is>
          <t>DECLINED</t>
        </is>
      </c>
    </row>
    <row r="745">
      <c r="A745" s="37" t="inlineStr">
        <is>
          <t>OFR-2024-0744</t>
        </is>
      </c>
      <c r="B745" s="43" t="n">
        <v>45431</v>
      </c>
      <c r="C745" s="37" t="inlineStr">
        <is>
          <t>WL-02366</t>
        </is>
      </c>
      <c r="D745" s="37" t="n">
        <v>1366</v>
      </c>
      <c r="E745" s="37" t="inlineStr">
        <is>
          <t>SB-0820</t>
        </is>
      </c>
      <c r="F745" s="37" t="inlineStr">
        <is>
          <t>Salmonberry</t>
        </is>
      </c>
      <c r="G745" s="37" t="n">
        <v>40</v>
      </c>
      <c r="H745" s="37" t="inlineStr">
        <is>
          <t>OPEN</t>
        </is>
      </c>
      <c r="I745" s="37" t="inlineStr">
        <is>
          <t>ACCEPTED</t>
        </is>
      </c>
    </row>
    <row r="746">
      <c r="A746" s="37" t="inlineStr">
        <is>
          <t>OFR-2024-0745</t>
        </is>
      </c>
      <c r="B746" s="43" t="n">
        <v>45422</v>
      </c>
      <c r="C746" s="37" t="inlineStr">
        <is>
          <t>WL-03168</t>
        </is>
      </c>
      <c r="D746" s="37" t="n">
        <v>2168</v>
      </c>
      <c r="E746" s="37" t="inlineStr">
        <is>
          <t>VB-0306</t>
        </is>
      </c>
      <c r="F746" s="37" t="inlineStr">
        <is>
          <t>Vessbank</t>
        </is>
      </c>
      <c r="G746" s="37" t="n">
        <v>28</v>
      </c>
      <c r="H746" s="37" t="inlineStr">
        <is>
          <t>COVERED</t>
        </is>
      </c>
      <c r="I746" s="37" t="inlineStr">
        <is>
          <t>ACCEPTED</t>
        </is>
      </c>
    </row>
    <row r="747">
      <c r="A747" s="37" t="inlineStr">
        <is>
          <t>OFR-2024-0746</t>
        </is>
      </c>
      <c r="B747" s="43" t="n">
        <v>45425</v>
      </c>
      <c r="C747" s="37" t="inlineStr">
        <is>
          <t>WL-01675</t>
        </is>
      </c>
      <c r="D747" s="37" t="n">
        <v>675</v>
      </c>
      <c r="E747" s="37" t="inlineStr">
        <is>
          <t>VB-0808</t>
        </is>
      </c>
      <c r="F747" s="37" t="inlineStr">
        <is>
          <t>Vessbank</t>
        </is>
      </c>
      <c r="G747" s="37" t="n">
        <v>24</v>
      </c>
      <c r="H747" s="37" t="inlineStr">
        <is>
          <t>COVERED</t>
        </is>
      </c>
      <c r="I747" s="37" t="inlineStr">
        <is>
          <t>SKIPPED</t>
        </is>
      </c>
      <c r="J747" s="37" t="inlineStr">
        <is>
          <t>preference-mismatch</t>
        </is>
      </c>
    </row>
    <row r="748">
      <c r="A748" s="37" t="inlineStr">
        <is>
          <t>OFR-2024-0747</t>
        </is>
      </c>
      <c r="B748" s="43" t="n">
        <v>45435</v>
      </c>
      <c r="C748" s="37" t="inlineStr">
        <is>
          <t>WL-01242</t>
        </is>
      </c>
      <c r="D748" s="37" t="n">
        <v>242</v>
      </c>
      <c r="E748" s="37" t="inlineStr">
        <is>
          <t>GW-0905</t>
        </is>
      </c>
      <c r="F748" s="37" t="inlineStr">
        <is>
          <t>Gullwing</t>
        </is>
      </c>
      <c r="G748" s="37" t="n">
        <v>50</v>
      </c>
      <c r="H748" s="37" t="inlineStr">
        <is>
          <t>OPEN</t>
        </is>
      </c>
      <c r="I748" s="37" t="inlineStr">
        <is>
          <t>SKIPPED</t>
        </is>
      </c>
      <c r="J748" s="37" t="inlineStr">
        <is>
          <t>declined-prior-offer</t>
        </is>
      </c>
    </row>
    <row r="749">
      <c r="A749" s="37" t="inlineStr">
        <is>
          <t>OFR-2024-0748</t>
        </is>
      </c>
      <c r="B749" s="43" t="n">
        <v>45438</v>
      </c>
      <c r="C749" s="37" t="inlineStr">
        <is>
          <t>WL-03210</t>
        </is>
      </c>
      <c r="D749" s="37" t="n">
        <v>2210</v>
      </c>
      <c r="E749" s="37" t="inlineStr">
        <is>
          <t>VB-0222</t>
        </is>
      </c>
      <c r="F749" s="37" t="inlineStr">
        <is>
          <t>Vessbank</t>
        </is>
      </c>
      <c r="G749" s="37" t="n">
        <v>28</v>
      </c>
      <c r="H749" s="37" t="inlineStr">
        <is>
          <t>COVERED</t>
        </is>
      </c>
      <c r="I749" s="37" t="inlineStr">
        <is>
          <t>DECLINED</t>
        </is>
      </c>
    </row>
    <row r="750">
      <c r="A750" s="37" t="inlineStr">
        <is>
          <t>OFR-2024-0749</t>
        </is>
      </c>
      <c r="B750" s="43" t="n">
        <v>45418</v>
      </c>
      <c r="C750" s="37" t="inlineStr">
        <is>
          <t>WL-02362</t>
        </is>
      </c>
      <c r="D750" s="37" t="n">
        <v>1362</v>
      </c>
      <c r="E750" s="37" t="inlineStr">
        <is>
          <t>SB-0317</t>
        </is>
      </c>
      <c r="F750" s="37" t="inlineStr">
        <is>
          <t>Salmonberry</t>
        </is>
      </c>
      <c r="G750" s="37" t="n">
        <v>28</v>
      </c>
      <c r="H750" s="37" t="inlineStr">
        <is>
          <t>OPEN</t>
        </is>
      </c>
      <c r="I750" s="37" t="inlineStr">
        <is>
          <t>ACCEPTED</t>
        </is>
      </c>
    </row>
    <row r="751">
      <c r="A751" s="37" t="inlineStr">
        <is>
          <t>OFR-2024-0750</t>
        </is>
      </c>
      <c r="B751" s="43" t="n">
        <v>45433</v>
      </c>
      <c r="C751" s="37" t="inlineStr">
        <is>
          <t>WL-03605</t>
        </is>
      </c>
      <c r="D751" s="37" t="n">
        <v>2605</v>
      </c>
      <c r="E751" s="37" t="inlineStr">
        <is>
          <t>VB-0920</t>
        </is>
      </c>
      <c r="F751" s="37" t="inlineStr">
        <is>
          <t>Vessbank</t>
        </is>
      </c>
      <c r="G751" s="37" t="n">
        <v>32</v>
      </c>
      <c r="H751" s="37" t="inlineStr">
        <is>
          <t>COVERED</t>
        </is>
      </c>
      <c r="I751" s="37" t="inlineStr">
        <is>
          <t>DECLINED_RETAINER</t>
        </is>
      </c>
    </row>
    <row r="752">
      <c r="A752" s="37" t="inlineStr">
        <is>
          <t>OFR-2024-0751</t>
        </is>
      </c>
      <c r="B752" s="43" t="n">
        <v>45422</v>
      </c>
      <c r="C752" s="37" t="inlineStr">
        <is>
          <t>WL-01663</t>
        </is>
      </c>
      <c r="D752" s="37" t="n">
        <v>663</v>
      </c>
      <c r="E752" s="37" t="inlineStr">
        <is>
          <t>VB-0206</t>
        </is>
      </c>
      <c r="F752" s="37" t="inlineStr">
        <is>
          <t>Vessbank</t>
        </is>
      </c>
      <c r="G752" s="37" t="n">
        <v>28</v>
      </c>
      <c r="H752" s="37" t="inlineStr">
        <is>
          <t>COVERED</t>
        </is>
      </c>
      <c r="I752" s="37" t="inlineStr">
        <is>
          <t>ACCEPTED</t>
        </is>
      </c>
    </row>
    <row r="753">
      <c r="A753" s="37" t="inlineStr">
        <is>
          <t>OFR-2024-0752</t>
        </is>
      </c>
      <c r="B753" s="43" t="n">
        <v>45431</v>
      </c>
      <c r="C753" s="37" t="inlineStr">
        <is>
          <t>WL-01536</t>
        </is>
      </c>
      <c r="D753" s="37" t="n">
        <v>536</v>
      </c>
      <c r="E753" s="37" t="inlineStr">
        <is>
          <t>GW-0522</t>
        </is>
      </c>
      <c r="F753" s="37" t="inlineStr">
        <is>
          <t>Gullwing</t>
        </is>
      </c>
      <c r="G753" s="37" t="n">
        <v>28</v>
      </c>
      <c r="H753" s="37" t="inlineStr">
        <is>
          <t>OPEN</t>
        </is>
      </c>
      <c r="I753" s="37" t="inlineStr">
        <is>
          <t>SKIPPED</t>
        </is>
      </c>
      <c r="J753" s="37" t="inlineStr">
        <is>
          <t>not-current</t>
        </is>
      </c>
    </row>
    <row r="754">
      <c r="A754" s="37" t="inlineStr">
        <is>
          <t>OFR-2024-0753</t>
        </is>
      </c>
      <c r="B754" s="43" t="n">
        <v>45416</v>
      </c>
      <c r="C754" s="37" t="inlineStr">
        <is>
          <t>WL-03524</t>
        </is>
      </c>
      <c r="D754" s="37" t="n">
        <v>2524</v>
      </c>
      <c r="E754" s="37" t="inlineStr">
        <is>
          <t>EW-0408</t>
        </is>
      </c>
      <c r="F754" s="37" t="inlineStr">
        <is>
          <t>Eastwey</t>
        </is>
      </c>
      <c r="G754" s="37" t="n">
        <v>28</v>
      </c>
      <c r="H754" s="37" t="inlineStr">
        <is>
          <t>OPEN</t>
        </is>
      </c>
      <c r="I754" s="37" t="inlineStr">
        <is>
          <t>ACCEPTED</t>
        </is>
      </c>
    </row>
    <row r="755">
      <c r="A755" s="37" t="inlineStr">
        <is>
          <t>OFR-2024-0754</t>
        </is>
      </c>
      <c r="B755" s="43" t="n">
        <v>45421</v>
      </c>
      <c r="C755" s="37" t="inlineStr">
        <is>
          <t>WL-01507</t>
        </is>
      </c>
      <c r="D755" s="37" t="n">
        <v>507</v>
      </c>
      <c r="E755" s="37" t="inlineStr">
        <is>
          <t>VB-0619</t>
        </is>
      </c>
      <c r="F755" s="37" t="inlineStr">
        <is>
          <t>Vessbank</t>
        </is>
      </c>
      <c r="G755" s="37" t="n">
        <v>24</v>
      </c>
      <c r="H755" s="37" t="inlineStr">
        <is>
          <t>COVERED</t>
        </is>
      </c>
      <c r="I755" s="37" t="inlineStr">
        <is>
          <t>ACCEPTED</t>
        </is>
      </c>
    </row>
    <row r="756">
      <c r="A756" s="37" t="inlineStr">
        <is>
          <t>OFR-2024-0755</t>
        </is>
      </c>
      <c r="B756" s="43" t="n">
        <v>45434</v>
      </c>
      <c r="C756" s="37" t="inlineStr">
        <is>
          <t>WL-02013</t>
        </is>
      </c>
      <c r="D756" s="37" t="n">
        <v>1013</v>
      </c>
      <c r="E756" s="37" t="inlineStr">
        <is>
          <t>VB-0602</t>
        </is>
      </c>
      <c r="F756" s="37" t="inlineStr">
        <is>
          <t>Vessbank</t>
        </is>
      </c>
      <c r="G756" s="37" t="n">
        <v>24</v>
      </c>
      <c r="H756" s="37" t="inlineStr">
        <is>
          <t>COVERED</t>
        </is>
      </c>
      <c r="I756" s="37" t="inlineStr">
        <is>
          <t>SKIPPED</t>
        </is>
      </c>
      <c r="J756" s="37" t="inlineStr">
        <is>
          <t>not-current</t>
        </is>
      </c>
    </row>
    <row r="757">
      <c r="A757" s="37" t="inlineStr">
        <is>
          <t>OFR-2024-0756</t>
        </is>
      </c>
      <c r="B757" s="43" t="n">
        <v>45429</v>
      </c>
      <c r="C757" s="37" t="inlineStr">
        <is>
          <t>WL-01813</t>
        </is>
      </c>
      <c r="D757" s="37" t="n">
        <v>813</v>
      </c>
      <c r="E757" s="37" t="inlineStr">
        <is>
          <t>LP-1112</t>
        </is>
      </c>
      <c r="F757" s="37" t="inlineStr">
        <is>
          <t>Ledgport</t>
        </is>
      </c>
      <c r="G757" s="37" t="n">
        <v>40</v>
      </c>
      <c r="H757" s="37" t="inlineStr">
        <is>
          <t>COVERED</t>
        </is>
      </c>
      <c r="I757" s="37" t="inlineStr">
        <is>
          <t>ACCEPTED</t>
        </is>
      </c>
    </row>
    <row r="758">
      <c r="A758" s="37" t="inlineStr">
        <is>
          <t>OFR-2024-0757</t>
        </is>
      </c>
      <c r="B758" s="43" t="n">
        <v>45421</v>
      </c>
      <c r="C758" s="37" t="inlineStr">
        <is>
          <t>WL-03223</t>
        </is>
      </c>
      <c r="D758" s="37" t="n">
        <v>2223</v>
      </c>
      <c r="E758" s="37" t="inlineStr">
        <is>
          <t>EW-0705</t>
        </is>
      </c>
      <c r="F758" s="37" t="inlineStr">
        <is>
          <t>Eastwey</t>
        </is>
      </c>
      <c r="G758" s="37" t="n">
        <v>40</v>
      </c>
      <c r="H758" s="37" t="inlineStr">
        <is>
          <t>OPEN</t>
        </is>
      </c>
      <c r="I758" s="37" t="inlineStr">
        <is>
          <t>ACCEPTED</t>
        </is>
      </c>
    </row>
    <row r="759">
      <c r="A759" s="37" t="inlineStr">
        <is>
          <t>OFR-2024-0758</t>
        </is>
      </c>
      <c r="B759" s="43" t="n">
        <v>45431</v>
      </c>
      <c r="C759" s="37" t="inlineStr">
        <is>
          <t>WL-02078</t>
        </is>
      </c>
      <c r="D759" s="37" t="n">
        <v>1078</v>
      </c>
      <c r="E759" s="37" t="inlineStr">
        <is>
          <t>LP-0612</t>
        </is>
      </c>
      <c r="F759" s="37" t="inlineStr">
        <is>
          <t>Ledgport</t>
        </is>
      </c>
      <c r="G759" s="37" t="n">
        <v>32</v>
      </c>
      <c r="H759" s="37" t="inlineStr">
        <is>
          <t>COVERED</t>
        </is>
      </c>
      <c r="I759" s="37" t="inlineStr">
        <is>
          <t>ACCEPTED</t>
        </is>
      </c>
    </row>
    <row r="760">
      <c r="A760" s="37" t="inlineStr">
        <is>
          <t>OFR-2024-0759</t>
        </is>
      </c>
      <c r="B760" s="43" t="n">
        <v>45427</v>
      </c>
      <c r="C760" s="37" t="inlineStr">
        <is>
          <t>WL-01753</t>
        </is>
      </c>
      <c r="D760" s="37" t="n">
        <v>753</v>
      </c>
      <c r="E760" s="37" t="inlineStr">
        <is>
          <t>LP-0722</t>
        </is>
      </c>
      <c r="F760" s="37" t="inlineStr">
        <is>
          <t>Ledgport</t>
        </is>
      </c>
      <c r="G760" s="37" t="n">
        <v>24</v>
      </c>
      <c r="H760" s="37" t="inlineStr">
        <is>
          <t>COVERED</t>
        </is>
      </c>
      <c r="I760" s="37" t="inlineStr">
        <is>
          <t>SKIPPED</t>
        </is>
      </c>
      <c r="J760" s="37" t="inlineStr">
        <is>
          <t>declined-prior-offer</t>
        </is>
      </c>
    </row>
    <row r="761">
      <c r="A761" s="37" t="inlineStr">
        <is>
          <t>OFR-2024-0760</t>
        </is>
      </c>
      <c r="B761" s="43" t="n">
        <v>45437</v>
      </c>
      <c r="C761" s="37" t="inlineStr">
        <is>
          <t>WL-03305</t>
        </is>
      </c>
      <c r="D761" s="37" t="n">
        <v>2305</v>
      </c>
      <c r="E761" s="37" t="inlineStr">
        <is>
          <t>SB-0615</t>
        </is>
      </c>
      <c r="F761" s="37" t="inlineStr">
        <is>
          <t>Salmonberry</t>
        </is>
      </c>
      <c r="G761" s="37" t="n">
        <v>45</v>
      </c>
      <c r="H761" s="37" t="inlineStr">
        <is>
          <t>OPEN</t>
        </is>
      </c>
      <c r="I761" s="37" t="inlineStr">
        <is>
          <t>ACCEPTED</t>
        </is>
      </c>
    </row>
    <row r="762">
      <c r="A762" s="37" t="inlineStr">
        <is>
          <t>OFR-2024-0761</t>
        </is>
      </c>
      <c r="B762" s="43" t="n">
        <v>45416</v>
      </c>
      <c r="C762" s="37" t="inlineStr">
        <is>
          <t>WL-02984</t>
        </is>
      </c>
      <c r="D762" s="37" t="n">
        <v>1984</v>
      </c>
      <c r="E762" s="37" t="inlineStr">
        <is>
          <t>EW-0404</t>
        </is>
      </c>
      <c r="F762" s="37" t="inlineStr">
        <is>
          <t>Eastwey</t>
        </is>
      </c>
      <c r="G762" s="37" t="n">
        <v>70</v>
      </c>
      <c r="H762" s="37" t="inlineStr">
        <is>
          <t>OPEN</t>
        </is>
      </c>
      <c r="I762" s="37" t="inlineStr">
        <is>
          <t>ACCEPTED</t>
        </is>
      </c>
    </row>
    <row r="763">
      <c r="A763" s="37" t="inlineStr">
        <is>
          <t>OFR-2024-0762</t>
        </is>
      </c>
      <c r="B763" s="43" t="n">
        <v>45413</v>
      </c>
      <c r="C763" s="37" t="inlineStr">
        <is>
          <t>WL-01318</t>
        </is>
      </c>
      <c r="D763" s="37" t="n">
        <v>318</v>
      </c>
      <c r="E763" s="37" t="inlineStr">
        <is>
          <t>SB-0405</t>
        </is>
      </c>
      <c r="F763" s="37" t="inlineStr">
        <is>
          <t>Salmonberry</t>
        </is>
      </c>
      <c r="G763" s="37" t="n">
        <v>45</v>
      </c>
      <c r="H763" s="37" t="inlineStr">
        <is>
          <t>OPEN</t>
        </is>
      </c>
      <c r="I763" s="37" t="inlineStr">
        <is>
          <t>SKIPPED</t>
        </is>
      </c>
      <c r="J763" s="37" t="inlineStr">
        <is>
          <t>preference-mismatch</t>
        </is>
      </c>
    </row>
    <row r="764">
      <c r="A764" s="37" t="inlineStr">
        <is>
          <t>OFR-2024-0763</t>
        </is>
      </c>
      <c r="B764" s="43" t="n">
        <v>45419</v>
      </c>
      <c r="C764" s="37" t="inlineStr">
        <is>
          <t>WL-03076</t>
        </is>
      </c>
      <c r="D764" s="37" t="n">
        <v>2076</v>
      </c>
      <c r="E764" s="37" t="inlineStr">
        <is>
          <t>SB-0719</t>
        </is>
      </c>
      <c r="F764" s="37" t="inlineStr">
        <is>
          <t>Salmonberry</t>
        </is>
      </c>
      <c r="G764" s="37" t="n">
        <v>28</v>
      </c>
      <c r="H764" s="37" t="inlineStr">
        <is>
          <t>OPEN</t>
        </is>
      </c>
      <c r="I764" s="37" t="inlineStr">
        <is>
          <t>ACCEPTED</t>
        </is>
      </c>
    </row>
    <row r="765">
      <c r="A765" s="37" t="inlineStr">
        <is>
          <t>OFR-2024-0764</t>
        </is>
      </c>
      <c r="B765" s="43" t="n">
        <v>45434</v>
      </c>
      <c r="C765" s="37" t="inlineStr">
        <is>
          <t>WL-01354</t>
        </is>
      </c>
      <c r="D765" s="37" t="n">
        <v>354</v>
      </c>
      <c r="E765" s="37" t="inlineStr">
        <is>
          <t>LP-0503</t>
        </is>
      </c>
      <c r="F765" s="37" t="inlineStr">
        <is>
          <t>Ledgport</t>
        </is>
      </c>
      <c r="G765" s="37" t="n">
        <v>24</v>
      </c>
      <c r="H765" s="37" t="inlineStr">
        <is>
          <t>COVERED</t>
        </is>
      </c>
      <c r="I765" s="37" t="inlineStr">
        <is>
          <t>DECLINED</t>
        </is>
      </c>
    </row>
    <row r="766">
      <c r="A766" s="37" t="inlineStr">
        <is>
          <t>OFR-2024-0765</t>
        </is>
      </c>
      <c r="B766" s="43" t="n">
        <v>45427</v>
      </c>
      <c r="C766" s="37" t="inlineStr">
        <is>
          <t>WL-03277</t>
        </is>
      </c>
      <c r="D766" s="37" t="n">
        <v>2277</v>
      </c>
      <c r="E766" s="37" t="inlineStr">
        <is>
          <t>VB-1003</t>
        </is>
      </c>
      <c r="F766" s="37" t="inlineStr">
        <is>
          <t>Vessbank</t>
        </is>
      </c>
      <c r="G766" s="37" t="n">
        <v>32</v>
      </c>
      <c r="H766" s="37" t="inlineStr">
        <is>
          <t>COVERED</t>
        </is>
      </c>
      <c r="I766" s="37" t="inlineStr">
        <is>
          <t>ACCEPTED</t>
        </is>
      </c>
    </row>
    <row r="767">
      <c r="A767" s="37" t="inlineStr">
        <is>
          <t>OFR-2024-0766</t>
        </is>
      </c>
      <c r="B767" s="43" t="n">
        <v>45433</v>
      </c>
      <c r="C767" s="37" t="inlineStr">
        <is>
          <t>WL-03891</t>
        </is>
      </c>
      <c r="D767" s="37" t="n">
        <v>2891</v>
      </c>
      <c r="E767" s="37" t="inlineStr">
        <is>
          <t>EW-0607</t>
        </is>
      </c>
      <c r="F767" s="37" t="inlineStr">
        <is>
          <t>Eastwey</t>
        </is>
      </c>
      <c r="G767" s="37" t="n">
        <v>24</v>
      </c>
      <c r="H767" s="37" t="inlineStr">
        <is>
          <t>OPEN</t>
        </is>
      </c>
      <c r="I767" s="37" t="inlineStr">
        <is>
          <t>SKIPPED</t>
        </is>
      </c>
      <c r="J767" s="37" t="inlineStr">
        <is>
          <t>vessel-fit</t>
        </is>
      </c>
    </row>
    <row r="768">
      <c r="A768" s="37" t="inlineStr">
        <is>
          <t>OFR-2024-0767</t>
        </is>
      </c>
      <c r="B768" s="43" t="n">
        <v>45437</v>
      </c>
      <c r="C768" s="37" t="inlineStr">
        <is>
          <t>WL-02986</t>
        </is>
      </c>
      <c r="D768" s="37" t="n">
        <v>1986</v>
      </c>
      <c r="E768" s="37" t="inlineStr">
        <is>
          <t>GW-0510</t>
        </is>
      </c>
      <c r="F768" s="37" t="inlineStr">
        <is>
          <t>Gullwing</t>
        </is>
      </c>
      <c r="G768" s="37" t="n">
        <v>24</v>
      </c>
      <c r="H768" s="37" t="inlineStr">
        <is>
          <t>OPEN</t>
        </is>
      </c>
      <c r="I768" s="37" t="inlineStr">
        <is>
          <t>ACCEPTED</t>
        </is>
      </c>
    </row>
    <row r="769">
      <c r="A769" s="37" t="inlineStr">
        <is>
          <t>OFR-2024-0768</t>
        </is>
      </c>
      <c r="B769" s="43" t="n">
        <v>45422</v>
      </c>
      <c r="C769" s="37" t="inlineStr">
        <is>
          <t>WL-02894</t>
        </is>
      </c>
      <c r="D769" s="37" t="n">
        <v>1894</v>
      </c>
      <c r="E769" s="37" t="inlineStr">
        <is>
          <t>VB-1012</t>
        </is>
      </c>
      <c r="F769" s="37" t="inlineStr">
        <is>
          <t>Vessbank</t>
        </is>
      </c>
      <c r="G769" s="37" t="n">
        <v>40</v>
      </c>
      <c r="H769" s="37" t="inlineStr">
        <is>
          <t>COVERED</t>
        </is>
      </c>
      <c r="I769" s="37" t="inlineStr">
        <is>
          <t>ACCEPTED</t>
        </is>
      </c>
    </row>
    <row r="770">
      <c r="A770" s="37" t="inlineStr">
        <is>
          <t>OFR-2024-0769</t>
        </is>
      </c>
      <c r="B770" s="43" t="n">
        <v>45422</v>
      </c>
      <c r="C770" s="37" t="inlineStr">
        <is>
          <t>WL-01605</t>
        </is>
      </c>
      <c r="D770" s="37" t="n">
        <v>605</v>
      </c>
      <c r="E770" s="37" t="inlineStr">
        <is>
          <t>EW-0316</t>
        </is>
      </c>
      <c r="F770" s="37" t="inlineStr">
        <is>
          <t>Eastwey</t>
        </is>
      </c>
      <c r="G770" s="37" t="n">
        <v>36</v>
      </c>
      <c r="H770" s="37" t="inlineStr">
        <is>
          <t>OPEN</t>
        </is>
      </c>
      <c r="I770" s="37" t="inlineStr">
        <is>
          <t>ACCEPTED</t>
        </is>
      </c>
    </row>
    <row r="771">
      <c r="A771" s="37" t="inlineStr">
        <is>
          <t>OFR-2024-0770</t>
        </is>
      </c>
      <c r="B771" s="43" t="n">
        <v>45435</v>
      </c>
      <c r="C771" s="37" t="inlineStr">
        <is>
          <t>WL-01773</t>
        </is>
      </c>
      <c r="D771" s="37" t="n">
        <v>773</v>
      </c>
      <c r="E771" s="37" t="inlineStr">
        <is>
          <t>EW-0509</t>
        </is>
      </c>
      <c r="F771" s="37" t="inlineStr">
        <is>
          <t>Eastwey</t>
        </is>
      </c>
      <c r="G771" s="37" t="n">
        <v>40</v>
      </c>
      <c r="H771" s="37" t="inlineStr">
        <is>
          <t>OPEN</t>
        </is>
      </c>
      <c r="I771" s="37" t="inlineStr">
        <is>
          <t>DECLINED_RETAINER</t>
        </is>
      </c>
    </row>
    <row r="772">
      <c r="A772" s="37" t="inlineStr">
        <is>
          <t>OFR-2024-0771</t>
        </is>
      </c>
      <c r="B772" s="43" t="n">
        <v>45464</v>
      </c>
      <c r="C772" s="37" t="inlineStr">
        <is>
          <t>WL-01529</t>
        </is>
      </c>
      <c r="D772" s="37" t="n">
        <v>529</v>
      </c>
      <c r="E772" s="37" t="inlineStr">
        <is>
          <t>SB-0110</t>
        </is>
      </c>
      <c r="F772" s="37" t="inlineStr">
        <is>
          <t>Salmonberry</t>
        </is>
      </c>
      <c r="G772" s="37" t="n">
        <v>28</v>
      </c>
      <c r="H772" s="37" t="inlineStr">
        <is>
          <t>OPEN</t>
        </is>
      </c>
      <c r="I772" s="37" t="inlineStr">
        <is>
          <t>ACCEPTED</t>
        </is>
      </c>
    </row>
    <row r="773">
      <c r="A773" s="37" t="inlineStr">
        <is>
          <t>OFR-2024-0772</t>
        </is>
      </c>
      <c r="B773" s="43" t="n">
        <v>45455</v>
      </c>
      <c r="C773" s="37" t="inlineStr">
        <is>
          <t>WL-03026</t>
        </is>
      </c>
      <c r="D773" s="37" t="n">
        <v>2026</v>
      </c>
      <c r="E773" s="37" t="inlineStr">
        <is>
          <t>LP-0324</t>
        </is>
      </c>
      <c r="F773" s="37" t="inlineStr">
        <is>
          <t>Ledgport</t>
        </is>
      </c>
      <c r="G773" s="37" t="n">
        <v>32</v>
      </c>
      <c r="H773" s="37" t="inlineStr">
        <is>
          <t>COVERED</t>
        </is>
      </c>
      <c r="I773" s="37" t="inlineStr">
        <is>
          <t>SKIPPED</t>
        </is>
      </c>
      <c r="J773" s="37" t="inlineStr">
        <is>
          <t>not-current</t>
        </is>
      </c>
    </row>
    <row r="774">
      <c r="A774" s="37" t="inlineStr">
        <is>
          <t>OFR-2024-0773</t>
        </is>
      </c>
      <c r="B774" s="43" t="n">
        <v>45456</v>
      </c>
      <c r="C774" s="37" t="inlineStr">
        <is>
          <t>WL-02008</t>
        </is>
      </c>
      <c r="D774" s="37" t="n">
        <v>1008</v>
      </c>
      <c r="E774" s="37" t="inlineStr">
        <is>
          <t>SB-0308</t>
        </is>
      </c>
      <c r="F774" s="37" t="inlineStr">
        <is>
          <t>Salmonberry</t>
        </is>
      </c>
      <c r="G774" s="37" t="n">
        <v>50</v>
      </c>
      <c r="H774" s="37" t="inlineStr">
        <is>
          <t>OPEN</t>
        </is>
      </c>
      <c r="I774" s="37" t="inlineStr">
        <is>
          <t>EXPIRED</t>
        </is>
      </c>
    </row>
    <row r="775">
      <c r="A775" s="37" t="inlineStr">
        <is>
          <t>OFR-2024-0774</t>
        </is>
      </c>
      <c r="B775" s="43" t="n">
        <v>45458</v>
      </c>
      <c r="C775" s="37" t="inlineStr">
        <is>
          <t>WL-03245</t>
        </is>
      </c>
      <c r="D775" s="37" t="n">
        <v>2245</v>
      </c>
      <c r="E775" s="37" t="inlineStr">
        <is>
          <t>LP-1001</t>
        </is>
      </c>
      <c r="F775" s="37" t="inlineStr">
        <is>
          <t>Ledgport</t>
        </is>
      </c>
      <c r="G775" s="37" t="n">
        <v>40</v>
      </c>
      <c r="H775" s="37" t="inlineStr">
        <is>
          <t>COVERED</t>
        </is>
      </c>
      <c r="I775" s="37" t="inlineStr">
        <is>
          <t>SKIPPED</t>
        </is>
      </c>
      <c r="J775" s="37" t="inlineStr">
        <is>
          <t>vessel-fit</t>
        </is>
      </c>
    </row>
    <row r="776">
      <c r="A776" s="37" t="inlineStr">
        <is>
          <t>OFR-2024-0775</t>
        </is>
      </c>
      <c r="B776" s="43" t="n">
        <v>45457</v>
      </c>
      <c r="C776" s="37" t="inlineStr">
        <is>
          <t>WL-01959</t>
        </is>
      </c>
      <c r="D776" s="37" t="n">
        <v>959</v>
      </c>
      <c r="E776" s="37" t="inlineStr">
        <is>
          <t>EW-0308</t>
        </is>
      </c>
      <c r="F776" s="37" t="inlineStr">
        <is>
          <t>Eastwey</t>
        </is>
      </c>
      <c r="G776" s="37" t="n">
        <v>28</v>
      </c>
      <c r="H776" s="37" t="inlineStr">
        <is>
          <t>OPEN</t>
        </is>
      </c>
      <c r="I776" s="37" t="inlineStr">
        <is>
          <t>EXPIRED</t>
        </is>
      </c>
    </row>
    <row r="777">
      <c r="A777" s="37" t="inlineStr">
        <is>
          <t>OFR-2024-0776</t>
        </is>
      </c>
      <c r="B777" s="43" t="n">
        <v>45471</v>
      </c>
      <c r="C777" s="37" t="inlineStr">
        <is>
          <t>WL-03514</t>
        </is>
      </c>
      <c r="D777" s="37" t="n">
        <v>2514</v>
      </c>
      <c r="E777" s="37" t="inlineStr">
        <is>
          <t>SB-0307</t>
        </is>
      </c>
      <c r="F777" s="37" t="inlineStr">
        <is>
          <t>Salmonberry</t>
        </is>
      </c>
      <c r="G777" s="37" t="n">
        <v>32</v>
      </c>
      <c r="H777" s="37" t="inlineStr">
        <is>
          <t>OPEN</t>
        </is>
      </c>
      <c r="I777" s="37" t="inlineStr">
        <is>
          <t>ACCEPTED</t>
        </is>
      </c>
    </row>
    <row r="778">
      <c r="A778" s="37" t="inlineStr">
        <is>
          <t>OFR-2024-0777</t>
        </is>
      </c>
      <c r="B778" s="43" t="n">
        <v>45448</v>
      </c>
      <c r="C778" s="37" t="inlineStr">
        <is>
          <t>WL-03411</t>
        </is>
      </c>
      <c r="D778" s="37" t="n">
        <v>2411</v>
      </c>
      <c r="E778" s="37" t="inlineStr">
        <is>
          <t>VB-0409</t>
        </is>
      </c>
      <c r="F778" s="37" t="inlineStr">
        <is>
          <t>Vessbank</t>
        </is>
      </c>
      <c r="G778" s="37" t="n">
        <v>32</v>
      </c>
      <c r="H778" s="37" t="inlineStr">
        <is>
          <t>COVERED</t>
        </is>
      </c>
      <c r="I778" s="37" t="inlineStr">
        <is>
          <t>DECLINED_RETAINER</t>
        </is>
      </c>
    </row>
    <row r="779">
      <c r="A779" s="37" t="inlineStr">
        <is>
          <t>OFR-2024-0778</t>
        </is>
      </c>
      <c r="B779" s="43" t="n">
        <v>45451</v>
      </c>
      <c r="C779" s="37" t="inlineStr">
        <is>
          <t>WL-01581</t>
        </is>
      </c>
      <c r="D779" s="37" t="n">
        <v>581</v>
      </c>
      <c r="E779" s="37" t="inlineStr">
        <is>
          <t>VB-0519</t>
        </is>
      </c>
      <c r="F779" s="37" t="inlineStr">
        <is>
          <t>Vessbank</t>
        </is>
      </c>
      <c r="G779" s="37" t="n">
        <v>24</v>
      </c>
      <c r="H779" s="37" t="inlineStr">
        <is>
          <t>COVERED</t>
        </is>
      </c>
      <c r="I779" s="37" t="inlineStr">
        <is>
          <t>DECLINED</t>
        </is>
      </c>
    </row>
    <row r="780">
      <c r="A780" s="37" t="inlineStr">
        <is>
          <t>OFR-2024-0779</t>
        </is>
      </c>
      <c r="B780" s="43" t="n">
        <v>45464</v>
      </c>
      <c r="C780" s="37" t="inlineStr">
        <is>
          <t>WL-02110</t>
        </is>
      </c>
      <c r="D780" s="37" t="n">
        <v>1110</v>
      </c>
      <c r="E780" s="37" t="inlineStr">
        <is>
          <t>VB-1010</t>
        </is>
      </c>
      <c r="F780" s="37" t="inlineStr">
        <is>
          <t>Vessbank</t>
        </is>
      </c>
      <c r="G780" s="37" t="n">
        <v>24</v>
      </c>
      <c r="H780" s="37" t="inlineStr">
        <is>
          <t>COVERED</t>
        </is>
      </c>
      <c r="I780" s="37" t="inlineStr">
        <is>
          <t>ACCEPTED</t>
        </is>
      </c>
    </row>
    <row r="781">
      <c r="A781" s="37" t="inlineStr">
        <is>
          <t>OFR-2024-0780</t>
        </is>
      </c>
      <c r="B781" s="43" t="n">
        <v>45445</v>
      </c>
      <c r="C781" s="37" t="inlineStr">
        <is>
          <t>WL-02792</t>
        </is>
      </c>
      <c r="D781" s="37" t="n">
        <v>1792</v>
      </c>
      <c r="E781" s="37" t="inlineStr">
        <is>
          <t>VB-0311</t>
        </is>
      </c>
      <c r="F781" s="37" t="inlineStr">
        <is>
          <t>Vessbank</t>
        </is>
      </c>
      <c r="G781" s="37" t="n">
        <v>32</v>
      </c>
      <c r="H781" s="37" t="inlineStr">
        <is>
          <t>COVERED</t>
        </is>
      </c>
      <c r="I781" s="37" t="inlineStr">
        <is>
          <t>ACCEPTED</t>
        </is>
      </c>
    </row>
    <row r="782">
      <c r="A782" s="37" t="inlineStr">
        <is>
          <t>OFR-2024-0781</t>
        </is>
      </c>
      <c r="B782" s="43" t="n">
        <v>45463</v>
      </c>
      <c r="C782" s="37" t="inlineStr">
        <is>
          <t>WL-01506</t>
        </is>
      </c>
      <c r="D782" s="37" t="n">
        <v>506</v>
      </c>
      <c r="E782" s="37" t="inlineStr">
        <is>
          <t>VB-0519</t>
        </is>
      </c>
      <c r="F782" s="37" t="inlineStr">
        <is>
          <t>Vessbank</t>
        </is>
      </c>
      <c r="G782" s="37" t="n">
        <v>24</v>
      </c>
      <c r="H782" s="37" t="inlineStr">
        <is>
          <t>COVERED</t>
        </is>
      </c>
      <c r="I782" s="37" t="inlineStr">
        <is>
          <t>ACCEPTED</t>
        </is>
      </c>
    </row>
    <row r="783">
      <c r="A783" s="37" t="inlineStr">
        <is>
          <t>OFR-2024-0782</t>
        </is>
      </c>
      <c r="B783" s="43" t="n">
        <v>45463</v>
      </c>
      <c r="C783" s="37" t="inlineStr">
        <is>
          <t>WL-02472</t>
        </is>
      </c>
      <c r="D783" s="37" t="n">
        <v>1472</v>
      </c>
      <c r="E783" s="37" t="inlineStr">
        <is>
          <t>VB-0512</t>
        </is>
      </c>
      <c r="F783" s="37" t="inlineStr">
        <is>
          <t>Vessbank</t>
        </is>
      </c>
      <c r="G783" s="37" t="n">
        <v>28</v>
      </c>
      <c r="H783" s="37" t="inlineStr">
        <is>
          <t>COVERED</t>
        </is>
      </c>
      <c r="I783" s="37" t="inlineStr">
        <is>
          <t>ACCEPTED</t>
        </is>
      </c>
    </row>
    <row r="784">
      <c r="A784" s="37" t="inlineStr">
        <is>
          <t>OFR-2024-0783</t>
        </is>
      </c>
      <c r="B784" s="43" t="n">
        <v>45464</v>
      </c>
      <c r="C784" s="37" t="inlineStr">
        <is>
          <t>WL-03237</t>
        </is>
      </c>
      <c r="D784" s="37" t="n">
        <v>2237</v>
      </c>
      <c r="E784" s="37" t="inlineStr">
        <is>
          <t>SB-0720</t>
        </is>
      </c>
      <c r="F784" s="37" t="inlineStr">
        <is>
          <t>Salmonberry</t>
        </is>
      </c>
      <c r="G784" s="37" t="n">
        <v>28</v>
      </c>
      <c r="H784" s="37" t="inlineStr">
        <is>
          <t>OPEN</t>
        </is>
      </c>
      <c r="I784" s="37" t="inlineStr">
        <is>
          <t>ACCEPTED</t>
        </is>
      </c>
    </row>
    <row r="785">
      <c r="A785" s="37" t="inlineStr">
        <is>
          <t>OFR-2024-0784</t>
        </is>
      </c>
      <c r="B785" s="43" t="n">
        <v>45457</v>
      </c>
      <c r="C785" s="37" t="inlineStr">
        <is>
          <t>WL-03527</t>
        </is>
      </c>
      <c r="D785" s="37" t="n">
        <v>2527</v>
      </c>
      <c r="E785" s="37" t="inlineStr">
        <is>
          <t>EW-0523</t>
        </is>
      </c>
      <c r="F785" s="37" t="inlineStr">
        <is>
          <t>Eastwey</t>
        </is>
      </c>
      <c r="G785" s="37" t="n">
        <v>24</v>
      </c>
      <c r="H785" s="37" t="inlineStr">
        <is>
          <t>OPEN</t>
        </is>
      </c>
      <c r="I785" s="37" t="inlineStr">
        <is>
          <t>SKIPPED</t>
        </is>
      </c>
      <c r="J785" s="37" t="inlineStr">
        <is>
          <t>not-current</t>
        </is>
      </c>
    </row>
    <row r="786">
      <c r="A786" s="37" t="inlineStr">
        <is>
          <t>OFR-2024-0785</t>
        </is>
      </c>
      <c r="B786" s="43" t="n">
        <v>45463</v>
      </c>
      <c r="C786" s="37" t="inlineStr">
        <is>
          <t>WL-02021</t>
        </is>
      </c>
      <c r="D786" s="37" t="n">
        <v>1021</v>
      </c>
      <c r="E786" s="37" t="inlineStr">
        <is>
          <t>SB-0122</t>
        </is>
      </c>
      <c r="F786" s="37" t="inlineStr">
        <is>
          <t>Salmonberry</t>
        </is>
      </c>
      <c r="G786" s="37" t="n">
        <v>24</v>
      </c>
      <c r="H786" s="37" t="inlineStr">
        <is>
          <t>OPEN</t>
        </is>
      </c>
      <c r="I786" s="37" t="inlineStr">
        <is>
          <t>DECLINED</t>
        </is>
      </c>
    </row>
    <row r="787">
      <c r="A787" s="37" t="inlineStr">
        <is>
          <t>OFR-2024-0786</t>
        </is>
      </c>
      <c r="B787" s="43" t="n">
        <v>45458</v>
      </c>
      <c r="C787" s="37" t="inlineStr">
        <is>
          <t>WL-03000</t>
        </is>
      </c>
      <c r="D787" s="37" t="n">
        <v>2000</v>
      </c>
      <c r="E787" s="37" t="inlineStr">
        <is>
          <t>GW-0509</t>
        </is>
      </c>
      <c r="F787" s="37" t="inlineStr">
        <is>
          <t>Gullwing</t>
        </is>
      </c>
      <c r="G787" s="37" t="n">
        <v>45</v>
      </c>
      <c r="H787" s="37" t="inlineStr">
        <is>
          <t>OPEN</t>
        </is>
      </c>
      <c r="I787" s="37" t="inlineStr">
        <is>
          <t>PENDING</t>
        </is>
      </c>
    </row>
    <row r="788">
      <c r="A788" s="37" t="inlineStr">
        <is>
          <t>OFR-2024-0787</t>
        </is>
      </c>
      <c r="B788" s="43" t="n">
        <v>45466</v>
      </c>
      <c r="C788" s="37" t="inlineStr">
        <is>
          <t>WL-01291</t>
        </is>
      </c>
      <c r="D788" s="37" t="n">
        <v>291</v>
      </c>
      <c r="E788" s="37" t="inlineStr">
        <is>
          <t>GW-0605</t>
        </is>
      </c>
      <c r="F788" s="37" t="inlineStr">
        <is>
          <t>Gullwing</t>
        </is>
      </c>
      <c r="G788" s="37" t="n">
        <v>24</v>
      </c>
      <c r="H788" s="37" t="inlineStr">
        <is>
          <t>OPEN</t>
        </is>
      </c>
      <c r="I788" s="37" t="inlineStr">
        <is>
          <t>DECLINED</t>
        </is>
      </c>
    </row>
    <row r="789">
      <c r="A789" s="37" t="inlineStr">
        <is>
          <t>OFR-2024-0788</t>
        </is>
      </c>
      <c r="B789" s="43" t="n">
        <v>45468</v>
      </c>
      <c r="C789" s="37" t="inlineStr">
        <is>
          <t>WL-01061</t>
        </is>
      </c>
      <c r="D789" s="37" t="n">
        <v>61</v>
      </c>
      <c r="E789" s="37" t="inlineStr">
        <is>
          <t>VB-0107</t>
        </is>
      </c>
      <c r="F789" s="37" t="inlineStr">
        <is>
          <t>Vessbank</t>
        </is>
      </c>
      <c r="G789" s="37" t="n">
        <v>24</v>
      </c>
      <c r="H789" s="37" t="inlineStr">
        <is>
          <t>COVERED</t>
        </is>
      </c>
      <c r="I789" s="37" t="inlineStr">
        <is>
          <t>ACCEPTED</t>
        </is>
      </c>
    </row>
    <row r="790">
      <c r="A790" s="37" t="inlineStr">
        <is>
          <t>OFR-2024-0789</t>
        </is>
      </c>
      <c r="B790" s="43" t="n">
        <v>45448</v>
      </c>
      <c r="C790" s="37" t="inlineStr">
        <is>
          <t>WL-01144</t>
        </is>
      </c>
      <c r="D790" s="37" t="n">
        <v>144</v>
      </c>
      <c r="E790" s="37" t="inlineStr">
        <is>
          <t>LP-0216</t>
        </is>
      </c>
      <c r="F790" s="37" t="inlineStr">
        <is>
          <t>Ledgport</t>
        </is>
      </c>
      <c r="G790" s="37" t="n">
        <v>32</v>
      </c>
      <c r="H790" s="37" t="inlineStr">
        <is>
          <t>COVERED</t>
        </is>
      </c>
      <c r="I790" s="37" t="inlineStr">
        <is>
          <t>SKIPPED</t>
        </is>
      </c>
      <c r="J790" s="37" t="inlineStr">
        <is>
          <t>vessel-fit</t>
        </is>
      </c>
    </row>
    <row r="791">
      <c r="A791" s="37" t="inlineStr">
        <is>
          <t>OFR-2024-0790</t>
        </is>
      </c>
      <c r="B791" s="43" t="n">
        <v>45445</v>
      </c>
      <c r="C791" s="37" t="inlineStr">
        <is>
          <t>WL-01649</t>
        </is>
      </c>
      <c r="D791" s="37" t="n">
        <v>649</v>
      </c>
      <c r="E791" s="37" t="inlineStr">
        <is>
          <t>GW-0422</t>
        </is>
      </c>
      <c r="F791" s="37" t="inlineStr">
        <is>
          <t>Gullwing</t>
        </is>
      </c>
      <c r="G791" s="37" t="n">
        <v>80</v>
      </c>
      <c r="H791" s="37" t="inlineStr">
        <is>
          <t>OPEN</t>
        </is>
      </c>
      <c r="I791" s="37" t="inlineStr">
        <is>
          <t>DECLINED_RETAINER</t>
        </is>
      </c>
    </row>
    <row r="792">
      <c r="A792" s="37" t="inlineStr">
        <is>
          <t>OFR-2024-0791</t>
        </is>
      </c>
      <c r="B792" s="43" t="n">
        <v>45451</v>
      </c>
      <c r="C792" s="37" t="inlineStr">
        <is>
          <t>WL-03390</t>
        </is>
      </c>
      <c r="D792" s="37" t="n">
        <v>2390</v>
      </c>
      <c r="E792" s="37" t="inlineStr">
        <is>
          <t>SB-0302</t>
        </is>
      </c>
      <c r="F792" s="37" t="inlineStr">
        <is>
          <t>Salmonberry</t>
        </is>
      </c>
      <c r="G792" s="37" t="n">
        <v>28</v>
      </c>
      <c r="H792" s="37" t="inlineStr">
        <is>
          <t>OPEN</t>
        </is>
      </c>
      <c r="I792" s="37" t="inlineStr">
        <is>
          <t>SKIPPED</t>
        </is>
      </c>
      <c r="J792" s="37" t="inlineStr">
        <is>
          <t>declined-prior-offer</t>
        </is>
      </c>
    </row>
    <row r="793">
      <c r="A793" s="37" t="inlineStr">
        <is>
          <t>OFR-2024-0792</t>
        </is>
      </c>
      <c r="B793" s="43" t="n">
        <v>45452</v>
      </c>
      <c r="C793" s="37" t="inlineStr">
        <is>
          <t>WL-01368</t>
        </is>
      </c>
      <c r="D793" s="37" t="n">
        <v>368</v>
      </c>
      <c r="E793" s="37" t="inlineStr">
        <is>
          <t>VB-0924</t>
        </is>
      </c>
      <c r="F793" s="37" t="inlineStr">
        <is>
          <t>Vessbank</t>
        </is>
      </c>
      <c r="G793" s="37" t="n">
        <v>32</v>
      </c>
      <c r="H793" s="37" t="inlineStr">
        <is>
          <t>COVERED</t>
        </is>
      </c>
      <c r="I793" s="37" t="inlineStr">
        <is>
          <t>SKIPPED</t>
        </is>
      </c>
      <c r="J793" s="37" t="inlineStr">
        <is>
          <t>preference-mismatch</t>
        </is>
      </c>
    </row>
    <row r="794">
      <c r="A794" s="37" t="inlineStr">
        <is>
          <t>OFR-2024-0793</t>
        </is>
      </c>
      <c r="B794" s="43" t="n">
        <v>45452</v>
      </c>
      <c r="C794" s="37" t="inlineStr">
        <is>
          <t>WL-01187</t>
        </is>
      </c>
      <c r="D794" s="37" t="n">
        <v>187</v>
      </c>
      <c r="E794" s="37" t="inlineStr">
        <is>
          <t>SB-0319</t>
        </is>
      </c>
      <c r="F794" s="37" t="inlineStr">
        <is>
          <t>Salmonberry</t>
        </is>
      </c>
      <c r="G794" s="37" t="n">
        <v>32</v>
      </c>
      <c r="H794" s="37" t="inlineStr">
        <is>
          <t>OPEN</t>
        </is>
      </c>
      <c r="I794" s="37" t="inlineStr">
        <is>
          <t>DECLINED</t>
        </is>
      </c>
    </row>
    <row r="795">
      <c r="A795" s="37" t="inlineStr">
        <is>
          <t>OFR-2024-0794</t>
        </is>
      </c>
      <c r="B795" s="43" t="n">
        <v>45460</v>
      </c>
      <c r="C795" s="37" t="inlineStr">
        <is>
          <t>WL-02114</t>
        </is>
      </c>
      <c r="D795" s="37" t="n">
        <v>1114</v>
      </c>
      <c r="E795" s="37" t="inlineStr">
        <is>
          <t>EW-0311</t>
        </is>
      </c>
      <c r="F795" s="37" t="inlineStr">
        <is>
          <t>Eastwey</t>
        </is>
      </c>
      <c r="G795" s="37" t="n">
        <v>32</v>
      </c>
      <c r="H795" s="37" t="inlineStr">
        <is>
          <t>OPEN</t>
        </is>
      </c>
      <c r="I795" s="37" t="inlineStr">
        <is>
          <t>DECLINED</t>
        </is>
      </c>
    </row>
    <row r="796">
      <c r="A796" s="37" t="inlineStr">
        <is>
          <t>OFR-2024-0795</t>
        </is>
      </c>
      <c r="B796" s="43" t="n">
        <v>45467</v>
      </c>
      <c r="C796" s="37" t="inlineStr">
        <is>
          <t>WL-02153</t>
        </is>
      </c>
      <c r="D796" s="37" t="n">
        <v>1153</v>
      </c>
      <c r="E796" s="37" t="inlineStr">
        <is>
          <t>GW-0715</t>
        </is>
      </c>
      <c r="F796" s="37" t="inlineStr">
        <is>
          <t>Gullwing</t>
        </is>
      </c>
      <c r="G796" s="37" t="n">
        <v>24</v>
      </c>
      <c r="H796" s="37" t="inlineStr">
        <is>
          <t>OPEN</t>
        </is>
      </c>
      <c r="I796" s="37" t="inlineStr">
        <is>
          <t>ACCEPTED</t>
        </is>
      </c>
    </row>
    <row r="797">
      <c r="A797" s="37" t="inlineStr">
        <is>
          <t>OFR-2024-0796</t>
        </is>
      </c>
      <c r="B797" s="43" t="n">
        <v>45469</v>
      </c>
      <c r="C797" s="37" t="inlineStr">
        <is>
          <t>WL-02740</t>
        </is>
      </c>
      <c r="D797" s="37" t="n">
        <v>1740</v>
      </c>
      <c r="E797" s="37" t="inlineStr">
        <is>
          <t>SB-0806</t>
        </is>
      </c>
      <c r="F797" s="37" t="inlineStr">
        <is>
          <t>Salmonberry</t>
        </is>
      </c>
      <c r="G797" s="37" t="n">
        <v>28</v>
      </c>
      <c r="H797" s="37" t="inlineStr">
        <is>
          <t>OPEN</t>
        </is>
      </c>
      <c r="I797" s="37" t="inlineStr">
        <is>
          <t>ACCEPTED</t>
        </is>
      </c>
    </row>
    <row r="798">
      <c r="A798" s="37" t="inlineStr">
        <is>
          <t>OFR-2024-0797</t>
        </is>
      </c>
      <c r="B798" s="43" t="n">
        <v>45456</v>
      </c>
      <c r="C798" s="37" t="inlineStr">
        <is>
          <t>WL-01704</t>
        </is>
      </c>
      <c r="D798" s="37" t="n">
        <v>704</v>
      </c>
      <c r="E798" s="37" t="inlineStr">
        <is>
          <t>LP-0421</t>
        </is>
      </c>
      <c r="F798" s="37" t="inlineStr">
        <is>
          <t>Ledgport</t>
        </is>
      </c>
      <c r="G798" s="37" t="n">
        <v>28</v>
      </c>
      <c r="H798" s="37" t="inlineStr">
        <is>
          <t>COVERED</t>
        </is>
      </c>
      <c r="I798" s="37" t="inlineStr">
        <is>
          <t>ACCEPTED</t>
        </is>
      </c>
    </row>
    <row r="799">
      <c r="A799" s="37" t="inlineStr">
        <is>
          <t>OFR-2024-0798</t>
        </is>
      </c>
      <c r="B799" s="43" t="n">
        <v>45453</v>
      </c>
      <c r="C799" s="37" t="inlineStr">
        <is>
          <t>WL-02366</t>
        </is>
      </c>
      <c r="D799" s="37" t="n">
        <v>1366</v>
      </c>
      <c r="E799" s="37" t="inlineStr">
        <is>
          <t>VB-0314</t>
        </is>
      </c>
      <c r="F799" s="37" t="inlineStr">
        <is>
          <t>Vessbank</t>
        </is>
      </c>
      <c r="G799" s="37" t="n">
        <v>24</v>
      </c>
      <c r="H799" s="37" t="inlineStr">
        <is>
          <t>COVERED</t>
        </is>
      </c>
      <c r="I799" s="37" t="inlineStr">
        <is>
          <t>DECLINED</t>
        </is>
      </c>
    </row>
    <row r="800">
      <c r="A800" s="37" t="inlineStr">
        <is>
          <t>OFR-2024-0799</t>
        </is>
      </c>
      <c r="B800" s="43" t="n">
        <v>45444</v>
      </c>
      <c r="C800" s="37" t="inlineStr">
        <is>
          <t>WL-02184</t>
        </is>
      </c>
      <c r="D800" s="37" t="n">
        <v>1184</v>
      </c>
      <c r="E800" s="37" t="inlineStr">
        <is>
          <t>LP-0513</t>
        </is>
      </c>
      <c r="F800" s="37" t="inlineStr">
        <is>
          <t>Ledgport</t>
        </is>
      </c>
      <c r="G800" s="37" t="n">
        <v>24</v>
      </c>
      <c r="H800" s="37" t="inlineStr">
        <is>
          <t>COVERED</t>
        </is>
      </c>
      <c r="I800" s="37" t="inlineStr">
        <is>
          <t>ACCEPTED</t>
        </is>
      </c>
    </row>
    <row r="801">
      <c r="A801" s="37" t="inlineStr">
        <is>
          <t>OFR-2024-0800</t>
        </is>
      </c>
      <c r="B801" s="43" t="n">
        <v>45461</v>
      </c>
      <c r="C801" s="37" t="inlineStr">
        <is>
          <t>WL-01437</t>
        </is>
      </c>
      <c r="D801" s="37" t="n">
        <v>437</v>
      </c>
      <c r="E801" s="37" t="inlineStr">
        <is>
          <t>VB-0606</t>
        </is>
      </c>
      <c r="F801" s="37" t="inlineStr">
        <is>
          <t>Vessbank</t>
        </is>
      </c>
      <c r="G801" s="37" t="n">
        <v>28</v>
      </c>
      <c r="H801" s="37" t="inlineStr">
        <is>
          <t>COVERED</t>
        </is>
      </c>
      <c r="I801" s="37" t="inlineStr">
        <is>
          <t>ACCEPTED</t>
        </is>
      </c>
    </row>
    <row r="802">
      <c r="A802" s="37" t="inlineStr">
        <is>
          <t>OFR-2024-0801</t>
        </is>
      </c>
      <c r="B802" s="43" t="n">
        <v>45457</v>
      </c>
      <c r="C802" s="37" t="inlineStr">
        <is>
          <t>WL-01948</t>
        </is>
      </c>
      <c r="D802" s="37" t="n">
        <v>948</v>
      </c>
      <c r="E802" s="37" t="inlineStr">
        <is>
          <t>SB-0515</t>
        </is>
      </c>
      <c r="F802" s="37" t="inlineStr">
        <is>
          <t>Salmonberry</t>
        </is>
      </c>
      <c r="G802" s="37" t="n">
        <v>40</v>
      </c>
      <c r="H802" s="37" t="inlineStr">
        <is>
          <t>OPEN</t>
        </is>
      </c>
      <c r="I802" s="37" t="inlineStr">
        <is>
          <t>DECLINED</t>
        </is>
      </c>
    </row>
    <row r="803">
      <c r="A803" s="37" t="inlineStr">
        <is>
          <t>OFR-2024-0802</t>
        </is>
      </c>
      <c r="B803" s="43" t="n">
        <v>45465</v>
      </c>
      <c r="C803" s="37" t="inlineStr">
        <is>
          <t>WL-02422</t>
        </is>
      </c>
      <c r="D803" s="37" t="n">
        <v>1422</v>
      </c>
      <c r="E803" s="37" t="inlineStr">
        <is>
          <t>GW-0307</t>
        </is>
      </c>
      <c r="F803" s="37" t="inlineStr">
        <is>
          <t>Gullwing</t>
        </is>
      </c>
      <c r="G803" s="37" t="n">
        <v>32</v>
      </c>
      <c r="H803" s="37" t="inlineStr">
        <is>
          <t>OPEN</t>
        </is>
      </c>
      <c r="I803" s="37" t="inlineStr">
        <is>
          <t>ACCEPTED</t>
        </is>
      </c>
    </row>
    <row r="804">
      <c r="A804" s="37" t="inlineStr">
        <is>
          <t>OFR-2024-0803</t>
        </is>
      </c>
      <c r="B804" s="43" t="n">
        <v>45469</v>
      </c>
      <c r="C804" s="37" t="inlineStr">
        <is>
          <t>WL-03688</t>
        </is>
      </c>
      <c r="D804" s="37" t="n">
        <v>2688</v>
      </c>
      <c r="E804" s="37" t="inlineStr">
        <is>
          <t>SB-0821</t>
        </is>
      </c>
      <c r="F804" s="37" t="inlineStr">
        <is>
          <t>Salmonberry</t>
        </is>
      </c>
      <c r="G804" s="37" t="n">
        <v>36</v>
      </c>
      <c r="H804" s="37" t="inlineStr">
        <is>
          <t>OPEN</t>
        </is>
      </c>
      <c r="I804" s="37" t="inlineStr">
        <is>
          <t>EXPIRED</t>
        </is>
      </c>
    </row>
    <row r="805">
      <c r="A805" s="37" t="inlineStr">
        <is>
          <t>OFR-2024-0804</t>
        </is>
      </c>
      <c r="B805" s="43" t="n">
        <v>45497</v>
      </c>
      <c r="C805" s="37" t="inlineStr">
        <is>
          <t>WL-02632</t>
        </is>
      </c>
      <c r="D805" s="37" t="n">
        <v>1632</v>
      </c>
      <c r="E805" s="37" t="inlineStr">
        <is>
          <t>VB-1016</t>
        </is>
      </c>
      <c r="F805" s="37" t="inlineStr">
        <is>
          <t>Vessbank</t>
        </is>
      </c>
      <c r="G805" s="37" t="n">
        <v>24</v>
      </c>
      <c r="H805" s="37" t="inlineStr">
        <is>
          <t>COVERED</t>
        </is>
      </c>
      <c r="I805" s="37" t="inlineStr">
        <is>
          <t>ACCEPTED</t>
        </is>
      </c>
    </row>
    <row r="806">
      <c r="A806" s="37" t="inlineStr">
        <is>
          <t>OFR-2024-0805</t>
        </is>
      </c>
      <c r="B806" s="43" t="n">
        <v>45498</v>
      </c>
      <c r="C806" s="37" t="inlineStr">
        <is>
          <t>WL-01152</t>
        </is>
      </c>
      <c r="D806" s="37" t="n">
        <v>152</v>
      </c>
      <c r="E806" s="37" t="inlineStr">
        <is>
          <t>SB-0523</t>
        </is>
      </c>
      <c r="F806" s="37" t="inlineStr">
        <is>
          <t>Salmonberry</t>
        </is>
      </c>
      <c r="G806" s="37" t="n">
        <v>32</v>
      </c>
      <c r="H806" s="37" t="inlineStr">
        <is>
          <t>OPEN</t>
        </is>
      </c>
      <c r="I806" s="37" t="inlineStr">
        <is>
          <t>DECLINED</t>
        </is>
      </c>
    </row>
    <row r="807">
      <c r="A807" s="37" t="inlineStr">
        <is>
          <t>OFR-2024-0806</t>
        </is>
      </c>
      <c r="B807" s="43" t="n">
        <v>45488</v>
      </c>
      <c r="C807" s="37" t="inlineStr">
        <is>
          <t>WL-02342</t>
        </is>
      </c>
      <c r="D807" s="37" t="n">
        <v>1342</v>
      </c>
      <c r="E807" s="37" t="inlineStr">
        <is>
          <t>LP-0910</t>
        </is>
      </c>
      <c r="F807" s="37" t="inlineStr">
        <is>
          <t>Ledgport</t>
        </is>
      </c>
      <c r="G807" s="37" t="n">
        <v>28</v>
      </c>
      <c r="H807" s="37" t="inlineStr">
        <is>
          <t>COVERED</t>
        </is>
      </c>
      <c r="I807" s="37" t="inlineStr">
        <is>
          <t>ACCEPTED</t>
        </is>
      </c>
    </row>
    <row r="808">
      <c r="A808" s="37" t="inlineStr">
        <is>
          <t>OFR-2024-0807</t>
        </is>
      </c>
      <c r="B808" s="43" t="n">
        <v>45492</v>
      </c>
      <c r="C808" s="37" t="inlineStr">
        <is>
          <t>WL-03718</t>
        </is>
      </c>
      <c r="D808" s="37" t="n">
        <v>2718</v>
      </c>
      <c r="E808" s="37" t="inlineStr">
        <is>
          <t>EW-0901</t>
        </is>
      </c>
      <c r="F808" s="37" t="inlineStr">
        <is>
          <t>Eastwey</t>
        </is>
      </c>
      <c r="G808" s="37" t="n">
        <v>28</v>
      </c>
      <c r="H808" s="37" t="inlineStr">
        <is>
          <t>OPEN</t>
        </is>
      </c>
      <c r="I808" s="37" t="inlineStr">
        <is>
          <t>ACCEPTED</t>
        </is>
      </c>
    </row>
    <row r="809">
      <c r="A809" s="37" t="inlineStr">
        <is>
          <t>OFR-2024-0808</t>
        </is>
      </c>
      <c r="B809" s="43" t="n">
        <v>45477</v>
      </c>
      <c r="C809" s="37" t="inlineStr">
        <is>
          <t>WL-02362</t>
        </is>
      </c>
      <c r="D809" s="37" t="n">
        <v>1362</v>
      </c>
      <c r="E809" s="37" t="inlineStr">
        <is>
          <t>VB-0923</t>
        </is>
      </c>
      <c r="F809" s="37" t="inlineStr">
        <is>
          <t>Vessbank</t>
        </is>
      </c>
      <c r="G809" s="37" t="n">
        <v>36</v>
      </c>
      <c r="H809" s="37" t="inlineStr">
        <is>
          <t>COVERED</t>
        </is>
      </c>
      <c r="I809" s="37" t="inlineStr">
        <is>
          <t>ACCEPTED</t>
        </is>
      </c>
    </row>
    <row r="810">
      <c r="A810" s="37" t="inlineStr">
        <is>
          <t>OFR-2024-0809</t>
        </is>
      </c>
      <c r="B810" s="43" t="n">
        <v>45480</v>
      </c>
      <c r="C810" s="37" t="inlineStr">
        <is>
          <t>WL-01943</t>
        </is>
      </c>
      <c r="D810" s="37" t="n">
        <v>943</v>
      </c>
      <c r="E810" s="37" t="inlineStr">
        <is>
          <t>GW-0506</t>
        </is>
      </c>
      <c r="F810" s="37" t="inlineStr">
        <is>
          <t>Gullwing</t>
        </is>
      </c>
      <c r="G810" s="37" t="n">
        <v>45</v>
      </c>
      <c r="H810" s="37" t="inlineStr">
        <is>
          <t>OPEN</t>
        </is>
      </c>
      <c r="I810" s="37" t="inlineStr">
        <is>
          <t>DECLINED</t>
        </is>
      </c>
    </row>
    <row r="811">
      <c r="A811" s="37" t="inlineStr">
        <is>
          <t>OFR-2024-0810</t>
        </is>
      </c>
      <c r="B811" s="43" t="n">
        <v>45489</v>
      </c>
      <c r="C811" s="37" t="inlineStr">
        <is>
          <t>WL-02818</t>
        </is>
      </c>
      <c r="D811" s="37" t="n">
        <v>1818</v>
      </c>
      <c r="E811" s="37" t="inlineStr">
        <is>
          <t>LP-0604</t>
        </is>
      </c>
      <c r="F811" s="37" t="inlineStr">
        <is>
          <t>Ledgport</t>
        </is>
      </c>
      <c r="G811" s="37" t="n">
        <v>40</v>
      </c>
      <c r="H811" s="37" t="inlineStr">
        <is>
          <t>COVERED</t>
        </is>
      </c>
      <c r="I811" s="37" t="inlineStr">
        <is>
          <t>ACCEPTED</t>
        </is>
      </c>
    </row>
    <row r="812">
      <c r="A812" s="37" t="inlineStr">
        <is>
          <t>OFR-2024-0811</t>
        </is>
      </c>
      <c r="B812" s="43" t="n">
        <v>45485</v>
      </c>
      <c r="C812" s="37" t="inlineStr">
        <is>
          <t>WL-01711</t>
        </is>
      </c>
      <c r="D812" s="37" t="n">
        <v>711</v>
      </c>
      <c r="E812" s="37" t="inlineStr">
        <is>
          <t>LP-0422</t>
        </is>
      </c>
      <c r="F812" s="37" t="inlineStr">
        <is>
          <t>Ledgport</t>
        </is>
      </c>
      <c r="G812" s="37" t="n">
        <v>32</v>
      </c>
      <c r="H812" s="37" t="inlineStr">
        <is>
          <t>COVERED</t>
        </is>
      </c>
      <c r="I812" s="37" t="inlineStr">
        <is>
          <t>DECLINED</t>
        </is>
      </c>
    </row>
    <row r="813">
      <c r="A813" s="37" t="inlineStr">
        <is>
          <t>OFR-2024-0812</t>
        </is>
      </c>
      <c r="B813" s="43" t="n">
        <v>45474</v>
      </c>
      <c r="C813" s="37" t="inlineStr">
        <is>
          <t>WL-01200</t>
        </is>
      </c>
      <c r="D813" s="37" t="n">
        <v>200</v>
      </c>
      <c r="E813" s="37" t="inlineStr">
        <is>
          <t>LP-0313</t>
        </is>
      </c>
      <c r="F813" s="37" t="inlineStr">
        <is>
          <t>Ledgport</t>
        </is>
      </c>
      <c r="G813" s="37" t="n">
        <v>32</v>
      </c>
      <c r="H813" s="37" t="inlineStr">
        <is>
          <t>COVERED</t>
        </is>
      </c>
      <c r="I813" s="37" t="inlineStr">
        <is>
          <t>DECLINED</t>
        </is>
      </c>
    </row>
    <row r="814">
      <c r="A814" s="37" t="inlineStr">
        <is>
          <t>OFR-2024-0813</t>
        </is>
      </c>
      <c r="B814" s="43" t="n">
        <v>45475</v>
      </c>
      <c r="C814" s="37" t="inlineStr">
        <is>
          <t>WL-02097</t>
        </is>
      </c>
      <c r="D814" s="37" t="n">
        <v>1097</v>
      </c>
      <c r="E814" s="37" t="inlineStr">
        <is>
          <t>LP-0214</t>
        </is>
      </c>
      <c r="F814" s="37" t="inlineStr">
        <is>
          <t>Ledgport</t>
        </is>
      </c>
      <c r="G814" s="37" t="n">
        <v>28</v>
      </c>
      <c r="H814" s="37" t="inlineStr">
        <is>
          <t>COVERED</t>
        </is>
      </c>
      <c r="I814" s="37" t="inlineStr">
        <is>
          <t>EXPIRED</t>
        </is>
      </c>
    </row>
    <row r="815">
      <c r="A815" s="37" t="inlineStr">
        <is>
          <t>OFR-2024-0814</t>
        </is>
      </c>
      <c r="B815" s="43" t="n">
        <v>45489</v>
      </c>
      <c r="C815" s="37" t="inlineStr">
        <is>
          <t>WL-01356</t>
        </is>
      </c>
      <c r="D815" s="37" t="n">
        <v>356</v>
      </c>
      <c r="E815" s="37" t="inlineStr">
        <is>
          <t>VB-0716</t>
        </is>
      </c>
      <c r="F815" s="37" t="inlineStr">
        <is>
          <t>Vessbank</t>
        </is>
      </c>
      <c r="G815" s="37" t="n">
        <v>32</v>
      </c>
      <c r="H815" s="37" t="inlineStr">
        <is>
          <t>COVERED</t>
        </is>
      </c>
      <c r="I815" s="37" t="inlineStr">
        <is>
          <t>EXPIRED</t>
        </is>
      </c>
    </row>
    <row r="816">
      <c r="A816" s="37" t="inlineStr">
        <is>
          <t>OFR-2024-0815</t>
        </is>
      </c>
      <c r="B816" s="43" t="n">
        <v>45481</v>
      </c>
      <c r="C816" s="37" t="inlineStr">
        <is>
          <t>WL-03757</t>
        </is>
      </c>
      <c r="D816" s="37" t="n">
        <v>2757</v>
      </c>
      <c r="E816" s="37" t="inlineStr">
        <is>
          <t>EW-0102</t>
        </is>
      </c>
      <c r="F816" s="37" t="inlineStr">
        <is>
          <t>Eastwey</t>
        </is>
      </c>
      <c r="G816" s="37" t="n">
        <v>24</v>
      </c>
      <c r="H816" s="37" t="inlineStr">
        <is>
          <t>OPEN</t>
        </is>
      </c>
      <c r="I816" s="37" t="inlineStr">
        <is>
          <t>DECLINED</t>
        </is>
      </c>
    </row>
    <row r="817">
      <c r="A817" s="37" t="inlineStr">
        <is>
          <t>OFR-2024-0816</t>
        </is>
      </c>
      <c r="B817" s="43" t="n">
        <v>45486</v>
      </c>
      <c r="C817" s="37" t="inlineStr">
        <is>
          <t>WL-01411</t>
        </is>
      </c>
      <c r="D817" s="37" t="n">
        <v>411</v>
      </c>
      <c r="E817" s="37" t="inlineStr">
        <is>
          <t>SB-0514</t>
        </is>
      </c>
      <c r="F817" s="37" t="inlineStr">
        <is>
          <t>Salmonberry</t>
        </is>
      </c>
      <c r="G817" s="37" t="n">
        <v>45</v>
      </c>
      <c r="H817" s="37" t="inlineStr">
        <is>
          <t>OPEN</t>
        </is>
      </c>
      <c r="I817" s="37" t="inlineStr">
        <is>
          <t>EXPIRED</t>
        </is>
      </c>
    </row>
    <row r="818">
      <c r="A818" s="37" t="inlineStr">
        <is>
          <t>OFR-2024-0817</t>
        </is>
      </c>
      <c r="B818" s="43" t="n">
        <v>45496</v>
      </c>
      <c r="C818" s="37" t="inlineStr">
        <is>
          <t>WL-02764</t>
        </is>
      </c>
      <c r="D818" s="37" t="n">
        <v>1764</v>
      </c>
      <c r="E818" s="37" t="inlineStr">
        <is>
          <t>GW-0215</t>
        </is>
      </c>
      <c r="F818" s="37" t="inlineStr">
        <is>
          <t>Gullwing</t>
        </is>
      </c>
      <c r="G818" s="37" t="n">
        <v>28</v>
      </c>
      <c r="H818" s="37" t="inlineStr">
        <is>
          <t>OPEN</t>
        </is>
      </c>
      <c r="I818" s="37" t="inlineStr">
        <is>
          <t>PENDING</t>
        </is>
      </c>
    </row>
    <row r="819">
      <c r="A819" s="37" t="inlineStr">
        <is>
          <t>OFR-2024-0818</t>
        </is>
      </c>
      <c r="B819" s="43" t="n">
        <v>45501</v>
      </c>
      <c r="C819" s="37" t="inlineStr">
        <is>
          <t>WL-01889</t>
        </is>
      </c>
      <c r="D819" s="37" t="n">
        <v>889</v>
      </c>
      <c r="E819" s="37" t="inlineStr">
        <is>
          <t>GW-0206</t>
        </is>
      </c>
      <c r="F819" s="37" t="inlineStr">
        <is>
          <t>Gullwing</t>
        </is>
      </c>
      <c r="G819" s="37" t="n">
        <v>24</v>
      </c>
      <c r="H819" s="37" t="inlineStr">
        <is>
          <t>OPEN</t>
        </is>
      </c>
      <c r="I819" s="37" t="inlineStr">
        <is>
          <t>SKIPPED</t>
        </is>
      </c>
      <c r="J819" s="37" t="inlineStr">
        <is>
          <t>vessel-fit</t>
        </is>
      </c>
    </row>
    <row r="820">
      <c r="A820" s="37" t="inlineStr">
        <is>
          <t>OFR-2024-0819</t>
        </is>
      </c>
      <c r="B820" s="43" t="n">
        <v>45494</v>
      </c>
      <c r="C820" s="37" t="inlineStr">
        <is>
          <t>WL-03135</t>
        </is>
      </c>
      <c r="D820" s="37" t="n">
        <v>2135</v>
      </c>
      <c r="E820" s="37" t="inlineStr">
        <is>
          <t>EW-0408</t>
        </is>
      </c>
      <c r="F820" s="37" t="inlineStr">
        <is>
          <t>Eastwey</t>
        </is>
      </c>
      <c r="G820" s="37" t="n">
        <v>28</v>
      </c>
      <c r="H820" s="37" t="inlineStr">
        <is>
          <t>OPEN</t>
        </is>
      </c>
      <c r="I820" s="37" t="inlineStr">
        <is>
          <t>DECLINED</t>
        </is>
      </c>
    </row>
    <row r="821">
      <c r="A821" s="37" t="inlineStr">
        <is>
          <t>OFR-2024-0820</t>
        </is>
      </c>
      <c r="B821" s="43" t="n">
        <v>45477</v>
      </c>
      <c r="C821" s="37" t="inlineStr">
        <is>
          <t>WL-01730</t>
        </is>
      </c>
      <c r="D821" s="37" t="n">
        <v>730</v>
      </c>
      <c r="E821" s="37" t="inlineStr">
        <is>
          <t>EW-0912</t>
        </is>
      </c>
      <c r="F821" s="37" t="inlineStr">
        <is>
          <t>Eastwey</t>
        </is>
      </c>
      <c r="G821" s="37" t="n">
        <v>70</v>
      </c>
      <c r="H821" s="37" t="inlineStr">
        <is>
          <t>OPEN</t>
        </is>
      </c>
      <c r="I821" s="37" t="inlineStr">
        <is>
          <t>ACCEPTED</t>
        </is>
      </c>
    </row>
    <row r="822">
      <c r="A822" s="37" t="inlineStr">
        <is>
          <t>OFR-2024-0821</t>
        </is>
      </c>
      <c r="B822" s="43" t="n">
        <v>45499</v>
      </c>
      <c r="C822" s="37" t="inlineStr">
        <is>
          <t>WL-03263</t>
        </is>
      </c>
      <c r="D822" s="37" t="n">
        <v>2263</v>
      </c>
      <c r="E822" s="37" t="inlineStr">
        <is>
          <t>LP-0624</t>
        </is>
      </c>
      <c r="F822" s="37" t="inlineStr">
        <is>
          <t>Ledgport</t>
        </is>
      </c>
      <c r="G822" s="37" t="n">
        <v>40</v>
      </c>
      <c r="H822" s="37" t="inlineStr">
        <is>
          <t>COVERED</t>
        </is>
      </c>
      <c r="I822" s="37" t="inlineStr">
        <is>
          <t>ACCEPTED</t>
        </is>
      </c>
    </row>
    <row r="823">
      <c r="A823" s="37" t="inlineStr">
        <is>
          <t>OFR-2024-0822</t>
        </is>
      </c>
      <c r="B823" s="43" t="n">
        <v>45488</v>
      </c>
      <c r="C823" s="37" t="inlineStr">
        <is>
          <t>WL-01316</t>
        </is>
      </c>
      <c r="D823" s="37" t="n">
        <v>316</v>
      </c>
      <c r="E823" s="37" t="inlineStr">
        <is>
          <t>LP-0622</t>
        </is>
      </c>
      <c r="F823" s="37" t="inlineStr">
        <is>
          <t>Ledgport</t>
        </is>
      </c>
      <c r="G823" s="37" t="n">
        <v>32</v>
      </c>
      <c r="H823" s="37" t="inlineStr">
        <is>
          <t>COVERED</t>
        </is>
      </c>
      <c r="I823" s="37" t="inlineStr">
        <is>
          <t>ACCEPTED</t>
        </is>
      </c>
    </row>
    <row r="824">
      <c r="A824" s="37" t="inlineStr">
        <is>
          <t>OFR-2024-0823</t>
        </is>
      </c>
      <c r="B824" s="43" t="n">
        <v>45478</v>
      </c>
      <c r="C824" s="37" t="inlineStr">
        <is>
          <t>WL-01691</t>
        </is>
      </c>
      <c r="D824" s="37" t="n">
        <v>691</v>
      </c>
      <c r="E824" s="37" t="inlineStr">
        <is>
          <t>LP-1024</t>
        </is>
      </c>
      <c r="F824" s="37" t="inlineStr">
        <is>
          <t>Ledgport</t>
        </is>
      </c>
      <c r="G824" s="37" t="n">
        <v>32</v>
      </c>
      <c r="H824" s="37" t="inlineStr">
        <is>
          <t>COVERED</t>
        </is>
      </c>
      <c r="I824" s="37" t="inlineStr">
        <is>
          <t>SKIPPED</t>
        </is>
      </c>
      <c r="J824" s="37" t="inlineStr">
        <is>
          <t>preference-mismatch</t>
        </is>
      </c>
    </row>
    <row r="825">
      <c r="A825" s="37" t="inlineStr">
        <is>
          <t>OFR-2024-0824</t>
        </is>
      </c>
      <c r="B825" s="43" t="n">
        <v>45487</v>
      </c>
      <c r="C825" s="37" t="inlineStr">
        <is>
          <t>WL-02850</t>
        </is>
      </c>
      <c r="D825" s="37" t="n">
        <v>1850</v>
      </c>
      <c r="E825" s="37" t="inlineStr">
        <is>
          <t>SB-0107</t>
        </is>
      </c>
      <c r="F825" s="37" t="inlineStr">
        <is>
          <t>Salmonberry</t>
        </is>
      </c>
      <c r="G825" s="37" t="n">
        <v>40</v>
      </c>
      <c r="H825" s="37" t="inlineStr">
        <is>
          <t>OPEN</t>
        </is>
      </c>
      <c r="I825" s="37" t="inlineStr">
        <is>
          <t>SKIPPED</t>
        </is>
      </c>
      <c r="J825" s="37" t="inlineStr">
        <is>
          <t>vessel-fit</t>
        </is>
      </c>
    </row>
    <row r="826">
      <c r="A826" s="37" t="inlineStr">
        <is>
          <t>OFR-2024-0825</t>
        </is>
      </c>
      <c r="B826" s="43" t="n">
        <v>45479</v>
      </c>
      <c r="C826" s="37" t="inlineStr">
        <is>
          <t>WL-01635</t>
        </is>
      </c>
      <c r="D826" s="37" t="n">
        <v>635</v>
      </c>
      <c r="E826" s="37" t="inlineStr">
        <is>
          <t>LP-0407</t>
        </is>
      </c>
      <c r="F826" s="37" t="inlineStr">
        <is>
          <t>Ledgport</t>
        </is>
      </c>
      <c r="G826" s="37" t="n">
        <v>28</v>
      </c>
      <c r="H826" s="37" t="inlineStr">
        <is>
          <t>COVERED</t>
        </is>
      </c>
      <c r="I826" s="37" t="inlineStr">
        <is>
          <t>DECLINED</t>
        </is>
      </c>
    </row>
    <row r="827">
      <c r="A827" s="37" t="inlineStr">
        <is>
          <t>OFR-2024-0826</t>
        </is>
      </c>
      <c r="B827" s="43" t="n">
        <v>45500</v>
      </c>
      <c r="C827" s="37" t="inlineStr">
        <is>
          <t>WL-03214</t>
        </is>
      </c>
      <c r="D827" s="37" t="n">
        <v>2214</v>
      </c>
      <c r="E827" s="37" t="inlineStr">
        <is>
          <t>VB-0316</t>
        </is>
      </c>
      <c r="F827" s="37" t="inlineStr">
        <is>
          <t>Vessbank</t>
        </is>
      </c>
      <c r="G827" s="37" t="n">
        <v>36</v>
      </c>
      <c r="H827" s="37" t="inlineStr">
        <is>
          <t>COVERED</t>
        </is>
      </c>
      <c r="I827" s="37" t="inlineStr">
        <is>
          <t>ACCEPTED</t>
        </is>
      </c>
    </row>
    <row r="828">
      <c r="A828" s="37" t="inlineStr">
        <is>
          <t>OFR-2024-0827</t>
        </is>
      </c>
      <c r="B828" s="43" t="n">
        <v>45495</v>
      </c>
      <c r="C828" s="37" t="inlineStr">
        <is>
          <t>WL-02119</t>
        </is>
      </c>
      <c r="D828" s="37" t="n">
        <v>1119</v>
      </c>
      <c r="E828" s="37" t="inlineStr">
        <is>
          <t>LP-0918</t>
        </is>
      </c>
      <c r="F828" s="37" t="inlineStr">
        <is>
          <t>Ledgport</t>
        </is>
      </c>
      <c r="G828" s="37" t="n">
        <v>36</v>
      </c>
      <c r="H828" s="37" t="inlineStr">
        <is>
          <t>COVERED</t>
        </is>
      </c>
      <c r="I828" s="37" t="inlineStr">
        <is>
          <t>ACCEPTED</t>
        </is>
      </c>
    </row>
    <row r="829">
      <c r="A829" s="37" t="inlineStr">
        <is>
          <t>OFR-2024-0828</t>
        </is>
      </c>
      <c r="B829" s="43" t="n">
        <v>45522</v>
      </c>
      <c r="C829" s="37" t="inlineStr">
        <is>
          <t>WL-03762</t>
        </is>
      </c>
      <c r="D829" s="37" t="n">
        <v>2762</v>
      </c>
      <c r="E829" s="37" t="inlineStr">
        <is>
          <t>LP-0513</t>
        </is>
      </c>
      <c r="F829" s="37" t="inlineStr">
        <is>
          <t>Ledgport</t>
        </is>
      </c>
      <c r="G829" s="37" t="n">
        <v>24</v>
      </c>
      <c r="H829" s="37" t="inlineStr">
        <is>
          <t>COVERED</t>
        </is>
      </c>
      <c r="I829" s="37" t="inlineStr">
        <is>
          <t>SKIPPED</t>
        </is>
      </c>
      <c r="J829" s="37" t="inlineStr">
        <is>
          <t>vessel-fit</t>
        </is>
      </c>
    </row>
    <row r="830">
      <c r="A830" s="37" t="inlineStr">
        <is>
          <t>OFR-2024-0829</t>
        </is>
      </c>
      <c r="B830" s="43" t="n">
        <v>45510</v>
      </c>
      <c r="C830" s="37" t="inlineStr">
        <is>
          <t>WL-03542</t>
        </is>
      </c>
      <c r="D830" s="37" t="n">
        <v>2542</v>
      </c>
      <c r="E830" s="37" t="inlineStr">
        <is>
          <t>SB-0319</t>
        </is>
      </c>
      <c r="F830" s="37" t="inlineStr">
        <is>
          <t>Salmonberry</t>
        </is>
      </c>
      <c r="G830" s="37" t="n">
        <v>32</v>
      </c>
      <c r="H830" s="37" t="inlineStr">
        <is>
          <t>OPEN</t>
        </is>
      </c>
      <c r="I830" s="37" t="inlineStr">
        <is>
          <t>SKIPPED</t>
        </is>
      </c>
      <c r="J830" s="37" t="inlineStr">
        <is>
          <t>vessel-fit</t>
        </is>
      </c>
    </row>
    <row r="831">
      <c r="A831" s="37" t="inlineStr">
        <is>
          <t>OFR-2024-0830</t>
        </is>
      </c>
      <c r="B831" s="43" t="n">
        <v>45520</v>
      </c>
      <c r="C831" s="37" t="inlineStr">
        <is>
          <t>WL-03759</t>
        </is>
      </c>
      <c r="D831" s="37" t="n">
        <v>2759</v>
      </c>
      <c r="E831" s="37" t="inlineStr">
        <is>
          <t>GW-0123</t>
        </is>
      </c>
      <c r="F831" s="37" t="inlineStr">
        <is>
          <t>Gullwing</t>
        </is>
      </c>
      <c r="G831" s="37" t="n">
        <v>80</v>
      </c>
      <c r="H831" s="37" t="inlineStr">
        <is>
          <t>OPEN</t>
        </is>
      </c>
      <c r="I831" s="37" t="inlineStr">
        <is>
          <t>SKIPPED</t>
        </is>
      </c>
      <c r="J831" s="37" t="inlineStr">
        <is>
          <t>not-current</t>
        </is>
      </c>
    </row>
    <row r="832">
      <c r="A832" s="37" t="inlineStr">
        <is>
          <t>OFR-2024-0831</t>
        </is>
      </c>
      <c r="B832" s="43" t="n">
        <v>45514</v>
      </c>
      <c r="C832" s="37" t="inlineStr">
        <is>
          <t>WL-01001</t>
        </is>
      </c>
      <c r="D832" s="37" t="n">
        <v>1</v>
      </c>
      <c r="E832" s="37" t="inlineStr">
        <is>
          <t>VB-1008</t>
        </is>
      </c>
      <c r="F832" s="37" t="inlineStr">
        <is>
          <t>Vessbank</t>
        </is>
      </c>
      <c r="G832" s="37" t="n">
        <v>36</v>
      </c>
      <c r="H832" s="37" t="inlineStr">
        <is>
          <t>COVERED</t>
        </is>
      </c>
      <c r="I832" s="37" t="inlineStr">
        <is>
          <t>SKIPPED</t>
        </is>
      </c>
      <c r="J832" s="37" t="inlineStr">
        <is>
          <t>not-current</t>
        </is>
      </c>
    </row>
    <row r="833">
      <c r="A833" s="37" t="inlineStr">
        <is>
          <t>OFR-2024-0832</t>
        </is>
      </c>
      <c r="B833" s="43" t="n">
        <v>45516</v>
      </c>
      <c r="C833" s="37" t="inlineStr">
        <is>
          <t>WL-03407</t>
        </is>
      </c>
      <c r="D833" s="37" t="n">
        <v>2407</v>
      </c>
      <c r="E833" s="37" t="inlineStr">
        <is>
          <t>EW-0319</t>
        </is>
      </c>
      <c r="F833" s="37" t="inlineStr">
        <is>
          <t>Eastwey</t>
        </is>
      </c>
      <c r="G833" s="37" t="n">
        <v>70</v>
      </c>
      <c r="H833" s="37" t="inlineStr">
        <is>
          <t>OPEN</t>
        </is>
      </c>
      <c r="I833" s="37" t="inlineStr">
        <is>
          <t>ACCEPTED</t>
        </is>
      </c>
    </row>
    <row r="834">
      <c r="A834" s="37" t="inlineStr">
        <is>
          <t>OFR-2024-0833</t>
        </is>
      </c>
      <c r="B834" s="43" t="n">
        <v>45530</v>
      </c>
      <c r="C834" s="37" t="inlineStr">
        <is>
          <t>WL-01336</t>
        </is>
      </c>
      <c r="D834" s="37" t="n">
        <v>336</v>
      </c>
      <c r="E834" s="37" t="inlineStr">
        <is>
          <t>GW-0102</t>
        </is>
      </c>
      <c r="F834" s="37" t="inlineStr">
        <is>
          <t>Gullwing</t>
        </is>
      </c>
      <c r="G834" s="37" t="n">
        <v>40</v>
      </c>
      <c r="H834" s="37" t="inlineStr">
        <is>
          <t>OPEN</t>
        </is>
      </c>
      <c r="I834" s="37" t="inlineStr">
        <is>
          <t>ACCEPTED</t>
        </is>
      </c>
    </row>
    <row r="835">
      <c r="A835" s="37" t="inlineStr">
        <is>
          <t>OFR-2024-0834</t>
        </is>
      </c>
      <c r="B835" s="43" t="n">
        <v>45523</v>
      </c>
      <c r="C835" s="37" t="inlineStr">
        <is>
          <t>WL-02710</t>
        </is>
      </c>
      <c r="D835" s="37" t="n">
        <v>1710</v>
      </c>
      <c r="E835" s="37" t="inlineStr">
        <is>
          <t>SB-0523</t>
        </is>
      </c>
      <c r="F835" s="37" t="inlineStr">
        <is>
          <t>Salmonberry</t>
        </is>
      </c>
      <c r="G835" s="37" t="n">
        <v>32</v>
      </c>
      <c r="H835" s="37" t="inlineStr">
        <is>
          <t>OPEN</t>
        </is>
      </c>
      <c r="I835" s="37" t="inlineStr">
        <is>
          <t>DECLINED</t>
        </is>
      </c>
    </row>
    <row r="836">
      <c r="A836" s="37" t="inlineStr">
        <is>
          <t>OFR-2024-0835</t>
        </is>
      </c>
      <c r="B836" s="43" t="n">
        <v>45521</v>
      </c>
      <c r="C836" s="37" t="inlineStr">
        <is>
          <t>WL-01264</t>
        </is>
      </c>
      <c r="D836" s="37" t="n">
        <v>264</v>
      </c>
      <c r="E836" s="37" t="inlineStr">
        <is>
          <t>LP-0910</t>
        </is>
      </c>
      <c r="F836" s="37" t="inlineStr">
        <is>
          <t>Ledgport</t>
        </is>
      </c>
      <c r="G836" s="37" t="n">
        <v>28</v>
      </c>
      <c r="H836" s="37" t="inlineStr">
        <is>
          <t>COVERED</t>
        </is>
      </c>
      <c r="I836" s="37" t="inlineStr">
        <is>
          <t>ACCEPTED</t>
        </is>
      </c>
    </row>
    <row r="837">
      <c r="A837" s="37" t="inlineStr">
        <is>
          <t>OFR-2024-0836</t>
        </is>
      </c>
      <c r="B837" s="43" t="n">
        <v>45516</v>
      </c>
      <c r="C837" s="37" t="inlineStr">
        <is>
          <t>WL-01468</t>
        </is>
      </c>
      <c r="D837" s="37" t="n">
        <v>468</v>
      </c>
      <c r="E837" s="37" t="inlineStr">
        <is>
          <t>EW-1007</t>
        </is>
      </c>
      <c r="F837" s="37" t="inlineStr">
        <is>
          <t>Eastwey</t>
        </is>
      </c>
      <c r="G837" s="37" t="n">
        <v>32</v>
      </c>
      <c r="H837" s="37" t="inlineStr">
        <is>
          <t>OPEN</t>
        </is>
      </c>
      <c r="I837" s="37" t="inlineStr">
        <is>
          <t>ACCEPTED</t>
        </is>
      </c>
    </row>
    <row r="838">
      <c r="A838" s="37" t="inlineStr">
        <is>
          <t>OFR-2024-0837</t>
        </is>
      </c>
      <c r="B838" s="43" t="n">
        <v>45516</v>
      </c>
      <c r="C838" s="37" t="inlineStr">
        <is>
          <t>WL-01324</t>
        </is>
      </c>
      <c r="D838" s="37" t="n">
        <v>324</v>
      </c>
      <c r="E838" s="37" t="inlineStr">
        <is>
          <t>LP-0702</t>
        </is>
      </c>
      <c r="F838" s="37" t="inlineStr">
        <is>
          <t>Ledgport</t>
        </is>
      </c>
      <c r="G838" s="37" t="n">
        <v>32</v>
      </c>
      <c r="H838" s="37" t="inlineStr">
        <is>
          <t>COVERED</t>
        </is>
      </c>
      <c r="I838" s="37" t="inlineStr">
        <is>
          <t>DECLINED_RETAINER</t>
        </is>
      </c>
    </row>
    <row r="839">
      <c r="A839" s="37" t="inlineStr">
        <is>
          <t>OFR-2024-0838</t>
        </is>
      </c>
      <c r="B839" s="43" t="n">
        <v>45529</v>
      </c>
      <c r="C839" s="37" t="inlineStr">
        <is>
          <t>WL-02791</t>
        </is>
      </c>
      <c r="D839" s="37" t="n">
        <v>1791</v>
      </c>
      <c r="E839" s="37" t="inlineStr">
        <is>
          <t>SB-0205</t>
        </is>
      </c>
      <c r="F839" s="37" t="inlineStr">
        <is>
          <t>Salmonberry</t>
        </is>
      </c>
      <c r="G839" s="37" t="n">
        <v>45</v>
      </c>
      <c r="H839" s="37" t="inlineStr">
        <is>
          <t>OPEN</t>
        </is>
      </c>
      <c r="I839" s="37" t="inlineStr">
        <is>
          <t>SKIPPED</t>
        </is>
      </c>
      <c r="J839" s="37" t="inlineStr">
        <is>
          <t>vessel-fit</t>
        </is>
      </c>
    </row>
    <row r="840">
      <c r="A840" s="37" t="inlineStr">
        <is>
          <t>OFR-2024-0839</t>
        </is>
      </c>
      <c r="B840" s="43" t="n">
        <v>45527</v>
      </c>
      <c r="C840" s="37" t="inlineStr">
        <is>
          <t>WL-03454</t>
        </is>
      </c>
      <c r="D840" s="37" t="n">
        <v>2454</v>
      </c>
      <c r="E840" s="37" t="inlineStr">
        <is>
          <t>LP-0212</t>
        </is>
      </c>
      <c r="F840" s="37" t="inlineStr">
        <is>
          <t>Ledgport</t>
        </is>
      </c>
      <c r="G840" s="37" t="n">
        <v>24</v>
      </c>
      <c r="H840" s="37" t="inlineStr">
        <is>
          <t>COVERED</t>
        </is>
      </c>
      <c r="I840" s="37" t="inlineStr">
        <is>
          <t>ACCEPTED</t>
        </is>
      </c>
    </row>
    <row r="841">
      <c r="A841" s="37" t="inlineStr">
        <is>
          <t>OFR-2024-0840</t>
        </is>
      </c>
      <c r="B841" s="43" t="n">
        <v>45510</v>
      </c>
      <c r="C841" s="37" t="inlineStr">
        <is>
          <t>WL-02428</t>
        </is>
      </c>
      <c r="D841" s="37" t="n">
        <v>1428</v>
      </c>
      <c r="E841" s="37" t="inlineStr">
        <is>
          <t>EW-0609</t>
        </is>
      </c>
      <c r="F841" s="37" t="inlineStr">
        <is>
          <t>Eastwey</t>
        </is>
      </c>
      <c r="G841" s="37" t="n">
        <v>28</v>
      </c>
      <c r="H841" s="37" t="inlineStr">
        <is>
          <t>OPEN</t>
        </is>
      </c>
      <c r="I841" s="37" t="inlineStr">
        <is>
          <t>DECLINED</t>
        </is>
      </c>
    </row>
    <row r="842">
      <c r="A842" s="37" t="inlineStr">
        <is>
          <t>OFR-2024-0841</t>
        </is>
      </c>
      <c r="B842" s="43" t="n">
        <v>45506</v>
      </c>
      <c r="C842" s="37" t="inlineStr">
        <is>
          <t>WL-01303</t>
        </is>
      </c>
      <c r="D842" s="37" t="n">
        <v>303</v>
      </c>
      <c r="E842" s="37" t="inlineStr">
        <is>
          <t>VB-0524</t>
        </is>
      </c>
      <c r="F842" s="37" t="inlineStr">
        <is>
          <t>Vessbank</t>
        </is>
      </c>
      <c r="G842" s="37" t="n">
        <v>28</v>
      </c>
      <c r="H842" s="37" t="inlineStr">
        <is>
          <t>COVERED</t>
        </is>
      </c>
      <c r="I842" s="37" t="inlineStr">
        <is>
          <t>ACCEPTED</t>
        </is>
      </c>
    </row>
    <row r="843">
      <c r="A843" s="37" t="inlineStr">
        <is>
          <t>OFR-2024-0842</t>
        </is>
      </c>
      <c r="B843" s="43" t="n">
        <v>45521</v>
      </c>
      <c r="C843" s="37" t="inlineStr">
        <is>
          <t>WL-03253</t>
        </is>
      </c>
      <c r="D843" s="37" t="n">
        <v>2253</v>
      </c>
      <c r="E843" s="37" t="inlineStr">
        <is>
          <t>VB-0219</t>
        </is>
      </c>
      <c r="F843" s="37" t="inlineStr">
        <is>
          <t>Vessbank</t>
        </is>
      </c>
      <c r="G843" s="37" t="n">
        <v>28</v>
      </c>
      <c r="H843" s="37" t="inlineStr">
        <is>
          <t>COVERED</t>
        </is>
      </c>
      <c r="I843" s="37" t="inlineStr">
        <is>
          <t>ACCEPTED</t>
        </is>
      </c>
    </row>
    <row r="844">
      <c r="A844" s="37" t="inlineStr">
        <is>
          <t>OFR-2024-0843</t>
        </is>
      </c>
      <c r="B844" s="43" t="n">
        <v>45505</v>
      </c>
      <c r="C844" s="37" t="inlineStr">
        <is>
          <t>WL-03049</t>
        </is>
      </c>
      <c r="D844" s="37" t="n">
        <v>2049</v>
      </c>
      <c r="E844" s="37" t="inlineStr">
        <is>
          <t>GW-1002</t>
        </is>
      </c>
      <c r="F844" s="37" t="inlineStr">
        <is>
          <t>Gullwing</t>
        </is>
      </c>
      <c r="G844" s="37" t="n">
        <v>60</v>
      </c>
      <c r="H844" s="37" t="inlineStr">
        <is>
          <t>OPEN</t>
        </is>
      </c>
      <c r="I844" s="37" t="inlineStr">
        <is>
          <t>EXPIRED</t>
        </is>
      </c>
    </row>
    <row r="845">
      <c r="A845" s="37" t="inlineStr">
        <is>
          <t>OFR-2024-0844</t>
        </is>
      </c>
      <c r="B845" s="43" t="n">
        <v>45515</v>
      </c>
      <c r="C845" s="37" t="inlineStr">
        <is>
          <t>WL-02390</t>
        </is>
      </c>
      <c r="D845" s="37" t="n">
        <v>1390</v>
      </c>
      <c r="E845" s="37" t="inlineStr">
        <is>
          <t>GW-0412</t>
        </is>
      </c>
      <c r="F845" s="37" t="inlineStr">
        <is>
          <t>Gullwing</t>
        </is>
      </c>
      <c r="G845" s="37" t="n">
        <v>24</v>
      </c>
      <c r="H845" s="37" t="inlineStr">
        <is>
          <t>OPEN</t>
        </is>
      </c>
      <c r="I845" s="37" t="inlineStr">
        <is>
          <t>ACCEPTED</t>
        </is>
      </c>
    </row>
    <row r="846">
      <c r="A846" s="37" t="inlineStr">
        <is>
          <t>OFR-2024-0845</t>
        </is>
      </c>
      <c r="B846" s="43" t="n">
        <v>45532</v>
      </c>
      <c r="C846" s="37" t="inlineStr">
        <is>
          <t>WL-01998</t>
        </is>
      </c>
      <c r="D846" s="37" t="n">
        <v>998</v>
      </c>
      <c r="E846" s="37" t="inlineStr">
        <is>
          <t>EW-0118</t>
        </is>
      </c>
      <c r="F846" s="37" t="inlineStr">
        <is>
          <t>Eastwey</t>
        </is>
      </c>
      <c r="G846" s="37" t="n">
        <v>45</v>
      </c>
      <c r="H846" s="37" t="inlineStr">
        <is>
          <t>OPEN</t>
        </is>
      </c>
      <c r="I846" s="37" t="inlineStr">
        <is>
          <t>SKIPPED</t>
        </is>
      </c>
      <c r="J846" s="37" t="inlineStr">
        <is>
          <t>vessel-fit</t>
        </is>
      </c>
    </row>
    <row r="847">
      <c r="A847" s="37" t="inlineStr">
        <is>
          <t>OFR-2024-0846</t>
        </is>
      </c>
      <c r="B847" s="43" t="n">
        <v>45521</v>
      </c>
      <c r="C847" s="37" t="inlineStr">
        <is>
          <t>WL-01417</t>
        </is>
      </c>
      <c r="D847" s="37" t="n">
        <v>417</v>
      </c>
      <c r="E847" s="37" t="inlineStr">
        <is>
          <t>SB-0202</t>
        </is>
      </c>
      <c r="F847" s="37" t="inlineStr">
        <is>
          <t>Salmonberry</t>
        </is>
      </c>
      <c r="G847" s="37" t="n">
        <v>80</v>
      </c>
      <c r="H847" s="37" t="inlineStr">
        <is>
          <t>OPEN</t>
        </is>
      </c>
      <c r="I847" s="37" t="inlineStr">
        <is>
          <t>EXPIRED</t>
        </is>
      </c>
    </row>
    <row r="848">
      <c r="A848" s="37" t="inlineStr">
        <is>
          <t>OFR-2024-0847</t>
        </is>
      </c>
      <c r="B848" s="43" t="n">
        <v>45514</v>
      </c>
      <c r="C848" s="37" t="inlineStr">
        <is>
          <t>WL-02085</t>
        </is>
      </c>
      <c r="D848" s="37" t="n">
        <v>1085</v>
      </c>
      <c r="E848" s="37" t="inlineStr">
        <is>
          <t>LP-0607</t>
        </is>
      </c>
      <c r="F848" s="37" t="inlineStr">
        <is>
          <t>Ledgport</t>
        </is>
      </c>
      <c r="G848" s="37" t="n">
        <v>40</v>
      </c>
      <c r="H848" s="37" t="inlineStr">
        <is>
          <t>COVERED</t>
        </is>
      </c>
      <c r="I848" s="37" t="inlineStr">
        <is>
          <t>PENDING</t>
        </is>
      </c>
    </row>
    <row r="849">
      <c r="A849" s="37" t="inlineStr">
        <is>
          <t>OFR-2024-0848</t>
        </is>
      </c>
      <c r="B849" s="43" t="n">
        <v>45525</v>
      </c>
      <c r="C849" s="37" t="inlineStr">
        <is>
          <t>WL-01832</t>
        </is>
      </c>
      <c r="D849" s="37" t="n">
        <v>832</v>
      </c>
      <c r="E849" s="37" t="inlineStr">
        <is>
          <t>VB-0813</t>
        </is>
      </c>
      <c r="F849" s="37" t="inlineStr">
        <is>
          <t>Vessbank</t>
        </is>
      </c>
      <c r="G849" s="37" t="n">
        <v>28</v>
      </c>
      <c r="H849" s="37" t="inlineStr">
        <is>
          <t>COVERED</t>
        </is>
      </c>
      <c r="I849" s="37" t="inlineStr">
        <is>
          <t>DECLINED_RETAINER</t>
        </is>
      </c>
    </row>
    <row r="850">
      <c r="A850" s="37" t="inlineStr">
        <is>
          <t>OFR-2024-0849</t>
        </is>
      </c>
      <c r="B850" s="43" t="n">
        <v>45526</v>
      </c>
      <c r="C850" s="37" t="inlineStr">
        <is>
          <t>WL-03632</t>
        </is>
      </c>
      <c r="D850" s="37" t="n">
        <v>2632</v>
      </c>
      <c r="E850" s="37" t="inlineStr">
        <is>
          <t>VB-0324</t>
        </is>
      </c>
      <c r="F850" s="37" t="inlineStr">
        <is>
          <t>Vessbank</t>
        </is>
      </c>
      <c r="G850" s="37" t="n">
        <v>36</v>
      </c>
      <c r="H850" s="37" t="inlineStr">
        <is>
          <t>COVERED</t>
        </is>
      </c>
      <c r="I850" s="37" t="inlineStr">
        <is>
          <t>ACCEPTED</t>
        </is>
      </c>
    </row>
    <row r="851">
      <c r="A851" s="37" t="inlineStr">
        <is>
          <t>OFR-2024-0850</t>
        </is>
      </c>
      <c r="B851" s="43" t="n">
        <v>45512</v>
      </c>
      <c r="C851" s="37" t="inlineStr">
        <is>
          <t>WL-03579</t>
        </is>
      </c>
      <c r="D851" s="37" t="n">
        <v>2579</v>
      </c>
      <c r="E851" s="37" t="inlineStr">
        <is>
          <t>EW-0801</t>
        </is>
      </c>
      <c r="F851" s="37" t="inlineStr">
        <is>
          <t>Eastwey</t>
        </is>
      </c>
      <c r="G851" s="37" t="n">
        <v>45</v>
      </c>
      <c r="H851" s="37" t="inlineStr">
        <is>
          <t>OPEN</t>
        </is>
      </c>
      <c r="I851" s="37" t="inlineStr">
        <is>
          <t>EXPIRED</t>
        </is>
      </c>
    </row>
    <row r="852">
      <c r="A852" s="37" t="inlineStr">
        <is>
          <t>OFR-2024-0851</t>
        </is>
      </c>
      <c r="B852" s="43" t="n">
        <v>45521</v>
      </c>
      <c r="C852" s="37" t="inlineStr">
        <is>
          <t>WL-02961</t>
        </is>
      </c>
      <c r="D852" s="37" t="n">
        <v>1961</v>
      </c>
      <c r="E852" s="37" t="inlineStr">
        <is>
          <t>LP-0903</t>
        </is>
      </c>
      <c r="F852" s="37" t="inlineStr">
        <is>
          <t>Ledgport</t>
        </is>
      </c>
      <c r="G852" s="37" t="n">
        <v>36</v>
      </c>
      <c r="H852" s="37" t="inlineStr">
        <is>
          <t>COVERED</t>
        </is>
      </c>
      <c r="I852" s="37" t="inlineStr">
        <is>
          <t>EXPIRED</t>
        </is>
      </c>
    </row>
    <row r="853">
      <c r="A853" s="37" t="inlineStr">
        <is>
          <t>OFR-2024-0852</t>
        </is>
      </c>
      <c r="B853" s="43" t="n">
        <v>45530</v>
      </c>
      <c r="C853" s="37" t="inlineStr">
        <is>
          <t>WL-01959</t>
        </is>
      </c>
      <c r="D853" s="37" t="n">
        <v>959</v>
      </c>
      <c r="E853" s="37" t="inlineStr">
        <is>
          <t>SB-0702</t>
        </is>
      </c>
      <c r="F853" s="37" t="inlineStr">
        <is>
          <t>Salmonberry</t>
        </is>
      </c>
      <c r="G853" s="37" t="n">
        <v>50</v>
      </c>
      <c r="H853" s="37" t="inlineStr">
        <is>
          <t>OPEN</t>
        </is>
      </c>
      <c r="I853" s="37" t="inlineStr">
        <is>
          <t>ACCEPTED</t>
        </is>
      </c>
    </row>
    <row r="854">
      <c r="A854" s="37" t="inlineStr">
        <is>
          <t>OFR-2024-0853</t>
        </is>
      </c>
      <c r="B854" s="43" t="n">
        <v>45512</v>
      </c>
      <c r="C854" s="37" t="inlineStr">
        <is>
          <t>WL-03807</t>
        </is>
      </c>
      <c r="D854" s="37" t="n">
        <v>2807</v>
      </c>
      <c r="E854" s="37" t="inlineStr">
        <is>
          <t>GW-0913</t>
        </is>
      </c>
      <c r="F854" s="37" t="inlineStr">
        <is>
          <t>Gullwing</t>
        </is>
      </c>
      <c r="G854" s="37" t="n">
        <v>28</v>
      </c>
      <c r="H854" s="37" t="inlineStr">
        <is>
          <t>OPEN</t>
        </is>
      </c>
      <c r="I854" s="37" t="inlineStr">
        <is>
          <t>ACCEPTED</t>
        </is>
      </c>
    </row>
    <row r="855">
      <c r="A855" s="37" t="inlineStr">
        <is>
          <t>OFR-2024-0854</t>
        </is>
      </c>
      <c r="B855" s="43" t="n">
        <v>45519</v>
      </c>
      <c r="C855" s="37" t="inlineStr">
        <is>
          <t>WL-03112</t>
        </is>
      </c>
      <c r="D855" s="37" t="n">
        <v>2112</v>
      </c>
      <c r="E855" s="37" t="inlineStr">
        <is>
          <t>SB-0322</t>
        </is>
      </c>
      <c r="F855" s="37" t="inlineStr">
        <is>
          <t>Salmonberry</t>
        </is>
      </c>
      <c r="G855" s="37" t="n">
        <v>24</v>
      </c>
      <c r="H855" s="37" t="inlineStr">
        <is>
          <t>OPEN</t>
        </is>
      </c>
      <c r="I855" s="37" t="inlineStr">
        <is>
          <t>ACCEPTED</t>
        </is>
      </c>
    </row>
    <row r="856">
      <c r="A856" s="37" t="inlineStr">
        <is>
          <t>OFR-2024-0855</t>
        </is>
      </c>
      <c r="B856" s="43" t="n">
        <v>45524</v>
      </c>
      <c r="C856" s="37" t="inlineStr">
        <is>
          <t>WL-03838</t>
        </is>
      </c>
      <c r="D856" s="37" t="n">
        <v>2838</v>
      </c>
      <c r="E856" s="37" t="inlineStr">
        <is>
          <t>LP-0107</t>
        </is>
      </c>
      <c r="F856" s="37" t="inlineStr">
        <is>
          <t>Ledgport</t>
        </is>
      </c>
      <c r="G856" s="37" t="n">
        <v>24</v>
      </c>
      <c r="H856" s="37" t="inlineStr">
        <is>
          <t>COVERED</t>
        </is>
      </c>
      <c r="I856" s="37" t="inlineStr">
        <is>
          <t>DECLINED_RETAINER</t>
        </is>
      </c>
    </row>
    <row r="857">
      <c r="A857" s="37" t="inlineStr">
        <is>
          <t>OFR-2024-0856</t>
        </is>
      </c>
      <c r="B857" s="43" t="n">
        <v>45531</v>
      </c>
      <c r="C857" s="37" t="inlineStr">
        <is>
          <t>WL-01244</t>
        </is>
      </c>
      <c r="D857" s="37" t="n">
        <v>244</v>
      </c>
      <c r="E857" s="37" t="inlineStr">
        <is>
          <t>EW-1014</t>
        </is>
      </c>
      <c r="F857" s="37" t="inlineStr">
        <is>
          <t>Eastwey</t>
        </is>
      </c>
      <c r="G857" s="37" t="n">
        <v>40</v>
      </c>
      <c r="H857" s="37" t="inlineStr">
        <is>
          <t>OPEN</t>
        </is>
      </c>
      <c r="I857" s="37" t="inlineStr">
        <is>
          <t>ACCEPTED</t>
        </is>
      </c>
    </row>
    <row r="858">
      <c r="A858" s="37" t="inlineStr">
        <is>
          <t>OFR-2024-0857</t>
        </is>
      </c>
      <c r="B858" s="43" t="n">
        <v>45518</v>
      </c>
      <c r="C858" s="37" t="inlineStr">
        <is>
          <t>WL-01765</t>
        </is>
      </c>
      <c r="D858" s="37" t="n">
        <v>765</v>
      </c>
      <c r="E858" s="37" t="inlineStr">
        <is>
          <t>GW-1012</t>
        </is>
      </c>
      <c r="F858" s="37" t="inlineStr">
        <is>
          <t>Gullwing</t>
        </is>
      </c>
      <c r="G858" s="37" t="n">
        <v>80</v>
      </c>
      <c r="H858" s="37" t="inlineStr">
        <is>
          <t>OPEN</t>
        </is>
      </c>
      <c r="I858" s="37" t="inlineStr">
        <is>
          <t>DECLINED</t>
        </is>
      </c>
    </row>
    <row r="859">
      <c r="A859" s="37" t="inlineStr">
        <is>
          <t>OFR-2024-0858</t>
        </is>
      </c>
      <c r="B859" s="43" t="n">
        <v>45530</v>
      </c>
      <c r="C859" s="37" t="inlineStr">
        <is>
          <t>WL-02202</t>
        </is>
      </c>
      <c r="D859" s="37" t="n">
        <v>1202</v>
      </c>
      <c r="E859" s="37" t="inlineStr">
        <is>
          <t>VB-0105</t>
        </is>
      </c>
      <c r="F859" s="37" t="inlineStr">
        <is>
          <t>Vessbank</t>
        </is>
      </c>
      <c r="G859" s="37" t="n">
        <v>40</v>
      </c>
      <c r="H859" s="37" t="inlineStr">
        <is>
          <t>COVERED</t>
        </is>
      </c>
      <c r="I859" s="37" t="inlineStr">
        <is>
          <t>ACCEPTED</t>
        </is>
      </c>
    </row>
    <row r="860">
      <c r="A860" s="37" t="inlineStr">
        <is>
          <t>OFR-2024-0859</t>
        </is>
      </c>
      <c r="B860" s="43" t="n">
        <v>45528</v>
      </c>
      <c r="C860" s="37" t="inlineStr">
        <is>
          <t>WL-01566</t>
        </is>
      </c>
      <c r="D860" s="37" t="n">
        <v>566</v>
      </c>
      <c r="E860" s="37" t="inlineStr">
        <is>
          <t>VB-0913</t>
        </is>
      </c>
      <c r="F860" s="37" t="inlineStr">
        <is>
          <t>Vessbank</t>
        </is>
      </c>
      <c r="G860" s="37" t="n">
        <v>24</v>
      </c>
      <c r="H860" s="37" t="inlineStr">
        <is>
          <t>COVERED</t>
        </is>
      </c>
      <c r="I860" s="37" t="inlineStr">
        <is>
          <t>ACCEPTED</t>
        </is>
      </c>
    </row>
    <row r="861">
      <c r="A861" s="37" t="inlineStr">
        <is>
          <t>OFR-2024-0860</t>
        </is>
      </c>
      <c r="B861" s="43" t="n">
        <v>45529</v>
      </c>
      <c r="C861" s="37" t="inlineStr">
        <is>
          <t>WL-01549</t>
        </is>
      </c>
      <c r="D861" s="37" t="n">
        <v>549</v>
      </c>
      <c r="E861" s="37" t="inlineStr">
        <is>
          <t>EW-0314</t>
        </is>
      </c>
      <c r="F861" s="37" t="inlineStr">
        <is>
          <t>Eastwey</t>
        </is>
      </c>
      <c r="G861" s="37" t="n">
        <v>32</v>
      </c>
      <c r="H861" s="37" t="inlineStr">
        <is>
          <t>OPEN</t>
        </is>
      </c>
      <c r="I861" s="37" t="inlineStr">
        <is>
          <t>ACCEPTED</t>
        </is>
      </c>
    </row>
    <row r="862">
      <c r="A862" s="37" t="inlineStr">
        <is>
          <t>OFR-2024-0861</t>
        </is>
      </c>
      <c r="B862" s="43" t="n">
        <v>45511</v>
      </c>
      <c r="C862" s="37" t="inlineStr">
        <is>
          <t>WL-03647</t>
        </is>
      </c>
      <c r="D862" s="37" t="n">
        <v>2647</v>
      </c>
      <c r="E862" s="37" t="inlineStr">
        <is>
          <t>LP-0712</t>
        </is>
      </c>
      <c r="F862" s="37" t="inlineStr">
        <is>
          <t>Ledgport</t>
        </is>
      </c>
      <c r="G862" s="37" t="n">
        <v>36</v>
      </c>
      <c r="H862" s="37" t="inlineStr">
        <is>
          <t>COVERED</t>
        </is>
      </c>
      <c r="I862" s="37" t="inlineStr">
        <is>
          <t>ACCEPTED</t>
        </is>
      </c>
    </row>
    <row r="863">
      <c r="A863" s="37" t="inlineStr">
        <is>
          <t>OFR-2024-0862</t>
        </is>
      </c>
      <c r="B863" s="43" t="n">
        <v>45508</v>
      </c>
      <c r="C863" s="37" t="inlineStr">
        <is>
          <t>WL-02925</t>
        </is>
      </c>
      <c r="D863" s="37" t="n">
        <v>1925</v>
      </c>
      <c r="E863" s="37" t="inlineStr">
        <is>
          <t>EW-0324</t>
        </is>
      </c>
      <c r="F863" s="37" t="inlineStr">
        <is>
          <t>Eastwey</t>
        </is>
      </c>
      <c r="G863" s="37" t="n">
        <v>80</v>
      </c>
      <c r="H863" s="37" t="inlineStr">
        <is>
          <t>OPEN</t>
        </is>
      </c>
      <c r="I863" s="37" t="inlineStr">
        <is>
          <t>SKIPPED</t>
        </is>
      </c>
      <c r="J863" s="37" t="inlineStr">
        <is>
          <t>preference-mismatch</t>
        </is>
      </c>
    </row>
    <row r="864">
      <c r="A864" s="37" t="inlineStr">
        <is>
          <t>OFR-2024-0863</t>
        </is>
      </c>
      <c r="B864" s="43" t="n">
        <v>45525</v>
      </c>
      <c r="C864" s="37" t="inlineStr">
        <is>
          <t>WL-01537</t>
        </is>
      </c>
      <c r="D864" s="37" t="n">
        <v>537</v>
      </c>
      <c r="E864" s="37" t="inlineStr">
        <is>
          <t>GW-0903</t>
        </is>
      </c>
      <c r="F864" s="37" t="inlineStr">
        <is>
          <t>Gullwing</t>
        </is>
      </c>
      <c r="G864" s="37" t="n">
        <v>36</v>
      </c>
      <c r="H864" s="37" t="inlineStr">
        <is>
          <t>OPEN</t>
        </is>
      </c>
      <c r="I864" s="37" t="inlineStr">
        <is>
          <t>ACCEPTED</t>
        </is>
      </c>
    </row>
    <row r="865">
      <c r="A865" s="37" t="inlineStr">
        <is>
          <t>OFR-2024-0864</t>
        </is>
      </c>
      <c r="B865" s="43" t="n">
        <v>45520</v>
      </c>
      <c r="C865" s="37" t="inlineStr">
        <is>
          <t>WL-01565</t>
        </is>
      </c>
      <c r="D865" s="37" t="n">
        <v>565</v>
      </c>
      <c r="E865" s="37" t="inlineStr">
        <is>
          <t>GW-0718</t>
        </is>
      </c>
      <c r="F865" s="37" t="inlineStr">
        <is>
          <t>Gullwing</t>
        </is>
      </c>
      <c r="G865" s="37" t="n">
        <v>32</v>
      </c>
      <c r="H865" s="37" t="inlineStr">
        <is>
          <t>OPEN</t>
        </is>
      </c>
      <c r="I865" s="37" t="inlineStr">
        <is>
          <t>DECLINED</t>
        </is>
      </c>
    </row>
    <row r="866">
      <c r="A866" s="37" t="inlineStr">
        <is>
          <t>OFR-2024-0865</t>
        </is>
      </c>
      <c r="B866" s="43" t="n">
        <v>45518</v>
      </c>
      <c r="C866" s="37" t="inlineStr">
        <is>
          <t>WL-02778</t>
        </is>
      </c>
      <c r="D866" s="37" t="n">
        <v>1778</v>
      </c>
      <c r="E866" s="37" t="inlineStr">
        <is>
          <t>VB-0215</t>
        </is>
      </c>
      <c r="F866" s="37" t="inlineStr">
        <is>
          <t>Vessbank</t>
        </is>
      </c>
      <c r="G866" s="37" t="n">
        <v>28</v>
      </c>
      <c r="H866" s="37" t="inlineStr">
        <is>
          <t>COVERED</t>
        </is>
      </c>
      <c r="I866" s="37" t="inlineStr">
        <is>
          <t>DECLINED</t>
        </is>
      </c>
    </row>
    <row r="867">
      <c r="A867" s="37" t="inlineStr">
        <is>
          <t>OFR-2024-0866</t>
        </is>
      </c>
      <c r="B867" s="43" t="n">
        <v>45511</v>
      </c>
      <c r="C867" s="37" t="inlineStr">
        <is>
          <t>WL-01476</t>
        </is>
      </c>
      <c r="D867" s="37" t="n">
        <v>476</v>
      </c>
      <c r="E867" s="37" t="inlineStr">
        <is>
          <t>LP-0815</t>
        </is>
      </c>
      <c r="F867" s="37" t="inlineStr">
        <is>
          <t>Ledgport</t>
        </is>
      </c>
      <c r="G867" s="37" t="n">
        <v>24</v>
      </c>
      <c r="H867" s="37" t="inlineStr">
        <is>
          <t>COVERED</t>
        </is>
      </c>
      <c r="I867" s="37" t="inlineStr">
        <is>
          <t>ACCEPTED</t>
        </is>
      </c>
    </row>
    <row r="868">
      <c r="A868" s="37" t="inlineStr">
        <is>
          <t>OFR-2024-0867</t>
        </is>
      </c>
      <c r="B868" s="43" t="n">
        <v>45552</v>
      </c>
      <c r="C868" s="37" t="inlineStr">
        <is>
          <t>WL-03400</t>
        </is>
      </c>
      <c r="D868" s="37" t="n">
        <v>2400</v>
      </c>
      <c r="E868" s="37" t="inlineStr">
        <is>
          <t>GW-1003</t>
        </is>
      </c>
      <c r="F868" s="37" t="inlineStr">
        <is>
          <t>Gullwing</t>
        </is>
      </c>
      <c r="G868" s="37" t="n">
        <v>24</v>
      </c>
      <c r="H868" s="37" t="inlineStr">
        <is>
          <t>OPEN</t>
        </is>
      </c>
      <c r="I868" s="37" t="inlineStr">
        <is>
          <t>ACCEPTED</t>
        </is>
      </c>
    </row>
    <row r="869">
      <c r="A869" s="37" t="inlineStr">
        <is>
          <t>OFR-2024-0868</t>
        </is>
      </c>
      <c r="B869" s="43" t="n">
        <v>45549</v>
      </c>
      <c r="C869" s="37" t="inlineStr">
        <is>
          <t>WL-02819</t>
        </is>
      </c>
      <c r="D869" s="37" t="n">
        <v>1819</v>
      </c>
      <c r="E869" s="37" t="inlineStr">
        <is>
          <t>GW-0801</t>
        </is>
      </c>
      <c r="F869" s="37" t="inlineStr">
        <is>
          <t>Gullwing</t>
        </is>
      </c>
      <c r="G869" s="37" t="n">
        <v>80</v>
      </c>
      <c r="H869" s="37" t="inlineStr">
        <is>
          <t>OPEN</t>
        </is>
      </c>
      <c r="I869" s="37" t="inlineStr">
        <is>
          <t>PENDING</t>
        </is>
      </c>
    </row>
    <row r="870">
      <c r="A870" s="37" t="inlineStr">
        <is>
          <t>OFR-2024-0869</t>
        </is>
      </c>
      <c r="B870" s="43" t="n">
        <v>45536</v>
      </c>
      <c r="C870" s="37" t="inlineStr">
        <is>
          <t>WL-03615</t>
        </is>
      </c>
      <c r="D870" s="37" t="n">
        <v>2615</v>
      </c>
      <c r="E870" s="37" t="inlineStr">
        <is>
          <t>VB-0518</t>
        </is>
      </c>
      <c r="F870" s="37" t="inlineStr">
        <is>
          <t>Vessbank</t>
        </is>
      </c>
      <c r="G870" s="37" t="n">
        <v>28</v>
      </c>
      <c r="H870" s="37" t="inlineStr">
        <is>
          <t>COVERED</t>
        </is>
      </c>
      <c r="I870" s="37" t="inlineStr">
        <is>
          <t>SKIPPED</t>
        </is>
      </c>
      <c r="J870" s="37" t="inlineStr">
        <is>
          <t>declined-prior-offer</t>
        </is>
      </c>
    </row>
    <row r="871">
      <c r="A871" s="37" t="inlineStr">
        <is>
          <t>OFR-2024-0870</t>
        </is>
      </c>
      <c r="B871" s="43" t="n">
        <v>45546</v>
      </c>
      <c r="C871" s="37" t="inlineStr">
        <is>
          <t>WL-03062</t>
        </is>
      </c>
      <c r="D871" s="37" t="n">
        <v>2062</v>
      </c>
      <c r="E871" s="37" t="inlineStr">
        <is>
          <t>LP-0303</t>
        </is>
      </c>
      <c r="F871" s="37" t="inlineStr">
        <is>
          <t>Ledgport</t>
        </is>
      </c>
      <c r="G871" s="37" t="n">
        <v>32</v>
      </c>
      <c r="H871" s="37" t="inlineStr">
        <is>
          <t>COVERED</t>
        </is>
      </c>
      <c r="I871" s="37" t="inlineStr">
        <is>
          <t>SKIPPED</t>
        </is>
      </c>
      <c r="J871" s="37" t="inlineStr">
        <is>
          <t>declined-prior-offer</t>
        </is>
      </c>
    </row>
    <row r="872">
      <c r="A872" s="37" t="inlineStr">
        <is>
          <t>OFR-2024-0871</t>
        </is>
      </c>
      <c r="B872" s="43" t="n">
        <v>45542</v>
      </c>
      <c r="C872" s="37" t="inlineStr">
        <is>
          <t>WL-01779</t>
        </is>
      </c>
      <c r="D872" s="37" t="n">
        <v>779</v>
      </c>
      <c r="E872" s="37" t="inlineStr">
        <is>
          <t>SB-0313</t>
        </is>
      </c>
      <c r="F872" s="37" t="inlineStr">
        <is>
          <t>Salmonberry</t>
        </is>
      </c>
      <c r="G872" s="37" t="n">
        <v>24</v>
      </c>
      <c r="H872" s="37" t="inlineStr">
        <is>
          <t>OPEN</t>
        </is>
      </c>
      <c r="I872" s="37" t="inlineStr">
        <is>
          <t>SKIPPED</t>
        </is>
      </c>
      <c r="J872" s="37" t="inlineStr">
        <is>
          <t>preference-mismatch</t>
        </is>
      </c>
    </row>
    <row r="873">
      <c r="A873" s="37" t="inlineStr">
        <is>
          <t>OFR-2024-0872</t>
        </is>
      </c>
      <c r="B873" s="43" t="n">
        <v>45540</v>
      </c>
      <c r="C873" s="37" t="inlineStr">
        <is>
          <t>WL-01919</t>
        </is>
      </c>
      <c r="D873" s="37" t="n">
        <v>919</v>
      </c>
      <c r="E873" s="37" t="inlineStr">
        <is>
          <t>LP-0911</t>
        </is>
      </c>
      <c r="F873" s="37" t="inlineStr">
        <is>
          <t>Ledgport</t>
        </is>
      </c>
      <c r="G873" s="37" t="n">
        <v>24</v>
      </c>
      <c r="H873" s="37" t="inlineStr">
        <is>
          <t>COVERED</t>
        </is>
      </c>
      <c r="I873" s="37" t="inlineStr">
        <is>
          <t>DECLINED</t>
        </is>
      </c>
    </row>
    <row r="874">
      <c r="A874" s="37" t="inlineStr">
        <is>
          <t>OFR-2024-0873</t>
        </is>
      </c>
      <c r="B874" s="43" t="n">
        <v>45536</v>
      </c>
      <c r="C874" s="37" t="inlineStr">
        <is>
          <t>WL-03541</t>
        </is>
      </c>
      <c r="D874" s="37" t="n">
        <v>2541</v>
      </c>
      <c r="E874" s="37" t="inlineStr">
        <is>
          <t>EW-0207</t>
        </is>
      </c>
      <c r="F874" s="37" t="inlineStr">
        <is>
          <t>Eastwey</t>
        </is>
      </c>
      <c r="G874" s="37" t="n">
        <v>45</v>
      </c>
      <c r="H874" s="37" t="inlineStr">
        <is>
          <t>OPEN</t>
        </is>
      </c>
      <c r="I874" s="37" t="inlineStr">
        <is>
          <t>ACCEPTED</t>
        </is>
      </c>
    </row>
    <row r="875">
      <c r="A875" s="37" t="inlineStr">
        <is>
          <t>OFR-2024-0874</t>
        </is>
      </c>
      <c r="B875" s="43" t="n">
        <v>45544</v>
      </c>
      <c r="C875" s="37" t="inlineStr">
        <is>
          <t>WL-01449</t>
        </is>
      </c>
      <c r="D875" s="37" t="n">
        <v>449</v>
      </c>
      <c r="E875" s="37" t="inlineStr">
        <is>
          <t>SB-0906</t>
        </is>
      </c>
      <c r="F875" s="37" t="inlineStr">
        <is>
          <t>Salmonberry</t>
        </is>
      </c>
      <c r="G875" s="37" t="n">
        <v>36</v>
      </c>
      <c r="H875" s="37" t="inlineStr">
        <is>
          <t>OPEN</t>
        </is>
      </c>
      <c r="I875" s="37" t="inlineStr">
        <is>
          <t>ACCEPTED</t>
        </is>
      </c>
    </row>
    <row r="876">
      <c r="A876" s="37" t="inlineStr">
        <is>
          <t>OFR-2024-0875</t>
        </is>
      </c>
      <c r="B876" s="43" t="n">
        <v>45539</v>
      </c>
      <c r="C876" s="37" t="inlineStr">
        <is>
          <t>WL-03205</t>
        </is>
      </c>
      <c r="D876" s="37" t="n">
        <v>2205</v>
      </c>
      <c r="E876" s="37" t="inlineStr">
        <is>
          <t>EW-0302</t>
        </is>
      </c>
      <c r="F876" s="37" t="inlineStr">
        <is>
          <t>Eastwey</t>
        </is>
      </c>
      <c r="G876" s="37" t="n">
        <v>40</v>
      </c>
      <c r="H876" s="37" t="inlineStr">
        <is>
          <t>OPEN</t>
        </is>
      </c>
      <c r="I876" s="37" t="inlineStr">
        <is>
          <t>DECLINED_RETAINER</t>
        </is>
      </c>
    </row>
    <row r="877">
      <c r="A877" s="37" t="inlineStr">
        <is>
          <t>OFR-2024-0876</t>
        </is>
      </c>
      <c r="B877" s="43" t="n">
        <v>45536</v>
      </c>
      <c r="C877" s="37" t="inlineStr">
        <is>
          <t>WL-03228</t>
        </is>
      </c>
      <c r="D877" s="37" t="n">
        <v>2228</v>
      </c>
      <c r="E877" s="37" t="inlineStr">
        <is>
          <t>EW-0319</t>
        </is>
      </c>
      <c r="F877" s="37" t="inlineStr">
        <is>
          <t>Eastwey</t>
        </is>
      </c>
      <c r="G877" s="37" t="n">
        <v>70</v>
      </c>
      <c r="H877" s="37" t="inlineStr">
        <is>
          <t>OPEN</t>
        </is>
      </c>
      <c r="I877" s="37" t="inlineStr">
        <is>
          <t>SKIPPED</t>
        </is>
      </c>
      <c r="J877" s="37" t="inlineStr">
        <is>
          <t>declined-prior-offer</t>
        </is>
      </c>
    </row>
    <row r="878">
      <c r="A878" s="37" t="inlineStr">
        <is>
          <t>OFR-2024-0877</t>
        </is>
      </c>
      <c r="B878" s="43" t="n">
        <v>45545</v>
      </c>
      <c r="C878" s="37" t="inlineStr">
        <is>
          <t>WL-03479</t>
        </is>
      </c>
      <c r="D878" s="37" t="n">
        <v>2479</v>
      </c>
      <c r="E878" s="37" t="inlineStr">
        <is>
          <t>SB-0607</t>
        </is>
      </c>
      <c r="F878" s="37" t="inlineStr">
        <is>
          <t>Salmonberry</t>
        </is>
      </c>
      <c r="G878" s="37" t="n">
        <v>40</v>
      </c>
      <c r="H878" s="37" t="inlineStr">
        <is>
          <t>OPEN</t>
        </is>
      </c>
      <c r="I878" s="37" t="inlineStr">
        <is>
          <t>SKIPPED</t>
        </is>
      </c>
      <c r="J878" s="37" t="inlineStr">
        <is>
          <t>vessel-fit</t>
        </is>
      </c>
    </row>
    <row r="879">
      <c r="A879" s="37" t="inlineStr">
        <is>
          <t>OFR-2024-0878</t>
        </is>
      </c>
      <c r="B879" s="43" t="n">
        <v>45549</v>
      </c>
      <c r="C879" s="37" t="inlineStr">
        <is>
          <t>WL-02574</t>
        </is>
      </c>
      <c r="D879" s="37" t="n">
        <v>1574</v>
      </c>
      <c r="E879" s="37" t="inlineStr">
        <is>
          <t>SB-0403</t>
        </is>
      </c>
      <c r="F879" s="37" t="inlineStr">
        <is>
          <t>Salmonberry</t>
        </is>
      </c>
      <c r="G879" s="37" t="n">
        <v>24</v>
      </c>
      <c r="H879" s="37" t="inlineStr">
        <is>
          <t>OPEN</t>
        </is>
      </c>
      <c r="I879" s="37" t="inlineStr">
        <is>
          <t>SKIPPED</t>
        </is>
      </c>
      <c r="J879" s="37" t="inlineStr">
        <is>
          <t>not-current</t>
        </is>
      </c>
    </row>
    <row r="880">
      <c r="A880" s="37" t="inlineStr">
        <is>
          <t>OFR-2024-0879</t>
        </is>
      </c>
      <c r="B880" s="43" t="n">
        <v>45561</v>
      </c>
      <c r="C880" s="37" t="inlineStr">
        <is>
          <t>WL-02591</t>
        </is>
      </c>
      <c r="D880" s="37" t="n">
        <v>1591</v>
      </c>
      <c r="E880" s="37" t="inlineStr">
        <is>
          <t>SB-0506</t>
        </is>
      </c>
      <c r="F880" s="37" t="inlineStr">
        <is>
          <t>Salmonberry</t>
        </is>
      </c>
      <c r="G880" s="37" t="n">
        <v>32</v>
      </c>
      <c r="H880" s="37" t="inlineStr">
        <is>
          <t>OPEN</t>
        </is>
      </c>
      <c r="I880" s="37" t="inlineStr">
        <is>
          <t>ACCEPTED</t>
        </is>
      </c>
    </row>
    <row r="881">
      <c r="A881" s="37" t="inlineStr">
        <is>
          <t>OFR-2024-0880</t>
        </is>
      </c>
      <c r="B881" s="43" t="n">
        <v>45546</v>
      </c>
      <c r="C881" s="37" t="inlineStr">
        <is>
          <t>WL-02167</t>
        </is>
      </c>
      <c r="D881" s="37" t="n">
        <v>1167</v>
      </c>
      <c r="E881" s="37" t="inlineStr">
        <is>
          <t>LP-0309</t>
        </is>
      </c>
      <c r="F881" s="37" t="inlineStr">
        <is>
          <t>Ledgport</t>
        </is>
      </c>
      <c r="G881" s="37" t="n">
        <v>40</v>
      </c>
      <c r="H881" s="37" t="inlineStr">
        <is>
          <t>COVERED</t>
        </is>
      </c>
      <c r="I881" s="37" t="inlineStr">
        <is>
          <t>ACCEPTED</t>
        </is>
      </c>
    </row>
    <row r="882">
      <c r="A882" s="37" t="inlineStr">
        <is>
          <t>OFR-2024-0881</t>
        </is>
      </c>
      <c r="B882" s="43" t="n">
        <v>45547</v>
      </c>
      <c r="C882" s="37" t="inlineStr">
        <is>
          <t>WL-02853</t>
        </is>
      </c>
      <c r="D882" s="37" t="n">
        <v>1853</v>
      </c>
      <c r="E882" s="37" t="inlineStr">
        <is>
          <t>GW-0203</t>
        </is>
      </c>
      <c r="F882" s="37" t="inlineStr">
        <is>
          <t>Gullwing</t>
        </is>
      </c>
      <c r="G882" s="37" t="n">
        <v>70</v>
      </c>
      <c r="H882" s="37" t="inlineStr">
        <is>
          <t>OPEN</t>
        </is>
      </c>
      <c r="I882" s="37" t="inlineStr">
        <is>
          <t>ACCEPTED</t>
        </is>
      </c>
    </row>
    <row r="883">
      <c r="A883" s="37" t="inlineStr">
        <is>
          <t>OFR-2024-0882</t>
        </is>
      </c>
      <c r="B883" s="43" t="n">
        <v>45558</v>
      </c>
      <c r="C883" s="37" t="inlineStr">
        <is>
          <t>WL-02944</t>
        </is>
      </c>
      <c r="D883" s="37" t="n">
        <v>1944</v>
      </c>
      <c r="E883" s="37" t="inlineStr">
        <is>
          <t>EW-0411</t>
        </is>
      </c>
      <c r="F883" s="37" t="inlineStr">
        <is>
          <t>Eastwey</t>
        </is>
      </c>
      <c r="G883" s="37" t="n">
        <v>70</v>
      </c>
      <c r="H883" s="37" t="inlineStr">
        <is>
          <t>OPEN</t>
        </is>
      </c>
      <c r="I883" s="37" t="inlineStr">
        <is>
          <t>ACCEPTED</t>
        </is>
      </c>
    </row>
    <row r="884">
      <c r="A884" s="37" t="inlineStr">
        <is>
          <t>OFR-2024-0883</t>
        </is>
      </c>
      <c r="B884" s="43" t="n">
        <v>45545</v>
      </c>
      <c r="C884" s="37" t="inlineStr">
        <is>
          <t>WL-02336</t>
        </is>
      </c>
      <c r="D884" s="37" t="n">
        <v>1336</v>
      </c>
      <c r="E884" s="37" t="inlineStr">
        <is>
          <t>VB-0517</t>
        </is>
      </c>
      <c r="F884" s="37" t="inlineStr">
        <is>
          <t>Vessbank</t>
        </is>
      </c>
      <c r="G884" s="37" t="n">
        <v>28</v>
      </c>
      <c r="H884" s="37" t="inlineStr">
        <is>
          <t>COVERED</t>
        </is>
      </c>
      <c r="I884" s="37" t="inlineStr">
        <is>
          <t>SKIPPED</t>
        </is>
      </c>
      <c r="J884" s="37" t="inlineStr">
        <is>
          <t>not-current</t>
        </is>
      </c>
    </row>
    <row r="885">
      <c r="A885" s="37" t="inlineStr">
        <is>
          <t>OFR-2024-0884</t>
        </is>
      </c>
      <c r="B885" s="43" t="n">
        <v>45542</v>
      </c>
      <c r="C885" s="37" t="inlineStr">
        <is>
          <t>WL-01544</t>
        </is>
      </c>
      <c r="D885" s="37" t="n">
        <v>544</v>
      </c>
      <c r="E885" s="37" t="inlineStr">
        <is>
          <t>EW-1019</t>
        </is>
      </c>
      <c r="F885" s="37" t="inlineStr">
        <is>
          <t>Eastwey</t>
        </is>
      </c>
      <c r="G885" s="37" t="n">
        <v>45</v>
      </c>
      <c r="H885" s="37" t="inlineStr">
        <is>
          <t>OPEN</t>
        </is>
      </c>
      <c r="I885" s="37" t="inlineStr">
        <is>
          <t>DECLINED_RETAINER</t>
        </is>
      </c>
    </row>
    <row r="886">
      <c r="A886" s="37" t="inlineStr">
        <is>
          <t>OFR-2024-0885</t>
        </is>
      </c>
      <c r="B886" s="43" t="n">
        <v>45563</v>
      </c>
      <c r="C886" s="37" t="inlineStr">
        <is>
          <t>WL-01145</t>
        </is>
      </c>
      <c r="D886" s="37" t="n">
        <v>145</v>
      </c>
      <c r="E886" s="37" t="inlineStr">
        <is>
          <t>GW-0405</t>
        </is>
      </c>
      <c r="F886" s="37" t="inlineStr">
        <is>
          <t>Gullwing</t>
        </is>
      </c>
      <c r="G886" s="37" t="n">
        <v>45</v>
      </c>
      <c r="H886" s="37" t="inlineStr">
        <is>
          <t>OPEN</t>
        </is>
      </c>
      <c r="I886" s="37" t="inlineStr">
        <is>
          <t>ACCEPTED</t>
        </is>
      </c>
    </row>
    <row r="887">
      <c r="A887" s="37" t="inlineStr">
        <is>
          <t>OFR-2024-0886</t>
        </is>
      </c>
      <c r="B887" s="43" t="n">
        <v>45542</v>
      </c>
      <c r="C887" s="37" t="inlineStr">
        <is>
          <t>WL-03746</t>
        </is>
      </c>
      <c r="D887" s="37" t="n">
        <v>2746</v>
      </c>
      <c r="E887" s="37" t="inlineStr">
        <is>
          <t>LP-0223</t>
        </is>
      </c>
      <c r="F887" s="37" t="inlineStr">
        <is>
          <t>Ledgport</t>
        </is>
      </c>
      <c r="G887" s="37" t="n">
        <v>24</v>
      </c>
      <c r="H887" s="37" t="inlineStr">
        <is>
          <t>COVERED</t>
        </is>
      </c>
      <c r="I887" s="37" t="inlineStr">
        <is>
          <t>ACCEPTED</t>
        </is>
      </c>
    </row>
    <row r="888">
      <c r="A888" s="37" t="inlineStr">
        <is>
          <t>OFR-2024-0887</t>
        </is>
      </c>
      <c r="B888" s="43" t="n">
        <v>45537</v>
      </c>
      <c r="C888" s="37" t="inlineStr">
        <is>
          <t>WL-01504</t>
        </is>
      </c>
      <c r="D888" s="37" t="n">
        <v>504</v>
      </c>
      <c r="E888" s="37" t="inlineStr">
        <is>
          <t>VB-0223</t>
        </is>
      </c>
      <c r="F888" s="37" t="inlineStr">
        <is>
          <t>Vessbank</t>
        </is>
      </c>
      <c r="G888" s="37" t="n">
        <v>32</v>
      </c>
      <c r="H888" s="37" t="inlineStr">
        <is>
          <t>COVERED</t>
        </is>
      </c>
      <c r="I888" s="37" t="inlineStr">
        <is>
          <t>SKIPPED</t>
        </is>
      </c>
      <c r="J888" s="37" t="inlineStr">
        <is>
          <t>vessel-fit</t>
        </is>
      </c>
    </row>
    <row r="889">
      <c r="A889" s="37" t="inlineStr">
        <is>
          <t>OFR-2024-0888</t>
        </is>
      </c>
      <c r="B889" s="43" t="n">
        <v>45540</v>
      </c>
      <c r="C889" s="37" t="inlineStr">
        <is>
          <t>WL-02325</t>
        </is>
      </c>
      <c r="D889" s="37" t="n">
        <v>1325</v>
      </c>
      <c r="E889" s="37" t="inlineStr">
        <is>
          <t>EW-0118</t>
        </is>
      </c>
      <c r="F889" s="37" t="inlineStr">
        <is>
          <t>Eastwey</t>
        </is>
      </c>
      <c r="G889" s="37" t="n">
        <v>45</v>
      </c>
      <c r="H889" s="37" t="inlineStr">
        <is>
          <t>OPEN</t>
        </is>
      </c>
      <c r="I889" s="37" t="inlineStr">
        <is>
          <t>WITHDRAWN</t>
        </is>
      </c>
    </row>
    <row r="890">
      <c r="A890" s="37" t="inlineStr">
        <is>
          <t>OFR-2024-0889</t>
        </is>
      </c>
      <c r="B890" s="43" t="n">
        <v>45560</v>
      </c>
      <c r="C890" s="37" t="inlineStr">
        <is>
          <t>WL-01718</t>
        </is>
      </c>
      <c r="D890" s="37" t="n">
        <v>718</v>
      </c>
      <c r="E890" s="37" t="inlineStr">
        <is>
          <t>SB-0821</t>
        </is>
      </c>
      <c r="F890" s="37" t="inlineStr">
        <is>
          <t>Salmonberry</t>
        </is>
      </c>
      <c r="G890" s="37" t="n">
        <v>36</v>
      </c>
      <c r="H890" s="37" t="inlineStr">
        <is>
          <t>OPEN</t>
        </is>
      </c>
      <c r="I890" s="37" t="inlineStr">
        <is>
          <t>SKIPPED</t>
        </is>
      </c>
      <c r="J890" s="37" t="inlineStr">
        <is>
          <t>declined-prior-offer</t>
        </is>
      </c>
    </row>
    <row r="891">
      <c r="A891" s="37" t="inlineStr">
        <is>
          <t>OFR-2024-0890</t>
        </is>
      </c>
      <c r="B891" s="43" t="n">
        <v>45558</v>
      </c>
      <c r="C891" s="37" t="inlineStr">
        <is>
          <t>WL-01255</t>
        </is>
      </c>
      <c r="D891" s="37" t="n">
        <v>255</v>
      </c>
      <c r="E891" s="37" t="inlineStr">
        <is>
          <t>GW-0322</t>
        </is>
      </c>
      <c r="F891" s="37" t="inlineStr">
        <is>
          <t>Gullwing</t>
        </is>
      </c>
      <c r="G891" s="37" t="n">
        <v>45</v>
      </c>
      <c r="H891" s="37" t="inlineStr">
        <is>
          <t>OPEN</t>
        </is>
      </c>
      <c r="I891" s="37" t="inlineStr">
        <is>
          <t>ACCEPTED</t>
        </is>
      </c>
    </row>
    <row r="892">
      <c r="A892" s="37" t="inlineStr">
        <is>
          <t>OFR-2024-0891</t>
        </is>
      </c>
      <c r="B892" s="43" t="n">
        <v>45561</v>
      </c>
      <c r="C892" s="37" t="inlineStr">
        <is>
          <t>WL-01645</t>
        </is>
      </c>
      <c r="D892" s="37" t="n">
        <v>645</v>
      </c>
      <c r="E892" s="37" t="inlineStr">
        <is>
          <t>LP-0514</t>
        </is>
      </c>
      <c r="F892" s="37" t="inlineStr">
        <is>
          <t>Ledgport</t>
        </is>
      </c>
      <c r="G892" s="37" t="n">
        <v>28</v>
      </c>
      <c r="H892" s="37" t="inlineStr">
        <is>
          <t>COVERED</t>
        </is>
      </c>
      <c r="I892" s="37" t="inlineStr">
        <is>
          <t>EXPIRED</t>
        </is>
      </c>
    </row>
    <row r="893">
      <c r="A893" s="37" t="inlineStr">
        <is>
          <t>OFR-2024-0892</t>
        </is>
      </c>
      <c r="B893" s="43" t="n">
        <v>45558</v>
      </c>
      <c r="C893" s="37" t="inlineStr">
        <is>
          <t>WL-03579</t>
        </is>
      </c>
      <c r="D893" s="37" t="n">
        <v>2579</v>
      </c>
      <c r="E893" s="37" t="inlineStr">
        <is>
          <t>EW-0617</t>
        </is>
      </c>
      <c r="F893" s="37" t="inlineStr">
        <is>
          <t>Eastwey</t>
        </is>
      </c>
      <c r="G893" s="37" t="n">
        <v>70</v>
      </c>
      <c r="H893" s="37" t="inlineStr">
        <is>
          <t>OPEN</t>
        </is>
      </c>
      <c r="I893" s="37" t="inlineStr">
        <is>
          <t>DECLINED</t>
        </is>
      </c>
    </row>
    <row r="894">
      <c r="A894" s="37" t="inlineStr">
        <is>
          <t>OFR-2024-0893</t>
        </is>
      </c>
      <c r="B894" s="43" t="n">
        <v>45591</v>
      </c>
      <c r="C894" s="37" t="inlineStr">
        <is>
          <t>WL-01026</t>
        </is>
      </c>
      <c r="D894" s="37" t="n">
        <v>26</v>
      </c>
      <c r="E894" s="37" t="inlineStr">
        <is>
          <t>SB-0214</t>
        </is>
      </c>
      <c r="F894" s="37" t="inlineStr">
        <is>
          <t>Salmonberry</t>
        </is>
      </c>
      <c r="G894" s="37" t="n">
        <v>28</v>
      </c>
      <c r="H894" s="37" t="inlineStr">
        <is>
          <t>OPEN</t>
        </is>
      </c>
      <c r="I894" s="37" t="inlineStr">
        <is>
          <t>SKIPPED</t>
        </is>
      </c>
      <c r="J894" s="37" t="inlineStr">
        <is>
          <t>declined-prior-offer</t>
        </is>
      </c>
    </row>
    <row r="895">
      <c r="A895" s="37" t="inlineStr">
        <is>
          <t>OFR-2024-0894</t>
        </is>
      </c>
      <c r="B895" s="43" t="n">
        <v>45585</v>
      </c>
      <c r="C895" s="37" t="inlineStr">
        <is>
          <t>WL-02344</t>
        </is>
      </c>
      <c r="D895" s="37" t="n">
        <v>1344</v>
      </c>
      <c r="E895" s="37" t="inlineStr">
        <is>
          <t>VB-0509</t>
        </is>
      </c>
      <c r="F895" s="37" t="inlineStr">
        <is>
          <t>Vessbank</t>
        </is>
      </c>
      <c r="G895" s="37" t="n">
        <v>28</v>
      </c>
      <c r="H895" s="37" t="inlineStr">
        <is>
          <t>COVERED</t>
        </is>
      </c>
      <c r="I895" s="37" t="inlineStr">
        <is>
          <t>ACCEPTED</t>
        </is>
      </c>
    </row>
    <row r="896">
      <c r="A896" s="37" t="inlineStr">
        <is>
          <t>OFR-2024-0895</t>
        </is>
      </c>
      <c r="B896" s="43" t="n">
        <v>45586</v>
      </c>
      <c r="C896" s="37" t="inlineStr">
        <is>
          <t>WL-03831</t>
        </is>
      </c>
      <c r="D896" s="37" t="n">
        <v>2831</v>
      </c>
      <c r="E896" s="37" t="inlineStr">
        <is>
          <t>EW-1022</t>
        </is>
      </c>
      <c r="F896" s="37" t="inlineStr">
        <is>
          <t>Eastwey</t>
        </is>
      </c>
      <c r="G896" s="37" t="n">
        <v>32</v>
      </c>
      <c r="H896" s="37" t="inlineStr">
        <is>
          <t>OPEN</t>
        </is>
      </c>
      <c r="I896" s="37" t="inlineStr">
        <is>
          <t>SKIPPED</t>
        </is>
      </c>
      <c r="J896" s="37" t="inlineStr">
        <is>
          <t>not-current</t>
        </is>
      </c>
    </row>
    <row r="897">
      <c r="A897" s="37" t="inlineStr">
        <is>
          <t>OFR-2024-0896</t>
        </is>
      </c>
      <c r="B897" s="43" t="n">
        <v>45592</v>
      </c>
      <c r="C897" s="37" t="inlineStr">
        <is>
          <t>WL-01754</t>
        </is>
      </c>
      <c r="D897" s="37" t="n">
        <v>754</v>
      </c>
      <c r="E897" s="37" t="inlineStr">
        <is>
          <t>EW-0902</t>
        </is>
      </c>
      <c r="F897" s="37" t="inlineStr">
        <is>
          <t>Eastwey</t>
        </is>
      </c>
      <c r="G897" s="37" t="n">
        <v>80</v>
      </c>
      <c r="H897" s="37" t="inlineStr">
        <is>
          <t>OPEN</t>
        </is>
      </c>
      <c r="I897" s="37" t="inlineStr">
        <is>
          <t>ACCEPTED</t>
        </is>
      </c>
    </row>
    <row r="898">
      <c r="A898" s="37" t="inlineStr">
        <is>
          <t>OFR-2024-0897</t>
        </is>
      </c>
      <c r="B898" s="43" t="n">
        <v>45569</v>
      </c>
      <c r="C898" s="37" t="inlineStr">
        <is>
          <t>WL-01758</t>
        </is>
      </c>
      <c r="D898" s="37" t="n">
        <v>758</v>
      </c>
      <c r="E898" s="37" t="inlineStr">
        <is>
          <t>SB-0723</t>
        </is>
      </c>
      <c r="F898" s="37" t="inlineStr">
        <is>
          <t>Salmonberry</t>
        </is>
      </c>
      <c r="G898" s="37" t="n">
        <v>24</v>
      </c>
      <c r="H898" s="37" t="inlineStr">
        <is>
          <t>OPEN</t>
        </is>
      </c>
      <c r="I898" s="37" t="inlineStr">
        <is>
          <t>ACCEPTED</t>
        </is>
      </c>
    </row>
    <row r="899">
      <c r="A899" s="37" t="inlineStr">
        <is>
          <t>OFR-2024-0898</t>
        </is>
      </c>
      <c r="B899" s="43" t="n">
        <v>45584</v>
      </c>
      <c r="C899" s="37" t="inlineStr">
        <is>
          <t>WL-03117</t>
        </is>
      </c>
      <c r="D899" s="37" t="n">
        <v>2117</v>
      </c>
      <c r="E899" s="37" t="inlineStr">
        <is>
          <t>GW-0413</t>
        </is>
      </c>
      <c r="F899" s="37" t="inlineStr">
        <is>
          <t>Gullwing</t>
        </is>
      </c>
      <c r="G899" s="37" t="n">
        <v>60</v>
      </c>
      <c r="H899" s="37" t="inlineStr">
        <is>
          <t>OPEN</t>
        </is>
      </c>
      <c r="I899" s="37" t="inlineStr">
        <is>
          <t>ACCEPTED</t>
        </is>
      </c>
    </row>
    <row r="900">
      <c r="A900" s="37" t="inlineStr">
        <is>
          <t>OFR-2024-0899</t>
        </is>
      </c>
      <c r="B900" s="43" t="n">
        <v>45588</v>
      </c>
      <c r="C900" s="37" t="inlineStr">
        <is>
          <t>WL-01694</t>
        </is>
      </c>
      <c r="D900" s="37" t="n">
        <v>694</v>
      </c>
      <c r="E900" s="37" t="inlineStr">
        <is>
          <t>SB-0710</t>
        </is>
      </c>
      <c r="F900" s="37" t="inlineStr">
        <is>
          <t>Salmonberry</t>
        </is>
      </c>
      <c r="G900" s="37" t="n">
        <v>50</v>
      </c>
      <c r="H900" s="37" t="inlineStr">
        <is>
          <t>OPEN</t>
        </is>
      </c>
      <c r="I900" s="37" t="inlineStr">
        <is>
          <t>ACCEPTED</t>
        </is>
      </c>
    </row>
    <row r="901">
      <c r="A901" s="37" t="inlineStr">
        <is>
          <t>OFR-2024-0900</t>
        </is>
      </c>
      <c r="B901" s="43" t="n">
        <v>45586</v>
      </c>
      <c r="C901" s="37" t="inlineStr">
        <is>
          <t>WL-01908</t>
        </is>
      </c>
      <c r="D901" s="37" t="n">
        <v>908</v>
      </c>
      <c r="E901" s="37" t="inlineStr">
        <is>
          <t>LP-0104</t>
        </is>
      </c>
      <c r="F901" s="37" t="inlineStr">
        <is>
          <t>Ledgport</t>
        </is>
      </c>
      <c r="G901" s="37" t="n">
        <v>24</v>
      </c>
      <c r="H901" s="37" t="inlineStr">
        <is>
          <t>COVERED</t>
        </is>
      </c>
      <c r="I901" s="37" t="inlineStr">
        <is>
          <t>ACCEPTED</t>
        </is>
      </c>
    </row>
    <row r="902">
      <c r="A902" s="37" t="inlineStr">
        <is>
          <t>OFR-2024-0901</t>
        </is>
      </c>
      <c r="B902" s="43" t="n">
        <v>45586</v>
      </c>
      <c r="C902" s="37" t="inlineStr">
        <is>
          <t>WL-01264</t>
        </is>
      </c>
      <c r="D902" s="37" t="n">
        <v>264</v>
      </c>
      <c r="E902" s="37" t="inlineStr">
        <is>
          <t>VB-0917</t>
        </is>
      </c>
      <c r="F902" s="37" t="inlineStr">
        <is>
          <t>Vessbank</t>
        </is>
      </c>
      <c r="G902" s="37" t="n">
        <v>28</v>
      </c>
      <c r="H902" s="37" t="inlineStr">
        <is>
          <t>COVERED</t>
        </is>
      </c>
      <c r="I902" s="37" t="inlineStr">
        <is>
          <t>SKIPPED</t>
        </is>
      </c>
      <c r="J902" s="37" t="inlineStr">
        <is>
          <t>preference-mismatch</t>
        </is>
      </c>
    </row>
    <row r="903">
      <c r="A903" s="37" t="inlineStr">
        <is>
          <t>OFR-2024-0902</t>
        </is>
      </c>
      <c r="B903" s="43" t="n">
        <v>45587</v>
      </c>
      <c r="C903" s="37" t="inlineStr">
        <is>
          <t>WL-02163</t>
        </is>
      </c>
      <c r="D903" s="37" t="n">
        <v>1163</v>
      </c>
      <c r="E903" s="37" t="inlineStr">
        <is>
          <t>GW-0712</t>
        </is>
      </c>
      <c r="F903" s="37" t="inlineStr">
        <is>
          <t>Gullwing</t>
        </is>
      </c>
      <c r="G903" s="37" t="n">
        <v>45</v>
      </c>
      <c r="H903" s="37" t="inlineStr">
        <is>
          <t>OPEN</t>
        </is>
      </c>
      <c r="I903" s="37" t="inlineStr">
        <is>
          <t>ACCEPTED</t>
        </is>
      </c>
    </row>
    <row r="904">
      <c r="A904" s="37" t="inlineStr">
        <is>
          <t>OFR-2024-0903</t>
        </is>
      </c>
      <c r="B904" s="43" t="n">
        <v>45590</v>
      </c>
      <c r="C904" s="37" t="inlineStr">
        <is>
          <t>WL-03708</t>
        </is>
      </c>
      <c r="D904" s="37" t="n">
        <v>2708</v>
      </c>
      <c r="E904" s="37" t="inlineStr">
        <is>
          <t>GW-0813</t>
        </is>
      </c>
      <c r="F904" s="37" t="inlineStr">
        <is>
          <t>Gullwing</t>
        </is>
      </c>
      <c r="G904" s="37" t="n">
        <v>28</v>
      </c>
      <c r="H904" s="37" t="inlineStr">
        <is>
          <t>OPEN</t>
        </is>
      </c>
      <c r="I904" s="37" t="inlineStr">
        <is>
          <t>SKIPPED</t>
        </is>
      </c>
      <c r="J904" s="37" t="inlineStr">
        <is>
          <t>not-current</t>
        </is>
      </c>
    </row>
    <row r="905">
      <c r="A905" s="37" t="inlineStr">
        <is>
          <t>OFR-2024-0904</t>
        </is>
      </c>
      <c r="B905" s="43" t="n">
        <v>45587</v>
      </c>
      <c r="C905" s="37" t="inlineStr">
        <is>
          <t>WL-01978</t>
        </is>
      </c>
      <c r="D905" s="37" t="n">
        <v>978</v>
      </c>
      <c r="E905" s="37" t="inlineStr">
        <is>
          <t>EW-0406</t>
        </is>
      </c>
      <c r="F905" s="37" t="inlineStr">
        <is>
          <t>Eastwey</t>
        </is>
      </c>
      <c r="G905" s="37" t="n">
        <v>40</v>
      </c>
      <c r="H905" s="37" t="inlineStr">
        <is>
          <t>OPEN</t>
        </is>
      </c>
      <c r="I905" s="37" t="inlineStr">
        <is>
          <t>DECLINED</t>
        </is>
      </c>
    </row>
    <row r="906">
      <c r="A906" s="37" t="inlineStr">
        <is>
          <t>OFR-2024-0905</t>
        </is>
      </c>
      <c r="B906" s="43" t="n">
        <v>45566</v>
      </c>
      <c r="C906" s="37" t="inlineStr">
        <is>
          <t>WL-01235</t>
        </is>
      </c>
      <c r="D906" s="37" t="n">
        <v>235</v>
      </c>
      <c r="E906" s="37" t="inlineStr">
        <is>
          <t>GW-1010</t>
        </is>
      </c>
      <c r="F906" s="37" t="inlineStr">
        <is>
          <t>Gullwing</t>
        </is>
      </c>
      <c r="G906" s="37" t="n">
        <v>45</v>
      </c>
      <c r="H906" s="37" t="inlineStr">
        <is>
          <t>OPEN</t>
        </is>
      </c>
      <c r="I906" s="37" t="inlineStr">
        <is>
          <t>ACCEPTED</t>
        </is>
      </c>
    </row>
    <row r="907">
      <c r="A907" s="37" t="inlineStr">
        <is>
          <t>OFR-2024-0906</t>
        </is>
      </c>
      <c r="B907" s="43" t="n">
        <v>45569</v>
      </c>
      <c r="C907" s="37" t="inlineStr">
        <is>
          <t>WL-02606</t>
        </is>
      </c>
      <c r="D907" s="37" t="n">
        <v>1606</v>
      </c>
      <c r="E907" s="37" t="inlineStr">
        <is>
          <t>EW-0420</t>
        </is>
      </c>
      <c r="F907" s="37" t="inlineStr">
        <is>
          <t>Eastwey</t>
        </is>
      </c>
      <c r="G907" s="37" t="n">
        <v>32</v>
      </c>
      <c r="H907" s="37" t="inlineStr">
        <is>
          <t>OPEN</t>
        </is>
      </c>
      <c r="I907" s="37" t="inlineStr">
        <is>
          <t>ACCEPTED</t>
        </is>
      </c>
    </row>
    <row r="908">
      <c r="A908" s="37" t="inlineStr">
        <is>
          <t>OFR-2024-0907</t>
        </is>
      </c>
      <c r="B908" s="43" t="n">
        <v>45588</v>
      </c>
      <c r="C908" s="37" t="inlineStr">
        <is>
          <t>WL-02513</t>
        </is>
      </c>
      <c r="D908" s="37" t="n">
        <v>1513</v>
      </c>
      <c r="E908" s="37" t="inlineStr">
        <is>
          <t>EW-0702</t>
        </is>
      </c>
      <c r="F908" s="37" t="inlineStr">
        <is>
          <t>Eastwey</t>
        </is>
      </c>
      <c r="G908" s="37" t="n">
        <v>45</v>
      </c>
      <c r="H908" s="37" t="inlineStr">
        <is>
          <t>OPEN</t>
        </is>
      </c>
      <c r="I908" s="37" t="inlineStr">
        <is>
          <t>ACCEPTED</t>
        </is>
      </c>
    </row>
    <row r="909">
      <c r="A909" s="37" t="inlineStr">
        <is>
          <t>OFR-2024-0908</t>
        </is>
      </c>
      <c r="B909" s="43" t="n">
        <v>45572</v>
      </c>
      <c r="C909" s="37" t="inlineStr">
        <is>
          <t>WL-01387</t>
        </is>
      </c>
      <c r="D909" s="37" t="n">
        <v>387</v>
      </c>
      <c r="E909" s="37" t="inlineStr">
        <is>
          <t>SB-0815</t>
        </is>
      </c>
      <c r="F909" s="37" t="inlineStr">
        <is>
          <t>Salmonberry</t>
        </is>
      </c>
      <c r="G909" s="37" t="n">
        <v>70</v>
      </c>
      <c r="H909" s="37" t="inlineStr">
        <is>
          <t>OPEN</t>
        </is>
      </c>
      <c r="I909" s="37" t="inlineStr">
        <is>
          <t>ACCEPTED</t>
        </is>
      </c>
    </row>
    <row r="910">
      <c r="A910" s="37" t="inlineStr">
        <is>
          <t>OFR-2024-0909</t>
        </is>
      </c>
      <c r="B910" s="43" t="n">
        <v>45592</v>
      </c>
      <c r="C910" s="37" t="inlineStr">
        <is>
          <t>WL-03808</t>
        </is>
      </c>
      <c r="D910" s="37" t="n">
        <v>2808</v>
      </c>
      <c r="E910" s="37" t="inlineStr">
        <is>
          <t>VB-0601</t>
        </is>
      </c>
      <c r="F910" s="37" t="inlineStr">
        <is>
          <t>Vessbank</t>
        </is>
      </c>
      <c r="G910" s="37" t="n">
        <v>24</v>
      </c>
      <c r="H910" s="37" t="inlineStr">
        <is>
          <t>COVERED</t>
        </is>
      </c>
      <c r="I910" s="37" t="inlineStr">
        <is>
          <t>SKIPPED</t>
        </is>
      </c>
      <c r="J910" s="37" t="inlineStr">
        <is>
          <t>declined-prior-offer</t>
        </is>
      </c>
    </row>
    <row r="911">
      <c r="A911" s="37" t="inlineStr">
        <is>
          <t>OFR-2024-0910</t>
        </is>
      </c>
      <c r="B911" s="43" t="n">
        <v>45588</v>
      </c>
      <c r="C911" s="37" t="inlineStr">
        <is>
          <t>WL-02897</t>
        </is>
      </c>
      <c r="D911" s="37" t="n">
        <v>1897</v>
      </c>
      <c r="E911" s="37" t="inlineStr">
        <is>
          <t>LP-0407</t>
        </is>
      </c>
      <c r="F911" s="37" t="inlineStr">
        <is>
          <t>Ledgport</t>
        </is>
      </c>
      <c r="G911" s="37" t="n">
        <v>28</v>
      </c>
      <c r="H911" s="37" t="inlineStr">
        <is>
          <t>COVERED</t>
        </is>
      </c>
      <c r="I911" s="37" t="inlineStr">
        <is>
          <t>ACCEPTED</t>
        </is>
      </c>
    </row>
    <row r="912">
      <c r="A912" s="37" t="inlineStr">
        <is>
          <t>OFR-2024-0911</t>
        </is>
      </c>
      <c r="B912" s="43" t="n">
        <v>45582</v>
      </c>
      <c r="C912" s="37" t="inlineStr">
        <is>
          <t>WL-01144</t>
        </is>
      </c>
      <c r="D912" s="37" t="n">
        <v>144</v>
      </c>
      <c r="E912" s="37" t="inlineStr">
        <is>
          <t>VB-0420</t>
        </is>
      </c>
      <c r="F912" s="37" t="inlineStr">
        <is>
          <t>Vessbank</t>
        </is>
      </c>
      <c r="G912" s="37" t="n">
        <v>24</v>
      </c>
      <c r="H912" s="37" t="inlineStr">
        <is>
          <t>COVERED</t>
        </is>
      </c>
      <c r="I912" s="37" t="inlineStr">
        <is>
          <t>ACCEPTED</t>
        </is>
      </c>
    </row>
    <row r="913">
      <c r="A913" s="37" t="inlineStr">
        <is>
          <t>OFR-2024-0912</t>
        </is>
      </c>
      <c r="B913" s="43" t="n">
        <v>45593</v>
      </c>
      <c r="C913" s="37" t="inlineStr">
        <is>
          <t>WL-01785</t>
        </is>
      </c>
      <c r="D913" s="37" t="n">
        <v>785</v>
      </c>
      <c r="E913" s="37" t="inlineStr">
        <is>
          <t>EW-0720</t>
        </is>
      </c>
      <c r="F913" s="37" t="inlineStr">
        <is>
          <t>Eastwey</t>
        </is>
      </c>
      <c r="G913" s="37" t="n">
        <v>40</v>
      </c>
      <c r="H913" s="37" t="inlineStr">
        <is>
          <t>OPEN</t>
        </is>
      </c>
      <c r="I913" s="37" t="inlineStr">
        <is>
          <t>ACCEPTED</t>
        </is>
      </c>
    </row>
    <row r="914">
      <c r="A914" s="37" t="inlineStr">
        <is>
          <t>OFR-2024-0913</t>
        </is>
      </c>
      <c r="B914" s="43" t="n">
        <v>45579</v>
      </c>
      <c r="C914" s="37" t="inlineStr">
        <is>
          <t>WL-03577</t>
        </is>
      </c>
      <c r="D914" s="37" t="n">
        <v>2577</v>
      </c>
      <c r="E914" s="37" t="inlineStr">
        <is>
          <t>EW-0806</t>
        </is>
      </c>
      <c r="F914" s="37" t="inlineStr">
        <is>
          <t>Eastwey</t>
        </is>
      </c>
      <c r="G914" s="37" t="n">
        <v>36</v>
      </c>
      <c r="H914" s="37" t="inlineStr">
        <is>
          <t>OPEN</t>
        </is>
      </c>
      <c r="I914" s="37" t="inlineStr">
        <is>
          <t>EXPIRED</t>
        </is>
      </c>
    </row>
    <row r="915">
      <c r="A915" s="37" t="inlineStr">
        <is>
          <t>OFR-2024-0914</t>
        </is>
      </c>
      <c r="B915" s="43" t="n">
        <v>45580</v>
      </c>
      <c r="C915" s="37" t="inlineStr">
        <is>
          <t>WL-02360</t>
        </is>
      </c>
      <c r="D915" s="37" t="n">
        <v>1360</v>
      </c>
      <c r="E915" s="37" t="inlineStr">
        <is>
          <t>GW-0612</t>
        </is>
      </c>
      <c r="F915" s="37" t="inlineStr">
        <is>
          <t>Gullwing</t>
        </is>
      </c>
      <c r="G915" s="37" t="n">
        <v>32</v>
      </c>
      <c r="H915" s="37" t="inlineStr">
        <is>
          <t>OPEN</t>
        </is>
      </c>
      <c r="I915" s="37" t="inlineStr">
        <is>
          <t>ACCEPTED</t>
        </is>
      </c>
    </row>
    <row r="916">
      <c r="A916" s="37" t="inlineStr">
        <is>
          <t>OFR-2024-0915</t>
        </is>
      </c>
      <c r="B916" s="43" t="n">
        <v>45577</v>
      </c>
      <c r="C916" s="37" t="inlineStr">
        <is>
          <t>WL-01070</t>
        </is>
      </c>
      <c r="D916" s="37" t="n">
        <v>70</v>
      </c>
      <c r="E916" s="37" t="inlineStr">
        <is>
          <t>SB-0822</t>
        </is>
      </c>
      <c r="F916" s="37" t="inlineStr">
        <is>
          <t>Salmonberry</t>
        </is>
      </c>
      <c r="G916" s="37" t="n">
        <v>32</v>
      </c>
      <c r="H916" s="37" t="inlineStr">
        <is>
          <t>OPEN</t>
        </is>
      </c>
      <c r="I916" s="37" t="inlineStr">
        <is>
          <t>DECLINED</t>
        </is>
      </c>
    </row>
    <row r="917">
      <c r="A917" s="37" t="inlineStr">
        <is>
          <t>OFR-2024-0916</t>
        </is>
      </c>
      <c r="B917" s="43" t="n">
        <v>45574</v>
      </c>
      <c r="C917" s="37" t="inlineStr">
        <is>
          <t>WL-01707</t>
        </is>
      </c>
      <c r="D917" s="37" t="n">
        <v>707</v>
      </c>
      <c r="E917" s="37" t="inlineStr">
        <is>
          <t>LP-1101</t>
        </is>
      </c>
      <c r="F917" s="37" t="inlineStr">
        <is>
          <t>Ledgport</t>
        </is>
      </c>
      <c r="G917" s="37" t="n">
        <v>36</v>
      </c>
      <c r="H917" s="37" t="inlineStr">
        <is>
          <t>COVERED</t>
        </is>
      </c>
      <c r="I917" s="37" t="inlineStr">
        <is>
          <t>ACCEPTED</t>
        </is>
      </c>
    </row>
    <row r="918">
      <c r="A918" s="37" t="inlineStr">
        <is>
          <t>OFR-2024-0917</t>
        </is>
      </c>
      <c r="B918" s="43" t="n">
        <v>45593</v>
      </c>
      <c r="C918" s="37" t="inlineStr">
        <is>
          <t>WL-01914</t>
        </is>
      </c>
      <c r="D918" s="37" t="n">
        <v>914</v>
      </c>
      <c r="E918" s="37" t="inlineStr">
        <is>
          <t>SB-0914</t>
        </is>
      </c>
      <c r="F918" s="37" t="inlineStr">
        <is>
          <t>Salmonberry</t>
        </is>
      </c>
      <c r="G918" s="37" t="n">
        <v>50</v>
      </c>
      <c r="H918" s="37" t="inlineStr">
        <is>
          <t>OPEN</t>
        </is>
      </c>
      <c r="I918" s="37" t="inlineStr">
        <is>
          <t>ACCEPTED</t>
        </is>
      </c>
    </row>
    <row r="919">
      <c r="A919" s="37" t="inlineStr">
        <is>
          <t>OFR-2024-0918</t>
        </is>
      </c>
      <c r="B919" s="43" t="n">
        <v>45590</v>
      </c>
      <c r="C919" s="37" t="inlineStr">
        <is>
          <t>WL-01784</t>
        </is>
      </c>
      <c r="D919" s="37" t="n">
        <v>784</v>
      </c>
      <c r="E919" s="37" t="inlineStr">
        <is>
          <t>VB-0713</t>
        </is>
      </c>
      <c r="F919" s="37" t="inlineStr">
        <is>
          <t>Vessbank</t>
        </is>
      </c>
      <c r="G919" s="37" t="n">
        <v>32</v>
      </c>
      <c r="H919" s="37" t="inlineStr">
        <is>
          <t>COVERED</t>
        </is>
      </c>
      <c r="I919" s="37" t="inlineStr">
        <is>
          <t>EXPIRED</t>
        </is>
      </c>
    </row>
    <row r="920">
      <c r="A920" s="37" t="inlineStr">
        <is>
          <t>OFR-2024-0919</t>
        </is>
      </c>
      <c r="B920" s="43" t="n">
        <v>45578</v>
      </c>
      <c r="C920" s="37" t="inlineStr">
        <is>
          <t>WL-03308</t>
        </is>
      </c>
      <c r="D920" s="37" t="n">
        <v>2308</v>
      </c>
      <c r="E920" s="37" t="inlineStr">
        <is>
          <t>VB-0224</t>
        </is>
      </c>
      <c r="F920" s="37" t="inlineStr">
        <is>
          <t>Vessbank</t>
        </is>
      </c>
      <c r="G920" s="37" t="n">
        <v>28</v>
      </c>
      <c r="H920" s="37" t="inlineStr">
        <is>
          <t>COVERED</t>
        </is>
      </c>
      <c r="I920" s="37" t="inlineStr">
        <is>
          <t>DECLINED</t>
        </is>
      </c>
    </row>
    <row r="921">
      <c r="A921" s="37" t="inlineStr">
        <is>
          <t>OFR-2024-0920</t>
        </is>
      </c>
      <c r="B921" s="43" t="n">
        <v>45587</v>
      </c>
      <c r="C921" s="37" t="inlineStr">
        <is>
          <t>WL-02221</t>
        </is>
      </c>
      <c r="D921" s="37" t="n">
        <v>1221</v>
      </c>
      <c r="E921" s="37" t="inlineStr">
        <is>
          <t>VB-0106</t>
        </is>
      </c>
      <c r="F921" s="37" t="inlineStr">
        <is>
          <t>Vessbank</t>
        </is>
      </c>
      <c r="G921" s="37" t="n">
        <v>24</v>
      </c>
      <c r="H921" s="37" t="inlineStr">
        <is>
          <t>COVERED</t>
        </is>
      </c>
      <c r="I921" s="37" t="inlineStr">
        <is>
          <t>ACCEPTED</t>
        </is>
      </c>
    </row>
    <row r="922">
      <c r="A922" s="37" t="inlineStr">
        <is>
          <t>OFR-2024-0921</t>
        </is>
      </c>
      <c r="B922" s="43" t="n">
        <v>45590</v>
      </c>
      <c r="C922" s="37" t="inlineStr">
        <is>
          <t>WL-03851</t>
        </is>
      </c>
      <c r="D922" s="37" t="n">
        <v>2851</v>
      </c>
      <c r="E922" s="37" t="inlineStr">
        <is>
          <t>VB-0221</t>
        </is>
      </c>
      <c r="F922" s="37" t="inlineStr">
        <is>
          <t>Vessbank</t>
        </is>
      </c>
      <c r="G922" s="37" t="n">
        <v>24</v>
      </c>
      <c r="H922" s="37" t="inlineStr">
        <is>
          <t>COVERED</t>
        </is>
      </c>
      <c r="I922" s="37" t="inlineStr">
        <is>
          <t>ACCEPTED</t>
        </is>
      </c>
    </row>
    <row r="923">
      <c r="A923" s="37" t="inlineStr">
        <is>
          <t>OFR-2024-0922</t>
        </is>
      </c>
      <c r="B923" s="43" t="n">
        <v>45580</v>
      </c>
      <c r="C923" s="37" t="inlineStr">
        <is>
          <t>WL-01269</t>
        </is>
      </c>
      <c r="D923" s="37" t="n">
        <v>269</v>
      </c>
      <c r="E923" s="37" t="inlineStr">
        <is>
          <t>VB-0306</t>
        </is>
      </c>
      <c r="F923" s="37" t="inlineStr">
        <is>
          <t>Vessbank</t>
        </is>
      </c>
      <c r="G923" s="37" t="n">
        <v>28</v>
      </c>
      <c r="H923" s="37" t="inlineStr">
        <is>
          <t>COVERED</t>
        </is>
      </c>
      <c r="I923" s="37" t="inlineStr">
        <is>
          <t>SKIPPED</t>
        </is>
      </c>
      <c r="J923" s="37" t="inlineStr">
        <is>
          <t>vessel-fit</t>
        </is>
      </c>
    </row>
    <row r="924">
      <c r="A924" s="37" t="inlineStr">
        <is>
          <t>OFR-2024-0923</t>
        </is>
      </c>
      <c r="B924" s="43" t="n">
        <v>45589</v>
      </c>
      <c r="C924" s="37" t="inlineStr">
        <is>
          <t>WL-02703</t>
        </is>
      </c>
      <c r="D924" s="37" t="n">
        <v>1703</v>
      </c>
      <c r="E924" s="37" t="inlineStr">
        <is>
          <t>EW-0904</t>
        </is>
      </c>
      <c r="F924" s="37" t="inlineStr">
        <is>
          <t>Eastwey</t>
        </is>
      </c>
      <c r="G924" s="37" t="n">
        <v>45</v>
      </c>
      <c r="H924" s="37" t="inlineStr">
        <is>
          <t>OPEN</t>
        </is>
      </c>
      <c r="I924" s="37" t="inlineStr">
        <is>
          <t>ACCEPTED</t>
        </is>
      </c>
    </row>
    <row r="925">
      <c r="A925" s="37" t="inlineStr">
        <is>
          <t>OFR-2024-0924</t>
        </is>
      </c>
      <c r="B925" s="43" t="n">
        <v>45585</v>
      </c>
      <c r="C925" s="37" t="inlineStr">
        <is>
          <t>WL-03733</t>
        </is>
      </c>
      <c r="D925" s="37" t="n">
        <v>2733</v>
      </c>
      <c r="E925" s="37" t="inlineStr">
        <is>
          <t>GW-0814</t>
        </is>
      </c>
      <c r="F925" s="37" t="inlineStr">
        <is>
          <t>Gullwing</t>
        </is>
      </c>
      <c r="G925" s="37" t="n">
        <v>70</v>
      </c>
      <c r="H925" s="37" t="inlineStr">
        <is>
          <t>OPEN</t>
        </is>
      </c>
      <c r="I925" s="37" t="inlineStr">
        <is>
          <t>SKIPPED</t>
        </is>
      </c>
      <c r="J925" s="37" t="inlineStr">
        <is>
          <t>vessel-fit</t>
        </is>
      </c>
    </row>
    <row r="926">
      <c r="A926" s="37" t="inlineStr">
        <is>
          <t>OFR-2024-0925</t>
        </is>
      </c>
      <c r="B926" s="43" t="n">
        <v>45619</v>
      </c>
      <c r="C926" s="37" t="inlineStr">
        <is>
          <t>WL-01847</t>
        </is>
      </c>
      <c r="D926" s="37" t="n">
        <v>847</v>
      </c>
      <c r="E926" s="37" t="inlineStr">
        <is>
          <t>GW-0808</t>
        </is>
      </c>
      <c r="F926" s="37" t="inlineStr">
        <is>
          <t>Gullwing</t>
        </is>
      </c>
      <c r="G926" s="37" t="n">
        <v>28</v>
      </c>
      <c r="H926" s="37" t="inlineStr">
        <is>
          <t>OPEN</t>
        </is>
      </c>
      <c r="I926" s="37" t="inlineStr">
        <is>
          <t>ACCEPTED</t>
        </is>
      </c>
    </row>
    <row r="927">
      <c r="A927" s="37" t="inlineStr">
        <is>
          <t>OFR-2024-0926</t>
        </is>
      </c>
      <c r="B927" s="43" t="n">
        <v>45604</v>
      </c>
      <c r="C927" s="37" t="inlineStr">
        <is>
          <t>WL-03568</t>
        </is>
      </c>
      <c r="D927" s="37" t="n">
        <v>2568</v>
      </c>
      <c r="E927" s="37" t="inlineStr">
        <is>
          <t>LP-0721</t>
        </is>
      </c>
      <c r="F927" s="37" t="inlineStr">
        <is>
          <t>Ledgport</t>
        </is>
      </c>
      <c r="G927" s="37" t="n">
        <v>36</v>
      </c>
      <c r="H927" s="37" t="inlineStr">
        <is>
          <t>COVERED</t>
        </is>
      </c>
      <c r="I927" s="37" t="inlineStr">
        <is>
          <t>ACCEPTED</t>
        </is>
      </c>
    </row>
    <row r="928">
      <c r="A928" s="37" t="inlineStr">
        <is>
          <t>OFR-2024-0927</t>
        </is>
      </c>
      <c r="B928" s="43" t="n">
        <v>45602</v>
      </c>
      <c r="C928" s="37" t="inlineStr">
        <is>
          <t>WL-03624</t>
        </is>
      </c>
      <c r="D928" s="37" t="n">
        <v>2624</v>
      </c>
      <c r="E928" s="37" t="inlineStr">
        <is>
          <t>SB-0517</t>
        </is>
      </c>
      <c r="F928" s="37" t="inlineStr">
        <is>
          <t>Salmonberry</t>
        </is>
      </c>
      <c r="G928" s="37" t="n">
        <v>32</v>
      </c>
      <c r="H928" s="37" t="inlineStr">
        <is>
          <t>OPEN</t>
        </is>
      </c>
      <c r="I928" s="37" t="inlineStr">
        <is>
          <t>ACCEPTED</t>
        </is>
      </c>
    </row>
    <row r="929">
      <c r="A929" s="37" t="inlineStr">
        <is>
          <t>OFR-2024-0928</t>
        </is>
      </c>
      <c r="B929" s="43" t="n">
        <v>45615</v>
      </c>
      <c r="C929" s="37" t="inlineStr">
        <is>
          <t>WL-01251</t>
        </is>
      </c>
      <c r="D929" s="37" t="n">
        <v>251</v>
      </c>
      <c r="E929" s="37" t="inlineStr">
        <is>
          <t>SB-0505</t>
        </is>
      </c>
      <c r="F929" s="37" t="inlineStr">
        <is>
          <t>Salmonberry</t>
        </is>
      </c>
      <c r="G929" s="37" t="n">
        <v>80</v>
      </c>
      <c r="H929" s="37" t="inlineStr">
        <is>
          <t>OPEN</t>
        </is>
      </c>
      <c r="I929" s="37" t="inlineStr">
        <is>
          <t>ACCEPTED</t>
        </is>
      </c>
    </row>
    <row r="930">
      <c r="A930" s="37" t="inlineStr">
        <is>
          <t>OFR-2024-0929</t>
        </is>
      </c>
      <c r="B930" s="43" t="n">
        <v>45618</v>
      </c>
      <c r="C930" s="37" t="inlineStr">
        <is>
          <t>WL-02139</t>
        </is>
      </c>
      <c r="D930" s="37" t="n">
        <v>1139</v>
      </c>
      <c r="E930" s="37" t="inlineStr">
        <is>
          <t>LP-0215</t>
        </is>
      </c>
      <c r="F930" s="37" t="inlineStr">
        <is>
          <t>Ledgport</t>
        </is>
      </c>
      <c r="G930" s="37" t="n">
        <v>28</v>
      </c>
      <c r="H930" s="37" t="inlineStr">
        <is>
          <t>COVERED</t>
        </is>
      </c>
      <c r="I930" s="37" t="inlineStr">
        <is>
          <t>SKIPPED</t>
        </is>
      </c>
      <c r="J930" s="37" t="inlineStr">
        <is>
          <t>vessel-fit</t>
        </is>
      </c>
    </row>
    <row r="931">
      <c r="A931" s="37" t="inlineStr">
        <is>
          <t>OFR-2024-0930</t>
        </is>
      </c>
      <c r="B931" s="43" t="n">
        <v>45613</v>
      </c>
      <c r="C931" s="37" t="inlineStr">
        <is>
          <t>WL-02598</t>
        </is>
      </c>
      <c r="D931" s="37" t="n">
        <v>1598</v>
      </c>
      <c r="E931" s="37" t="inlineStr">
        <is>
          <t>GW-0902</t>
        </is>
      </c>
      <c r="F931" s="37" t="inlineStr">
        <is>
          <t>Gullwing</t>
        </is>
      </c>
      <c r="G931" s="37" t="n">
        <v>36</v>
      </c>
      <c r="H931" s="37" t="inlineStr">
        <is>
          <t>OPEN</t>
        </is>
      </c>
      <c r="I931" s="37" t="inlineStr">
        <is>
          <t>SKIPPED</t>
        </is>
      </c>
      <c r="J931" s="37" t="inlineStr">
        <is>
          <t>vessel-fit</t>
        </is>
      </c>
    </row>
    <row r="932">
      <c r="A932" s="37" t="inlineStr">
        <is>
          <t>OFR-2024-0931</t>
        </is>
      </c>
      <c r="B932" s="43" t="n">
        <v>45613</v>
      </c>
      <c r="C932" s="37" t="inlineStr">
        <is>
          <t>WL-01563</t>
        </is>
      </c>
      <c r="D932" s="37" t="n">
        <v>563</v>
      </c>
      <c r="E932" s="37" t="inlineStr">
        <is>
          <t>EW-0118</t>
        </is>
      </c>
      <c r="F932" s="37" t="inlineStr">
        <is>
          <t>Eastwey</t>
        </is>
      </c>
      <c r="G932" s="37" t="n">
        <v>45</v>
      </c>
      <c r="H932" s="37" t="inlineStr">
        <is>
          <t>OPEN</t>
        </is>
      </c>
      <c r="I932" s="37" t="inlineStr">
        <is>
          <t>DECLINED</t>
        </is>
      </c>
    </row>
    <row r="933">
      <c r="A933" s="37" t="inlineStr">
        <is>
          <t>OFR-2024-0932</t>
        </is>
      </c>
      <c r="B933" s="43" t="n">
        <v>45619</v>
      </c>
      <c r="C933" s="37" t="inlineStr">
        <is>
          <t>WL-01567</t>
        </is>
      </c>
      <c r="D933" s="37" t="n">
        <v>567</v>
      </c>
      <c r="E933" s="37" t="inlineStr">
        <is>
          <t>EW-0417</t>
        </is>
      </c>
      <c r="F933" s="37" t="inlineStr">
        <is>
          <t>Eastwey</t>
        </is>
      </c>
      <c r="G933" s="37" t="n">
        <v>28</v>
      </c>
      <c r="H933" s="37" t="inlineStr">
        <is>
          <t>OPEN</t>
        </is>
      </c>
      <c r="I933" s="37" t="inlineStr">
        <is>
          <t>ACCEPTED</t>
        </is>
      </c>
    </row>
    <row r="934">
      <c r="A934" s="37" t="inlineStr">
        <is>
          <t>OFR-2024-0933</t>
        </is>
      </c>
      <c r="B934" s="43" t="n">
        <v>45619</v>
      </c>
      <c r="C934" s="37" t="inlineStr">
        <is>
          <t>WL-03700</t>
        </is>
      </c>
      <c r="D934" s="37" t="n">
        <v>2700</v>
      </c>
      <c r="E934" s="37" t="inlineStr">
        <is>
          <t>LP-0105</t>
        </is>
      </c>
      <c r="F934" s="37" t="inlineStr">
        <is>
          <t>Ledgport</t>
        </is>
      </c>
      <c r="G934" s="37" t="n">
        <v>36</v>
      </c>
      <c r="H934" s="37" t="inlineStr">
        <is>
          <t>COVERED</t>
        </is>
      </c>
      <c r="I934" s="37" t="inlineStr">
        <is>
          <t>DECLINED_RETAINER</t>
        </is>
      </c>
    </row>
    <row r="935">
      <c r="A935" s="37" t="inlineStr">
        <is>
          <t>OFR-2024-0934</t>
        </is>
      </c>
      <c r="B935" s="43" t="n">
        <v>45607</v>
      </c>
      <c r="C935" s="37" t="inlineStr">
        <is>
          <t>WL-01281</t>
        </is>
      </c>
      <c r="D935" s="37" t="n">
        <v>281</v>
      </c>
      <c r="E935" s="37" t="inlineStr">
        <is>
          <t>LP-0318</t>
        </is>
      </c>
      <c r="F935" s="37" t="inlineStr">
        <is>
          <t>Ledgport</t>
        </is>
      </c>
      <c r="G935" s="37" t="n">
        <v>32</v>
      </c>
      <c r="H935" s="37" t="inlineStr">
        <is>
          <t>COVERED</t>
        </is>
      </c>
      <c r="I935" s="37" t="inlineStr">
        <is>
          <t>ACCEPTED</t>
        </is>
      </c>
    </row>
    <row r="936">
      <c r="A936" s="37" t="inlineStr">
        <is>
          <t>OFR-2024-0935</t>
        </is>
      </c>
      <c r="B936" s="43" t="n">
        <v>45618</v>
      </c>
      <c r="C936" s="37" t="inlineStr">
        <is>
          <t>WL-01062</t>
        </is>
      </c>
      <c r="D936" s="37" t="n">
        <v>62</v>
      </c>
      <c r="E936" s="37" t="inlineStr">
        <is>
          <t>LP-0509</t>
        </is>
      </c>
      <c r="F936" s="37" t="inlineStr">
        <is>
          <t>Ledgport</t>
        </is>
      </c>
      <c r="G936" s="37" t="n">
        <v>32</v>
      </c>
      <c r="H936" s="37" t="inlineStr">
        <is>
          <t>COVERED</t>
        </is>
      </c>
      <c r="I936" s="37" t="inlineStr">
        <is>
          <t>ACCEPTED</t>
        </is>
      </c>
    </row>
    <row r="937">
      <c r="A937" s="37" t="inlineStr">
        <is>
          <t>OFR-2024-0936</t>
        </is>
      </c>
      <c r="B937" s="43" t="n">
        <v>45603</v>
      </c>
      <c r="C937" s="37" t="inlineStr">
        <is>
          <t>WL-03888</t>
        </is>
      </c>
      <c r="D937" s="37" t="n">
        <v>2888</v>
      </c>
      <c r="E937" s="37" t="inlineStr">
        <is>
          <t>SB-0401</t>
        </is>
      </c>
      <c r="F937" s="37" t="inlineStr">
        <is>
          <t>Salmonberry</t>
        </is>
      </c>
      <c r="G937" s="37" t="n">
        <v>60</v>
      </c>
      <c r="H937" s="37" t="inlineStr">
        <is>
          <t>OPEN</t>
        </is>
      </c>
      <c r="I937" s="37" t="inlineStr">
        <is>
          <t>ACCEPTED</t>
        </is>
      </c>
    </row>
    <row r="938">
      <c r="A938" s="37" t="inlineStr">
        <is>
          <t>OFR-2024-0937</t>
        </is>
      </c>
      <c r="B938" s="43" t="n">
        <v>45608</v>
      </c>
      <c r="C938" s="37" t="inlineStr">
        <is>
          <t>WL-03833</t>
        </is>
      </c>
      <c r="D938" s="37" t="n">
        <v>2833</v>
      </c>
      <c r="E938" s="37" t="inlineStr">
        <is>
          <t>VB-0407</t>
        </is>
      </c>
      <c r="F938" s="37" t="inlineStr">
        <is>
          <t>Vessbank</t>
        </is>
      </c>
      <c r="G938" s="37" t="n">
        <v>24</v>
      </c>
      <c r="H938" s="37" t="inlineStr">
        <is>
          <t>COVERED</t>
        </is>
      </c>
      <c r="I938" s="37" t="inlineStr">
        <is>
          <t>EXPIRED</t>
        </is>
      </c>
    </row>
    <row r="939">
      <c r="A939" s="37" t="inlineStr">
        <is>
          <t>OFR-2024-0938</t>
        </is>
      </c>
      <c r="B939" s="43" t="n">
        <v>45620</v>
      </c>
      <c r="C939" s="37" t="inlineStr">
        <is>
          <t>WL-03121</t>
        </is>
      </c>
      <c r="D939" s="37" t="n">
        <v>2121</v>
      </c>
      <c r="E939" s="37" t="inlineStr">
        <is>
          <t>LP-0219</t>
        </is>
      </c>
      <c r="F939" s="37" t="inlineStr">
        <is>
          <t>Ledgport</t>
        </is>
      </c>
      <c r="G939" s="37" t="n">
        <v>28</v>
      </c>
      <c r="H939" s="37" t="inlineStr">
        <is>
          <t>COVERED</t>
        </is>
      </c>
      <c r="I939" s="37" t="inlineStr">
        <is>
          <t>ACCEPTED</t>
        </is>
      </c>
    </row>
    <row r="940">
      <c r="A940" s="37" t="inlineStr">
        <is>
          <t>OFR-2024-0939</t>
        </is>
      </c>
      <c r="B940" s="43" t="n">
        <v>45602</v>
      </c>
      <c r="C940" s="37" t="inlineStr">
        <is>
          <t>WL-03685</t>
        </is>
      </c>
      <c r="D940" s="37" t="n">
        <v>2685</v>
      </c>
      <c r="E940" s="37" t="inlineStr">
        <is>
          <t>VB-0918</t>
        </is>
      </c>
      <c r="F940" s="37" t="inlineStr">
        <is>
          <t>Vessbank</t>
        </is>
      </c>
      <c r="G940" s="37" t="n">
        <v>36</v>
      </c>
      <c r="H940" s="37" t="inlineStr">
        <is>
          <t>COVERED</t>
        </is>
      </c>
      <c r="I940" s="37" t="inlineStr">
        <is>
          <t>ACCEPTED</t>
        </is>
      </c>
    </row>
    <row r="941">
      <c r="A941" s="37" t="inlineStr">
        <is>
          <t>OFR-2024-0940</t>
        </is>
      </c>
      <c r="B941" s="43" t="n">
        <v>45619</v>
      </c>
      <c r="C941" s="37" t="inlineStr">
        <is>
          <t>WL-01832</t>
        </is>
      </c>
      <c r="D941" s="37" t="n">
        <v>832</v>
      </c>
      <c r="E941" s="37" t="inlineStr">
        <is>
          <t>VB-0222</t>
        </is>
      </c>
      <c r="F941" s="37" t="inlineStr">
        <is>
          <t>Vessbank</t>
        </is>
      </c>
      <c r="G941" s="37" t="n">
        <v>28</v>
      </c>
      <c r="H941" s="37" t="inlineStr">
        <is>
          <t>COVERED</t>
        </is>
      </c>
      <c r="I941" s="37" t="inlineStr">
        <is>
          <t>SKIPPED</t>
        </is>
      </c>
      <c r="J941" s="37" t="inlineStr">
        <is>
          <t>not-current</t>
        </is>
      </c>
    </row>
    <row r="942">
      <c r="A942" s="37" t="inlineStr">
        <is>
          <t>OFR-2024-0941</t>
        </is>
      </c>
      <c r="B942" s="43" t="n">
        <v>45621</v>
      </c>
      <c r="C942" s="37" t="inlineStr">
        <is>
          <t>WL-01401</t>
        </is>
      </c>
      <c r="D942" s="37" t="n">
        <v>401</v>
      </c>
      <c r="E942" s="37" t="inlineStr">
        <is>
          <t>LP-0803</t>
        </is>
      </c>
      <c r="F942" s="37" t="inlineStr">
        <is>
          <t>Ledgport</t>
        </is>
      </c>
      <c r="G942" s="37" t="n">
        <v>28</v>
      </c>
      <c r="H942" s="37" t="inlineStr">
        <is>
          <t>COVERED</t>
        </is>
      </c>
      <c r="I942" s="37" t="inlineStr">
        <is>
          <t>ACCEPTED</t>
        </is>
      </c>
    </row>
    <row r="943">
      <c r="A943" s="37" t="inlineStr">
        <is>
          <t>OFR-2024-0942</t>
        </is>
      </c>
      <c r="B943" s="43" t="n">
        <v>45599</v>
      </c>
      <c r="C943" s="37" t="inlineStr">
        <is>
          <t>WL-03857</t>
        </is>
      </c>
      <c r="D943" s="37" t="n">
        <v>2857</v>
      </c>
      <c r="E943" s="37" t="inlineStr">
        <is>
          <t>SB-0407</t>
        </is>
      </c>
      <c r="F943" s="37" t="inlineStr">
        <is>
          <t>Salmonberry</t>
        </is>
      </c>
      <c r="G943" s="37" t="n">
        <v>24</v>
      </c>
      <c r="H943" s="37" t="inlineStr">
        <is>
          <t>OPEN</t>
        </is>
      </c>
      <c r="I943" s="37" t="inlineStr">
        <is>
          <t>SKIPPED</t>
        </is>
      </c>
      <c r="J943" s="37" t="inlineStr">
        <is>
          <t>vessel-fit</t>
        </is>
      </c>
    </row>
    <row r="944">
      <c r="A944" s="37" t="inlineStr">
        <is>
          <t>OFR-2024-0943</t>
        </is>
      </c>
      <c r="B944" s="43" t="n">
        <v>45615</v>
      </c>
      <c r="C944" s="37" t="inlineStr">
        <is>
          <t>WL-02246</t>
        </is>
      </c>
      <c r="D944" s="37" t="n">
        <v>1246</v>
      </c>
      <c r="E944" s="37" t="inlineStr">
        <is>
          <t>GW-0715</t>
        </is>
      </c>
      <c r="F944" s="37" t="inlineStr">
        <is>
          <t>Gullwing</t>
        </is>
      </c>
      <c r="G944" s="37" t="n">
        <v>24</v>
      </c>
      <c r="H944" s="37" t="inlineStr">
        <is>
          <t>OPEN</t>
        </is>
      </c>
      <c r="I944" s="37" t="inlineStr">
        <is>
          <t>ACCEPTED</t>
        </is>
      </c>
    </row>
    <row r="945">
      <c r="A945" s="37" t="inlineStr">
        <is>
          <t>OFR-2024-0944</t>
        </is>
      </c>
      <c r="B945" s="43" t="n">
        <v>45652</v>
      </c>
      <c r="C945" s="37" t="inlineStr">
        <is>
          <t>WL-03817</t>
        </is>
      </c>
      <c r="D945" s="37" t="n">
        <v>2817</v>
      </c>
      <c r="E945" s="37" t="inlineStr">
        <is>
          <t>LP-0415</t>
        </is>
      </c>
      <c r="F945" s="37" t="inlineStr">
        <is>
          <t>Ledgport</t>
        </is>
      </c>
      <c r="G945" s="37" t="n">
        <v>24</v>
      </c>
      <c r="H945" s="37" t="inlineStr">
        <is>
          <t>COVERED</t>
        </is>
      </c>
      <c r="I945" s="37" t="inlineStr">
        <is>
          <t>DECLINED</t>
        </is>
      </c>
    </row>
    <row r="946">
      <c r="A946" s="37" t="inlineStr">
        <is>
          <t>OFR-2024-0945</t>
        </is>
      </c>
      <c r="B946" s="43" t="n">
        <v>45640</v>
      </c>
      <c r="C946" s="37" t="inlineStr">
        <is>
          <t>WL-02956</t>
        </is>
      </c>
      <c r="D946" s="37" t="n">
        <v>1956</v>
      </c>
      <c r="E946" s="37" t="inlineStr">
        <is>
          <t>LP-0307</t>
        </is>
      </c>
      <c r="F946" s="37" t="inlineStr">
        <is>
          <t>Ledgport</t>
        </is>
      </c>
      <c r="G946" s="37" t="n">
        <v>36</v>
      </c>
      <c r="H946" s="37" t="inlineStr">
        <is>
          <t>COVERED</t>
        </is>
      </c>
      <c r="I946" s="37" t="inlineStr">
        <is>
          <t>DECLINED</t>
        </is>
      </c>
    </row>
    <row r="947">
      <c r="A947" s="37" t="inlineStr">
        <is>
          <t>OFR-2024-0946</t>
        </is>
      </c>
      <c r="B947" s="43" t="n">
        <v>45640</v>
      </c>
      <c r="C947" s="37" t="inlineStr">
        <is>
          <t>WL-01156</t>
        </is>
      </c>
      <c r="D947" s="37" t="n">
        <v>156</v>
      </c>
      <c r="E947" s="37" t="inlineStr">
        <is>
          <t>SB-0403</t>
        </is>
      </c>
      <c r="F947" s="37" t="inlineStr">
        <is>
          <t>Salmonberry</t>
        </is>
      </c>
      <c r="G947" s="37" t="n">
        <v>24</v>
      </c>
      <c r="H947" s="37" t="inlineStr">
        <is>
          <t>OPEN</t>
        </is>
      </c>
      <c r="I947" s="37" t="inlineStr">
        <is>
          <t>EXPIRED</t>
        </is>
      </c>
    </row>
    <row r="948">
      <c r="A948" s="37" t="inlineStr">
        <is>
          <t>OFR-2024-0947</t>
        </is>
      </c>
      <c r="B948" s="43" t="n">
        <v>45649</v>
      </c>
      <c r="C948" s="37" t="inlineStr">
        <is>
          <t>WL-01710</t>
        </is>
      </c>
      <c r="D948" s="37" t="n">
        <v>710</v>
      </c>
      <c r="E948" s="37" t="inlineStr">
        <is>
          <t>SB-0112</t>
        </is>
      </c>
      <c r="F948" s="37" t="inlineStr">
        <is>
          <t>Salmonberry</t>
        </is>
      </c>
      <c r="G948" s="37" t="n">
        <v>32</v>
      </c>
      <c r="H948" s="37" t="inlineStr">
        <is>
          <t>OPEN</t>
        </is>
      </c>
      <c r="I948" s="37" t="inlineStr">
        <is>
          <t>ACCEPTED</t>
        </is>
      </c>
    </row>
    <row r="949">
      <c r="A949" s="37" t="inlineStr">
        <is>
          <t>OFR-2024-0948</t>
        </is>
      </c>
      <c r="B949" s="43" t="n">
        <v>45653</v>
      </c>
      <c r="C949" s="37" t="inlineStr">
        <is>
          <t>WL-01076</t>
        </is>
      </c>
      <c r="D949" s="37" t="n">
        <v>76</v>
      </c>
      <c r="E949" s="37" t="inlineStr">
        <is>
          <t>SB-0304</t>
        </is>
      </c>
      <c r="F949" s="37" t="inlineStr">
        <is>
          <t>Salmonberry</t>
        </is>
      </c>
      <c r="G949" s="37" t="n">
        <v>24</v>
      </c>
      <c r="H949" s="37" t="inlineStr">
        <is>
          <t>OPEN</t>
        </is>
      </c>
      <c r="I949" s="37" t="inlineStr">
        <is>
          <t>ACCEPTED</t>
        </is>
      </c>
    </row>
    <row r="950">
      <c r="A950" s="37" t="inlineStr">
        <is>
          <t>OFR-2024-0949</t>
        </is>
      </c>
      <c r="B950" s="43" t="n">
        <v>45636</v>
      </c>
      <c r="C950" s="37" t="inlineStr">
        <is>
          <t>WL-01644</t>
        </is>
      </c>
      <c r="D950" s="37" t="n">
        <v>644</v>
      </c>
      <c r="E950" s="37" t="inlineStr">
        <is>
          <t>EW-0422</t>
        </is>
      </c>
      <c r="F950" s="37" t="inlineStr">
        <is>
          <t>Eastwey</t>
        </is>
      </c>
      <c r="G950" s="37" t="n">
        <v>60</v>
      </c>
      <c r="H950" s="37" t="inlineStr">
        <is>
          <t>OPEN</t>
        </is>
      </c>
      <c r="I950" s="37" t="inlineStr">
        <is>
          <t>EXPIRED</t>
        </is>
      </c>
    </row>
    <row r="951">
      <c r="A951" s="37" t="inlineStr">
        <is>
          <t>OFR-2024-0950</t>
        </is>
      </c>
      <c r="B951" s="43" t="n">
        <v>45636</v>
      </c>
      <c r="C951" s="37" t="inlineStr">
        <is>
          <t>WL-03045</t>
        </is>
      </c>
      <c r="D951" s="37" t="n">
        <v>2045</v>
      </c>
      <c r="E951" s="37" t="inlineStr">
        <is>
          <t>VB-0707</t>
        </is>
      </c>
      <c r="F951" s="37" t="inlineStr">
        <is>
          <t>Vessbank</t>
        </is>
      </c>
      <c r="G951" s="37" t="n">
        <v>28</v>
      </c>
      <c r="H951" s="37" t="inlineStr">
        <is>
          <t>COVERED</t>
        </is>
      </c>
      <c r="I951" s="37" t="inlineStr">
        <is>
          <t>ACCEPTED</t>
        </is>
      </c>
    </row>
    <row r="952">
      <c r="A952" s="37" t="inlineStr">
        <is>
          <t>OFR-2024-0951</t>
        </is>
      </c>
      <c r="B952" s="43" t="n">
        <v>45639</v>
      </c>
      <c r="C952" s="37" t="inlineStr">
        <is>
          <t>WL-02412</t>
        </is>
      </c>
      <c r="D952" s="37" t="n">
        <v>1412</v>
      </c>
      <c r="E952" s="37" t="inlineStr">
        <is>
          <t>GW-0201</t>
        </is>
      </c>
      <c r="F952" s="37" t="inlineStr">
        <is>
          <t>Gullwing</t>
        </is>
      </c>
      <c r="G952" s="37" t="n">
        <v>32</v>
      </c>
      <c r="H952" s="37" t="inlineStr">
        <is>
          <t>OPEN</t>
        </is>
      </c>
      <c r="I952" s="37" t="inlineStr">
        <is>
          <t>SKIPPED</t>
        </is>
      </c>
      <c r="J952" s="37" t="inlineStr">
        <is>
          <t>preference-mismatch</t>
        </is>
      </c>
    </row>
    <row r="953">
      <c r="A953" s="37" t="inlineStr">
        <is>
          <t>OFR-2024-0952</t>
        </is>
      </c>
      <c r="B953" s="43" t="n">
        <v>45650</v>
      </c>
      <c r="C953" s="37" t="inlineStr">
        <is>
          <t>WL-03079</t>
        </is>
      </c>
      <c r="D953" s="37" t="n">
        <v>2079</v>
      </c>
      <c r="E953" s="37" t="inlineStr">
        <is>
          <t>SB-0106</t>
        </is>
      </c>
      <c r="F953" s="37" t="inlineStr">
        <is>
          <t>Salmonberry</t>
        </is>
      </c>
      <c r="G953" s="37" t="n">
        <v>28</v>
      </c>
      <c r="H953" s="37" t="inlineStr">
        <is>
          <t>OPEN</t>
        </is>
      </c>
      <c r="I953" s="37" t="inlineStr">
        <is>
          <t>SKIPPED</t>
        </is>
      </c>
      <c r="J953" s="37" t="inlineStr">
        <is>
          <t>not-current</t>
        </is>
      </c>
    </row>
    <row r="954">
      <c r="A954" s="37" t="inlineStr">
        <is>
          <t>OFR-2024-0953</t>
        </is>
      </c>
      <c r="B954" s="43" t="n">
        <v>45645</v>
      </c>
      <c r="C954" s="37" t="inlineStr">
        <is>
          <t>WL-03776</t>
        </is>
      </c>
      <c r="D954" s="37" t="n">
        <v>2776</v>
      </c>
      <c r="E954" s="37" t="inlineStr">
        <is>
          <t>EW-0623</t>
        </is>
      </c>
      <c r="F954" s="37" t="inlineStr">
        <is>
          <t>Eastwey</t>
        </is>
      </c>
      <c r="G954" s="37" t="n">
        <v>32</v>
      </c>
      <c r="H954" s="37" t="inlineStr">
        <is>
          <t>OPEN</t>
        </is>
      </c>
      <c r="I954" s="37" t="inlineStr">
        <is>
          <t>ACCEPTED</t>
        </is>
      </c>
    </row>
    <row r="955">
      <c r="A955" s="37" t="inlineStr">
        <is>
          <t>OFR-2024-0954</t>
        </is>
      </c>
      <c r="B955" s="43" t="n">
        <v>45637</v>
      </c>
      <c r="C955" s="37" t="inlineStr">
        <is>
          <t>WL-03294</t>
        </is>
      </c>
      <c r="D955" s="37" t="n">
        <v>2294</v>
      </c>
      <c r="E955" s="37" t="inlineStr">
        <is>
          <t>LP-0102</t>
        </is>
      </c>
      <c r="F955" s="37" t="inlineStr">
        <is>
          <t>Ledgport</t>
        </is>
      </c>
      <c r="G955" s="37" t="n">
        <v>40</v>
      </c>
      <c r="H955" s="37" t="inlineStr">
        <is>
          <t>COVERED</t>
        </is>
      </c>
      <c r="I955" s="37" t="inlineStr">
        <is>
          <t>SKIPPED</t>
        </is>
      </c>
      <c r="J955" s="37" t="inlineStr">
        <is>
          <t>vessel-fit</t>
        </is>
      </c>
    </row>
    <row r="956">
      <c r="A956" s="37" t="inlineStr">
        <is>
          <t>OFR-2024-0955</t>
        </is>
      </c>
      <c r="B956" s="43" t="n">
        <v>45648</v>
      </c>
      <c r="C956" s="37" t="inlineStr">
        <is>
          <t>WL-01844</t>
        </is>
      </c>
      <c r="D956" s="37" t="n">
        <v>844</v>
      </c>
      <c r="E956" s="37" t="inlineStr">
        <is>
          <t>EW-0519</t>
        </is>
      </c>
      <c r="F956" s="37" t="inlineStr">
        <is>
          <t>Eastwey</t>
        </is>
      </c>
      <c r="G956" s="37" t="n">
        <v>32</v>
      </c>
      <c r="H956" s="37" t="inlineStr">
        <is>
          <t>OPEN</t>
        </is>
      </c>
      <c r="I956" s="37" t="inlineStr">
        <is>
          <t>SKIPPED</t>
        </is>
      </c>
      <c r="J956" s="37" t="inlineStr">
        <is>
          <t>vessel-fit</t>
        </is>
      </c>
    </row>
    <row r="957">
      <c r="A957" s="37" t="inlineStr">
        <is>
          <t>OFR-2024-0956</t>
        </is>
      </c>
      <c r="B957" s="43" t="n">
        <v>45652</v>
      </c>
      <c r="C957" s="37" t="inlineStr">
        <is>
          <t>WL-01529</t>
        </is>
      </c>
      <c r="D957" s="37" t="n">
        <v>529</v>
      </c>
      <c r="E957" s="37" t="inlineStr">
        <is>
          <t>SB-0901</t>
        </is>
      </c>
      <c r="F957" s="37" t="inlineStr">
        <is>
          <t>Salmonberry</t>
        </is>
      </c>
      <c r="G957" s="37" t="n">
        <v>45</v>
      </c>
      <c r="H957" s="37" t="inlineStr">
        <is>
          <t>OPEN</t>
        </is>
      </c>
      <c r="I957" s="37" t="inlineStr">
        <is>
          <t>ACCEPTED</t>
        </is>
      </c>
    </row>
    <row r="958">
      <c r="A958" s="37" t="inlineStr">
        <is>
          <t>OFR-2024-0957</t>
        </is>
      </c>
      <c r="B958" s="43" t="n">
        <v>45654</v>
      </c>
      <c r="C958" s="37" t="inlineStr">
        <is>
          <t>WL-01499</t>
        </is>
      </c>
      <c r="D958" s="37" t="n">
        <v>499</v>
      </c>
      <c r="E958" s="37" t="inlineStr">
        <is>
          <t>VB-1015</t>
        </is>
      </c>
      <c r="F958" s="37" t="inlineStr">
        <is>
          <t>Vessbank</t>
        </is>
      </c>
      <c r="G958" s="37" t="n">
        <v>36</v>
      </c>
      <c r="H958" s="37" t="inlineStr">
        <is>
          <t>COVERED</t>
        </is>
      </c>
      <c r="I958" s="37" t="inlineStr">
        <is>
          <t>ACCEPTED</t>
        </is>
      </c>
    </row>
    <row r="959">
      <c r="A959" s="37" t="inlineStr">
        <is>
          <t>OFR-2024-0958</t>
        </is>
      </c>
      <c r="B959" s="43" t="n">
        <v>45646</v>
      </c>
      <c r="C959" s="37" t="inlineStr">
        <is>
          <t>WL-01461</t>
        </is>
      </c>
      <c r="D959" s="37" t="n">
        <v>461</v>
      </c>
      <c r="E959" s="37" t="inlineStr">
        <is>
          <t>LP-1017</t>
        </is>
      </c>
      <c r="F959" s="37" t="inlineStr">
        <is>
          <t>Ledgport</t>
        </is>
      </c>
      <c r="G959" s="37" t="n">
        <v>32</v>
      </c>
      <c r="H959" s="37" t="inlineStr">
        <is>
          <t>COVERED</t>
        </is>
      </c>
      <c r="I959" s="37" t="inlineStr">
        <is>
          <t>ACCEPTED</t>
        </is>
      </c>
    </row>
    <row r="960">
      <c r="A960" s="37" t="inlineStr">
        <is>
          <t>OFR-2024-0959</t>
        </is>
      </c>
      <c r="B960" s="43" t="n">
        <v>45649</v>
      </c>
      <c r="C960" s="37" t="inlineStr">
        <is>
          <t>WL-03864</t>
        </is>
      </c>
      <c r="D960" s="37" t="n">
        <v>2864</v>
      </c>
      <c r="E960" s="37" t="inlineStr">
        <is>
          <t>LP-1004</t>
        </is>
      </c>
      <c r="F960" s="37" t="inlineStr">
        <is>
          <t>Ledgport</t>
        </is>
      </c>
      <c r="G960" s="37" t="n">
        <v>24</v>
      </c>
      <c r="H960" s="37" t="inlineStr">
        <is>
          <t>COVERED</t>
        </is>
      </c>
      <c r="I960" s="37" t="inlineStr">
        <is>
          <t>ACCEPTED</t>
        </is>
      </c>
    </row>
    <row r="961">
      <c r="A961" s="37" t="inlineStr">
        <is>
          <t>OFR-2024-0960</t>
        </is>
      </c>
      <c r="B961" s="43" t="n">
        <v>45644</v>
      </c>
      <c r="C961" s="37" t="inlineStr">
        <is>
          <t>WL-02923</t>
        </is>
      </c>
      <c r="D961" s="37" t="n">
        <v>1923</v>
      </c>
      <c r="E961" s="37" t="inlineStr">
        <is>
          <t>LP-0822</t>
        </is>
      </c>
      <c r="F961" s="37" t="inlineStr">
        <is>
          <t>Ledgport</t>
        </is>
      </c>
      <c r="G961" s="37" t="n">
        <v>36</v>
      </c>
      <c r="H961" s="37" t="inlineStr">
        <is>
          <t>COVERED</t>
        </is>
      </c>
      <c r="I961" s="37" t="inlineStr">
        <is>
          <t>SKIPPED</t>
        </is>
      </c>
      <c r="J961" s="37" t="inlineStr">
        <is>
          <t>preference-mismatch</t>
        </is>
      </c>
    </row>
    <row r="962">
      <c r="A962" s="37" t="inlineStr">
        <is>
          <t>OFR-2024-0961</t>
        </is>
      </c>
      <c r="B962" s="43" t="n">
        <v>45639</v>
      </c>
      <c r="C962" s="37" t="inlineStr">
        <is>
          <t>WL-01576</t>
        </is>
      </c>
      <c r="D962" s="37" t="n">
        <v>576</v>
      </c>
      <c r="E962" s="37" t="inlineStr">
        <is>
          <t>LP-0817</t>
        </is>
      </c>
      <c r="F962" s="37" t="inlineStr">
        <is>
          <t>Ledgport</t>
        </is>
      </c>
      <c r="G962" s="37" t="n">
        <v>32</v>
      </c>
      <c r="H962" s="37" t="inlineStr">
        <is>
          <t>COVERED</t>
        </is>
      </c>
      <c r="I962" s="37" t="inlineStr">
        <is>
          <t>ACCEPTED</t>
        </is>
      </c>
    </row>
    <row r="963">
      <c r="A963" s="37" t="inlineStr">
        <is>
          <t>OFR-2024-0962</t>
        </is>
      </c>
      <c r="B963" s="43" t="n">
        <v>45652</v>
      </c>
      <c r="C963" s="37" t="inlineStr">
        <is>
          <t>WL-02923</t>
        </is>
      </c>
      <c r="D963" s="37" t="n">
        <v>1923</v>
      </c>
      <c r="E963" s="37" t="inlineStr">
        <is>
          <t>SB-0313</t>
        </is>
      </c>
      <c r="F963" s="37" t="inlineStr">
        <is>
          <t>Salmonberry</t>
        </is>
      </c>
      <c r="G963" s="37" t="n">
        <v>24</v>
      </c>
      <c r="H963" s="37" t="inlineStr">
        <is>
          <t>OPEN</t>
        </is>
      </c>
      <c r="I963" s="37" t="inlineStr">
        <is>
          <t>WITHDRAWN</t>
        </is>
      </c>
    </row>
    <row r="964">
      <c r="A964" s="37" t="inlineStr">
        <is>
          <t>OFR-2025-0963</t>
        </is>
      </c>
      <c r="B964" s="43" t="n">
        <v>45667</v>
      </c>
      <c r="C964" s="37" t="inlineStr">
        <is>
          <t>WL-03352</t>
        </is>
      </c>
      <c r="D964" s="37" t="n">
        <v>2352</v>
      </c>
      <c r="E964" s="37" t="inlineStr">
        <is>
          <t>GW-0610</t>
        </is>
      </c>
      <c r="F964" s="37" t="inlineStr">
        <is>
          <t>Gullwing</t>
        </is>
      </c>
      <c r="G964" s="37" t="n">
        <v>32</v>
      </c>
      <c r="H964" s="37" t="inlineStr">
        <is>
          <t>OPEN</t>
        </is>
      </c>
      <c r="I964" s="37" t="inlineStr">
        <is>
          <t>ACCEPTED</t>
        </is>
      </c>
    </row>
    <row r="965">
      <c r="A965" s="37" t="inlineStr">
        <is>
          <t>OFR-2025-0964</t>
        </is>
      </c>
      <c r="B965" s="43" t="n">
        <v>45672</v>
      </c>
      <c r="C965" s="37" t="inlineStr">
        <is>
          <t>WL-03628</t>
        </is>
      </c>
      <c r="D965" s="37" t="n">
        <v>2628</v>
      </c>
      <c r="E965" s="37" t="inlineStr">
        <is>
          <t>LP-0715</t>
        </is>
      </c>
      <c r="F965" s="37" t="inlineStr">
        <is>
          <t>Ledgport</t>
        </is>
      </c>
      <c r="G965" s="37" t="n">
        <v>32</v>
      </c>
      <c r="H965" s="37" t="inlineStr">
        <is>
          <t>COVERED</t>
        </is>
      </c>
      <c r="I965" s="37" t="inlineStr">
        <is>
          <t>SKIPPED</t>
        </is>
      </c>
      <c r="J965" s="37" t="inlineStr">
        <is>
          <t>preference-mismatch</t>
        </is>
      </c>
    </row>
    <row r="966">
      <c r="A966" s="37" t="inlineStr">
        <is>
          <t>OFR-2025-0965</t>
        </is>
      </c>
      <c r="B966" s="43" t="n">
        <v>45673</v>
      </c>
      <c r="C966" s="37" t="inlineStr">
        <is>
          <t>WL-02254</t>
        </is>
      </c>
      <c r="D966" s="37" t="n">
        <v>1254</v>
      </c>
      <c r="E966" s="37" t="inlineStr">
        <is>
          <t>EW-0914</t>
        </is>
      </c>
      <c r="F966" s="37" t="inlineStr">
        <is>
          <t>Eastwey</t>
        </is>
      </c>
      <c r="G966" s="37" t="n">
        <v>28</v>
      </c>
      <c r="H966" s="37" t="inlineStr">
        <is>
          <t>OPEN</t>
        </is>
      </c>
      <c r="I966" s="37" t="inlineStr">
        <is>
          <t>ACCEPTED</t>
        </is>
      </c>
    </row>
    <row r="967">
      <c r="A967" s="37" t="inlineStr">
        <is>
          <t>OFR-2025-0966</t>
        </is>
      </c>
      <c r="B967" s="43" t="n">
        <v>45672</v>
      </c>
      <c r="C967" s="37" t="inlineStr">
        <is>
          <t>WL-01848</t>
        </is>
      </c>
      <c r="D967" s="37" t="n">
        <v>848</v>
      </c>
      <c r="E967" s="37" t="inlineStr">
        <is>
          <t>LP-0715</t>
        </is>
      </c>
      <c r="F967" s="37" t="inlineStr">
        <is>
          <t>Ledgport</t>
        </is>
      </c>
      <c r="G967" s="37" t="n">
        <v>32</v>
      </c>
      <c r="H967" s="37" t="inlineStr">
        <is>
          <t>COVERED</t>
        </is>
      </c>
      <c r="I967" s="37" t="inlineStr">
        <is>
          <t>ACCEPTED</t>
        </is>
      </c>
    </row>
    <row r="968">
      <c r="A968" s="37" t="inlineStr">
        <is>
          <t>OFR-2025-0967</t>
        </is>
      </c>
      <c r="B968" s="43" t="n">
        <v>45680</v>
      </c>
      <c r="C968" s="37" t="inlineStr">
        <is>
          <t>WL-02516</t>
        </is>
      </c>
      <c r="D968" s="37" t="n">
        <v>1516</v>
      </c>
      <c r="E968" s="37" t="inlineStr">
        <is>
          <t>LP-1101</t>
        </is>
      </c>
      <c r="F968" s="37" t="inlineStr">
        <is>
          <t>Ledgport</t>
        </is>
      </c>
      <c r="G968" s="37" t="n">
        <v>36</v>
      </c>
      <c r="H968" s="37" t="inlineStr">
        <is>
          <t>COVERED</t>
        </is>
      </c>
      <c r="I968" s="37" t="inlineStr">
        <is>
          <t>ACCEPTED</t>
        </is>
      </c>
    </row>
    <row r="969">
      <c r="A969" s="37" t="inlineStr">
        <is>
          <t>OFR-2025-0968</t>
        </is>
      </c>
      <c r="B969" s="43" t="n">
        <v>45674</v>
      </c>
      <c r="C969" s="37" t="inlineStr">
        <is>
          <t>WL-01918</t>
        </is>
      </c>
      <c r="D969" s="37" t="n">
        <v>918</v>
      </c>
      <c r="E969" s="37" t="inlineStr">
        <is>
          <t>GW-0517</t>
        </is>
      </c>
      <c r="F969" s="37" t="inlineStr">
        <is>
          <t>Gullwing</t>
        </is>
      </c>
      <c r="G969" s="37" t="n">
        <v>24</v>
      </c>
      <c r="H969" s="37" t="inlineStr">
        <is>
          <t>OPEN</t>
        </is>
      </c>
      <c r="I969" s="37" t="inlineStr">
        <is>
          <t>SKIPPED</t>
        </is>
      </c>
      <c r="J969" s="37" t="inlineStr">
        <is>
          <t>not-current</t>
        </is>
      </c>
    </row>
    <row r="970">
      <c r="A970" s="37" t="inlineStr">
        <is>
          <t>OFR-2025-0969</t>
        </is>
      </c>
      <c r="B970" s="43" t="n">
        <v>45658</v>
      </c>
      <c r="C970" s="37" t="inlineStr">
        <is>
          <t>WL-01382</t>
        </is>
      </c>
      <c r="D970" s="37" t="n">
        <v>382</v>
      </c>
      <c r="E970" s="37" t="inlineStr">
        <is>
          <t>GW-0908</t>
        </is>
      </c>
      <c r="F970" s="37" t="inlineStr">
        <is>
          <t>Gullwing</t>
        </is>
      </c>
      <c r="G970" s="37" t="n">
        <v>24</v>
      </c>
      <c r="H970" s="37" t="inlineStr">
        <is>
          <t>OPEN</t>
        </is>
      </c>
      <c r="I970" s="37" t="inlineStr">
        <is>
          <t>SKIPPED</t>
        </is>
      </c>
      <c r="J970" s="37" t="inlineStr">
        <is>
          <t>vessel-fit</t>
        </is>
      </c>
    </row>
    <row r="971">
      <c r="A971" s="37" t="inlineStr">
        <is>
          <t>OFR-2025-0970</t>
        </is>
      </c>
      <c r="B971" s="43" t="n">
        <v>45669</v>
      </c>
      <c r="C971" s="37" t="inlineStr">
        <is>
          <t>WL-03888</t>
        </is>
      </c>
      <c r="D971" s="37" t="n">
        <v>2888</v>
      </c>
      <c r="E971" s="37" t="inlineStr">
        <is>
          <t>SB-0603</t>
        </is>
      </c>
      <c r="F971" s="37" t="inlineStr">
        <is>
          <t>Salmonberry</t>
        </is>
      </c>
      <c r="G971" s="37" t="n">
        <v>32</v>
      </c>
      <c r="H971" s="37" t="inlineStr">
        <is>
          <t>OPEN</t>
        </is>
      </c>
      <c r="I971" s="37" t="inlineStr">
        <is>
          <t>SKIPPED</t>
        </is>
      </c>
      <c r="J971" s="37" t="inlineStr">
        <is>
          <t>declined-prior-offer</t>
        </is>
      </c>
    </row>
    <row r="972">
      <c r="A972" s="37" t="inlineStr">
        <is>
          <t>OFR-2025-0971</t>
        </is>
      </c>
      <c r="B972" s="43" t="n">
        <v>45662</v>
      </c>
      <c r="C972" s="37" t="inlineStr">
        <is>
          <t>WL-02094</t>
        </is>
      </c>
      <c r="D972" s="37" t="n">
        <v>1094</v>
      </c>
      <c r="E972" s="37" t="inlineStr">
        <is>
          <t>LP-0109</t>
        </is>
      </c>
      <c r="F972" s="37" t="inlineStr">
        <is>
          <t>Ledgport</t>
        </is>
      </c>
      <c r="G972" s="37" t="n">
        <v>32</v>
      </c>
      <c r="H972" s="37" t="inlineStr">
        <is>
          <t>COVERED</t>
        </is>
      </c>
      <c r="I972" s="37" t="inlineStr">
        <is>
          <t>EXPIRED</t>
        </is>
      </c>
    </row>
    <row r="973">
      <c r="A973" s="37" t="inlineStr">
        <is>
          <t>OFR-2025-0972</t>
        </is>
      </c>
      <c r="B973" s="43" t="n">
        <v>45682</v>
      </c>
      <c r="C973" s="37" t="inlineStr">
        <is>
          <t>WL-01845</t>
        </is>
      </c>
      <c r="D973" s="37" t="n">
        <v>845</v>
      </c>
      <c r="E973" s="37" t="inlineStr">
        <is>
          <t>GW-0604</t>
        </is>
      </c>
      <c r="F973" s="37" t="inlineStr">
        <is>
          <t>Gullwing</t>
        </is>
      </c>
      <c r="G973" s="37" t="n">
        <v>70</v>
      </c>
      <c r="H973" s="37" t="inlineStr">
        <is>
          <t>OPEN</t>
        </is>
      </c>
      <c r="I973" s="37" t="inlineStr">
        <is>
          <t>ACCEPTED</t>
        </is>
      </c>
    </row>
    <row r="974">
      <c r="A974" s="37" t="inlineStr">
        <is>
          <t>OFR-2025-0973</t>
        </is>
      </c>
      <c r="B974" s="43" t="n">
        <v>45673</v>
      </c>
      <c r="C974" s="37" t="inlineStr">
        <is>
          <t>WL-03422</t>
        </is>
      </c>
      <c r="D974" s="37" t="n">
        <v>2422</v>
      </c>
      <c r="E974" s="37" t="inlineStr">
        <is>
          <t>SB-0221</t>
        </is>
      </c>
      <c r="F974" s="37" t="inlineStr">
        <is>
          <t>Salmonberry</t>
        </is>
      </c>
      <c r="G974" s="37" t="n">
        <v>50</v>
      </c>
      <c r="H974" s="37" t="inlineStr">
        <is>
          <t>OPEN</t>
        </is>
      </c>
      <c r="I974" s="37" t="inlineStr">
        <is>
          <t>ACCEPTED</t>
        </is>
      </c>
    </row>
    <row r="975">
      <c r="A975" s="37" t="inlineStr">
        <is>
          <t>OFR-2025-0974</t>
        </is>
      </c>
      <c r="B975" s="43" t="n">
        <v>45673</v>
      </c>
      <c r="C975" s="37" t="inlineStr">
        <is>
          <t>WL-02733</t>
        </is>
      </c>
      <c r="D975" s="37" t="n">
        <v>1733</v>
      </c>
      <c r="E975" s="37" t="inlineStr">
        <is>
          <t>LP-0803</t>
        </is>
      </c>
      <c r="F975" s="37" t="inlineStr">
        <is>
          <t>Ledgport</t>
        </is>
      </c>
      <c r="G975" s="37" t="n">
        <v>28</v>
      </c>
      <c r="H975" s="37" t="inlineStr">
        <is>
          <t>COVERED</t>
        </is>
      </c>
      <c r="I975" s="37" t="inlineStr">
        <is>
          <t>SKIPPED</t>
        </is>
      </c>
      <c r="J975" s="37" t="inlineStr">
        <is>
          <t>vessel-fit</t>
        </is>
      </c>
    </row>
    <row r="976">
      <c r="A976" s="37" t="inlineStr">
        <is>
          <t>OFR-2025-0975</t>
        </is>
      </c>
      <c r="B976" s="43" t="n">
        <v>45670</v>
      </c>
      <c r="C976" s="37" t="inlineStr">
        <is>
          <t>WL-03067</t>
        </is>
      </c>
      <c r="D976" s="37" t="n">
        <v>2067</v>
      </c>
      <c r="E976" s="37" t="inlineStr">
        <is>
          <t>EW-0110</t>
        </is>
      </c>
      <c r="F976" s="37" t="inlineStr">
        <is>
          <t>Eastwey</t>
        </is>
      </c>
      <c r="G976" s="37" t="n">
        <v>28</v>
      </c>
      <c r="H976" s="37" t="inlineStr">
        <is>
          <t>OPEN</t>
        </is>
      </c>
      <c r="I976" s="37" t="inlineStr">
        <is>
          <t>PENDING</t>
        </is>
      </c>
    </row>
    <row r="977">
      <c r="A977" s="37" t="inlineStr">
        <is>
          <t>OFR-2025-0976</t>
        </is>
      </c>
      <c r="B977" s="43" t="n">
        <v>45676</v>
      </c>
      <c r="C977" s="37" t="inlineStr">
        <is>
          <t>WL-03403</t>
        </is>
      </c>
      <c r="D977" s="37" t="n">
        <v>2403</v>
      </c>
      <c r="E977" s="37" t="inlineStr">
        <is>
          <t>SB-0422</t>
        </is>
      </c>
      <c r="F977" s="37" t="inlineStr">
        <is>
          <t>Salmonberry</t>
        </is>
      </c>
      <c r="G977" s="37" t="n">
        <v>24</v>
      </c>
      <c r="H977" s="37" t="inlineStr">
        <is>
          <t>OPEN</t>
        </is>
      </c>
      <c r="I977" s="37" t="inlineStr">
        <is>
          <t>EXPIRED</t>
        </is>
      </c>
    </row>
    <row r="978">
      <c r="A978" s="37" t="inlineStr">
        <is>
          <t>OFR-2025-0977</t>
        </is>
      </c>
      <c r="B978" s="43" t="n">
        <v>45667</v>
      </c>
      <c r="C978" s="37" t="inlineStr">
        <is>
          <t>WL-01829</t>
        </is>
      </c>
      <c r="D978" s="37" t="n">
        <v>829</v>
      </c>
      <c r="E978" s="37" t="inlineStr">
        <is>
          <t>EW-0323</t>
        </is>
      </c>
      <c r="F978" s="37" t="inlineStr">
        <is>
          <t>Eastwey</t>
        </is>
      </c>
      <c r="G978" s="37" t="n">
        <v>36</v>
      </c>
      <c r="H978" s="37" t="inlineStr">
        <is>
          <t>OPEN</t>
        </is>
      </c>
      <c r="I978" s="37" t="inlineStr">
        <is>
          <t>EXPIRED</t>
        </is>
      </c>
    </row>
    <row r="979">
      <c r="A979" s="37" t="inlineStr">
        <is>
          <t>OFR-2025-0978</t>
        </is>
      </c>
      <c r="B979" s="43" t="n">
        <v>45674</v>
      </c>
      <c r="C979" s="37" t="inlineStr">
        <is>
          <t>WL-02757</t>
        </is>
      </c>
      <c r="D979" s="37" t="n">
        <v>1757</v>
      </c>
      <c r="E979" s="37" t="inlineStr">
        <is>
          <t>LP-0714</t>
        </is>
      </c>
      <c r="F979" s="37" t="inlineStr">
        <is>
          <t>Ledgport</t>
        </is>
      </c>
      <c r="G979" s="37" t="n">
        <v>24</v>
      </c>
      <c r="H979" s="37" t="inlineStr">
        <is>
          <t>COVERED</t>
        </is>
      </c>
      <c r="I979" s="37" t="inlineStr">
        <is>
          <t>ACCEPTED</t>
        </is>
      </c>
    </row>
    <row r="980">
      <c r="A980" s="37" t="inlineStr">
        <is>
          <t>OFR-2025-0979</t>
        </is>
      </c>
      <c r="B980" s="43" t="n">
        <v>45690</v>
      </c>
      <c r="C980" s="37" t="inlineStr">
        <is>
          <t>WL-01466</t>
        </is>
      </c>
      <c r="D980" s="37" t="n">
        <v>466</v>
      </c>
      <c r="E980" s="37" t="inlineStr">
        <is>
          <t>EW-1003</t>
        </is>
      </c>
      <c r="F980" s="37" t="inlineStr">
        <is>
          <t>Eastwey</t>
        </is>
      </c>
      <c r="G980" s="37" t="n">
        <v>40</v>
      </c>
      <c r="H980" s="37" t="inlineStr">
        <is>
          <t>OPEN</t>
        </is>
      </c>
      <c r="I980" s="37" t="inlineStr">
        <is>
          <t>ACCEPTED</t>
        </is>
      </c>
    </row>
    <row r="981">
      <c r="A981" s="37" t="inlineStr">
        <is>
          <t>OFR-2025-0980</t>
        </is>
      </c>
      <c r="B981" s="43" t="n">
        <v>45700</v>
      </c>
      <c r="C981" s="37" t="inlineStr">
        <is>
          <t>WL-02473</t>
        </is>
      </c>
      <c r="D981" s="37" t="n">
        <v>1473</v>
      </c>
      <c r="E981" s="37" t="inlineStr">
        <is>
          <t>GW-0120</t>
        </is>
      </c>
      <c r="F981" s="37" t="inlineStr">
        <is>
          <t>Gullwing</t>
        </is>
      </c>
      <c r="G981" s="37" t="n">
        <v>32</v>
      </c>
      <c r="H981" s="37" t="inlineStr">
        <is>
          <t>OPEN</t>
        </is>
      </c>
      <c r="I981" s="37" t="inlineStr">
        <is>
          <t>ACCEPTED</t>
        </is>
      </c>
    </row>
    <row r="982">
      <c r="A982" s="37" t="inlineStr">
        <is>
          <t>OFR-2025-0981</t>
        </is>
      </c>
      <c r="B982" s="43" t="n">
        <v>45691</v>
      </c>
      <c r="C982" s="37" t="inlineStr">
        <is>
          <t>WL-02437</t>
        </is>
      </c>
      <c r="D982" s="37" t="n">
        <v>1437</v>
      </c>
      <c r="E982" s="37" t="inlineStr">
        <is>
          <t>GW-0117</t>
        </is>
      </c>
      <c r="F982" s="37" t="inlineStr">
        <is>
          <t>Gullwing</t>
        </is>
      </c>
      <c r="G982" s="37" t="n">
        <v>50</v>
      </c>
      <c r="H982" s="37" t="inlineStr">
        <is>
          <t>OPEN</t>
        </is>
      </c>
      <c r="I982" s="37" t="inlineStr">
        <is>
          <t>ACCEPTED</t>
        </is>
      </c>
    </row>
    <row r="983">
      <c r="A983" s="37" t="inlineStr">
        <is>
          <t>OFR-2025-0982</t>
        </is>
      </c>
      <c r="B983" s="43" t="n">
        <v>45710</v>
      </c>
      <c r="C983" s="37" t="inlineStr">
        <is>
          <t>WL-02506</t>
        </is>
      </c>
      <c r="D983" s="37" t="n">
        <v>1506</v>
      </c>
      <c r="E983" s="37" t="inlineStr">
        <is>
          <t>SB-0605</t>
        </is>
      </c>
      <c r="F983" s="37" t="inlineStr">
        <is>
          <t>Salmonberry</t>
        </is>
      </c>
      <c r="G983" s="37" t="n">
        <v>24</v>
      </c>
      <c r="H983" s="37" t="inlineStr">
        <is>
          <t>OPEN</t>
        </is>
      </c>
      <c r="I983" s="37" t="inlineStr">
        <is>
          <t>ACCEPTED</t>
        </is>
      </c>
    </row>
    <row r="984">
      <c r="A984" s="37" t="inlineStr">
        <is>
          <t>OFR-2025-0983</t>
        </is>
      </c>
      <c r="B984" s="43" t="n">
        <v>45705</v>
      </c>
      <c r="C984" s="37" t="inlineStr">
        <is>
          <t>WL-02849</t>
        </is>
      </c>
      <c r="D984" s="37" t="n">
        <v>1849</v>
      </c>
      <c r="E984" s="37" t="inlineStr">
        <is>
          <t>LP-0322</t>
        </is>
      </c>
      <c r="F984" s="37" t="inlineStr">
        <is>
          <t>Ledgport</t>
        </is>
      </c>
      <c r="G984" s="37" t="n">
        <v>24</v>
      </c>
      <c r="H984" s="37" t="inlineStr">
        <is>
          <t>COVERED</t>
        </is>
      </c>
      <c r="I984" s="37" t="inlineStr">
        <is>
          <t>ACCEPTED</t>
        </is>
      </c>
    </row>
    <row r="985">
      <c r="A985" s="37" t="inlineStr">
        <is>
          <t>OFR-2025-0984</t>
        </is>
      </c>
      <c r="B985" s="43" t="n">
        <v>45701</v>
      </c>
      <c r="C985" s="37" t="inlineStr">
        <is>
          <t>WL-02637</t>
        </is>
      </c>
      <c r="D985" s="37" t="n">
        <v>1637</v>
      </c>
      <c r="E985" s="37" t="inlineStr">
        <is>
          <t>LP-0404</t>
        </is>
      </c>
      <c r="F985" s="37" t="inlineStr">
        <is>
          <t>Ledgport</t>
        </is>
      </c>
      <c r="G985" s="37" t="n">
        <v>24</v>
      </c>
      <c r="H985" s="37" t="inlineStr">
        <is>
          <t>COVERED</t>
        </is>
      </c>
      <c r="I985" s="37" t="inlineStr">
        <is>
          <t>ACCEPTED</t>
        </is>
      </c>
    </row>
    <row r="986">
      <c r="A986" s="37" t="inlineStr">
        <is>
          <t>OFR-2025-0985</t>
        </is>
      </c>
      <c r="B986" s="43" t="n">
        <v>45708</v>
      </c>
      <c r="C986" s="37" t="inlineStr">
        <is>
          <t>WL-03244</t>
        </is>
      </c>
      <c r="D986" s="37" t="n">
        <v>2244</v>
      </c>
      <c r="E986" s="37" t="inlineStr">
        <is>
          <t>EW-1015</t>
        </is>
      </c>
      <c r="F986" s="37" t="inlineStr">
        <is>
          <t>Eastwey</t>
        </is>
      </c>
      <c r="G986" s="37" t="n">
        <v>24</v>
      </c>
      <c r="H986" s="37" t="inlineStr">
        <is>
          <t>OPEN</t>
        </is>
      </c>
      <c r="I986" s="37" t="inlineStr">
        <is>
          <t>SKIPPED</t>
        </is>
      </c>
      <c r="J986" s="37" t="inlineStr">
        <is>
          <t>not-current</t>
        </is>
      </c>
    </row>
    <row r="987">
      <c r="A987" s="37" t="inlineStr">
        <is>
          <t>OFR-2025-0986</t>
        </is>
      </c>
      <c r="B987" s="43" t="n">
        <v>45713</v>
      </c>
      <c r="C987" s="37" t="inlineStr">
        <is>
          <t>WL-02050</t>
        </is>
      </c>
      <c r="D987" s="37" t="n">
        <v>1050</v>
      </c>
      <c r="E987" s="37" t="inlineStr">
        <is>
          <t>EW-0919</t>
        </is>
      </c>
      <c r="F987" s="37" t="inlineStr">
        <is>
          <t>Eastwey</t>
        </is>
      </c>
      <c r="G987" s="37" t="n">
        <v>28</v>
      </c>
      <c r="H987" s="37" t="inlineStr">
        <is>
          <t>OPEN</t>
        </is>
      </c>
      <c r="I987" s="37" t="inlineStr">
        <is>
          <t>EXPIRED</t>
        </is>
      </c>
    </row>
    <row r="988">
      <c r="A988" s="37" t="inlineStr">
        <is>
          <t>OFR-2025-0987</t>
        </is>
      </c>
      <c r="B988" s="43" t="n">
        <v>45693</v>
      </c>
      <c r="C988" s="37" t="inlineStr">
        <is>
          <t>WL-02707</t>
        </is>
      </c>
      <c r="D988" s="37" t="n">
        <v>1707</v>
      </c>
      <c r="E988" s="37" t="inlineStr">
        <is>
          <t>SB-0114</t>
        </is>
      </c>
      <c r="F988" s="37" t="inlineStr">
        <is>
          <t>Salmonberry</t>
        </is>
      </c>
      <c r="G988" s="37" t="n">
        <v>32</v>
      </c>
      <c r="H988" s="37" t="inlineStr">
        <is>
          <t>OPEN</t>
        </is>
      </c>
      <c r="I988" s="37" t="inlineStr">
        <is>
          <t>ACCEPTED</t>
        </is>
      </c>
    </row>
    <row r="989">
      <c r="A989" s="37" t="inlineStr">
        <is>
          <t>OFR-2025-0988</t>
        </is>
      </c>
      <c r="B989" s="43" t="n">
        <v>45699</v>
      </c>
      <c r="C989" s="37" t="inlineStr">
        <is>
          <t>WL-02152</t>
        </is>
      </c>
      <c r="D989" s="37" t="n">
        <v>1152</v>
      </c>
      <c r="E989" s="37" t="inlineStr">
        <is>
          <t>LP-0813</t>
        </is>
      </c>
      <c r="F989" s="37" t="inlineStr">
        <is>
          <t>Ledgport</t>
        </is>
      </c>
      <c r="G989" s="37" t="n">
        <v>32</v>
      </c>
      <c r="H989" s="37" t="inlineStr">
        <is>
          <t>COVERED</t>
        </is>
      </c>
      <c r="I989" s="37" t="inlineStr">
        <is>
          <t>ACCEPTED</t>
        </is>
      </c>
    </row>
    <row r="990">
      <c r="A990" s="37" t="inlineStr">
        <is>
          <t>OFR-2025-0989</t>
        </is>
      </c>
      <c r="B990" s="43" t="n">
        <v>45691</v>
      </c>
      <c r="C990" s="37" t="inlineStr">
        <is>
          <t>WL-02524</t>
        </is>
      </c>
      <c r="D990" s="37" t="n">
        <v>1524</v>
      </c>
      <c r="E990" s="37" t="inlineStr">
        <is>
          <t>LP-1002</t>
        </is>
      </c>
      <c r="F990" s="37" t="inlineStr">
        <is>
          <t>Ledgport</t>
        </is>
      </c>
      <c r="G990" s="37" t="n">
        <v>32</v>
      </c>
      <c r="H990" s="37" t="inlineStr">
        <is>
          <t>COVERED</t>
        </is>
      </c>
      <c r="I990" s="37" t="inlineStr">
        <is>
          <t>ACCEPTED</t>
        </is>
      </c>
    </row>
    <row r="991">
      <c r="A991" s="37" t="inlineStr">
        <is>
          <t>OFR-2025-0990</t>
        </is>
      </c>
      <c r="B991" s="43" t="n">
        <v>45709</v>
      </c>
      <c r="C991" s="37" t="inlineStr">
        <is>
          <t>WL-03905</t>
        </is>
      </c>
      <c r="D991" s="37" t="n">
        <v>2905</v>
      </c>
      <c r="E991" s="37" t="inlineStr">
        <is>
          <t>SB-0211</t>
        </is>
      </c>
      <c r="F991" s="37" t="inlineStr">
        <is>
          <t>Salmonberry</t>
        </is>
      </c>
      <c r="G991" s="37" t="n">
        <v>45</v>
      </c>
      <c r="H991" s="37" t="inlineStr">
        <is>
          <t>OPEN</t>
        </is>
      </c>
      <c r="I991" s="37" t="inlineStr">
        <is>
          <t>DECLINED</t>
        </is>
      </c>
    </row>
    <row r="992">
      <c r="A992" s="37" t="inlineStr">
        <is>
          <t>OFR-2025-0991</t>
        </is>
      </c>
      <c r="B992" s="43" t="n">
        <v>45698</v>
      </c>
      <c r="C992" s="37" t="inlineStr">
        <is>
          <t>WL-02047</t>
        </is>
      </c>
      <c r="D992" s="37" t="n">
        <v>1047</v>
      </c>
      <c r="E992" s="37" t="inlineStr">
        <is>
          <t>SB-0324</t>
        </is>
      </c>
      <c r="F992" s="37" t="inlineStr">
        <is>
          <t>Salmonberry</t>
        </is>
      </c>
      <c r="G992" s="37" t="n">
        <v>32</v>
      </c>
      <c r="H992" s="37" t="inlineStr">
        <is>
          <t>OPEN</t>
        </is>
      </c>
      <c r="I992" s="37" t="inlineStr">
        <is>
          <t>WITHDRAWN</t>
        </is>
      </c>
    </row>
    <row r="993">
      <c r="A993" s="37" t="inlineStr">
        <is>
          <t>OFR-2025-0992</t>
        </is>
      </c>
      <c r="B993" s="43" t="n">
        <v>45714</v>
      </c>
      <c r="C993" s="37" t="inlineStr">
        <is>
          <t>WL-01222</t>
        </is>
      </c>
      <c r="D993" s="37" t="n">
        <v>222</v>
      </c>
      <c r="E993" s="37" t="inlineStr">
        <is>
          <t>LP-1120</t>
        </is>
      </c>
      <c r="F993" s="37" t="inlineStr">
        <is>
          <t>Ledgport</t>
        </is>
      </c>
      <c r="G993" s="37" t="n">
        <v>32</v>
      </c>
      <c r="H993" s="37" t="inlineStr">
        <is>
          <t>COVERED</t>
        </is>
      </c>
      <c r="I993" s="37" t="inlineStr">
        <is>
          <t>EXPIRED</t>
        </is>
      </c>
    </row>
    <row r="994">
      <c r="A994" s="37" t="inlineStr">
        <is>
          <t>OFR-2025-0993</t>
        </is>
      </c>
      <c r="B994" s="43" t="n">
        <v>45703</v>
      </c>
      <c r="C994" s="37" t="inlineStr">
        <is>
          <t>WL-02010</t>
        </is>
      </c>
      <c r="D994" s="37" t="n">
        <v>1010</v>
      </c>
      <c r="E994" s="37" t="inlineStr">
        <is>
          <t>LP-0519</t>
        </is>
      </c>
      <c r="F994" s="37" t="inlineStr">
        <is>
          <t>Ledgport</t>
        </is>
      </c>
      <c r="G994" s="37" t="n">
        <v>32</v>
      </c>
      <c r="H994" s="37" t="inlineStr">
        <is>
          <t>COVERED</t>
        </is>
      </c>
      <c r="I994" s="37" t="inlineStr">
        <is>
          <t>ACCEPTED</t>
        </is>
      </c>
    </row>
    <row r="995">
      <c r="A995" s="37" t="inlineStr">
        <is>
          <t>OFR-2025-0994</t>
        </is>
      </c>
      <c r="B995" s="43" t="n">
        <v>45743</v>
      </c>
      <c r="C995" s="37" t="inlineStr">
        <is>
          <t>WL-01789</t>
        </is>
      </c>
      <c r="D995" s="37" t="n">
        <v>789</v>
      </c>
      <c r="E995" s="37" t="inlineStr">
        <is>
          <t>SB-0512</t>
        </is>
      </c>
      <c r="F995" s="37" t="inlineStr">
        <is>
          <t>Salmonberry</t>
        </is>
      </c>
      <c r="G995" s="37" t="n">
        <v>45</v>
      </c>
      <c r="H995" s="37" t="inlineStr">
        <is>
          <t>OPEN</t>
        </is>
      </c>
      <c r="I995" s="37" t="inlineStr">
        <is>
          <t>EXPIRED</t>
        </is>
      </c>
    </row>
    <row r="996">
      <c r="A996" s="37" t="inlineStr">
        <is>
          <t>OFR-2025-0995</t>
        </is>
      </c>
      <c r="B996" s="43" t="n">
        <v>45720</v>
      </c>
      <c r="C996" s="37" t="inlineStr">
        <is>
          <t>WL-01130</t>
        </is>
      </c>
      <c r="D996" s="37" t="n">
        <v>130</v>
      </c>
      <c r="E996" s="37" t="inlineStr">
        <is>
          <t>LP-0215</t>
        </is>
      </c>
      <c r="F996" s="37" t="inlineStr">
        <is>
          <t>Ledgport</t>
        </is>
      </c>
      <c r="G996" s="37" t="n">
        <v>28</v>
      </c>
      <c r="H996" s="37" t="inlineStr">
        <is>
          <t>COVERED</t>
        </is>
      </c>
      <c r="I996" s="37" t="inlineStr">
        <is>
          <t>ACCEPTED</t>
        </is>
      </c>
    </row>
    <row r="997">
      <c r="A997" s="37" t="inlineStr">
        <is>
          <t>OFR-2025-0996</t>
        </is>
      </c>
      <c r="B997" s="43" t="n">
        <v>45736</v>
      </c>
      <c r="C997" s="37" t="inlineStr">
        <is>
          <t>WL-03649</t>
        </is>
      </c>
      <c r="D997" s="37" t="n">
        <v>2649</v>
      </c>
      <c r="E997" s="37" t="inlineStr">
        <is>
          <t>SB-0219</t>
        </is>
      </c>
      <c r="F997" s="37" t="inlineStr">
        <is>
          <t>Salmonberry</t>
        </is>
      </c>
      <c r="G997" s="37" t="n">
        <v>28</v>
      </c>
      <c r="H997" s="37" t="inlineStr">
        <is>
          <t>OPEN</t>
        </is>
      </c>
      <c r="I997" s="37" t="inlineStr">
        <is>
          <t>ACCEPTED</t>
        </is>
      </c>
    </row>
    <row r="998">
      <c r="A998" s="37" t="inlineStr">
        <is>
          <t>OFR-2025-0997</t>
        </is>
      </c>
      <c r="B998" s="43" t="n">
        <v>45734</v>
      </c>
      <c r="C998" s="37" t="inlineStr">
        <is>
          <t>WL-02736</t>
        </is>
      </c>
      <c r="D998" s="37" t="n">
        <v>1736</v>
      </c>
      <c r="E998" s="37" t="inlineStr">
        <is>
          <t>GW-0810</t>
        </is>
      </c>
      <c r="F998" s="37" t="inlineStr">
        <is>
          <t>Gullwing</t>
        </is>
      </c>
      <c r="G998" s="37" t="n">
        <v>70</v>
      </c>
      <c r="H998" s="37" t="inlineStr">
        <is>
          <t>OPEN</t>
        </is>
      </c>
      <c r="I998" s="37" t="inlineStr">
        <is>
          <t>ACCEPTED</t>
        </is>
      </c>
    </row>
    <row r="999">
      <c r="A999" s="37" t="inlineStr">
        <is>
          <t>OFR-2025-0998</t>
        </is>
      </c>
      <c r="B999" s="43" t="n">
        <v>45737</v>
      </c>
      <c r="C999" s="37" t="inlineStr">
        <is>
          <t>WL-01101</t>
        </is>
      </c>
      <c r="D999" s="37" t="n">
        <v>101</v>
      </c>
      <c r="E999" s="37" t="inlineStr">
        <is>
          <t>SB-0907</t>
        </is>
      </c>
      <c r="F999" s="37" t="inlineStr">
        <is>
          <t>Salmonberry</t>
        </is>
      </c>
      <c r="G999" s="37" t="n">
        <v>32</v>
      </c>
      <c r="H999" s="37" t="inlineStr">
        <is>
          <t>OPEN</t>
        </is>
      </c>
      <c r="I999" s="37" t="inlineStr">
        <is>
          <t>ACCEPTED</t>
        </is>
      </c>
    </row>
    <row r="1000">
      <c r="A1000" s="37" t="inlineStr">
        <is>
          <t>OFR-2025-0999</t>
        </is>
      </c>
      <c r="B1000" s="43" t="n">
        <v>45738</v>
      </c>
      <c r="C1000" s="37" t="inlineStr">
        <is>
          <t>WL-02067</t>
        </is>
      </c>
      <c r="D1000" s="37" t="n">
        <v>1067</v>
      </c>
      <c r="E1000" s="37" t="inlineStr">
        <is>
          <t>LP-1107</t>
        </is>
      </c>
      <c r="F1000" s="37" t="inlineStr">
        <is>
          <t>Ledgport</t>
        </is>
      </c>
      <c r="G1000" s="37" t="n">
        <v>28</v>
      </c>
      <c r="H1000" s="37" t="inlineStr">
        <is>
          <t>COVERED</t>
        </is>
      </c>
      <c r="I1000" s="37" t="inlineStr">
        <is>
          <t>SKIPPED</t>
        </is>
      </c>
      <c r="J1000" s="37" t="inlineStr">
        <is>
          <t>not-current</t>
        </is>
      </c>
    </row>
    <row r="1001">
      <c r="A1001" s="37" t="inlineStr">
        <is>
          <t>OFR-2025-1000</t>
        </is>
      </c>
      <c r="B1001" s="43" t="n">
        <v>45744</v>
      </c>
      <c r="C1001" s="37" t="inlineStr">
        <is>
          <t>WL-03415</t>
        </is>
      </c>
      <c r="D1001" s="37" t="n">
        <v>2415</v>
      </c>
      <c r="E1001" s="37" t="inlineStr">
        <is>
          <t>EW-0817</t>
        </is>
      </c>
      <c r="F1001" s="37" t="inlineStr">
        <is>
          <t>Eastwey</t>
        </is>
      </c>
      <c r="G1001" s="37" t="n">
        <v>24</v>
      </c>
      <c r="H1001" s="37" t="inlineStr">
        <is>
          <t>OPEN</t>
        </is>
      </c>
      <c r="I1001" s="37" t="inlineStr">
        <is>
          <t>ACCEPTED</t>
        </is>
      </c>
    </row>
    <row r="1002">
      <c r="A1002" s="37" t="inlineStr">
        <is>
          <t>OFR-2025-1001</t>
        </is>
      </c>
      <c r="B1002" s="43" t="n">
        <v>45743</v>
      </c>
      <c r="C1002" s="37" t="inlineStr">
        <is>
          <t>WL-01523</t>
        </is>
      </c>
      <c r="D1002" s="37" t="n">
        <v>523</v>
      </c>
      <c r="E1002" s="37" t="inlineStr">
        <is>
          <t>LP-0304</t>
        </is>
      </c>
      <c r="F1002" s="37" t="inlineStr">
        <is>
          <t>Ledgport</t>
        </is>
      </c>
      <c r="G1002" s="37" t="n">
        <v>36</v>
      </c>
      <c r="H1002" s="37" t="inlineStr">
        <is>
          <t>COVERED</t>
        </is>
      </c>
      <c r="I1002" s="37" t="inlineStr">
        <is>
          <t>SKIPPED</t>
        </is>
      </c>
      <c r="J1002" s="37" t="inlineStr">
        <is>
          <t>not-current</t>
        </is>
      </c>
    </row>
    <row r="1003">
      <c r="A1003" s="37" t="inlineStr">
        <is>
          <t>OFR-2025-1002</t>
        </is>
      </c>
      <c r="B1003" s="43" t="n">
        <v>45737</v>
      </c>
      <c r="C1003" s="37" t="inlineStr">
        <is>
          <t>WL-01691</t>
        </is>
      </c>
      <c r="D1003" s="37" t="n">
        <v>691</v>
      </c>
      <c r="E1003" s="37" t="inlineStr">
        <is>
          <t>EW-0718</t>
        </is>
      </c>
      <c r="F1003" s="37" t="inlineStr">
        <is>
          <t>Eastwey</t>
        </is>
      </c>
      <c r="G1003" s="37" t="n">
        <v>60</v>
      </c>
      <c r="H1003" s="37" t="inlineStr">
        <is>
          <t>OPEN</t>
        </is>
      </c>
      <c r="I1003" s="37" t="inlineStr">
        <is>
          <t>ACCEPTED</t>
        </is>
      </c>
    </row>
    <row r="1004">
      <c r="A1004" s="37" t="inlineStr">
        <is>
          <t>OFR-2025-1003</t>
        </is>
      </c>
      <c r="B1004" s="43" t="n">
        <v>45728</v>
      </c>
      <c r="C1004" s="37" t="inlineStr">
        <is>
          <t>WL-03442</t>
        </is>
      </c>
      <c r="D1004" s="37" t="n">
        <v>2442</v>
      </c>
      <c r="E1004" s="37" t="inlineStr">
        <is>
          <t>SB-0203</t>
        </is>
      </c>
      <c r="F1004" s="37" t="inlineStr">
        <is>
          <t>Salmonberry</t>
        </is>
      </c>
      <c r="G1004" s="37" t="n">
        <v>36</v>
      </c>
      <c r="H1004" s="37" t="inlineStr">
        <is>
          <t>OPEN</t>
        </is>
      </c>
      <c r="I1004" s="37" t="inlineStr">
        <is>
          <t>SKIPPED</t>
        </is>
      </c>
      <c r="J1004" s="37" t="inlineStr">
        <is>
          <t>not-current</t>
        </is>
      </c>
    </row>
    <row r="1005">
      <c r="A1005" s="37" t="inlineStr">
        <is>
          <t>OFR-2025-1004</t>
        </is>
      </c>
      <c r="B1005" s="43" t="n">
        <v>45720</v>
      </c>
      <c r="C1005" s="37" t="inlineStr">
        <is>
          <t>WL-02828</t>
        </is>
      </c>
      <c r="D1005" s="37" t="n">
        <v>1828</v>
      </c>
      <c r="E1005" s="37" t="inlineStr">
        <is>
          <t>LP-0119</t>
        </is>
      </c>
      <c r="F1005" s="37" t="inlineStr">
        <is>
          <t>Ledgport</t>
        </is>
      </c>
      <c r="G1005" s="37" t="n">
        <v>24</v>
      </c>
      <c r="H1005" s="37" t="inlineStr">
        <is>
          <t>COVERED</t>
        </is>
      </c>
      <c r="I1005" s="37" t="inlineStr">
        <is>
          <t>ACCEPTED</t>
        </is>
      </c>
    </row>
    <row r="1006">
      <c r="A1006" s="37" t="inlineStr">
        <is>
          <t>OFR-2025-1005</t>
        </is>
      </c>
      <c r="B1006" s="43" t="n">
        <v>45725</v>
      </c>
      <c r="C1006" s="37" t="inlineStr">
        <is>
          <t>WL-03604</t>
        </is>
      </c>
      <c r="D1006" s="37" t="n">
        <v>2604</v>
      </c>
      <c r="E1006" s="37" t="inlineStr">
        <is>
          <t>EW-0909</t>
        </is>
      </c>
      <c r="F1006" s="37" t="inlineStr">
        <is>
          <t>Eastwey</t>
        </is>
      </c>
      <c r="G1006" s="37" t="n">
        <v>45</v>
      </c>
      <c r="H1006" s="37" t="inlineStr">
        <is>
          <t>OPEN</t>
        </is>
      </c>
      <c r="I1006" s="37" t="inlineStr">
        <is>
          <t>SKIPPED</t>
        </is>
      </c>
      <c r="J1006" s="37" t="inlineStr">
        <is>
          <t>not-current</t>
        </is>
      </c>
    </row>
    <row r="1007">
      <c r="A1007" s="37" t="inlineStr">
        <is>
          <t>OFR-2025-1006</t>
        </is>
      </c>
      <c r="B1007" s="43" t="n">
        <v>45720</v>
      </c>
      <c r="C1007" s="37" t="inlineStr">
        <is>
          <t>WL-03764</t>
        </is>
      </c>
      <c r="D1007" s="37" t="n">
        <v>2764</v>
      </c>
      <c r="E1007" s="37" t="inlineStr">
        <is>
          <t>VB-0509</t>
        </is>
      </c>
      <c r="F1007" s="37" t="inlineStr">
        <is>
          <t>Vessbank</t>
        </is>
      </c>
      <c r="G1007" s="37" t="n">
        <v>28</v>
      </c>
      <c r="H1007" s="37" t="inlineStr">
        <is>
          <t>COVERED</t>
        </is>
      </c>
      <c r="I1007" s="37" t="inlineStr">
        <is>
          <t>ACCEPTED</t>
        </is>
      </c>
    </row>
    <row r="1008">
      <c r="A1008" s="37" t="inlineStr">
        <is>
          <t>OFR-2025-1007</t>
        </is>
      </c>
      <c r="B1008" s="43" t="n">
        <v>45718</v>
      </c>
      <c r="C1008" s="37" t="inlineStr">
        <is>
          <t>WL-01424</t>
        </is>
      </c>
      <c r="D1008" s="37" t="n">
        <v>424</v>
      </c>
      <c r="E1008" s="37" t="inlineStr">
        <is>
          <t>SB-0301</t>
        </is>
      </c>
      <c r="F1008" s="37" t="inlineStr">
        <is>
          <t>Salmonberry</t>
        </is>
      </c>
      <c r="G1008" s="37" t="n">
        <v>70</v>
      </c>
      <c r="H1008" s="37" t="inlineStr">
        <is>
          <t>OPEN</t>
        </is>
      </c>
      <c r="I1008" s="37" t="inlineStr">
        <is>
          <t>ACCEPTED</t>
        </is>
      </c>
    </row>
    <row r="1009">
      <c r="A1009" s="37" t="inlineStr">
        <is>
          <t>OFR-2025-1008</t>
        </is>
      </c>
      <c r="B1009" s="43" t="n">
        <v>45723</v>
      </c>
      <c r="C1009" s="37" t="inlineStr">
        <is>
          <t>WL-03395</t>
        </is>
      </c>
      <c r="D1009" s="37" t="n">
        <v>2395</v>
      </c>
      <c r="E1009" s="37" t="inlineStr">
        <is>
          <t>VB-0112</t>
        </is>
      </c>
      <c r="F1009" s="37" t="inlineStr">
        <is>
          <t>Vessbank</t>
        </is>
      </c>
      <c r="G1009" s="37" t="n">
        <v>36</v>
      </c>
      <c r="H1009" s="37" t="inlineStr">
        <is>
          <t>COVERED</t>
        </is>
      </c>
      <c r="I1009" s="37" t="inlineStr">
        <is>
          <t>ACCEPTED</t>
        </is>
      </c>
    </row>
    <row r="1010">
      <c r="A1010" s="37" t="inlineStr">
        <is>
          <t>OFR-2025-1009</t>
        </is>
      </c>
      <c r="B1010" s="43" t="n">
        <v>45720</v>
      </c>
      <c r="C1010" s="37" t="inlineStr">
        <is>
          <t>WL-02710</t>
        </is>
      </c>
      <c r="D1010" s="37" t="n">
        <v>1710</v>
      </c>
      <c r="E1010" s="37" t="inlineStr">
        <is>
          <t>LP-0217</t>
        </is>
      </c>
      <c r="F1010" s="37" t="inlineStr">
        <is>
          <t>Ledgport</t>
        </is>
      </c>
      <c r="G1010" s="37" t="n">
        <v>40</v>
      </c>
      <c r="H1010" s="37" t="inlineStr">
        <is>
          <t>COVERED</t>
        </is>
      </c>
      <c r="I1010" s="37" t="inlineStr">
        <is>
          <t>DECLINED</t>
        </is>
      </c>
    </row>
    <row r="1011">
      <c r="A1011" s="37" t="inlineStr">
        <is>
          <t>OFR-2025-1010</t>
        </is>
      </c>
      <c r="B1011" s="43" t="n">
        <v>45717</v>
      </c>
      <c r="C1011" s="37" t="inlineStr">
        <is>
          <t>WL-03815</t>
        </is>
      </c>
      <c r="D1011" s="37" t="n">
        <v>2815</v>
      </c>
      <c r="E1011" s="37" t="inlineStr">
        <is>
          <t>LP-0324</t>
        </is>
      </c>
      <c r="F1011" s="37" t="inlineStr">
        <is>
          <t>Ledgport</t>
        </is>
      </c>
      <c r="G1011" s="37" t="n">
        <v>32</v>
      </c>
      <c r="H1011" s="37" t="inlineStr">
        <is>
          <t>COVERED</t>
        </is>
      </c>
      <c r="I1011" s="37" t="inlineStr">
        <is>
          <t>SKIPPED</t>
        </is>
      </c>
      <c r="J1011" s="37" t="inlineStr">
        <is>
          <t>preference-mismatch</t>
        </is>
      </c>
    </row>
    <row r="1012">
      <c r="A1012" s="37" t="inlineStr">
        <is>
          <t>OFR-2025-1011</t>
        </is>
      </c>
      <c r="B1012" s="43" t="n">
        <v>45757</v>
      </c>
      <c r="C1012" s="37" t="inlineStr">
        <is>
          <t>WL-01770</t>
        </is>
      </c>
      <c r="D1012" s="37" t="n">
        <v>770</v>
      </c>
      <c r="E1012" s="37" t="inlineStr">
        <is>
          <t>LP-0507</t>
        </is>
      </c>
      <c r="F1012" s="37" t="inlineStr">
        <is>
          <t>Ledgport</t>
        </is>
      </c>
      <c r="G1012" s="37" t="n">
        <v>32</v>
      </c>
      <c r="H1012" s="37" t="inlineStr">
        <is>
          <t>COVERED</t>
        </is>
      </c>
      <c r="I1012" s="37" t="inlineStr">
        <is>
          <t>ACCEPTED</t>
        </is>
      </c>
    </row>
    <row r="1013">
      <c r="A1013" s="37" t="inlineStr">
        <is>
          <t>OFR-2025-1012</t>
        </is>
      </c>
      <c r="B1013" s="43" t="n">
        <v>45763</v>
      </c>
      <c r="C1013" s="37" t="inlineStr">
        <is>
          <t>WL-01578</t>
        </is>
      </c>
      <c r="D1013" s="37" t="n">
        <v>578</v>
      </c>
      <c r="E1013" s="37" t="inlineStr">
        <is>
          <t>LP-1108</t>
        </is>
      </c>
      <c r="F1013" s="37" t="inlineStr">
        <is>
          <t>Ledgport</t>
        </is>
      </c>
      <c r="G1013" s="37" t="n">
        <v>32</v>
      </c>
      <c r="H1013" s="37" t="inlineStr">
        <is>
          <t>COVERED</t>
        </is>
      </c>
      <c r="I1013" s="37" t="inlineStr">
        <is>
          <t>SKIPPED</t>
        </is>
      </c>
      <c r="J1013" s="37" t="inlineStr">
        <is>
          <t>not-current</t>
        </is>
      </c>
    </row>
    <row r="1014">
      <c r="A1014" s="37" t="inlineStr">
        <is>
          <t>OFR-2025-1013</t>
        </is>
      </c>
      <c r="B1014" s="43" t="n">
        <v>45764</v>
      </c>
      <c r="C1014" s="37" t="inlineStr">
        <is>
          <t>WL-03724</t>
        </is>
      </c>
      <c r="D1014" s="37" t="n">
        <v>2724</v>
      </c>
      <c r="E1014" s="37" t="inlineStr">
        <is>
          <t>GW-0804</t>
        </is>
      </c>
      <c r="F1014" s="37" t="inlineStr">
        <is>
          <t>Gullwing</t>
        </is>
      </c>
      <c r="G1014" s="37" t="n">
        <v>40</v>
      </c>
      <c r="H1014" s="37" t="inlineStr">
        <is>
          <t>OPEN</t>
        </is>
      </c>
      <c r="I1014" s="37" t="inlineStr">
        <is>
          <t>ACCEPTED</t>
        </is>
      </c>
    </row>
    <row r="1015">
      <c r="A1015" s="37" t="inlineStr">
        <is>
          <t>OFR-2025-1014</t>
        </is>
      </c>
      <c r="B1015" s="43" t="n">
        <v>45760</v>
      </c>
      <c r="C1015" s="37" t="inlineStr">
        <is>
          <t>WL-02708</t>
        </is>
      </c>
      <c r="D1015" s="37" t="n">
        <v>1708</v>
      </c>
      <c r="E1015" s="37" t="inlineStr">
        <is>
          <t>SB-0215</t>
        </is>
      </c>
      <c r="F1015" s="37" t="inlineStr">
        <is>
          <t>Salmonberry</t>
        </is>
      </c>
      <c r="G1015" s="37" t="n">
        <v>70</v>
      </c>
      <c r="H1015" s="37" t="inlineStr">
        <is>
          <t>OPEN</t>
        </is>
      </c>
      <c r="I1015" s="37" t="inlineStr">
        <is>
          <t>DECLINED</t>
        </is>
      </c>
    </row>
    <row r="1016">
      <c r="A1016" s="37" t="inlineStr">
        <is>
          <t>OFR-2025-1015</t>
        </is>
      </c>
      <c r="B1016" s="43" t="n">
        <v>45767</v>
      </c>
      <c r="C1016" s="37" t="inlineStr">
        <is>
          <t>WL-01103</t>
        </is>
      </c>
      <c r="D1016" s="37" t="n">
        <v>103</v>
      </c>
      <c r="E1016" s="37" t="inlineStr">
        <is>
          <t>SB-0417</t>
        </is>
      </c>
      <c r="F1016" s="37" t="inlineStr">
        <is>
          <t>Salmonberry</t>
        </is>
      </c>
      <c r="G1016" s="37" t="n">
        <v>70</v>
      </c>
      <c r="H1016" s="37" t="inlineStr">
        <is>
          <t>OPEN</t>
        </is>
      </c>
      <c r="I1016" s="37" t="inlineStr">
        <is>
          <t>DECLINED</t>
        </is>
      </c>
    </row>
    <row r="1017">
      <c r="A1017" s="37" t="inlineStr">
        <is>
          <t>OFR-2025-1016</t>
        </is>
      </c>
      <c r="B1017" s="43" t="n">
        <v>45756</v>
      </c>
      <c r="C1017" s="37" t="inlineStr">
        <is>
          <t>WL-01515</t>
        </is>
      </c>
      <c r="D1017" s="37" t="n">
        <v>515</v>
      </c>
      <c r="E1017" s="37" t="inlineStr">
        <is>
          <t>GW-0906</t>
        </is>
      </c>
      <c r="F1017" s="37" t="inlineStr">
        <is>
          <t>Gullwing</t>
        </is>
      </c>
      <c r="G1017" s="37" t="n">
        <v>45</v>
      </c>
      <c r="H1017" s="37" t="inlineStr">
        <is>
          <t>OPEN</t>
        </is>
      </c>
      <c r="I1017" s="37" t="inlineStr">
        <is>
          <t>ACCEPTED</t>
        </is>
      </c>
    </row>
    <row r="1018">
      <c r="A1018" s="37" t="inlineStr">
        <is>
          <t>OFR-2025-1017</t>
        </is>
      </c>
      <c r="B1018" s="43" t="n">
        <v>45755</v>
      </c>
      <c r="C1018" s="37" t="inlineStr">
        <is>
          <t>WL-03082</t>
        </is>
      </c>
      <c r="D1018" s="37" t="n">
        <v>2082</v>
      </c>
      <c r="E1018" s="37" t="inlineStr">
        <is>
          <t>GW-0806</t>
        </is>
      </c>
      <c r="F1018" s="37" t="inlineStr">
        <is>
          <t>Gullwing</t>
        </is>
      </c>
      <c r="G1018" s="37" t="n">
        <v>36</v>
      </c>
      <c r="H1018" s="37" t="inlineStr">
        <is>
          <t>OPEN</t>
        </is>
      </c>
      <c r="I1018" s="37" t="inlineStr">
        <is>
          <t>ACCEPTED</t>
        </is>
      </c>
    </row>
    <row r="1019">
      <c r="A1019" s="37" t="inlineStr">
        <is>
          <t>OFR-2025-1018</t>
        </is>
      </c>
      <c r="B1019" s="43" t="n">
        <v>45749</v>
      </c>
      <c r="C1019" s="37" t="inlineStr">
        <is>
          <t>WL-02178</t>
        </is>
      </c>
      <c r="D1019" s="37" t="n">
        <v>1178</v>
      </c>
      <c r="E1019" s="37" t="inlineStr">
        <is>
          <t>GW-0201</t>
        </is>
      </c>
      <c r="F1019" s="37" t="inlineStr">
        <is>
          <t>Gullwing</t>
        </is>
      </c>
      <c r="G1019" s="37" t="n">
        <v>32</v>
      </c>
      <c r="H1019" s="37" t="inlineStr">
        <is>
          <t>OPEN</t>
        </is>
      </c>
      <c r="I1019" s="37" t="inlineStr">
        <is>
          <t>SKIPPED</t>
        </is>
      </c>
      <c r="J1019" s="37" t="inlineStr">
        <is>
          <t>vessel-fit</t>
        </is>
      </c>
    </row>
    <row r="1020">
      <c r="A1020" s="37" t="inlineStr">
        <is>
          <t>OFR-2025-1019</t>
        </is>
      </c>
      <c r="B1020" s="43" t="n">
        <v>45752</v>
      </c>
      <c r="C1020" s="37" t="inlineStr">
        <is>
          <t>WL-01139</t>
        </is>
      </c>
      <c r="D1020" s="37" t="n">
        <v>139</v>
      </c>
      <c r="E1020" s="37" t="inlineStr">
        <is>
          <t>LP-1112</t>
        </is>
      </c>
      <c r="F1020" s="37" t="inlineStr">
        <is>
          <t>Ledgport</t>
        </is>
      </c>
      <c r="G1020" s="37" t="n">
        <v>40</v>
      </c>
      <c r="H1020" s="37" t="inlineStr">
        <is>
          <t>COVERED</t>
        </is>
      </c>
      <c r="I1020" s="37" t="inlineStr">
        <is>
          <t>ACCEPTED</t>
        </is>
      </c>
    </row>
    <row r="1021">
      <c r="A1021" s="37" t="inlineStr">
        <is>
          <t>OFR-2025-1020</t>
        </is>
      </c>
      <c r="B1021" s="43" t="n">
        <v>45775</v>
      </c>
      <c r="C1021" s="37" t="inlineStr">
        <is>
          <t>WL-02362</t>
        </is>
      </c>
      <c r="D1021" s="37" t="n">
        <v>1362</v>
      </c>
      <c r="E1021" s="37" t="inlineStr">
        <is>
          <t>SB-0503</t>
        </is>
      </c>
      <c r="F1021" s="37" t="inlineStr">
        <is>
          <t>Salmonberry</t>
        </is>
      </c>
      <c r="G1021" s="37" t="n">
        <v>45</v>
      </c>
      <c r="H1021" s="37" t="inlineStr">
        <is>
          <t>OPEN</t>
        </is>
      </c>
      <c r="I1021" s="37" t="inlineStr">
        <is>
          <t>EXPIRED</t>
        </is>
      </c>
    </row>
    <row r="1022">
      <c r="A1022" s="37" t="inlineStr">
        <is>
          <t>OFR-2025-1021</t>
        </is>
      </c>
      <c r="B1022" s="43" t="n">
        <v>45755</v>
      </c>
      <c r="C1022" s="37" t="inlineStr">
        <is>
          <t>WL-02816</t>
        </is>
      </c>
      <c r="D1022" s="37" t="n">
        <v>1816</v>
      </c>
      <c r="E1022" s="37" t="inlineStr">
        <is>
          <t>VB-0719</t>
        </is>
      </c>
      <c r="F1022" s="37" t="inlineStr">
        <is>
          <t>Vessbank</t>
        </is>
      </c>
      <c r="G1022" s="37" t="n">
        <v>32</v>
      </c>
      <c r="H1022" s="37" t="inlineStr">
        <is>
          <t>COVERED</t>
        </is>
      </c>
      <c r="I1022" s="37" t="inlineStr">
        <is>
          <t>ACCEPTED</t>
        </is>
      </c>
    </row>
    <row r="1023">
      <c r="A1023" s="37" t="inlineStr">
        <is>
          <t>OFR-2025-1022</t>
        </is>
      </c>
      <c r="B1023" s="43" t="n">
        <v>45754</v>
      </c>
      <c r="C1023" s="37" t="inlineStr">
        <is>
          <t>WL-01682</t>
        </is>
      </c>
      <c r="D1023" s="37" t="n">
        <v>682</v>
      </c>
      <c r="E1023" s="37" t="inlineStr">
        <is>
          <t>VB-0901</t>
        </is>
      </c>
      <c r="F1023" s="37" t="inlineStr">
        <is>
          <t>Vessbank</t>
        </is>
      </c>
      <c r="G1023" s="37" t="n">
        <v>36</v>
      </c>
      <c r="H1023" s="37" t="inlineStr">
        <is>
          <t>COVERED</t>
        </is>
      </c>
      <c r="I1023" s="37" t="inlineStr">
        <is>
          <t>PENDING</t>
        </is>
      </c>
    </row>
    <row r="1024">
      <c r="A1024" s="37" t="inlineStr">
        <is>
          <t>OFR-2025-1023</t>
        </is>
      </c>
      <c r="B1024" s="43" t="n">
        <v>45756</v>
      </c>
      <c r="C1024" s="37" t="inlineStr">
        <is>
          <t>WL-02653</t>
        </is>
      </c>
      <c r="D1024" s="37" t="n">
        <v>1653</v>
      </c>
      <c r="E1024" s="37" t="inlineStr">
        <is>
          <t>GW-0615</t>
        </is>
      </c>
      <c r="F1024" s="37" t="inlineStr">
        <is>
          <t>Gullwing</t>
        </is>
      </c>
      <c r="G1024" s="37" t="n">
        <v>24</v>
      </c>
      <c r="H1024" s="37" t="inlineStr">
        <is>
          <t>OPEN</t>
        </is>
      </c>
      <c r="I1024" s="37" t="inlineStr">
        <is>
          <t>SKIPPED</t>
        </is>
      </c>
      <c r="J1024" s="37" t="inlineStr">
        <is>
          <t>not-current</t>
        </is>
      </c>
    </row>
    <row r="1025">
      <c r="A1025" s="37" t="inlineStr">
        <is>
          <t>OFR-2025-1024</t>
        </is>
      </c>
      <c r="B1025" s="43" t="n">
        <v>45770</v>
      </c>
      <c r="C1025" s="37" t="inlineStr">
        <is>
          <t>WL-01178</t>
        </is>
      </c>
      <c r="D1025" s="37" t="n">
        <v>178</v>
      </c>
      <c r="E1025" s="37" t="inlineStr">
        <is>
          <t>EW-0222</t>
        </is>
      </c>
      <c r="F1025" s="37" t="inlineStr">
        <is>
          <t>Eastwey</t>
        </is>
      </c>
      <c r="G1025" s="37" t="n">
        <v>24</v>
      </c>
      <c r="H1025" s="37" t="inlineStr">
        <is>
          <t>OPEN</t>
        </is>
      </c>
      <c r="I1025" s="37" t="inlineStr">
        <is>
          <t>DECLINED</t>
        </is>
      </c>
    </row>
    <row r="1026">
      <c r="A1026" s="37" t="inlineStr">
        <is>
          <t>OFR-2025-1025</t>
        </is>
      </c>
      <c r="B1026" s="43" t="n">
        <v>45758</v>
      </c>
      <c r="C1026" s="37" t="inlineStr">
        <is>
          <t>WL-03577</t>
        </is>
      </c>
      <c r="D1026" s="37" t="n">
        <v>2577</v>
      </c>
      <c r="E1026" s="37" t="inlineStr">
        <is>
          <t>SB-0109</t>
        </is>
      </c>
      <c r="F1026" s="37" t="inlineStr">
        <is>
          <t>Salmonberry</t>
        </is>
      </c>
      <c r="G1026" s="37" t="n">
        <v>32</v>
      </c>
      <c r="H1026" s="37" t="inlineStr">
        <is>
          <t>OPEN</t>
        </is>
      </c>
      <c r="I1026" s="37" t="inlineStr">
        <is>
          <t>PENDING</t>
        </is>
      </c>
    </row>
    <row r="1027">
      <c r="A1027" s="37" t="inlineStr">
        <is>
          <t>OFR-2025-1026</t>
        </is>
      </c>
      <c r="B1027" s="43" t="n">
        <v>45764</v>
      </c>
      <c r="C1027" s="37" t="inlineStr">
        <is>
          <t>WL-01309</t>
        </is>
      </c>
      <c r="D1027" s="37" t="n">
        <v>309</v>
      </c>
      <c r="E1027" s="37" t="inlineStr">
        <is>
          <t>LP-0803</t>
        </is>
      </c>
      <c r="F1027" s="37" t="inlineStr">
        <is>
          <t>Ledgport</t>
        </is>
      </c>
      <c r="G1027" s="37" t="n">
        <v>28</v>
      </c>
      <c r="H1027" s="37" t="inlineStr">
        <is>
          <t>COVERED</t>
        </is>
      </c>
      <c r="I1027" s="37" t="inlineStr">
        <is>
          <t>ACCEPTED</t>
        </is>
      </c>
    </row>
    <row r="1028">
      <c r="A1028" s="37" t="inlineStr">
        <is>
          <t>OFR-2025-1027</t>
        </is>
      </c>
      <c r="B1028" s="43" t="n">
        <v>45764</v>
      </c>
      <c r="C1028" s="37" t="inlineStr">
        <is>
          <t>WL-03018</t>
        </is>
      </c>
      <c r="D1028" s="37" t="n">
        <v>2018</v>
      </c>
      <c r="E1028" s="37" t="inlineStr">
        <is>
          <t>EW-0402</t>
        </is>
      </c>
      <c r="F1028" s="37" t="inlineStr">
        <is>
          <t>Eastwey</t>
        </is>
      </c>
      <c r="G1028" s="37" t="n">
        <v>40</v>
      </c>
      <c r="H1028" s="37" t="inlineStr">
        <is>
          <t>OPEN</t>
        </is>
      </c>
      <c r="I1028" s="37" t="inlineStr">
        <is>
          <t>ACCEPTED</t>
        </is>
      </c>
    </row>
    <row r="1029">
      <c r="A1029" s="37" t="inlineStr">
        <is>
          <t>OFR-2025-1028</t>
        </is>
      </c>
      <c r="B1029" s="43" t="n">
        <v>45754</v>
      </c>
      <c r="C1029" s="37" t="inlineStr">
        <is>
          <t>WL-01808</t>
        </is>
      </c>
      <c r="D1029" s="37" t="n">
        <v>808</v>
      </c>
      <c r="E1029" s="37" t="inlineStr">
        <is>
          <t>LP-0316</t>
        </is>
      </c>
      <c r="F1029" s="37" t="inlineStr">
        <is>
          <t>Ledgport</t>
        </is>
      </c>
      <c r="G1029" s="37" t="n">
        <v>40</v>
      </c>
      <c r="H1029" s="37" t="inlineStr">
        <is>
          <t>COVERED</t>
        </is>
      </c>
      <c r="I1029" s="37" t="inlineStr">
        <is>
          <t>SKIPPED</t>
        </is>
      </c>
      <c r="J1029" s="37" t="inlineStr">
        <is>
          <t>not-current</t>
        </is>
      </c>
    </row>
    <row r="1030">
      <c r="A1030" s="37" t="inlineStr">
        <is>
          <t>OFR-2025-1029</t>
        </is>
      </c>
      <c r="B1030" s="43" t="n">
        <v>45769</v>
      </c>
      <c r="C1030" s="37" t="inlineStr">
        <is>
          <t>WL-02693</t>
        </is>
      </c>
      <c r="D1030" s="37" t="n">
        <v>1693</v>
      </c>
      <c r="E1030" s="37" t="inlineStr">
        <is>
          <t>VB-0906</t>
        </is>
      </c>
      <c r="F1030" s="37" t="inlineStr">
        <is>
          <t>Vessbank</t>
        </is>
      </c>
      <c r="G1030" s="37" t="n">
        <v>36</v>
      </c>
      <c r="H1030" s="37" t="inlineStr">
        <is>
          <t>COVERED</t>
        </is>
      </c>
      <c r="I1030" s="37" t="inlineStr">
        <is>
          <t>SKIPPED</t>
        </is>
      </c>
      <c r="J1030" s="37" t="inlineStr">
        <is>
          <t>preference-mismatch</t>
        </is>
      </c>
    </row>
    <row r="1031">
      <c r="A1031" s="37" t="inlineStr">
        <is>
          <t>OFR-2025-1030</t>
        </is>
      </c>
      <c r="B1031" s="43" t="n">
        <v>45774</v>
      </c>
      <c r="C1031" s="37" t="inlineStr">
        <is>
          <t>WL-01328</t>
        </is>
      </c>
      <c r="D1031" s="37" t="n">
        <v>328</v>
      </c>
      <c r="E1031" s="37" t="inlineStr">
        <is>
          <t>SB-0704</t>
        </is>
      </c>
      <c r="F1031" s="37" t="inlineStr">
        <is>
          <t>Salmonberry</t>
        </is>
      </c>
      <c r="G1031" s="37" t="n">
        <v>70</v>
      </c>
      <c r="H1031" s="37" t="inlineStr">
        <is>
          <t>OPEN</t>
        </is>
      </c>
      <c r="I1031" s="37" t="inlineStr">
        <is>
          <t>SKIPPED</t>
        </is>
      </c>
      <c r="J1031" s="37" t="inlineStr">
        <is>
          <t>vessel-fit</t>
        </is>
      </c>
    </row>
    <row r="1032">
      <c r="A1032" s="37" t="inlineStr">
        <is>
          <t>OFR-2025-1031</t>
        </is>
      </c>
      <c r="B1032" s="43" t="n">
        <v>45775</v>
      </c>
      <c r="C1032" s="37" t="inlineStr">
        <is>
          <t>WL-01176</t>
        </is>
      </c>
      <c r="D1032" s="37" t="n">
        <v>176</v>
      </c>
      <c r="E1032" s="37" t="inlineStr">
        <is>
          <t>EW-0805</t>
        </is>
      </c>
      <c r="F1032" s="37" t="inlineStr">
        <is>
          <t>Eastwey</t>
        </is>
      </c>
      <c r="G1032" s="37" t="n">
        <v>28</v>
      </c>
      <c r="H1032" s="37" t="inlineStr">
        <is>
          <t>OPEN</t>
        </is>
      </c>
      <c r="I1032" s="37" t="inlineStr">
        <is>
          <t>ACCEPTED</t>
        </is>
      </c>
    </row>
    <row r="1033">
      <c r="A1033" s="37" t="inlineStr">
        <is>
          <t>OFR-2025-1032</t>
        </is>
      </c>
      <c r="B1033" s="43" t="n">
        <v>45756</v>
      </c>
      <c r="C1033" s="37" t="inlineStr">
        <is>
          <t>WL-02188</t>
        </is>
      </c>
      <c r="D1033" s="37" t="n">
        <v>1188</v>
      </c>
      <c r="E1033" s="37" t="inlineStr">
        <is>
          <t>LP-0817</t>
        </is>
      </c>
      <c r="F1033" s="37" t="inlineStr">
        <is>
          <t>Ledgport</t>
        </is>
      </c>
      <c r="G1033" s="37" t="n">
        <v>32</v>
      </c>
      <c r="H1033" s="37" t="inlineStr">
        <is>
          <t>COVERED</t>
        </is>
      </c>
      <c r="I1033" s="37" t="inlineStr">
        <is>
          <t>SKIPPED</t>
        </is>
      </c>
      <c r="J1033" s="37" t="inlineStr">
        <is>
          <t>vessel-fit</t>
        </is>
      </c>
    </row>
    <row r="1034">
      <c r="A1034" s="37" t="inlineStr">
        <is>
          <t>OFR-2025-1033</t>
        </is>
      </c>
      <c r="B1034" s="43" t="n">
        <v>45755</v>
      </c>
      <c r="C1034" s="37" t="inlineStr">
        <is>
          <t>WL-02367</t>
        </is>
      </c>
      <c r="D1034" s="37" t="n">
        <v>1367</v>
      </c>
      <c r="E1034" s="37" t="inlineStr">
        <is>
          <t>LP-0918</t>
        </is>
      </c>
      <c r="F1034" s="37" t="inlineStr">
        <is>
          <t>Ledgport</t>
        </is>
      </c>
      <c r="G1034" s="37" t="n">
        <v>36</v>
      </c>
      <c r="H1034" s="37" t="inlineStr">
        <is>
          <t>COVERED</t>
        </is>
      </c>
      <c r="I1034" s="37" t="inlineStr">
        <is>
          <t>EXPIRED</t>
        </is>
      </c>
    </row>
    <row r="1035">
      <c r="A1035" s="37" t="inlineStr">
        <is>
          <t>OFR-2025-1034</t>
        </is>
      </c>
      <c r="B1035" s="43" t="n">
        <v>45761</v>
      </c>
      <c r="C1035" s="37" t="inlineStr">
        <is>
          <t>WL-02836</t>
        </is>
      </c>
      <c r="D1035" s="37" t="n">
        <v>1836</v>
      </c>
      <c r="E1035" s="37" t="inlineStr">
        <is>
          <t>EW-0219</t>
        </is>
      </c>
      <c r="F1035" s="37" t="inlineStr">
        <is>
          <t>Eastwey</t>
        </is>
      </c>
      <c r="G1035" s="37" t="n">
        <v>70</v>
      </c>
      <c r="H1035" s="37" t="inlineStr">
        <is>
          <t>OPEN</t>
        </is>
      </c>
      <c r="I1035" s="37" t="inlineStr">
        <is>
          <t>ACCEPTED</t>
        </is>
      </c>
    </row>
    <row r="1036">
      <c r="A1036" s="37" t="inlineStr">
        <is>
          <t>OFR-2025-1035</t>
        </is>
      </c>
      <c r="B1036" s="43" t="n">
        <v>45756</v>
      </c>
      <c r="C1036" s="37" t="inlineStr">
        <is>
          <t>WL-03603</t>
        </is>
      </c>
      <c r="D1036" s="37" t="n">
        <v>2603</v>
      </c>
      <c r="E1036" s="37" t="inlineStr">
        <is>
          <t>LP-0508</t>
        </is>
      </c>
      <c r="F1036" s="37" t="inlineStr">
        <is>
          <t>Ledgport</t>
        </is>
      </c>
      <c r="G1036" s="37" t="n">
        <v>24</v>
      </c>
      <c r="H1036" s="37" t="inlineStr">
        <is>
          <t>COVERED</t>
        </is>
      </c>
      <c r="I1036" s="37" t="inlineStr">
        <is>
          <t>ACCEPTED</t>
        </is>
      </c>
    </row>
    <row r="1037">
      <c r="A1037" s="37" t="inlineStr">
        <is>
          <t>OFR-2025-1036</t>
        </is>
      </c>
      <c r="B1037" s="43" t="n">
        <v>45762</v>
      </c>
      <c r="C1037" s="37" t="inlineStr">
        <is>
          <t>WL-03904</t>
        </is>
      </c>
      <c r="D1037" s="37" t="n">
        <v>2904</v>
      </c>
      <c r="E1037" s="37" t="inlineStr">
        <is>
          <t>GW-0614</t>
        </is>
      </c>
      <c r="F1037" s="37" t="inlineStr">
        <is>
          <t>Gullwing</t>
        </is>
      </c>
      <c r="G1037" s="37" t="n">
        <v>32</v>
      </c>
      <c r="H1037" s="37" t="inlineStr">
        <is>
          <t>OPEN</t>
        </is>
      </c>
      <c r="I1037" s="37" t="inlineStr">
        <is>
          <t>EXPIRED</t>
        </is>
      </c>
    </row>
    <row r="1038">
      <c r="A1038" s="37" t="inlineStr">
        <is>
          <t>OFR-2025-1037</t>
        </is>
      </c>
      <c r="B1038" s="43" t="n">
        <v>45752</v>
      </c>
      <c r="C1038" s="37" t="inlineStr">
        <is>
          <t>WL-02524</t>
        </is>
      </c>
      <c r="D1038" s="37" t="n">
        <v>1524</v>
      </c>
      <c r="E1038" s="37" t="inlineStr">
        <is>
          <t>SB-0102</t>
        </is>
      </c>
      <c r="F1038" s="37" t="inlineStr">
        <is>
          <t>Salmonberry</t>
        </is>
      </c>
      <c r="G1038" s="37" t="n">
        <v>32</v>
      </c>
      <c r="H1038" s="37" t="inlineStr">
        <is>
          <t>OPEN</t>
        </is>
      </c>
      <c r="I1038" s="37" t="inlineStr">
        <is>
          <t>SKIPPED</t>
        </is>
      </c>
      <c r="J1038" s="37" t="inlineStr">
        <is>
          <t>vessel-fit</t>
        </is>
      </c>
    </row>
    <row r="1039">
      <c r="A1039" s="37" t="inlineStr">
        <is>
          <t>OFR-2025-1038</t>
        </is>
      </c>
      <c r="B1039" s="43" t="n">
        <v>45770</v>
      </c>
      <c r="C1039" s="37" t="inlineStr">
        <is>
          <t>WL-01331</t>
        </is>
      </c>
      <c r="D1039" s="37" t="n">
        <v>331</v>
      </c>
      <c r="E1039" s="37" t="inlineStr">
        <is>
          <t>GW-0606</t>
        </is>
      </c>
      <c r="F1039" s="37" t="inlineStr">
        <is>
          <t>Gullwing</t>
        </is>
      </c>
      <c r="G1039" s="37" t="n">
        <v>60</v>
      </c>
      <c r="H1039" s="37" t="inlineStr">
        <is>
          <t>OPEN</t>
        </is>
      </c>
      <c r="I1039" s="37" t="inlineStr">
        <is>
          <t>ACCEPTED</t>
        </is>
      </c>
    </row>
    <row r="1040">
      <c r="A1040" s="37" t="inlineStr">
        <is>
          <t>OFR-2025-1039</t>
        </is>
      </c>
      <c r="B1040" s="43" t="n">
        <v>45761</v>
      </c>
      <c r="C1040" s="37" t="inlineStr">
        <is>
          <t>WL-02845</t>
        </is>
      </c>
      <c r="D1040" s="37" t="n">
        <v>1845</v>
      </c>
      <c r="E1040" s="37" t="inlineStr">
        <is>
          <t>SB-0410</t>
        </is>
      </c>
      <c r="F1040" s="37" t="inlineStr">
        <is>
          <t>Salmonberry</t>
        </is>
      </c>
      <c r="G1040" s="37" t="n">
        <v>24</v>
      </c>
      <c r="H1040" s="37" t="inlineStr">
        <is>
          <t>OPEN</t>
        </is>
      </c>
      <c r="I1040" s="37" t="inlineStr">
        <is>
          <t>SKIPPED</t>
        </is>
      </c>
      <c r="J1040" s="37" t="inlineStr">
        <is>
          <t>declined-prior-offer</t>
        </is>
      </c>
    </row>
    <row r="1041">
      <c r="A1041" s="37" t="inlineStr">
        <is>
          <t>OFR-2025-1040</t>
        </is>
      </c>
      <c r="B1041" s="43" t="n">
        <v>45762</v>
      </c>
      <c r="C1041" s="37" t="inlineStr">
        <is>
          <t>WL-01921</t>
        </is>
      </c>
      <c r="D1041" s="37" t="n">
        <v>921</v>
      </c>
      <c r="E1041" s="37" t="inlineStr">
        <is>
          <t>VB-0204</t>
        </is>
      </c>
      <c r="F1041" s="37" t="inlineStr">
        <is>
          <t>Vessbank</t>
        </is>
      </c>
      <c r="G1041" s="37" t="n">
        <v>40</v>
      </c>
      <c r="H1041" s="37" t="inlineStr">
        <is>
          <t>COVERED</t>
        </is>
      </c>
      <c r="I1041" s="37" t="inlineStr">
        <is>
          <t>PENDING</t>
        </is>
      </c>
    </row>
    <row r="1042">
      <c r="A1042" s="37" t="inlineStr">
        <is>
          <t>OFR-2025-1041</t>
        </is>
      </c>
      <c r="B1042" s="43" t="n">
        <v>45769</v>
      </c>
      <c r="C1042" s="37" t="inlineStr">
        <is>
          <t>WL-01247</t>
        </is>
      </c>
      <c r="D1042" s="37" t="n">
        <v>247</v>
      </c>
      <c r="E1042" s="37" t="inlineStr">
        <is>
          <t>VB-0421</t>
        </is>
      </c>
      <c r="F1042" s="37" t="inlineStr">
        <is>
          <t>Vessbank</t>
        </is>
      </c>
      <c r="G1042" s="37" t="n">
        <v>40</v>
      </c>
      <c r="H1042" s="37" t="inlineStr">
        <is>
          <t>COVERED</t>
        </is>
      </c>
      <c r="I1042" s="37" t="inlineStr">
        <is>
          <t>ACCEPTED</t>
        </is>
      </c>
    </row>
    <row r="1043">
      <c r="A1043" s="37" t="inlineStr">
        <is>
          <t>OFR-2025-1042</t>
        </is>
      </c>
      <c r="B1043" s="43" t="n">
        <v>45784</v>
      </c>
      <c r="C1043" s="37" t="inlineStr">
        <is>
          <t>WL-03839</t>
        </is>
      </c>
      <c r="D1043" s="37" t="n">
        <v>2839</v>
      </c>
      <c r="E1043" s="37" t="inlineStr">
        <is>
          <t>EW-0209</t>
        </is>
      </c>
      <c r="F1043" s="37" t="inlineStr">
        <is>
          <t>Eastwey</t>
        </is>
      </c>
      <c r="G1043" s="37" t="n">
        <v>36</v>
      </c>
      <c r="H1043" s="37" t="inlineStr">
        <is>
          <t>OPEN</t>
        </is>
      </c>
      <c r="I1043" s="37" t="inlineStr">
        <is>
          <t>SKIPPED</t>
        </is>
      </c>
      <c r="J1043" s="37" t="inlineStr">
        <is>
          <t>vessel-fit</t>
        </is>
      </c>
    </row>
    <row r="1044">
      <c r="A1044" s="37" t="inlineStr">
        <is>
          <t>OFR-2025-1043</t>
        </is>
      </c>
      <c r="B1044" s="43" t="n">
        <v>45803</v>
      </c>
      <c r="C1044" s="37" t="inlineStr">
        <is>
          <t>WL-03424</t>
        </is>
      </c>
      <c r="D1044" s="37" t="n">
        <v>2424</v>
      </c>
      <c r="E1044" s="37" t="inlineStr">
        <is>
          <t>EW-0205</t>
        </is>
      </c>
      <c r="F1044" s="37" t="inlineStr">
        <is>
          <t>Eastwey</t>
        </is>
      </c>
      <c r="G1044" s="37" t="n">
        <v>60</v>
      </c>
      <c r="H1044" s="37" t="inlineStr">
        <is>
          <t>OPEN</t>
        </is>
      </c>
      <c r="I1044" s="37" t="inlineStr">
        <is>
          <t>ACCEPTED</t>
        </is>
      </c>
    </row>
    <row r="1045">
      <c r="A1045" s="37" t="inlineStr">
        <is>
          <t>OFR-2025-1044</t>
        </is>
      </c>
      <c r="B1045" s="43" t="n">
        <v>45800</v>
      </c>
      <c r="C1045" s="37" t="inlineStr">
        <is>
          <t>WL-03263</t>
        </is>
      </c>
      <c r="D1045" s="37" t="n">
        <v>2263</v>
      </c>
      <c r="E1045" s="37" t="inlineStr">
        <is>
          <t>EW-0721</t>
        </is>
      </c>
      <c r="F1045" s="37" t="inlineStr">
        <is>
          <t>Eastwey</t>
        </is>
      </c>
      <c r="G1045" s="37" t="n">
        <v>24</v>
      </c>
      <c r="H1045" s="37" t="inlineStr">
        <is>
          <t>OPEN</t>
        </is>
      </c>
      <c r="I1045" s="37" t="inlineStr">
        <is>
          <t>ACCEPTED</t>
        </is>
      </c>
    </row>
    <row r="1046">
      <c r="A1046" s="37" t="inlineStr">
        <is>
          <t>OFR-2025-1045</t>
        </is>
      </c>
      <c r="B1046" s="43" t="n">
        <v>45804</v>
      </c>
      <c r="C1046" s="37" t="inlineStr">
        <is>
          <t>WL-01948</t>
        </is>
      </c>
      <c r="D1046" s="37" t="n">
        <v>948</v>
      </c>
      <c r="E1046" s="37" t="inlineStr">
        <is>
          <t>VB-0206</t>
        </is>
      </c>
      <c r="F1046" s="37" t="inlineStr">
        <is>
          <t>Vessbank</t>
        </is>
      </c>
      <c r="G1046" s="37" t="n">
        <v>28</v>
      </c>
      <c r="H1046" s="37" t="inlineStr">
        <is>
          <t>COVERED</t>
        </is>
      </c>
      <c r="I1046" s="37" t="inlineStr">
        <is>
          <t>ACCEPTED</t>
        </is>
      </c>
    </row>
    <row r="1047">
      <c r="A1047" s="37" t="inlineStr">
        <is>
          <t>OFR-2025-1046</t>
        </is>
      </c>
      <c r="B1047" s="43" t="n">
        <v>45784</v>
      </c>
      <c r="C1047" s="37" t="inlineStr">
        <is>
          <t>WL-02457</t>
        </is>
      </c>
      <c r="D1047" s="37" t="n">
        <v>1457</v>
      </c>
      <c r="E1047" s="37" t="inlineStr">
        <is>
          <t>EW-0603</t>
        </is>
      </c>
      <c r="F1047" s="37" t="inlineStr">
        <is>
          <t>Eastwey</t>
        </is>
      </c>
      <c r="G1047" s="37" t="n">
        <v>24</v>
      </c>
      <c r="H1047" s="37" t="inlineStr">
        <is>
          <t>OPEN</t>
        </is>
      </c>
      <c r="I1047" s="37" t="inlineStr">
        <is>
          <t>PENDING</t>
        </is>
      </c>
    </row>
    <row r="1048">
      <c r="A1048" s="37" t="inlineStr">
        <is>
          <t>OFR-2025-1047</t>
        </is>
      </c>
      <c r="B1048" s="43" t="n">
        <v>45794</v>
      </c>
      <c r="C1048" s="37" t="inlineStr">
        <is>
          <t>WL-02798</t>
        </is>
      </c>
      <c r="D1048" s="37" t="n">
        <v>1798</v>
      </c>
      <c r="E1048" s="37" t="inlineStr">
        <is>
          <t>VB-0624</t>
        </is>
      </c>
      <c r="F1048" s="37" t="inlineStr">
        <is>
          <t>Vessbank</t>
        </is>
      </c>
      <c r="G1048" s="37" t="n">
        <v>40</v>
      </c>
      <c r="H1048" s="37" t="inlineStr">
        <is>
          <t>COVERED</t>
        </is>
      </c>
      <c r="I1048" s="37" t="inlineStr">
        <is>
          <t>PENDING</t>
        </is>
      </c>
    </row>
    <row r="1049">
      <c r="A1049" s="37" t="inlineStr">
        <is>
          <t>OFR-2025-1048</t>
        </is>
      </c>
      <c r="B1049" s="43" t="n">
        <v>45796</v>
      </c>
      <c r="C1049" s="37" t="inlineStr">
        <is>
          <t>WL-03347</t>
        </is>
      </c>
      <c r="D1049" s="37" t="n">
        <v>2347</v>
      </c>
      <c r="E1049" s="37" t="inlineStr">
        <is>
          <t>EW-0811</t>
        </is>
      </c>
      <c r="F1049" s="37" t="inlineStr">
        <is>
          <t>Eastwey</t>
        </is>
      </c>
      <c r="G1049" s="37" t="n">
        <v>70</v>
      </c>
      <c r="H1049" s="37" t="inlineStr">
        <is>
          <t>OPEN</t>
        </is>
      </c>
      <c r="I1049" s="37" t="inlineStr">
        <is>
          <t>EXPIRED</t>
        </is>
      </c>
    </row>
    <row r="1050">
      <c r="A1050" s="37" t="inlineStr">
        <is>
          <t>OFR-2025-1049</t>
        </is>
      </c>
      <c r="B1050" s="43" t="n">
        <v>45791</v>
      </c>
      <c r="C1050" s="37" t="inlineStr">
        <is>
          <t>WL-01863</t>
        </is>
      </c>
      <c r="D1050" s="37" t="n">
        <v>863</v>
      </c>
      <c r="E1050" s="37" t="inlineStr">
        <is>
          <t>VB-0502</t>
        </is>
      </c>
      <c r="F1050" s="37" t="inlineStr">
        <is>
          <t>Vessbank</t>
        </is>
      </c>
      <c r="G1050" s="37" t="n">
        <v>32</v>
      </c>
      <c r="H1050" s="37" t="inlineStr">
        <is>
          <t>COVERED</t>
        </is>
      </c>
      <c r="I1050" s="37" t="inlineStr">
        <is>
          <t>ACCEPTED</t>
        </is>
      </c>
    </row>
    <row r="1051">
      <c r="A1051" s="37" t="inlineStr">
        <is>
          <t>OFR-2025-1050</t>
        </is>
      </c>
      <c r="B1051" s="43" t="n">
        <v>45794</v>
      </c>
      <c r="C1051" s="37" t="inlineStr">
        <is>
          <t>WL-02577</t>
        </is>
      </c>
      <c r="D1051" s="37" t="n">
        <v>1577</v>
      </c>
      <c r="E1051" s="37" t="inlineStr">
        <is>
          <t>VB-1009</t>
        </is>
      </c>
      <c r="F1051" s="37" t="inlineStr">
        <is>
          <t>Vessbank</t>
        </is>
      </c>
      <c r="G1051" s="37" t="n">
        <v>28</v>
      </c>
      <c r="H1051" s="37" t="inlineStr">
        <is>
          <t>COVERED</t>
        </is>
      </c>
      <c r="I1051" s="37" t="inlineStr">
        <is>
          <t>ACCEPTED</t>
        </is>
      </c>
    </row>
    <row r="1052">
      <c r="A1052" s="37" t="inlineStr">
        <is>
          <t>OFR-2025-1051</t>
        </is>
      </c>
      <c r="B1052" s="43" t="n">
        <v>45787</v>
      </c>
      <c r="C1052" s="37" t="inlineStr">
        <is>
          <t>WL-01402</t>
        </is>
      </c>
      <c r="D1052" s="37" t="n">
        <v>402</v>
      </c>
      <c r="E1052" s="37" t="inlineStr">
        <is>
          <t>VB-1020</t>
        </is>
      </c>
      <c r="F1052" s="37" t="inlineStr">
        <is>
          <t>Vessbank</t>
        </is>
      </c>
      <c r="G1052" s="37" t="n">
        <v>40</v>
      </c>
      <c r="H1052" s="37" t="inlineStr">
        <is>
          <t>COVERED</t>
        </is>
      </c>
      <c r="I1052" s="37" t="inlineStr">
        <is>
          <t>EXPIRED</t>
        </is>
      </c>
    </row>
    <row r="1053">
      <c r="A1053" s="37" t="inlineStr">
        <is>
          <t>OFR-2025-1052</t>
        </is>
      </c>
      <c r="B1053" s="43" t="n">
        <v>45791</v>
      </c>
      <c r="C1053" s="37" t="inlineStr">
        <is>
          <t>WL-01215</t>
        </is>
      </c>
      <c r="D1053" s="37" t="n">
        <v>215</v>
      </c>
      <c r="E1053" s="37" t="inlineStr">
        <is>
          <t>VB-0918</t>
        </is>
      </c>
      <c r="F1053" s="37" t="inlineStr">
        <is>
          <t>Vessbank</t>
        </is>
      </c>
      <c r="G1053" s="37" t="n">
        <v>36</v>
      </c>
      <c r="H1053" s="37" t="inlineStr">
        <is>
          <t>COVERED</t>
        </is>
      </c>
      <c r="I1053" s="37" t="inlineStr">
        <is>
          <t>ACCEPTED</t>
        </is>
      </c>
    </row>
    <row r="1054">
      <c r="A1054" s="37" t="inlineStr">
        <is>
          <t>OFR-2025-1053</t>
        </is>
      </c>
      <c r="B1054" s="43" t="n">
        <v>45794</v>
      </c>
      <c r="C1054" s="37" t="inlineStr">
        <is>
          <t>WL-03094</t>
        </is>
      </c>
      <c r="D1054" s="37" t="n">
        <v>2094</v>
      </c>
      <c r="E1054" s="37" t="inlineStr">
        <is>
          <t>LP-0316</t>
        </is>
      </c>
      <c r="F1054" s="37" t="inlineStr">
        <is>
          <t>Ledgport</t>
        </is>
      </c>
      <c r="G1054" s="37" t="n">
        <v>40</v>
      </c>
      <c r="H1054" s="37" t="inlineStr">
        <is>
          <t>COVERED</t>
        </is>
      </c>
      <c r="I1054" s="37" t="inlineStr">
        <is>
          <t>SKIPPED</t>
        </is>
      </c>
      <c r="J1054" s="37" t="inlineStr">
        <is>
          <t>vessel-fit</t>
        </is>
      </c>
    </row>
    <row r="1055">
      <c r="A1055" s="37" t="inlineStr">
        <is>
          <t>OFR-2025-1054</t>
        </is>
      </c>
      <c r="B1055" s="43" t="n">
        <v>45782</v>
      </c>
      <c r="C1055" s="37" t="inlineStr">
        <is>
          <t>WL-03662</t>
        </is>
      </c>
      <c r="D1055" s="37" t="n">
        <v>2662</v>
      </c>
      <c r="E1055" s="37" t="inlineStr">
        <is>
          <t>VB-0604</t>
        </is>
      </c>
      <c r="F1055" s="37" t="inlineStr">
        <is>
          <t>Vessbank</t>
        </is>
      </c>
      <c r="G1055" s="37" t="n">
        <v>28</v>
      </c>
      <c r="H1055" s="37" t="inlineStr">
        <is>
          <t>COVERED</t>
        </is>
      </c>
      <c r="I1055" s="37" t="inlineStr">
        <is>
          <t>SKIPPED</t>
        </is>
      </c>
      <c r="J1055" s="37" t="inlineStr">
        <is>
          <t>not-current</t>
        </is>
      </c>
    </row>
    <row r="1056">
      <c r="A1056" s="37" t="inlineStr">
        <is>
          <t>OFR-2025-1055</t>
        </is>
      </c>
      <c r="B1056" s="43" t="n">
        <v>45793</v>
      </c>
      <c r="C1056" s="37" t="inlineStr">
        <is>
          <t>WL-02375</t>
        </is>
      </c>
      <c r="D1056" s="37" t="n">
        <v>1375</v>
      </c>
      <c r="E1056" s="37" t="inlineStr">
        <is>
          <t>SB-0317</t>
        </is>
      </c>
      <c r="F1056" s="37" t="inlineStr">
        <is>
          <t>Salmonberry</t>
        </is>
      </c>
      <c r="G1056" s="37" t="n">
        <v>28</v>
      </c>
      <c r="H1056" s="37" t="inlineStr">
        <is>
          <t>OPEN</t>
        </is>
      </c>
      <c r="I1056" s="37" t="inlineStr">
        <is>
          <t>ACCEPTED</t>
        </is>
      </c>
    </row>
    <row r="1057">
      <c r="A1057" s="37" t="inlineStr">
        <is>
          <t>OFR-2025-1056</t>
        </is>
      </c>
      <c r="B1057" s="43" t="n">
        <v>45805</v>
      </c>
      <c r="C1057" s="37" t="inlineStr">
        <is>
          <t>WL-03874</t>
        </is>
      </c>
      <c r="D1057" s="37" t="n">
        <v>2874</v>
      </c>
      <c r="E1057" s="37" t="inlineStr">
        <is>
          <t>LP-0409</t>
        </is>
      </c>
      <c r="F1057" s="37" t="inlineStr">
        <is>
          <t>Ledgport</t>
        </is>
      </c>
      <c r="G1057" s="37" t="n">
        <v>32</v>
      </c>
      <c r="H1057" s="37" t="inlineStr">
        <is>
          <t>COVERED</t>
        </is>
      </c>
      <c r="I1057" s="37" t="inlineStr">
        <is>
          <t>ACCEPTED</t>
        </is>
      </c>
    </row>
    <row r="1058">
      <c r="A1058" s="37" t="inlineStr">
        <is>
          <t>OFR-2025-1057</t>
        </is>
      </c>
      <c r="B1058" s="43" t="n">
        <v>45805</v>
      </c>
      <c r="C1058" s="37" t="inlineStr">
        <is>
          <t>WL-01472</t>
        </is>
      </c>
      <c r="D1058" s="37" t="n">
        <v>472</v>
      </c>
      <c r="E1058" s="37" t="inlineStr">
        <is>
          <t>LP-0612</t>
        </is>
      </c>
      <c r="F1058" s="37" t="inlineStr">
        <is>
          <t>Ledgport</t>
        </is>
      </c>
      <c r="G1058" s="37" t="n">
        <v>32</v>
      </c>
      <c r="H1058" s="37" t="inlineStr">
        <is>
          <t>COVERED</t>
        </is>
      </c>
      <c r="I1058" s="37" t="inlineStr">
        <is>
          <t>ACCEPTED</t>
        </is>
      </c>
    </row>
    <row r="1059">
      <c r="A1059" s="37" t="inlineStr">
        <is>
          <t>OFR-2025-1058</t>
        </is>
      </c>
      <c r="B1059" s="43" t="n">
        <v>45802</v>
      </c>
      <c r="C1059" s="37" t="inlineStr">
        <is>
          <t>WL-03587</t>
        </is>
      </c>
      <c r="D1059" s="37" t="n">
        <v>2587</v>
      </c>
      <c r="E1059" s="37" t="inlineStr">
        <is>
          <t>LP-0723</t>
        </is>
      </c>
      <c r="F1059" s="37" t="inlineStr">
        <is>
          <t>Ledgport</t>
        </is>
      </c>
      <c r="G1059" s="37" t="n">
        <v>28</v>
      </c>
      <c r="H1059" s="37" t="inlineStr">
        <is>
          <t>COVERED</t>
        </is>
      </c>
      <c r="I1059" s="37" t="inlineStr">
        <is>
          <t>DECLINED_RETAINER</t>
        </is>
      </c>
    </row>
    <row r="1060">
      <c r="A1060" s="37" t="inlineStr">
        <is>
          <t>OFR-2025-1059</t>
        </is>
      </c>
      <c r="B1060" s="43" t="n">
        <v>45784</v>
      </c>
      <c r="C1060" s="37" t="inlineStr">
        <is>
          <t>WL-01472</t>
        </is>
      </c>
      <c r="D1060" s="37" t="n">
        <v>472</v>
      </c>
      <c r="E1060" s="37" t="inlineStr">
        <is>
          <t>SB-0720</t>
        </is>
      </c>
      <c r="F1060" s="37" t="inlineStr">
        <is>
          <t>Salmonberry</t>
        </is>
      </c>
      <c r="G1060" s="37" t="n">
        <v>28</v>
      </c>
      <c r="H1060" s="37" t="inlineStr">
        <is>
          <t>OPEN</t>
        </is>
      </c>
      <c r="I1060" s="37" t="inlineStr">
        <is>
          <t>SKIPPED</t>
        </is>
      </c>
      <c r="J1060" s="37" t="inlineStr">
        <is>
          <t>preference-mismatch</t>
        </is>
      </c>
    </row>
    <row r="1061">
      <c r="A1061" s="37" t="inlineStr">
        <is>
          <t>OFR-2025-1060</t>
        </is>
      </c>
      <c r="B1061" s="43" t="n">
        <v>45804</v>
      </c>
      <c r="C1061" s="37" t="inlineStr">
        <is>
          <t>WL-01967</t>
        </is>
      </c>
      <c r="D1061" s="37" t="n">
        <v>967</v>
      </c>
      <c r="E1061" s="37" t="inlineStr">
        <is>
          <t>LP-0609</t>
        </is>
      </c>
      <c r="F1061" s="37" t="inlineStr">
        <is>
          <t>Ledgport</t>
        </is>
      </c>
      <c r="G1061" s="37" t="n">
        <v>24</v>
      </c>
      <c r="H1061" s="37" t="inlineStr">
        <is>
          <t>COVERED</t>
        </is>
      </c>
      <c r="I1061" s="37" t="inlineStr">
        <is>
          <t>PENDING</t>
        </is>
      </c>
    </row>
    <row r="1062">
      <c r="A1062" s="37" t="inlineStr">
        <is>
          <t>OFR-2025-1061</t>
        </is>
      </c>
      <c r="B1062" s="43" t="n">
        <v>45784</v>
      </c>
      <c r="C1062" s="37" t="inlineStr">
        <is>
          <t>WL-03775</t>
        </is>
      </c>
      <c r="D1062" s="37" t="n">
        <v>2775</v>
      </c>
      <c r="E1062" s="37" t="inlineStr">
        <is>
          <t>GW-0423</t>
        </is>
      </c>
      <c r="F1062" s="37" t="inlineStr">
        <is>
          <t>Gullwing</t>
        </is>
      </c>
      <c r="G1062" s="37" t="n">
        <v>32</v>
      </c>
      <c r="H1062" s="37" t="inlineStr">
        <is>
          <t>OPEN</t>
        </is>
      </c>
      <c r="I1062" s="37" t="inlineStr">
        <is>
          <t>ACCEPTED</t>
        </is>
      </c>
    </row>
    <row r="1063">
      <c r="A1063" s="37" t="inlineStr">
        <is>
          <t>OFR-2025-1062</t>
        </is>
      </c>
      <c r="B1063" s="43" t="n">
        <v>45786</v>
      </c>
      <c r="C1063" s="37" t="inlineStr">
        <is>
          <t>WL-02980</t>
        </is>
      </c>
      <c r="D1063" s="37" t="n">
        <v>1980</v>
      </c>
      <c r="E1063" s="37" t="inlineStr">
        <is>
          <t>EW-1012</t>
        </is>
      </c>
      <c r="F1063" s="37" t="inlineStr">
        <is>
          <t>Eastwey</t>
        </is>
      </c>
      <c r="G1063" s="37" t="n">
        <v>45</v>
      </c>
      <c r="H1063" s="37" t="inlineStr">
        <is>
          <t>OPEN</t>
        </is>
      </c>
      <c r="I1063" s="37" t="inlineStr">
        <is>
          <t>ACCEPTED</t>
        </is>
      </c>
    </row>
    <row r="1064">
      <c r="A1064" s="37" t="inlineStr">
        <is>
          <t>OFR-2025-1063</t>
        </is>
      </c>
      <c r="B1064" s="43" t="n">
        <v>45789</v>
      </c>
      <c r="C1064" s="37" t="inlineStr">
        <is>
          <t>WL-01954</t>
        </is>
      </c>
      <c r="D1064" s="37" t="n">
        <v>954</v>
      </c>
      <c r="E1064" s="37" t="inlineStr">
        <is>
          <t>GW-0616</t>
        </is>
      </c>
      <c r="F1064" s="37" t="inlineStr">
        <is>
          <t>Gullwing</t>
        </is>
      </c>
      <c r="G1064" s="37" t="n">
        <v>45</v>
      </c>
      <c r="H1064" s="37" t="inlineStr">
        <is>
          <t>OPEN</t>
        </is>
      </c>
      <c r="I1064" s="37" t="inlineStr">
        <is>
          <t>PENDING</t>
        </is>
      </c>
    </row>
    <row r="1065">
      <c r="A1065" s="37" t="inlineStr">
        <is>
          <t>OFR-2025-1064</t>
        </is>
      </c>
      <c r="B1065" s="43" t="n">
        <v>45785</v>
      </c>
      <c r="C1065" s="37" t="inlineStr">
        <is>
          <t>WL-02633</t>
        </is>
      </c>
      <c r="D1065" s="37" t="n">
        <v>1633</v>
      </c>
      <c r="E1065" s="37" t="inlineStr">
        <is>
          <t>EW-1007</t>
        </is>
      </c>
      <c r="F1065" s="37" t="inlineStr">
        <is>
          <t>Eastwey</t>
        </is>
      </c>
      <c r="G1065" s="37" t="n">
        <v>32</v>
      </c>
      <c r="H1065" s="37" t="inlineStr">
        <is>
          <t>OPEN</t>
        </is>
      </c>
      <c r="I1065" s="37" t="inlineStr">
        <is>
          <t>EXPIRED</t>
        </is>
      </c>
    </row>
    <row r="1066">
      <c r="A1066" s="37" t="inlineStr">
        <is>
          <t>OFR-2025-1065</t>
        </is>
      </c>
      <c r="B1066" s="43" t="n">
        <v>45796</v>
      </c>
      <c r="C1066" s="37" t="inlineStr">
        <is>
          <t>WL-02580</t>
        </is>
      </c>
      <c r="D1066" s="37" t="n">
        <v>1580</v>
      </c>
      <c r="E1066" s="37" t="inlineStr">
        <is>
          <t>GW-0402</t>
        </is>
      </c>
      <c r="F1066" s="37" t="inlineStr">
        <is>
          <t>Gullwing</t>
        </is>
      </c>
      <c r="G1066" s="37" t="n">
        <v>24</v>
      </c>
      <c r="H1066" s="37" t="inlineStr">
        <is>
          <t>OPEN</t>
        </is>
      </c>
      <c r="I1066" s="37" t="inlineStr">
        <is>
          <t>WITHDRAWN</t>
        </is>
      </c>
    </row>
    <row r="1067">
      <c r="A1067" s="37" t="inlineStr">
        <is>
          <t>OFR-2025-1066</t>
        </is>
      </c>
      <c r="B1067" s="43" t="n">
        <v>45786</v>
      </c>
      <c r="C1067" s="37" t="inlineStr">
        <is>
          <t>WL-01200</t>
        </is>
      </c>
      <c r="D1067" s="37" t="n">
        <v>200</v>
      </c>
      <c r="E1067" s="37" t="inlineStr">
        <is>
          <t>EW-0816</t>
        </is>
      </c>
      <c r="F1067" s="37" t="inlineStr">
        <is>
          <t>Eastwey</t>
        </is>
      </c>
      <c r="G1067" s="37" t="n">
        <v>80</v>
      </c>
      <c r="H1067" s="37" t="inlineStr">
        <is>
          <t>OPEN</t>
        </is>
      </c>
      <c r="I1067" s="37" t="inlineStr">
        <is>
          <t>DECLINED</t>
        </is>
      </c>
    </row>
    <row r="1068">
      <c r="A1068" s="37" t="inlineStr">
        <is>
          <t>OFR-2025-1067</t>
        </is>
      </c>
      <c r="B1068" s="43" t="n">
        <v>45796</v>
      </c>
      <c r="C1068" s="37" t="inlineStr">
        <is>
          <t>WL-01922</t>
        </is>
      </c>
      <c r="D1068" s="37" t="n">
        <v>922</v>
      </c>
      <c r="E1068" s="37" t="inlineStr">
        <is>
          <t>LP-0622</t>
        </is>
      </c>
      <c r="F1068" s="37" t="inlineStr">
        <is>
          <t>Ledgport</t>
        </is>
      </c>
      <c r="G1068" s="37" t="n">
        <v>32</v>
      </c>
      <c r="H1068" s="37" t="inlineStr">
        <is>
          <t>COVERED</t>
        </is>
      </c>
      <c r="I1068" s="37" t="inlineStr">
        <is>
          <t>DECLINED</t>
        </is>
      </c>
    </row>
    <row r="1069">
      <c r="A1069" s="37" t="inlineStr">
        <is>
          <t>OFR-2025-1068</t>
        </is>
      </c>
      <c r="B1069" s="43" t="n">
        <v>45787</v>
      </c>
      <c r="C1069" s="37" t="inlineStr">
        <is>
          <t>WL-03360</t>
        </is>
      </c>
      <c r="D1069" s="37" t="n">
        <v>2360</v>
      </c>
      <c r="E1069" s="37" t="inlineStr">
        <is>
          <t>EW-1003</t>
        </is>
      </c>
      <c r="F1069" s="37" t="inlineStr">
        <is>
          <t>Eastwey</t>
        </is>
      </c>
      <c r="G1069" s="37" t="n">
        <v>40</v>
      </c>
      <c r="H1069" s="37" t="inlineStr">
        <is>
          <t>OPEN</t>
        </is>
      </c>
      <c r="I1069" s="37" t="inlineStr">
        <is>
          <t>SKIPPED</t>
        </is>
      </c>
      <c r="J1069" s="37" t="inlineStr">
        <is>
          <t>not-current</t>
        </is>
      </c>
    </row>
    <row r="1070">
      <c r="A1070" s="37" t="inlineStr">
        <is>
          <t>OFR-2025-1069</t>
        </is>
      </c>
      <c r="B1070" s="43" t="n">
        <v>45781</v>
      </c>
      <c r="C1070" s="37" t="inlineStr">
        <is>
          <t>WL-01257</t>
        </is>
      </c>
      <c r="D1070" s="37" t="n">
        <v>257</v>
      </c>
      <c r="E1070" s="37" t="inlineStr">
        <is>
          <t>SB-0401</t>
        </is>
      </c>
      <c r="F1070" s="37" t="inlineStr">
        <is>
          <t>Salmonberry</t>
        </is>
      </c>
      <c r="G1070" s="37" t="n">
        <v>60</v>
      </c>
      <c r="H1070" s="37" t="inlineStr">
        <is>
          <t>OPEN</t>
        </is>
      </c>
      <c r="I1070" s="37" t="inlineStr">
        <is>
          <t>ACCEPTED</t>
        </is>
      </c>
    </row>
    <row r="1071">
      <c r="A1071" s="37" t="inlineStr">
        <is>
          <t>OFR-2025-1070</t>
        </is>
      </c>
      <c r="B1071" s="43" t="n">
        <v>45783</v>
      </c>
      <c r="C1071" s="37" t="inlineStr">
        <is>
          <t>WL-02597</t>
        </is>
      </c>
      <c r="D1071" s="37" t="n">
        <v>1597</v>
      </c>
      <c r="E1071" s="37" t="inlineStr">
        <is>
          <t>GW-0413</t>
        </is>
      </c>
      <c r="F1071" s="37" t="inlineStr">
        <is>
          <t>Gullwing</t>
        </is>
      </c>
      <c r="G1071" s="37" t="n">
        <v>60</v>
      </c>
      <c r="H1071" s="37" t="inlineStr">
        <is>
          <t>OPEN</t>
        </is>
      </c>
      <c r="I1071" s="37" t="inlineStr">
        <is>
          <t>DECLINED</t>
        </is>
      </c>
    </row>
    <row r="1072">
      <c r="A1072" s="37" t="inlineStr">
        <is>
          <t>OFR-2025-1071</t>
        </is>
      </c>
      <c r="B1072" s="43" t="n">
        <v>45812</v>
      </c>
      <c r="C1072" s="37" t="inlineStr">
        <is>
          <t>WL-02495</t>
        </is>
      </c>
      <c r="D1072" s="37" t="n">
        <v>1495</v>
      </c>
      <c r="E1072" s="37" t="inlineStr">
        <is>
          <t>EW-1023</t>
        </is>
      </c>
      <c r="F1072" s="37" t="inlineStr">
        <is>
          <t>Eastwey</t>
        </is>
      </c>
      <c r="G1072" s="37" t="n">
        <v>60</v>
      </c>
      <c r="H1072" s="37" t="inlineStr">
        <is>
          <t>OPEN</t>
        </is>
      </c>
      <c r="I1072" s="37" t="inlineStr">
        <is>
          <t>ACCEPTED</t>
        </is>
      </c>
    </row>
    <row r="1073">
      <c r="A1073" s="37" t="inlineStr">
        <is>
          <t>OFR-2025-1072</t>
        </is>
      </c>
      <c r="B1073" s="43" t="n">
        <v>45826</v>
      </c>
      <c r="C1073" s="37" t="inlineStr">
        <is>
          <t>WL-02747</t>
        </is>
      </c>
      <c r="D1073" s="37" t="n">
        <v>1747</v>
      </c>
      <c r="E1073" s="37" t="inlineStr">
        <is>
          <t>GW-0401</t>
        </is>
      </c>
      <c r="F1073" s="37" t="inlineStr">
        <is>
          <t>Gullwing</t>
        </is>
      </c>
      <c r="G1073" s="37" t="n">
        <v>45</v>
      </c>
      <c r="H1073" s="37" t="inlineStr">
        <is>
          <t>OPEN</t>
        </is>
      </c>
      <c r="I1073" s="37" t="inlineStr">
        <is>
          <t>SKIPPED</t>
        </is>
      </c>
      <c r="J1073" s="37" t="inlineStr">
        <is>
          <t>preference-mismatch</t>
        </is>
      </c>
    </row>
    <row r="1074">
      <c r="A1074" s="37" t="inlineStr">
        <is>
          <t>OFR-2025-1073</t>
        </is>
      </c>
      <c r="B1074" s="43" t="n">
        <v>45831</v>
      </c>
      <c r="C1074" s="37" t="inlineStr">
        <is>
          <t>WL-03418</t>
        </is>
      </c>
      <c r="D1074" s="37" t="n">
        <v>2418</v>
      </c>
      <c r="E1074" s="37" t="inlineStr">
        <is>
          <t>SB-0603</t>
        </is>
      </c>
      <c r="F1074" s="37" t="inlineStr">
        <is>
          <t>Salmonberry</t>
        </is>
      </c>
      <c r="G1074" s="37" t="n">
        <v>32</v>
      </c>
      <c r="H1074" s="37" t="inlineStr">
        <is>
          <t>OPEN</t>
        </is>
      </c>
      <c r="I1074" s="37" t="inlineStr">
        <is>
          <t>ACCEPTED</t>
        </is>
      </c>
    </row>
    <row r="1075">
      <c r="A1075" s="37" t="inlineStr">
        <is>
          <t>OFR-2025-1074</t>
        </is>
      </c>
      <c r="B1075" s="43" t="n">
        <v>45819</v>
      </c>
      <c r="C1075" s="37" t="inlineStr">
        <is>
          <t>WL-03090</t>
        </is>
      </c>
      <c r="D1075" s="37" t="n">
        <v>2090</v>
      </c>
      <c r="E1075" s="37" t="inlineStr">
        <is>
          <t>EW-0410</t>
        </is>
      </c>
      <c r="F1075" s="37" t="inlineStr">
        <is>
          <t>Eastwey</t>
        </is>
      </c>
      <c r="G1075" s="37" t="n">
        <v>32</v>
      </c>
      <c r="H1075" s="37" t="inlineStr">
        <is>
          <t>OPEN</t>
        </is>
      </c>
      <c r="I1075" s="37" t="inlineStr">
        <is>
          <t>DECLINED</t>
        </is>
      </c>
    </row>
    <row r="1076">
      <c r="A1076" s="37" t="inlineStr">
        <is>
          <t>OFR-2025-1075</t>
        </is>
      </c>
      <c r="B1076" s="43" t="n">
        <v>45826</v>
      </c>
      <c r="C1076" s="37" t="inlineStr">
        <is>
          <t>WL-01333</t>
        </is>
      </c>
      <c r="D1076" s="37" t="n">
        <v>333</v>
      </c>
      <c r="E1076" s="37" t="inlineStr">
        <is>
          <t>LP-0208</t>
        </is>
      </c>
      <c r="F1076" s="37" t="inlineStr">
        <is>
          <t>Ledgport</t>
        </is>
      </c>
      <c r="G1076" s="37" t="n">
        <v>32</v>
      </c>
      <c r="H1076" s="37" t="inlineStr">
        <is>
          <t>COVERED</t>
        </is>
      </c>
      <c r="I1076" s="37" t="inlineStr">
        <is>
          <t>SKIPPED</t>
        </is>
      </c>
      <c r="J1076" s="37" t="inlineStr">
        <is>
          <t>not-current</t>
        </is>
      </c>
    </row>
    <row r="1077">
      <c r="A1077" s="37" t="inlineStr">
        <is>
          <t>OFR-2025-1076</t>
        </is>
      </c>
      <c r="B1077" s="43" t="n">
        <v>45823</v>
      </c>
      <c r="C1077" s="37" t="inlineStr">
        <is>
          <t>WL-02698</t>
        </is>
      </c>
      <c r="D1077" s="37" t="n">
        <v>1698</v>
      </c>
      <c r="E1077" s="37" t="inlineStr">
        <is>
          <t>VB-0409</t>
        </is>
      </c>
      <c r="F1077" s="37" t="inlineStr">
        <is>
          <t>Vessbank</t>
        </is>
      </c>
      <c r="G1077" s="37" t="n">
        <v>32</v>
      </c>
      <c r="H1077" s="37" t="inlineStr">
        <is>
          <t>COVERED</t>
        </is>
      </c>
      <c r="I1077" s="37" t="inlineStr">
        <is>
          <t>SKIPPED</t>
        </is>
      </c>
      <c r="J1077" s="37" t="inlineStr">
        <is>
          <t>preference-mismatch</t>
        </is>
      </c>
    </row>
    <row r="1078">
      <c r="A1078" s="37" t="inlineStr">
        <is>
          <t>OFR-2025-1077</t>
        </is>
      </c>
      <c r="B1078" s="43" t="n">
        <v>45810</v>
      </c>
      <c r="C1078" s="37" t="inlineStr">
        <is>
          <t>WL-01667</t>
        </is>
      </c>
      <c r="D1078" s="37" t="n">
        <v>667</v>
      </c>
      <c r="E1078" s="37" t="inlineStr">
        <is>
          <t>LP-1116</t>
        </is>
      </c>
      <c r="F1078" s="37" t="inlineStr">
        <is>
          <t>Ledgport</t>
        </is>
      </c>
      <c r="G1078" s="37" t="n">
        <v>28</v>
      </c>
      <c r="H1078" s="37" t="inlineStr">
        <is>
          <t>COVERED</t>
        </is>
      </c>
      <c r="I1078" s="37" t="inlineStr">
        <is>
          <t>ACCEPTED</t>
        </is>
      </c>
    </row>
    <row r="1079">
      <c r="A1079" s="37" t="inlineStr">
        <is>
          <t>OFR-2025-1078</t>
        </is>
      </c>
      <c r="B1079" s="43" t="n">
        <v>45830</v>
      </c>
      <c r="C1079" s="37" t="inlineStr">
        <is>
          <t>WL-03206</t>
        </is>
      </c>
      <c r="D1079" s="37" t="n">
        <v>2206</v>
      </c>
      <c r="E1079" s="37" t="inlineStr">
        <is>
          <t>LP-0909</t>
        </is>
      </c>
      <c r="F1079" s="37" t="inlineStr">
        <is>
          <t>Ledgport</t>
        </is>
      </c>
      <c r="G1079" s="37" t="n">
        <v>24</v>
      </c>
      <c r="H1079" s="37" t="inlineStr">
        <is>
          <t>COVERED</t>
        </is>
      </c>
      <c r="I1079" s="37" t="inlineStr">
        <is>
          <t>ACCEPTED</t>
        </is>
      </c>
    </row>
    <row r="1080">
      <c r="A1080" s="37" t="inlineStr">
        <is>
          <t>OFR-2025-1079</t>
        </is>
      </c>
      <c r="B1080" s="43" t="n">
        <v>45810</v>
      </c>
      <c r="C1080" s="37" t="inlineStr">
        <is>
          <t>WL-03047</t>
        </is>
      </c>
      <c r="D1080" s="37" t="n">
        <v>2047</v>
      </c>
      <c r="E1080" s="37" t="inlineStr">
        <is>
          <t>EW-0415</t>
        </is>
      </c>
      <c r="F1080" s="37" t="inlineStr">
        <is>
          <t>Eastwey</t>
        </is>
      </c>
      <c r="G1080" s="37" t="n">
        <v>24</v>
      </c>
      <c r="H1080" s="37" t="inlineStr">
        <is>
          <t>OPEN</t>
        </is>
      </c>
      <c r="I1080" s="37" t="inlineStr">
        <is>
          <t>SKIPPED</t>
        </is>
      </c>
      <c r="J1080" s="37" t="inlineStr">
        <is>
          <t>preference-mismatch</t>
        </is>
      </c>
    </row>
    <row r="1081">
      <c r="A1081" s="37" t="inlineStr">
        <is>
          <t>OFR-2025-1080</t>
        </is>
      </c>
      <c r="B1081" s="43" t="n">
        <v>45820</v>
      </c>
      <c r="C1081" s="37" t="inlineStr">
        <is>
          <t>WL-03339</t>
        </is>
      </c>
      <c r="D1081" s="37" t="n">
        <v>2339</v>
      </c>
      <c r="E1081" s="37" t="inlineStr">
        <is>
          <t>EW-0210</t>
        </is>
      </c>
      <c r="F1081" s="37" t="inlineStr">
        <is>
          <t>Eastwey</t>
        </is>
      </c>
      <c r="G1081" s="37" t="n">
        <v>24</v>
      </c>
      <c r="H1081" s="37" t="inlineStr">
        <is>
          <t>OPEN</t>
        </is>
      </c>
      <c r="I1081" s="37" t="inlineStr">
        <is>
          <t>ACCEPTED</t>
        </is>
      </c>
    </row>
    <row r="1082">
      <c r="A1082" s="37" t="inlineStr">
        <is>
          <t>OFR-2025-1081</t>
        </is>
      </c>
      <c r="B1082" s="43" t="n">
        <v>45822</v>
      </c>
      <c r="C1082" s="37" t="inlineStr">
        <is>
          <t>WL-01151</t>
        </is>
      </c>
      <c r="D1082" s="37" t="n">
        <v>151</v>
      </c>
      <c r="E1082" s="37" t="inlineStr">
        <is>
          <t>SB-0804</t>
        </is>
      </c>
      <c r="F1082" s="37" t="inlineStr">
        <is>
          <t>Salmonberry</t>
        </is>
      </c>
      <c r="G1082" s="37" t="n">
        <v>24</v>
      </c>
      <c r="H1082" s="37" t="inlineStr">
        <is>
          <t>OPEN</t>
        </is>
      </c>
      <c r="I1082" s="37" t="inlineStr">
        <is>
          <t>SKIPPED</t>
        </is>
      </c>
      <c r="J1082" s="37" t="inlineStr">
        <is>
          <t>not-current</t>
        </is>
      </c>
    </row>
    <row r="1083">
      <c r="A1083" s="37" t="inlineStr">
        <is>
          <t>OFR-2025-1082</t>
        </is>
      </c>
      <c r="B1083" s="43" t="n">
        <v>45831</v>
      </c>
      <c r="C1083" s="37" t="inlineStr">
        <is>
          <t>WL-02079</t>
        </is>
      </c>
      <c r="D1083" s="37" t="n">
        <v>1079</v>
      </c>
      <c r="E1083" s="37" t="inlineStr">
        <is>
          <t>GW-0815</t>
        </is>
      </c>
      <c r="F1083" s="37" t="inlineStr">
        <is>
          <t>Gullwing</t>
        </is>
      </c>
      <c r="G1083" s="37" t="n">
        <v>32</v>
      </c>
      <c r="H1083" s="37" t="inlineStr">
        <is>
          <t>OPEN</t>
        </is>
      </c>
      <c r="I1083" s="37" t="inlineStr">
        <is>
          <t>ACCEPTED</t>
        </is>
      </c>
    </row>
    <row r="1084">
      <c r="A1084" s="37" t="inlineStr">
        <is>
          <t>OFR-2025-1083</t>
        </is>
      </c>
      <c r="B1084" s="43" t="n">
        <v>45809</v>
      </c>
      <c r="C1084" s="37" t="inlineStr">
        <is>
          <t>WL-01436</t>
        </is>
      </c>
      <c r="D1084" s="37" t="n">
        <v>436</v>
      </c>
      <c r="E1084" s="37" t="inlineStr">
        <is>
          <t>LP-0811</t>
        </is>
      </c>
      <c r="F1084" s="37" t="inlineStr">
        <is>
          <t>Ledgport</t>
        </is>
      </c>
      <c r="G1084" s="37" t="n">
        <v>36</v>
      </c>
      <c r="H1084" s="37" t="inlineStr">
        <is>
          <t>COVERED</t>
        </is>
      </c>
      <c r="I1084" s="37" t="inlineStr">
        <is>
          <t>EXPIRED</t>
        </is>
      </c>
    </row>
    <row r="1085">
      <c r="A1085" s="37" t="inlineStr">
        <is>
          <t>OFR-2025-1084</t>
        </is>
      </c>
      <c r="B1085" s="43" t="n">
        <v>45832</v>
      </c>
      <c r="C1085" s="37" t="inlineStr">
        <is>
          <t>WL-01518</t>
        </is>
      </c>
      <c r="D1085" s="37" t="n">
        <v>518</v>
      </c>
      <c r="E1085" s="37" t="inlineStr">
        <is>
          <t>VB-0702</t>
        </is>
      </c>
      <c r="F1085" s="37" t="inlineStr">
        <is>
          <t>Vessbank</t>
        </is>
      </c>
      <c r="G1085" s="37" t="n">
        <v>32</v>
      </c>
      <c r="H1085" s="37" t="inlineStr">
        <is>
          <t>COVERED</t>
        </is>
      </c>
      <c r="I1085" s="37" t="inlineStr">
        <is>
          <t>DECLINED</t>
        </is>
      </c>
    </row>
    <row r="1086">
      <c r="A1086" s="37" t="inlineStr">
        <is>
          <t>OFR-2025-1085</t>
        </is>
      </c>
      <c r="B1086" s="43" t="n">
        <v>45820</v>
      </c>
      <c r="C1086" s="37" t="inlineStr">
        <is>
          <t>WL-02290</t>
        </is>
      </c>
      <c r="D1086" s="37" t="n">
        <v>1290</v>
      </c>
      <c r="E1086" s="37" t="inlineStr">
        <is>
          <t>SB-0715</t>
        </is>
      </c>
      <c r="F1086" s="37" t="inlineStr">
        <is>
          <t>Salmonberry</t>
        </is>
      </c>
      <c r="G1086" s="37" t="n">
        <v>28</v>
      </c>
      <c r="H1086" s="37" t="inlineStr">
        <is>
          <t>OPEN</t>
        </is>
      </c>
      <c r="I1086" s="37" t="inlineStr">
        <is>
          <t>ACCEPTED</t>
        </is>
      </c>
    </row>
    <row r="1087">
      <c r="A1087" s="37" t="inlineStr">
        <is>
          <t>OFR-2025-1086</t>
        </is>
      </c>
      <c r="B1087" s="43" t="n">
        <v>45833</v>
      </c>
      <c r="C1087" s="37" t="inlineStr">
        <is>
          <t>WL-01738</t>
        </is>
      </c>
      <c r="D1087" s="37" t="n">
        <v>738</v>
      </c>
      <c r="E1087" s="37" t="inlineStr">
        <is>
          <t>GW-0713</t>
        </is>
      </c>
      <c r="F1087" s="37" t="inlineStr">
        <is>
          <t>Gullwing</t>
        </is>
      </c>
      <c r="G1087" s="37" t="n">
        <v>80</v>
      </c>
      <c r="H1087" s="37" t="inlineStr">
        <is>
          <t>OPEN</t>
        </is>
      </c>
      <c r="I1087" s="37" t="inlineStr">
        <is>
          <t>ACCEPTED</t>
        </is>
      </c>
    </row>
    <row r="1088">
      <c r="A1088" s="37" t="inlineStr">
        <is>
          <t>OFR-2025-1087</t>
        </is>
      </c>
      <c r="B1088" s="43" t="n">
        <v>45819</v>
      </c>
      <c r="C1088" s="37" t="inlineStr">
        <is>
          <t>WL-01759</t>
        </is>
      </c>
      <c r="D1088" s="37" t="n">
        <v>759</v>
      </c>
      <c r="E1088" s="37" t="inlineStr">
        <is>
          <t>EW-0120</t>
        </is>
      </c>
      <c r="F1088" s="37" t="inlineStr">
        <is>
          <t>Eastwey</t>
        </is>
      </c>
      <c r="G1088" s="37" t="n">
        <v>80</v>
      </c>
      <c r="H1088" s="37" t="inlineStr">
        <is>
          <t>OPEN</t>
        </is>
      </c>
      <c r="I1088" s="37" t="inlineStr">
        <is>
          <t>ACCEPTED</t>
        </is>
      </c>
    </row>
    <row r="1089">
      <c r="A1089" s="37" t="inlineStr">
        <is>
          <t>OFR-2025-1088</t>
        </is>
      </c>
      <c r="B1089" s="43" t="n">
        <v>45833</v>
      </c>
      <c r="C1089" s="37" t="inlineStr">
        <is>
          <t>WL-03578</t>
        </is>
      </c>
      <c r="D1089" s="37" t="n">
        <v>2578</v>
      </c>
      <c r="E1089" s="37" t="inlineStr">
        <is>
          <t>VB-1007</t>
        </is>
      </c>
      <c r="F1089" s="37" t="inlineStr">
        <is>
          <t>Vessbank</t>
        </is>
      </c>
      <c r="G1089" s="37" t="n">
        <v>36</v>
      </c>
      <c r="H1089" s="37" t="inlineStr">
        <is>
          <t>COVERED</t>
        </is>
      </c>
      <c r="I1089" s="37" t="inlineStr">
        <is>
          <t>ACCEPTED</t>
        </is>
      </c>
    </row>
    <row r="1090">
      <c r="A1090" s="37" t="inlineStr">
        <is>
          <t>OFR-2025-1089</t>
        </is>
      </c>
      <c r="B1090" s="43" t="n">
        <v>45826</v>
      </c>
      <c r="C1090" s="37" t="inlineStr">
        <is>
          <t>WL-03869</t>
        </is>
      </c>
      <c r="D1090" s="37" t="n">
        <v>2869</v>
      </c>
      <c r="E1090" s="37" t="inlineStr">
        <is>
          <t>LP-1108</t>
        </is>
      </c>
      <c r="F1090" s="37" t="inlineStr">
        <is>
          <t>Ledgport</t>
        </is>
      </c>
      <c r="G1090" s="37" t="n">
        <v>32</v>
      </c>
      <c r="H1090" s="37" t="inlineStr">
        <is>
          <t>COVERED</t>
        </is>
      </c>
      <c r="I1090" s="37" t="inlineStr">
        <is>
          <t>ACCEPTED</t>
        </is>
      </c>
    </row>
    <row r="1091">
      <c r="A1091" s="37" t="inlineStr">
        <is>
          <t>OFR-2025-1090</t>
        </is>
      </c>
      <c r="B1091" s="43" t="n">
        <v>45827</v>
      </c>
      <c r="C1091" s="37" t="inlineStr">
        <is>
          <t>WL-02314</t>
        </is>
      </c>
      <c r="D1091" s="37" t="n">
        <v>1314</v>
      </c>
      <c r="E1091" s="37" t="inlineStr">
        <is>
          <t>LP-0124</t>
        </is>
      </c>
      <c r="F1091" s="37" t="inlineStr">
        <is>
          <t>Ledgport</t>
        </is>
      </c>
      <c r="G1091" s="37" t="n">
        <v>28</v>
      </c>
      <c r="H1091" s="37" t="inlineStr">
        <is>
          <t>COVERED</t>
        </is>
      </c>
      <c r="I1091" s="37" t="inlineStr">
        <is>
          <t>SKIPPED</t>
        </is>
      </c>
      <c r="J1091" s="37" t="inlineStr">
        <is>
          <t>not-current</t>
        </is>
      </c>
    </row>
    <row r="1092">
      <c r="A1092" s="37" t="inlineStr">
        <is>
          <t>OFR-2025-1091</t>
        </is>
      </c>
      <c r="B1092" s="43" t="n">
        <v>45817</v>
      </c>
      <c r="C1092" s="37" t="inlineStr">
        <is>
          <t>WL-02356</t>
        </is>
      </c>
      <c r="D1092" s="37" t="n">
        <v>1356</v>
      </c>
      <c r="E1092" s="37" t="inlineStr">
        <is>
          <t>SB-0411</t>
        </is>
      </c>
      <c r="F1092" s="37" t="inlineStr">
        <is>
          <t>Salmonberry</t>
        </is>
      </c>
      <c r="G1092" s="37" t="n">
        <v>24</v>
      </c>
      <c r="H1092" s="37" t="inlineStr">
        <is>
          <t>OPEN</t>
        </is>
      </c>
      <c r="I1092" s="37" t="inlineStr">
        <is>
          <t>SKIPPED</t>
        </is>
      </c>
      <c r="J1092" s="37" t="inlineStr">
        <is>
          <t>preference-mismatch</t>
        </is>
      </c>
    </row>
    <row r="1093">
      <c r="A1093" s="37" t="inlineStr">
        <is>
          <t>OFR-2025-1092</t>
        </is>
      </c>
      <c r="B1093" s="43" t="n">
        <v>45834</v>
      </c>
      <c r="C1093" s="37" t="inlineStr">
        <is>
          <t>WL-03374</t>
        </is>
      </c>
      <c r="D1093" s="37" t="n">
        <v>2374</v>
      </c>
      <c r="E1093" s="37" t="inlineStr">
        <is>
          <t>VB-0919</t>
        </is>
      </c>
      <c r="F1093" s="37" t="inlineStr">
        <is>
          <t>Vessbank</t>
        </is>
      </c>
      <c r="G1093" s="37" t="n">
        <v>24</v>
      </c>
      <c r="H1093" s="37" t="inlineStr">
        <is>
          <t>COVERED</t>
        </is>
      </c>
      <c r="I1093" s="37" t="inlineStr">
        <is>
          <t>ACCEPTED</t>
        </is>
      </c>
    </row>
    <row r="1094">
      <c r="A1094" s="37" t="inlineStr">
        <is>
          <t>OFR-2025-1093</t>
        </is>
      </c>
      <c r="B1094" s="43" t="n">
        <v>45819</v>
      </c>
      <c r="C1094" s="37" t="inlineStr">
        <is>
          <t>WL-02826</t>
        </is>
      </c>
      <c r="D1094" s="37" t="n">
        <v>1826</v>
      </c>
      <c r="E1094" s="37" t="inlineStr">
        <is>
          <t>GW-0901</t>
        </is>
      </c>
      <c r="F1094" s="37" t="inlineStr">
        <is>
          <t>Gullwing</t>
        </is>
      </c>
      <c r="G1094" s="37" t="n">
        <v>24</v>
      </c>
      <c r="H1094" s="37" t="inlineStr">
        <is>
          <t>OPEN</t>
        </is>
      </c>
      <c r="I1094" s="37" t="inlineStr">
        <is>
          <t>PENDING</t>
        </is>
      </c>
    </row>
    <row r="1095">
      <c r="A1095" s="37" t="inlineStr">
        <is>
          <t>OFR-2025-1094</t>
        </is>
      </c>
      <c r="B1095" s="43" t="n">
        <v>45835</v>
      </c>
      <c r="C1095" s="37" t="inlineStr">
        <is>
          <t>WL-01899</t>
        </is>
      </c>
      <c r="D1095" s="37" t="n">
        <v>899</v>
      </c>
      <c r="E1095" s="37" t="inlineStr">
        <is>
          <t>VB-0419</t>
        </is>
      </c>
      <c r="F1095" s="37" t="inlineStr">
        <is>
          <t>Vessbank</t>
        </is>
      </c>
      <c r="G1095" s="37" t="n">
        <v>32</v>
      </c>
      <c r="H1095" s="37" t="inlineStr">
        <is>
          <t>COVERED</t>
        </is>
      </c>
      <c r="I1095" s="37" t="inlineStr">
        <is>
          <t>ACCEPTED</t>
        </is>
      </c>
    </row>
    <row r="1096">
      <c r="A1096" s="37" t="inlineStr">
        <is>
          <t>OFR-2025-1095</t>
        </is>
      </c>
      <c r="B1096" s="43" t="n">
        <v>45823</v>
      </c>
      <c r="C1096" s="37" t="inlineStr">
        <is>
          <t>WL-01831</t>
        </is>
      </c>
      <c r="D1096" s="37" t="n">
        <v>831</v>
      </c>
      <c r="E1096" s="37" t="inlineStr">
        <is>
          <t>SB-0101</t>
        </is>
      </c>
      <c r="F1096" s="37" t="inlineStr">
        <is>
          <t>Salmonberry</t>
        </is>
      </c>
      <c r="G1096" s="37" t="n">
        <v>70</v>
      </c>
      <c r="H1096" s="37" t="inlineStr">
        <is>
          <t>OPEN</t>
        </is>
      </c>
      <c r="I1096" s="37" t="inlineStr">
        <is>
          <t>DECLINED</t>
        </is>
      </c>
    </row>
    <row r="1097">
      <c r="A1097" s="37" t="inlineStr">
        <is>
          <t>OFR-2025-1096</t>
        </is>
      </c>
      <c r="B1097" s="43" t="n">
        <v>45830</v>
      </c>
      <c r="C1097" s="37" t="inlineStr">
        <is>
          <t>WL-01358</t>
        </is>
      </c>
      <c r="D1097" s="37" t="n">
        <v>358</v>
      </c>
      <c r="E1097" s="37" t="inlineStr">
        <is>
          <t>LP-0601</t>
        </is>
      </c>
      <c r="F1097" s="37" t="inlineStr">
        <is>
          <t>Ledgport</t>
        </is>
      </c>
      <c r="G1097" s="37" t="n">
        <v>24</v>
      </c>
      <c r="H1097" s="37" t="inlineStr">
        <is>
          <t>COVERED</t>
        </is>
      </c>
      <c r="I1097" s="37" t="inlineStr">
        <is>
          <t>ACCEPTED</t>
        </is>
      </c>
    </row>
    <row r="1098">
      <c r="A1098" s="37" t="inlineStr">
        <is>
          <t>OFR-2025-1097</t>
        </is>
      </c>
      <c r="B1098" s="43" t="n">
        <v>45834</v>
      </c>
      <c r="C1098" s="37" t="inlineStr">
        <is>
          <t>WL-02366</t>
        </is>
      </c>
      <c r="D1098" s="37" t="n">
        <v>1366</v>
      </c>
      <c r="E1098" s="37" t="inlineStr">
        <is>
          <t>SB-0814</t>
        </is>
      </c>
      <c r="F1098" s="37" t="inlineStr">
        <is>
          <t>Salmonberry</t>
        </is>
      </c>
      <c r="G1098" s="37" t="n">
        <v>28</v>
      </c>
      <c r="H1098" s="37" t="inlineStr">
        <is>
          <t>OPEN</t>
        </is>
      </c>
      <c r="I1098" s="37" t="inlineStr">
        <is>
          <t>ACCEPTED</t>
        </is>
      </c>
    </row>
    <row r="1099">
      <c r="A1099" s="37" t="inlineStr">
        <is>
          <t>OFR-2025-1098</t>
        </is>
      </c>
      <c r="B1099" s="43" t="n">
        <v>45810</v>
      </c>
      <c r="C1099" s="37" t="inlineStr">
        <is>
          <t>WL-02013</t>
        </is>
      </c>
      <c r="D1099" s="37" t="n">
        <v>1013</v>
      </c>
      <c r="E1099" s="37" t="inlineStr">
        <is>
          <t>LP-0901</t>
        </is>
      </c>
      <c r="F1099" s="37" t="inlineStr">
        <is>
          <t>Ledgport</t>
        </is>
      </c>
      <c r="G1099" s="37" t="n">
        <v>40</v>
      </c>
      <c r="H1099" s="37" t="inlineStr">
        <is>
          <t>COVERED</t>
        </is>
      </c>
      <c r="I1099" s="37" t="inlineStr">
        <is>
          <t>SKIPPED</t>
        </is>
      </c>
      <c r="J1099" s="37" t="inlineStr">
        <is>
          <t>not-current</t>
        </is>
      </c>
    </row>
    <row r="1100">
      <c r="A1100" s="37" t="inlineStr">
        <is>
          <t>OFR-2025-1099</t>
        </is>
      </c>
      <c r="B1100" s="43" t="n">
        <v>45813</v>
      </c>
      <c r="C1100" s="37" t="inlineStr">
        <is>
          <t>WL-03412</t>
        </is>
      </c>
      <c r="D1100" s="37" t="n">
        <v>2412</v>
      </c>
      <c r="E1100" s="37" t="inlineStr">
        <is>
          <t>VB-0721</t>
        </is>
      </c>
      <c r="F1100" s="37" t="inlineStr">
        <is>
          <t>Vessbank</t>
        </is>
      </c>
      <c r="G1100" s="37" t="n">
        <v>28</v>
      </c>
      <c r="H1100" s="37" t="inlineStr">
        <is>
          <t>COVERED</t>
        </is>
      </c>
      <c r="I1100" s="37" t="inlineStr">
        <is>
          <t>ACCEPTED</t>
        </is>
      </c>
    </row>
    <row r="1101">
      <c r="A1101" s="37" t="inlineStr">
        <is>
          <t>OFR-2025-1100</t>
        </is>
      </c>
      <c r="B1101" s="43" t="n">
        <v>45824</v>
      </c>
      <c r="C1101" s="37" t="inlineStr">
        <is>
          <t>WL-03069</t>
        </is>
      </c>
      <c r="D1101" s="37" t="n">
        <v>2069</v>
      </c>
      <c r="E1101" s="37" t="inlineStr">
        <is>
          <t>GW-0807</t>
        </is>
      </c>
      <c r="F1101" s="37" t="inlineStr">
        <is>
          <t>Gullwing</t>
        </is>
      </c>
      <c r="G1101" s="37" t="n">
        <v>45</v>
      </c>
      <c r="H1101" s="37" t="inlineStr">
        <is>
          <t>OPEN</t>
        </is>
      </c>
      <c r="I1101" s="37" t="inlineStr">
        <is>
          <t>DECLINED</t>
        </is>
      </c>
    </row>
    <row r="1102">
      <c r="A1102" s="37" t="inlineStr">
        <is>
          <t>OFR-2025-1101</t>
        </is>
      </c>
      <c r="B1102" s="43" t="n">
        <v>45848</v>
      </c>
      <c r="C1102" s="37" t="inlineStr">
        <is>
          <t>WL-01813</t>
        </is>
      </c>
      <c r="D1102" s="37" t="n">
        <v>813</v>
      </c>
      <c r="E1102" s="37" t="inlineStr">
        <is>
          <t>GW-0910</t>
        </is>
      </c>
      <c r="F1102" s="37" t="inlineStr">
        <is>
          <t>Gullwing</t>
        </is>
      </c>
      <c r="G1102" s="37" t="n">
        <v>50</v>
      </c>
      <c r="H1102" s="37" t="inlineStr">
        <is>
          <t>OPEN</t>
        </is>
      </c>
      <c r="I1102" s="37" t="inlineStr">
        <is>
          <t>SKIPPED</t>
        </is>
      </c>
      <c r="J1102" s="37" t="inlineStr">
        <is>
          <t>not-current</t>
        </is>
      </c>
    </row>
    <row r="1103">
      <c r="A1103" s="37" t="inlineStr">
        <is>
          <t>OFR-2025-1102</t>
        </is>
      </c>
      <c r="B1103" s="43" t="n">
        <v>45842</v>
      </c>
      <c r="C1103" s="37" t="inlineStr">
        <is>
          <t>WL-03440</t>
        </is>
      </c>
      <c r="D1103" s="37" t="n">
        <v>2440</v>
      </c>
      <c r="E1103" s="37" t="inlineStr">
        <is>
          <t>GW-0619</t>
        </is>
      </c>
      <c r="F1103" s="37" t="inlineStr">
        <is>
          <t>Gullwing</t>
        </is>
      </c>
      <c r="G1103" s="37" t="n">
        <v>45</v>
      </c>
      <c r="H1103" s="37" t="inlineStr">
        <is>
          <t>OPEN</t>
        </is>
      </c>
      <c r="I1103" s="37" t="inlineStr">
        <is>
          <t>ACCEPTED</t>
        </is>
      </c>
    </row>
    <row r="1104">
      <c r="A1104" s="37" t="inlineStr">
        <is>
          <t>OFR-2025-1103</t>
        </is>
      </c>
      <c r="B1104" s="43" t="n">
        <v>45843</v>
      </c>
      <c r="C1104" s="37" t="inlineStr">
        <is>
          <t>WL-03800</t>
        </is>
      </c>
      <c r="D1104" s="37" t="n">
        <v>2800</v>
      </c>
      <c r="E1104" s="37" t="inlineStr">
        <is>
          <t>EW-0713</t>
        </is>
      </c>
      <c r="F1104" s="37" t="inlineStr">
        <is>
          <t>Eastwey</t>
        </is>
      </c>
      <c r="G1104" s="37" t="n">
        <v>32</v>
      </c>
      <c r="H1104" s="37" t="inlineStr">
        <is>
          <t>OPEN</t>
        </is>
      </c>
      <c r="I1104" s="37" t="inlineStr">
        <is>
          <t>ACCEPTED</t>
        </is>
      </c>
    </row>
    <row r="1105">
      <c r="A1105" s="37" t="inlineStr">
        <is>
          <t>OFR-2025-1104</t>
        </is>
      </c>
      <c r="B1105" s="43" t="n">
        <v>45839</v>
      </c>
      <c r="C1105" s="37" t="inlineStr">
        <is>
          <t>WL-03606</t>
        </is>
      </c>
      <c r="D1105" s="37" t="n">
        <v>2606</v>
      </c>
      <c r="E1105" s="37" t="inlineStr">
        <is>
          <t>GW-0418</t>
        </is>
      </c>
      <c r="F1105" s="37" t="inlineStr">
        <is>
          <t>Gullwing</t>
        </is>
      </c>
      <c r="G1105" s="37" t="n">
        <v>24</v>
      </c>
      <c r="H1105" s="37" t="inlineStr">
        <is>
          <t>OPEN</t>
        </is>
      </c>
      <c r="I1105" s="37" t="inlineStr">
        <is>
          <t>ACCEPTED</t>
        </is>
      </c>
    </row>
    <row r="1106">
      <c r="A1106" s="37" t="inlineStr">
        <is>
          <t>OFR-2025-1105</t>
        </is>
      </c>
      <c r="B1106" s="43" t="n">
        <v>45844</v>
      </c>
      <c r="C1106" s="37" t="inlineStr">
        <is>
          <t>WL-03253</t>
        </is>
      </c>
      <c r="D1106" s="37" t="n">
        <v>2253</v>
      </c>
      <c r="E1106" s="37" t="inlineStr">
        <is>
          <t>VB-0922</t>
        </is>
      </c>
      <c r="F1106" s="37" t="inlineStr">
        <is>
          <t>Vessbank</t>
        </is>
      </c>
      <c r="G1106" s="37" t="n">
        <v>28</v>
      </c>
      <c r="H1106" s="37" t="inlineStr">
        <is>
          <t>COVERED</t>
        </is>
      </c>
      <c r="I1106" s="37" t="inlineStr">
        <is>
          <t>DECLINED</t>
        </is>
      </c>
    </row>
    <row r="1107">
      <c r="A1107" s="37" t="inlineStr">
        <is>
          <t>OFR-2025-1106</t>
        </is>
      </c>
      <c r="B1107" s="43" t="n">
        <v>45848</v>
      </c>
      <c r="C1107" s="37" t="inlineStr">
        <is>
          <t>WL-01645</t>
        </is>
      </c>
      <c r="D1107" s="37" t="n">
        <v>645</v>
      </c>
      <c r="E1107" s="37" t="inlineStr">
        <is>
          <t>EW-0704</t>
        </is>
      </c>
      <c r="F1107" s="37" t="inlineStr">
        <is>
          <t>Eastwey</t>
        </is>
      </c>
      <c r="G1107" s="37" t="n">
        <v>32</v>
      </c>
      <c r="H1107" s="37" t="inlineStr">
        <is>
          <t>OPEN</t>
        </is>
      </c>
      <c r="I1107" s="37" t="inlineStr">
        <is>
          <t>DECLINED</t>
        </is>
      </c>
    </row>
    <row r="1108">
      <c r="A1108" s="37" t="inlineStr">
        <is>
          <t>OFR-2025-1107</t>
        </is>
      </c>
      <c r="B1108" s="43" t="n">
        <v>45841</v>
      </c>
      <c r="C1108" s="37" t="inlineStr">
        <is>
          <t>WL-01337</t>
        </is>
      </c>
      <c r="D1108" s="37" t="n">
        <v>337</v>
      </c>
      <c r="E1108" s="37" t="inlineStr">
        <is>
          <t>EW-0623</t>
        </is>
      </c>
      <c r="F1108" s="37" t="inlineStr">
        <is>
          <t>Eastwey</t>
        </is>
      </c>
      <c r="G1108" s="37" t="n">
        <v>32</v>
      </c>
      <c r="H1108" s="37" t="inlineStr">
        <is>
          <t>OPEN</t>
        </is>
      </c>
      <c r="I1108" s="37" t="inlineStr">
        <is>
          <t>DECLINED</t>
        </is>
      </c>
    </row>
    <row r="1109">
      <c r="A1109" s="37" t="inlineStr">
        <is>
          <t>OFR-2025-1108</t>
        </is>
      </c>
      <c r="B1109" s="43" t="n">
        <v>45839</v>
      </c>
      <c r="C1109" s="37" t="inlineStr">
        <is>
          <t>WL-01052</t>
        </is>
      </c>
      <c r="D1109" s="37" t="n">
        <v>52</v>
      </c>
      <c r="E1109" s="37" t="inlineStr">
        <is>
          <t>SB-0909</t>
        </is>
      </c>
      <c r="F1109" s="37" t="inlineStr">
        <is>
          <t>Salmonberry</t>
        </is>
      </c>
      <c r="G1109" s="37" t="n">
        <v>24</v>
      </c>
      <c r="H1109" s="37" t="inlineStr">
        <is>
          <t>OPEN</t>
        </is>
      </c>
      <c r="I1109" s="37" t="inlineStr">
        <is>
          <t>ACCEPTED</t>
        </is>
      </c>
    </row>
    <row r="1110">
      <c r="A1110" s="37" t="inlineStr">
        <is>
          <t>OFR-2025-1109</t>
        </is>
      </c>
      <c r="B1110" s="43" t="n">
        <v>45842</v>
      </c>
      <c r="C1110" s="37" t="inlineStr">
        <is>
          <t>WL-02008</t>
        </is>
      </c>
      <c r="D1110" s="37" t="n">
        <v>1008</v>
      </c>
      <c r="E1110" s="37" t="inlineStr">
        <is>
          <t>SB-0621</t>
        </is>
      </c>
      <c r="F1110" s="37" t="inlineStr">
        <is>
          <t>Salmonberry</t>
        </is>
      </c>
      <c r="G1110" s="37" t="n">
        <v>32</v>
      </c>
      <c r="H1110" s="37" t="inlineStr">
        <is>
          <t>OPEN</t>
        </is>
      </c>
      <c r="I1110" s="37" t="inlineStr">
        <is>
          <t>ACCEPTED</t>
        </is>
      </c>
    </row>
    <row r="1111">
      <c r="A1111" s="37" t="inlineStr">
        <is>
          <t>OFR-2025-1110</t>
        </is>
      </c>
      <c r="B1111" s="43" t="n">
        <v>45851</v>
      </c>
      <c r="C1111" s="37" t="inlineStr">
        <is>
          <t>WL-03658</t>
        </is>
      </c>
      <c r="D1111" s="37" t="n">
        <v>2658</v>
      </c>
      <c r="E1111" s="37" t="inlineStr">
        <is>
          <t>LP-0910</t>
        </is>
      </c>
      <c r="F1111" s="37" t="inlineStr">
        <is>
          <t>Ledgport</t>
        </is>
      </c>
      <c r="G1111" s="37" t="n">
        <v>28</v>
      </c>
      <c r="H1111" s="37" t="inlineStr">
        <is>
          <t>COVERED</t>
        </is>
      </c>
      <c r="I1111" s="37" t="inlineStr">
        <is>
          <t>DECLINED</t>
        </is>
      </c>
    </row>
    <row r="1112">
      <c r="A1112" s="37" t="inlineStr">
        <is>
          <t>OFR-2025-1111</t>
        </is>
      </c>
      <c r="B1112" s="43" t="n">
        <v>45839</v>
      </c>
      <c r="C1112" s="37" t="inlineStr">
        <is>
          <t>WL-02982</t>
        </is>
      </c>
      <c r="D1112" s="37" t="n">
        <v>1982</v>
      </c>
      <c r="E1112" s="37" t="inlineStr">
        <is>
          <t>VB-0610</t>
        </is>
      </c>
      <c r="F1112" s="37" t="inlineStr">
        <is>
          <t>Vessbank</t>
        </is>
      </c>
      <c r="G1112" s="37" t="n">
        <v>32</v>
      </c>
      <c r="H1112" s="37" t="inlineStr">
        <is>
          <t>COVERED</t>
        </is>
      </c>
      <c r="I1112" s="37" t="inlineStr">
        <is>
          <t>ACCEPTED</t>
        </is>
      </c>
    </row>
    <row r="1113">
      <c r="A1113" s="37" t="inlineStr">
        <is>
          <t>OFR-2025-1112</t>
        </is>
      </c>
      <c r="B1113" s="43" t="n">
        <v>45861</v>
      </c>
      <c r="C1113" s="37" t="inlineStr">
        <is>
          <t>WL-03305</t>
        </is>
      </c>
      <c r="D1113" s="37" t="n">
        <v>2305</v>
      </c>
      <c r="E1113" s="37" t="inlineStr">
        <is>
          <t>EW-0815</t>
        </is>
      </c>
      <c r="F1113" s="37" t="inlineStr">
        <is>
          <t>Eastwey</t>
        </is>
      </c>
      <c r="G1113" s="37" t="n">
        <v>50</v>
      </c>
      <c r="H1113" s="37" t="inlineStr">
        <is>
          <t>OPEN</t>
        </is>
      </c>
      <c r="I1113" s="37" t="inlineStr">
        <is>
          <t>DECLINED</t>
        </is>
      </c>
    </row>
    <row r="1114">
      <c r="A1114" s="37" t="inlineStr">
        <is>
          <t>OFR-2025-1113</t>
        </is>
      </c>
      <c r="B1114" s="43" t="n">
        <v>45863</v>
      </c>
      <c r="C1114" s="37" t="inlineStr">
        <is>
          <t>WL-03227</t>
        </is>
      </c>
      <c r="D1114" s="37" t="n">
        <v>2227</v>
      </c>
      <c r="E1114" s="37" t="inlineStr">
        <is>
          <t>LP-0414</t>
        </is>
      </c>
      <c r="F1114" s="37" t="inlineStr">
        <is>
          <t>Ledgport</t>
        </is>
      </c>
      <c r="G1114" s="37" t="n">
        <v>40</v>
      </c>
      <c r="H1114" s="37" t="inlineStr">
        <is>
          <t>COVERED</t>
        </is>
      </c>
      <c r="I1114" s="37" t="inlineStr">
        <is>
          <t>SKIPPED</t>
        </is>
      </c>
      <c r="J1114" s="37" t="inlineStr">
        <is>
          <t>declined-prior-offer</t>
        </is>
      </c>
    </row>
    <row r="1115">
      <c r="A1115" s="37" t="inlineStr">
        <is>
          <t>OFR-2025-1114</t>
        </is>
      </c>
      <c r="B1115" s="43" t="n">
        <v>45840</v>
      </c>
      <c r="C1115" s="37" t="inlineStr">
        <is>
          <t>WL-02317</t>
        </is>
      </c>
      <c r="D1115" s="37" t="n">
        <v>1317</v>
      </c>
      <c r="E1115" s="37" t="inlineStr">
        <is>
          <t>EW-0409</t>
        </is>
      </c>
      <c r="F1115" s="37" t="inlineStr">
        <is>
          <t>Eastwey</t>
        </is>
      </c>
      <c r="G1115" s="37" t="n">
        <v>70</v>
      </c>
      <c r="H1115" s="37" t="inlineStr">
        <is>
          <t>OPEN</t>
        </is>
      </c>
      <c r="I1115" s="37" t="inlineStr">
        <is>
          <t>ACCEPTED</t>
        </is>
      </c>
    </row>
    <row r="1116">
      <c r="A1116" s="37" t="inlineStr">
        <is>
          <t>OFR-2025-1115</t>
        </is>
      </c>
      <c r="B1116" s="43" t="n">
        <v>45866</v>
      </c>
      <c r="C1116" s="37" t="inlineStr">
        <is>
          <t>WL-02198</t>
        </is>
      </c>
      <c r="D1116" s="37" t="n">
        <v>1198</v>
      </c>
      <c r="E1116" s="37" t="inlineStr">
        <is>
          <t>EW-0317</t>
        </is>
      </c>
      <c r="F1116" s="37" t="inlineStr">
        <is>
          <t>Eastwey</t>
        </is>
      </c>
      <c r="G1116" s="37" t="n">
        <v>36</v>
      </c>
      <c r="H1116" s="37" t="inlineStr">
        <is>
          <t>OPEN</t>
        </is>
      </c>
      <c r="I1116" s="37" t="inlineStr">
        <is>
          <t>ACCEPTED</t>
        </is>
      </c>
    </row>
    <row r="1117">
      <c r="A1117" s="37" t="inlineStr">
        <is>
          <t>OFR-2025-1116</t>
        </is>
      </c>
      <c r="B1117" s="43" t="n">
        <v>45865</v>
      </c>
      <c r="C1117" s="37" t="inlineStr">
        <is>
          <t>WL-03852</t>
        </is>
      </c>
      <c r="D1117" s="37" t="n">
        <v>2852</v>
      </c>
      <c r="E1117" s="37" t="inlineStr">
        <is>
          <t>GW-0706</t>
        </is>
      </c>
      <c r="F1117" s="37" t="inlineStr">
        <is>
          <t>Gullwing</t>
        </is>
      </c>
      <c r="G1117" s="37" t="n">
        <v>80</v>
      </c>
      <c r="H1117" s="37" t="inlineStr">
        <is>
          <t>OPEN</t>
        </is>
      </c>
      <c r="I1117" s="37" t="inlineStr">
        <is>
          <t>EXPIRED</t>
        </is>
      </c>
    </row>
    <row r="1118">
      <c r="A1118" s="37" t="inlineStr">
        <is>
          <t>OFR-2025-1117</t>
        </is>
      </c>
      <c r="B1118" s="43" t="n">
        <v>45844</v>
      </c>
      <c r="C1118" s="37" t="inlineStr">
        <is>
          <t>WL-02298</t>
        </is>
      </c>
      <c r="D1118" s="37" t="n">
        <v>1298</v>
      </c>
      <c r="E1118" s="37" t="inlineStr">
        <is>
          <t>GW-1017</t>
        </is>
      </c>
      <c r="F1118" s="37" t="inlineStr">
        <is>
          <t>Gullwing</t>
        </is>
      </c>
      <c r="G1118" s="37" t="n">
        <v>32</v>
      </c>
      <c r="H1118" s="37" t="inlineStr">
        <is>
          <t>OPEN</t>
        </is>
      </c>
      <c r="I1118" s="37" t="inlineStr">
        <is>
          <t>SKIPPED</t>
        </is>
      </c>
      <c r="J1118" s="37" t="inlineStr">
        <is>
          <t>vessel-fit</t>
        </is>
      </c>
    </row>
    <row r="1119">
      <c r="A1119" s="37" t="inlineStr">
        <is>
          <t>OFR-2025-1118</t>
        </is>
      </c>
      <c r="B1119" s="43" t="n">
        <v>45845</v>
      </c>
      <c r="C1119" s="37" t="inlineStr">
        <is>
          <t>WL-01008</t>
        </is>
      </c>
      <c r="D1119" s="37" t="n">
        <v>8</v>
      </c>
      <c r="E1119" s="37" t="inlineStr">
        <is>
          <t>GW-0412</t>
        </is>
      </c>
      <c r="F1119" s="37" t="inlineStr">
        <is>
          <t>Gullwing</t>
        </is>
      </c>
      <c r="G1119" s="37" t="n">
        <v>24</v>
      </c>
      <c r="H1119" s="37" t="inlineStr">
        <is>
          <t>OPEN</t>
        </is>
      </c>
      <c r="I1119" s="37" t="inlineStr">
        <is>
          <t>ACCEPTED</t>
        </is>
      </c>
    </row>
    <row r="1120">
      <c r="A1120" s="37" t="inlineStr">
        <is>
          <t>OFR-2025-1119</t>
        </is>
      </c>
      <c r="B1120" s="43" t="n">
        <v>45839</v>
      </c>
      <c r="C1120" s="37" t="inlineStr">
        <is>
          <t>WL-03582</t>
        </is>
      </c>
      <c r="D1120" s="37" t="n">
        <v>2582</v>
      </c>
      <c r="E1120" s="37" t="inlineStr">
        <is>
          <t>VB-0224</t>
        </is>
      </c>
      <c r="F1120" s="37" t="inlineStr">
        <is>
          <t>Vessbank</t>
        </is>
      </c>
      <c r="G1120" s="37" t="n">
        <v>28</v>
      </c>
      <c r="H1120" s="37" t="inlineStr">
        <is>
          <t>COVERED</t>
        </is>
      </c>
      <c r="I1120" s="37" t="inlineStr">
        <is>
          <t>DECLINED</t>
        </is>
      </c>
    </row>
    <row r="1121">
      <c r="A1121" s="37" t="inlineStr">
        <is>
          <t>OFR-2025-1120</t>
        </is>
      </c>
      <c r="B1121" s="43" t="n">
        <v>45866</v>
      </c>
      <c r="C1121" s="37" t="inlineStr">
        <is>
          <t>WL-01115</t>
        </is>
      </c>
      <c r="D1121" s="37" t="n">
        <v>115</v>
      </c>
      <c r="E1121" s="37" t="inlineStr">
        <is>
          <t>LP-1018</t>
        </is>
      </c>
      <c r="F1121" s="37" t="inlineStr">
        <is>
          <t>Ledgport</t>
        </is>
      </c>
      <c r="G1121" s="37" t="n">
        <v>32</v>
      </c>
      <c r="H1121" s="37" t="inlineStr">
        <is>
          <t>COVERED</t>
        </is>
      </c>
      <c r="I1121" s="37" t="inlineStr">
        <is>
          <t>DECLINED_RETAINER</t>
        </is>
      </c>
    </row>
    <row r="1122">
      <c r="A1122" s="37" t="inlineStr">
        <is>
          <t>OFR-2025-1121</t>
        </is>
      </c>
      <c r="B1122" s="43" t="n">
        <v>45843</v>
      </c>
      <c r="C1122" s="37" t="inlineStr">
        <is>
          <t>WL-02764</t>
        </is>
      </c>
      <c r="D1122" s="37" t="n">
        <v>1764</v>
      </c>
      <c r="E1122" s="37" t="inlineStr">
        <is>
          <t>SB-0723</t>
        </is>
      </c>
      <c r="F1122" s="37" t="inlineStr">
        <is>
          <t>Salmonberry</t>
        </is>
      </c>
      <c r="G1122" s="37" t="n">
        <v>24</v>
      </c>
      <c r="H1122" s="37" t="inlineStr">
        <is>
          <t>OPEN</t>
        </is>
      </c>
      <c r="I1122" s="37" t="inlineStr">
        <is>
          <t>WITHDRAWN</t>
        </is>
      </c>
    </row>
    <row r="1123">
      <c r="A1123" s="37" t="inlineStr">
        <is>
          <t>OFR-2025-1122</t>
        </is>
      </c>
      <c r="B1123" s="43" t="n">
        <v>45855</v>
      </c>
      <c r="C1123" s="37" t="inlineStr">
        <is>
          <t>WL-02891</t>
        </is>
      </c>
      <c r="D1123" s="37" t="n">
        <v>1891</v>
      </c>
      <c r="E1123" s="37" t="inlineStr">
        <is>
          <t>GW-0422</t>
        </is>
      </c>
      <c r="F1123" s="37" t="inlineStr">
        <is>
          <t>Gullwing</t>
        </is>
      </c>
      <c r="G1123" s="37" t="n">
        <v>80</v>
      </c>
      <c r="H1123" s="37" t="inlineStr">
        <is>
          <t>OPEN</t>
        </is>
      </c>
      <c r="I1123" s="37" t="inlineStr">
        <is>
          <t>ACCEPTED</t>
        </is>
      </c>
    </row>
    <row r="1124">
      <c r="A1124" s="37" t="inlineStr">
        <is>
          <t>OFR-2025-1123</t>
        </is>
      </c>
      <c r="B1124" s="43" t="n">
        <v>45850</v>
      </c>
      <c r="C1124" s="37" t="inlineStr">
        <is>
          <t>WL-03516</t>
        </is>
      </c>
      <c r="D1124" s="37" t="n">
        <v>2516</v>
      </c>
      <c r="E1124" s="37" t="inlineStr">
        <is>
          <t>VB-0209</t>
        </is>
      </c>
      <c r="F1124" s="37" t="inlineStr">
        <is>
          <t>Vessbank</t>
        </is>
      </c>
      <c r="G1124" s="37" t="n">
        <v>32</v>
      </c>
      <c r="H1124" s="37" t="inlineStr">
        <is>
          <t>COVERED</t>
        </is>
      </c>
      <c r="I1124" s="37" t="inlineStr">
        <is>
          <t>SKIPPED</t>
        </is>
      </c>
      <c r="J1124" s="37" t="inlineStr">
        <is>
          <t>preference-mismatch</t>
        </is>
      </c>
    </row>
    <row r="1125">
      <c r="A1125" s="37" t="inlineStr">
        <is>
          <t>OFR-2025-1124</t>
        </is>
      </c>
      <c r="B1125" s="43" t="n">
        <v>45849</v>
      </c>
      <c r="C1125" s="37" t="inlineStr">
        <is>
          <t>WL-03579</t>
        </is>
      </c>
      <c r="D1125" s="37" t="n">
        <v>2579</v>
      </c>
      <c r="E1125" s="37" t="inlineStr">
        <is>
          <t>LP-0816</t>
        </is>
      </c>
      <c r="F1125" s="37" t="inlineStr">
        <is>
          <t>Ledgport</t>
        </is>
      </c>
      <c r="G1125" s="37" t="n">
        <v>28</v>
      </c>
      <c r="H1125" s="37" t="inlineStr">
        <is>
          <t>COVERED</t>
        </is>
      </c>
      <c r="I1125" s="37" t="inlineStr">
        <is>
          <t>SKIPPED</t>
        </is>
      </c>
      <c r="J1125" s="37" t="inlineStr">
        <is>
          <t>declined-prior-offer</t>
        </is>
      </c>
    </row>
    <row r="1126">
      <c r="A1126" s="37" t="inlineStr">
        <is>
          <t>OFR-2025-1125</t>
        </is>
      </c>
      <c r="B1126" s="43" t="n">
        <v>45855</v>
      </c>
      <c r="C1126" s="37" t="inlineStr">
        <is>
          <t>WL-03248</t>
        </is>
      </c>
      <c r="D1126" s="37" t="n">
        <v>2248</v>
      </c>
      <c r="E1126" s="37" t="inlineStr">
        <is>
          <t>LP-0616</t>
        </is>
      </c>
      <c r="F1126" s="37" t="inlineStr">
        <is>
          <t>Ledgport</t>
        </is>
      </c>
      <c r="G1126" s="37" t="n">
        <v>24</v>
      </c>
      <c r="H1126" s="37" t="inlineStr">
        <is>
          <t>COVERED</t>
        </is>
      </c>
      <c r="I1126" s="37" t="inlineStr">
        <is>
          <t>SKIPPED</t>
        </is>
      </c>
      <c r="J1126" s="37" t="inlineStr">
        <is>
          <t>preference-mismatch</t>
        </is>
      </c>
    </row>
    <row r="1127">
      <c r="A1127" s="37" t="inlineStr">
        <is>
          <t>OFR-2025-1126</t>
        </is>
      </c>
      <c r="B1127" s="43" t="n">
        <v>45860</v>
      </c>
      <c r="C1127" s="37" t="inlineStr">
        <is>
          <t>WL-03526</t>
        </is>
      </c>
      <c r="D1127" s="37" t="n">
        <v>2526</v>
      </c>
      <c r="E1127" s="37" t="inlineStr">
        <is>
          <t>SB-0102</t>
        </is>
      </c>
      <c r="F1127" s="37" t="inlineStr">
        <is>
          <t>Salmonberry</t>
        </is>
      </c>
      <c r="G1127" s="37" t="n">
        <v>32</v>
      </c>
      <c r="H1127" s="37" t="inlineStr">
        <is>
          <t>OPEN</t>
        </is>
      </c>
      <c r="I1127" s="37" t="inlineStr">
        <is>
          <t>SKIPPED</t>
        </is>
      </c>
      <c r="J1127" s="37" t="inlineStr">
        <is>
          <t>preference-mismatch</t>
        </is>
      </c>
    </row>
    <row r="1128">
      <c r="A1128" s="37" t="inlineStr">
        <is>
          <t>OFR-2025-1127</t>
        </is>
      </c>
      <c r="B1128" s="43" t="n">
        <v>45851</v>
      </c>
      <c r="C1128" s="37" t="inlineStr">
        <is>
          <t>WL-03402</t>
        </is>
      </c>
      <c r="D1128" s="37" t="n">
        <v>2402</v>
      </c>
      <c r="E1128" s="37" t="inlineStr">
        <is>
          <t>SB-0516</t>
        </is>
      </c>
      <c r="F1128" s="37" t="inlineStr">
        <is>
          <t>Salmonberry</t>
        </is>
      </c>
      <c r="G1128" s="37" t="n">
        <v>60</v>
      </c>
      <c r="H1128" s="37" t="inlineStr">
        <is>
          <t>OPEN</t>
        </is>
      </c>
      <c r="I1128" s="37" t="inlineStr">
        <is>
          <t>DECLINED</t>
        </is>
      </c>
    </row>
    <row r="1129">
      <c r="A1129" s="37" t="inlineStr">
        <is>
          <t>OFR-2025-1128</t>
        </is>
      </c>
      <c r="B1129" s="43" t="n">
        <v>45840</v>
      </c>
      <c r="C1129" s="37" t="inlineStr">
        <is>
          <t>WL-01426</t>
        </is>
      </c>
      <c r="D1129" s="37" t="n">
        <v>426</v>
      </c>
      <c r="E1129" s="37" t="inlineStr">
        <is>
          <t>LP-0419</t>
        </is>
      </c>
      <c r="F1129" s="37" t="inlineStr">
        <is>
          <t>Ledgport</t>
        </is>
      </c>
      <c r="G1129" s="37" t="n">
        <v>24</v>
      </c>
      <c r="H1129" s="37" t="inlineStr">
        <is>
          <t>COVERED</t>
        </is>
      </c>
      <c r="I1129" s="37" t="inlineStr">
        <is>
          <t>ACCEPTED</t>
        </is>
      </c>
    </row>
    <row r="1130">
      <c r="A1130" s="37" t="inlineStr">
        <is>
          <t>OFR-2025-1129</t>
        </is>
      </c>
      <c r="B1130" s="43" t="n">
        <v>45866</v>
      </c>
      <c r="C1130" s="37" t="inlineStr">
        <is>
          <t>WL-03094</t>
        </is>
      </c>
      <c r="D1130" s="37" t="n">
        <v>2094</v>
      </c>
      <c r="E1130" s="37" t="inlineStr">
        <is>
          <t>GW-0103</t>
        </is>
      </c>
      <c r="F1130" s="37" t="inlineStr">
        <is>
          <t>Gullwing</t>
        </is>
      </c>
      <c r="G1130" s="37" t="n">
        <v>45</v>
      </c>
      <c r="H1130" s="37" t="inlineStr">
        <is>
          <t>OPEN</t>
        </is>
      </c>
      <c r="I1130" s="37" t="inlineStr">
        <is>
          <t>SKIPPED</t>
        </is>
      </c>
      <c r="J1130" s="37" t="inlineStr">
        <is>
          <t>not-current</t>
        </is>
      </c>
    </row>
    <row r="1131">
      <c r="A1131" s="37" t="inlineStr">
        <is>
          <t>OFR-2025-1130</t>
        </is>
      </c>
      <c r="B1131" s="43" t="n">
        <v>45881</v>
      </c>
      <c r="C1131" s="37" t="inlineStr">
        <is>
          <t>WL-02395</t>
        </is>
      </c>
      <c r="D1131" s="37" t="n">
        <v>1395</v>
      </c>
      <c r="E1131" s="37" t="inlineStr">
        <is>
          <t>LP-0207</t>
        </is>
      </c>
      <c r="F1131" s="37" t="inlineStr">
        <is>
          <t>Ledgport</t>
        </is>
      </c>
      <c r="G1131" s="37" t="n">
        <v>40</v>
      </c>
      <c r="H1131" s="37" t="inlineStr">
        <is>
          <t>COVERED</t>
        </is>
      </c>
      <c r="I1131" s="37" t="inlineStr">
        <is>
          <t>DECLINED</t>
        </is>
      </c>
    </row>
    <row r="1132">
      <c r="A1132" s="37" t="inlineStr">
        <is>
          <t>OFR-2025-1131</t>
        </is>
      </c>
      <c r="B1132" s="43" t="n">
        <v>45877</v>
      </c>
      <c r="C1132" s="37" t="inlineStr">
        <is>
          <t>WL-02124</t>
        </is>
      </c>
      <c r="D1132" s="37" t="n">
        <v>1124</v>
      </c>
      <c r="E1132" s="37" t="inlineStr">
        <is>
          <t>GW-0623</t>
        </is>
      </c>
      <c r="F1132" s="37" t="inlineStr">
        <is>
          <t>Gullwing</t>
        </is>
      </c>
      <c r="G1132" s="37" t="n">
        <v>70</v>
      </c>
      <c r="H1132" s="37" t="inlineStr">
        <is>
          <t>OPEN</t>
        </is>
      </c>
      <c r="I1132" s="37" t="inlineStr">
        <is>
          <t>ACCEPTED</t>
        </is>
      </c>
    </row>
    <row r="1133">
      <c r="A1133" s="37" t="inlineStr">
        <is>
          <t>OFR-2025-1132</t>
        </is>
      </c>
      <c r="B1133" s="43" t="n">
        <v>45895</v>
      </c>
      <c r="C1133" s="37" t="inlineStr">
        <is>
          <t>WL-01397</t>
        </is>
      </c>
      <c r="D1133" s="37" t="n">
        <v>397</v>
      </c>
      <c r="E1133" s="37" t="inlineStr">
        <is>
          <t>LP-0704</t>
        </is>
      </c>
      <c r="F1133" s="37" t="inlineStr">
        <is>
          <t>Ledgport</t>
        </is>
      </c>
      <c r="G1133" s="37" t="n">
        <v>28</v>
      </c>
      <c r="H1133" s="37" t="inlineStr">
        <is>
          <t>COVERED</t>
        </is>
      </c>
      <c r="I1133" s="37" t="inlineStr">
        <is>
          <t>ACCEPTED</t>
        </is>
      </c>
    </row>
    <row r="1134">
      <c r="A1134" s="37" t="inlineStr">
        <is>
          <t>OFR-2025-1133</t>
        </is>
      </c>
      <c r="B1134" s="43" t="n">
        <v>45888</v>
      </c>
      <c r="C1134" s="37" t="inlineStr">
        <is>
          <t>WL-01303</t>
        </is>
      </c>
      <c r="D1134" s="37" t="n">
        <v>303</v>
      </c>
      <c r="E1134" s="37" t="inlineStr">
        <is>
          <t>VB-0221</t>
        </is>
      </c>
      <c r="F1134" s="37" t="inlineStr">
        <is>
          <t>Vessbank</t>
        </is>
      </c>
      <c r="G1134" s="37" t="n">
        <v>24</v>
      </c>
      <c r="H1134" s="37" t="inlineStr">
        <is>
          <t>COVERED</t>
        </is>
      </c>
      <c r="I1134" s="37" t="inlineStr">
        <is>
          <t>ACCEPTED</t>
        </is>
      </c>
    </row>
    <row r="1135">
      <c r="A1135" s="37" t="inlineStr">
        <is>
          <t>OFR-2025-1134</t>
        </is>
      </c>
      <c r="B1135" s="43" t="n">
        <v>45895</v>
      </c>
      <c r="C1135" s="37" t="inlineStr">
        <is>
          <t>WL-02774</t>
        </is>
      </c>
      <c r="D1135" s="37" t="n">
        <v>1774</v>
      </c>
      <c r="E1135" s="37" t="inlineStr">
        <is>
          <t>LP-0208</t>
        </is>
      </c>
      <c r="F1135" s="37" t="inlineStr">
        <is>
          <t>Ledgport</t>
        </is>
      </c>
      <c r="G1135" s="37" t="n">
        <v>32</v>
      </c>
      <c r="H1135" s="37" t="inlineStr">
        <is>
          <t>COVERED</t>
        </is>
      </c>
      <c r="I1135" s="37" t="inlineStr">
        <is>
          <t>SKIPPED</t>
        </is>
      </c>
      <c r="J1135" s="37" t="inlineStr">
        <is>
          <t>declined-prior-offer</t>
        </is>
      </c>
    </row>
    <row r="1136">
      <c r="A1136" s="37" t="inlineStr">
        <is>
          <t>OFR-2025-1135</t>
        </is>
      </c>
      <c r="B1136" s="43" t="n">
        <v>45875</v>
      </c>
      <c r="C1136" s="37" t="inlineStr">
        <is>
          <t>WL-01084</t>
        </is>
      </c>
      <c r="D1136" s="37" t="n">
        <v>84</v>
      </c>
      <c r="E1136" s="37" t="inlineStr">
        <is>
          <t>VB-0508</t>
        </is>
      </c>
      <c r="F1136" s="37" t="inlineStr">
        <is>
          <t>Vessbank</t>
        </is>
      </c>
      <c r="G1136" s="37" t="n">
        <v>24</v>
      </c>
      <c r="H1136" s="37" t="inlineStr">
        <is>
          <t>COVERED</t>
        </is>
      </c>
      <c r="I1136" s="37" t="inlineStr">
        <is>
          <t>ACCEPTED</t>
        </is>
      </c>
    </row>
    <row r="1137">
      <c r="A1137" s="37" t="inlineStr">
        <is>
          <t>OFR-2025-1136</t>
        </is>
      </c>
      <c r="B1137" s="43" t="n">
        <v>45895</v>
      </c>
      <c r="C1137" s="37" t="inlineStr">
        <is>
          <t>WL-03311</t>
        </is>
      </c>
      <c r="D1137" s="37" t="n">
        <v>2311</v>
      </c>
      <c r="E1137" s="37" t="inlineStr">
        <is>
          <t>GW-0116</t>
        </is>
      </c>
      <c r="F1137" s="37" t="inlineStr">
        <is>
          <t>Gullwing</t>
        </is>
      </c>
      <c r="G1137" s="37" t="n">
        <v>32</v>
      </c>
      <c r="H1137" s="37" t="inlineStr">
        <is>
          <t>OPEN</t>
        </is>
      </c>
      <c r="I1137" s="37" t="inlineStr">
        <is>
          <t>SKIPPED</t>
        </is>
      </c>
      <c r="J1137" s="37" t="inlineStr">
        <is>
          <t>preference-mismatch</t>
        </is>
      </c>
    </row>
    <row r="1138">
      <c r="A1138" s="37" t="inlineStr">
        <is>
          <t>OFR-2025-1137</t>
        </is>
      </c>
      <c r="B1138" s="43" t="n">
        <v>45895</v>
      </c>
      <c r="C1138" s="37" t="inlineStr">
        <is>
          <t>WL-03355</t>
        </is>
      </c>
      <c r="D1138" s="37" t="n">
        <v>2355</v>
      </c>
      <c r="E1138" s="37" t="inlineStr">
        <is>
          <t>GW-0302</t>
        </is>
      </c>
      <c r="F1138" s="37" t="inlineStr">
        <is>
          <t>Gullwing</t>
        </is>
      </c>
      <c r="G1138" s="37" t="n">
        <v>28</v>
      </c>
      <c r="H1138" s="37" t="inlineStr">
        <is>
          <t>OPEN</t>
        </is>
      </c>
      <c r="I1138" s="37" t="inlineStr">
        <is>
          <t>ACCEPTED</t>
        </is>
      </c>
    </row>
    <row r="1139">
      <c r="A1139" s="37" t="inlineStr">
        <is>
          <t>OFR-2025-1138</t>
        </is>
      </c>
      <c r="B1139" s="43" t="n">
        <v>45887</v>
      </c>
      <c r="C1139" s="37" t="inlineStr">
        <is>
          <t>WL-01537</t>
        </is>
      </c>
      <c r="D1139" s="37" t="n">
        <v>537</v>
      </c>
      <c r="E1139" s="37" t="inlineStr">
        <is>
          <t>GW-0701</t>
        </is>
      </c>
      <c r="F1139" s="37" t="inlineStr">
        <is>
          <t>Gullwing</t>
        </is>
      </c>
      <c r="G1139" s="37" t="n">
        <v>80</v>
      </c>
      <c r="H1139" s="37" t="inlineStr">
        <is>
          <t>OPEN</t>
        </is>
      </c>
      <c r="I1139" s="37" t="inlineStr">
        <is>
          <t>SKIPPED</t>
        </is>
      </c>
      <c r="J1139" s="37" t="inlineStr">
        <is>
          <t>vessel-fit</t>
        </is>
      </c>
    </row>
    <row r="1140">
      <c r="A1140" s="37" t="inlineStr">
        <is>
          <t>OFR-2025-1139</t>
        </is>
      </c>
      <c r="B1140" s="43" t="n">
        <v>45895</v>
      </c>
      <c r="C1140" s="37" t="inlineStr">
        <is>
          <t>WL-01929</t>
        </is>
      </c>
      <c r="D1140" s="37" t="n">
        <v>929</v>
      </c>
      <c r="E1140" s="37" t="inlineStr">
        <is>
          <t>SB-0401</t>
        </is>
      </c>
      <c r="F1140" s="37" t="inlineStr">
        <is>
          <t>Salmonberry</t>
        </is>
      </c>
      <c r="G1140" s="37" t="n">
        <v>60</v>
      </c>
      <c r="H1140" s="37" t="inlineStr">
        <is>
          <t>OPEN</t>
        </is>
      </c>
      <c r="I1140" s="37" t="inlineStr">
        <is>
          <t>ACCEPTED</t>
        </is>
      </c>
    </row>
    <row r="1141">
      <c r="A1141" s="37" t="inlineStr">
        <is>
          <t>OFR-2025-1140</t>
        </is>
      </c>
      <c r="B1141" s="43" t="n">
        <v>45885</v>
      </c>
      <c r="C1141" s="37" t="inlineStr">
        <is>
          <t>WL-02081</t>
        </is>
      </c>
      <c r="D1141" s="37" t="n">
        <v>1081</v>
      </c>
      <c r="E1141" s="37" t="inlineStr">
        <is>
          <t>LP-0204</t>
        </is>
      </c>
      <c r="F1141" s="37" t="inlineStr">
        <is>
          <t>Ledgport</t>
        </is>
      </c>
      <c r="G1141" s="37" t="n">
        <v>28</v>
      </c>
      <c r="H1141" s="37" t="inlineStr">
        <is>
          <t>COVERED</t>
        </is>
      </c>
      <c r="I1141" s="37" t="inlineStr">
        <is>
          <t>ACCEPTED</t>
        </is>
      </c>
    </row>
    <row r="1142">
      <c r="A1142" s="37" t="inlineStr">
        <is>
          <t>OFR-2025-1141</t>
        </is>
      </c>
      <c r="B1142" s="43" t="n">
        <v>45889</v>
      </c>
      <c r="C1142" s="37" t="inlineStr">
        <is>
          <t>WL-02995</t>
        </is>
      </c>
      <c r="D1142" s="37" t="n">
        <v>1995</v>
      </c>
      <c r="E1142" s="37" t="inlineStr">
        <is>
          <t>EW-0814</t>
        </is>
      </c>
      <c r="F1142" s="37" t="inlineStr">
        <is>
          <t>Eastwey</t>
        </is>
      </c>
      <c r="G1142" s="37" t="n">
        <v>40</v>
      </c>
      <c r="H1142" s="37" t="inlineStr">
        <is>
          <t>OPEN</t>
        </is>
      </c>
      <c r="I1142" s="37" t="inlineStr">
        <is>
          <t>ACCEPTED</t>
        </is>
      </c>
    </row>
    <row r="1143">
      <c r="A1143" s="37" t="inlineStr">
        <is>
          <t>OFR-2025-1142</t>
        </is>
      </c>
      <c r="B1143" s="43" t="n">
        <v>45878</v>
      </c>
      <c r="C1143" s="37" t="inlineStr">
        <is>
          <t>WL-01030</t>
        </is>
      </c>
      <c r="D1143" s="37" t="n">
        <v>30</v>
      </c>
      <c r="E1143" s="37" t="inlineStr">
        <is>
          <t>LP-0513</t>
        </is>
      </c>
      <c r="F1143" s="37" t="inlineStr">
        <is>
          <t>Ledgport</t>
        </is>
      </c>
      <c r="G1143" s="37" t="n">
        <v>24</v>
      </c>
      <c r="H1143" s="37" t="inlineStr">
        <is>
          <t>COVERED</t>
        </is>
      </c>
      <c r="I1143" s="37" t="inlineStr">
        <is>
          <t>EXPIRED</t>
        </is>
      </c>
    </row>
    <row r="1144">
      <c r="A1144" s="37" t="inlineStr">
        <is>
          <t>OFR-2025-1143</t>
        </is>
      </c>
      <c r="B1144" s="43" t="n">
        <v>45895</v>
      </c>
      <c r="C1144" s="37" t="inlineStr">
        <is>
          <t>WL-01788</t>
        </is>
      </c>
      <c r="D1144" s="37" t="n">
        <v>788</v>
      </c>
      <c r="E1144" s="37" t="inlineStr">
        <is>
          <t>GW-0305</t>
        </is>
      </c>
      <c r="F1144" s="37" t="inlineStr">
        <is>
          <t>Gullwing</t>
        </is>
      </c>
      <c r="G1144" s="37" t="n">
        <v>80</v>
      </c>
      <c r="H1144" s="37" t="inlineStr">
        <is>
          <t>OPEN</t>
        </is>
      </c>
      <c r="I1144" s="37" t="inlineStr">
        <is>
          <t>SKIPPED</t>
        </is>
      </c>
      <c r="J1144" s="37" t="inlineStr">
        <is>
          <t>vessel-fit</t>
        </is>
      </c>
    </row>
    <row r="1145">
      <c r="A1145" s="37" t="inlineStr">
        <is>
          <t>OFR-2025-1144</t>
        </is>
      </c>
      <c r="B1145" s="43" t="n">
        <v>45880</v>
      </c>
      <c r="C1145" s="37" t="inlineStr">
        <is>
          <t>WL-03787</t>
        </is>
      </c>
      <c r="D1145" s="37" t="n">
        <v>2787</v>
      </c>
      <c r="E1145" s="37" t="inlineStr">
        <is>
          <t>SB-0616</t>
        </is>
      </c>
      <c r="F1145" s="37" t="inlineStr">
        <is>
          <t>Salmonberry</t>
        </is>
      </c>
      <c r="G1145" s="37" t="n">
        <v>24</v>
      </c>
      <c r="H1145" s="37" t="inlineStr">
        <is>
          <t>OPEN</t>
        </is>
      </c>
      <c r="I1145" s="37" t="inlineStr">
        <is>
          <t>ACCEPTED</t>
        </is>
      </c>
    </row>
    <row r="1146">
      <c r="A1146" s="37" t="inlineStr">
        <is>
          <t>OFR-2025-1145</t>
        </is>
      </c>
      <c r="B1146" s="43" t="n">
        <v>45888</v>
      </c>
      <c r="C1146" s="37" t="inlineStr">
        <is>
          <t>WL-03690</t>
        </is>
      </c>
      <c r="D1146" s="37" t="n">
        <v>2690</v>
      </c>
      <c r="E1146" s="37" t="inlineStr">
        <is>
          <t>VB-0517</t>
        </is>
      </c>
      <c r="F1146" s="37" t="inlineStr">
        <is>
          <t>Vessbank</t>
        </is>
      </c>
      <c r="G1146" s="37" t="n">
        <v>28</v>
      </c>
      <c r="H1146" s="37" t="inlineStr">
        <is>
          <t>COVERED</t>
        </is>
      </c>
      <c r="I1146" s="37" t="inlineStr">
        <is>
          <t>ACCEPTED</t>
        </is>
      </c>
    </row>
    <row r="1147">
      <c r="A1147" s="37" t="inlineStr">
        <is>
          <t>OFR-2025-1146</t>
        </is>
      </c>
      <c r="B1147" s="43" t="n">
        <v>45894</v>
      </c>
      <c r="C1147" s="37" t="inlineStr">
        <is>
          <t>WL-02763</t>
        </is>
      </c>
      <c r="D1147" s="37" t="n">
        <v>1763</v>
      </c>
      <c r="E1147" s="37" t="inlineStr">
        <is>
          <t>LP-0902</t>
        </is>
      </c>
      <c r="F1147" s="37" t="inlineStr">
        <is>
          <t>Ledgport</t>
        </is>
      </c>
      <c r="G1147" s="37" t="n">
        <v>32</v>
      </c>
      <c r="H1147" s="37" t="inlineStr">
        <is>
          <t>COVERED</t>
        </is>
      </c>
      <c r="I1147" s="37" t="inlineStr">
        <is>
          <t>DECLINED</t>
        </is>
      </c>
    </row>
    <row r="1148">
      <c r="A1148" s="37" t="inlineStr">
        <is>
          <t>OFR-2025-1147</t>
        </is>
      </c>
      <c r="B1148" s="43" t="n">
        <v>45891</v>
      </c>
      <c r="C1148" s="37" t="inlineStr">
        <is>
          <t>WL-01702</t>
        </is>
      </c>
      <c r="D1148" s="37" t="n">
        <v>702</v>
      </c>
      <c r="E1148" s="37" t="inlineStr">
        <is>
          <t>VB-1014</t>
        </is>
      </c>
      <c r="F1148" s="37" t="inlineStr">
        <is>
          <t>Vessbank</t>
        </is>
      </c>
      <c r="G1148" s="37" t="n">
        <v>36</v>
      </c>
      <c r="H1148" s="37" t="inlineStr">
        <is>
          <t>COVERED</t>
        </is>
      </c>
      <c r="I1148" s="37" t="inlineStr">
        <is>
          <t>SKIPPED</t>
        </is>
      </c>
      <c r="J1148" s="37" t="inlineStr">
        <is>
          <t>vessel-fit</t>
        </is>
      </c>
    </row>
    <row r="1149">
      <c r="A1149" s="37" t="inlineStr">
        <is>
          <t>OFR-2025-1148</t>
        </is>
      </c>
      <c r="B1149" s="43" t="n">
        <v>45883</v>
      </c>
      <c r="C1149" s="37" t="inlineStr">
        <is>
          <t>WL-02741</t>
        </is>
      </c>
      <c r="D1149" s="37" t="n">
        <v>1741</v>
      </c>
      <c r="E1149" s="37" t="inlineStr">
        <is>
          <t>EW-0112</t>
        </is>
      </c>
      <c r="F1149" s="37" t="inlineStr">
        <is>
          <t>Eastwey</t>
        </is>
      </c>
      <c r="G1149" s="37" t="n">
        <v>70</v>
      </c>
      <c r="H1149" s="37" t="inlineStr">
        <is>
          <t>OPEN</t>
        </is>
      </c>
      <c r="I1149" s="37" t="inlineStr">
        <is>
          <t>ACCEPTED</t>
        </is>
      </c>
    </row>
    <row r="1150">
      <c r="A1150" s="37" t="inlineStr">
        <is>
          <t>OFR-2025-1149</t>
        </is>
      </c>
      <c r="B1150" s="43" t="n">
        <v>45890</v>
      </c>
      <c r="C1150" s="37" t="inlineStr">
        <is>
          <t>WL-01797</t>
        </is>
      </c>
      <c r="D1150" s="37" t="n">
        <v>797</v>
      </c>
      <c r="E1150" s="37" t="inlineStr">
        <is>
          <t>GW-0915</t>
        </is>
      </c>
      <c r="F1150" s="37" t="inlineStr">
        <is>
          <t>Gullwing</t>
        </is>
      </c>
      <c r="G1150" s="37" t="n">
        <v>32</v>
      </c>
      <c r="H1150" s="37" t="inlineStr">
        <is>
          <t>OPEN</t>
        </is>
      </c>
      <c r="I1150" s="37" t="inlineStr">
        <is>
          <t>ACCEPTED</t>
        </is>
      </c>
    </row>
    <row r="1151">
      <c r="A1151" s="37" t="inlineStr">
        <is>
          <t>OFR-2025-1150</t>
        </is>
      </c>
      <c r="B1151" s="43" t="n">
        <v>45897</v>
      </c>
      <c r="C1151" s="37" t="inlineStr">
        <is>
          <t>WL-01360</t>
        </is>
      </c>
      <c r="D1151" s="37" t="n">
        <v>360</v>
      </c>
      <c r="E1151" s="37" t="inlineStr">
        <is>
          <t>SB-0618</t>
        </is>
      </c>
      <c r="F1151" s="37" t="inlineStr">
        <is>
          <t>Salmonberry</t>
        </is>
      </c>
      <c r="G1151" s="37" t="n">
        <v>32</v>
      </c>
      <c r="H1151" s="37" t="inlineStr">
        <is>
          <t>OPEN</t>
        </is>
      </c>
      <c r="I1151" s="37" t="inlineStr">
        <is>
          <t>ACCEPTED</t>
        </is>
      </c>
    </row>
    <row r="1152">
      <c r="A1152" s="37" t="inlineStr">
        <is>
          <t>OFR-2025-1151</t>
        </is>
      </c>
      <c r="B1152" s="43" t="n">
        <v>45870</v>
      </c>
      <c r="C1152" s="37" t="inlineStr">
        <is>
          <t>WL-03849</t>
        </is>
      </c>
      <c r="D1152" s="37" t="n">
        <v>2849</v>
      </c>
      <c r="E1152" s="37" t="inlineStr">
        <is>
          <t>EW-0201</t>
        </is>
      </c>
      <c r="F1152" s="37" t="inlineStr">
        <is>
          <t>Eastwey</t>
        </is>
      </c>
      <c r="G1152" s="37" t="n">
        <v>36</v>
      </c>
      <c r="H1152" s="37" t="inlineStr">
        <is>
          <t>OPEN</t>
        </is>
      </c>
      <c r="I1152" s="37" t="inlineStr">
        <is>
          <t>ACCEPTED</t>
        </is>
      </c>
    </row>
    <row r="1153">
      <c r="A1153" s="37" t="inlineStr">
        <is>
          <t>OFR-2025-1152</t>
        </is>
      </c>
      <c r="B1153" s="43" t="n">
        <v>45877</v>
      </c>
      <c r="C1153" s="37" t="inlineStr">
        <is>
          <t>WL-02481</t>
        </is>
      </c>
      <c r="D1153" s="37" t="n">
        <v>1481</v>
      </c>
      <c r="E1153" s="37" t="inlineStr">
        <is>
          <t>LP-0912</t>
        </is>
      </c>
      <c r="F1153" s="37" t="inlineStr">
        <is>
          <t>Ledgport</t>
        </is>
      </c>
      <c r="G1153" s="37" t="n">
        <v>32</v>
      </c>
      <c r="H1153" s="37" t="inlineStr">
        <is>
          <t>COVERED</t>
        </is>
      </c>
      <c r="I1153" s="37" t="inlineStr">
        <is>
          <t>ACCEPTED</t>
        </is>
      </c>
    </row>
    <row r="1154">
      <c r="A1154" s="37" t="inlineStr">
        <is>
          <t>OFR-2025-1153</t>
        </is>
      </c>
      <c r="B1154" s="43" t="n">
        <v>45879</v>
      </c>
      <c r="C1154" s="37" t="inlineStr">
        <is>
          <t>WL-02607</t>
        </is>
      </c>
      <c r="D1154" s="37" t="n">
        <v>1607</v>
      </c>
      <c r="E1154" s="37" t="inlineStr">
        <is>
          <t>LP-1024</t>
        </is>
      </c>
      <c r="F1154" s="37" t="inlineStr">
        <is>
          <t>Ledgport</t>
        </is>
      </c>
      <c r="G1154" s="37" t="n">
        <v>32</v>
      </c>
      <c r="H1154" s="37" t="inlineStr">
        <is>
          <t>COVERED</t>
        </is>
      </c>
      <c r="I1154" s="37" t="inlineStr">
        <is>
          <t>SKIPPED</t>
        </is>
      </c>
      <c r="J1154" s="37" t="inlineStr">
        <is>
          <t>vessel-fit</t>
        </is>
      </c>
    </row>
    <row r="1155">
      <c r="A1155" s="37" t="inlineStr">
        <is>
          <t>OFR-2025-1154</t>
        </is>
      </c>
      <c r="B1155" s="43" t="n">
        <v>45875</v>
      </c>
      <c r="C1155" s="37" t="inlineStr">
        <is>
          <t>WL-01003</t>
        </is>
      </c>
      <c r="D1155" s="37" t="n">
        <v>3</v>
      </c>
      <c r="E1155" s="37" t="inlineStr">
        <is>
          <t>VB-0721</t>
        </is>
      </c>
      <c r="F1155" s="37" t="inlineStr">
        <is>
          <t>Vessbank</t>
        </is>
      </c>
      <c r="G1155" s="37" t="n">
        <v>28</v>
      </c>
      <c r="H1155" s="37" t="inlineStr">
        <is>
          <t>COVERED</t>
        </is>
      </c>
      <c r="I1155" s="37" t="inlineStr">
        <is>
          <t>ACCEPTED</t>
        </is>
      </c>
    </row>
    <row r="1156">
      <c r="A1156" s="37" t="inlineStr">
        <is>
          <t>OFR-2025-1155</t>
        </is>
      </c>
      <c r="B1156" s="43" t="n">
        <v>45884</v>
      </c>
      <c r="C1156" s="37" t="inlineStr">
        <is>
          <t>WL-03314</t>
        </is>
      </c>
      <c r="D1156" s="37" t="n">
        <v>2314</v>
      </c>
      <c r="E1156" s="37" t="inlineStr">
        <is>
          <t>LP-0319</t>
        </is>
      </c>
      <c r="F1156" s="37" t="inlineStr">
        <is>
          <t>Ledgport</t>
        </is>
      </c>
      <c r="G1156" s="37" t="n">
        <v>32</v>
      </c>
      <c r="H1156" s="37" t="inlineStr">
        <is>
          <t>COVERED</t>
        </is>
      </c>
      <c r="I1156" s="37" t="inlineStr">
        <is>
          <t>SKIPPED</t>
        </is>
      </c>
      <c r="J1156" s="37" t="inlineStr">
        <is>
          <t>preference-mismatch</t>
        </is>
      </c>
    </row>
    <row r="1157">
      <c r="A1157" s="37" t="inlineStr">
        <is>
          <t>OFR-2025-1156</t>
        </is>
      </c>
      <c r="B1157" s="43" t="n">
        <v>45886</v>
      </c>
      <c r="C1157" s="37" t="inlineStr">
        <is>
          <t>WL-01891</t>
        </is>
      </c>
      <c r="D1157" s="37" t="n">
        <v>891</v>
      </c>
      <c r="E1157" s="37" t="inlineStr">
        <is>
          <t>EW-0302</t>
        </is>
      </c>
      <c r="F1157" s="37" t="inlineStr">
        <is>
          <t>Eastwey</t>
        </is>
      </c>
      <c r="G1157" s="37" t="n">
        <v>40</v>
      </c>
      <c r="H1157" s="37" t="inlineStr">
        <is>
          <t>OPEN</t>
        </is>
      </c>
      <c r="I1157" s="37" t="inlineStr">
        <is>
          <t>EXPIRED</t>
        </is>
      </c>
    </row>
    <row r="1158">
      <c r="A1158" s="37" t="inlineStr">
        <is>
          <t>OFR-2025-1157</t>
        </is>
      </c>
      <c r="B1158" s="43" t="n">
        <v>45883</v>
      </c>
      <c r="C1158" s="37" t="inlineStr">
        <is>
          <t>WL-03134</t>
        </is>
      </c>
      <c r="D1158" s="37" t="n">
        <v>2134</v>
      </c>
      <c r="E1158" s="37" t="inlineStr">
        <is>
          <t>SB-0624</t>
        </is>
      </c>
      <c r="F1158" s="37" t="inlineStr">
        <is>
          <t>Salmonberry</t>
        </is>
      </c>
      <c r="G1158" s="37" t="n">
        <v>24</v>
      </c>
      <c r="H1158" s="37" t="inlineStr">
        <is>
          <t>OPEN</t>
        </is>
      </c>
      <c r="I1158" s="37" t="inlineStr">
        <is>
          <t>SKIPPED</t>
        </is>
      </c>
      <c r="J1158" s="37" t="inlineStr">
        <is>
          <t>vessel-fit</t>
        </is>
      </c>
    </row>
    <row r="1159">
      <c r="A1159" s="37" t="inlineStr">
        <is>
          <t>OFR-2025-1158</t>
        </is>
      </c>
      <c r="B1159" s="43" t="n">
        <v>45897</v>
      </c>
      <c r="C1159" s="37" t="inlineStr">
        <is>
          <t>WL-02327</t>
        </is>
      </c>
      <c r="D1159" s="37" t="n">
        <v>1327</v>
      </c>
      <c r="E1159" s="37" t="inlineStr">
        <is>
          <t>GW-1012</t>
        </is>
      </c>
      <c r="F1159" s="37" t="inlineStr">
        <is>
          <t>Gullwing</t>
        </is>
      </c>
      <c r="G1159" s="37" t="n">
        <v>80</v>
      </c>
      <c r="H1159" s="37" t="inlineStr">
        <is>
          <t>OPEN</t>
        </is>
      </c>
      <c r="I1159" s="37" t="inlineStr">
        <is>
          <t>EXPIRED</t>
        </is>
      </c>
    </row>
    <row r="1160">
      <c r="A1160" s="37" t="inlineStr">
        <is>
          <t>OFR-2025-1159</t>
        </is>
      </c>
      <c r="B1160" s="43" t="n">
        <v>45877</v>
      </c>
      <c r="C1160" s="37" t="inlineStr">
        <is>
          <t>WL-02548</t>
        </is>
      </c>
      <c r="D1160" s="37" t="n">
        <v>1548</v>
      </c>
      <c r="E1160" s="37" t="inlineStr">
        <is>
          <t>GW-1023</t>
        </is>
      </c>
      <c r="F1160" s="37" t="inlineStr">
        <is>
          <t>Gullwing</t>
        </is>
      </c>
      <c r="G1160" s="37" t="n">
        <v>28</v>
      </c>
      <c r="H1160" s="37" t="inlineStr">
        <is>
          <t>OPEN</t>
        </is>
      </c>
      <c r="I1160" s="37" t="inlineStr">
        <is>
          <t>ACCEPTED</t>
        </is>
      </c>
    </row>
    <row r="1161">
      <c r="A1161" s="37" t="inlineStr">
        <is>
          <t>OFR-2025-1160</t>
        </is>
      </c>
      <c r="B1161" s="43" t="n">
        <v>45877</v>
      </c>
      <c r="C1161" s="37" t="inlineStr">
        <is>
          <t>WL-02912</t>
        </is>
      </c>
      <c r="D1161" s="37" t="n">
        <v>1912</v>
      </c>
      <c r="E1161" s="37" t="inlineStr">
        <is>
          <t>SB-0420</t>
        </is>
      </c>
      <c r="F1161" s="37" t="inlineStr">
        <is>
          <t>Salmonberry</t>
        </is>
      </c>
      <c r="G1161" s="37" t="n">
        <v>32</v>
      </c>
      <c r="H1161" s="37" t="inlineStr">
        <is>
          <t>OPEN</t>
        </is>
      </c>
      <c r="I1161" s="37" t="inlineStr">
        <is>
          <t>SKIPPED</t>
        </is>
      </c>
      <c r="J1161" s="37" t="inlineStr">
        <is>
          <t>preference-mismatch</t>
        </is>
      </c>
    </row>
    <row r="1162">
      <c r="A1162" s="37" t="inlineStr">
        <is>
          <t>OFR-2025-1161</t>
        </is>
      </c>
      <c r="B1162" s="43" t="n">
        <v>45875</v>
      </c>
      <c r="C1162" s="37" t="inlineStr">
        <is>
          <t>WL-01986</t>
        </is>
      </c>
      <c r="D1162" s="37" t="n">
        <v>986</v>
      </c>
      <c r="E1162" s="37" t="inlineStr">
        <is>
          <t>LP-0816</t>
        </is>
      </c>
      <c r="F1162" s="37" t="inlineStr">
        <is>
          <t>Ledgport</t>
        </is>
      </c>
      <c r="G1162" s="37" t="n">
        <v>28</v>
      </c>
      <c r="H1162" s="37" t="inlineStr">
        <is>
          <t>COVERED</t>
        </is>
      </c>
      <c r="I1162" s="37" t="inlineStr">
        <is>
          <t>ACCEPTED</t>
        </is>
      </c>
    </row>
    <row r="1163">
      <c r="A1163" s="37" t="inlineStr">
        <is>
          <t>OFR-2025-1162</t>
        </is>
      </c>
      <c r="B1163" s="43" t="n">
        <v>45888</v>
      </c>
      <c r="C1163" s="37" t="inlineStr">
        <is>
          <t>WL-01658</t>
        </is>
      </c>
      <c r="D1163" s="37" t="n">
        <v>658</v>
      </c>
      <c r="E1163" s="37" t="inlineStr">
        <is>
          <t>SB-0613</t>
        </is>
      </c>
      <c r="F1163" s="37" t="inlineStr">
        <is>
          <t>Salmonberry</t>
        </is>
      </c>
      <c r="G1163" s="37" t="n">
        <v>28</v>
      </c>
      <c r="H1163" s="37" t="inlineStr">
        <is>
          <t>OPEN</t>
        </is>
      </c>
      <c r="I1163" s="37" t="inlineStr">
        <is>
          <t>ACCEPTED</t>
        </is>
      </c>
    </row>
    <row r="1164">
      <c r="A1164" s="37" t="inlineStr">
        <is>
          <t>OFR-2025-1163</t>
        </is>
      </c>
      <c r="B1164" s="43" t="n">
        <v>45870</v>
      </c>
      <c r="C1164" s="37" t="inlineStr">
        <is>
          <t>WL-03658</t>
        </is>
      </c>
      <c r="D1164" s="37" t="n">
        <v>2658</v>
      </c>
      <c r="E1164" s="37" t="inlineStr">
        <is>
          <t>EW-0620</t>
        </is>
      </c>
      <c r="F1164" s="37" t="inlineStr">
        <is>
          <t>Eastwey</t>
        </is>
      </c>
      <c r="G1164" s="37" t="n">
        <v>70</v>
      </c>
      <c r="H1164" s="37" t="inlineStr">
        <is>
          <t>OPEN</t>
        </is>
      </c>
      <c r="I1164" s="37" t="inlineStr">
        <is>
          <t>ACCEPTED</t>
        </is>
      </c>
    </row>
    <row r="1165">
      <c r="A1165" s="37" t="inlineStr">
        <is>
          <t>OFR-2025-1164</t>
        </is>
      </c>
      <c r="B1165" s="43" t="n">
        <v>45874</v>
      </c>
      <c r="C1165" s="37" t="inlineStr">
        <is>
          <t>WL-02323</t>
        </is>
      </c>
      <c r="D1165" s="37" t="n">
        <v>1323</v>
      </c>
      <c r="E1165" s="37" t="inlineStr">
        <is>
          <t>EW-0118</t>
        </is>
      </c>
      <c r="F1165" s="37" t="inlineStr">
        <is>
          <t>Eastwey</t>
        </is>
      </c>
      <c r="G1165" s="37" t="n">
        <v>45</v>
      </c>
      <c r="H1165" s="37" t="inlineStr">
        <is>
          <t>OPEN</t>
        </is>
      </c>
      <c r="I1165" s="37" t="inlineStr">
        <is>
          <t>SKIPPED</t>
        </is>
      </c>
      <c r="J1165" s="37" t="inlineStr">
        <is>
          <t>not-current</t>
        </is>
      </c>
    </row>
    <row r="1166">
      <c r="A1166" s="37" t="inlineStr">
        <is>
          <t>OFR-2025-1165</t>
        </is>
      </c>
      <c r="B1166" s="43" t="n">
        <v>45872</v>
      </c>
      <c r="C1166" s="37" t="inlineStr">
        <is>
          <t>WL-03481</t>
        </is>
      </c>
      <c r="D1166" s="37" t="n">
        <v>2481</v>
      </c>
      <c r="E1166" s="37" t="inlineStr">
        <is>
          <t>GW-0915</t>
        </is>
      </c>
      <c r="F1166" s="37" t="inlineStr">
        <is>
          <t>Gullwing</t>
        </is>
      </c>
      <c r="G1166" s="37" t="n">
        <v>32</v>
      </c>
      <c r="H1166" s="37" t="inlineStr">
        <is>
          <t>OPEN</t>
        </is>
      </c>
      <c r="I1166" s="37" t="inlineStr">
        <is>
          <t>SKIPPED</t>
        </is>
      </c>
      <c r="J1166" s="37" t="inlineStr">
        <is>
          <t>vessel-fit</t>
        </is>
      </c>
    </row>
    <row r="1167">
      <c r="A1167" s="37" t="inlineStr">
        <is>
          <t>OFR-2025-1166</t>
        </is>
      </c>
      <c r="B1167" s="43" t="n">
        <v>45874</v>
      </c>
      <c r="C1167" s="37" t="inlineStr">
        <is>
          <t>WL-02866</t>
        </is>
      </c>
      <c r="D1167" s="37" t="n">
        <v>1866</v>
      </c>
      <c r="E1167" s="37" t="inlineStr">
        <is>
          <t>EW-0615</t>
        </is>
      </c>
      <c r="F1167" s="37" t="inlineStr">
        <is>
          <t>Eastwey</t>
        </is>
      </c>
      <c r="G1167" s="37" t="n">
        <v>45</v>
      </c>
      <c r="H1167" s="37" t="inlineStr">
        <is>
          <t>OPEN</t>
        </is>
      </c>
      <c r="I1167" s="37" t="inlineStr">
        <is>
          <t>ACCEPTED</t>
        </is>
      </c>
    </row>
    <row r="1168">
      <c r="A1168" s="37" t="inlineStr">
        <is>
          <t>OFR-2025-1167</t>
        </is>
      </c>
      <c r="B1168" s="43" t="n">
        <v>45897</v>
      </c>
      <c r="C1168" s="37" t="inlineStr">
        <is>
          <t>WL-02838</t>
        </is>
      </c>
      <c r="D1168" s="37" t="n">
        <v>1838</v>
      </c>
      <c r="E1168" s="37" t="inlineStr">
        <is>
          <t>LP-0413</t>
        </is>
      </c>
      <c r="F1168" s="37" t="inlineStr">
        <is>
          <t>Ledgport</t>
        </is>
      </c>
      <c r="G1168" s="37" t="n">
        <v>28</v>
      </c>
      <c r="H1168" s="37" t="inlineStr">
        <is>
          <t>COVERED</t>
        </is>
      </c>
      <c r="I1168" s="37" t="inlineStr">
        <is>
          <t>SKIPPED</t>
        </is>
      </c>
      <c r="J1168" s="37" t="inlineStr">
        <is>
          <t>declined-prior-offer</t>
        </is>
      </c>
    </row>
    <row r="1169">
      <c r="A1169" s="37" t="inlineStr">
        <is>
          <t>OFR-2025-1168</t>
        </is>
      </c>
      <c r="B1169" s="43" t="n">
        <v>45897</v>
      </c>
      <c r="C1169" s="37" t="inlineStr">
        <is>
          <t>WL-01617</t>
        </is>
      </c>
      <c r="D1169" s="37" t="n">
        <v>617</v>
      </c>
      <c r="E1169" s="37" t="inlineStr">
        <is>
          <t>VB-0813</t>
        </is>
      </c>
      <c r="F1169" s="37" t="inlineStr">
        <is>
          <t>Vessbank</t>
        </is>
      </c>
      <c r="G1169" s="37" t="n">
        <v>28</v>
      </c>
      <c r="H1169" s="37" t="inlineStr">
        <is>
          <t>COVERED</t>
        </is>
      </c>
      <c r="I1169" s="37" t="inlineStr">
        <is>
          <t>SKIPPED</t>
        </is>
      </c>
      <c r="J1169" s="37" t="inlineStr">
        <is>
          <t>vessel-fit</t>
        </is>
      </c>
    </row>
    <row r="1170">
      <c r="A1170" s="37" t="inlineStr">
        <is>
          <t>OFR-2025-1169</t>
        </is>
      </c>
      <c r="B1170" s="43" t="n">
        <v>45887</v>
      </c>
      <c r="C1170" s="37" t="inlineStr">
        <is>
          <t>WL-01624</t>
        </is>
      </c>
      <c r="D1170" s="37" t="n">
        <v>624</v>
      </c>
      <c r="E1170" s="37" t="inlineStr">
        <is>
          <t>VB-0307</t>
        </is>
      </c>
      <c r="F1170" s="37" t="inlineStr">
        <is>
          <t>Vessbank</t>
        </is>
      </c>
      <c r="G1170" s="37" t="n">
        <v>24</v>
      </c>
      <c r="H1170" s="37" t="inlineStr">
        <is>
          <t>COVERED</t>
        </is>
      </c>
      <c r="I1170" s="37" t="inlineStr">
        <is>
          <t>ACCEPTED</t>
        </is>
      </c>
    </row>
    <row r="1171">
      <c r="A1171" s="37" t="inlineStr">
        <is>
          <t>OFR-2025-1170</t>
        </is>
      </c>
      <c r="B1171" s="43" t="n">
        <v>45887</v>
      </c>
      <c r="C1171" s="37" t="inlineStr">
        <is>
          <t>WL-01843</t>
        </is>
      </c>
      <c r="D1171" s="37" t="n">
        <v>843</v>
      </c>
      <c r="E1171" s="37" t="inlineStr">
        <is>
          <t>LP-0824</t>
        </is>
      </c>
      <c r="F1171" s="37" t="inlineStr">
        <is>
          <t>Ledgport</t>
        </is>
      </c>
      <c r="G1171" s="37" t="n">
        <v>40</v>
      </c>
      <c r="H1171" s="37" t="inlineStr">
        <is>
          <t>COVERED</t>
        </is>
      </c>
      <c r="I1171" s="37" t="inlineStr">
        <is>
          <t>ACCEPTED</t>
        </is>
      </c>
    </row>
    <row r="1172">
      <c r="A1172" s="37" t="inlineStr">
        <is>
          <t>OFR-2025-1171</t>
        </is>
      </c>
      <c r="B1172" s="43" t="n">
        <v>45888</v>
      </c>
      <c r="C1172" s="37" t="inlineStr">
        <is>
          <t>WL-01843</t>
        </is>
      </c>
      <c r="D1172" s="37" t="n">
        <v>843</v>
      </c>
      <c r="E1172" s="37" t="inlineStr">
        <is>
          <t>SB-0109</t>
        </is>
      </c>
      <c r="F1172" s="37" t="inlineStr">
        <is>
          <t>Salmonberry</t>
        </is>
      </c>
      <c r="G1172" s="37" t="n">
        <v>32</v>
      </c>
      <c r="H1172" s="37" t="inlineStr">
        <is>
          <t>OPEN</t>
        </is>
      </c>
      <c r="I1172" s="37" t="inlineStr">
        <is>
          <t>SKIPPED</t>
        </is>
      </c>
      <c r="J1172" s="37" t="inlineStr">
        <is>
          <t>preference-mismatch</t>
        </is>
      </c>
    </row>
    <row r="1173">
      <c r="A1173" s="37" t="inlineStr">
        <is>
          <t>OFR-2025-1172</t>
        </is>
      </c>
      <c r="B1173" s="43" t="n">
        <v>45925</v>
      </c>
      <c r="C1173" s="37" t="inlineStr">
        <is>
          <t>WL-02812</t>
        </is>
      </c>
      <c r="D1173" s="37" t="n">
        <v>1812</v>
      </c>
      <c r="E1173" s="37" t="inlineStr">
        <is>
          <t>VB-0907</t>
        </is>
      </c>
      <c r="F1173" s="37" t="inlineStr">
        <is>
          <t>Vessbank</t>
        </is>
      </c>
      <c r="G1173" s="37" t="n">
        <v>28</v>
      </c>
      <c r="H1173" s="37" t="inlineStr">
        <is>
          <t>COVERED</t>
        </is>
      </c>
      <c r="I1173" s="37" t="inlineStr">
        <is>
          <t>ACCEPTED</t>
        </is>
      </c>
    </row>
    <row r="1174">
      <c r="A1174" s="37" t="inlineStr">
        <is>
          <t>OFR-2025-1173</t>
        </is>
      </c>
      <c r="B1174" s="43" t="n">
        <v>45910</v>
      </c>
      <c r="C1174" s="37" t="inlineStr">
        <is>
          <t>WL-03173</t>
        </is>
      </c>
      <c r="D1174" s="37" t="n">
        <v>2173</v>
      </c>
      <c r="E1174" s="37" t="inlineStr">
        <is>
          <t>EW-0820</t>
        </is>
      </c>
      <c r="F1174" s="37" t="inlineStr">
        <is>
          <t>Eastwey</t>
        </is>
      </c>
      <c r="G1174" s="37" t="n">
        <v>40</v>
      </c>
      <c r="H1174" s="37" t="inlineStr">
        <is>
          <t>OPEN</t>
        </is>
      </c>
      <c r="I1174" s="37" t="inlineStr">
        <is>
          <t>DECLINED</t>
        </is>
      </c>
    </row>
    <row r="1175">
      <c r="A1175" s="37" t="inlineStr">
        <is>
          <t>OFR-2025-1174</t>
        </is>
      </c>
      <c r="B1175" s="43" t="n">
        <v>45903</v>
      </c>
      <c r="C1175" s="37" t="inlineStr">
        <is>
          <t>WL-03297</t>
        </is>
      </c>
      <c r="D1175" s="37" t="n">
        <v>2297</v>
      </c>
      <c r="E1175" s="37" t="inlineStr">
        <is>
          <t>GW-0815</t>
        </is>
      </c>
      <c r="F1175" s="37" t="inlineStr">
        <is>
          <t>Gullwing</t>
        </is>
      </c>
      <c r="G1175" s="37" t="n">
        <v>32</v>
      </c>
      <c r="H1175" s="37" t="inlineStr">
        <is>
          <t>OPEN</t>
        </is>
      </c>
      <c r="I1175" s="37" t="inlineStr">
        <is>
          <t>ACCEPTED</t>
        </is>
      </c>
    </row>
    <row r="1176">
      <c r="A1176" s="37" t="inlineStr">
        <is>
          <t>OFR-2025-1175</t>
        </is>
      </c>
      <c r="B1176" s="43" t="n">
        <v>45903</v>
      </c>
      <c r="C1176" s="37" t="inlineStr">
        <is>
          <t>WL-01703</t>
        </is>
      </c>
      <c r="D1176" s="37" t="n">
        <v>703</v>
      </c>
      <c r="E1176" s="37" t="inlineStr">
        <is>
          <t>VB-0616</t>
        </is>
      </c>
      <c r="F1176" s="37" t="inlineStr">
        <is>
          <t>Vessbank</t>
        </is>
      </c>
      <c r="G1176" s="37" t="n">
        <v>24</v>
      </c>
      <c r="H1176" s="37" t="inlineStr">
        <is>
          <t>COVERED</t>
        </is>
      </c>
      <c r="I1176" s="37" t="inlineStr">
        <is>
          <t>ACCEPTED</t>
        </is>
      </c>
    </row>
    <row r="1177">
      <c r="A1177" s="37" t="inlineStr">
        <is>
          <t>OFR-2025-1176</t>
        </is>
      </c>
      <c r="B1177" s="43" t="n">
        <v>45923</v>
      </c>
      <c r="C1177" s="37" t="inlineStr">
        <is>
          <t>WL-02946</t>
        </is>
      </c>
      <c r="D1177" s="37" t="n">
        <v>1946</v>
      </c>
      <c r="E1177" s="37" t="inlineStr">
        <is>
          <t>GW-0421</t>
        </is>
      </c>
      <c r="F1177" s="37" t="inlineStr">
        <is>
          <t>Gullwing</t>
        </is>
      </c>
      <c r="G1177" s="37" t="n">
        <v>80</v>
      </c>
      <c r="H1177" s="37" t="inlineStr">
        <is>
          <t>OPEN</t>
        </is>
      </c>
      <c r="I1177" s="37" t="inlineStr">
        <is>
          <t>ACCEPTED</t>
        </is>
      </c>
    </row>
    <row r="1178">
      <c r="A1178" s="37" t="inlineStr">
        <is>
          <t>OFR-2025-1177</t>
        </is>
      </c>
      <c r="B1178" s="43" t="n">
        <v>45906</v>
      </c>
      <c r="C1178" s="37" t="inlineStr">
        <is>
          <t>WL-02729</t>
        </is>
      </c>
      <c r="D1178" s="37" t="n">
        <v>1729</v>
      </c>
      <c r="E1178" s="37" t="inlineStr">
        <is>
          <t>LP-0505</t>
        </is>
      </c>
      <c r="F1178" s="37" t="inlineStr">
        <is>
          <t>Ledgport</t>
        </is>
      </c>
      <c r="G1178" s="37" t="n">
        <v>28</v>
      </c>
      <c r="H1178" s="37" t="inlineStr">
        <is>
          <t>COVERED</t>
        </is>
      </c>
      <c r="I1178" s="37" t="inlineStr">
        <is>
          <t>ACCEPTED</t>
        </is>
      </c>
    </row>
    <row r="1179">
      <c r="A1179" s="37" t="inlineStr">
        <is>
          <t>OFR-2025-1178</t>
        </is>
      </c>
      <c r="B1179" s="43" t="n">
        <v>45907</v>
      </c>
      <c r="C1179" s="37" t="inlineStr">
        <is>
          <t>WL-03625</t>
        </is>
      </c>
      <c r="D1179" s="37" t="n">
        <v>2625</v>
      </c>
      <c r="E1179" s="37" t="inlineStr">
        <is>
          <t>GW-1021</t>
        </is>
      </c>
      <c r="F1179" s="37" t="inlineStr">
        <is>
          <t>Gullwing</t>
        </is>
      </c>
      <c r="G1179" s="37" t="n">
        <v>45</v>
      </c>
      <c r="H1179" s="37" t="inlineStr">
        <is>
          <t>OPEN</t>
        </is>
      </c>
      <c r="I1179" s="37" t="inlineStr">
        <is>
          <t>ACCEPTED</t>
        </is>
      </c>
    </row>
    <row r="1180">
      <c r="A1180" s="37" t="inlineStr">
        <is>
          <t>OFR-2025-1179</t>
        </is>
      </c>
      <c r="B1180" s="43" t="n">
        <v>45911</v>
      </c>
      <c r="C1180" s="37" t="inlineStr">
        <is>
          <t>WL-03905</t>
        </is>
      </c>
      <c r="D1180" s="37" t="n">
        <v>2905</v>
      </c>
      <c r="E1180" s="37" t="inlineStr">
        <is>
          <t>EW-0923</t>
        </is>
      </c>
      <c r="F1180" s="37" t="inlineStr">
        <is>
          <t>Eastwey</t>
        </is>
      </c>
      <c r="G1180" s="37" t="n">
        <v>32</v>
      </c>
      <c r="H1180" s="37" t="inlineStr">
        <is>
          <t>OPEN</t>
        </is>
      </c>
      <c r="I1180" s="37" t="inlineStr">
        <is>
          <t>DECLINED</t>
        </is>
      </c>
    </row>
    <row r="1181">
      <c r="A1181" s="37" t="inlineStr">
        <is>
          <t>OFR-2025-1180</t>
        </is>
      </c>
      <c r="B1181" s="43" t="n">
        <v>45911</v>
      </c>
      <c r="C1181" s="37" t="inlineStr">
        <is>
          <t>WL-03444</t>
        </is>
      </c>
      <c r="D1181" s="37" t="n">
        <v>2444</v>
      </c>
      <c r="E1181" s="37" t="inlineStr">
        <is>
          <t>LP-0409</t>
        </is>
      </c>
      <c r="F1181" s="37" t="inlineStr">
        <is>
          <t>Ledgport</t>
        </is>
      </c>
      <c r="G1181" s="37" t="n">
        <v>32</v>
      </c>
      <c r="H1181" s="37" t="inlineStr">
        <is>
          <t>COVERED</t>
        </is>
      </c>
      <c r="I1181" s="37" t="inlineStr">
        <is>
          <t>ACCEPTED</t>
        </is>
      </c>
    </row>
    <row r="1182">
      <c r="A1182" s="37" t="inlineStr">
        <is>
          <t>OFR-2025-1181</t>
        </is>
      </c>
      <c r="B1182" s="43" t="n">
        <v>45917</v>
      </c>
      <c r="C1182" s="37" t="inlineStr">
        <is>
          <t>WL-01715</t>
        </is>
      </c>
      <c r="D1182" s="37" t="n">
        <v>715</v>
      </c>
      <c r="E1182" s="37" t="inlineStr">
        <is>
          <t>GW-0216</t>
        </is>
      </c>
      <c r="F1182" s="37" t="inlineStr">
        <is>
          <t>Gullwing</t>
        </is>
      </c>
      <c r="G1182" s="37" t="n">
        <v>80</v>
      </c>
      <c r="H1182" s="37" t="inlineStr">
        <is>
          <t>OPEN</t>
        </is>
      </c>
      <c r="I1182" s="37" t="inlineStr">
        <is>
          <t>SKIPPED</t>
        </is>
      </c>
      <c r="J1182" s="37" t="inlineStr">
        <is>
          <t>vessel-fit</t>
        </is>
      </c>
    </row>
    <row r="1183">
      <c r="A1183" s="37" t="inlineStr">
        <is>
          <t>OFR-2025-1182</t>
        </is>
      </c>
      <c r="B1183" s="43" t="n">
        <v>45903</v>
      </c>
      <c r="C1183" s="37" t="inlineStr">
        <is>
          <t>WL-01334</t>
        </is>
      </c>
      <c r="D1183" s="37" t="n">
        <v>334</v>
      </c>
      <c r="E1183" s="37" t="inlineStr">
        <is>
          <t>LP-0514</t>
        </is>
      </c>
      <c r="F1183" s="37" t="inlineStr">
        <is>
          <t>Ledgport</t>
        </is>
      </c>
      <c r="G1183" s="37" t="n">
        <v>28</v>
      </c>
      <c r="H1183" s="37" t="inlineStr">
        <is>
          <t>COVERED</t>
        </is>
      </c>
      <c r="I1183" s="37" t="inlineStr">
        <is>
          <t>SKIPPED</t>
        </is>
      </c>
      <c r="J1183" s="37" t="inlineStr">
        <is>
          <t>not-current</t>
        </is>
      </c>
    </row>
    <row r="1184">
      <c r="A1184" s="37" t="inlineStr">
        <is>
          <t>OFR-2025-1183</t>
        </is>
      </c>
      <c r="B1184" s="43" t="n">
        <v>45905</v>
      </c>
      <c r="C1184" s="37" t="inlineStr">
        <is>
          <t>WL-03897</t>
        </is>
      </c>
      <c r="D1184" s="37" t="n">
        <v>2897</v>
      </c>
      <c r="E1184" s="37" t="inlineStr">
        <is>
          <t>SB-0416</t>
        </is>
      </c>
      <c r="F1184" s="37" t="inlineStr">
        <is>
          <t>Salmonberry</t>
        </is>
      </c>
      <c r="G1184" s="37" t="n">
        <v>28</v>
      </c>
      <c r="H1184" s="37" t="inlineStr">
        <is>
          <t>OPEN</t>
        </is>
      </c>
      <c r="I1184" s="37" t="inlineStr">
        <is>
          <t>ACCEPTED</t>
        </is>
      </c>
    </row>
    <row r="1185">
      <c r="A1185" s="37" t="inlineStr">
        <is>
          <t>OFR-2025-1184</t>
        </is>
      </c>
      <c r="B1185" s="43" t="n">
        <v>45911</v>
      </c>
      <c r="C1185" s="37" t="inlineStr">
        <is>
          <t>WL-02772</t>
        </is>
      </c>
      <c r="D1185" s="37" t="n">
        <v>1772</v>
      </c>
      <c r="E1185" s="37" t="inlineStr">
        <is>
          <t>GW-0404</t>
        </is>
      </c>
      <c r="F1185" s="37" t="inlineStr">
        <is>
          <t>Gullwing</t>
        </is>
      </c>
      <c r="G1185" s="37" t="n">
        <v>60</v>
      </c>
      <c r="H1185" s="37" t="inlineStr">
        <is>
          <t>OPEN</t>
        </is>
      </c>
      <c r="I1185" s="37" t="inlineStr">
        <is>
          <t>PENDING</t>
        </is>
      </c>
    </row>
    <row r="1186">
      <c r="A1186" s="37" t="inlineStr">
        <is>
          <t>OFR-2025-1185</t>
        </is>
      </c>
      <c r="B1186" s="43" t="n">
        <v>45917</v>
      </c>
      <c r="C1186" s="37" t="inlineStr">
        <is>
          <t>WL-02428</t>
        </is>
      </c>
      <c r="D1186" s="37" t="n">
        <v>1428</v>
      </c>
      <c r="E1186" s="37" t="inlineStr">
        <is>
          <t>SB-0109</t>
        </is>
      </c>
      <c r="F1186" s="37" t="inlineStr">
        <is>
          <t>Salmonberry</t>
        </is>
      </c>
      <c r="G1186" s="37" t="n">
        <v>32</v>
      </c>
      <c r="H1186" s="37" t="inlineStr">
        <is>
          <t>OPEN</t>
        </is>
      </c>
      <c r="I1186" s="37" t="inlineStr">
        <is>
          <t>SKIPPED</t>
        </is>
      </c>
      <c r="J1186" s="37" t="inlineStr">
        <is>
          <t>vessel-fit</t>
        </is>
      </c>
    </row>
    <row r="1187">
      <c r="A1187" s="37" t="inlineStr">
        <is>
          <t>OFR-2025-1186</t>
        </is>
      </c>
      <c r="B1187" s="43" t="n">
        <v>45909</v>
      </c>
      <c r="C1187" s="37" t="inlineStr">
        <is>
          <t>WL-03209</t>
        </is>
      </c>
      <c r="D1187" s="37" t="n">
        <v>2209</v>
      </c>
      <c r="E1187" s="37" t="inlineStr">
        <is>
          <t>SB-0718</t>
        </is>
      </c>
      <c r="F1187" s="37" t="inlineStr">
        <is>
          <t>Salmonberry</t>
        </is>
      </c>
      <c r="G1187" s="37" t="n">
        <v>80</v>
      </c>
      <c r="H1187" s="37" t="inlineStr">
        <is>
          <t>OPEN</t>
        </is>
      </c>
      <c r="I1187" s="37" t="inlineStr">
        <is>
          <t>ACCEPTED</t>
        </is>
      </c>
    </row>
    <row r="1188">
      <c r="A1188" s="37" t="inlineStr">
        <is>
          <t>OFR-2025-1187</t>
        </is>
      </c>
      <c r="B1188" s="43" t="n">
        <v>45904</v>
      </c>
      <c r="C1188" s="37" t="inlineStr">
        <is>
          <t>WL-02244</t>
        </is>
      </c>
      <c r="D1188" s="37" t="n">
        <v>1244</v>
      </c>
      <c r="E1188" s="37" t="inlineStr">
        <is>
          <t>GW-0507</t>
        </is>
      </c>
      <c r="F1188" s="37" t="inlineStr">
        <is>
          <t>Gullwing</t>
        </is>
      </c>
      <c r="G1188" s="37" t="n">
        <v>24</v>
      </c>
      <c r="H1188" s="37" t="inlineStr">
        <is>
          <t>OPEN</t>
        </is>
      </c>
      <c r="I1188" s="37" t="inlineStr">
        <is>
          <t>PENDING</t>
        </is>
      </c>
    </row>
    <row r="1189">
      <c r="A1189" s="37" t="inlineStr">
        <is>
          <t>OFR-2025-1188</t>
        </is>
      </c>
      <c r="B1189" s="43" t="n">
        <v>45922</v>
      </c>
      <c r="C1189" s="37" t="inlineStr">
        <is>
          <t>WL-03861</t>
        </is>
      </c>
      <c r="D1189" s="37" t="n">
        <v>2861</v>
      </c>
      <c r="E1189" s="37" t="inlineStr">
        <is>
          <t>VB-0123</t>
        </is>
      </c>
      <c r="F1189" s="37" t="inlineStr">
        <is>
          <t>Vessbank</t>
        </is>
      </c>
      <c r="G1189" s="37" t="n">
        <v>36</v>
      </c>
      <c r="H1189" s="37" t="inlineStr">
        <is>
          <t>COVERED</t>
        </is>
      </c>
      <c r="I1189" s="37" t="inlineStr">
        <is>
          <t>SKIPPED</t>
        </is>
      </c>
      <c r="J1189" s="37" t="inlineStr">
        <is>
          <t>not-current</t>
        </is>
      </c>
    </row>
    <row r="1190">
      <c r="A1190" s="37" t="inlineStr">
        <is>
          <t>OFR-2025-1189</t>
        </is>
      </c>
      <c r="B1190" s="43" t="n">
        <v>45920</v>
      </c>
      <c r="C1190" s="37" t="inlineStr">
        <is>
          <t>WL-02153</t>
        </is>
      </c>
      <c r="D1190" s="37" t="n">
        <v>1153</v>
      </c>
      <c r="E1190" s="37" t="inlineStr">
        <is>
          <t>LP-0113</t>
        </is>
      </c>
      <c r="F1190" s="37" t="inlineStr">
        <is>
          <t>Ledgport</t>
        </is>
      </c>
      <c r="G1190" s="37" t="n">
        <v>36</v>
      </c>
      <c r="H1190" s="37" t="inlineStr">
        <is>
          <t>COVERED</t>
        </is>
      </c>
      <c r="I1190" s="37" t="inlineStr">
        <is>
          <t>SKIPPED</t>
        </is>
      </c>
      <c r="J1190" s="37" t="inlineStr">
        <is>
          <t>preference-mismatch</t>
        </is>
      </c>
    </row>
    <row r="1191">
      <c r="A1191" s="37" t="inlineStr">
        <is>
          <t>OFR-2025-1190</t>
        </is>
      </c>
      <c r="B1191" s="43" t="n">
        <v>45916</v>
      </c>
      <c r="C1191" s="37" t="inlineStr">
        <is>
          <t>WL-03341</t>
        </is>
      </c>
      <c r="D1191" s="37" t="n">
        <v>2341</v>
      </c>
      <c r="E1191" s="37" t="inlineStr">
        <is>
          <t>SB-0222</t>
        </is>
      </c>
      <c r="F1191" s="37" t="inlineStr">
        <is>
          <t>Salmonberry</t>
        </is>
      </c>
      <c r="G1191" s="37" t="n">
        <v>32</v>
      </c>
      <c r="H1191" s="37" t="inlineStr">
        <is>
          <t>OPEN</t>
        </is>
      </c>
      <c r="I1191" s="37" t="inlineStr">
        <is>
          <t>ACCEPTED</t>
        </is>
      </c>
    </row>
    <row r="1192">
      <c r="A1192" s="37" t="inlineStr">
        <is>
          <t>OFR-2025-1191</t>
        </is>
      </c>
      <c r="B1192" s="43" t="n">
        <v>45915</v>
      </c>
      <c r="C1192" s="37" t="inlineStr">
        <is>
          <t>WL-02741</t>
        </is>
      </c>
      <c r="D1192" s="37" t="n">
        <v>1741</v>
      </c>
      <c r="E1192" s="37" t="inlineStr">
        <is>
          <t>EW-1005</t>
        </is>
      </c>
      <c r="F1192" s="37" t="inlineStr">
        <is>
          <t>Eastwey</t>
        </is>
      </c>
      <c r="G1192" s="37" t="n">
        <v>32</v>
      </c>
      <c r="H1192" s="37" t="inlineStr">
        <is>
          <t>OPEN</t>
        </is>
      </c>
      <c r="I1192" s="37" t="inlineStr">
        <is>
          <t>ACCEPTED</t>
        </is>
      </c>
    </row>
    <row r="1193">
      <c r="A1193" s="37" t="inlineStr">
        <is>
          <t>OFR-2025-1192</t>
        </is>
      </c>
      <c r="B1193" s="43" t="n">
        <v>45920</v>
      </c>
      <c r="C1193" s="37" t="inlineStr">
        <is>
          <t>WL-01466</t>
        </is>
      </c>
      <c r="D1193" s="37" t="n">
        <v>466</v>
      </c>
      <c r="E1193" s="37" t="inlineStr">
        <is>
          <t>EW-0910</t>
        </is>
      </c>
      <c r="F1193" s="37" t="inlineStr">
        <is>
          <t>Eastwey</t>
        </is>
      </c>
      <c r="G1193" s="37" t="n">
        <v>70</v>
      </c>
      <c r="H1193" s="37" t="inlineStr">
        <is>
          <t>OPEN</t>
        </is>
      </c>
      <c r="I1193" s="37" t="inlineStr">
        <is>
          <t>ACCEPTED</t>
        </is>
      </c>
    </row>
    <row r="1194">
      <c r="A1194" s="37" t="inlineStr">
        <is>
          <t>OFR-2025-1193</t>
        </is>
      </c>
      <c r="B1194" s="43" t="n">
        <v>45925</v>
      </c>
      <c r="C1194" s="37" t="inlineStr">
        <is>
          <t>WL-03259</t>
        </is>
      </c>
      <c r="D1194" s="37" t="n">
        <v>2259</v>
      </c>
      <c r="E1194" s="37" t="inlineStr">
        <is>
          <t>SB-0608</t>
        </is>
      </c>
      <c r="F1194" s="37" t="inlineStr">
        <is>
          <t>Salmonberry</t>
        </is>
      </c>
      <c r="G1194" s="37" t="n">
        <v>50</v>
      </c>
      <c r="H1194" s="37" t="inlineStr">
        <is>
          <t>OPEN</t>
        </is>
      </c>
      <c r="I1194" s="37" t="inlineStr">
        <is>
          <t>ACCEPTED</t>
        </is>
      </c>
    </row>
    <row r="1195">
      <c r="A1195" s="37" t="inlineStr">
        <is>
          <t>OFR-2025-1194</t>
        </is>
      </c>
      <c r="B1195" s="43" t="n">
        <v>45912</v>
      </c>
      <c r="C1195" s="37" t="inlineStr">
        <is>
          <t>WL-02686</t>
        </is>
      </c>
      <c r="D1195" s="37" t="n">
        <v>1686</v>
      </c>
      <c r="E1195" s="37" t="inlineStr">
        <is>
          <t>VB-1007</t>
        </is>
      </c>
      <c r="F1195" s="37" t="inlineStr">
        <is>
          <t>Vessbank</t>
        </is>
      </c>
      <c r="G1195" s="37" t="n">
        <v>36</v>
      </c>
      <c r="H1195" s="37" t="inlineStr">
        <is>
          <t>COVERED</t>
        </is>
      </c>
      <c r="I1195" s="37" t="inlineStr">
        <is>
          <t>PENDING</t>
        </is>
      </c>
    </row>
    <row r="1196">
      <c r="A1196" s="37" t="inlineStr">
        <is>
          <t>OFR-2025-1195</t>
        </is>
      </c>
      <c r="B1196" s="43" t="n">
        <v>45923</v>
      </c>
      <c r="C1196" s="37" t="inlineStr">
        <is>
          <t>WL-02445</t>
        </is>
      </c>
      <c r="D1196" s="37" t="n">
        <v>1445</v>
      </c>
      <c r="E1196" s="37" t="inlineStr">
        <is>
          <t>SB-0222</t>
        </is>
      </c>
      <c r="F1196" s="37" t="inlineStr">
        <is>
          <t>Salmonberry</t>
        </is>
      </c>
      <c r="G1196" s="37" t="n">
        <v>32</v>
      </c>
      <c r="H1196" s="37" t="inlineStr">
        <is>
          <t>OPEN</t>
        </is>
      </c>
      <c r="I1196" s="37" t="inlineStr">
        <is>
          <t>SKIPPED</t>
        </is>
      </c>
      <c r="J1196" s="37" t="inlineStr">
        <is>
          <t>vessel-fit</t>
        </is>
      </c>
    </row>
    <row r="1197">
      <c r="A1197" s="37" t="inlineStr">
        <is>
          <t>OFR-2025-1196</t>
        </is>
      </c>
      <c r="B1197" s="43" t="n">
        <v>45904</v>
      </c>
      <c r="C1197" s="37" t="inlineStr">
        <is>
          <t>WL-01986</t>
        </is>
      </c>
      <c r="D1197" s="37" t="n">
        <v>986</v>
      </c>
      <c r="E1197" s="37" t="inlineStr">
        <is>
          <t>SB-0603</t>
        </is>
      </c>
      <c r="F1197" s="37" t="inlineStr">
        <is>
          <t>Salmonberry</t>
        </is>
      </c>
      <c r="G1197" s="37" t="n">
        <v>32</v>
      </c>
      <c r="H1197" s="37" t="inlineStr">
        <is>
          <t>OPEN</t>
        </is>
      </c>
      <c r="I1197" s="37" t="inlineStr">
        <is>
          <t>ACCEPTED</t>
        </is>
      </c>
    </row>
    <row r="1198">
      <c r="A1198" s="37" t="inlineStr">
        <is>
          <t>OFR-2025-1197</t>
        </is>
      </c>
      <c r="B1198" s="43" t="n">
        <v>45919</v>
      </c>
      <c r="C1198" s="37" t="inlineStr">
        <is>
          <t>WL-02890</t>
        </is>
      </c>
      <c r="D1198" s="37" t="n">
        <v>1890</v>
      </c>
      <c r="E1198" s="37" t="inlineStr">
        <is>
          <t>EW-0716</t>
        </is>
      </c>
      <c r="F1198" s="37" t="inlineStr">
        <is>
          <t>Eastwey</t>
        </is>
      </c>
      <c r="G1198" s="37" t="n">
        <v>28</v>
      </c>
      <c r="H1198" s="37" t="inlineStr">
        <is>
          <t>OPEN</t>
        </is>
      </c>
      <c r="I1198" s="37" t="inlineStr">
        <is>
          <t>SKIPPED</t>
        </is>
      </c>
      <c r="J1198" s="37" t="inlineStr">
        <is>
          <t>not-current</t>
        </is>
      </c>
    </row>
    <row r="1199">
      <c r="A1199" s="37" t="inlineStr">
        <is>
          <t>OFR-2025-1198</t>
        </is>
      </c>
      <c r="B1199" s="43" t="n">
        <v>45914</v>
      </c>
      <c r="C1199" s="37" t="inlineStr">
        <is>
          <t>WL-03520</t>
        </is>
      </c>
      <c r="D1199" s="37" t="n">
        <v>2520</v>
      </c>
      <c r="E1199" s="37" t="inlineStr">
        <is>
          <t>LP-1117</t>
        </is>
      </c>
      <c r="F1199" s="37" t="inlineStr">
        <is>
          <t>Ledgport</t>
        </is>
      </c>
      <c r="G1199" s="37" t="n">
        <v>24</v>
      </c>
      <c r="H1199" s="37" t="inlineStr">
        <is>
          <t>COVERED</t>
        </is>
      </c>
      <c r="I1199" s="37" t="inlineStr">
        <is>
          <t>ACCEPTED</t>
        </is>
      </c>
    </row>
    <row r="1200">
      <c r="A1200" s="37" t="inlineStr">
        <is>
          <t>OFR-2025-1199</t>
        </is>
      </c>
      <c r="B1200" s="43" t="n">
        <v>45920</v>
      </c>
      <c r="C1200" s="37" t="inlineStr">
        <is>
          <t>WL-01913</t>
        </is>
      </c>
      <c r="D1200" s="37" t="n">
        <v>913</v>
      </c>
      <c r="E1200" s="37" t="inlineStr">
        <is>
          <t>EW-0819</t>
        </is>
      </c>
      <c r="F1200" s="37" t="inlineStr">
        <is>
          <t>Eastwey</t>
        </is>
      </c>
      <c r="G1200" s="37" t="n">
        <v>24</v>
      </c>
      <c r="H1200" s="37" t="inlineStr">
        <is>
          <t>OPEN</t>
        </is>
      </c>
      <c r="I1200" s="37" t="inlineStr">
        <is>
          <t>SKIPPED</t>
        </is>
      </c>
      <c r="J1200" s="37" t="inlineStr">
        <is>
          <t>preference-mismatch</t>
        </is>
      </c>
    </row>
    <row r="1201">
      <c r="A1201" s="37" t="inlineStr">
        <is>
          <t>OFR-2025-1200</t>
        </is>
      </c>
      <c r="B1201" s="43" t="n">
        <v>45927</v>
      </c>
      <c r="C1201" s="37" t="inlineStr">
        <is>
          <t>WL-01523</t>
        </is>
      </c>
      <c r="D1201" s="37" t="n">
        <v>523</v>
      </c>
      <c r="E1201" s="37" t="inlineStr">
        <is>
          <t>EW-0315</t>
        </is>
      </c>
      <c r="F1201" s="37" t="inlineStr">
        <is>
          <t>Eastwey</t>
        </is>
      </c>
      <c r="G1201" s="37" t="n">
        <v>24</v>
      </c>
      <c r="H1201" s="37" t="inlineStr">
        <is>
          <t>OPEN</t>
        </is>
      </c>
      <c r="I1201" s="37" t="inlineStr">
        <is>
          <t>ACCEPTED</t>
        </is>
      </c>
    </row>
    <row r="1202">
      <c r="A1202" s="37" t="inlineStr">
        <is>
          <t>OFR-2025-1201</t>
        </is>
      </c>
      <c r="B1202" s="43" t="n">
        <v>45909</v>
      </c>
      <c r="C1202" s="37" t="inlineStr">
        <is>
          <t>WL-02167</t>
        </is>
      </c>
      <c r="D1202" s="37" t="n">
        <v>1167</v>
      </c>
      <c r="E1202" s="37" t="inlineStr">
        <is>
          <t>VB-0304</t>
        </is>
      </c>
      <c r="F1202" s="37" t="inlineStr">
        <is>
          <t>Vessbank</t>
        </is>
      </c>
      <c r="G1202" s="37" t="n">
        <v>32</v>
      </c>
      <c r="H1202" s="37" t="inlineStr">
        <is>
          <t>COVERED</t>
        </is>
      </c>
      <c r="I1202" s="37" t="inlineStr">
        <is>
          <t>SKIPPED</t>
        </is>
      </c>
      <c r="J1202" s="37" t="inlineStr">
        <is>
          <t>vessel-fit</t>
        </is>
      </c>
    </row>
    <row r="1203">
      <c r="A1203" s="37" t="inlineStr">
        <is>
          <t>OFR-2025-1202</t>
        </is>
      </c>
      <c r="B1203" s="43" t="n">
        <v>45901</v>
      </c>
      <c r="C1203" s="37" t="inlineStr">
        <is>
          <t>WL-01822</t>
        </is>
      </c>
      <c r="D1203" s="37" t="n">
        <v>822</v>
      </c>
      <c r="E1203" s="37" t="inlineStr">
        <is>
          <t>GW-0906</t>
        </is>
      </c>
      <c r="F1203" s="37" t="inlineStr">
        <is>
          <t>Gullwing</t>
        </is>
      </c>
      <c r="G1203" s="37" t="n">
        <v>45</v>
      </c>
      <c r="H1203" s="37" t="inlineStr">
        <is>
          <t>OPEN</t>
        </is>
      </c>
      <c r="I1203" s="37" t="inlineStr">
        <is>
          <t>EXPIRED</t>
        </is>
      </c>
    </row>
    <row r="1204">
      <c r="A1204" s="37" t="inlineStr">
        <is>
          <t>OFR-2025-1203</t>
        </is>
      </c>
      <c r="B1204" s="43" t="n">
        <v>45904</v>
      </c>
      <c r="C1204" s="37" t="inlineStr">
        <is>
          <t>WL-01624</t>
        </is>
      </c>
      <c r="D1204" s="37" t="n">
        <v>624</v>
      </c>
      <c r="E1204" s="37" t="inlineStr">
        <is>
          <t>GW-0514</t>
        </is>
      </c>
      <c r="F1204" s="37" t="inlineStr">
        <is>
          <t>Gullwing</t>
        </is>
      </c>
      <c r="G1204" s="37" t="n">
        <v>40</v>
      </c>
      <c r="H1204" s="37" t="inlineStr">
        <is>
          <t>OPEN</t>
        </is>
      </c>
      <c r="I1204" s="37" t="inlineStr">
        <is>
          <t>ACCEPTED</t>
        </is>
      </c>
    </row>
    <row r="1205">
      <c r="A1205" s="37" t="inlineStr">
        <is>
          <t>OFR-2025-1204</t>
        </is>
      </c>
      <c r="B1205" s="43" t="n">
        <v>45911</v>
      </c>
      <c r="C1205" s="37" t="inlineStr">
        <is>
          <t>WL-03241</t>
        </is>
      </c>
      <c r="D1205" s="37" t="n">
        <v>2241</v>
      </c>
      <c r="E1205" s="37" t="inlineStr">
        <is>
          <t>EW-1005</t>
        </is>
      </c>
      <c r="F1205" s="37" t="inlineStr">
        <is>
          <t>Eastwey</t>
        </is>
      </c>
      <c r="G1205" s="37" t="n">
        <v>32</v>
      </c>
      <c r="H1205" s="37" t="inlineStr">
        <is>
          <t>OPEN</t>
        </is>
      </c>
      <c r="I1205" s="37" t="inlineStr">
        <is>
          <t>ACCEPTED</t>
        </is>
      </c>
    </row>
    <row r="1206">
      <c r="A1206" s="37" t="inlineStr">
        <is>
          <t>OFR-2025-1205</t>
        </is>
      </c>
      <c r="B1206" s="43" t="n">
        <v>45906</v>
      </c>
      <c r="C1206" s="37" t="inlineStr">
        <is>
          <t>WL-01127</t>
        </is>
      </c>
      <c r="D1206" s="37" t="n">
        <v>127</v>
      </c>
      <c r="E1206" s="37" t="inlineStr">
        <is>
          <t>VB-0218</t>
        </is>
      </c>
      <c r="F1206" s="37" t="inlineStr">
        <is>
          <t>Vessbank</t>
        </is>
      </c>
      <c r="G1206" s="37" t="n">
        <v>24</v>
      </c>
      <c r="H1206" s="37" t="inlineStr">
        <is>
          <t>COVERED</t>
        </is>
      </c>
      <c r="I1206" s="37" t="inlineStr">
        <is>
          <t>DECLINED</t>
        </is>
      </c>
    </row>
    <row r="1207">
      <c r="A1207" s="37" t="inlineStr">
        <is>
          <t>OFR-2025-1206</t>
        </is>
      </c>
      <c r="B1207" s="43" t="n">
        <v>45917</v>
      </c>
      <c r="C1207" s="37" t="inlineStr">
        <is>
          <t>WL-03548</t>
        </is>
      </c>
      <c r="D1207" s="37" t="n">
        <v>2548</v>
      </c>
      <c r="E1207" s="37" t="inlineStr">
        <is>
          <t>LP-0210</t>
        </is>
      </c>
      <c r="F1207" s="37" t="inlineStr">
        <is>
          <t>Ledgport</t>
        </is>
      </c>
      <c r="G1207" s="37" t="n">
        <v>40</v>
      </c>
      <c r="H1207" s="37" t="inlineStr">
        <is>
          <t>COVERED</t>
        </is>
      </c>
      <c r="I1207" s="37" t="inlineStr">
        <is>
          <t>DECLINED</t>
        </is>
      </c>
    </row>
    <row r="1208">
      <c r="A1208" s="37" t="inlineStr">
        <is>
          <t>OFR-2025-1207</t>
        </is>
      </c>
      <c r="B1208" s="43" t="n">
        <v>45911</v>
      </c>
      <c r="C1208" s="37" t="inlineStr">
        <is>
          <t>WL-03865</t>
        </is>
      </c>
      <c r="D1208" s="37" t="n">
        <v>2865</v>
      </c>
      <c r="E1208" s="37" t="inlineStr">
        <is>
          <t>SB-0106</t>
        </is>
      </c>
      <c r="F1208" s="37" t="inlineStr">
        <is>
          <t>Salmonberry</t>
        </is>
      </c>
      <c r="G1208" s="37" t="n">
        <v>28</v>
      </c>
      <c r="H1208" s="37" t="inlineStr">
        <is>
          <t>OPEN</t>
        </is>
      </c>
      <c r="I1208" s="37" t="inlineStr">
        <is>
          <t>SKIPPED</t>
        </is>
      </c>
      <c r="J1208" s="37" t="inlineStr">
        <is>
          <t>declined-prior-offer</t>
        </is>
      </c>
    </row>
    <row r="1209">
      <c r="A1209" s="37" t="inlineStr">
        <is>
          <t>OFR-2025-1208</t>
        </is>
      </c>
      <c r="B1209" s="43" t="n">
        <v>45905</v>
      </c>
      <c r="C1209" s="37" t="inlineStr">
        <is>
          <t>WL-02002</t>
        </is>
      </c>
      <c r="D1209" s="37" t="n">
        <v>1002</v>
      </c>
      <c r="E1209" s="37" t="inlineStr">
        <is>
          <t>LP-0822</t>
        </is>
      </c>
      <c r="F1209" s="37" t="inlineStr">
        <is>
          <t>Ledgport</t>
        </is>
      </c>
      <c r="G1209" s="37" t="n">
        <v>36</v>
      </c>
      <c r="H1209" s="37" t="inlineStr">
        <is>
          <t>COVERED</t>
        </is>
      </c>
      <c r="I1209" s="37" t="inlineStr">
        <is>
          <t>SKIPPED</t>
        </is>
      </c>
      <c r="J1209" s="37" t="inlineStr">
        <is>
          <t>not-current</t>
        </is>
      </c>
    </row>
    <row r="1210">
      <c r="A1210" s="37" t="inlineStr">
        <is>
          <t>OFR-2025-1209</t>
        </is>
      </c>
      <c r="B1210" s="43" t="n">
        <v>45905</v>
      </c>
      <c r="C1210" s="37" t="inlineStr">
        <is>
          <t>WL-03881</t>
        </is>
      </c>
      <c r="D1210" s="37" t="n">
        <v>2881</v>
      </c>
      <c r="E1210" s="37" t="inlineStr">
        <is>
          <t>EW-0424</t>
        </is>
      </c>
      <c r="F1210" s="37" t="inlineStr">
        <is>
          <t>Eastwey</t>
        </is>
      </c>
      <c r="G1210" s="37" t="n">
        <v>45</v>
      </c>
      <c r="H1210" s="37" t="inlineStr">
        <is>
          <t>OPEN</t>
        </is>
      </c>
      <c r="I1210" s="37" t="inlineStr">
        <is>
          <t>EXPIRED</t>
        </is>
      </c>
    </row>
    <row r="1211">
      <c r="A1211" s="37" t="inlineStr">
        <is>
          <t>OFR-2025-1210</t>
        </is>
      </c>
      <c r="B1211" s="43" t="n">
        <v>45925</v>
      </c>
      <c r="C1211" s="37" t="inlineStr">
        <is>
          <t>WL-01790</t>
        </is>
      </c>
      <c r="D1211" s="37" t="n">
        <v>790</v>
      </c>
      <c r="E1211" s="37" t="inlineStr">
        <is>
          <t>VB-0307</t>
        </is>
      </c>
      <c r="F1211" s="37" t="inlineStr">
        <is>
          <t>Vessbank</t>
        </is>
      </c>
      <c r="G1211" s="37" t="n">
        <v>24</v>
      </c>
      <c r="H1211" s="37" t="inlineStr">
        <is>
          <t>COVERED</t>
        </is>
      </c>
      <c r="I1211" s="37" t="inlineStr">
        <is>
          <t>ACCEPTED</t>
        </is>
      </c>
    </row>
    <row r="1212">
      <c r="A1212" s="37" t="inlineStr">
        <is>
          <t>OFR-2025-1211</t>
        </is>
      </c>
      <c r="B1212" s="43" t="n">
        <v>45917</v>
      </c>
      <c r="C1212" s="37" t="inlineStr">
        <is>
          <t>WL-03605</t>
        </is>
      </c>
      <c r="D1212" s="37" t="n">
        <v>2605</v>
      </c>
      <c r="E1212" s="37" t="inlineStr">
        <is>
          <t>VB-0823</t>
        </is>
      </c>
      <c r="F1212" s="37" t="inlineStr">
        <is>
          <t>Vessbank</t>
        </is>
      </c>
      <c r="G1212" s="37" t="n">
        <v>40</v>
      </c>
      <c r="H1212" s="37" t="inlineStr">
        <is>
          <t>COVERED</t>
        </is>
      </c>
      <c r="I1212" s="37" t="inlineStr">
        <is>
          <t>DECLINED</t>
        </is>
      </c>
    </row>
    <row r="1213">
      <c r="A1213" s="37" t="inlineStr">
        <is>
          <t>OFR-2025-1212</t>
        </is>
      </c>
      <c r="B1213" s="43" t="n">
        <v>45956</v>
      </c>
      <c r="C1213" s="37" t="inlineStr">
        <is>
          <t>WL-02284</t>
        </is>
      </c>
      <c r="D1213" s="37" t="n">
        <v>1284</v>
      </c>
      <c r="E1213" s="37" t="inlineStr">
        <is>
          <t>SB-0801</t>
        </is>
      </c>
      <c r="F1213" s="37" t="inlineStr">
        <is>
          <t>Salmonberry</t>
        </is>
      </c>
      <c r="G1213" s="37" t="n">
        <v>32</v>
      </c>
      <c r="H1213" s="37" t="inlineStr">
        <is>
          <t>OPEN</t>
        </is>
      </c>
      <c r="I1213" s="37" t="inlineStr">
        <is>
          <t>SKIPPED</t>
        </is>
      </c>
      <c r="J1213" s="37" t="inlineStr">
        <is>
          <t>vessel-fit</t>
        </is>
      </c>
    </row>
    <row r="1214">
      <c r="A1214" s="37" t="inlineStr">
        <is>
          <t>OFR-2025-1213</t>
        </is>
      </c>
      <c r="B1214" s="43" t="n">
        <v>45957</v>
      </c>
      <c r="C1214" s="37" t="inlineStr">
        <is>
          <t>WL-03415</t>
        </is>
      </c>
      <c r="D1214" s="37" t="n">
        <v>2415</v>
      </c>
      <c r="E1214" s="37" t="inlineStr">
        <is>
          <t>GW-0307</t>
        </is>
      </c>
      <c r="F1214" s="37" t="inlineStr">
        <is>
          <t>Gullwing</t>
        </is>
      </c>
      <c r="G1214" s="37" t="n">
        <v>32</v>
      </c>
      <c r="H1214" s="37" t="inlineStr">
        <is>
          <t>OPEN</t>
        </is>
      </c>
      <c r="I1214" s="37" t="inlineStr">
        <is>
          <t>ACCEPTED</t>
        </is>
      </c>
    </row>
    <row r="1215">
      <c r="A1215" s="37" t="inlineStr">
        <is>
          <t>OFR-2025-1214</t>
        </is>
      </c>
      <c r="B1215" s="43" t="n">
        <v>45935</v>
      </c>
      <c r="C1215" s="37" t="inlineStr">
        <is>
          <t>WL-02295</t>
        </is>
      </c>
      <c r="D1215" s="37" t="n">
        <v>1295</v>
      </c>
      <c r="E1215" s="37" t="inlineStr">
        <is>
          <t>LP-0605</t>
        </is>
      </c>
      <c r="F1215" s="37" t="inlineStr">
        <is>
          <t>Ledgport</t>
        </is>
      </c>
      <c r="G1215" s="37" t="n">
        <v>24</v>
      </c>
      <c r="H1215" s="37" t="inlineStr">
        <is>
          <t>COVERED</t>
        </is>
      </c>
      <c r="I1215" s="37" t="inlineStr">
        <is>
          <t>PENDING</t>
        </is>
      </c>
    </row>
    <row r="1216">
      <c r="A1216" s="37" t="inlineStr">
        <is>
          <t>OFR-2025-1215</t>
        </is>
      </c>
      <c r="B1216" s="43" t="n">
        <v>45958</v>
      </c>
      <c r="C1216" s="37" t="inlineStr">
        <is>
          <t>WL-02187</t>
        </is>
      </c>
      <c r="D1216" s="37" t="n">
        <v>1187</v>
      </c>
      <c r="E1216" s="37" t="inlineStr">
        <is>
          <t>SB-0806</t>
        </is>
      </c>
      <c r="F1216" s="37" t="inlineStr">
        <is>
          <t>Salmonberry</t>
        </is>
      </c>
      <c r="G1216" s="37" t="n">
        <v>28</v>
      </c>
      <c r="H1216" s="37" t="inlineStr">
        <is>
          <t>OPEN</t>
        </is>
      </c>
      <c r="I1216" s="37" t="inlineStr">
        <is>
          <t>SKIPPED</t>
        </is>
      </c>
      <c r="J1216" s="37" t="inlineStr">
        <is>
          <t>vessel-fit</t>
        </is>
      </c>
    </row>
    <row r="1217">
      <c r="A1217" s="37" t="inlineStr">
        <is>
          <t>OFR-2025-1216</t>
        </is>
      </c>
      <c r="B1217" s="43" t="n">
        <v>45949</v>
      </c>
      <c r="C1217" s="37" t="inlineStr">
        <is>
          <t>WL-02359</t>
        </is>
      </c>
      <c r="D1217" s="37" t="n">
        <v>1359</v>
      </c>
      <c r="E1217" s="37" t="inlineStr">
        <is>
          <t>VB-0201</t>
        </is>
      </c>
      <c r="F1217" s="37" t="inlineStr">
        <is>
          <t>Vessbank</t>
        </is>
      </c>
      <c r="G1217" s="37" t="n">
        <v>32</v>
      </c>
      <c r="H1217" s="37" t="inlineStr">
        <is>
          <t>COVERED</t>
        </is>
      </c>
      <c r="I1217" s="37" t="inlineStr">
        <is>
          <t>ACCEPTED</t>
        </is>
      </c>
    </row>
    <row r="1218">
      <c r="A1218" s="37" t="inlineStr">
        <is>
          <t>OFR-2025-1217</t>
        </is>
      </c>
      <c r="B1218" s="43" t="n">
        <v>45946</v>
      </c>
      <c r="C1218" s="37" t="inlineStr">
        <is>
          <t>WL-03056</t>
        </is>
      </c>
      <c r="D1218" s="37" t="n">
        <v>2056</v>
      </c>
      <c r="E1218" s="37" t="inlineStr">
        <is>
          <t>VB-0323</t>
        </is>
      </c>
      <c r="F1218" s="37" t="inlineStr">
        <is>
          <t>Vessbank</t>
        </is>
      </c>
      <c r="G1218" s="37" t="n">
        <v>40</v>
      </c>
      <c r="H1218" s="37" t="inlineStr">
        <is>
          <t>COVERED</t>
        </is>
      </c>
      <c r="I1218" s="37" t="inlineStr">
        <is>
          <t>EXPIRED</t>
        </is>
      </c>
    </row>
    <row r="1219">
      <c r="A1219" s="37" t="inlineStr">
        <is>
          <t>OFR-2025-1218</t>
        </is>
      </c>
      <c r="B1219" s="43" t="n">
        <v>45933</v>
      </c>
      <c r="C1219" s="37" t="inlineStr">
        <is>
          <t>WL-03750</t>
        </is>
      </c>
      <c r="D1219" s="37" t="n">
        <v>2750</v>
      </c>
      <c r="E1219" s="37" t="inlineStr">
        <is>
          <t>GW-0622</t>
        </is>
      </c>
      <c r="F1219" s="37" t="inlineStr">
        <is>
          <t>Gullwing</t>
        </is>
      </c>
      <c r="G1219" s="37" t="n">
        <v>60</v>
      </c>
      <c r="H1219" s="37" t="inlineStr">
        <is>
          <t>OPEN</t>
        </is>
      </c>
      <c r="I1219" s="37" t="inlineStr">
        <is>
          <t>SKIPPED</t>
        </is>
      </c>
      <c r="J1219" s="37" t="inlineStr">
        <is>
          <t>vessel-fit</t>
        </is>
      </c>
    </row>
    <row r="1220">
      <c r="A1220" s="37" t="inlineStr">
        <is>
          <t>OFR-2025-1219</t>
        </is>
      </c>
      <c r="B1220" s="43" t="n">
        <v>45956</v>
      </c>
      <c r="C1220" s="37" t="inlineStr">
        <is>
          <t>WL-03857</t>
        </is>
      </c>
      <c r="D1220" s="37" t="n">
        <v>2857</v>
      </c>
      <c r="E1220" s="37" t="inlineStr">
        <is>
          <t>LP-0705</t>
        </is>
      </c>
      <c r="F1220" s="37" t="inlineStr">
        <is>
          <t>Ledgport</t>
        </is>
      </c>
      <c r="G1220" s="37" t="n">
        <v>24</v>
      </c>
      <c r="H1220" s="37" t="inlineStr">
        <is>
          <t>COVERED</t>
        </is>
      </c>
      <c r="I1220" s="37" t="inlineStr">
        <is>
          <t>SKIPPED</t>
        </is>
      </c>
      <c r="J1220" s="37" t="inlineStr">
        <is>
          <t>not-current</t>
        </is>
      </c>
    </row>
    <row r="1221">
      <c r="A1221" s="37" t="inlineStr">
        <is>
          <t>OFR-2025-1220</t>
        </is>
      </c>
      <c r="B1221" s="43" t="n">
        <v>45957</v>
      </c>
      <c r="C1221" s="37" t="inlineStr">
        <is>
          <t>WL-01049</t>
        </is>
      </c>
      <c r="D1221" s="37" t="n">
        <v>49</v>
      </c>
      <c r="E1221" s="37" t="inlineStr">
        <is>
          <t>EW-0303</t>
        </is>
      </c>
      <c r="F1221" s="37" t="inlineStr">
        <is>
          <t>Eastwey</t>
        </is>
      </c>
      <c r="G1221" s="37" t="n">
        <v>40</v>
      </c>
      <c r="H1221" s="37" t="inlineStr">
        <is>
          <t>OPEN</t>
        </is>
      </c>
      <c r="I1221" s="37" t="inlineStr">
        <is>
          <t>ACCEPTED</t>
        </is>
      </c>
    </row>
    <row r="1222">
      <c r="A1222" s="37" t="inlineStr">
        <is>
          <t>OFR-2025-1221</t>
        </is>
      </c>
      <c r="B1222" s="43" t="n">
        <v>45942</v>
      </c>
      <c r="C1222" s="37" t="inlineStr">
        <is>
          <t>WL-03874</t>
        </is>
      </c>
      <c r="D1222" s="37" t="n">
        <v>2874</v>
      </c>
      <c r="E1222" s="37" t="inlineStr">
        <is>
          <t>LP-0207</t>
        </is>
      </c>
      <c r="F1222" s="37" t="inlineStr">
        <is>
          <t>Ledgport</t>
        </is>
      </c>
      <c r="G1222" s="37" t="n">
        <v>40</v>
      </c>
      <c r="H1222" s="37" t="inlineStr">
        <is>
          <t>COVERED</t>
        </is>
      </c>
      <c r="I1222" s="37" t="inlineStr">
        <is>
          <t>ACCEPTED</t>
        </is>
      </c>
    </row>
    <row r="1223">
      <c r="A1223" s="37" t="inlineStr">
        <is>
          <t>OFR-2025-1222</t>
        </is>
      </c>
      <c r="B1223" s="43" t="n">
        <v>45937</v>
      </c>
      <c r="C1223" s="37" t="inlineStr">
        <is>
          <t>WL-03614</t>
        </is>
      </c>
      <c r="D1223" s="37" t="n">
        <v>2614</v>
      </c>
      <c r="E1223" s="37" t="inlineStr">
        <is>
          <t>GW-0316</t>
        </is>
      </c>
      <c r="F1223" s="37" t="inlineStr">
        <is>
          <t>Gullwing</t>
        </is>
      </c>
      <c r="G1223" s="37" t="n">
        <v>32</v>
      </c>
      <c r="H1223" s="37" t="inlineStr">
        <is>
          <t>OPEN</t>
        </is>
      </c>
      <c r="I1223" s="37" t="inlineStr">
        <is>
          <t>EXPIRED</t>
        </is>
      </c>
    </row>
    <row r="1224">
      <c r="A1224" s="37" t="inlineStr">
        <is>
          <t>OFR-2025-1223</t>
        </is>
      </c>
      <c r="B1224" s="43" t="n">
        <v>45955</v>
      </c>
      <c r="C1224" s="37" t="inlineStr">
        <is>
          <t>WL-01289</t>
        </is>
      </c>
      <c r="D1224" s="37" t="n">
        <v>289</v>
      </c>
      <c r="E1224" s="37" t="inlineStr">
        <is>
          <t>VB-1008</t>
        </is>
      </c>
      <c r="F1224" s="37" t="inlineStr">
        <is>
          <t>Vessbank</t>
        </is>
      </c>
      <c r="G1224" s="37" t="n">
        <v>36</v>
      </c>
      <c r="H1224" s="37" t="inlineStr">
        <is>
          <t>COVERED</t>
        </is>
      </c>
      <c r="I1224" s="37" t="inlineStr">
        <is>
          <t>ACCEPTED</t>
        </is>
      </c>
    </row>
    <row r="1225">
      <c r="A1225" s="37" t="inlineStr">
        <is>
          <t>OFR-2025-1224</t>
        </is>
      </c>
      <c r="B1225" s="43" t="n">
        <v>45957</v>
      </c>
      <c r="C1225" s="37" t="inlineStr">
        <is>
          <t>WL-01128</t>
        </is>
      </c>
      <c r="D1225" s="37" t="n">
        <v>128</v>
      </c>
      <c r="E1225" s="37" t="inlineStr">
        <is>
          <t>LP-0206</t>
        </is>
      </c>
      <c r="F1225" s="37" t="inlineStr">
        <is>
          <t>Ledgport</t>
        </is>
      </c>
      <c r="G1225" s="37" t="n">
        <v>24</v>
      </c>
      <c r="H1225" s="37" t="inlineStr">
        <is>
          <t>COVERED</t>
        </is>
      </c>
      <c r="I1225" s="37" t="inlineStr">
        <is>
          <t>PENDING</t>
        </is>
      </c>
    </row>
    <row r="1226">
      <c r="A1226" s="37" t="inlineStr">
        <is>
          <t>OFR-2025-1225</t>
        </is>
      </c>
      <c r="B1226" s="43" t="n">
        <v>45953</v>
      </c>
      <c r="C1226" s="37" t="inlineStr">
        <is>
          <t>WL-01645</t>
        </is>
      </c>
      <c r="D1226" s="37" t="n">
        <v>645</v>
      </c>
      <c r="E1226" s="37" t="inlineStr">
        <is>
          <t>GW-1020</t>
        </is>
      </c>
      <c r="F1226" s="37" t="inlineStr">
        <is>
          <t>Gullwing</t>
        </is>
      </c>
      <c r="G1226" s="37" t="n">
        <v>32</v>
      </c>
      <c r="H1226" s="37" t="inlineStr">
        <is>
          <t>OPEN</t>
        </is>
      </c>
      <c r="I1226" s="37" t="inlineStr">
        <is>
          <t>SKIPPED</t>
        </is>
      </c>
      <c r="J1226" s="37" t="inlineStr">
        <is>
          <t>declined-prior-offer</t>
        </is>
      </c>
    </row>
    <row r="1227">
      <c r="A1227" s="37" t="inlineStr">
        <is>
          <t>OFR-2025-1226</t>
        </is>
      </c>
      <c r="B1227" s="43" t="n">
        <v>45949</v>
      </c>
      <c r="C1227" s="37" t="inlineStr">
        <is>
          <t>WL-02793</t>
        </is>
      </c>
      <c r="D1227" s="37" t="n">
        <v>1793</v>
      </c>
      <c r="E1227" s="37" t="inlineStr">
        <is>
          <t>GW-0611</t>
        </is>
      </c>
      <c r="F1227" s="37" t="inlineStr">
        <is>
          <t>Gullwing</t>
        </is>
      </c>
      <c r="G1227" s="37" t="n">
        <v>24</v>
      </c>
      <c r="H1227" s="37" t="inlineStr">
        <is>
          <t>OPEN</t>
        </is>
      </c>
      <c r="I1227" s="37" t="inlineStr">
        <is>
          <t>ACCEPTED</t>
        </is>
      </c>
    </row>
    <row r="1228">
      <c r="A1228" s="37" t="inlineStr">
        <is>
          <t>OFR-2025-1227</t>
        </is>
      </c>
      <c r="B1228" s="43" t="n">
        <v>45949</v>
      </c>
      <c r="C1228" s="37" t="inlineStr">
        <is>
          <t>WL-02590</t>
        </is>
      </c>
      <c r="D1228" s="37" t="n">
        <v>1590</v>
      </c>
      <c r="E1228" s="37" t="inlineStr">
        <is>
          <t>EW-0616</t>
        </is>
      </c>
      <c r="F1228" s="37" t="inlineStr">
        <is>
          <t>Eastwey</t>
        </is>
      </c>
      <c r="G1228" s="37" t="n">
        <v>36</v>
      </c>
      <c r="H1228" s="37" t="inlineStr">
        <is>
          <t>OPEN</t>
        </is>
      </c>
      <c r="I1228" s="37" t="inlineStr">
        <is>
          <t>ACCEPTED</t>
        </is>
      </c>
    </row>
    <row r="1229">
      <c r="A1229" s="37" t="inlineStr">
        <is>
          <t>OFR-2025-1228</t>
        </is>
      </c>
      <c r="B1229" s="43" t="n">
        <v>45952</v>
      </c>
      <c r="C1229" s="37" t="inlineStr">
        <is>
          <t>WL-01653</t>
        </is>
      </c>
      <c r="D1229" s="37" t="n">
        <v>653</v>
      </c>
      <c r="E1229" s="37" t="inlineStr">
        <is>
          <t>LP-0818</t>
        </is>
      </c>
      <c r="F1229" s="37" t="inlineStr">
        <is>
          <t>Ledgport</t>
        </is>
      </c>
      <c r="G1229" s="37" t="n">
        <v>28</v>
      </c>
      <c r="H1229" s="37" t="inlineStr">
        <is>
          <t>COVERED</t>
        </is>
      </c>
      <c r="I1229" s="37" t="inlineStr">
        <is>
          <t>DECLINED</t>
        </is>
      </c>
    </row>
    <row r="1230">
      <c r="A1230" s="37" t="inlineStr">
        <is>
          <t>OFR-2025-1229</t>
        </is>
      </c>
      <c r="B1230" s="43" t="n">
        <v>45936</v>
      </c>
      <c r="C1230" s="37" t="inlineStr">
        <is>
          <t>WL-03729</t>
        </is>
      </c>
      <c r="D1230" s="37" t="n">
        <v>2729</v>
      </c>
      <c r="E1230" s="37" t="inlineStr">
        <is>
          <t>SB-0705</t>
        </is>
      </c>
      <c r="F1230" s="37" t="inlineStr">
        <is>
          <t>Salmonberry</t>
        </is>
      </c>
      <c r="G1230" s="37" t="n">
        <v>28</v>
      </c>
      <c r="H1230" s="37" t="inlineStr">
        <is>
          <t>OPEN</t>
        </is>
      </c>
      <c r="I1230" s="37" t="inlineStr">
        <is>
          <t>ACCEPTED</t>
        </is>
      </c>
    </row>
    <row r="1231">
      <c r="A1231" s="37" t="inlineStr">
        <is>
          <t>OFR-2025-1230</t>
        </is>
      </c>
      <c r="B1231" s="43" t="n">
        <v>45941</v>
      </c>
      <c r="C1231" s="37" t="inlineStr">
        <is>
          <t>WL-01089</t>
        </is>
      </c>
      <c r="D1231" s="37" t="n">
        <v>89</v>
      </c>
      <c r="E1231" s="37" t="inlineStr">
        <is>
          <t>SB-0115</t>
        </is>
      </c>
      <c r="F1231" s="37" t="inlineStr">
        <is>
          <t>Salmonberry</t>
        </is>
      </c>
      <c r="G1231" s="37" t="n">
        <v>24</v>
      </c>
      <c r="H1231" s="37" t="inlineStr">
        <is>
          <t>OPEN</t>
        </is>
      </c>
      <c r="I1231" s="37" t="inlineStr">
        <is>
          <t>SKIPPED</t>
        </is>
      </c>
      <c r="J1231" s="37" t="inlineStr">
        <is>
          <t>vessel-fit</t>
        </is>
      </c>
    </row>
    <row r="1232">
      <c r="A1232" s="37" t="inlineStr">
        <is>
          <t>OFR-2025-1231</t>
        </is>
      </c>
      <c r="B1232" s="43" t="n">
        <v>45941</v>
      </c>
      <c r="C1232" s="37" t="inlineStr">
        <is>
          <t>WL-02984</t>
        </is>
      </c>
      <c r="D1232" s="37" t="n">
        <v>1984</v>
      </c>
      <c r="E1232" s="37" t="inlineStr">
        <is>
          <t>SB-0820</t>
        </is>
      </c>
      <c r="F1232" s="37" t="inlineStr">
        <is>
          <t>Salmonberry</t>
        </is>
      </c>
      <c r="G1232" s="37" t="n">
        <v>40</v>
      </c>
      <c r="H1232" s="37" t="inlineStr">
        <is>
          <t>OPEN</t>
        </is>
      </c>
      <c r="I1232" s="37" t="inlineStr">
        <is>
          <t>ACCEPTED</t>
        </is>
      </c>
    </row>
    <row r="1233">
      <c r="A1233" s="37" t="inlineStr">
        <is>
          <t>OFR-2025-1232</t>
        </is>
      </c>
      <c r="B1233" s="43" t="n">
        <v>45954</v>
      </c>
      <c r="C1233" s="37" t="inlineStr">
        <is>
          <t>WL-02282</t>
        </is>
      </c>
      <c r="D1233" s="37" t="n">
        <v>1282</v>
      </c>
      <c r="E1233" s="37" t="inlineStr">
        <is>
          <t>GW-0120</t>
        </is>
      </c>
      <c r="F1233" s="37" t="inlineStr">
        <is>
          <t>Gullwing</t>
        </is>
      </c>
      <c r="G1233" s="37" t="n">
        <v>32</v>
      </c>
      <c r="H1233" s="37" t="inlineStr">
        <is>
          <t>OPEN</t>
        </is>
      </c>
      <c r="I1233" s="37" t="inlineStr">
        <is>
          <t>ACCEPTED</t>
        </is>
      </c>
    </row>
    <row r="1234">
      <c r="A1234" s="37" t="inlineStr">
        <is>
          <t>OFR-2025-1233</t>
        </is>
      </c>
      <c r="B1234" s="43" t="n">
        <v>45943</v>
      </c>
      <c r="C1234" s="37" t="inlineStr">
        <is>
          <t>WL-01128</t>
        </is>
      </c>
      <c r="D1234" s="37" t="n">
        <v>128</v>
      </c>
      <c r="E1234" s="37" t="inlineStr">
        <is>
          <t>LP-0504</t>
        </is>
      </c>
      <c r="F1234" s="37" t="inlineStr">
        <is>
          <t>Ledgport</t>
        </is>
      </c>
      <c r="G1234" s="37" t="n">
        <v>28</v>
      </c>
      <c r="H1234" s="37" t="inlineStr">
        <is>
          <t>COVERED</t>
        </is>
      </c>
      <c r="I1234" s="37" t="inlineStr">
        <is>
          <t>SKIPPED</t>
        </is>
      </c>
      <c r="J1234" s="37" t="inlineStr">
        <is>
          <t>declined-prior-offer</t>
        </is>
      </c>
    </row>
    <row r="1235">
      <c r="A1235" s="37" t="inlineStr">
        <is>
          <t>OFR-2025-1234</t>
        </is>
      </c>
      <c r="B1235" s="43" t="n">
        <v>45943</v>
      </c>
      <c r="C1235" s="37" t="inlineStr">
        <is>
          <t>WL-02779</t>
        </is>
      </c>
      <c r="D1235" s="37" t="n">
        <v>1779</v>
      </c>
      <c r="E1235" s="37" t="inlineStr">
        <is>
          <t>EW-0411</t>
        </is>
      </c>
      <c r="F1235" s="37" t="inlineStr">
        <is>
          <t>Eastwey</t>
        </is>
      </c>
      <c r="G1235" s="37" t="n">
        <v>70</v>
      </c>
      <c r="H1235" s="37" t="inlineStr">
        <is>
          <t>OPEN</t>
        </is>
      </c>
      <c r="I1235" s="37" t="inlineStr">
        <is>
          <t>ACCEPTED</t>
        </is>
      </c>
    </row>
    <row r="1236">
      <c r="A1236" s="37" t="inlineStr">
        <is>
          <t>OFR-2025-1235</t>
        </is>
      </c>
      <c r="B1236" s="43" t="n">
        <v>45931</v>
      </c>
      <c r="C1236" s="37" t="inlineStr">
        <is>
          <t>WL-01178</t>
        </is>
      </c>
      <c r="D1236" s="37" t="n">
        <v>178</v>
      </c>
      <c r="E1236" s="37" t="inlineStr">
        <is>
          <t>LP-0621</t>
        </is>
      </c>
      <c r="F1236" s="37" t="inlineStr">
        <is>
          <t>Ledgport</t>
        </is>
      </c>
      <c r="G1236" s="37" t="n">
        <v>40</v>
      </c>
      <c r="H1236" s="37" t="inlineStr">
        <is>
          <t>COVERED</t>
        </is>
      </c>
      <c r="I1236" s="37" t="inlineStr">
        <is>
          <t>DECLINED</t>
        </is>
      </c>
    </row>
    <row r="1237">
      <c r="A1237" s="37" t="inlineStr">
        <is>
          <t>OFR-2025-1236</t>
        </is>
      </c>
      <c r="B1237" s="43" t="n">
        <v>45949</v>
      </c>
      <c r="C1237" s="37" t="inlineStr">
        <is>
          <t>WL-03823</t>
        </is>
      </c>
      <c r="D1237" s="37" t="n">
        <v>2823</v>
      </c>
      <c r="E1237" s="37" t="inlineStr">
        <is>
          <t>GW-0109</t>
        </is>
      </c>
      <c r="F1237" s="37" t="inlineStr">
        <is>
          <t>Gullwing</t>
        </is>
      </c>
      <c r="G1237" s="37" t="n">
        <v>28</v>
      </c>
      <c r="H1237" s="37" t="inlineStr">
        <is>
          <t>OPEN</t>
        </is>
      </c>
      <c r="I1237" s="37" t="inlineStr">
        <is>
          <t>PENDING</t>
        </is>
      </c>
    </row>
    <row r="1238">
      <c r="A1238" s="37" t="inlineStr">
        <is>
          <t>OFR-2025-1237</t>
        </is>
      </c>
      <c r="B1238" s="43" t="n">
        <v>45949</v>
      </c>
      <c r="C1238" s="37" t="inlineStr">
        <is>
          <t>WL-01668</t>
        </is>
      </c>
      <c r="D1238" s="37" t="n">
        <v>668</v>
      </c>
      <c r="E1238" s="37" t="inlineStr">
        <is>
          <t>SB-0305</t>
        </is>
      </c>
      <c r="F1238" s="37" t="inlineStr">
        <is>
          <t>Salmonberry</t>
        </is>
      </c>
      <c r="G1238" s="37" t="n">
        <v>70</v>
      </c>
      <c r="H1238" s="37" t="inlineStr">
        <is>
          <t>OPEN</t>
        </is>
      </c>
      <c r="I1238" s="37" t="inlineStr">
        <is>
          <t>PENDING</t>
        </is>
      </c>
    </row>
    <row r="1239">
      <c r="A1239" s="37" t="inlineStr">
        <is>
          <t>OFR-2025-1238</t>
        </is>
      </c>
      <c r="B1239" s="43" t="n">
        <v>45941</v>
      </c>
      <c r="C1239" s="37" t="inlineStr">
        <is>
          <t>WL-03108</t>
        </is>
      </c>
      <c r="D1239" s="37" t="n">
        <v>2108</v>
      </c>
      <c r="E1239" s="37" t="inlineStr">
        <is>
          <t>LP-0101</t>
        </is>
      </c>
      <c r="F1239" s="37" t="inlineStr">
        <is>
          <t>Ledgport</t>
        </is>
      </c>
      <c r="G1239" s="37" t="n">
        <v>24</v>
      </c>
      <c r="H1239" s="37" t="inlineStr">
        <is>
          <t>COVERED</t>
        </is>
      </c>
      <c r="I1239" s="37" t="inlineStr">
        <is>
          <t>ACCEPTED</t>
        </is>
      </c>
    </row>
    <row r="1240">
      <c r="A1240" s="37" t="inlineStr">
        <is>
          <t>OFR-2025-1239</t>
        </is>
      </c>
      <c r="B1240" s="43" t="n">
        <v>45954</v>
      </c>
      <c r="C1240" s="37" t="inlineStr">
        <is>
          <t>WL-02963</t>
        </is>
      </c>
      <c r="D1240" s="37" t="n">
        <v>1963</v>
      </c>
      <c r="E1240" s="37" t="inlineStr">
        <is>
          <t>LP-0509</t>
        </is>
      </c>
      <c r="F1240" s="37" t="inlineStr">
        <is>
          <t>Ledgport</t>
        </is>
      </c>
      <c r="G1240" s="37" t="n">
        <v>32</v>
      </c>
      <c r="H1240" s="37" t="inlineStr">
        <is>
          <t>COVERED</t>
        </is>
      </c>
      <c r="I1240" s="37" t="inlineStr">
        <is>
          <t>PENDING</t>
        </is>
      </c>
    </row>
    <row r="1241">
      <c r="A1241" s="37" t="inlineStr">
        <is>
          <t>OFR-2025-1240</t>
        </is>
      </c>
      <c r="B1241" s="43" t="n">
        <v>45932</v>
      </c>
      <c r="C1241" s="37" t="inlineStr">
        <is>
          <t>WL-02676</t>
        </is>
      </c>
      <c r="D1241" s="37" t="n">
        <v>1676</v>
      </c>
      <c r="E1241" s="37" t="inlineStr">
        <is>
          <t>EW-0124</t>
        </is>
      </c>
      <c r="F1241" s="37" t="inlineStr">
        <is>
          <t>Eastwey</t>
        </is>
      </c>
      <c r="G1241" s="37" t="n">
        <v>32</v>
      </c>
      <c r="H1241" s="37" t="inlineStr">
        <is>
          <t>OPEN</t>
        </is>
      </c>
      <c r="I1241" s="37" t="inlineStr">
        <is>
          <t>SKIPPED</t>
        </is>
      </c>
      <c r="J1241" s="37" t="inlineStr">
        <is>
          <t>vessel-fit</t>
        </is>
      </c>
    </row>
    <row r="1242">
      <c r="A1242" s="37" t="inlineStr">
        <is>
          <t>OFR-2025-1241</t>
        </is>
      </c>
      <c r="B1242" s="43" t="n">
        <v>45955</v>
      </c>
      <c r="C1242" s="37" t="inlineStr">
        <is>
          <t>WL-01949</t>
        </is>
      </c>
      <c r="D1242" s="37" t="n">
        <v>949</v>
      </c>
      <c r="E1242" s="37" t="inlineStr">
        <is>
          <t>SB-0123</t>
        </is>
      </c>
      <c r="F1242" s="37" t="inlineStr">
        <is>
          <t>Salmonberry</t>
        </is>
      </c>
      <c r="G1242" s="37" t="n">
        <v>45</v>
      </c>
      <c r="H1242" s="37" t="inlineStr">
        <is>
          <t>OPEN</t>
        </is>
      </c>
      <c r="I1242" s="37" t="inlineStr">
        <is>
          <t>ACCEPTED</t>
        </is>
      </c>
    </row>
    <row r="1243">
      <c r="A1243" s="37" t="inlineStr">
        <is>
          <t>OFR-2025-1242</t>
        </is>
      </c>
      <c r="B1243" s="43" t="n">
        <v>45947</v>
      </c>
      <c r="C1243" s="37" t="inlineStr">
        <is>
          <t>WL-01694</t>
        </is>
      </c>
      <c r="D1243" s="37" t="n">
        <v>694</v>
      </c>
      <c r="E1243" s="37" t="inlineStr">
        <is>
          <t>EW-0307</t>
        </is>
      </c>
      <c r="F1243" s="37" t="inlineStr">
        <is>
          <t>Eastwey</t>
        </is>
      </c>
      <c r="G1243" s="37" t="n">
        <v>70</v>
      </c>
      <c r="H1243" s="37" t="inlineStr">
        <is>
          <t>OPEN</t>
        </is>
      </c>
      <c r="I1243" s="37" t="inlineStr">
        <is>
          <t>ACCEPTED</t>
        </is>
      </c>
    </row>
    <row r="1244">
      <c r="A1244" s="37" t="inlineStr">
        <is>
          <t>OFR-2025-1243</t>
        </is>
      </c>
      <c r="B1244" s="43" t="n">
        <v>45949</v>
      </c>
      <c r="C1244" s="37" t="inlineStr">
        <is>
          <t>WL-01678</t>
        </is>
      </c>
      <c r="D1244" s="37" t="n">
        <v>678</v>
      </c>
      <c r="E1244" s="37" t="inlineStr">
        <is>
          <t>SB-0321</t>
        </is>
      </c>
      <c r="F1244" s="37" t="inlineStr">
        <is>
          <t>Salmonberry</t>
        </is>
      </c>
      <c r="G1244" s="37" t="n">
        <v>45</v>
      </c>
      <c r="H1244" s="37" t="inlineStr">
        <is>
          <t>OPEN</t>
        </is>
      </c>
      <c r="I1244" s="37" t="inlineStr">
        <is>
          <t>ACCEPTED</t>
        </is>
      </c>
    </row>
    <row r="1245">
      <c r="A1245" s="37" t="inlineStr">
        <is>
          <t>OFR-2025-1244</t>
        </is>
      </c>
      <c r="B1245" s="43" t="n">
        <v>45946</v>
      </c>
      <c r="C1245" s="37" t="inlineStr">
        <is>
          <t>WL-02158</t>
        </is>
      </c>
      <c r="D1245" s="37" t="n">
        <v>1158</v>
      </c>
      <c r="E1245" s="37" t="inlineStr">
        <is>
          <t>SB-0720</t>
        </is>
      </c>
      <c r="F1245" s="37" t="inlineStr">
        <is>
          <t>Salmonberry</t>
        </is>
      </c>
      <c r="G1245" s="37" t="n">
        <v>28</v>
      </c>
      <c r="H1245" s="37" t="inlineStr">
        <is>
          <t>OPEN</t>
        </is>
      </c>
      <c r="I1245" s="37" t="inlineStr">
        <is>
          <t>DECLINED_RETAINER</t>
        </is>
      </c>
    </row>
    <row r="1246">
      <c r="A1246" s="37" t="inlineStr">
        <is>
          <t>OFR-2025-1245</t>
        </is>
      </c>
      <c r="B1246" s="43" t="n">
        <v>45956</v>
      </c>
      <c r="C1246" s="37" t="inlineStr">
        <is>
          <t>WL-01128</t>
        </is>
      </c>
      <c r="D1246" s="37" t="n">
        <v>128</v>
      </c>
      <c r="E1246" s="37" t="inlineStr">
        <is>
          <t>GW-0903</t>
        </is>
      </c>
      <c r="F1246" s="37" t="inlineStr">
        <is>
          <t>Gullwing</t>
        </is>
      </c>
      <c r="G1246" s="37" t="n">
        <v>36</v>
      </c>
      <c r="H1246" s="37" t="inlineStr">
        <is>
          <t>OPEN</t>
        </is>
      </c>
      <c r="I1246" s="37" t="inlineStr">
        <is>
          <t>DECLINED</t>
        </is>
      </c>
    </row>
    <row r="1247">
      <c r="A1247" s="37" t="inlineStr">
        <is>
          <t>OFR-2025-1246</t>
        </is>
      </c>
      <c r="B1247" s="43" t="n">
        <v>45937</v>
      </c>
      <c r="C1247" s="37" t="inlineStr">
        <is>
          <t>WL-03455</t>
        </is>
      </c>
      <c r="D1247" s="37" t="n">
        <v>2455</v>
      </c>
      <c r="E1247" s="37" t="inlineStr">
        <is>
          <t>SB-0402</t>
        </is>
      </c>
      <c r="F1247" s="37" t="inlineStr">
        <is>
          <t>Salmonberry</t>
        </is>
      </c>
      <c r="G1247" s="37" t="n">
        <v>32</v>
      </c>
      <c r="H1247" s="37" t="inlineStr">
        <is>
          <t>OPEN</t>
        </is>
      </c>
      <c r="I1247" s="37" t="inlineStr">
        <is>
          <t>SKIPPED</t>
        </is>
      </c>
      <c r="J1247" s="37" t="inlineStr">
        <is>
          <t>vessel-fit</t>
        </is>
      </c>
    </row>
    <row r="1248">
      <c r="A1248" s="37" t="inlineStr">
        <is>
          <t>OFR-2025-1247</t>
        </is>
      </c>
      <c r="B1248" s="43" t="n">
        <v>45943</v>
      </c>
      <c r="C1248" s="37" t="inlineStr">
        <is>
          <t>WL-02711</t>
        </is>
      </c>
      <c r="D1248" s="37" t="n">
        <v>1711</v>
      </c>
      <c r="E1248" s="37" t="inlineStr">
        <is>
          <t>LP-0215</t>
        </is>
      </c>
      <c r="F1248" s="37" t="inlineStr">
        <is>
          <t>Ledgport</t>
        </is>
      </c>
      <c r="G1248" s="37" t="n">
        <v>28</v>
      </c>
      <c r="H1248" s="37" t="inlineStr">
        <is>
          <t>COVERED</t>
        </is>
      </c>
      <c r="I1248" s="37" t="inlineStr">
        <is>
          <t>SKIPPED</t>
        </is>
      </c>
      <c r="J1248" s="37" t="inlineStr">
        <is>
          <t>declined-prior-offer</t>
        </is>
      </c>
    </row>
    <row r="1249">
      <c r="A1249" s="37" t="inlineStr">
        <is>
          <t>OFR-2025-1248</t>
        </is>
      </c>
      <c r="B1249" s="43" t="n">
        <v>45958</v>
      </c>
      <c r="C1249" s="37" t="inlineStr">
        <is>
          <t>WL-01599</t>
        </is>
      </c>
      <c r="D1249" s="37" t="n">
        <v>599</v>
      </c>
      <c r="E1249" s="37" t="inlineStr">
        <is>
          <t>VB-0710</t>
        </is>
      </c>
      <c r="F1249" s="37" t="inlineStr">
        <is>
          <t>Vessbank</t>
        </is>
      </c>
      <c r="G1249" s="37" t="n">
        <v>36</v>
      </c>
      <c r="H1249" s="37" t="inlineStr">
        <is>
          <t>COVERED</t>
        </is>
      </c>
      <c r="I1249" s="37" t="inlineStr">
        <is>
          <t>ACCEPTED</t>
        </is>
      </c>
    </row>
    <row r="1250">
      <c r="A1250" s="37" t="inlineStr">
        <is>
          <t>OFR-2025-1249</t>
        </is>
      </c>
      <c r="B1250" s="43" t="n">
        <v>45943</v>
      </c>
      <c r="C1250" s="37" t="inlineStr">
        <is>
          <t>WL-02448</t>
        </is>
      </c>
      <c r="D1250" s="37" t="n">
        <v>1448</v>
      </c>
      <c r="E1250" s="37" t="inlineStr">
        <is>
          <t>LP-0908</t>
        </is>
      </c>
      <c r="F1250" s="37" t="inlineStr">
        <is>
          <t>Ledgport</t>
        </is>
      </c>
      <c r="G1250" s="37" t="n">
        <v>28</v>
      </c>
      <c r="H1250" s="37" t="inlineStr">
        <is>
          <t>COVERED</t>
        </is>
      </c>
      <c r="I1250" s="37" t="inlineStr">
        <is>
          <t>SKIPPED</t>
        </is>
      </c>
      <c r="J1250" s="37" t="inlineStr">
        <is>
          <t>vessel-fit</t>
        </is>
      </c>
    </row>
    <row r="1251">
      <c r="A1251" s="37" t="inlineStr">
        <is>
          <t>OFR-2025-1250</t>
        </is>
      </c>
      <c r="B1251" s="43" t="n">
        <v>45981</v>
      </c>
      <c r="C1251" s="37" t="inlineStr">
        <is>
          <t>WL-01138</t>
        </is>
      </c>
      <c r="D1251" s="37" t="n">
        <v>138</v>
      </c>
      <c r="E1251" s="37" t="inlineStr">
        <is>
          <t>LP-0606</t>
        </is>
      </c>
      <c r="F1251" s="37" t="inlineStr">
        <is>
          <t>Ledgport</t>
        </is>
      </c>
      <c r="G1251" s="37" t="n">
        <v>24</v>
      </c>
      <c r="H1251" s="37" t="inlineStr">
        <is>
          <t>COVERED</t>
        </is>
      </c>
      <c r="I1251" s="37" t="inlineStr">
        <is>
          <t>ACCEPTED</t>
        </is>
      </c>
    </row>
    <row r="1252">
      <c r="A1252" s="37" t="inlineStr">
        <is>
          <t>OFR-2025-1251</t>
        </is>
      </c>
      <c r="B1252" s="43" t="n">
        <v>45987</v>
      </c>
      <c r="C1252" s="37" t="inlineStr">
        <is>
          <t>WL-01746</t>
        </is>
      </c>
      <c r="D1252" s="37" t="n">
        <v>746</v>
      </c>
      <c r="E1252" s="37" t="inlineStr">
        <is>
          <t>SB-0714</t>
        </is>
      </c>
      <c r="F1252" s="37" t="inlineStr">
        <is>
          <t>Salmonberry</t>
        </is>
      </c>
      <c r="G1252" s="37" t="n">
        <v>70</v>
      </c>
      <c r="H1252" s="37" t="inlineStr">
        <is>
          <t>OPEN</t>
        </is>
      </c>
      <c r="I1252" s="37" t="inlineStr">
        <is>
          <t>DECLINED_RETAINER</t>
        </is>
      </c>
    </row>
    <row r="1253">
      <c r="A1253" s="37" t="inlineStr">
        <is>
          <t>OFR-2025-1252</t>
        </is>
      </c>
      <c r="B1253" s="43" t="n">
        <v>45970</v>
      </c>
      <c r="C1253" s="37" t="inlineStr">
        <is>
          <t>WL-03808</t>
        </is>
      </c>
      <c r="D1253" s="37" t="n">
        <v>2808</v>
      </c>
      <c r="E1253" s="37" t="inlineStr">
        <is>
          <t>EW-0713</t>
        </is>
      </c>
      <c r="F1253" s="37" t="inlineStr">
        <is>
          <t>Eastwey</t>
        </is>
      </c>
      <c r="G1253" s="37" t="n">
        <v>32</v>
      </c>
      <c r="H1253" s="37" t="inlineStr">
        <is>
          <t>OPEN</t>
        </is>
      </c>
      <c r="I1253" s="37" t="inlineStr">
        <is>
          <t>ACCEPTED</t>
        </is>
      </c>
    </row>
    <row r="1254">
      <c r="A1254" s="37" t="inlineStr">
        <is>
          <t>OFR-2025-1253</t>
        </is>
      </c>
      <c r="B1254" s="43" t="n">
        <v>45988</v>
      </c>
      <c r="C1254" s="37" t="inlineStr">
        <is>
          <t>WL-01264</t>
        </is>
      </c>
      <c r="D1254" s="37" t="n">
        <v>264</v>
      </c>
      <c r="E1254" s="37" t="inlineStr">
        <is>
          <t>SB-0623</t>
        </is>
      </c>
      <c r="F1254" s="37" t="inlineStr">
        <is>
          <t>Salmonberry</t>
        </is>
      </c>
      <c r="G1254" s="37" t="n">
        <v>28</v>
      </c>
      <c r="H1254" s="37" t="inlineStr">
        <is>
          <t>OPEN</t>
        </is>
      </c>
      <c r="I1254" s="37" t="inlineStr">
        <is>
          <t>SKIPPED</t>
        </is>
      </c>
      <c r="J1254" s="37" t="inlineStr">
        <is>
          <t>vessel-fit</t>
        </is>
      </c>
    </row>
    <row r="1255">
      <c r="A1255" s="37" t="inlineStr">
        <is>
          <t>OFR-2025-1254</t>
        </is>
      </c>
      <c r="B1255" s="43" t="n">
        <v>45987</v>
      </c>
      <c r="C1255" s="37" t="inlineStr">
        <is>
          <t>WL-01887</t>
        </is>
      </c>
      <c r="D1255" s="37" t="n">
        <v>887</v>
      </c>
      <c r="E1255" s="37" t="inlineStr">
        <is>
          <t>SB-0719</t>
        </is>
      </c>
      <c r="F1255" s="37" t="inlineStr">
        <is>
          <t>Salmonberry</t>
        </is>
      </c>
      <c r="G1255" s="37" t="n">
        <v>28</v>
      </c>
      <c r="H1255" s="37" t="inlineStr">
        <is>
          <t>OPEN</t>
        </is>
      </c>
      <c r="I1255" s="37" t="inlineStr">
        <is>
          <t>ACCEPTED</t>
        </is>
      </c>
    </row>
    <row r="1256">
      <c r="A1256" s="37" t="inlineStr">
        <is>
          <t>OFR-2025-1255</t>
        </is>
      </c>
      <c r="B1256" s="43" t="n">
        <v>45981</v>
      </c>
      <c r="C1256" s="37" t="inlineStr">
        <is>
          <t>WL-01797</t>
        </is>
      </c>
      <c r="D1256" s="37" t="n">
        <v>797</v>
      </c>
      <c r="E1256" s="37" t="inlineStr">
        <is>
          <t>LP-0921</t>
        </is>
      </c>
      <c r="F1256" s="37" t="inlineStr">
        <is>
          <t>Ledgport</t>
        </is>
      </c>
      <c r="G1256" s="37" t="n">
        <v>28</v>
      </c>
      <c r="H1256" s="37" t="inlineStr">
        <is>
          <t>COVERED</t>
        </is>
      </c>
      <c r="I1256" s="37" t="inlineStr">
        <is>
          <t>EXPIRED</t>
        </is>
      </c>
    </row>
    <row r="1257">
      <c r="A1257" s="37" t="inlineStr">
        <is>
          <t>OFR-2025-1256</t>
        </is>
      </c>
      <c r="B1257" s="43" t="n">
        <v>45964</v>
      </c>
      <c r="C1257" s="37" t="inlineStr">
        <is>
          <t>WL-02380</t>
        </is>
      </c>
      <c r="D1257" s="37" t="n">
        <v>1380</v>
      </c>
      <c r="E1257" s="37" t="inlineStr">
        <is>
          <t>LP-0211</t>
        </is>
      </c>
      <c r="F1257" s="37" t="inlineStr">
        <is>
          <t>Ledgport</t>
        </is>
      </c>
      <c r="G1257" s="37" t="n">
        <v>24</v>
      </c>
      <c r="H1257" s="37" t="inlineStr">
        <is>
          <t>COVERED</t>
        </is>
      </c>
      <c r="I1257" s="37" t="inlineStr">
        <is>
          <t>EXPIRED</t>
        </is>
      </c>
    </row>
    <row r="1258">
      <c r="A1258" s="37" t="inlineStr">
        <is>
          <t>OFR-2025-1257</t>
        </is>
      </c>
      <c r="B1258" s="43" t="n">
        <v>45965</v>
      </c>
      <c r="C1258" s="37" t="inlineStr">
        <is>
          <t>WL-03906</t>
        </is>
      </c>
      <c r="D1258" s="37" t="n">
        <v>2906</v>
      </c>
      <c r="E1258" s="37" t="inlineStr">
        <is>
          <t>LP-0318</t>
        </is>
      </c>
      <c r="F1258" s="37" t="inlineStr">
        <is>
          <t>Ledgport</t>
        </is>
      </c>
      <c r="G1258" s="37" t="n">
        <v>32</v>
      </c>
      <c r="H1258" s="37" t="inlineStr">
        <is>
          <t>COVERED</t>
        </is>
      </c>
      <c r="I1258" s="37" t="inlineStr">
        <is>
          <t>DECLINED</t>
        </is>
      </c>
    </row>
    <row r="1259">
      <c r="A1259" s="37" t="inlineStr">
        <is>
          <t>OFR-2025-1258</t>
        </is>
      </c>
      <c r="B1259" s="43" t="n">
        <v>45978</v>
      </c>
      <c r="C1259" s="37" t="inlineStr">
        <is>
          <t>WL-02404</t>
        </is>
      </c>
      <c r="D1259" s="37" t="n">
        <v>1404</v>
      </c>
      <c r="E1259" s="37" t="inlineStr">
        <is>
          <t>VB-0201</t>
        </is>
      </c>
      <c r="F1259" s="37" t="inlineStr">
        <is>
          <t>Vessbank</t>
        </is>
      </c>
      <c r="G1259" s="37" t="n">
        <v>32</v>
      </c>
      <c r="H1259" s="37" t="inlineStr">
        <is>
          <t>COVERED</t>
        </is>
      </c>
      <c r="I1259" s="37" t="inlineStr">
        <is>
          <t>SKIPPED</t>
        </is>
      </c>
      <c r="J1259" s="37" t="inlineStr">
        <is>
          <t>not-current</t>
        </is>
      </c>
    </row>
    <row r="1260">
      <c r="A1260" s="37" t="inlineStr">
        <is>
          <t>OFR-2025-1259</t>
        </is>
      </c>
      <c r="B1260" s="43" t="n">
        <v>45971</v>
      </c>
      <c r="C1260" s="37" t="inlineStr">
        <is>
          <t>WL-02807</t>
        </is>
      </c>
      <c r="D1260" s="37" t="n">
        <v>1807</v>
      </c>
      <c r="E1260" s="37" t="inlineStr">
        <is>
          <t>GW-0614</t>
        </is>
      </c>
      <c r="F1260" s="37" t="inlineStr">
        <is>
          <t>Gullwing</t>
        </is>
      </c>
      <c r="G1260" s="37" t="n">
        <v>32</v>
      </c>
      <c r="H1260" s="37" t="inlineStr">
        <is>
          <t>OPEN</t>
        </is>
      </c>
      <c r="I1260" s="37" t="inlineStr">
        <is>
          <t>ACCEPTED</t>
        </is>
      </c>
    </row>
    <row r="1261">
      <c r="A1261" s="37" t="inlineStr">
        <is>
          <t>OFR-2025-1260</t>
        </is>
      </c>
      <c r="B1261" s="43" t="n">
        <v>45963</v>
      </c>
      <c r="C1261" s="37" t="inlineStr">
        <is>
          <t>WL-02656</t>
        </is>
      </c>
      <c r="D1261" s="37" t="n">
        <v>1656</v>
      </c>
      <c r="E1261" s="37" t="inlineStr">
        <is>
          <t>VB-0507</t>
        </is>
      </c>
      <c r="F1261" s="37" t="inlineStr">
        <is>
          <t>Vessbank</t>
        </is>
      </c>
      <c r="G1261" s="37" t="n">
        <v>40</v>
      </c>
      <c r="H1261" s="37" t="inlineStr">
        <is>
          <t>COVERED</t>
        </is>
      </c>
      <c r="I1261" s="37" t="inlineStr">
        <is>
          <t>ACCEPTED</t>
        </is>
      </c>
    </row>
    <row r="1262">
      <c r="A1262" s="37" t="inlineStr">
        <is>
          <t>OFR-2025-1261</t>
        </is>
      </c>
      <c r="B1262" s="43" t="n">
        <v>45965</v>
      </c>
      <c r="C1262" s="37" t="inlineStr">
        <is>
          <t>WL-01443</t>
        </is>
      </c>
      <c r="D1262" s="37" t="n">
        <v>443</v>
      </c>
      <c r="E1262" s="37" t="inlineStr">
        <is>
          <t>VB-0116</t>
        </is>
      </c>
      <c r="F1262" s="37" t="inlineStr">
        <is>
          <t>Vessbank</t>
        </is>
      </c>
      <c r="G1262" s="37" t="n">
        <v>36</v>
      </c>
      <c r="H1262" s="37" t="inlineStr">
        <is>
          <t>COVERED</t>
        </is>
      </c>
      <c r="I1262" s="37" t="inlineStr">
        <is>
          <t>ACCEPTED</t>
        </is>
      </c>
    </row>
    <row r="1263">
      <c r="A1263" s="37" t="inlineStr">
        <is>
          <t>OFR-2025-1262</t>
        </is>
      </c>
      <c r="B1263" s="43" t="n">
        <v>45974</v>
      </c>
      <c r="C1263" s="37" t="inlineStr">
        <is>
          <t>WL-02828</t>
        </is>
      </c>
      <c r="D1263" s="37" t="n">
        <v>1828</v>
      </c>
      <c r="E1263" s="37" t="inlineStr">
        <is>
          <t>LP-0512</t>
        </is>
      </c>
      <c r="F1263" s="37" t="inlineStr">
        <is>
          <t>Ledgport</t>
        </is>
      </c>
      <c r="G1263" s="37" t="n">
        <v>40</v>
      </c>
      <c r="H1263" s="37" t="inlineStr">
        <is>
          <t>COVERED</t>
        </is>
      </c>
      <c r="I1263" s="37" t="inlineStr">
        <is>
          <t>DECLINED</t>
        </is>
      </c>
    </row>
    <row r="1264">
      <c r="A1264" s="37" t="inlineStr">
        <is>
          <t>OFR-2025-1263</t>
        </is>
      </c>
      <c r="B1264" s="43" t="n">
        <v>46005</v>
      </c>
      <c r="C1264" s="37" t="inlineStr">
        <is>
          <t>WL-01315</t>
        </is>
      </c>
      <c r="D1264" s="37" t="n">
        <v>315</v>
      </c>
      <c r="E1264" s="37" t="inlineStr">
        <is>
          <t>GW-0702</t>
        </is>
      </c>
      <c r="F1264" s="37" t="inlineStr">
        <is>
          <t>Gullwing</t>
        </is>
      </c>
      <c r="G1264" s="37" t="n">
        <v>32</v>
      </c>
      <c r="H1264" s="37" t="inlineStr">
        <is>
          <t>OPEN</t>
        </is>
      </c>
      <c r="I1264" s="37" t="inlineStr">
        <is>
          <t>WITHDRAWN</t>
        </is>
      </c>
    </row>
    <row r="1265">
      <c r="A1265" s="37" t="inlineStr">
        <is>
          <t>OFR-2025-1264</t>
        </is>
      </c>
      <c r="B1265" s="43" t="n">
        <v>46008</v>
      </c>
      <c r="C1265" s="37" t="inlineStr">
        <is>
          <t>WL-02489</t>
        </is>
      </c>
      <c r="D1265" s="37" t="n">
        <v>1489</v>
      </c>
      <c r="E1265" s="37" t="inlineStr">
        <is>
          <t>SB-0824</t>
        </is>
      </c>
      <c r="F1265" s="37" t="inlineStr">
        <is>
          <t>Salmonberry</t>
        </is>
      </c>
      <c r="G1265" s="37" t="n">
        <v>24</v>
      </c>
      <c r="H1265" s="37" t="inlineStr">
        <is>
          <t>OPEN</t>
        </is>
      </c>
      <c r="I1265" s="37" t="inlineStr">
        <is>
          <t>ACCEPTED</t>
        </is>
      </c>
    </row>
    <row r="1266">
      <c r="A1266" s="37" t="inlineStr">
        <is>
          <t>OFR-2025-1265</t>
        </is>
      </c>
      <c r="B1266" s="43" t="n">
        <v>46006</v>
      </c>
      <c r="C1266" s="37" t="inlineStr">
        <is>
          <t>WL-01776</t>
        </is>
      </c>
      <c r="D1266" s="37" t="n">
        <v>776</v>
      </c>
      <c r="E1266" s="37" t="inlineStr">
        <is>
          <t>GW-0419</t>
        </is>
      </c>
      <c r="F1266" s="37" t="inlineStr">
        <is>
          <t>Gullwing</t>
        </is>
      </c>
      <c r="G1266" s="37" t="n">
        <v>32</v>
      </c>
      <c r="H1266" s="37" t="inlineStr">
        <is>
          <t>OPEN</t>
        </is>
      </c>
      <c r="I1266" s="37" t="inlineStr">
        <is>
          <t>SKIPPED</t>
        </is>
      </c>
      <c r="J1266" s="37" t="inlineStr">
        <is>
          <t>not-current</t>
        </is>
      </c>
    </row>
    <row r="1267">
      <c r="A1267" s="37" t="inlineStr">
        <is>
          <t>OFR-2025-1266</t>
        </is>
      </c>
      <c r="B1267" s="43" t="n">
        <v>45996</v>
      </c>
      <c r="C1267" s="37" t="inlineStr">
        <is>
          <t>WL-03010</t>
        </is>
      </c>
      <c r="D1267" s="37" t="n">
        <v>2010</v>
      </c>
      <c r="E1267" s="37" t="inlineStr">
        <is>
          <t>GW-0921</t>
        </is>
      </c>
      <c r="F1267" s="37" t="inlineStr">
        <is>
          <t>Gullwing</t>
        </is>
      </c>
      <c r="G1267" s="37" t="n">
        <v>32</v>
      </c>
      <c r="H1267" s="37" t="inlineStr">
        <is>
          <t>OPEN</t>
        </is>
      </c>
      <c r="I1267" s="37" t="inlineStr">
        <is>
          <t>DECLINED_RETAINER</t>
        </is>
      </c>
    </row>
    <row r="1268">
      <c r="A1268" s="37" t="inlineStr">
        <is>
          <t>OFR-2025-1267</t>
        </is>
      </c>
      <c r="B1268" s="43" t="n">
        <v>46014</v>
      </c>
      <c r="C1268" s="37" t="inlineStr">
        <is>
          <t>WL-02086</t>
        </is>
      </c>
      <c r="D1268" s="37" t="n">
        <v>1086</v>
      </c>
      <c r="E1268" s="37" t="inlineStr">
        <is>
          <t>LP-0410</t>
        </is>
      </c>
      <c r="F1268" s="37" t="inlineStr">
        <is>
          <t>Ledgport</t>
        </is>
      </c>
      <c r="G1268" s="37" t="n">
        <v>24</v>
      </c>
      <c r="H1268" s="37" t="inlineStr">
        <is>
          <t>COVERED</t>
        </is>
      </c>
      <c r="I1268" s="37" t="inlineStr">
        <is>
          <t>DECLINED_RETAINER</t>
        </is>
      </c>
    </row>
    <row r="1269">
      <c r="A1269" s="37" t="inlineStr">
        <is>
          <t>OFR-2025-1268</t>
        </is>
      </c>
      <c r="B1269" s="43" t="n">
        <v>46013</v>
      </c>
      <c r="C1269" s="37" t="inlineStr">
        <is>
          <t>WL-02601</t>
        </is>
      </c>
      <c r="D1269" s="37" t="n">
        <v>1601</v>
      </c>
      <c r="E1269" s="37" t="inlineStr">
        <is>
          <t>VB-0303</t>
        </is>
      </c>
      <c r="F1269" s="37" t="inlineStr">
        <is>
          <t>Vessbank</t>
        </is>
      </c>
      <c r="G1269" s="37" t="n">
        <v>32</v>
      </c>
      <c r="H1269" s="37" t="inlineStr">
        <is>
          <t>COVERED</t>
        </is>
      </c>
      <c r="I1269" s="37" t="inlineStr">
        <is>
          <t>ACCEPTED</t>
        </is>
      </c>
    </row>
    <row r="1270">
      <c r="A1270" s="37" t="inlineStr">
        <is>
          <t>OFR-2025-1269</t>
        </is>
      </c>
      <c r="B1270" s="43" t="n">
        <v>46019</v>
      </c>
      <c r="C1270" s="37" t="inlineStr">
        <is>
          <t>WL-03146</t>
        </is>
      </c>
      <c r="D1270" s="37" t="n">
        <v>2146</v>
      </c>
      <c r="E1270" s="37" t="inlineStr">
        <is>
          <t>EW-1008</t>
        </is>
      </c>
      <c r="F1270" s="37" t="inlineStr">
        <is>
          <t>Eastwey</t>
        </is>
      </c>
      <c r="G1270" s="37" t="n">
        <v>50</v>
      </c>
      <c r="H1270" s="37" t="inlineStr">
        <is>
          <t>OPEN</t>
        </is>
      </c>
      <c r="I1270" s="37" t="inlineStr">
        <is>
          <t>EXPIRED</t>
        </is>
      </c>
    </row>
    <row r="1271">
      <c r="A1271" s="37" t="inlineStr">
        <is>
          <t>OFR-2025-1270</t>
        </is>
      </c>
      <c r="B1271" s="43" t="n">
        <v>46007</v>
      </c>
      <c r="C1271" s="37" t="inlineStr">
        <is>
          <t>WL-03446</t>
        </is>
      </c>
      <c r="D1271" s="37" t="n">
        <v>2446</v>
      </c>
      <c r="E1271" s="37" t="inlineStr">
        <is>
          <t>VB-0520</t>
        </is>
      </c>
      <c r="F1271" s="37" t="inlineStr">
        <is>
          <t>Vessbank</t>
        </is>
      </c>
      <c r="G1271" s="37" t="n">
        <v>28</v>
      </c>
      <c r="H1271" s="37" t="inlineStr">
        <is>
          <t>COVERED</t>
        </is>
      </c>
      <c r="I1271" s="37" t="inlineStr">
        <is>
          <t>ACCEPTED</t>
        </is>
      </c>
    </row>
    <row r="1272">
      <c r="A1272" s="37" t="inlineStr">
        <is>
          <t>OFR-2025-1271</t>
        </is>
      </c>
      <c r="B1272" s="43" t="n">
        <v>45998</v>
      </c>
      <c r="C1272" s="37" t="inlineStr">
        <is>
          <t>WL-01998</t>
        </is>
      </c>
      <c r="D1272" s="37" t="n">
        <v>998</v>
      </c>
      <c r="E1272" s="37" t="inlineStr">
        <is>
          <t>SB-0819</t>
        </is>
      </c>
      <c r="F1272" s="37" t="inlineStr">
        <is>
          <t>Salmonberry</t>
        </is>
      </c>
      <c r="G1272" s="37" t="n">
        <v>24</v>
      </c>
      <c r="H1272" s="37" t="inlineStr">
        <is>
          <t>OPEN</t>
        </is>
      </c>
      <c r="I1272" s="37" t="inlineStr">
        <is>
          <t>ACCEPTED</t>
        </is>
      </c>
    </row>
    <row r="1273">
      <c r="A1273" s="37" t="inlineStr">
        <is>
          <t>OFR-2025-1272</t>
        </is>
      </c>
      <c r="B1273" s="43" t="n">
        <v>46011</v>
      </c>
      <c r="C1273" s="37" t="inlineStr">
        <is>
          <t>WL-03611</t>
        </is>
      </c>
      <c r="D1273" s="37" t="n">
        <v>2611</v>
      </c>
      <c r="E1273" s="37" t="inlineStr">
        <is>
          <t>LP-0324</t>
        </is>
      </c>
      <c r="F1273" s="37" t="inlineStr">
        <is>
          <t>Ledgport</t>
        </is>
      </c>
      <c r="G1273" s="37" t="n">
        <v>32</v>
      </c>
      <c r="H1273" s="37" t="inlineStr">
        <is>
          <t>COVERED</t>
        </is>
      </c>
      <c r="I1273" s="37" t="inlineStr">
        <is>
          <t>DECLINED</t>
        </is>
      </c>
    </row>
    <row r="1274">
      <c r="A1274" s="37" t="inlineStr">
        <is>
          <t>OFR-2025-1273</t>
        </is>
      </c>
      <c r="B1274" s="43" t="n">
        <v>46004</v>
      </c>
      <c r="C1274" s="37" t="inlineStr">
        <is>
          <t>WL-02123</t>
        </is>
      </c>
      <c r="D1274" s="37" t="n">
        <v>1123</v>
      </c>
      <c r="E1274" s="37" t="inlineStr">
        <is>
          <t>LP-0621</t>
        </is>
      </c>
      <c r="F1274" s="37" t="inlineStr">
        <is>
          <t>Ledgport</t>
        </is>
      </c>
      <c r="G1274" s="37" t="n">
        <v>40</v>
      </c>
      <c r="H1274" s="37" t="inlineStr">
        <is>
          <t>COVERED</t>
        </is>
      </c>
      <c r="I1274" s="37" t="inlineStr">
        <is>
          <t>DECLINED</t>
        </is>
      </c>
    </row>
    <row r="1275">
      <c r="A1275" s="37" t="inlineStr">
        <is>
          <t>OFR-2025-1274</t>
        </is>
      </c>
      <c r="B1275" s="43" t="n">
        <v>46004</v>
      </c>
      <c r="C1275" s="37" t="inlineStr">
        <is>
          <t>WL-02748</t>
        </is>
      </c>
      <c r="D1275" s="37" t="n">
        <v>1748</v>
      </c>
      <c r="E1275" s="37" t="inlineStr">
        <is>
          <t>SB-0104</t>
        </is>
      </c>
      <c r="F1275" s="37" t="inlineStr">
        <is>
          <t>Salmonberry</t>
        </is>
      </c>
      <c r="G1275" s="37" t="n">
        <v>50</v>
      </c>
      <c r="H1275" s="37" t="inlineStr">
        <is>
          <t>OPEN</t>
        </is>
      </c>
      <c r="I1275" s="37" t="inlineStr">
        <is>
          <t>ACCEPTED</t>
        </is>
      </c>
    </row>
    <row r="1276">
      <c r="A1276" s="37" t="inlineStr">
        <is>
          <t>OFR-2025-1275</t>
        </is>
      </c>
      <c r="B1276" s="43" t="n">
        <v>45993</v>
      </c>
      <c r="C1276" s="37" t="inlineStr">
        <is>
          <t>WL-03858</t>
        </is>
      </c>
      <c r="D1276" s="37" t="n">
        <v>2858</v>
      </c>
      <c r="E1276" s="37" t="inlineStr">
        <is>
          <t>EW-0919</t>
        </is>
      </c>
      <c r="F1276" s="37" t="inlineStr">
        <is>
          <t>Eastwey</t>
        </is>
      </c>
      <c r="G1276" s="37" t="n">
        <v>28</v>
      </c>
      <c r="H1276" s="37" t="inlineStr">
        <is>
          <t>OPEN</t>
        </is>
      </c>
      <c r="I1276" s="37" t="inlineStr">
        <is>
          <t>DECLINED</t>
        </is>
      </c>
    </row>
    <row r="1277">
      <c r="A1277" s="37" t="inlineStr">
        <is>
          <t>OFR-2025-1276</t>
        </is>
      </c>
      <c r="B1277" s="43" t="n">
        <v>46017</v>
      </c>
      <c r="C1277" s="37" t="inlineStr">
        <is>
          <t>WL-02991</t>
        </is>
      </c>
      <c r="D1277" s="37" t="n">
        <v>1991</v>
      </c>
      <c r="E1277" s="37" t="inlineStr">
        <is>
          <t>SB-0408</t>
        </is>
      </c>
      <c r="F1277" s="37" t="inlineStr">
        <is>
          <t>Salmonberry</t>
        </is>
      </c>
      <c r="G1277" s="37" t="n">
        <v>28</v>
      </c>
      <c r="H1277" s="37" t="inlineStr">
        <is>
          <t>OPEN</t>
        </is>
      </c>
      <c r="I1277" s="37" t="inlineStr">
        <is>
          <t>SKIPPED</t>
        </is>
      </c>
      <c r="J1277" s="37" t="inlineStr">
        <is>
          <t>vessel-fit</t>
        </is>
      </c>
    </row>
    <row r="1278">
      <c r="A1278" s="37" t="inlineStr">
        <is>
          <t>OFR-2026-1277</t>
        </is>
      </c>
      <c r="B1278" s="43" t="n">
        <v>46042</v>
      </c>
      <c r="C1278" s="37" t="inlineStr">
        <is>
          <t>WL-03797</t>
        </is>
      </c>
      <c r="D1278" s="37" t="n">
        <v>2797</v>
      </c>
      <c r="E1278" s="37" t="inlineStr">
        <is>
          <t>SB-0509</t>
        </is>
      </c>
      <c r="F1278" s="37" t="inlineStr">
        <is>
          <t>Salmonberry</t>
        </is>
      </c>
      <c r="G1278" s="37" t="n">
        <v>32</v>
      </c>
      <c r="H1278" s="37" t="inlineStr">
        <is>
          <t>OPEN</t>
        </is>
      </c>
      <c r="I1278" s="37" t="inlineStr">
        <is>
          <t>PENDING</t>
        </is>
      </c>
    </row>
    <row r="1279">
      <c r="A1279" s="37" t="inlineStr">
        <is>
          <t>OFR-2026-1278</t>
        </is>
      </c>
      <c r="B1279" s="43" t="n">
        <v>46035</v>
      </c>
      <c r="C1279" s="37" t="inlineStr">
        <is>
          <t>WL-03011</t>
        </is>
      </c>
      <c r="D1279" s="37" t="n">
        <v>2011</v>
      </c>
      <c r="E1279" s="37" t="inlineStr">
        <is>
          <t>SB-0719</t>
        </is>
      </c>
      <c r="F1279" s="37" t="inlineStr">
        <is>
          <t>Salmonberry</t>
        </is>
      </c>
      <c r="G1279" s="37" t="n">
        <v>28</v>
      </c>
      <c r="H1279" s="37" t="inlineStr">
        <is>
          <t>OPEN</t>
        </is>
      </c>
      <c r="I1279" s="37" t="inlineStr">
        <is>
          <t>SKIPPED</t>
        </is>
      </c>
      <c r="J1279" s="37" t="inlineStr">
        <is>
          <t>vessel-fit</t>
        </is>
      </c>
    </row>
    <row r="1280">
      <c r="A1280" s="37" t="inlineStr">
        <is>
          <t>OFR-2026-1279</t>
        </is>
      </c>
      <c r="B1280" s="43" t="n">
        <v>46035</v>
      </c>
      <c r="C1280" s="37" t="inlineStr">
        <is>
          <t>WL-01368</t>
        </is>
      </c>
      <c r="D1280" s="37" t="n">
        <v>368</v>
      </c>
      <c r="E1280" s="37" t="inlineStr">
        <is>
          <t>EW-0813</t>
        </is>
      </c>
      <c r="F1280" s="37" t="inlineStr">
        <is>
          <t>Eastwey</t>
        </is>
      </c>
      <c r="G1280" s="37" t="n">
        <v>45</v>
      </c>
      <c r="H1280" s="37" t="inlineStr">
        <is>
          <t>OPEN</t>
        </is>
      </c>
      <c r="I1280" s="37" t="inlineStr">
        <is>
          <t>SKIPPED</t>
        </is>
      </c>
      <c r="J1280" s="37" t="inlineStr">
        <is>
          <t>preference-mismatch</t>
        </is>
      </c>
    </row>
    <row r="1281">
      <c r="A1281" s="37" t="inlineStr">
        <is>
          <t>OFR-2026-1280</t>
        </is>
      </c>
      <c r="B1281" s="43" t="n">
        <v>46043</v>
      </c>
      <c r="C1281" s="37" t="inlineStr">
        <is>
          <t>WL-01435</t>
        </is>
      </c>
      <c r="D1281" s="37" t="n">
        <v>435</v>
      </c>
      <c r="E1281" s="37" t="inlineStr">
        <is>
          <t>GW-0708</t>
        </is>
      </c>
      <c r="F1281" s="37" t="inlineStr">
        <is>
          <t>Gullwing</t>
        </is>
      </c>
      <c r="G1281" s="37" t="n">
        <v>70</v>
      </c>
      <c r="H1281" s="37" t="inlineStr">
        <is>
          <t>OPEN</t>
        </is>
      </c>
      <c r="I1281" s="37" t="inlineStr">
        <is>
          <t>SKIPPED</t>
        </is>
      </c>
      <c r="J1281" s="37" t="inlineStr">
        <is>
          <t>not-current</t>
        </is>
      </c>
    </row>
    <row r="1282">
      <c r="A1282" s="37" t="inlineStr">
        <is>
          <t>OFR-2026-1281</t>
        </is>
      </c>
      <c r="B1282" s="43" t="n">
        <v>46050</v>
      </c>
      <c r="C1282" s="37" t="inlineStr">
        <is>
          <t>WL-03603</t>
        </is>
      </c>
      <c r="D1282" s="37" t="n">
        <v>2603</v>
      </c>
      <c r="E1282" s="37" t="inlineStr">
        <is>
          <t>VB-0118</t>
        </is>
      </c>
      <c r="F1282" s="37" t="inlineStr">
        <is>
          <t>Vessbank</t>
        </is>
      </c>
      <c r="G1282" s="37" t="n">
        <v>24</v>
      </c>
      <c r="H1282" s="37" t="inlineStr">
        <is>
          <t>COVERED</t>
        </is>
      </c>
      <c r="I1282" s="37" t="inlineStr">
        <is>
          <t>DECLINED</t>
        </is>
      </c>
    </row>
    <row r="1283">
      <c r="A1283" s="37" t="inlineStr">
        <is>
          <t>OFR-2026-1282</t>
        </is>
      </c>
      <c r="B1283" s="43" t="n">
        <v>46040</v>
      </c>
      <c r="C1283" s="37" t="inlineStr">
        <is>
          <t>WL-03434</t>
        </is>
      </c>
      <c r="D1283" s="37" t="n">
        <v>2434</v>
      </c>
      <c r="E1283" s="37" t="inlineStr">
        <is>
          <t>LP-0705</t>
        </is>
      </c>
      <c r="F1283" s="37" t="inlineStr">
        <is>
          <t>Ledgport</t>
        </is>
      </c>
      <c r="G1283" s="37" t="n">
        <v>24</v>
      </c>
      <c r="H1283" s="37" t="inlineStr">
        <is>
          <t>COVERED</t>
        </is>
      </c>
      <c r="I1283" s="37" t="inlineStr">
        <is>
          <t>DECLINED_RETAINER</t>
        </is>
      </c>
    </row>
    <row r="1284">
      <c r="A1284" s="37" t="inlineStr">
        <is>
          <t>OFR-2026-1283</t>
        </is>
      </c>
      <c r="B1284" s="43" t="n">
        <v>46049</v>
      </c>
      <c r="C1284" s="37" t="inlineStr">
        <is>
          <t>WL-03197</t>
        </is>
      </c>
      <c r="D1284" s="37" t="n">
        <v>2197</v>
      </c>
      <c r="E1284" s="37" t="inlineStr">
        <is>
          <t>LP-1109</t>
        </is>
      </c>
      <c r="F1284" s="37" t="inlineStr">
        <is>
          <t>Ledgport</t>
        </is>
      </c>
      <c r="G1284" s="37" t="n">
        <v>24</v>
      </c>
      <c r="H1284" s="37" t="inlineStr">
        <is>
          <t>COVERED</t>
        </is>
      </c>
      <c r="I1284" s="37" t="inlineStr">
        <is>
          <t>SKIPPED</t>
        </is>
      </c>
      <c r="J1284" s="37" t="inlineStr">
        <is>
          <t>declined-prior-offer</t>
        </is>
      </c>
    </row>
    <row r="1285">
      <c r="A1285" s="37" t="inlineStr">
        <is>
          <t>OFR-2026-1284</t>
        </is>
      </c>
      <c r="B1285" s="43" t="n">
        <v>46023</v>
      </c>
      <c r="C1285" s="37" t="inlineStr">
        <is>
          <t>WL-01558</t>
        </is>
      </c>
      <c r="D1285" s="37" t="n">
        <v>558</v>
      </c>
      <c r="E1285" s="37" t="inlineStr">
        <is>
          <t>EW-0421</t>
        </is>
      </c>
      <c r="F1285" s="37" t="inlineStr">
        <is>
          <t>Eastwey</t>
        </is>
      </c>
      <c r="G1285" s="37" t="n">
        <v>36</v>
      </c>
      <c r="H1285" s="37" t="inlineStr">
        <is>
          <t>OPEN</t>
        </is>
      </c>
      <c r="I1285" s="37" t="inlineStr">
        <is>
          <t>SKIPPED</t>
        </is>
      </c>
      <c r="J1285" s="37" t="inlineStr">
        <is>
          <t>vessel-fit</t>
        </is>
      </c>
    </row>
    <row r="1286">
      <c r="A1286" s="37" t="inlineStr">
        <is>
          <t>OFR-2026-1285</t>
        </is>
      </c>
      <c r="B1286" s="43" t="n">
        <v>46023</v>
      </c>
      <c r="C1286" s="37" t="inlineStr">
        <is>
          <t>WL-03054</t>
        </is>
      </c>
      <c r="D1286" s="37" t="n">
        <v>2054</v>
      </c>
      <c r="E1286" s="37" t="inlineStr">
        <is>
          <t>VB-0224</t>
        </is>
      </c>
      <c r="F1286" s="37" t="inlineStr">
        <is>
          <t>Vessbank</t>
        </is>
      </c>
      <c r="G1286" s="37" t="n">
        <v>28</v>
      </c>
      <c r="H1286" s="37" t="inlineStr">
        <is>
          <t>COVERED</t>
        </is>
      </c>
      <c r="I1286" s="37" t="inlineStr">
        <is>
          <t>SKIPPED</t>
        </is>
      </c>
      <c r="J1286" s="37" t="inlineStr">
        <is>
          <t>vessel-fit</t>
        </is>
      </c>
    </row>
    <row r="1287">
      <c r="A1287" s="37" t="inlineStr">
        <is>
          <t>OFR-2026-1286</t>
        </is>
      </c>
      <c r="B1287" s="43" t="n">
        <v>46038</v>
      </c>
      <c r="C1287" s="37" t="inlineStr">
        <is>
          <t>WL-02841</t>
        </is>
      </c>
      <c r="D1287" s="37" t="n">
        <v>1841</v>
      </c>
      <c r="E1287" s="37" t="inlineStr">
        <is>
          <t>SB-0718</t>
        </is>
      </c>
      <c r="F1287" s="37" t="inlineStr">
        <is>
          <t>Salmonberry</t>
        </is>
      </c>
      <c r="G1287" s="37" t="n">
        <v>80</v>
      </c>
      <c r="H1287" s="37" t="inlineStr">
        <is>
          <t>OPEN</t>
        </is>
      </c>
      <c r="I1287" s="37" t="inlineStr">
        <is>
          <t>ACCEPTED</t>
        </is>
      </c>
    </row>
    <row r="1288">
      <c r="A1288" s="37" t="inlineStr">
        <is>
          <t>OFR-2026-1287</t>
        </is>
      </c>
      <c r="B1288" s="43" t="n">
        <v>46032</v>
      </c>
      <c r="C1288" s="37" t="inlineStr">
        <is>
          <t>WL-01706</t>
        </is>
      </c>
      <c r="D1288" s="37" t="n">
        <v>706</v>
      </c>
      <c r="E1288" s="37" t="inlineStr">
        <is>
          <t>VB-0101</t>
        </is>
      </c>
      <c r="F1288" s="37" t="inlineStr">
        <is>
          <t>Vessbank</t>
        </is>
      </c>
      <c r="G1288" s="37" t="n">
        <v>36</v>
      </c>
      <c r="H1288" s="37" t="inlineStr">
        <is>
          <t>COVERED</t>
        </is>
      </c>
      <c r="I1288" s="37" t="inlineStr">
        <is>
          <t>WITHDRAWN</t>
        </is>
      </c>
    </row>
    <row r="1289">
      <c r="A1289" s="37" t="inlineStr">
        <is>
          <t>OFR-2026-1288</t>
        </is>
      </c>
      <c r="B1289" s="43" t="n">
        <v>46032</v>
      </c>
      <c r="C1289" s="37" t="inlineStr">
        <is>
          <t>WL-02867</t>
        </is>
      </c>
      <c r="D1289" s="37" t="n">
        <v>1867</v>
      </c>
      <c r="E1289" s="37" t="inlineStr">
        <is>
          <t>GW-0814</t>
        </is>
      </c>
      <c r="F1289" s="37" t="inlineStr">
        <is>
          <t>Gullwing</t>
        </is>
      </c>
      <c r="G1289" s="37" t="n">
        <v>70</v>
      </c>
      <c r="H1289" s="37" t="inlineStr">
        <is>
          <t>OPEN</t>
        </is>
      </c>
      <c r="I1289" s="37" t="inlineStr">
        <is>
          <t>EXPIRED</t>
        </is>
      </c>
    </row>
    <row r="1290">
      <c r="A1290" s="37" t="inlineStr">
        <is>
          <t>OFR-2026-1289</t>
        </is>
      </c>
      <c r="B1290" s="43" t="n">
        <v>46026</v>
      </c>
      <c r="C1290" s="37" t="inlineStr">
        <is>
          <t>WL-03098</t>
        </is>
      </c>
      <c r="D1290" s="37" t="n">
        <v>2098</v>
      </c>
      <c r="E1290" s="37" t="inlineStr">
        <is>
          <t>LP-0614</t>
        </is>
      </c>
      <c r="F1290" s="37" t="inlineStr">
        <is>
          <t>Ledgport</t>
        </is>
      </c>
      <c r="G1290" s="37" t="n">
        <v>28</v>
      </c>
      <c r="H1290" s="37" t="inlineStr">
        <is>
          <t>COVERED</t>
        </is>
      </c>
      <c r="I1290" s="37" t="inlineStr">
        <is>
          <t>ACCEPTED</t>
        </is>
      </c>
    </row>
    <row r="1291">
      <c r="A1291" s="37" t="inlineStr">
        <is>
          <t>OFR-2026-1290</t>
        </is>
      </c>
      <c r="B1291" s="43" t="n">
        <v>46040</v>
      </c>
      <c r="C1291" s="37" t="inlineStr">
        <is>
          <t>WL-02154</t>
        </is>
      </c>
      <c r="D1291" s="37" t="n">
        <v>1154</v>
      </c>
      <c r="E1291" s="37" t="inlineStr">
        <is>
          <t>SB-0612</t>
        </is>
      </c>
      <c r="F1291" s="37" t="inlineStr">
        <is>
          <t>Salmonberry</t>
        </is>
      </c>
      <c r="G1291" s="37" t="n">
        <v>24</v>
      </c>
      <c r="H1291" s="37" t="inlineStr">
        <is>
          <t>OPEN</t>
        </is>
      </c>
      <c r="I1291" s="37" t="inlineStr">
        <is>
          <t>DECLINED</t>
        </is>
      </c>
    </row>
    <row r="1292">
      <c r="A1292" s="37" t="inlineStr">
        <is>
          <t>OFR-2026-1291</t>
        </is>
      </c>
      <c r="B1292" s="43" t="n">
        <v>46075</v>
      </c>
      <c r="C1292" s="37" t="inlineStr">
        <is>
          <t>WL-03817</t>
        </is>
      </c>
      <c r="D1292" s="37" t="n">
        <v>2817</v>
      </c>
      <c r="E1292" s="37" t="inlineStr">
        <is>
          <t>SB-0907</t>
        </is>
      </c>
      <c r="F1292" s="37" t="inlineStr">
        <is>
          <t>Salmonberry</t>
        </is>
      </c>
      <c r="G1292" s="37" t="n">
        <v>32</v>
      </c>
      <c r="H1292" s="37" t="inlineStr">
        <is>
          <t>OPEN</t>
        </is>
      </c>
      <c r="I1292" s="37" t="inlineStr">
        <is>
          <t>SKIPPED</t>
        </is>
      </c>
      <c r="J1292" s="37" t="inlineStr">
        <is>
          <t>vessel-fit</t>
        </is>
      </c>
    </row>
    <row r="1293">
      <c r="A1293" s="37" t="inlineStr">
        <is>
          <t>OFR-2026-1292</t>
        </is>
      </c>
      <c r="B1293" s="43" t="n">
        <v>46063</v>
      </c>
      <c r="C1293" s="37" t="inlineStr">
        <is>
          <t>WL-02085</t>
        </is>
      </c>
      <c r="D1293" s="37" t="n">
        <v>1085</v>
      </c>
      <c r="E1293" s="37" t="inlineStr">
        <is>
          <t>SB-0824</t>
        </is>
      </c>
      <c r="F1293" s="37" t="inlineStr">
        <is>
          <t>Salmonberry</t>
        </is>
      </c>
      <c r="G1293" s="37" t="n">
        <v>24</v>
      </c>
      <c r="H1293" s="37" t="inlineStr">
        <is>
          <t>OPEN</t>
        </is>
      </c>
      <c r="I1293" s="37" t="inlineStr">
        <is>
          <t>ACCEPTED</t>
        </is>
      </c>
    </row>
    <row r="1294">
      <c r="A1294" s="37" t="inlineStr">
        <is>
          <t>OFR-2026-1293</t>
        </is>
      </c>
      <c r="B1294" s="43" t="n">
        <v>46055</v>
      </c>
      <c r="C1294" s="37" t="inlineStr">
        <is>
          <t>WL-02361</t>
        </is>
      </c>
      <c r="D1294" s="37" t="n">
        <v>1361</v>
      </c>
      <c r="E1294" s="37" t="inlineStr">
        <is>
          <t>LP-0801</t>
        </is>
      </c>
      <c r="F1294" s="37" t="inlineStr">
        <is>
          <t>Ledgport</t>
        </is>
      </c>
      <c r="G1294" s="37" t="n">
        <v>36</v>
      </c>
      <c r="H1294" s="37" t="inlineStr">
        <is>
          <t>COVERED</t>
        </is>
      </c>
      <c r="I1294" s="37" t="inlineStr">
        <is>
          <t>ACCEPTED</t>
        </is>
      </c>
    </row>
    <row r="1295">
      <c r="A1295" s="37" t="inlineStr">
        <is>
          <t>OFR-2026-1294</t>
        </is>
      </c>
      <c r="B1295" s="43" t="n">
        <v>46073</v>
      </c>
      <c r="C1295" s="37" t="inlineStr">
        <is>
          <t>WL-02550</t>
        </is>
      </c>
      <c r="D1295" s="37" t="n">
        <v>1550</v>
      </c>
      <c r="E1295" s="37" t="inlineStr">
        <is>
          <t>LP-0811</t>
        </is>
      </c>
      <c r="F1295" s="37" t="inlineStr">
        <is>
          <t>Ledgport</t>
        </is>
      </c>
      <c r="G1295" s="37" t="n">
        <v>36</v>
      </c>
      <c r="H1295" s="37" t="inlineStr">
        <is>
          <t>COVERED</t>
        </is>
      </c>
      <c r="I1295" s="37" t="inlineStr">
        <is>
          <t>EXPIRED</t>
        </is>
      </c>
    </row>
    <row r="1296">
      <c r="A1296" s="37" t="inlineStr">
        <is>
          <t>OFR-2026-1295</t>
        </is>
      </c>
      <c r="B1296" s="43" t="n">
        <v>46075</v>
      </c>
      <c r="C1296" s="37" t="inlineStr">
        <is>
          <t>WL-01041</t>
        </is>
      </c>
      <c r="D1296" s="37" t="n">
        <v>41</v>
      </c>
      <c r="E1296" s="37" t="inlineStr">
        <is>
          <t>LP-0815</t>
        </is>
      </c>
      <c r="F1296" s="37" t="inlineStr">
        <is>
          <t>Ledgport</t>
        </is>
      </c>
      <c r="G1296" s="37" t="n">
        <v>24</v>
      </c>
      <c r="H1296" s="37" t="inlineStr">
        <is>
          <t>COVERED</t>
        </is>
      </c>
      <c r="I1296" s="37" t="inlineStr">
        <is>
          <t>DECLINED</t>
        </is>
      </c>
    </row>
    <row r="1297">
      <c r="A1297" s="37" t="inlineStr">
        <is>
          <t>OFR-2026-1296</t>
        </is>
      </c>
      <c r="B1297" s="43" t="n">
        <v>46070</v>
      </c>
      <c r="C1297" s="37" t="inlineStr">
        <is>
          <t>WL-01035</t>
        </is>
      </c>
      <c r="D1297" s="37" t="n">
        <v>35</v>
      </c>
      <c r="E1297" s="37" t="inlineStr">
        <is>
          <t>VB-0522</t>
        </is>
      </c>
      <c r="F1297" s="37" t="inlineStr">
        <is>
          <t>Vessbank</t>
        </is>
      </c>
      <c r="G1297" s="37" t="n">
        <v>32</v>
      </c>
      <c r="H1297" s="37" t="inlineStr">
        <is>
          <t>COVERED</t>
        </is>
      </c>
      <c r="I1297" s="37" t="inlineStr">
        <is>
          <t>PENDING</t>
        </is>
      </c>
    </row>
    <row r="1298">
      <c r="A1298" s="37" t="inlineStr">
        <is>
          <t>OFR-2026-1297</t>
        </is>
      </c>
      <c r="B1298" s="43" t="n">
        <v>46080</v>
      </c>
      <c r="C1298" s="37" t="inlineStr">
        <is>
          <t>WL-03653</t>
        </is>
      </c>
      <c r="D1298" s="37" t="n">
        <v>2653</v>
      </c>
      <c r="E1298" s="37" t="inlineStr">
        <is>
          <t>LP-0614</t>
        </is>
      </c>
      <c r="F1298" s="37" t="inlineStr">
        <is>
          <t>Ledgport</t>
        </is>
      </c>
      <c r="G1298" s="37" t="n">
        <v>28</v>
      </c>
      <c r="H1298" s="37" t="inlineStr">
        <is>
          <t>COVERED</t>
        </is>
      </c>
      <c r="I1298" s="37" t="inlineStr">
        <is>
          <t>SKIPPED</t>
        </is>
      </c>
      <c r="J1298" s="37" t="inlineStr">
        <is>
          <t>vessel-fit</t>
        </is>
      </c>
    </row>
    <row r="1299">
      <c r="A1299" s="37" t="inlineStr">
        <is>
          <t>OFR-2026-1298</t>
        </is>
      </c>
      <c r="B1299" s="43" t="n">
        <v>46067</v>
      </c>
      <c r="C1299" s="37" t="inlineStr">
        <is>
          <t>WL-01605</t>
        </is>
      </c>
      <c r="D1299" s="37" t="n">
        <v>605</v>
      </c>
      <c r="E1299" s="37" t="inlineStr">
        <is>
          <t>VB-0912</t>
        </is>
      </c>
      <c r="F1299" s="37" t="inlineStr">
        <is>
          <t>Vessbank</t>
        </is>
      </c>
      <c r="G1299" s="37" t="n">
        <v>40</v>
      </c>
      <c r="H1299" s="37" t="inlineStr">
        <is>
          <t>COVERED</t>
        </is>
      </c>
      <c r="I1299" s="37" t="inlineStr">
        <is>
          <t>SKIPPED</t>
        </is>
      </c>
      <c r="J1299" s="37" t="inlineStr">
        <is>
          <t>preference-mismatch</t>
        </is>
      </c>
    </row>
    <row r="1300">
      <c r="A1300" s="37" t="inlineStr">
        <is>
          <t>OFR-2026-1299</t>
        </is>
      </c>
      <c r="B1300" s="43" t="n">
        <v>46075</v>
      </c>
      <c r="C1300" s="37" t="inlineStr">
        <is>
          <t>WL-01550</t>
        </is>
      </c>
      <c r="D1300" s="37" t="n">
        <v>550</v>
      </c>
      <c r="E1300" s="37" t="inlineStr">
        <is>
          <t>EW-1015</t>
        </is>
      </c>
      <c r="F1300" s="37" t="inlineStr">
        <is>
          <t>Eastwey</t>
        </is>
      </c>
      <c r="G1300" s="37" t="n">
        <v>24</v>
      </c>
      <c r="H1300" s="37" t="inlineStr">
        <is>
          <t>OPEN</t>
        </is>
      </c>
      <c r="I1300" s="37" t="inlineStr">
        <is>
          <t>SKIPPED</t>
        </is>
      </c>
      <c r="J1300" s="37" t="inlineStr">
        <is>
          <t>vessel-fit</t>
        </is>
      </c>
    </row>
    <row r="1301">
      <c r="A1301" s="37" t="inlineStr">
        <is>
          <t>OFR-2026-1300</t>
        </is>
      </c>
      <c r="B1301" s="43" t="n">
        <v>46055</v>
      </c>
      <c r="C1301" s="37" t="inlineStr">
        <is>
          <t>WL-01236</t>
        </is>
      </c>
      <c r="D1301" s="37" t="n">
        <v>236</v>
      </c>
      <c r="E1301" s="37" t="inlineStr">
        <is>
          <t>EW-0918</t>
        </is>
      </c>
      <c r="F1301" s="37" t="inlineStr">
        <is>
          <t>Eastwey</t>
        </is>
      </c>
      <c r="G1301" s="37" t="n">
        <v>24</v>
      </c>
      <c r="H1301" s="37" t="inlineStr">
        <is>
          <t>OPEN</t>
        </is>
      </c>
      <c r="I1301" s="37" t="inlineStr">
        <is>
          <t>EXPIRED</t>
        </is>
      </c>
    </row>
    <row r="1302">
      <c r="A1302" s="37" t="inlineStr">
        <is>
          <t>OFR-2026-1301</t>
        </is>
      </c>
      <c r="B1302" s="43" t="n">
        <v>46066</v>
      </c>
      <c r="C1302" s="37" t="inlineStr">
        <is>
          <t>WL-03051</t>
        </is>
      </c>
      <c r="D1302" s="37" t="n">
        <v>2051</v>
      </c>
      <c r="E1302" s="37" t="inlineStr">
        <is>
          <t>VB-0414</t>
        </is>
      </c>
      <c r="F1302" s="37" t="inlineStr">
        <is>
          <t>Vessbank</t>
        </is>
      </c>
      <c r="G1302" s="37" t="n">
        <v>32</v>
      </c>
      <c r="H1302" s="37" t="inlineStr">
        <is>
          <t>COVERED</t>
        </is>
      </c>
      <c r="I1302" s="37" t="inlineStr">
        <is>
          <t>EXPIRED</t>
        </is>
      </c>
    </row>
    <row r="1303">
      <c r="A1303" s="37" t="inlineStr">
        <is>
          <t>OFR-2026-1302</t>
        </is>
      </c>
      <c r="B1303" s="43" t="n">
        <v>46060</v>
      </c>
      <c r="C1303" s="37" t="inlineStr">
        <is>
          <t>WL-02509</t>
        </is>
      </c>
      <c r="D1303" s="37" t="n">
        <v>1509</v>
      </c>
      <c r="E1303" s="37" t="inlineStr">
        <is>
          <t>SB-0608</t>
        </is>
      </c>
      <c r="F1303" s="37" t="inlineStr">
        <is>
          <t>Salmonberry</t>
        </is>
      </c>
      <c r="G1303" s="37" t="n">
        <v>50</v>
      </c>
      <c r="H1303" s="37" t="inlineStr">
        <is>
          <t>OPEN</t>
        </is>
      </c>
      <c r="I1303" s="37" t="inlineStr">
        <is>
          <t>ACCEPTED</t>
        </is>
      </c>
    </row>
    <row r="1304">
      <c r="A1304" s="37" t="inlineStr">
        <is>
          <t>OFR-2026-1303</t>
        </is>
      </c>
      <c r="B1304" s="43" t="n">
        <v>46075</v>
      </c>
      <c r="C1304" s="37" t="inlineStr">
        <is>
          <t>WL-02765</t>
        </is>
      </c>
      <c r="D1304" s="37" t="n">
        <v>1765</v>
      </c>
      <c r="E1304" s="37" t="inlineStr">
        <is>
          <t>GW-0312</t>
        </is>
      </c>
      <c r="F1304" s="37" t="inlineStr">
        <is>
          <t>Gullwing</t>
        </is>
      </c>
      <c r="G1304" s="37" t="n">
        <v>70</v>
      </c>
      <c r="H1304" s="37" t="inlineStr">
        <is>
          <t>OPEN</t>
        </is>
      </c>
      <c r="I1304" s="37" t="inlineStr">
        <is>
          <t>ACCEPTED</t>
        </is>
      </c>
    </row>
    <row r="1305">
      <c r="A1305" s="37" t="inlineStr">
        <is>
          <t>OFR-2026-1304</t>
        </is>
      </c>
      <c r="B1305" s="43" t="n">
        <v>46067</v>
      </c>
      <c r="C1305" s="37" t="inlineStr">
        <is>
          <t>WL-02686</t>
        </is>
      </c>
      <c r="D1305" s="37" t="n">
        <v>1686</v>
      </c>
      <c r="E1305" s="37" t="inlineStr">
        <is>
          <t>VB-0122</t>
        </is>
      </c>
      <c r="F1305" s="37" t="inlineStr">
        <is>
          <t>Vessbank</t>
        </is>
      </c>
      <c r="G1305" s="37" t="n">
        <v>40</v>
      </c>
      <c r="H1305" s="37" t="inlineStr">
        <is>
          <t>COVERED</t>
        </is>
      </c>
      <c r="I1305" s="37" t="inlineStr">
        <is>
          <t>ACCEPTED</t>
        </is>
      </c>
    </row>
    <row r="1306">
      <c r="A1306" s="37" t="inlineStr">
        <is>
          <t>OFR-2026-1305</t>
        </is>
      </c>
      <c r="B1306" s="43" t="n">
        <v>46075</v>
      </c>
      <c r="C1306" s="37" t="inlineStr">
        <is>
          <t>WL-02930</t>
        </is>
      </c>
      <c r="D1306" s="37" t="n">
        <v>1930</v>
      </c>
      <c r="E1306" s="37" t="inlineStr">
        <is>
          <t>LP-0915</t>
        </is>
      </c>
      <c r="F1306" s="37" t="inlineStr">
        <is>
          <t>Ledgport</t>
        </is>
      </c>
      <c r="G1306" s="37" t="n">
        <v>32</v>
      </c>
      <c r="H1306" s="37" t="inlineStr">
        <is>
          <t>COVERED</t>
        </is>
      </c>
      <c r="I1306" s="37" t="inlineStr">
        <is>
          <t>SKIPPED</t>
        </is>
      </c>
      <c r="J1306" s="37" t="inlineStr">
        <is>
          <t>declined-prior-offer</t>
        </is>
      </c>
    </row>
    <row r="1307">
      <c r="A1307" s="37" t="inlineStr">
        <is>
          <t>OFR-2026-1306</t>
        </is>
      </c>
      <c r="B1307" s="43" t="n">
        <v>46060</v>
      </c>
      <c r="C1307" s="37" t="inlineStr">
        <is>
          <t>WL-03816</t>
        </is>
      </c>
      <c r="D1307" s="37" t="n">
        <v>2816</v>
      </c>
      <c r="E1307" s="37" t="inlineStr">
        <is>
          <t>EW-0804</t>
        </is>
      </c>
      <c r="F1307" s="37" t="inlineStr">
        <is>
          <t>Eastwey</t>
        </is>
      </c>
      <c r="G1307" s="37" t="n">
        <v>32</v>
      </c>
      <c r="H1307" s="37" t="inlineStr">
        <is>
          <t>OPEN</t>
        </is>
      </c>
      <c r="I1307" s="37" t="inlineStr">
        <is>
          <t>SKIPPED</t>
        </is>
      </c>
      <c r="J1307" s="37" t="inlineStr">
        <is>
          <t>vessel-fit</t>
        </is>
      </c>
    </row>
    <row r="1308">
      <c r="A1308" s="37" t="inlineStr">
        <is>
          <t>OFR-2026-1307</t>
        </is>
      </c>
      <c r="B1308" s="43" t="n">
        <v>46065</v>
      </c>
      <c r="C1308" s="37" t="inlineStr">
        <is>
          <t>WL-02175</t>
        </is>
      </c>
      <c r="D1308" s="37" t="n">
        <v>1175</v>
      </c>
      <c r="E1308" s="37" t="inlineStr">
        <is>
          <t>EW-0306</t>
        </is>
      </c>
      <c r="F1308" s="37" t="inlineStr">
        <is>
          <t>Eastwey</t>
        </is>
      </c>
      <c r="G1308" s="37" t="n">
        <v>50</v>
      </c>
      <c r="H1308" s="37" t="inlineStr">
        <is>
          <t>OPEN</t>
        </is>
      </c>
      <c r="I1308" s="37" t="inlineStr">
        <is>
          <t>WITHDRAWN</t>
        </is>
      </c>
    </row>
    <row r="1309">
      <c r="A1309" s="37" t="inlineStr">
        <is>
          <t>OFR-2026-1308</t>
        </is>
      </c>
      <c r="B1309" s="43" t="n">
        <v>46070</v>
      </c>
      <c r="C1309" s="37" t="inlineStr">
        <is>
          <t>WL-02160</t>
        </is>
      </c>
      <c r="D1309" s="37" t="n">
        <v>1160</v>
      </c>
      <c r="E1309" s="37" t="inlineStr">
        <is>
          <t>EW-0214</t>
        </is>
      </c>
      <c r="F1309" s="37" t="inlineStr">
        <is>
          <t>Eastwey</t>
        </is>
      </c>
      <c r="G1309" s="37" t="n">
        <v>60</v>
      </c>
      <c r="H1309" s="37" t="inlineStr">
        <is>
          <t>OPEN</t>
        </is>
      </c>
      <c r="I1309" s="37" t="inlineStr">
        <is>
          <t>ACCEPTED</t>
        </is>
      </c>
    </row>
    <row r="1310">
      <c r="A1310" s="37" t="inlineStr">
        <is>
          <t>OFR-2026-1309</t>
        </is>
      </c>
      <c r="B1310" s="43" t="n">
        <v>46080</v>
      </c>
      <c r="C1310" s="37" t="inlineStr">
        <is>
          <t>WL-03494</t>
        </is>
      </c>
      <c r="D1310" s="37" t="n">
        <v>2494</v>
      </c>
      <c r="E1310" s="37" t="inlineStr">
        <is>
          <t>VB-0908</t>
        </is>
      </c>
      <c r="F1310" s="37" t="inlineStr">
        <is>
          <t>Vessbank</t>
        </is>
      </c>
      <c r="G1310" s="37" t="n">
        <v>32</v>
      </c>
      <c r="H1310" s="37" t="inlineStr">
        <is>
          <t>COVERED</t>
        </is>
      </c>
      <c r="I1310" s="37" t="inlineStr">
        <is>
          <t>DECLINED</t>
        </is>
      </c>
    </row>
    <row r="1311">
      <c r="A1311" s="37" t="inlineStr">
        <is>
          <t>OFR-2026-1310</t>
        </is>
      </c>
      <c r="B1311" s="43" t="n">
        <v>46093</v>
      </c>
      <c r="C1311" s="37" t="inlineStr">
        <is>
          <t>WL-01038</t>
        </is>
      </c>
      <c r="D1311" s="37" t="n">
        <v>38</v>
      </c>
      <c r="E1311" s="37" t="inlineStr">
        <is>
          <t>GW-0105</t>
        </is>
      </c>
      <c r="F1311" s="37" t="inlineStr">
        <is>
          <t>Gullwing</t>
        </is>
      </c>
      <c r="G1311" s="37" t="n">
        <v>60</v>
      </c>
      <c r="H1311" s="37" t="inlineStr">
        <is>
          <t>OPEN</t>
        </is>
      </c>
      <c r="I1311" s="37" t="inlineStr">
        <is>
          <t>SKIPPED</t>
        </is>
      </c>
      <c r="J1311" s="37" t="inlineStr">
        <is>
          <t>not-current</t>
        </is>
      </c>
    </row>
    <row r="1312">
      <c r="A1312" s="37" t="inlineStr">
        <is>
          <t>OFR-2026-1311</t>
        </is>
      </c>
      <c r="B1312" s="43" t="n">
        <v>46098</v>
      </c>
      <c r="C1312" s="37" t="inlineStr">
        <is>
          <t>WL-02703</t>
        </is>
      </c>
      <c r="D1312" s="37" t="n">
        <v>1703</v>
      </c>
      <c r="E1312" s="37" t="inlineStr">
        <is>
          <t>VB-1020</t>
        </is>
      </c>
      <c r="F1312" s="37" t="inlineStr">
        <is>
          <t>Vessbank</t>
        </is>
      </c>
      <c r="G1312" s="37" t="n">
        <v>40</v>
      </c>
      <c r="H1312" s="37" t="inlineStr">
        <is>
          <t>COVERED</t>
        </is>
      </c>
      <c r="I1312" s="37" t="inlineStr">
        <is>
          <t>ACCEPTED</t>
        </is>
      </c>
    </row>
    <row r="1313">
      <c r="A1313" s="37" t="inlineStr">
        <is>
          <t>OFR-2026-1312</t>
        </is>
      </c>
      <c r="B1313" s="43" t="n">
        <v>46092</v>
      </c>
      <c r="C1313" s="37" t="inlineStr">
        <is>
          <t>WL-03846</t>
        </is>
      </c>
      <c r="D1313" s="37" t="n">
        <v>2846</v>
      </c>
      <c r="E1313" s="37" t="inlineStr">
        <is>
          <t>SB-0306</t>
        </is>
      </c>
      <c r="F1313" s="37" t="inlineStr">
        <is>
          <t>Salmonberry</t>
        </is>
      </c>
      <c r="G1313" s="37" t="n">
        <v>70</v>
      </c>
      <c r="H1313" s="37" t="inlineStr">
        <is>
          <t>OPEN</t>
        </is>
      </c>
      <c r="I1313" s="37" t="inlineStr">
        <is>
          <t>ACCEPTED</t>
        </is>
      </c>
    </row>
    <row r="1314">
      <c r="A1314" s="37" t="inlineStr">
        <is>
          <t>OFR-2026-1313</t>
        </is>
      </c>
      <c r="B1314" s="43" t="n">
        <v>46084</v>
      </c>
      <c r="C1314" s="37" t="inlineStr">
        <is>
          <t>WL-02716</t>
        </is>
      </c>
      <c r="D1314" s="37" t="n">
        <v>1716</v>
      </c>
      <c r="E1314" s="37" t="inlineStr">
        <is>
          <t>EW-0422</t>
        </is>
      </c>
      <c r="F1314" s="37" t="inlineStr">
        <is>
          <t>Eastwey</t>
        </is>
      </c>
      <c r="G1314" s="37" t="n">
        <v>60</v>
      </c>
      <c r="H1314" s="37" t="inlineStr">
        <is>
          <t>OPEN</t>
        </is>
      </c>
      <c r="I1314" s="37" t="inlineStr">
        <is>
          <t>ACCEPTED</t>
        </is>
      </c>
    </row>
    <row r="1315">
      <c r="A1315" s="37" t="inlineStr">
        <is>
          <t>OFR-2026-1314</t>
        </is>
      </c>
      <c r="B1315" s="43" t="n">
        <v>46109</v>
      </c>
      <c r="C1315" s="37" t="inlineStr">
        <is>
          <t>WL-01280</t>
        </is>
      </c>
      <c r="D1315" s="37" t="n">
        <v>280</v>
      </c>
      <c r="E1315" s="37" t="inlineStr">
        <is>
          <t>LP-0102</t>
        </is>
      </c>
      <c r="F1315" s="37" t="inlineStr">
        <is>
          <t>Ledgport</t>
        </is>
      </c>
      <c r="G1315" s="37" t="n">
        <v>40</v>
      </c>
      <c r="H1315" s="37" t="inlineStr">
        <is>
          <t>COVERED</t>
        </is>
      </c>
      <c r="I1315" s="37" t="inlineStr">
        <is>
          <t>DECLINED</t>
        </is>
      </c>
    </row>
    <row r="1316">
      <c r="A1316" s="37" t="inlineStr">
        <is>
          <t>OFR-2026-1315</t>
        </is>
      </c>
      <c r="B1316" s="43" t="n">
        <v>46100</v>
      </c>
      <c r="C1316" s="37" t="inlineStr">
        <is>
          <t>WL-01372</t>
        </is>
      </c>
      <c r="D1316" s="37" t="n">
        <v>372</v>
      </c>
      <c r="E1316" s="37" t="inlineStr">
        <is>
          <t>EW-0911</t>
        </is>
      </c>
      <c r="F1316" s="37" t="inlineStr">
        <is>
          <t>Eastwey</t>
        </is>
      </c>
      <c r="G1316" s="37" t="n">
        <v>60</v>
      </c>
      <c r="H1316" s="37" t="inlineStr">
        <is>
          <t>OPEN</t>
        </is>
      </c>
      <c r="I1316" s="37" t="inlineStr">
        <is>
          <t>PENDING</t>
        </is>
      </c>
    </row>
    <row r="1317">
      <c r="A1317" s="37" t="inlineStr">
        <is>
          <t>OFR-2026-1316</t>
        </is>
      </c>
      <c r="B1317" s="43" t="n">
        <v>46082</v>
      </c>
      <c r="C1317" s="37" t="inlineStr">
        <is>
          <t>WL-03740</t>
        </is>
      </c>
      <c r="D1317" s="37" t="n">
        <v>2740</v>
      </c>
      <c r="E1317" s="37" t="inlineStr">
        <is>
          <t>EW-0922</t>
        </is>
      </c>
      <c r="F1317" s="37" t="inlineStr">
        <is>
          <t>Eastwey</t>
        </is>
      </c>
      <c r="G1317" s="37" t="n">
        <v>28</v>
      </c>
      <c r="H1317" s="37" t="inlineStr">
        <is>
          <t>OPEN</t>
        </is>
      </c>
      <c r="I1317" s="37" t="inlineStr">
        <is>
          <t>DECLINED</t>
        </is>
      </c>
    </row>
    <row r="1318">
      <c r="A1318" s="37" t="inlineStr">
        <is>
          <t>OFR-2026-1317</t>
        </is>
      </c>
      <c r="B1318" s="43" t="n">
        <v>46093</v>
      </c>
      <c r="C1318" s="37" t="inlineStr">
        <is>
          <t>WL-03464</t>
        </is>
      </c>
      <c r="D1318" s="37" t="n">
        <v>2464</v>
      </c>
      <c r="E1318" s="37" t="inlineStr">
        <is>
          <t>VB-0306</t>
        </is>
      </c>
      <c r="F1318" s="37" t="inlineStr">
        <is>
          <t>Vessbank</t>
        </is>
      </c>
      <c r="G1318" s="37" t="n">
        <v>28</v>
      </c>
      <c r="H1318" s="37" t="inlineStr">
        <is>
          <t>COVERED</t>
        </is>
      </c>
      <c r="I1318" s="37" t="inlineStr">
        <is>
          <t>ACCEPTED</t>
        </is>
      </c>
    </row>
    <row r="1319">
      <c r="A1319" s="37" t="inlineStr">
        <is>
          <t>OFR-2026-1318</t>
        </is>
      </c>
      <c r="B1319" s="43" t="n">
        <v>46086</v>
      </c>
      <c r="C1319" s="37" t="inlineStr">
        <is>
          <t>WL-03427</t>
        </is>
      </c>
      <c r="D1319" s="37" t="n">
        <v>2427</v>
      </c>
      <c r="E1319" s="37" t="inlineStr">
        <is>
          <t>EW-0901</t>
        </is>
      </c>
      <c r="F1319" s="37" t="inlineStr">
        <is>
          <t>Eastwey</t>
        </is>
      </c>
      <c r="G1319" s="37" t="n">
        <v>28</v>
      </c>
      <c r="H1319" s="37" t="inlineStr">
        <is>
          <t>OPEN</t>
        </is>
      </c>
      <c r="I1319" s="37" t="inlineStr">
        <is>
          <t>ACCEPTED</t>
        </is>
      </c>
    </row>
    <row r="1320">
      <c r="A1320" s="37" t="inlineStr">
        <is>
          <t>OFR-2026-1319</t>
        </is>
      </c>
      <c r="B1320" s="43" t="n">
        <v>46106</v>
      </c>
      <c r="C1320" s="37" t="inlineStr">
        <is>
          <t>WL-02054</t>
        </is>
      </c>
      <c r="D1320" s="37" t="n">
        <v>1054</v>
      </c>
      <c r="E1320" s="37" t="inlineStr">
        <is>
          <t>GW-0421</t>
        </is>
      </c>
      <c r="F1320" s="37" t="inlineStr">
        <is>
          <t>Gullwing</t>
        </is>
      </c>
      <c r="G1320" s="37" t="n">
        <v>80</v>
      </c>
      <c r="H1320" s="37" t="inlineStr">
        <is>
          <t>OPEN</t>
        </is>
      </c>
      <c r="I1320" s="37" t="inlineStr">
        <is>
          <t>DECLINED</t>
        </is>
      </c>
    </row>
    <row r="1321">
      <c r="A1321" s="37" t="inlineStr">
        <is>
          <t>OFR-2026-1320</t>
        </is>
      </c>
      <c r="B1321" s="43" t="n">
        <v>46103</v>
      </c>
      <c r="C1321" s="37" t="inlineStr">
        <is>
          <t>WL-03773</t>
        </is>
      </c>
      <c r="D1321" s="37" t="n">
        <v>2773</v>
      </c>
      <c r="E1321" s="37" t="inlineStr">
        <is>
          <t>VB-1006</t>
        </is>
      </c>
      <c r="F1321" s="37" t="inlineStr">
        <is>
          <t>Vessbank</t>
        </is>
      </c>
      <c r="G1321" s="37" t="n">
        <v>24</v>
      </c>
      <c r="H1321" s="37" t="inlineStr">
        <is>
          <t>COVERED</t>
        </is>
      </c>
      <c r="I1321" s="37" t="inlineStr">
        <is>
          <t>EXPIRED</t>
        </is>
      </c>
    </row>
    <row r="1322">
      <c r="A1322" s="37" t="inlineStr">
        <is>
          <t>OFR-2026-1321</t>
        </is>
      </c>
      <c r="B1322" s="43" t="n">
        <v>46096</v>
      </c>
      <c r="C1322" s="37" t="inlineStr">
        <is>
          <t>WL-02306</t>
        </is>
      </c>
      <c r="D1322" s="37" t="n">
        <v>1306</v>
      </c>
      <c r="E1322" s="37" t="inlineStr">
        <is>
          <t>SB-0709</t>
        </is>
      </c>
      <c r="F1322" s="37" t="inlineStr">
        <is>
          <t>Salmonberry</t>
        </is>
      </c>
      <c r="G1322" s="37" t="n">
        <v>28</v>
      </c>
      <c r="H1322" s="37" t="inlineStr">
        <is>
          <t>OPEN</t>
        </is>
      </c>
      <c r="I1322" s="37" t="inlineStr">
        <is>
          <t>SKIPPED</t>
        </is>
      </c>
      <c r="J1322" s="37" t="inlineStr">
        <is>
          <t>not-current</t>
        </is>
      </c>
    </row>
    <row r="1323">
      <c r="A1323" s="37" t="inlineStr">
        <is>
          <t>OFR-2026-1322</t>
        </is>
      </c>
      <c r="B1323" s="43" t="n">
        <v>46107</v>
      </c>
      <c r="C1323" s="37" t="inlineStr">
        <is>
          <t>WL-01139</t>
        </is>
      </c>
      <c r="D1323" s="37" t="n">
        <v>139</v>
      </c>
      <c r="E1323" s="37" t="inlineStr">
        <is>
          <t>GW-0314</t>
        </is>
      </c>
      <c r="F1323" s="37" t="inlineStr">
        <is>
          <t>Gullwing</t>
        </is>
      </c>
      <c r="G1323" s="37" t="n">
        <v>32</v>
      </c>
      <c r="H1323" s="37" t="inlineStr">
        <is>
          <t>OPEN</t>
        </is>
      </c>
      <c r="I1323" s="37" t="inlineStr">
        <is>
          <t>SKIPPED</t>
        </is>
      </c>
      <c r="J1323" s="37" t="inlineStr">
        <is>
          <t>vessel-fit</t>
        </is>
      </c>
    </row>
    <row r="1324">
      <c r="A1324" s="37" t="inlineStr">
        <is>
          <t>OFR-2026-1323</t>
        </is>
      </c>
      <c r="B1324" s="43" t="n">
        <v>46094</v>
      </c>
      <c r="C1324" s="37" t="inlineStr">
        <is>
          <t>WL-03279</t>
        </is>
      </c>
      <c r="D1324" s="37" t="n">
        <v>2279</v>
      </c>
      <c r="E1324" s="37" t="inlineStr">
        <is>
          <t>EW-0916</t>
        </is>
      </c>
      <c r="F1324" s="37" t="inlineStr">
        <is>
          <t>Eastwey</t>
        </is>
      </c>
      <c r="G1324" s="37" t="n">
        <v>24</v>
      </c>
      <c r="H1324" s="37" t="inlineStr">
        <is>
          <t>OPEN</t>
        </is>
      </c>
      <c r="I1324" s="37" t="inlineStr">
        <is>
          <t>SKIPPED</t>
        </is>
      </c>
      <c r="J1324" s="37" t="inlineStr">
        <is>
          <t>vessel-fit</t>
        </is>
      </c>
    </row>
    <row r="1325">
      <c r="A1325" s="37" t="inlineStr">
        <is>
          <t>OFR-2026-1324</t>
        </is>
      </c>
      <c r="B1325" s="43" t="n">
        <v>46104</v>
      </c>
      <c r="C1325" s="37" t="inlineStr">
        <is>
          <t>WL-03909</t>
        </is>
      </c>
      <c r="D1325" s="37" t="n">
        <v>2909</v>
      </c>
      <c r="E1325" s="37" t="inlineStr">
        <is>
          <t>GW-0911</t>
        </is>
      </c>
      <c r="F1325" s="37" t="inlineStr">
        <is>
          <t>Gullwing</t>
        </is>
      </c>
      <c r="G1325" s="37" t="n">
        <v>32</v>
      </c>
      <c r="H1325" s="37" t="inlineStr">
        <is>
          <t>OPEN</t>
        </is>
      </c>
      <c r="I1325" s="37" t="inlineStr">
        <is>
          <t>ACCEPTED</t>
        </is>
      </c>
    </row>
    <row r="1326">
      <c r="A1326" s="37" t="inlineStr">
        <is>
          <t>OFR-2026-1325</t>
        </is>
      </c>
      <c r="B1326" s="43" t="n">
        <v>46088</v>
      </c>
      <c r="C1326" s="37" t="inlineStr">
        <is>
          <t>WL-03006</t>
        </is>
      </c>
      <c r="D1326" s="37" t="n">
        <v>2006</v>
      </c>
      <c r="E1326" s="37" t="inlineStr">
        <is>
          <t>LP-0405</t>
        </is>
      </c>
      <c r="F1326" s="37" t="inlineStr">
        <is>
          <t>Ledgport</t>
        </is>
      </c>
      <c r="G1326" s="37" t="n">
        <v>24</v>
      </c>
      <c r="H1326" s="37" t="inlineStr">
        <is>
          <t>COVERED</t>
        </is>
      </c>
      <c r="I1326" s="37" t="inlineStr">
        <is>
          <t>ACCEPTED</t>
        </is>
      </c>
    </row>
    <row r="1327">
      <c r="A1327" s="37" t="inlineStr">
        <is>
          <t>OFR-2026-1326</t>
        </is>
      </c>
      <c r="B1327" s="43" t="n">
        <v>46097</v>
      </c>
      <c r="C1327" s="37" t="inlineStr">
        <is>
          <t>WL-02153</t>
        </is>
      </c>
      <c r="D1327" s="37" t="n">
        <v>1153</v>
      </c>
      <c r="E1327" s="37" t="inlineStr">
        <is>
          <t>VB-0711</t>
        </is>
      </c>
      <c r="F1327" s="37" t="inlineStr">
        <is>
          <t>Vessbank</t>
        </is>
      </c>
      <c r="G1327" s="37" t="n">
        <v>36</v>
      </c>
      <c r="H1327" s="37" t="inlineStr">
        <is>
          <t>COVERED</t>
        </is>
      </c>
      <c r="I1327" s="37" t="inlineStr">
        <is>
          <t>DECLINED_RETAINER</t>
        </is>
      </c>
    </row>
    <row r="1328">
      <c r="A1328" s="37" t="inlineStr">
        <is>
          <t>OFR-2026-1327</t>
        </is>
      </c>
      <c r="B1328" s="43" t="n">
        <v>46107</v>
      </c>
      <c r="C1328" s="37" t="inlineStr">
        <is>
          <t>WL-03305</t>
        </is>
      </c>
      <c r="D1328" s="37" t="n">
        <v>2305</v>
      </c>
      <c r="E1328" s="37" t="inlineStr">
        <is>
          <t>GW-0509</t>
        </is>
      </c>
      <c r="F1328" s="37" t="inlineStr">
        <is>
          <t>Gullwing</t>
        </is>
      </c>
      <c r="G1328" s="37" t="n">
        <v>45</v>
      </c>
      <c r="H1328" s="37" t="inlineStr">
        <is>
          <t>OPEN</t>
        </is>
      </c>
      <c r="I1328" s="37" t="inlineStr">
        <is>
          <t>SKIPPED</t>
        </is>
      </c>
      <c r="J1328" s="37" t="inlineStr">
        <is>
          <t>declined-prior-offer</t>
        </is>
      </c>
    </row>
    <row r="1329">
      <c r="A1329" s="37" t="inlineStr">
        <is>
          <t>OFR-2026-1328</t>
        </is>
      </c>
      <c r="B1329" s="43" t="n">
        <v>46099</v>
      </c>
      <c r="C1329" s="37" t="inlineStr">
        <is>
          <t>WL-02417</t>
        </is>
      </c>
      <c r="D1329" s="37" t="n">
        <v>1417</v>
      </c>
      <c r="E1329" s="37" t="inlineStr">
        <is>
          <t>GW-0323</t>
        </is>
      </c>
      <c r="F1329" s="37" t="inlineStr">
        <is>
          <t>Gullwing</t>
        </is>
      </c>
      <c r="G1329" s="37" t="n">
        <v>80</v>
      </c>
      <c r="H1329" s="37" t="inlineStr">
        <is>
          <t>OPEN</t>
        </is>
      </c>
      <c r="I1329" s="37" t="inlineStr">
        <is>
          <t>SKIPPED</t>
        </is>
      </c>
      <c r="J1329" s="37" t="inlineStr">
        <is>
          <t>declined-prior-offer</t>
        </is>
      </c>
    </row>
    <row r="1330">
      <c r="A1330" s="37" t="inlineStr">
        <is>
          <t>OFR-2026-1329</t>
        </is>
      </c>
      <c r="B1330" s="43" t="n">
        <v>46128</v>
      </c>
      <c r="C1330" s="37" t="inlineStr">
        <is>
          <t>WL-02232</t>
        </is>
      </c>
      <c r="D1330" s="37" t="n">
        <v>1232</v>
      </c>
      <c r="E1330" s="37" t="inlineStr">
        <is>
          <t>SB-0323</t>
        </is>
      </c>
      <c r="F1330" s="37" t="inlineStr">
        <is>
          <t>Salmonberry</t>
        </is>
      </c>
      <c r="G1330" s="37" t="n">
        <v>70</v>
      </c>
      <c r="H1330" s="37" t="inlineStr">
        <is>
          <t>OPEN</t>
        </is>
      </c>
      <c r="I1330" s="37" t="inlineStr">
        <is>
          <t>ACCEPTED</t>
        </is>
      </c>
    </row>
    <row r="1331">
      <c r="A1331" s="37" t="inlineStr">
        <is>
          <t>OFR-2026-1330</t>
        </is>
      </c>
      <c r="B1331" s="43" t="n">
        <v>46113</v>
      </c>
      <c r="C1331" s="37" t="inlineStr">
        <is>
          <t>WL-01084</t>
        </is>
      </c>
      <c r="D1331" s="37" t="n">
        <v>84</v>
      </c>
      <c r="E1331" s="37" t="inlineStr">
        <is>
          <t>SB-0419</t>
        </is>
      </c>
      <c r="F1331" s="37" t="inlineStr">
        <is>
          <t>Salmonberry</t>
        </is>
      </c>
      <c r="G1331" s="37" t="n">
        <v>32</v>
      </c>
      <c r="H1331" s="37" t="inlineStr">
        <is>
          <t>OPEN</t>
        </is>
      </c>
      <c r="I1331" s="37" t="inlineStr">
        <is>
          <t>SKIPPED</t>
        </is>
      </c>
      <c r="J1331" s="37" t="inlineStr">
        <is>
          <t>declined-prior-offer</t>
        </is>
      </c>
    </row>
    <row r="1332">
      <c r="A1332" s="37" t="inlineStr">
        <is>
          <t>OFR-2026-1331</t>
        </is>
      </c>
      <c r="B1332" s="43" t="n">
        <v>46120</v>
      </c>
      <c r="C1332" s="37" t="inlineStr">
        <is>
          <t>WL-02069</t>
        </is>
      </c>
      <c r="D1332" s="37" t="n">
        <v>1069</v>
      </c>
      <c r="E1332" s="37" t="inlineStr">
        <is>
          <t>GW-0510</t>
        </is>
      </c>
      <c r="F1332" s="37" t="inlineStr">
        <is>
          <t>Gullwing</t>
        </is>
      </c>
      <c r="G1332" s="37" t="n">
        <v>24</v>
      </c>
      <c r="H1332" s="37" t="inlineStr">
        <is>
          <t>OPEN</t>
        </is>
      </c>
      <c r="I1332" s="37" t="inlineStr">
        <is>
          <t>ACCEPTED</t>
        </is>
      </c>
    </row>
    <row r="1333">
      <c r="A1333" s="37" t="inlineStr">
        <is>
          <t>OFR-2026-1332</t>
        </is>
      </c>
      <c r="B1333" s="43" t="n">
        <v>46117</v>
      </c>
      <c r="C1333" s="37" t="inlineStr">
        <is>
          <t>WL-03306</t>
        </is>
      </c>
      <c r="D1333" s="37" t="n">
        <v>2306</v>
      </c>
      <c r="E1333" s="37" t="inlineStr">
        <is>
          <t>SB-0307</t>
        </is>
      </c>
      <c r="F1333" s="37" t="inlineStr">
        <is>
          <t>Salmonberry</t>
        </is>
      </c>
      <c r="G1333" s="37" t="n">
        <v>32</v>
      </c>
      <c r="H1333" s="37" t="inlineStr">
        <is>
          <t>OPEN</t>
        </is>
      </c>
      <c r="I1333" s="37" t="inlineStr">
        <is>
          <t>SKIPPED</t>
        </is>
      </c>
      <c r="J1333" s="37" t="inlineStr">
        <is>
          <t>declined-prior-offer</t>
        </is>
      </c>
    </row>
    <row r="1334">
      <c r="A1334" s="37" t="inlineStr">
        <is>
          <t>OFR-2026-1333</t>
        </is>
      </c>
      <c r="B1334" s="43" t="n">
        <v>46116</v>
      </c>
      <c r="C1334" s="37" t="inlineStr">
        <is>
          <t>WL-01283</t>
        </is>
      </c>
      <c r="D1334" s="37" t="n">
        <v>283</v>
      </c>
      <c r="E1334" s="37" t="inlineStr">
        <is>
          <t>SB-0911</t>
        </is>
      </c>
      <c r="F1334" s="37" t="inlineStr">
        <is>
          <t>Salmonberry</t>
        </is>
      </c>
      <c r="G1334" s="37" t="n">
        <v>28</v>
      </c>
      <c r="H1334" s="37" t="inlineStr">
        <is>
          <t>OPEN</t>
        </is>
      </c>
      <c r="I1334" s="37" t="inlineStr">
        <is>
          <t>SKIPPED</t>
        </is>
      </c>
      <c r="J1334" s="37" t="inlineStr">
        <is>
          <t>vessel-fit</t>
        </is>
      </c>
    </row>
    <row r="1335">
      <c r="A1335" s="37" t="inlineStr">
        <is>
          <t>OFR-2026-1334</t>
        </is>
      </c>
      <c r="B1335" s="43" t="n">
        <v>46127</v>
      </c>
      <c r="C1335" s="37" t="inlineStr">
        <is>
          <t>WL-03057</t>
        </is>
      </c>
      <c r="D1335" s="37" t="n">
        <v>2057</v>
      </c>
      <c r="E1335" s="37" t="inlineStr">
        <is>
          <t>VB-0124</t>
        </is>
      </c>
      <c r="F1335" s="37" t="inlineStr">
        <is>
          <t>Vessbank</t>
        </is>
      </c>
      <c r="G1335" s="37" t="n">
        <v>32</v>
      </c>
      <c r="H1335" s="37" t="inlineStr">
        <is>
          <t>COVERED</t>
        </is>
      </c>
      <c r="I1335" s="37" t="inlineStr">
        <is>
          <t>ACCEPTED</t>
        </is>
      </c>
    </row>
    <row r="1336">
      <c r="A1336" s="37" t="inlineStr">
        <is>
          <t>OFR-2026-1335</t>
        </is>
      </c>
      <c r="B1336" s="43" t="n">
        <v>46113</v>
      </c>
      <c r="C1336" s="37" t="inlineStr">
        <is>
          <t>WL-02766</t>
        </is>
      </c>
      <c r="D1336" s="37" t="n">
        <v>1766</v>
      </c>
      <c r="E1336" s="37" t="inlineStr">
        <is>
          <t>SB-0908</t>
        </is>
      </c>
      <c r="F1336" s="37" t="inlineStr">
        <is>
          <t>Salmonberry</t>
        </is>
      </c>
      <c r="G1336" s="37" t="n">
        <v>36</v>
      </c>
      <c r="H1336" s="37" t="inlineStr">
        <is>
          <t>OPEN</t>
        </is>
      </c>
      <c r="I1336" s="37" t="inlineStr">
        <is>
          <t>SKIPPED</t>
        </is>
      </c>
      <c r="J1336" s="37" t="inlineStr">
        <is>
          <t>not-current</t>
        </is>
      </c>
    </row>
    <row r="1337">
      <c r="A1337" s="37" t="inlineStr">
        <is>
          <t>OFR-2026-1336</t>
        </is>
      </c>
      <c r="B1337" s="43" t="n">
        <v>46119</v>
      </c>
      <c r="C1337" s="37" t="inlineStr">
        <is>
          <t>WL-03345</t>
        </is>
      </c>
      <c r="D1337" s="37" t="n">
        <v>2345</v>
      </c>
      <c r="E1337" s="37" t="inlineStr">
        <is>
          <t>GW-0806</t>
        </is>
      </c>
      <c r="F1337" s="37" t="inlineStr">
        <is>
          <t>Gullwing</t>
        </is>
      </c>
      <c r="G1337" s="37" t="n">
        <v>36</v>
      </c>
      <c r="H1337" s="37" t="inlineStr">
        <is>
          <t>OPEN</t>
        </is>
      </c>
      <c r="I1337" s="37" t="inlineStr">
        <is>
          <t>ACCEPTED</t>
        </is>
      </c>
    </row>
    <row r="1338">
      <c r="A1338" s="37" t="inlineStr">
        <is>
          <t>OFR-2026-1337</t>
        </is>
      </c>
      <c r="B1338" s="43" t="n">
        <v>46117</v>
      </c>
      <c r="C1338" s="37" t="inlineStr">
        <is>
          <t>WL-03088</t>
        </is>
      </c>
      <c r="D1338" s="37" t="n">
        <v>2088</v>
      </c>
      <c r="E1338" s="37" t="inlineStr">
        <is>
          <t>SB-0213</t>
        </is>
      </c>
      <c r="F1338" s="37" t="inlineStr">
        <is>
          <t>Salmonberry</t>
        </is>
      </c>
      <c r="G1338" s="37" t="n">
        <v>40</v>
      </c>
      <c r="H1338" s="37" t="inlineStr">
        <is>
          <t>OPEN</t>
        </is>
      </c>
      <c r="I1338" s="37" t="inlineStr">
        <is>
          <t>SKIPPED</t>
        </is>
      </c>
      <c r="J1338" s="37" t="inlineStr">
        <is>
          <t>declined-prior-offer</t>
        </is>
      </c>
    </row>
    <row r="1339">
      <c r="A1339" s="37" t="inlineStr">
        <is>
          <t>OFR-2026-1338</t>
        </is>
      </c>
      <c r="B1339" s="43" t="n">
        <v>46134</v>
      </c>
      <c r="C1339" s="37" t="inlineStr">
        <is>
          <t>WL-01751</t>
        </is>
      </c>
      <c r="D1339" s="37" t="n">
        <v>751</v>
      </c>
      <c r="E1339" s="37" t="inlineStr">
        <is>
          <t>VB-0105</t>
        </is>
      </c>
      <c r="F1339" s="37" t="inlineStr">
        <is>
          <t>Vessbank</t>
        </is>
      </c>
      <c r="G1339" s="37" t="n">
        <v>40</v>
      </c>
      <c r="H1339" s="37" t="inlineStr">
        <is>
          <t>COVERED</t>
        </is>
      </c>
      <c r="I1339" s="37" t="inlineStr">
        <is>
          <t>PENDING</t>
        </is>
      </c>
    </row>
    <row r="1340">
      <c r="A1340" s="37" t="inlineStr">
        <is>
          <t>OFR-2026-1339</t>
        </is>
      </c>
      <c r="B1340" s="43" t="n">
        <v>46124</v>
      </c>
      <c r="C1340" s="37" t="inlineStr">
        <is>
          <t>WL-03139</t>
        </is>
      </c>
      <c r="D1340" s="37" t="n">
        <v>2139</v>
      </c>
      <c r="E1340" s="37" t="inlineStr">
        <is>
          <t>GW-0601</t>
        </is>
      </c>
      <c r="F1340" s="37" t="inlineStr">
        <is>
          <t>Gullwing</t>
        </is>
      </c>
      <c r="G1340" s="37" t="n">
        <v>32</v>
      </c>
      <c r="H1340" s="37" t="inlineStr">
        <is>
          <t>OPEN</t>
        </is>
      </c>
      <c r="I1340" s="37" t="inlineStr">
        <is>
          <t>SKIPPED</t>
        </is>
      </c>
      <c r="J1340" s="37" t="inlineStr">
        <is>
          <t>declined-prior-offer</t>
        </is>
      </c>
    </row>
    <row r="1341">
      <c r="A1341" s="37" t="inlineStr">
        <is>
          <t>OFR-2026-1340</t>
        </is>
      </c>
      <c r="B1341" s="43" t="n">
        <v>46133</v>
      </c>
      <c r="C1341" s="37" t="inlineStr">
        <is>
          <t>WL-03149</t>
        </is>
      </c>
      <c r="D1341" s="37" t="n">
        <v>2149</v>
      </c>
      <c r="E1341" s="37" t="inlineStr">
        <is>
          <t>VB-0419</t>
        </is>
      </c>
      <c r="F1341" s="37" t="inlineStr">
        <is>
          <t>Vessbank</t>
        </is>
      </c>
      <c r="G1341" s="37" t="n">
        <v>32</v>
      </c>
      <c r="H1341" s="37" t="inlineStr">
        <is>
          <t>COVERED</t>
        </is>
      </c>
      <c r="I1341" s="37" t="inlineStr">
        <is>
          <t>WITHDRAWN</t>
        </is>
      </c>
    </row>
    <row r="1342">
      <c r="A1342" s="37" t="inlineStr">
        <is>
          <t>OFR-2026-1341</t>
        </is>
      </c>
      <c r="B1342" s="43" t="n">
        <v>46130</v>
      </c>
      <c r="C1342" s="37" t="inlineStr">
        <is>
          <t>WL-03082</t>
        </is>
      </c>
      <c r="D1342" s="37" t="n">
        <v>2082</v>
      </c>
      <c r="E1342" s="37" t="inlineStr">
        <is>
          <t>SB-0415</t>
        </is>
      </c>
      <c r="F1342" s="37" t="inlineStr">
        <is>
          <t>Salmonberry</t>
        </is>
      </c>
      <c r="G1342" s="37" t="n">
        <v>28</v>
      </c>
      <c r="H1342" s="37" t="inlineStr">
        <is>
          <t>OPEN</t>
        </is>
      </c>
      <c r="I1342" s="37" t="inlineStr">
        <is>
          <t>ACCEPTED</t>
        </is>
      </c>
    </row>
    <row r="1343">
      <c r="A1343" s="37" t="inlineStr">
        <is>
          <t>OFR-2026-1342</t>
        </is>
      </c>
      <c r="B1343" s="43" t="n">
        <v>46121</v>
      </c>
      <c r="C1343" s="37" t="inlineStr">
        <is>
          <t>WL-02464</t>
        </is>
      </c>
      <c r="D1343" s="37" t="n">
        <v>1464</v>
      </c>
      <c r="E1343" s="37" t="inlineStr">
        <is>
          <t>LP-0815</t>
        </is>
      </c>
      <c r="F1343" s="37" t="inlineStr">
        <is>
          <t>Ledgport</t>
        </is>
      </c>
      <c r="G1343" s="37" t="n">
        <v>24</v>
      </c>
      <c r="H1343" s="37" t="inlineStr">
        <is>
          <t>COVERED</t>
        </is>
      </c>
      <c r="I1343" s="37" t="inlineStr">
        <is>
          <t>ACCEPTED</t>
        </is>
      </c>
    </row>
    <row r="1344">
      <c r="A1344" s="37" t="inlineStr">
        <is>
          <t>OFR-2026-1343</t>
        </is>
      </c>
      <c r="B1344" s="43" t="n">
        <v>46136</v>
      </c>
      <c r="C1344" s="37" t="inlineStr">
        <is>
          <t>WL-01294</t>
        </is>
      </c>
      <c r="D1344" s="37" t="n">
        <v>294</v>
      </c>
      <c r="E1344" s="37" t="inlineStr">
        <is>
          <t>VB-1002</t>
        </is>
      </c>
      <c r="F1344" s="37" t="inlineStr">
        <is>
          <t>Vessbank</t>
        </is>
      </c>
      <c r="G1344" s="37" t="n">
        <v>28</v>
      </c>
      <c r="H1344" s="37" t="inlineStr">
        <is>
          <t>COVERED</t>
        </is>
      </c>
      <c r="I1344" s="37" t="inlineStr">
        <is>
          <t>ACCEPTED</t>
        </is>
      </c>
    </row>
    <row r="1345">
      <c r="A1345" s="37" t="inlineStr">
        <is>
          <t>OFR-2026-1344</t>
        </is>
      </c>
      <c r="B1345" s="43" t="n">
        <v>46125</v>
      </c>
      <c r="C1345" s="37" t="inlineStr">
        <is>
          <t>WL-02120</t>
        </is>
      </c>
      <c r="D1345" s="37" t="n">
        <v>1120</v>
      </c>
      <c r="E1345" s="37" t="inlineStr">
        <is>
          <t>LP-0312</t>
        </is>
      </c>
      <c r="F1345" s="37" t="inlineStr">
        <is>
          <t>Ledgport</t>
        </is>
      </c>
      <c r="G1345" s="37" t="n">
        <v>24</v>
      </c>
      <c r="H1345" s="37" t="inlineStr">
        <is>
          <t>COVERED</t>
        </is>
      </c>
      <c r="I1345" s="37" t="inlineStr">
        <is>
          <t>SKIPPED</t>
        </is>
      </c>
      <c r="J1345" s="37" t="inlineStr">
        <is>
          <t>vessel-fit</t>
        </is>
      </c>
    </row>
    <row r="1346">
      <c r="A1346" s="37" t="inlineStr">
        <is>
          <t>OFR-2026-1345</t>
        </is>
      </c>
      <c r="B1346" s="43" t="n">
        <v>46118</v>
      </c>
      <c r="C1346" s="37" t="inlineStr">
        <is>
          <t>WL-02353</t>
        </is>
      </c>
      <c r="D1346" s="37" t="n">
        <v>1353</v>
      </c>
      <c r="E1346" s="37" t="inlineStr">
        <is>
          <t>LP-0601</t>
        </is>
      </c>
      <c r="F1346" s="37" t="inlineStr">
        <is>
          <t>Ledgport</t>
        </is>
      </c>
      <c r="G1346" s="37" t="n">
        <v>24</v>
      </c>
      <c r="H1346" s="37" t="inlineStr">
        <is>
          <t>COVERED</t>
        </is>
      </c>
      <c r="I1346" s="37" t="inlineStr">
        <is>
          <t>SKIPPED</t>
        </is>
      </c>
      <c r="J1346" s="37" t="inlineStr">
        <is>
          <t>preference-mismatch</t>
        </is>
      </c>
    </row>
    <row r="1347">
      <c r="A1347" s="37" t="inlineStr">
        <is>
          <t>OFR-2026-1346</t>
        </is>
      </c>
      <c r="B1347" s="43" t="n">
        <v>46131</v>
      </c>
      <c r="C1347" s="37" t="inlineStr">
        <is>
          <t>WL-02504</t>
        </is>
      </c>
      <c r="D1347" s="37" t="n">
        <v>1504</v>
      </c>
      <c r="E1347" s="37" t="inlineStr">
        <is>
          <t>SB-0104</t>
        </is>
      </c>
      <c r="F1347" s="37" t="inlineStr">
        <is>
          <t>Salmonberry</t>
        </is>
      </c>
      <c r="G1347" s="37" t="n">
        <v>50</v>
      </c>
      <c r="H1347" s="37" t="inlineStr">
        <is>
          <t>OPEN</t>
        </is>
      </c>
      <c r="I1347" s="37" t="inlineStr">
        <is>
          <t>SKIPPED</t>
        </is>
      </c>
      <c r="J1347" s="37" t="inlineStr">
        <is>
          <t>not-current</t>
        </is>
      </c>
    </row>
    <row r="1348">
      <c r="A1348" s="37" t="inlineStr">
        <is>
          <t>OFR-2026-1347</t>
        </is>
      </c>
      <c r="B1348" s="43" t="n">
        <v>46129</v>
      </c>
      <c r="C1348" s="37" t="inlineStr">
        <is>
          <t>WL-02706</t>
        </is>
      </c>
      <c r="D1348" s="37" t="n">
        <v>1706</v>
      </c>
      <c r="E1348" s="37" t="inlineStr">
        <is>
          <t>GW-0513</t>
        </is>
      </c>
      <c r="F1348" s="37" t="inlineStr">
        <is>
          <t>Gullwing</t>
        </is>
      </c>
      <c r="G1348" s="37" t="n">
        <v>32</v>
      </c>
      <c r="H1348" s="37" t="inlineStr">
        <is>
          <t>OPEN</t>
        </is>
      </c>
      <c r="I1348" s="37" t="inlineStr">
        <is>
          <t>SKIPPED</t>
        </is>
      </c>
      <c r="J1348" s="37" t="inlineStr">
        <is>
          <t>not-current</t>
        </is>
      </c>
    </row>
    <row r="1349">
      <c r="A1349" s="37" t="inlineStr">
        <is>
          <t>OFR-2026-1348</t>
        </is>
      </c>
      <c r="B1349" s="43" t="n">
        <v>46114</v>
      </c>
      <c r="C1349" s="37" t="inlineStr">
        <is>
          <t>WL-01288</t>
        </is>
      </c>
      <c r="D1349" s="37" t="n">
        <v>288</v>
      </c>
      <c r="E1349" s="37" t="inlineStr">
        <is>
          <t>VB-0916</t>
        </is>
      </c>
      <c r="F1349" s="37" t="inlineStr">
        <is>
          <t>Vessbank</t>
        </is>
      </c>
      <c r="G1349" s="37" t="n">
        <v>24</v>
      </c>
      <c r="H1349" s="37" t="inlineStr">
        <is>
          <t>COVERED</t>
        </is>
      </c>
      <c r="I1349" s="37" t="inlineStr">
        <is>
          <t>SKIPPED</t>
        </is>
      </c>
      <c r="J1349" s="37" t="inlineStr">
        <is>
          <t>declined-prior-offer</t>
        </is>
      </c>
    </row>
    <row r="1350">
      <c r="A1350" s="37" t="inlineStr">
        <is>
          <t>OFR-2026-1349</t>
        </is>
      </c>
      <c r="B1350" s="43" t="n">
        <v>46123</v>
      </c>
      <c r="C1350" s="37" t="inlineStr">
        <is>
          <t>WL-01747</t>
        </is>
      </c>
      <c r="D1350" s="37" t="n">
        <v>747</v>
      </c>
      <c r="E1350" s="37" t="inlineStr">
        <is>
          <t>GW-1020</t>
        </is>
      </c>
      <c r="F1350" s="37" t="inlineStr">
        <is>
          <t>Gullwing</t>
        </is>
      </c>
      <c r="G1350" s="37" t="n">
        <v>32</v>
      </c>
      <c r="H1350" s="37" t="inlineStr">
        <is>
          <t>OPEN</t>
        </is>
      </c>
      <c r="I1350" s="37" t="inlineStr">
        <is>
          <t>EXPIRED</t>
        </is>
      </c>
    </row>
    <row r="1351">
      <c r="A1351" s="37" t="inlineStr">
        <is>
          <t>OFR-2026-1350</t>
        </is>
      </c>
      <c r="B1351" s="43" t="n">
        <v>46119</v>
      </c>
      <c r="C1351" s="37" t="inlineStr">
        <is>
          <t>WL-02639</t>
        </is>
      </c>
      <c r="D1351" s="37" t="n">
        <v>1639</v>
      </c>
      <c r="E1351" s="37" t="inlineStr">
        <is>
          <t>LP-1102</t>
        </is>
      </c>
      <c r="F1351" s="37" t="inlineStr">
        <is>
          <t>Ledgport</t>
        </is>
      </c>
      <c r="G1351" s="37" t="n">
        <v>28</v>
      </c>
      <c r="H1351" s="37" t="inlineStr">
        <is>
          <t>COVERED</t>
        </is>
      </c>
      <c r="I1351" s="37" t="inlineStr">
        <is>
          <t>SKIPPED</t>
        </is>
      </c>
      <c r="J1351" s="37" t="inlineStr">
        <is>
          <t>vessel-fit</t>
        </is>
      </c>
    </row>
    <row r="1352">
      <c r="A1352" s="37" t="inlineStr">
        <is>
          <t>OFR-2026-1351</t>
        </is>
      </c>
      <c r="B1352" s="43" t="n">
        <v>46125</v>
      </c>
      <c r="C1352" s="37" t="inlineStr">
        <is>
          <t>WL-02390</t>
        </is>
      </c>
      <c r="D1352" s="37" t="n">
        <v>1390</v>
      </c>
      <c r="E1352" s="37" t="inlineStr">
        <is>
          <t>SB-0809</t>
        </is>
      </c>
      <c r="F1352" s="37" t="inlineStr">
        <is>
          <t>Salmonberry</t>
        </is>
      </c>
      <c r="G1352" s="37" t="n">
        <v>45</v>
      </c>
      <c r="H1352" s="37" t="inlineStr">
        <is>
          <t>OPEN</t>
        </is>
      </c>
      <c r="I1352" s="37" t="inlineStr">
        <is>
          <t>ACCEPTED</t>
        </is>
      </c>
    </row>
    <row r="1353">
      <c r="A1353" s="37" t="inlineStr">
        <is>
          <t>OFR-2026-1352</t>
        </is>
      </c>
      <c r="B1353" s="43" t="n">
        <v>46134</v>
      </c>
      <c r="C1353" s="37" t="inlineStr">
        <is>
          <t>WL-03493</t>
        </is>
      </c>
      <c r="D1353" s="37" t="n">
        <v>2493</v>
      </c>
      <c r="E1353" s="37" t="inlineStr">
        <is>
          <t>GW-0420</t>
        </is>
      </c>
      <c r="F1353" s="37" t="inlineStr">
        <is>
          <t>Gullwing</t>
        </is>
      </c>
      <c r="G1353" s="37" t="n">
        <v>28</v>
      </c>
      <c r="H1353" s="37" t="inlineStr">
        <is>
          <t>OPEN</t>
        </is>
      </c>
      <c r="I1353" s="37" t="inlineStr">
        <is>
          <t>ACCEPTED</t>
        </is>
      </c>
    </row>
    <row r="1354">
      <c r="A1354" s="37" t="inlineStr">
        <is>
          <t>OFR-2026-1353</t>
        </is>
      </c>
      <c r="B1354" s="43" t="n">
        <v>46125</v>
      </c>
      <c r="C1354" s="37" t="inlineStr">
        <is>
          <t>WL-01405</t>
        </is>
      </c>
      <c r="D1354" s="37" t="n">
        <v>405</v>
      </c>
      <c r="E1354" s="37" t="inlineStr">
        <is>
          <t>VB-0604</t>
        </is>
      </c>
      <c r="F1354" s="37" t="inlineStr">
        <is>
          <t>Vessbank</t>
        </is>
      </c>
      <c r="G1354" s="37" t="n">
        <v>28</v>
      </c>
      <c r="H1354" s="37" t="inlineStr">
        <is>
          <t>COVERED</t>
        </is>
      </c>
      <c r="I1354" s="37" t="inlineStr">
        <is>
          <t>WITHDRAWN</t>
        </is>
      </c>
    </row>
    <row r="1355">
      <c r="A1355" s="37" t="inlineStr">
        <is>
          <t>OFR-2026-1354</t>
        </is>
      </c>
      <c r="B1355" s="43" t="n">
        <v>46125</v>
      </c>
      <c r="C1355" s="37" t="inlineStr">
        <is>
          <t>WL-01412</t>
        </is>
      </c>
      <c r="D1355" s="37" t="n">
        <v>412</v>
      </c>
      <c r="E1355" s="37" t="inlineStr">
        <is>
          <t>EW-0909</t>
        </is>
      </c>
      <c r="F1355" s="37" t="inlineStr">
        <is>
          <t>Eastwey</t>
        </is>
      </c>
      <c r="G1355" s="37" t="n">
        <v>45</v>
      </c>
      <c r="H1355" s="37" t="inlineStr">
        <is>
          <t>OPEN</t>
        </is>
      </c>
      <c r="I1355" s="37" t="inlineStr">
        <is>
          <t>DECLINED_RETAINER</t>
        </is>
      </c>
    </row>
    <row r="1356">
      <c r="A1356" s="37" t="inlineStr">
        <is>
          <t>OFR-2026-1355</t>
        </is>
      </c>
      <c r="B1356" s="43" t="n">
        <v>46134</v>
      </c>
      <c r="C1356" s="37" t="inlineStr">
        <is>
          <t>WL-03358</t>
        </is>
      </c>
      <c r="D1356" s="37" t="n">
        <v>2358</v>
      </c>
      <c r="E1356" s="37" t="inlineStr">
        <is>
          <t>LP-0115</t>
        </is>
      </c>
      <c r="F1356" s="37" t="inlineStr">
        <is>
          <t>Ledgport</t>
        </is>
      </c>
      <c r="G1356" s="37" t="n">
        <v>28</v>
      </c>
      <c r="H1356" s="37" t="inlineStr">
        <is>
          <t>COVERED</t>
        </is>
      </c>
      <c r="I1356" s="37" t="inlineStr">
        <is>
          <t>DECLINED</t>
        </is>
      </c>
    </row>
    <row r="1357">
      <c r="A1357" s="37" t="inlineStr">
        <is>
          <t>OFR-2026-1356</t>
        </is>
      </c>
      <c r="B1357" s="43" t="n">
        <v>46128</v>
      </c>
      <c r="C1357" s="37" t="inlineStr">
        <is>
          <t>WL-03565</t>
        </is>
      </c>
      <c r="D1357" s="37" t="n">
        <v>2565</v>
      </c>
      <c r="E1357" s="37" t="inlineStr">
        <is>
          <t>GW-0303</t>
        </is>
      </c>
      <c r="F1357" s="37" t="inlineStr">
        <is>
          <t>Gullwing</t>
        </is>
      </c>
      <c r="G1357" s="37" t="n">
        <v>28</v>
      </c>
      <c r="H1357" s="37" t="inlineStr">
        <is>
          <t>OPEN</t>
        </is>
      </c>
      <c r="I1357" s="37" t="inlineStr">
        <is>
          <t>DECLINED</t>
        </is>
      </c>
    </row>
    <row r="1358">
      <c r="A1358" s="37" t="inlineStr">
        <is>
          <t>OFR-2026-1357</t>
        </is>
      </c>
      <c r="B1358" s="43" t="n">
        <v>46170</v>
      </c>
      <c r="C1358" s="37" t="inlineStr">
        <is>
          <t>WL-01823</t>
        </is>
      </c>
      <c r="D1358" s="37" t="n">
        <v>823</v>
      </c>
      <c r="E1358" s="37" t="inlineStr">
        <is>
          <t>SB-0605</t>
        </is>
      </c>
      <c r="F1358" s="37" t="inlineStr">
        <is>
          <t>Salmonberry</t>
        </is>
      </c>
      <c r="G1358" s="37" t="n">
        <v>24</v>
      </c>
      <c r="H1358" s="37" t="inlineStr">
        <is>
          <t>OPEN</t>
        </is>
      </c>
      <c r="I1358" s="37" t="inlineStr">
        <is>
          <t>ACCEPTED</t>
        </is>
      </c>
    </row>
    <row r="1359">
      <c r="A1359" s="37" t="inlineStr">
        <is>
          <t>OFR-2026-1358</t>
        </is>
      </c>
      <c r="B1359" s="43" t="n">
        <v>46151</v>
      </c>
      <c r="C1359" s="37" t="inlineStr">
        <is>
          <t>WL-03754</t>
        </is>
      </c>
      <c r="D1359" s="37" t="n">
        <v>2754</v>
      </c>
      <c r="E1359" s="37" t="inlineStr">
        <is>
          <t>LP-0923</t>
        </is>
      </c>
      <c r="F1359" s="37" t="inlineStr">
        <is>
          <t>Ledgport</t>
        </is>
      </c>
      <c r="G1359" s="37" t="n">
        <v>24</v>
      </c>
      <c r="H1359" s="37" t="inlineStr">
        <is>
          <t>COVERED</t>
        </is>
      </c>
      <c r="I1359" s="37" t="inlineStr">
        <is>
          <t>SKIPPED</t>
        </is>
      </c>
      <c r="J1359" s="37" t="inlineStr">
        <is>
          <t>not-current</t>
        </is>
      </c>
    </row>
    <row r="1360">
      <c r="A1360" s="37" t="inlineStr">
        <is>
          <t>OFR-2026-1359</t>
        </is>
      </c>
      <c r="B1360" s="43" t="n">
        <v>46158</v>
      </c>
      <c r="C1360" s="37" t="inlineStr">
        <is>
          <t>WL-02281</t>
        </is>
      </c>
      <c r="D1360" s="37" t="n">
        <v>1281</v>
      </c>
      <c r="E1360" s="37" t="inlineStr">
        <is>
          <t>SB-0805</t>
        </is>
      </c>
      <c r="F1360" s="37" t="inlineStr">
        <is>
          <t>Salmonberry</t>
        </is>
      </c>
      <c r="G1360" s="37" t="n">
        <v>24</v>
      </c>
      <c r="H1360" s="37" t="inlineStr">
        <is>
          <t>OPEN</t>
        </is>
      </c>
      <c r="I1360" s="37" t="inlineStr">
        <is>
          <t>ACCEPTED</t>
        </is>
      </c>
    </row>
    <row r="1361">
      <c r="A1361" s="37" t="inlineStr">
        <is>
          <t>OFR-2026-1360</t>
        </is>
      </c>
      <c r="B1361" s="43" t="n">
        <v>46148</v>
      </c>
      <c r="C1361" s="37" t="inlineStr">
        <is>
          <t>WL-01205</t>
        </is>
      </c>
      <c r="D1361" s="37" t="n">
        <v>205</v>
      </c>
      <c r="E1361" s="37" t="inlineStr">
        <is>
          <t>GW-0620</t>
        </is>
      </c>
      <c r="F1361" s="37" t="inlineStr">
        <is>
          <t>Gullwing</t>
        </is>
      </c>
      <c r="G1361" s="37" t="n">
        <v>70</v>
      </c>
      <c r="H1361" s="37" t="inlineStr">
        <is>
          <t>OPEN</t>
        </is>
      </c>
      <c r="I1361" s="37" t="inlineStr">
        <is>
          <t>SKIPPED</t>
        </is>
      </c>
      <c r="J1361" s="37" t="inlineStr">
        <is>
          <t>preference-mismatch</t>
        </is>
      </c>
    </row>
    <row r="1362">
      <c r="A1362" s="37" t="inlineStr">
        <is>
          <t>OFR-2026-1361</t>
        </is>
      </c>
      <c r="B1362" s="43" t="n">
        <v>46160</v>
      </c>
      <c r="C1362" s="37" t="inlineStr">
        <is>
          <t>WL-03607</t>
        </is>
      </c>
      <c r="D1362" s="37" t="n">
        <v>2607</v>
      </c>
      <c r="E1362" s="37" t="inlineStr">
        <is>
          <t>LP-1105</t>
        </is>
      </c>
      <c r="F1362" s="37" t="inlineStr">
        <is>
          <t>Ledgport</t>
        </is>
      </c>
      <c r="G1362" s="37" t="n">
        <v>36</v>
      </c>
      <c r="H1362" s="37" t="inlineStr">
        <is>
          <t>COVERED</t>
        </is>
      </c>
      <c r="I1362" s="37" t="inlineStr">
        <is>
          <t>SKIPPED</t>
        </is>
      </c>
      <c r="J1362" s="37" t="inlineStr">
        <is>
          <t>not-current</t>
        </is>
      </c>
    </row>
    <row r="1363">
      <c r="A1363" s="37" t="inlineStr">
        <is>
          <t>OFR-2026-1362</t>
        </is>
      </c>
      <c r="B1363" s="43" t="n">
        <v>46156</v>
      </c>
      <c r="C1363" s="37" t="inlineStr">
        <is>
          <t>WL-02559</t>
        </is>
      </c>
      <c r="D1363" s="37" t="n">
        <v>1559</v>
      </c>
      <c r="E1363" s="37" t="inlineStr">
        <is>
          <t>EW-0203</t>
        </is>
      </c>
      <c r="F1363" s="37" t="inlineStr">
        <is>
          <t>Eastwey</t>
        </is>
      </c>
      <c r="G1363" s="37" t="n">
        <v>28</v>
      </c>
      <c r="H1363" s="37" t="inlineStr">
        <is>
          <t>OPEN</t>
        </is>
      </c>
      <c r="I1363" s="37" t="inlineStr">
        <is>
          <t>ACCEPTED</t>
        </is>
      </c>
    </row>
    <row r="1364">
      <c r="A1364" s="37" t="inlineStr">
        <is>
          <t>OFR-2026-1363</t>
        </is>
      </c>
      <c r="B1364" s="43" t="n">
        <v>46150</v>
      </c>
      <c r="C1364" s="37" t="inlineStr">
        <is>
          <t>WL-03896</t>
        </is>
      </c>
      <c r="D1364" s="37" t="n">
        <v>2896</v>
      </c>
      <c r="E1364" s="37" t="inlineStr">
        <is>
          <t>LP-0220</t>
        </is>
      </c>
      <c r="F1364" s="37" t="inlineStr">
        <is>
          <t>Ledgport</t>
        </is>
      </c>
      <c r="G1364" s="37" t="n">
        <v>28</v>
      </c>
      <c r="H1364" s="37" t="inlineStr">
        <is>
          <t>COVERED</t>
        </is>
      </c>
      <c r="I1364" s="37" t="inlineStr">
        <is>
          <t>SKIPPED</t>
        </is>
      </c>
      <c r="J1364" s="37" t="inlineStr">
        <is>
          <t>vessel-fit</t>
        </is>
      </c>
    </row>
    <row r="1365">
      <c r="A1365" s="37" t="inlineStr">
        <is>
          <t>OFR-2026-1364</t>
        </is>
      </c>
      <c r="B1365" s="43" t="n">
        <v>46160</v>
      </c>
      <c r="C1365" s="37" t="inlineStr">
        <is>
          <t>WL-02844</t>
        </is>
      </c>
      <c r="D1365" s="37" t="n">
        <v>1844</v>
      </c>
      <c r="E1365" s="37" t="inlineStr">
        <is>
          <t>SB-0506</t>
        </is>
      </c>
      <c r="F1365" s="37" t="inlineStr">
        <is>
          <t>Salmonberry</t>
        </is>
      </c>
      <c r="G1365" s="37" t="n">
        <v>32</v>
      </c>
      <c r="H1365" s="37" t="inlineStr">
        <is>
          <t>OPEN</t>
        </is>
      </c>
      <c r="I1365" s="37" t="inlineStr">
        <is>
          <t>ACCEPTED</t>
        </is>
      </c>
    </row>
    <row r="1366">
      <c r="A1366" s="37" t="inlineStr">
        <is>
          <t>OFR-2026-1365</t>
        </is>
      </c>
      <c r="B1366" s="43" t="n">
        <v>46164</v>
      </c>
      <c r="C1366" s="37" t="inlineStr">
        <is>
          <t>WL-01014</t>
        </is>
      </c>
      <c r="D1366" s="37" t="n">
        <v>14</v>
      </c>
      <c r="E1366" s="37" t="inlineStr">
        <is>
          <t>LP-1008</t>
        </is>
      </c>
      <c r="F1366" s="37" t="inlineStr">
        <is>
          <t>Ledgport</t>
        </is>
      </c>
      <c r="G1366" s="37" t="n">
        <v>32</v>
      </c>
      <c r="H1366" s="37" t="inlineStr">
        <is>
          <t>COVERED</t>
        </is>
      </c>
      <c r="I1366" s="37" t="inlineStr">
        <is>
          <t>ACCEPTED</t>
        </is>
      </c>
    </row>
    <row r="1367">
      <c r="A1367" s="37" t="inlineStr">
        <is>
          <t>OFR-2026-1366</t>
        </is>
      </c>
      <c r="B1367" s="43" t="n">
        <v>46166</v>
      </c>
      <c r="C1367" s="37" t="inlineStr">
        <is>
          <t>WL-03247</t>
        </is>
      </c>
      <c r="D1367" s="37" t="n">
        <v>2247</v>
      </c>
      <c r="E1367" s="37" t="inlineStr">
        <is>
          <t>VB-0916</t>
        </is>
      </c>
      <c r="F1367" s="37" t="inlineStr">
        <is>
          <t>Vessbank</t>
        </is>
      </c>
      <c r="G1367" s="37" t="n">
        <v>24</v>
      </c>
      <c r="H1367" s="37" t="inlineStr">
        <is>
          <t>COVERED</t>
        </is>
      </c>
      <c r="I1367" s="37" t="inlineStr">
        <is>
          <t>SKIPPED</t>
        </is>
      </c>
      <c r="J1367" s="37" t="inlineStr">
        <is>
          <t>vessel-fit</t>
        </is>
      </c>
    </row>
    <row r="1368">
      <c r="A1368" s="37" t="inlineStr">
        <is>
          <t>OFR-2026-1367</t>
        </is>
      </c>
      <c r="B1368" s="43" t="n">
        <v>46169</v>
      </c>
      <c r="C1368" s="37" t="inlineStr">
        <is>
          <t>WL-02374</t>
        </is>
      </c>
      <c r="D1368" s="37" t="n">
        <v>1374</v>
      </c>
      <c r="E1368" s="37" t="inlineStr">
        <is>
          <t>VB-0324</t>
        </is>
      </c>
      <c r="F1368" s="37" t="inlineStr">
        <is>
          <t>Vessbank</t>
        </is>
      </c>
      <c r="G1368" s="37" t="n">
        <v>36</v>
      </c>
      <c r="H1368" s="37" t="inlineStr">
        <is>
          <t>COVERED</t>
        </is>
      </c>
      <c r="I1368" s="37" t="inlineStr">
        <is>
          <t>ACCEPTED</t>
        </is>
      </c>
    </row>
    <row r="1369">
      <c r="A1369" s="37" t="inlineStr">
        <is>
          <t>OFR-2026-1368</t>
        </is>
      </c>
      <c r="B1369" s="43" t="n">
        <v>46163</v>
      </c>
      <c r="C1369" s="37" t="inlineStr">
        <is>
          <t>WL-03483</t>
        </is>
      </c>
      <c r="D1369" s="37" t="n">
        <v>2483</v>
      </c>
      <c r="E1369" s="37" t="inlineStr">
        <is>
          <t>LP-0101</t>
        </is>
      </c>
      <c r="F1369" s="37" t="inlineStr">
        <is>
          <t>Ledgport</t>
        </is>
      </c>
      <c r="G1369" s="37" t="n">
        <v>24</v>
      </c>
      <c r="H1369" s="37" t="inlineStr">
        <is>
          <t>COVERED</t>
        </is>
      </c>
      <c r="I1369" s="37" t="inlineStr">
        <is>
          <t>ACCEPTED</t>
        </is>
      </c>
    </row>
    <row r="1370">
      <c r="A1370" s="37" t="inlineStr">
        <is>
          <t>OFR-2026-1369</t>
        </is>
      </c>
      <c r="B1370" s="43" t="n">
        <v>46149</v>
      </c>
      <c r="C1370" s="37" t="inlineStr">
        <is>
          <t>WL-02920</t>
        </is>
      </c>
      <c r="D1370" s="37" t="n">
        <v>1920</v>
      </c>
      <c r="E1370" s="37" t="inlineStr">
        <is>
          <t>GW-0205</t>
        </is>
      </c>
      <c r="F1370" s="37" t="inlineStr">
        <is>
          <t>Gullwing</t>
        </is>
      </c>
      <c r="G1370" s="37" t="n">
        <v>50</v>
      </c>
      <c r="H1370" s="37" t="inlineStr">
        <is>
          <t>OPEN</t>
        </is>
      </c>
      <c r="I1370" s="37" t="inlineStr">
        <is>
          <t>ACCEPTED</t>
        </is>
      </c>
    </row>
    <row r="1371">
      <c r="A1371" s="37" t="inlineStr">
        <is>
          <t>OFR-2026-1370</t>
        </is>
      </c>
      <c r="B1371" s="43" t="n">
        <v>46165</v>
      </c>
      <c r="C1371" s="37" t="inlineStr">
        <is>
          <t>WL-02930</t>
        </is>
      </c>
      <c r="D1371" s="37" t="n">
        <v>1930</v>
      </c>
      <c r="E1371" s="37" t="inlineStr">
        <is>
          <t>EW-0207</t>
        </is>
      </c>
      <c r="F1371" s="37" t="inlineStr">
        <is>
          <t>Eastwey</t>
        </is>
      </c>
      <c r="G1371" s="37" t="n">
        <v>45</v>
      </c>
      <c r="H1371" s="37" t="inlineStr">
        <is>
          <t>OPEN</t>
        </is>
      </c>
      <c r="I1371" s="37" t="inlineStr">
        <is>
          <t>ACCEPTED</t>
        </is>
      </c>
    </row>
    <row r="1372">
      <c r="A1372" s="37" t="inlineStr">
        <is>
          <t>OFR-2026-1371</t>
        </is>
      </c>
      <c r="B1372" s="43" t="n">
        <v>46165</v>
      </c>
      <c r="C1372" s="37" t="inlineStr">
        <is>
          <t>WL-01141</t>
        </is>
      </c>
      <c r="D1372" s="37" t="n">
        <v>141</v>
      </c>
      <c r="E1372" s="37" t="inlineStr">
        <is>
          <t>VB-0808</t>
        </is>
      </c>
      <c r="F1372" s="37" t="inlineStr">
        <is>
          <t>Vessbank</t>
        </is>
      </c>
      <c r="G1372" s="37" t="n">
        <v>24</v>
      </c>
      <c r="H1372" s="37" t="inlineStr">
        <is>
          <t>COVERED</t>
        </is>
      </c>
      <c r="I1372" s="37" t="inlineStr">
        <is>
          <t>ACCEPTED</t>
        </is>
      </c>
    </row>
    <row r="1373">
      <c r="A1373" s="37" t="inlineStr">
        <is>
          <t>OFR-2026-1372</t>
        </is>
      </c>
      <c r="B1373" s="43" t="n">
        <v>46144</v>
      </c>
      <c r="C1373" s="37" t="inlineStr">
        <is>
          <t>WL-02671</t>
        </is>
      </c>
      <c r="D1373" s="37" t="n">
        <v>1671</v>
      </c>
      <c r="E1373" s="37" t="inlineStr">
        <is>
          <t>LP-1019</t>
        </is>
      </c>
      <c r="F1373" s="37" t="inlineStr">
        <is>
          <t>Ledgport</t>
        </is>
      </c>
      <c r="G1373" s="37" t="n">
        <v>32</v>
      </c>
      <c r="H1373" s="37" t="inlineStr">
        <is>
          <t>COVERED</t>
        </is>
      </c>
      <c r="I1373" s="37" t="inlineStr">
        <is>
          <t>SKIPPED</t>
        </is>
      </c>
      <c r="J1373" s="37" t="inlineStr">
        <is>
          <t>vessel-fit</t>
        </is>
      </c>
    </row>
    <row r="1374">
      <c r="A1374" s="37" t="inlineStr">
        <is>
          <t>OFR-2026-1373</t>
        </is>
      </c>
      <c r="B1374" s="43" t="n">
        <v>46147</v>
      </c>
      <c r="C1374" s="37" t="inlineStr">
        <is>
          <t>WL-02274</t>
        </is>
      </c>
      <c r="D1374" s="37" t="n">
        <v>1274</v>
      </c>
      <c r="E1374" s="37" t="inlineStr">
        <is>
          <t>EW-0722</t>
        </is>
      </c>
      <c r="F1374" s="37" t="inlineStr">
        <is>
          <t>Eastwey</t>
        </is>
      </c>
      <c r="G1374" s="37" t="n">
        <v>32</v>
      </c>
      <c r="H1374" s="37" t="inlineStr">
        <is>
          <t>OPEN</t>
        </is>
      </c>
      <c r="I1374" s="37" t="inlineStr">
        <is>
          <t>ACCEPTED</t>
        </is>
      </c>
    </row>
    <row r="1375">
      <c r="A1375" s="37" t="inlineStr">
        <is>
          <t>OFR-2026-1374</t>
        </is>
      </c>
      <c r="B1375" s="43" t="n">
        <v>46151</v>
      </c>
      <c r="C1375" s="37" t="inlineStr">
        <is>
          <t>WL-02950</t>
        </is>
      </c>
      <c r="D1375" s="37" t="n">
        <v>1950</v>
      </c>
      <c r="E1375" s="37" t="inlineStr">
        <is>
          <t>LP-0104</t>
        </is>
      </c>
      <c r="F1375" s="37" t="inlineStr">
        <is>
          <t>Ledgport</t>
        </is>
      </c>
      <c r="G1375" s="37" t="n">
        <v>24</v>
      </c>
      <c r="H1375" s="37" t="inlineStr">
        <is>
          <t>COVERED</t>
        </is>
      </c>
      <c r="I1375" s="37" t="inlineStr">
        <is>
          <t>ACCEPTED</t>
        </is>
      </c>
    </row>
    <row r="1376">
      <c r="A1376" s="37" t="inlineStr">
        <is>
          <t>OFR-2026-1375</t>
        </is>
      </c>
      <c r="B1376" s="43" t="n">
        <v>46153</v>
      </c>
      <c r="C1376" s="37" t="inlineStr">
        <is>
          <t>WL-01404</t>
        </is>
      </c>
      <c r="D1376" s="37" t="n">
        <v>404</v>
      </c>
      <c r="E1376" s="37" t="inlineStr">
        <is>
          <t>VB-0619</t>
        </is>
      </c>
      <c r="F1376" s="37" t="inlineStr">
        <is>
          <t>Vessbank</t>
        </is>
      </c>
      <c r="G1376" s="37" t="n">
        <v>24</v>
      </c>
      <c r="H1376" s="37" t="inlineStr">
        <is>
          <t>COVERED</t>
        </is>
      </c>
      <c r="I1376" s="37" t="inlineStr">
        <is>
          <t>SKIPPED</t>
        </is>
      </c>
      <c r="J1376" s="37" t="inlineStr">
        <is>
          <t>not-current</t>
        </is>
      </c>
    </row>
    <row r="1377">
      <c r="A1377" s="37" t="inlineStr">
        <is>
          <t>OFR-2026-1376</t>
        </is>
      </c>
      <c r="B1377" s="43" t="n">
        <v>46159</v>
      </c>
      <c r="C1377" s="37" t="inlineStr">
        <is>
          <t>WL-03831</t>
        </is>
      </c>
      <c r="D1377" s="37" t="n">
        <v>2831</v>
      </c>
      <c r="E1377" s="37" t="inlineStr">
        <is>
          <t>VB-0306</t>
        </is>
      </c>
      <c r="F1377" s="37" t="inlineStr">
        <is>
          <t>Vessbank</t>
        </is>
      </c>
      <c r="G1377" s="37" t="n">
        <v>28</v>
      </c>
      <c r="H1377" s="37" t="inlineStr">
        <is>
          <t>COVERED</t>
        </is>
      </c>
      <c r="I1377" s="37" t="inlineStr">
        <is>
          <t>ACCEPTED</t>
        </is>
      </c>
    </row>
    <row r="1378">
      <c r="A1378" s="37" t="inlineStr">
        <is>
          <t>OFR-2026-1377</t>
        </is>
      </c>
      <c r="B1378" s="43" t="n">
        <v>46157</v>
      </c>
      <c r="C1378" s="37" t="inlineStr">
        <is>
          <t>WL-01823</t>
        </is>
      </c>
      <c r="D1378" s="37" t="n">
        <v>823</v>
      </c>
      <c r="E1378" s="37" t="inlineStr">
        <is>
          <t>LP-0924</t>
        </is>
      </c>
      <c r="F1378" s="37" t="inlineStr">
        <is>
          <t>Ledgport</t>
        </is>
      </c>
      <c r="G1378" s="37" t="n">
        <v>28</v>
      </c>
      <c r="H1378" s="37" t="inlineStr">
        <is>
          <t>COVERED</t>
        </is>
      </c>
      <c r="I1378" s="37" t="inlineStr">
        <is>
          <t>ACCEPTED</t>
        </is>
      </c>
    </row>
    <row r="1379">
      <c r="A1379" s="37" t="inlineStr">
        <is>
          <t>OFR-2026-1378</t>
        </is>
      </c>
      <c r="B1379" s="43" t="n">
        <v>46160</v>
      </c>
      <c r="C1379" s="37" t="inlineStr">
        <is>
          <t>WL-01299</t>
        </is>
      </c>
      <c r="D1379" s="37" t="n">
        <v>299</v>
      </c>
      <c r="E1379" s="37" t="inlineStr">
        <is>
          <t>GW-0814</t>
        </is>
      </c>
      <c r="F1379" s="37" t="inlineStr">
        <is>
          <t>Gullwing</t>
        </is>
      </c>
      <c r="G1379" s="37" t="n">
        <v>70</v>
      </c>
      <c r="H1379" s="37" t="inlineStr">
        <is>
          <t>OPEN</t>
        </is>
      </c>
      <c r="I1379" s="37" t="inlineStr">
        <is>
          <t>SKIPPED</t>
        </is>
      </c>
      <c r="J1379" s="37" t="inlineStr">
        <is>
          <t>not-current</t>
        </is>
      </c>
    </row>
    <row r="1380">
      <c r="A1380" s="37" t="inlineStr">
        <is>
          <t>OFR-2026-1379</t>
        </is>
      </c>
      <c r="B1380" s="43" t="n">
        <v>46160</v>
      </c>
      <c r="C1380" s="37" t="inlineStr">
        <is>
          <t>WL-02093</t>
        </is>
      </c>
      <c r="D1380" s="37" t="n">
        <v>1093</v>
      </c>
      <c r="E1380" s="37" t="inlineStr">
        <is>
          <t>SB-0906</t>
        </is>
      </c>
      <c r="F1380" s="37" t="inlineStr">
        <is>
          <t>Salmonberry</t>
        </is>
      </c>
      <c r="G1380" s="37" t="n">
        <v>36</v>
      </c>
      <c r="H1380" s="37" t="inlineStr">
        <is>
          <t>OPEN</t>
        </is>
      </c>
      <c r="I1380" s="37" t="inlineStr">
        <is>
          <t>ACCEPTED</t>
        </is>
      </c>
    </row>
    <row r="1381">
      <c r="A1381" s="37" t="inlineStr">
        <is>
          <t>OFR-2026-1380</t>
        </is>
      </c>
      <c r="B1381" s="43" t="n">
        <v>46144</v>
      </c>
      <c r="C1381" s="37" t="inlineStr">
        <is>
          <t>WL-03152</t>
        </is>
      </c>
      <c r="D1381" s="37" t="n">
        <v>2152</v>
      </c>
      <c r="E1381" s="37" t="inlineStr">
        <is>
          <t>LP-0104</t>
        </is>
      </c>
      <c r="F1381" s="37" t="inlineStr">
        <is>
          <t>Ledgport</t>
        </is>
      </c>
      <c r="G1381" s="37" t="n">
        <v>24</v>
      </c>
      <c r="H1381" s="37" t="inlineStr">
        <is>
          <t>COVERED</t>
        </is>
      </c>
      <c r="I1381" s="37" t="inlineStr">
        <is>
          <t>SKIPPED</t>
        </is>
      </c>
      <c r="J1381" s="37" t="inlineStr">
        <is>
          <t>preference-mismatch</t>
        </is>
      </c>
    </row>
    <row r="1382">
      <c r="A1382" s="37" t="inlineStr">
        <is>
          <t>OFR-2026-1381</t>
        </is>
      </c>
      <c r="B1382" s="43" t="n">
        <v>46156</v>
      </c>
      <c r="C1382" s="37" t="inlineStr">
        <is>
          <t>WL-01255</t>
        </is>
      </c>
      <c r="D1382" s="37" t="n">
        <v>255</v>
      </c>
      <c r="E1382" s="37" t="inlineStr">
        <is>
          <t>EW-0522</t>
        </is>
      </c>
      <c r="F1382" s="37" t="inlineStr">
        <is>
          <t>Eastwey</t>
        </is>
      </c>
      <c r="G1382" s="37" t="n">
        <v>36</v>
      </c>
      <c r="H1382" s="37" t="inlineStr">
        <is>
          <t>OPEN</t>
        </is>
      </c>
      <c r="I1382" s="37" t="inlineStr">
        <is>
          <t>SKIPPED</t>
        </is>
      </c>
      <c r="J1382" s="37" t="inlineStr">
        <is>
          <t>not-current</t>
        </is>
      </c>
    </row>
    <row r="1383">
      <c r="A1383" s="37" t="inlineStr">
        <is>
          <t>OFR-2026-1382</t>
        </is>
      </c>
      <c r="B1383" s="43" t="n">
        <v>46151</v>
      </c>
      <c r="C1383" s="37" t="inlineStr">
        <is>
          <t>WL-03308</t>
        </is>
      </c>
      <c r="D1383" s="37" t="n">
        <v>2308</v>
      </c>
      <c r="E1383" s="37" t="inlineStr">
        <is>
          <t>VB-0501</t>
        </is>
      </c>
      <c r="F1383" s="37" t="inlineStr">
        <is>
          <t>Vessbank</t>
        </is>
      </c>
      <c r="G1383" s="37" t="n">
        <v>28</v>
      </c>
      <c r="H1383" s="37" t="inlineStr">
        <is>
          <t>COVERED</t>
        </is>
      </c>
      <c r="I1383" s="37" t="inlineStr">
        <is>
          <t>ACCEPTED</t>
        </is>
      </c>
    </row>
    <row r="1384">
      <c r="A1384" s="37" t="inlineStr">
        <is>
          <t>OFR-2026-1383</t>
        </is>
      </c>
      <c r="B1384" s="43" t="n">
        <v>46146</v>
      </c>
      <c r="C1384" s="37" t="inlineStr">
        <is>
          <t>WL-02186</t>
        </is>
      </c>
      <c r="D1384" s="37" t="n">
        <v>1186</v>
      </c>
      <c r="E1384" s="37" t="inlineStr">
        <is>
          <t>LP-0103</t>
        </is>
      </c>
      <c r="F1384" s="37" t="inlineStr">
        <is>
          <t>Ledgport</t>
        </is>
      </c>
      <c r="G1384" s="37" t="n">
        <v>28</v>
      </c>
      <c r="H1384" s="37" t="inlineStr">
        <is>
          <t>COVERED</t>
        </is>
      </c>
      <c r="I1384" s="37" t="inlineStr">
        <is>
          <t>DECLINED</t>
        </is>
      </c>
    </row>
    <row r="1385">
      <c r="A1385" s="37" t="inlineStr">
        <is>
          <t>OFR-2026-1384</t>
        </is>
      </c>
      <c r="B1385" s="43" t="n">
        <v>46152</v>
      </c>
      <c r="C1385" s="37" t="inlineStr">
        <is>
          <t>WL-01109</t>
        </is>
      </c>
      <c r="D1385" s="37" t="n">
        <v>109</v>
      </c>
      <c r="E1385" s="37" t="inlineStr">
        <is>
          <t>LP-0820</t>
        </is>
      </c>
      <c r="F1385" s="37" t="inlineStr">
        <is>
          <t>Ledgport</t>
        </is>
      </c>
      <c r="G1385" s="37" t="n">
        <v>32</v>
      </c>
      <c r="H1385" s="37" t="inlineStr">
        <is>
          <t>COVERED</t>
        </is>
      </c>
      <c r="I1385" s="37" t="inlineStr">
        <is>
          <t>SKIPPED</t>
        </is>
      </c>
      <c r="J1385" s="37" t="inlineStr">
        <is>
          <t>preference-mismatch</t>
        </is>
      </c>
    </row>
    <row r="1386">
      <c r="A1386" s="37" t="inlineStr">
        <is>
          <t>OFR-2026-1385</t>
        </is>
      </c>
      <c r="B1386" s="43" t="n">
        <v>46148</v>
      </c>
      <c r="C1386" s="37" t="inlineStr">
        <is>
          <t>WL-01262</t>
        </is>
      </c>
      <c r="D1386" s="37" t="n">
        <v>262</v>
      </c>
      <c r="E1386" s="37" t="inlineStr">
        <is>
          <t>GW-0422</t>
        </is>
      </c>
      <c r="F1386" s="37" t="inlineStr">
        <is>
          <t>Gullwing</t>
        </is>
      </c>
      <c r="G1386" s="37" t="n">
        <v>80</v>
      </c>
      <c r="H1386" s="37" t="inlineStr">
        <is>
          <t>OPEN</t>
        </is>
      </c>
      <c r="I1386" s="37" t="inlineStr">
        <is>
          <t>ACCEPTED</t>
        </is>
      </c>
    </row>
    <row r="1387">
      <c r="A1387" s="37" t="inlineStr">
        <is>
          <t>OFR-2026-1386</t>
        </is>
      </c>
      <c r="B1387" s="43" t="n">
        <v>46166</v>
      </c>
      <c r="C1387" s="37" t="inlineStr">
        <is>
          <t>WL-01406</t>
        </is>
      </c>
      <c r="D1387" s="37" t="n">
        <v>406</v>
      </c>
      <c r="E1387" s="37" t="inlineStr">
        <is>
          <t>EW-0523</t>
        </is>
      </c>
      <c r="F1387" s="37" t="inlineStr">
        <is>
          <t>Eastwey</t>
        </is>
      </c>
      <c r="G1387" s="37" t="n">
        <v>24</v>
      </c>
      <c r="H1387" s="37" t="inlineStr">
        <is>
          <t>OPEN</t>
        </is>
      </c>
      <c r="I1387" s="37" t="inlineStr">
        <is>
          <t>DECLINED</t>
        </is>
      </c>
    </row>
    <row r="1388">
      <c r="A1388" s="37" t="inlineStr">
        <is>
          <t>OFR-2026-1387</t>
        </is>
      </c>
      <c r="B1388" s="43" t="n">
        <v>46175</v>
      </c>
      <c r="C1388" s="37" t="inlineStr">
        <is>
          <t>WL-02315</t>
        </is>
      </c>
      <c r="D1388" s="37" t="n">
        <v>1315</v>
      </c>
      <c r="E1388" s="37" t="inlineStr">
        <is>
          <t>SB-0302</t>
        </is>
      </c>
      <c r="F1388" s="37" t="inlineStr">
        <is>
          <t>Salmonberry</t>
        </is>
      </c>
      <c r="G1388" s="37" t="n">
        <v>28</v>
      </c>
      <c r="H1388" s="37" t="inlineStr">
        <is>
          <t>OPEN</t>
        </is>
      </c>
      <c r="I1388" s="37" t="inlineStr">
        <is>
          <t>SKIPPED</t>
        </is>
      </c>
      <c r="J1388" s="37" t="inlineStr">
        <is>
          <t>not-current</t>
        </is>
      </c>
    </row>
    <row r="1389">
      <c r="A1389" s="37" t="inlineStr">
        <is>
          <t>OFR-2026-1388</t>
        </is>
      </c>
      <c r="B1389" s="43" t="n">
        <v>46194</v>
      </c>
      <c r="C1389" s="37" t="inlineStr">
        <is>
          <t>WL-01472</t>
        </is>
      </c>
      <c r="D1389" s="37" t="n">
        <v>472</v>
      </c>
      <c r="E1389" s="37" t="inlineStr">
        <is>
          <t>SB-0302</t>
        </is>
      </c>
      <c r="F1389" s="37" t="inlineStr">
        <is>
          <t>Salmonberry</t>
        </is>
      </c>
      <c r="G1389" s="37" t="n">
        <v>28</v>
      </c>
      <c r="H1389" s="37" t="inlineStr">
        <is>
          <t>OPEN</t>
        </is>
      </c>
      <c r="I1389" s="37" t="inlineStr">
        <is>
          <t>ACCEPTED</t>
        </is>
      </c>
    </row>
    <row r="1390">
      <c r="A1390" s="37" t="inlineStr">
        <is>
          <t>OFR-2026-1389</t>
        </is>
      </c>
      <c r="B1390" s="43" t="n">
        <v>46185</v>
      </c>
      <c r="C1390" s="37" t="inlineStr">
        <is>
          <t>WL-02407</t>
        </is>
      </c>
      <c r="D1390" s="37" t="n">
        <v>1407</v>
      </c>
      <c r="E1390" s="37" t="inlineStr">
        <is>
          <t>GW-1004</t>
        </is>
      </c>
      <c r="F1390" s="37" t="inlineStr">
        <is>
          <t>Gullwing</t>
        </is>
      </c>
      <c r="G1390" s="37" t="n">
        <v>36</v>
      </c>
      <c r="H1390" s="37" t="inlineStr">
        <is>
          <t>OPEN</t>
        </is>
      </c>
      <c r="I1390" s="37" t="inlineStr">
        <is>
          <t>ACCEPTED</t>
        </is>
      </c>
    </row>
    <row r="1391">
      <c r="A1391" s="37" t="inlineStr">
        <is>
          <t>OFR-2026-1390</t>
        </is>
      </c>
      <c r="B1391" s="43" t="n">
        <v>46180</v>
      </c>
      <c r="C1391" s="37" t="inlineStr">
        <is>
          <t>WL-01495</t>
        </is>
      </c>
      <c r="D1391" s="37" t="n">
        <v>495</v>
      </c>
      <c r="E1391" s="37" t="inlineStr">
        <is>
          <t>EW-0309</t>
        </is>
      </c>
      <c r="F1391" s="37" t="inlineStr">
        <is>
          <t>Eastwey</t>
        </is>
      </c>
      <c r="G1391" s="37" t="n">
        <v>50</v>
      </c>
      <c r="H1391" s="37" t="inlineStr">
        <is>
          <t>OPEN</t>
        </is>
      </c>
      <c r="I1391" s="37" t="inlineStr">
        <is>
          <t>ACCEPTED</t>
        </is>
      </c>
    </row>
    <row r="1392">
      <c r="A1392" s="37" t="inlineStr">
        <is>
          <t>OFR-2026-1391</t>
        </is>
      </c>
      <c r="B1392" s="43" t="n">
        <v>46194</v>
      </c>
      <c r="C1392" s="37" t="inlineStr">
        <is>
          <t>WL-03078</t>
        </is>
      </c>
      <c r="D1392" s="37" t="n">
        <v>2078</v>
      </c>
      <c r="E1392" s="37" t="inlineStr">
        <is>
          <t>VB-0415</t>
        </is>
      </c>
      <c r="F1392" s="37" t="inlineStr">
        <is>
          <t>Vessbank</t>
        </is>
      </c>
      <c r="G1392" s="37" t="n">
        <v>24</v>
      </c>
      <c r="H1392" s="37" t="inlineStr">
        <is>
          <t>COVERED</t>
        </is>
      </c>
      <c r="I1392" s="37" t="inlineStr">
        <is>
          <t>SKIPPED</t>
        </is>
      </c>
      <c r="J1392" s="37" t="inlineStr">
        <is>
          <t>declined-prior-offer</t>
        </is>
      </c>
    </row>
    <row r="1393">
      <c r="A1393" s="37" t="inlineStr">
        <is>
          <t>OFR-2026-1392</t>
        </is>
      </c>
      <c r="B1393" s="43" t="n">
        <v>46185</v>
      </c>
      <c r="C1393" s="37" t="inlineStr">
        <is>
          <t>WL-01254</t>
        </is>
      </c>
      <c r="D1393" s="37" t="n">
        <v>254</v>
      </c>
      <c r="E1393" s="37" t="inlineStr">
        <is>
          <t>GW-0609</t>
        </is>
      </c>
      <c r="F1393" s="37" t="inlineStr">
        <is>
          <t>Gullwing</t>
        </is>
      </c>
      <c r="G1393" s="37" t="n">
        <v>24</v>
      </c>
      <c r="H1393" s="37" t="inlineStr">
        <is>
          <t>OPEN</t>
        </is>
      </c>
      <c r="I1393" s="37" t="inlineStr">
        <is>
          <t>ACCEPTED</t>
        </is>
      </c>
    </row>
    <row r="1394">
      <c r="A1394" s="37" t="inlineStr">
        <is>
          <t>OFR-2026-1393</t>
        </is>
      </c>
      <c r="B1394" s="43" t="n">
        <v>46178</v>
      </c>
      <c r="C1394" s="37" t="inlineStr">
        <is>
          <t>WL-02597</t>
        </is>
      </c>
      <c r="D1394" s="37" t="n">
        <v>1597</v>
      </c>
      <c r="E1394" s="37" t="inlineStr">
        <is>
          <t>LP-0115</t>
        </is>
      </c>
      <c r="F1394" s="37" t="inlineStr">
        <is>
          <t>Ledgport</t>
        </is>
      </c>
      <c r="G1394" s="37" t="n">
        <v>28</v>
      </c>
      <c r="H1394" s="37" t="inlineStr">
        <is>
          <t>COVERED</t>
        </is>
      </c>
      <c r="I1394" s="37" t="inlineStr">
        <is>
          <t>DECLINED</t>
        </is>
      </c>
    </row>
    <row r="1395">
      <c r="A1395" s="37" t="inlineStr">
        <is>
          <t>OFR-2026-1394</t>
        </is>
      </c>
      <c r="B1395" s="43" t="n">
        <v>46198</v>
      </c>
      <c r="C1395" s="37" t="inlineStr">
        <is>
          <t>WL-02329</t>
        </is>
      </c>
      <c r="D1395" s="37" t="n">
        <v>1329</v>
      </c>
      <c r="E1395" s="37" t="inlineStr">
        <is>
          <t>EW-0124</t>
        </is>
      </c>
      <c r="F1395" s="37" t="inlineStr">
        <is>
          <t>Eastwey</t>
        </is>
      </c>
      <c r="G1395" s="37" t="n">
        <v>32</v>
      </c>
      <c r="H1395" s="37" t="inlineStr">
        <is>
          <t>OPEN</t>
        </is>
      </c>
      <c r="I1395" s="37" t="inlineStr">
        <is>
          <t>ACCEPTED</t>
        </is>
      </c>
    </row>
    <row r="1396">
      <c r="A1396" s="37" t="inlineStr">
        <is>
          <t>OFR-2026-1395</t>
        </is>
      </c>
      <c r="B1396" s="43" t="n">
        <v>46192</v>
      </c>
      <c r="C1396" s="37" t="inlineStr">
        <is>
          <t>WL-01526</t>
        </is>
      </c>
      <c r="D1396" s="37" t="n">
        <v>526</v>
      </c>
      <c r="E1396" s="37" t="inlineStr">
        <is>
          <t>GW-0319</t>
        </is>
      </c>
      <c r="F1396" s="37" t="inlineStr">
        <is>
          <t>Gullwing</t>
        </is>
      </c>
      <c r="G1396" s="37" t="n">
        <v>28</v>
      </c>
      <c r="H1396" s="37" t="inlineStr">
        <is>
          <t>OPEN</t>
        </is>
      </c>
      <c r="I1396" s="37" t="inlineStr">
        <is>
          <t>ACCEPTED</t>
        </is>
      </c>
    </row>
    <row r="1397">
      <c r="A1397" s="37" t="inlineStr">
        <is>
          <t>OFR-2026-1396</t>
        </is>
      </c>
      <c r="B1397" s="43" t="n">
        <v>46198</v>
      </c>
      <c r="C1397" s="37" t="inlineStr">
        <is>
          <t>WL-02123</t>
        </is>
      </c>
      <c r="D1397" s="37" t="n">
        <v>1123</v>
      </c>
      <c r="E1397" s="37" t="inlineStr">
        <is>
          <t>EW-0109</t>
        </is>
      </c>
      <c r="F1397" s="37" t="inlineStr">
        <is>
          <t>Eastwey</t>
        </is>
      </c>
      <c r="G1397" s="37" t="n">
        <v>60</v>
      </c>
      <c r="H1397" s="37" t="inlineStr">
        <is>
          <t>OPEN</t>
        </is>
      </c>
      <c r="I1397" s="37" t="inlineStr">
        <is>
          <t>PENDING</t>
        </is>
      </c>
    </row>
    <row r="1398">
      <c r="A1398" s="37" t="inlineStr">
        <is>
          <t>OFR-2026-1397</t>
        </is>
      </c>
      <c r="B1398" s="43" t="n">
        <v>46174</v>
      </c>
      <c r="C1398" s="37" t="inlineStr">
        <is>
          <t>WL-03112</t>
        </is>
      </c>
      <c r="D1398" s="37" t="n">
        <v>2112</v>
      </c>
      <c r="E1398" s="37" t="inlineStr">
        <is>
          <t>GW-0105</t>
        </is>
      </c>
      <c r="F1398" s="37" t="inlineStr">
        <is>
          <t>Gullwing</t>
        </is>
      </c>
      <c r="G1398" s="37" t="n">
        <v>60</v>
      </c>
      <c r="H1398" s="37" t="inlineStr">
        <is>
          <t>OPEN</t>
        </is>
      </c>
      <c r="I1398" s="37" t="inlineStr">
        <is>
          <t>PENDING</t>
        </is>
      </c>
    </row>
    <row r="1399">
      <c r="A1399" s="37" t="inlineStr">
        <is>
          <t>OFR-2026-1398</t>
        </is>
      </c>
      <c r="B1399" s="43" t="n">
        <v>46182</v>
      </c>
      <c r="C1399" s="37" t="inlineStr">
        <is>
          <t>WL-01954</t>
        </is>
      </c>
      <c r="D1399" s="37" t="n">
        <v>954</v>
      </c>
      <c r="E1399" s="37" t="inlineStr">
        <is>
          <t>SB-0416</t>
        </is>
      </c>
      <c r="F1399" s="37" t="inlineStr">
        <is>
          <t>Salmonberry</t>
        </is>
      </c>
      <c r="G1399" s="37" t="n">
        <v>28</v>
      </c>
      <c r="H1399" s="37" t="inlineStr">
        <is>
          <t>OPEN</t>
        </is>
      </c>
      <c r="I1399" s="37" t="inlineStr">
        <is>
          <t>SKIPPED</t>
        </is>
      </c>
      <c r="J1399" s="37" t="inlineStr">
        <is>
          <t>preference-mismatch</t>
        </is>
      </c>
    </row>
    <row r="1400">
      <c r="A1400" s="37" t="inlineStr">
        <is>
          <t>OFR-2026-1399</t>
        </is>
      </c>
      <c r="B1400" s="43" t="n">
        <v>46201</v>
      </c>
      <c r="C1400" s="37" t="inlineStr">
        <is>
          <t>WL-02098</t>
        </is>
      </c>
      <c r="D1400" s="37" t="n">
        <v>1098</v>
      </c>
      <c r="E1400" s="37" t="inlineStr">
        <is>
          <t>VB-0707</t>
        </is>
      </c>
      <c r="F1400" s="37" t="inlineStr">
        <is>
          <t>Vessbank</t>
        </is>
      </c>
      <c r="G1400" s="37" t="n">
        <v>28</v>
      </c>
      <c r="H1400" s="37" t="inlineStr">
        <is>
          <t>COVERED</t>
        </is>
      </c>
      <c r="I1400" s="37" t="inlineStr">
        <is>
          <t>SKIPPED</t>
        </is>
      </c>
      <c r="J1400" s="37" t="inlineStr">
        <is>
          <t>vessel-fit</t>
        </is>
      </c>
    </row>
    <row r="1401">
      <c r="A1401" s="37" t="inlineStr">
        <is>
          <t>OFR-2026-1400</t>
        </is>
      </c>
      <c r="B1401" s="43" t="n">
        <v>46193</v>
      </c>
      <c r="C1401" s="37" t="inlineStr">
        <is>
          <t>WL-01256</t>
        </is>
      </c>
      <c r="D1401" s="37" t="n">
        <v>256</v>
      </c>
      <c r="E1401" s="37" t="inlineStr">
        <is>
          <t>LP-1103</t>
        </is>
      </c>
      <c r="F1401" s="37" t="inlineStr">
        <is>
          <t>Ledgport</t>
        </is>
      </c>
      <c r="G1401" s="37" t="n">
        <v>32</v>
      </c>
      <c r="H1401" s="37" t="inlineStr">
        <is>
          <t>COVERED</t>
        </is>
      </c>
      <c r="I1401" s="37" t="inlineStr">
        <is>
          <t>SKIPPED</t>
        </is>
      </c>
      <c r="J1401" s="37" t="inlineStr">
        <is>
          <t>not-current</t>
        </is>
      </c>
    </row>
    <row r="1402">
      <c r="A1402" s="37" t="inlineStr">
        <is>
          <t>OFR-2026-1401</t>
        </is>
      </c>
      <c r="B1402" s="43" t="n">
        <v>46182</v>
      </c>
      <c r="C1402" s="37" t="inlineStr">
        <is>
          <t>WL-01195</t>
        </is>
      </c>
      <c r="D1402" s="37" t="n">
        <v>195</v>
      </c>
      <c r="E1402" s="37" t="inlineStr">
        <is>
          <t>GW-0820</t>
        </is>
      </c>
      <c r="F1402" s="37" t="inlineStr">
        <is>
          <t>Gullwing</t>
        </is>
      </c>
      <c r="G1402" s="37" t="n">
        <v>28</v>
      </c>
      <c r="H1402" s="37" t="inlineStr">
        <is>
          <t>OPEN</t>
        </is>
      </c>
      <c r="I1402" s="37" t="inlineStr">
        <is>
          <t>ACCEPTED</t>
        </is>
      </c>
    </row>
    <row r="1403">
      <c r="A1403" s="37" t="inlineStr">
        <is>
          <t>OFR-2026-1402</t>
        </is>
      </c>
      <c r="B1403" s="43" t="n">
        <v>46195</v>
      </c>
      <c r="C1403" s="37" t="inlineStr">
        <is>
          <t>WL-01936</t>
        </is>
      </c>
      <c r="D1403" s="37" t="n">
        <v>936</v>
      </c>
      <c r="E1403" s="37" t="inlineStr">
        <is>
          <t>VB-0507</t>
        </is>
      </c>
      <c r="F1403" s="37" t="inlineStr">
        <is>
          <t>Vessbank</t>
        </is>
      </c>
      <c r="G1403" s="37" t="n">
        <v>40</v>
      </c>
      <c r="H1403" s="37" t="inlineStr">
        <is>
          <t>COVERED</t>
        </is>
      </c>
      <c r="I1403" s="37" t="inlineStr">
        <is>
          <t>SKIPPED</t>
        </is>
      </c>
      <c r="J1403" s="37" t="inlineStr">
        <is>
          <t>not-current</t>
        </is>
      </c>
    </row>
    <row r="1404">
      <c r="A1404" s="37" t="inlineStr">
        <is>
          <t>OFR-2026-1403</t>
        </is>
      </c>
      <c r="B1404" s="43" t="n">
        <v>46198</v>
      </c>
      <c r="C1404" s="37" t="inlineStr">
        <is>
          <t>WL-03690</t>
        </is>
      </c>
      <c r="D1404" s="37" t="n">
        <v>2690</v>
      </c>
      <c r="E1404" s="37" t="inlineStr">
        <is>
          <t>VB-0312</t>
        </is>
      </c>
      <c r="F1404" s="37" t="inlineStr">
        <is>
          <t>Vessbank</t>
        </is>
      </c>
      <c r="G1404" s="37" t="n">
        <v>24</v>
      </c>
      <c r="H1404" s="37" t="inlineStr">
        <is>
          <t>COVERED</t>
        </is>
      </c>
      <c r="I1404" s="37" t="inlineStr">
        <is>
          <t>SKIPPED</t>
        </is>
      </c>
      <c r="J1404" s="37" t="inlineStr">
        <is>
          <t>vessel-fit</t>
        </is>
      </c>
    </row>
    <row r="1405">
      <c r="A1405" s="37" t="inlineStr">
        <is>
          <t>OFR-2026-1404</t>
        </is>
      </c>
      <c r="B1405" s="43" t="n">
        <v>46198</v>
      </c>
      <c r="C1405" s="37" t="inlineStr">
        <is>
          <t>WL-03719</t>
        </is>
      </c>
      <c r="D1405" s="37" t="n">
        <v>2719</v>
      </c>
      <c r="E1405" s="37" t="inlineStr">
        <is>
          <t>GW-0323</t>
        </is>
      </c>
      <c r="F1405" s="37" t="inlineStr">
        <is>
          <t>Gullwing</t>
        </is>
      </c>
      <c r="G1405" s="37" t="n">
        <v>80</v>
      </c>
      <c r="H1405" s="37" t="inlineStr">
        <is>
          <t>OPEN</t>
        </is>
      </c>
      <c r="I1405" s="37" t="inlineStr">
        <is>
          <t>ACCEPTED</t>
        </is>
      </c>
    </row>
    <row r="1406">
      <c r="A1406" s="37" t="inlineStr">
        <is>
          <t>OFR-2026-1405</t>
        </is>
      </c>
      <c r="B1406" s="43" t="n">
        <v>46199</v>
      </c>
      <c r="C1406" s="37" t="inlineStr">
        <is>
          <t>WL-02422</t>
        </is>
      </c>
      <c r="D1406" s="37" t="n">
        <v>1422</v>
      </c>
      <c r="E1406" s="37" t="inlineStr">
        <is>
          <t>SB-0112</t>
        </is>
      </c>
      <c r="F1406" s="37" t="inlineStr">
        <is>
          <t>Salmonberry</t>
        </is>
      </c>
      <c r="G1406" s="37" t="n">
        <v>32</v>
      </c>
      <c r="H1406" s="37" t="inlineStr">
        <is>
          <t>OPEN</t>
        </is>
      </c>
      <c r="I1406" s="37" t="inlineStr">
        <is>
          <t>DECLINED</t>
        </is>
      </c>
    </row>
    <row r="1407">
      <c r="A1407" s="37" t="inlineStr">
        <is>
          <t>OFR-2026-1406</t>
        </is>
      </c>
      <c r="B1407" s="43" t="n">
        <v>46181</v>
      </c>
      <c r="C1407" s="37" t="inlineStr">
        <is>
          <t>WL-01980</t>
        </is>
      </c>
      <c r="D1407" s="37" t="n">
        <v>980</v>
      </c>
      <c r="E1407" s="37" t="inlineStr">
        <is>
          <t>GW-0718</t>
        </is>
      </c>
      <c r="F1407" s="37" t="inlineStr">
        <is>
          <t>Gullwing</t>
        </is>
      </c>
      <c r="G1407" s="37" t="n">
        <v>32</v>
      </c>
      <c r="H1407" s="37" t="inlineStr">
        <is>
          <t>OPEN</t>
        </is>
      </c>
      <c r="I1407" s="37" t="inlineStr">
        <is>
          <t>DECLINED</t>
        </is>
      </c>
    </row>
    <row r="1408">
      <c r="A1408" s="37" t="inlineStr">
        <is>
          <t>OFR-2026-1407</t>
        </is>
      </c>
      <c r="B1408" s="43" t="n">
        <v>46183</v>
      </c>
      <c r="C1408" s="37" t="inlineStr">
        <is>
          <t>WL-03141</t>
        </is>
      </c>
      <c r="D1408" s="37" t="n">
        <v>2141</v>
      </c>
      <c r="E1408" s="37" t="inlineStr">
        <is>
          <t>EW-0208</t>
        </is>
      </c>
      <c r="F1408" s="37" t="inlineStr">
        <is>
          <t>Eastwey</t>
        </is>
      </c>
      <c r="G1408" s="37" t="n">
        <v>32</v>
      </c>
      <c r="H1408" s="37" t="inlineStr">
        <is>
          <t>OPEN</t>
        </is>
      </c>
      <c r="I1408" s="37" t="inlineStr">
        <is>
          <t>ACCEPTED</t>
        </is>
      </c>
    </row>
    <row r="1409">
      <c r="A1409" s="37" t="inlineStr">
        <is>
          <t>OFR-2026-1408</t>
        </is>
      </c>
      <c r="B1409" s="43" t="n">
        <v>46192</v>
      </c>
      <c r="C1409" s="37" t="inlineStr">
        <is>
          <t>WL-02240</t>
        </is>
      </c>
      <c r="D1409" s="37" t="n">
        <v>1240</v>
      </c>
      <c r="E1409" s="37" t="inlineStr">
        <is>
          <t>LP-0701</t>
        </is>
      </c>
      <c r="F1409" s="37" t="inlineStr">
        <is>
          <t>Ledgport</t>
        </is>
      </c>
      <c r="G1409" s="37" t="n">
        <v>24</v>
      </c>
      <c r="H1409" s="37" t="inlineStr">
        <is>
          <t>COVERED</t>
        </is>
      </c>
      <c r="I1409" s="37" t="inlineStr">
        <is>
          <t>WITHDRAWN</t>
        </is>
      </c>
    </row>
    <row r="1410">
      <c r="A1410" s="37" t="inlineStr">
        <is>
          <t>OFR-2026-1409</t>
        </is>
      </c>
      <c r="B1410" s="43" t="n">
        <v>46197</v>
      </c>
      <c r="C1410" s="37" t="inlineStr">
        <is>
          <t>WL-01623</t>
        </is>
      </c>
      <c r="D1410" s="37" t="n">
        <v>623</v>
      </c>
      <c r="E1410" s="37" t="inlineStr">
        <is>
          <t>GW-0704</t>
        </is>
      </c>
      <c r="F1410" s="37" t="inlineStr">
        <is>
          <t>Gullwing</t>
        </is>
      </c>
      <c r="G1410" s="37" t="n">
        <v>50</v>
      </c>
      <c r="H1410" s="37" t="inlineStr">
        <is>
          <t>OPEN</t>
        </is>
      </c>
      <c r="I1410" s="37" t="inlineStr">
        <is>
          <t>WITHDRAWN</t>
        </is>
      </c>
    </row>
    <row r="1411">
      <c r="A1411" s="37" t="inlineStr">
        <is>
          <t>OFR-2026-1410</t>
        </is>
      </c>
      <c r="B1411" s="43" t="n">
        <v>46176</v>
      </c>
      <c r="C1411" s="37" t="inlineStr">
        <is>
          <t>WL-03787</t>
        </is>
      </c>
      <c r="D1411" s="37" t="n">
        <v>2787</v>
      </c>
      <c r="E1411" s="37" t="inlineStr">
        <is>
          <t>GW-0214</t>
        </is>
      </c>
      <c r="F1411" s="37" t="inlineStr">
        <is>
          <t>Gullwing</t>
        </is>
      </c>
      <c r="G1411" s="37" t="n">
        <v>24</v>
      </c>
      <c r="H1411" s="37" t="inlineStr">
        <is>
          <t>OPEN</t>
        </is>
      </c>
      <c r="I1411" s="37" t="inlineStr">
        <is>
          <t>SKIPPED</t>
        </is>
      </c>
      <c r="J1411" s="37" t="inlineStr">
        <is>
          <t>declined-prior-offer</t>
        </is>
      </c>
    </row>
    <row r="1412">
      <c r="A1412" s="37" t="inlineStr">
        <is>
          <t>OFR-2026-1411</t>
        </is>
      </c>
      <c r="B1412" s="43" t="n">
        <v>46198</v>
      </c>
      <c r="C1412" s="37" t="inlineStr">
        <is>
          <t>WL-01843</t>
        </is>
      </c>
      <c r="D1412" s="37" t="n">
        <v>843</v>
      </c>
      <c r="E1412" s="37" t="inlineStr">
        <is>
          <t>VB-0402</t>
        </is>
      </c>
      <c r="F1412" s="37" t="inlineStr">
        <is>
          <t>Vessbank</t>
        </is>
      </c>
      <c r="G1412" s="37" t="n">
        <v>36</v>
      </c>
      <c r="H1412" s="37" t="inlineStr">
        <is>
          <t>COVERED</t>
        </is>
      </c>
      <c r="I1412" s="37" t="inlineStr">
        <is>
          <t>SKIPPED</t>
        </is>
      </c>
      <c r="J1412" s="37" t="inlineStr">
        <is>
          <t>not-current</t>
        </is>
      </c>
    </row>
    <row r="1413">
      <c r="A1413" s="37" t="inlineStr">
        <is>
          <t>OFR-2026-1412</t>
        </is>
      </c>
      <c r="B1413" s="43" t="n">
        <v>46177</v>
      </c>
      <c r="C1413" s="37" t="inlineStr">
        <is>
          <t>WL-01982</t>
        </is>
      </c>
      <c r="D1413" s="37" t="n">
        <v>982</v>
      </c>
      <c r="E1413" s="37" t="inlineStr">
        <is>
          <t>GW-0305</t>
        </is>
      </c>
      <c r="F1413" s="37" t="inlineStr">
        <is>
          <t>Gullwing</t>
        </is>
      </c>
      <c r="G1413" s="37" t="n">
        <v>80</v>
      </c>
      <c r="H1413" s="37" t="inlineStr">
        <is>
          <t>OPEN</t>
        </is>
      </c>
      <c r="I1413" s="37" t="inlineStr">
        <is>
          <t>SKIPPED</t>
        </is>
      </c>
      <c r="J1413" s="37" t="inlineStr">
        <is>
          <t>vessel-fit</t>
        </is>
      </c>
    </row>
    <row r="1414">
      <c r="A1414" s="37" t="inlineStr">
        <is>
          <t>OFR-2026-1413</t>
        </is>
      </c>
      <c r="B1414" s="43" t="n">
        <v>46198</v>
      </c>
      <c r="C1414" s="37" t="inlineStr">
        <is>
          <t>WL-02826</t>
        </is>
      </c>
      <c r="D1414" s="37" t="n">
        <v>1826</v>
      </c>
      <c r="E1414" s="37" t="inlineStr">
        <is>
          <t>GW-0209</t>
        </is>
      </c>
      <c r="F1414" s="37" t="inlineStr">
        <is>
          <t>Gullwing</t>
        </is>
      </c>
      <c r="G1414" s="37" t="n">
        <v>40</v>
      </c>
      <c r="H1414" s="37" t="inlineStr">
        <is>
          <t>OPEN</t>
        </is>
      </c>
      <c r="I1414" s="37" t="inlineStr">
        <is>
          <t>DECLINED</t>
        </is>
      </c>
    </row>
    <row r="1415">
      <c r="A1415" s="37" t="inlineStr">
        <is>
          <t>OFR-2026-1414</t>
        </is>
      </c>
      <c r="B1415" s="43" t="n">
        <v>46174</v>
      </c>
      <c r="C1415" s="37" t="inlineStr">
        <is>
          <t>WL-02630</t>
        </is>
      </c>
      <c r="D1415" s="37" t="n">
        <v>1630</v>
      </c>
      <c r="E1415" s="37" t="inlineStr">
        <is>
          <t>GW-0516</t>
        </is>
      </c>
      <c r="F1415" s="37" t="inlineStr">
        <is>
          <t>Gullwing</t>
        </is>
      </c>
      <c r="G1415" s="37" t="n">
        <v>70</v>
      </c>
      <c r="H1415" s="37" t="inlineStr">
        <is>
          <t>OPEN</t>
        </is>
      </c>
      <c r="I1415" s="37" t="inlineStr">
        <is>
          <t>ACCEPTED</t>
        </is>
      </c>
    </row>
    <row r="1416">
      <c r="A1416" s="37" t="inlineStr">
        <is>
          <t>OFR-2026-1415</t>
        </is>
      </c>
      <c r="B1416" s="43" t="n">
        <v>46224</v>
      </c>
      <c r="C1416" s="37" t="inlineStr">
        <is>
          <t>WL-03110</t>
        </is>
      </c>
      <c r="D1416" s="37" t="n">
        <v>2110</v>
      </c>
      <c r="E1416" s="37" t="inlineStr">
        <is>
          <t>EW-0216</t>
        </is>
      </c>
      <c r="F1416" s="37" t="inlineStr">
        <is>
          <t>Eastwey</t>
        </is>
      </c>
      <c r="G1416" s="37" t="n">
        <v>50</v>
      </c>
      <c r="H1416" s="37" t="inlineStr">
        <is>
          <t>OPEN</t>
        </is>
      </c>
      <c r="I1416" s="37" t="inlineStr">
        <is>
          <t>ACCEPTED</t>
        </is>
      </c>
    </row>
    <row r="1417">
      <c r="A1417" s="37" t="inlineStr">
        <is>
          <t>OFR-2026-1416</t>
        </is>
      </c>
      <c r="B1417" s="43" t="n">
        <v>46211</v>
      </c>
      <c r="C1417" s="37" t="inlineStr">
        <is>
          <t>WL-03836</t>
        </is>
      </c>
      <c r="D1417" s="37" t="n">
        <v>2836</v>
      </c>
      <c r="E1417" s="37" t="inlineStr">
        <is>
          <t>EW-0505</t>
        </is>
      </c>
      <c r="F1417" s="37" t="inlineStr">
        <is>
          <t>Eastwey</t>
        </is>
      </c>
      <c r="G1417" s="37" t="n">
        <v>32</v>
      </c>
      <c r="H1417" s="37" t="inlineStr">
        <is>
          <t>OPEN</t>
        </is>
      </c>
      <c r="I1417" s="37" t="inlineStr">
        <is>
          <t>ACCEPTED</t>
        </is>
      </c>
    </row>
    <row r="1418">
      <c r="A1418" s="37" t="inlineStr">
        <is>
          <t>OFR-2026-1417</t>
        </is>
      </c>
      <c r="B1418" s="43" t="n">
        <v>46220</v>
      </c>
      <c r="C1418" s="37" t="inlineStr">
        <is>
          <t>WL-03649</t>
        </is>
      </c>
      <c r="D1418" s="37" t="n">
        <v>2649</v>
      </c>
      <c r="E1418" s="37" t="inlineStr">
        <is>
          <t>EW-0718</t>
        </is>
      </c>
      <c r="F1418" s="37" t="inlineStr">
        <is>
          <t>Eastwey</t>
        </is>
      </c>
      <c r="G1418" s="37" t="n">
        <v>60</v>
      </c>
      <c r="H1418" s="37" t="inlineStr">
        <is>
          <t>OPEN</t>
        </is>
      </c>
      <c r="I1418" s="37" t="inlineStr">
        <is>
          <t>ACCEPTED</t>
        </is>
      </c>
    </row>
    <row r="1419">
      <c r="A1419" s="37" t="inlineStr">
        <is>
          <t>OFR-2026-1418</t>
        </is>
      </c>
      <c r="B1419" s="43" t="n">
        <v>46225</v>
      </c>
      <c r="C1419" s="37" t="inlineStr">
        <is>
          <t>WL-01298</t>
        </is>
      </c>
      <c r="D1419" s="37" t="n">
        <v>298</v>
      </c>
      <c r="E1419" s="37" t="inlineStr">
        <is>
          <t>GW-0805</t>
        </is>
      </c>
      <c r="F1419" s="37" t="inlineStr">
        <is>
          <t>Gullwing</t>
        </is>
      </c>
      <c r="G1419" s="37" t="n">
        <v>28</v>
      </c>
      <c r="H1419" s="37" t="inlineStr">
        <is>
          <t>OPEN</t>
        </is>
      </c>
      <c r="I1419" s="37" t="inlineStr">
        <is>
          <t>PENDING</t>
        </is>
      </c>
    </row>
    <row r="1420">
      <c r="A1420" s="37" t="inlineStr">
        <is>
          <t>OFR-2026-1419</t>
        </is>
      </c>
      <c r="B1420" s="43" t="n">
        <v>46220</v>
      </c>
      <c r="C1420" s="37" t="inlineStr">
        <is>
          <t>WL-02013</t>
        </is>
      </c>
      <c r="D1420" s="37" t="n">
        <v>1013</v>
      </c>
      <c r="E1420" s="37" t="inlineStr">
        <is>
          <t>SB-0902</t>
        </is>
      </c>
      <c r="F1420" s="37" t="inlineStr">
        <is>
          <t>Salmonberry</t>
        </is>
      </c>
      <c r="G1420" s="37" t="n">
        <v>24</v>
      </c>
      <c r="H1420" s="37" t="inlineStr">
        <is>
          <t>OPEN</t>
        </is>
      </c>
      <c r="I1420" s="37" t="inlineStr">
        <is>
          <t>SKIPPED</t>
        </is>
      </c>
      <c r="J1420" s="37" t="inlineStr">
        <is>
          <t>not-current</t>
        </is>
      </c>
    </row>
    <row r="1421">
      <c r="A1421" s="37" t="inlineStr">
        <is>
          <t>OFR-2026-1420</t>
        </is>
      </c>
      <c r="B1421" s="43" t="n">
        <v>46217</v>
      </c>
      <c r="C1421" s="37" t="inlineStr">
        <is>
          <t>WL-01568</t>
        </is>
      </c>
      <c r="D1421" s="37" t="n">
        <v>568</v>
      </c>
      <c r="E1421" s="37" t="inlineStr">
        <is>
          <t>VB-0514</t>
        </is>
      </c>
      <c r="F1421" s="37" t="inlineStr">
        <is>
          <t>Vessbank</t>
        </is>
      </c>
      <c r="G1421" s="37" t="n">
        <v>24</v>
      </c>
      <c r="H1421" s="37" t="inlineStr">
        <is>
          <t>COVERED</t>
        </is>
      </c>
      <c r="I1421" s="37" t="inlineStr">
        <is>
          <t>ACCEPTED</t>
        </is>
      </c>
    </row>
    <row r="1422">
      <c r="A1422" s="37" t="inlineStr">
        <is>
          <t>OFR-2026-1421</t>
        </is>
      </c>
      <c r="B1422" s="43" t="n">
        <v>46205</v>
      </c>
      <c r="C1422" s="37" t="inlineStr">
        <is>
          <t>WL-02378</t>
        </is>
      </c>
      <c r="D1422" s="37" t="n">
        <v>1378</v>
      </c>
      <c r="E1422" s="37" t="inlineStr">
        <is>
          <t>VB-0713</t>
        </is>
      </c>
      <c r="F1422" s="37" t="inlineStr">
        <is>
          <t>Vessbank</t>
        </is>
      </c>
      <c r="G1422" s="37" t="n">
        <v>32</v>
      </c>
      <c r="H1422" s="37" t="inlineStr">
        <is>
          <t>COVERED</t>
        </is>
      </c>
      <c r="I1422" s="37" t="inlineStr">
        <is>
          <t>ACCEPTED</t>
        </is>
      </c>
    </row>
    <row r="1423">
      <c r="A1423" s="37" t="inlineStr">
        <is>
          <t>OFR-2026-1422</t>
        </is>
      </c>
      <c r="B1423" s="43" t="n">
        <v>46228</v>
      </c>
      <c r="C1423" s="37" t="inlineStr">
        <is>
          <t>WL-03071</t>
        </is>
      </c>
      <c r="D1423" s="37" t="n">
        <v>2071</v>
      </c>
      <c r="E1423" s="37" t="inlineStr">
        <is>
          <t>SB-0411</t>
        </is>
      </c>
      <c r="F1423" s="37" t="inlineStr">
        <is>
          <t>Salmonberry</t>
        </is>
      </c>
      <c r="G1423" s="37" t="n">
        <v>24</v>
      </c>
      <c r="H1423" s="37" t="inlineStr">
        <is>
          <t>OPEN</t>
        </is>
      </c>
      <c r="I1423" s="37" t="inlineStr">
        <is>
          <t>SKIPPED</t>
        </is>
      </c>
      <c r="J1423" s="37" t="inlineStr">
        <is>
          <t>vessel-fit</t>
        </is>
      </c>
    </row>
    <row r="1424">
      <c r="A1424" s="37" t="inlineStr">
        <is>
          <t>OFR-2026-1423</t>
        </is>
      </c>
      <c r="B1424" s="43" t="n">
        <v>46225</v>
      </c>
      <c r="C1424" s="37" t="inlineStr">
        <is>
          <t>WL-03090</t>
        </is>
      </c>
      <c r="D1424" s="37" t="n">
        <v>2090</v>
      </c>
      <c r="E1424" s="37" t="inlineStr">
        <is>
          <t>SB-0411</t>
        </is>
      </c>
      <c r="F1424" s="37" t="inlineStr">
        <is>
          <t>Salmonberry</t>
        </is>
      </c>
      <c r="G1424" s="37" t="n">
        <v>24</v>
      </c>
      <c r="H1424" s="37" t="inlineStr">
        <is>
          <t>OPEN</t>
        </is>
      </c>
      <c r="I1424" s="37" t="inlineStr">
        <is>
          <t>ACCEPTED</t>
        </is>
      </c>
    </row>
    <row r="1425">
      <c r="A1425" s="37" t="inlineStr">
        <is>
          <t>OFR-2026-1424</t>
        </is>
      </c>
      <c r="B1425" s="43" t="n">
        <v>46204</v>
      </c>
      <c r="C1425" s="37" t="inlineStr">
        <is>
          <t>WL-02465</t>
        </is>
      </c>
      <c r="D1425" s="37" t="n">
        <v>1465</v>
      </c>
      <c r="E1425" s="37" t="inlineStr">
        <is>
          <t>EW-0510</t>
        </is>
      </c>
      <c r="F1425" s="37" t="inlineStr">
        <is>
          <t>Eastwey</t>
        </is>
      </c>
      <c r="G1425" s="37" t="n">
        <v>28</v>
      </c>
      <c r="H1425" s="37" t="inlineStr">
        <is>
          <t>OPEN</t>
        </is>
      </c>
      <c r="I1425" s="37" t="inlineStr">
        <is>
          <t>ACCEPTED</t>
        </is>
      </c>
    </row>
    <row r="1426">
      <c r="A1426" s="37" t="inlineStr">
        <is>
          <t>OFR-2026-1425</t>
        </is>
      </c>
      <c r="B1426" s="43" t="n">
        <v>46228</v>
      </c>
      <c r="C1426" s="37" t="inlineStr">
        <is>
          <t>WL-01692</t>
        </is>
      </c>
      <c r="D1426" s="37" t="n">
        <v>692</v>
      </c>
      <c r="E1426" s="37" t="inlineStr">
        <is>
          <t>EW-0910</t>
        </is>
      </c>
      <c r="F1426" s="37" t="inlineStr">
        <is>
          <t>Eastwey</t>
        </is>
      </c>
      <c r="G1426" s="37" t="n">
        <v>70</v>
      </c>
      <c r="H1426" s="37" t="inlineStr">
        <is>
          <t>OPEN</t>
        </is>
      </c>
      <c r="I1426" s="37" t="inlineStr">
        <is>
          <t>EXPIRED</t>
        </is>
      </c>
    </row>
    <row r="1427">
      <c r="A1427" s="37" t="inlineStr">
        <is>
          <t>OFR-2026-1426</t>
        </is>
      </c>
      <c r="B1427" s="43" t="n">
        <v>46214</v>
      </c>
      <c r="C1427" s="37" t="inlineStr">
        <is>
          <t>WL-02380</t>
        </is>
      </c>
      <c r="D1427" s="37" t="n">
        <v>1380</v>
      </c>
      <c r="E1427" s="37" t="inlineStr">
        <is>
          <t>EW-0301</t>
        </is>
      </c>
      <c r="F1427" s="37" t="inlineStr">
        <is>
          <t>Eastwey</t>
        </is>
      </c>
      <c r="G1427" s="37" t="n">
        <v>28</v>
      </c>
      <c r="H1427" s="37" t="inlineStr">
        <is>
          <t>OPEN</t>
        </is>
      </c>
      <c r="I1427" s="37" t="inlineStr">
        <is>
          <t>ACCEPTED</t>
        </is>
      </c>
    </row>
    <row r="1428">
      <c r="A1428" s="37" t="inlineStr">
        <is>
          <t>OFR-2026-1427</t>
        </is>
      </c>
      <c r="B1428" s="43" t="n">
        <v>46211</v>
      </c>
      <c r="C1428" s="37" t="inlineStr">
        <is>
          <t>WL-03842</t>
        </is>
      </c>
      <c r="D1428" s="37" t="n">
        <v>2842</v>
      </c>
      <c r="E1428" s="37" t="inlineStr">
        <is>
          <t>EW-0416</t>
        </is>
      </c>
      <c r="F1428" s="37" t="inlineStr">
        <is>
          <t>Eastwey</t>
        </is>
      </c>
      <c r="G1428" s="37" t="n">
        <v>24</v>
      </c>
      <c r="H1428" s="37" t="inlineStr">
        <is>
          <t>OPEN</t>
        </is>
      </c>
      <c r="I1428" s="37" t="inlineStr">
        <is>
          <t>ACCEPTED</t>
        </is>
      </c>
    </row>
    <row r="1429">
      <c r="A1429" s="37" t="inlineStr">
        <is>
          <t>OFR-2026-1428</t>
        </is>
      </c>
      <c r="B1429" s="43" t="n">
        <v>46206</v>
      </c>
      <c r="C1429" s="37" t="inlineStr">
        <is>
          <t>WL-03261</t>
        </is>
      </c>
      <c r="D1429" s="37" t="n">
        <v>2261</v>
      </c>
      <c r="E1429" s="37" t="inlineStr">
        <is>
          <t>LP-0321</t>
        </is>
      </c>
      <c r="F1429" s="37" t="inlineStr">
        <is>
          <t>Ledgport</t>
        </is>
      </c>
      <c r="G1429" s="37" t="n">
        <v>28</v>
      </c>
      <c r="H1429" s="37" t="inlineStr">
        <is>
          <t>COVERED</t>
        </is>
      </c>
      <c r="I1429" s="37" t="inlineStr">
        <is>
          <t>ACCEPTED</t>
        </is>
      </c>
    </row>
    <row r="1430">
      <c r="A1430" s="37" t="inlineStr">
        <is>
          <t>OFR-2026-1429</t>
        </is>
      </c>
      <c r="B1430" s="43" t="n">
        <v>46224</v>
      </c>
      <c r="C1430" s="37" t="inlineStr">
        <is>
          <t>WL-03106</t>
        </is>
      </c>
      <c r="D1430" s="37" t="n">
        <v>2106</v>
      </c>
      <c r="E1430" s="37" t="inlineStr">
        <is>
          <t>LP-0609</t>
        </is>
      </c>
      <c r="F1430" s="37" t="inlineStr">
        <is>
          <t>Ledgport</t>
        </is>
      </c>
      <c r="G1430" s="37" t="n">
        <v>24</v>
      </c>
      <c r="H1430" s="37" t="inlineStr">
        <is>
          <t>COVERED</t>
        </is>
      </c>
      <c r="I1430" s="37" t="inlineStr">
        <is>
          <t>SKIPPED</t>
        </is>
      </c>
      <c r="J1430" s="37" t="inlineStr">
        <is>
          <t>not-current</t>
        </is>
      </c>
    </row>
    <row r="1431">
      <c r="A1431" s="37" t="inlineStr">
        <is>
          <t>OFR-2026-1430</t>
        </is>
      </c>
      <c r="B1431" s="43" t="n">
        <v>46228</v>
      </c>
      <c r="C1431" s="37" t="inlineStr">
        <is>
          <t>WL-03470</t>
        </is>
      </c>
      <c r="D1431" s="37" t="n">
        <v>2470</v>
      </c>
      <c r="E1431" s="37" t="inlineStr">
        <is>
          <t>LP-1010</t>
        </is>
      </c>
      <c r="F1431" s="37" t="inlineStr">
        <is>
          <t>Ledgport</t>
        </is>
      </c>
      <c r="G1431" s="37" t="n">
        <v>32</v>
      </c>
      <c r="H1431" s="37" t="inlineStr">
        <is>
          <t>COVERED</t>
        </is>
      </c>
      <c r="I1431" s="37" t="inlineStr">
        <is>
          <t>ACCEPTED</t>
        </is>
      </c>
    </row>
    <row r="1432">
      <c r="A1432" s="37" t="inlineStr">
        <is>
          <t>OFR-2026-1431</t>
        </is>
      </c>
      <c r="B1432" s="43" t="n">
        <v>46226</v>
      </c>
      <c r="C1432" s="37" t="inlineStr">
        <is>
          <t>WL-02157</t>
        </is>
      </c>
      <c r="D1432" s="37" t="n">
        <v>1157</v>
      </c>
      <c r="E1432" s="37" t="inlineStr">
        <is>
          <t>SB-0107</t>
        </is>
      </c>
      <c r="F1432" s="37" t="inlineStr">
        <is>
          <t>Salmonberry</t>
        </is>
      </c>
      <c r="G1432" s="37" t="n">
        <v>40</v>
      </c>
      <c r="H1432" s="37" t="inlineStr">
        <is>
          <t>OPEN</t>
        </is>
      </c>
      <c r="I1432" s="37" t="inlineStr">
        <is>
          <t>PENDING</t>
        </is>
      </c>
    </row>
    <row r="1433">
      <c r="A1433" s="37" t="inlineStr">
        <is>
          <t>OFR-2026-1432</t>
        </is>
      </c>
      <c r="B1433" s="43" t="n">
        <v>46205</v>
      </c>
      <c r="C1433" s="37" t="inlineStr">
        <is>
          <t>WL-03260</t>
        </is>
      </c>
      <c r="D1433" s="37" t="n">
        <v>2260</v>
      </c>
      <c r="E1433" s="37" t="inlineStr">
        <is>
          <t>EW-0104</t>
        </is>
      </c>
      <c r="F1433" s="37" t="inlineStr">
        <is>
          <t>Eastwey</t>
        </is>
      </c>
      <c r="G1433" s="37" t="n">
        <v>40</v>
      </c>
      <c r="H1433" s="37" t="inlineStr">
        <is>
          <t>OPEN</t>
        </is>
      </c>
      <c r="I1433" s="37" t="inlineStr">
        <is>
          <t>SKIPPED</t>
        </is>
      </c>
      <c r="J1433" s="37" t="inlineStr">
        <is>
          <t>preference-mismatch</t>
        </is>
      </c>
    </row>
    <row r="1434">
      <c r="A1434" s="37" t="inlineStr">
        <is>
          <t>OFR-2026-1433</t>
        </is>
      </c>
      <c r="B1434" s="43" t="n">
        <v>46222</v>
      </c>
      <c r="C1434" s="37" t="inlineStr">
        <is>
          <t>WL-02555</t>
        </is>
      </c>
      <c r="D1434" s="37" t="n">
        <v>1555</v>
      </c>
      <c r="E1434" s="37" t="inlineStr">
        <is>
          <t>VB-0702</t>
        </is>
      </c>
      <c r="F1434" s="37" t="inlineStr">
        <is>
          <t>Vessbank</t>
        </is>
      </c>
      <c r="G1434" s="37" t="n">
        <v>32</v>
      </c>
      <c r="H1434" s="37" t="inlineStr">
        <is>
          <t>COVERED</t>
        </is>
      </c>
      <c r="I1434" s="37" t="inlineStr">
        <is>
          <t>DECLINED_RETAINER</t>
        </is>
      </c>
    </row>
    <row r="1435">
      <c r="A1435" s="37" t="inlineStr">
        <is>
          <t>OFR-2026-1434</t>
        </is>
      </c>
      <c r="B1435" s="43" t="n">
        <v>46224</v>
      </c>
      <c r="C1435" s="37" t="inlineStr">
        <is>
          <t>WL-03407</t>
        </is>
      </c>
      <c r="D1435" s="37" t="n">
        <v>2407</v>
      </c>
      <c r="E1435" s="37" t="inlineStr">
        <is>
          <t>GW-1002</t>
        </is>
      </c>
      <c r="F1435" s="37" t="inlineStr">
        <is>
          <t>Gullwing</t>
        </is>
      </c>
      <c r="G1435" s="37" t="n">
        <v>60</v>
      </c>
      <c r="H1435" s="37" t="inlineStr">
        <is>
          <t>OPEN</t>
        </is>
      </c>
      <c r="I1435" s="37" t="inlineStr">
        <is>
          <t>WITHDRAWN</t>
        </is>
      </c>
    </row>
    <row r="1436">
      <c r="A1436" s="37" t="inlineStr">
        <is>
          <t>OFR-2026-1435</t>
        </is>
      </c>
      <c r="B1436" s="43" t="n">
        <v>46212</v>
      </c>
      <c r="C1436" s="37" t="inlineStr">
        <is>
          <t>WL-01752</t>
        </is>
      </c>
      <c r="D1436" s="37" t="n">
        <v>752</v>
      </c>
      <c r="E1436" s="37" t="inlineStr">
        <is>
          <t>VB-0621</t>
        </is>
      </c>
      <c r="F1436" s="37" t="inlineStr">
        <is>
          <t>Vessbank</t>
        </is>
      </c>
      <c r="G1436" s="37" t="n">
        <v>24</v>
      </c>
      <c r="H1436" s="37" t="inlineStr">
        <is>
          <t>COVERED</t>
        </is>
      </c>
      <c r="I1436" s="37" t="inlineStr">
        <is>
          <t>DECLINED</t>
        </is>
      </c>
    </row>
    <row r="1437">
      <c r="A1437" s="37" t="inlineStr">
        <is>
          <t>OFR-2026-1436</t>
        </is>
      </c>
      <c r="B1437" s="43" t="n">
        <v>46217</v>
      </c>
      <c r="C1437" s="37" t="inlineStr">
        <is>
          <t>WL-02358</t>
        </is>
      </c>
      <c r="D1437" s="37" t="n">
        <v>1358</v>
      </c>
      <c r="E1437" s="37" t="inlineStr">
        <is>
          <t>LP-1009</t>
        </is>
      </c>
      <c r="F1437" s="37" t="inlineStr">
        <is>
          <t>Ledgport</t>
        </is>
      </c>
      <c r="G1437" s="37" t="n">
        <v>32</v>
      </c>
      <c r="H1437" s="37" t="inlineStr">
        <is>
          <t>COVERED</t>
        </is>
      </c>
      <c r="I1437" s="37" t="inlineStr">
        <is>
          <t>SKIPPED</t>
        </is>
      </c>
      <c r="J1437" s="37" t="inlineStr">
        <is>
          <t>declined-prior-offer</t>
        </is>
      </c>
    </row>
    <row r="1438">
      <c r="A1438" s="37" t="inlineStr">
        <is>
          <t>OFR-2026-1437</t>
        </is>
      </c>
      <c r="B1438" s="43" t="n">
        <v>46223</v>
      </c>
      <c r="C1438" s="37" t="inlineStr">
        <is>
          <t>WL-01781</t>
        </is>
      </c>
      <c r="D1438" s="37" t="n">
        <v>781</v>
      </c>
      <c r="E1438" s="37" t="inlineStr">
        <is>
          <t>LP-0923</t>
        </is>
      </c>
      <c r="F1438" s="37" t="inlineStr">
        <is>
          <t>Ledgport</t>
        </is>
      </c>
      <c r="G1438" s="37" t="n">
        <v>24</v>
      </c>
      <c r="H1438" s="37" t="inlineStr">
        <is>
          <t>COVERED</t>
        </is>
      </c>
      <c r="I1438" s="37" t="inlineStr">
        <is>
          <t>ACCEPTED</t>
        </is>
      </c>
    </row>
    <row r="1439">
      <c r="A1439" s="37" t="inlineStr">
        <is>
          <t>OFR-2026-1438</t>
        </is>
      </c>
      <c r="B1439" s="43" t="n">
        <v>46214</v>
      </c>
      <c r="C1439" s="37" t="inlineStr">
        <is>
          <t>WL-02302</t>
        </is>
      </c>
      <c r="D1439" s="37" t="n">
        <v>1302</v>
      </c>
      <c r="E1439" s="37" t="inlineStr">
        <is>
          <t>GW-1018</t>
        </is>
      </c>
      <c r="F1439" s="37" t="inlineStr">
        <is>
          <t>Gullwing</t>
        </is>
      </c>
      <c r="G1439" s="37" t="n">
        <v>24</v>
      </c>
      <c r="H1439" s="37" t="inlineStr">
        <is>
          <t>OPEN</t>
        </is>
      </c>
      <c r="I1439" s="37" t="inlineStr">
        <is>
          <t>ACCEPTED</t>
        </is>
      </c>
    </row>
    <row r="1440">
      <c r="A1440" s="37" t="inlineStr">
        <is>
          <t>OFR-2026-1439</t>
        </is>
      </c>
      <c r="B1440" s="43" t="n">
        <v>46218</v>
      </c>
      <c r="C1440" s="37" t="inlineStr">
        <is>
          <t>WL-03473</t>
        </is>
      </c>
      <c r="D1440" s="37" t="n">
        <v>2473</v>
      </c>
      <c r="E1440" s="37" t="inlineStr">
        <is>
          <t>VB-0905</t>
        </is>
      </c>
      <c r="F1440" s="37" t="inlineStr">
        <is>
          <t>Vessbank</t>
        </is>
      </c>
      <c r="G1440" s="37" t="n">
        <v>28</v>
      </c>
      <c r="H1440" s="37" t="inlineStr">
        <is>
          <t>COVERED</t>
        </is>
      </c>
      <c r="I1440" s="37" t="inlineStr">
        <is>
          <t>ACCEPTED</t>
        </is>
      </c>
    </row>
    <row r="1441">
      <c r="A1441" s="37" t="inlineStr">
        <is>
          <t>OFR-2026-1440</t>
        </is>
      </c>
      <c r="B1441" s="43" t="n">
        <v>46230</v>
      </c>
      <c r="C1441" s="37" t="inlineStr">
        <is>
          <t>WL-01498</t>
        </is>
      </c>
      <c r="D1441" s="37" t="n">
        <v>498</v>
      </c>
      <c r="E1441" s="37" t="inlineStr">
        <is>
          <t>LP-0701</t>
        </is>
      </c>
      <c r="F1441" s="37" t="inlineStr">
        <is>
          <t>Ledgport</t>
        </is>
      </c>
      <c r="G1441" s="37" t="n">
        <v>24</v>
      </c>
      <c r="H1441" s="37" t="inlineStr">
        <is>
          <t>COVERED</t>
        </is>
      </c>
      <c r="I1441" s="37" t="inlineStr">
        <is>
          <t>ACCEPTED</t>
        </is>
      </c>
    </row>
    <row r="1442">
      <c r="A1442" s="37" t="inlineStr">
        <is>
          <t>OFR-2026-1441</t>
        </is>
      </c>
      <c r="B1442" s="43" t="n">
        <v>46206</v>
      </c>
      <c r="C1442" s="37" t="inlineStr">
        <is>
          <t>WL-03397</t>
        </is>
      </c>
      <c r="D1442" s="37" t="n">
        <v>2397</v>
      </c>
      <c r="E1442" s="37" t="inlineStr">
        <is>
          <t>LP-0104</t>
        </is>
      </c>
      <c r="F1442" s="37" t="inlineStr">
        <is>
          <t>Ledgport</t>
        </is>
      </c>
      <c r="G1442" s="37" t="n">
        <v>24</v>
      </c>
      <c r="H1442" s="37" t="inlineStr">
        <is>
          <t>COVERED</t>
        </is>
      </c>
      <c r="I1442" s="37" t="inlineStr">
        <is>
          <t>SKIPPED</t>
        </is>
      </c>
      <c r="J1442" s="37" t="inlineStr">
        <is>
          <t>declined-prior-offer</t>
        </is>
      </c>
    </row>
    <row r="1443">
      <c r="A1443" s="37" t="inlineStr">
        <is>
          <t>OFR-2026-1442</t>
        </is>
      </c>
      <c r="B1443" s="43" t="n">
        <v>46210</v>
      </c>
      <c r="C1443" s="37" t="inlineStr">
        <is>
          <t>WL-02900</t>
        </is>
      </c>
      <c r="D1443" s="37" t="n">
        <v>1900</v>
      </c>
      <c r="E1443" s="37" t="inlineStr">
        <is>
          <t>GW-0415</t>
        </is>
      </c>
      <c r="F1443" s="37" t="inlineStr">
        <is>
          <t>Gullwing</t>
        </is>
      </c>
      <c r="G1443" s="37" t="n">
        <v>24</v>
      </c>
      <c r="H1443" s="37" t="inlineStr">
        <is>
          <t>OPEN</t>
        </is>
      </c>
      <c r="I1443" s="37" t="inlineStr">
        <is>
          <t>SKIPPED</t>
        </is>
      </c>
      <c r="J1443" s="37" t="inlineStr">
        <is>
          <t>preference-mismatch</t>
        </is>
      </c>
    </row>
    <row r="1444">
      <c r="A1444" s="37" t="inlineStr">
        <is>
          <t>OFR-2026-1443</t>
        </is>
      </c>
      <c r="B1444" s="43" t="n">
        <v>46218</v>
      </c>
      <c r="C1444" s="37" t="inlineStr">
        <is>
          <t>WL-02436</t>
        </is>
      </c>
      <c r="D1444" s="37" t="n">
        <v>1436</v>
      </c>
      <c r="E1444" s="37" t="inlineStr">
        <is>
          <t>SB-0905</t>
        </is>
      </c>
      <c r="F1444" s="37" t="inlineStr">
        <is>
          <t>Salmonberry</t>
        </is>
      </c>
      <c r="G1444" s="37" t="n">
        <v>32</v>
      </c>
      <c r="H1444" s="37" t="inlineStr">
        <is>
          <t>OPEN</t>
        </is>
      </c>
      <c r="I1444" s="37" t="inlineStr">
        <is>
          <t>SKIPPED</t>
        </is>
      </c>
      <c r="J1444" s="37" t="inlineStr">
        <is>
          <t>preference-mismatch</t>
        </is>
      </c>
    </row>
    <row r="1445">
      <c r="A1445" s="37" t="inlineStr">
        <is>
          <t>OFR-2026-1444</t>
        </is>
      </c>
      <c r="B1445" s="43" t="n">
        <v>46213</v>
      </c>
      <c r="C1445" s="37" t="inlineStr">
        <is>
          <t>WL-02754</t>
        </is>
      </c>
      <c r="D1445" s="37" t="n">
        <v>1754</v>
      </c>
      <c r="E1445" s="37" t="inlineStr">
        <is>
          <t>GW-0104</t>
        </is>
      </c>
      <c r="F1445" s="37" t="inlineStr">
        <is>
          <t>Gullwing</t>
        </is>
      </c>
      <c r="G1445" s="37" t="n">
        <v>40</v>
      </c>
      <c r="H1445" s="37" t="inlineStr">
        <is>
          <t>OPEN</t>
        </is>
      </c>
      <c r="I1445" s="37" t="inlineStr">
        <is>
          <t>ACCEPTED</t>
        </is>
      </c>
    </row>
    <row r="1446">
      <c r="A1446" s="37" t="inlineStr">
        <is>
          <t>OFR-2026-1445</t>
        </is>
      </c>
      <c r="B1446" s="43" t="n">
        <v>46217</v>
      </c>
      <c r="C1446" s="37" t="inlineStr">
        <is>
          <t>WL-02647</t>
        </is>
      </c>
      <c r="D1446" s="37" t="n">
        <v>1647</v>
      </c>
      <c r="E1446" s="37" t="inlineStr">
        <is>
          <t>EW-0601</t>
        </is>
      </c>
      <c r="F1446" s="37" t="inlineStr">
        <is>
          <t>Eastwey</t>
        </is>
      </c>
      <c r="G1446" s="37" t="n">
        <v>24</v>
      </c>
      <c r="H1446" s="37" t="inlineStr">
        <is>
          <t>OPEN</t>
        </is>
      </c>
      <c r="I1446" s="37" t="inlineStr">
        <is>
          <t>ACCEPTED</t>
        </is>
      </c>
    </row>
    <row r="1447">
      <c r="A1447" s="37" t="inlineStr">
        <is>
          <t>OFR-2026-1446</t>
        </is>
      </c>
      <c r="B1447" s="43" t="n">
        <v>46214</v>
      </c>
      <c r="C1447" s="37" t="inlineStr">
        <is>
          <t>WL-03178</t>
        </is>
      </c>
      <c r="D1447" s="37" t="n">
        <v>2178</v>
      </c>
      <c r="E1447" s="37" t="inlineStr">
        <is>
          <t>SB-0917</t>
        </is>
      </c>
      <c r="F1447" s="37" t="inlineStr">
        <is>
          <t>Salmonberry</t>
        </is>
      </c>
      <c r="G1447" s="37" t="n">
        <v>45</v>
      </c>
      <c r="H1447" s="37" t="inlineStr">
        <is>
          <t>OPEN</t>
        </is>
      </c>
      <c r="I1447" s="37" t="inlineStr">
        <is>
          <t>DECLINED_RETAINER</t>
        </is>
      </c>
    </row>
    <row r="1448">
      <c r="A1448" s="37" t="inlineStr">
        <is>
          <t>OFR-2026-1447</t>
        </is>
      </c>
      <c r="B1448" s="43" t="n">
        <v>46224</v>
      </c>
      <c r="C1448" s="37" t="inlineStr">
        <is>
          <t>WL-01722</t>
        </is>
      </c>
      <c r="D1448" s="37" t="n">
        <v>722</v>
      </c>
      <c r="E1448" s="37" t="inlineStr">
        <is>
          <t>VB-0404</t>
        </is>
      </c>
      <c r="F1448" s="37" t="inlineStr">
        <is>
          <t>Vessbank</t>
        </is>
      </c>
      <c r="G1448" s="37" t="n">
        <v>28</v>
      </c>
      <c r="H1448" s="37" t="inlineStr">
        <is>
          <t>COVERED</t>
        </is>
      </c>
      <c r="I1448" s="37" t="inlineStr">
        <is>
          <t>SKIPPED</t>
        </is>
      </c>
      <c r="J1448" s="37" t="inlineStr">
        <is>
          <t>not-current</t>
        </is>
      </c>
    </row>
    <row r="1449">
      <c r="A1449" s="37" t="inlineStr">
        <is>
          <t>OFR-2026-1448</t>
        </is>
      </c>
      <c r="B1449" s="43" t="n">
        <v>46228</v>
      </c>
      <c r="C1449" s="37" t="inlineStr">
        <is>
          <t>WL-02130</t>
        </is>
      </c>
      <c r="D1449" s="37" t="n">
        <v>1130</v>
      </c>
      <c r="E1449" s="37" t="inlineStr">
        <is>
          <t>VB-0121</t>
        </is>
      </c>
      <c r="F1449" s="37" t="inlineStr">
        <is>
          <t>Vessbank</t>
        </is>
      </c>
      <c r="G1449" s="37" t="n">
        <v>32</v>
      </c>
      <c r="H1449" s="37" t="inlineStr">
        <is>
          <t>COVERED</t>
        </is>
      </c>
      <c r="I1449" s="37" t="inlineStr">
        <is>
          <t>ACCEPTED</t>
        </is>
      </c>
    </row>
    <row r="1450">
      <c r="A1450" s="37" t="inlineStr">
        <is>
          <t>OFR-2026-1449</t>
        </is>
      </c>
      <c r="B1450" s="43" t="n">
        <v>46210</v>
      </c>
      <c r="C1450" s="37" t="inlineStr">
        <is>
          <t>WL-02876</t>
        </is>
      </c>
      <c r="D1450" s="37" t="n">
        <v>1876</v>
      </c>
      <c r="E1450" s="37" t="inlineStr">
        <is>
          <t>VB-0315</t>
        </is>
      </c>
      <c r="F1450" s="37" t="inlineStr">
        <is>
          <t>Vessbank</t>
        </is>
      </c>
      <c r="G1450" s="37" t="n">
        <v>28</v>
      </c>
      <c r="H1450" s="37" t="inlineStr">
        <is>
          <t>COVERED</t>
        </is>
      </c>
      <c r="I1450" s="37" t="inlineStr">
        <is>
          <t>PENDING</t>
        </is>
      </c>
    </row>
    <row r="1451">
      <c r="A1451" s="37" t="inlineStr">
        <is>
          <t>OFR-2026-1450</t>
        </is>
      </c>
      <c r="B1451" s="43" t="n">
        <v>46205</v>
      </c>
      <c r="C1451" s="37" t="inlineStr">
        <is>
          <t>WL-01965</t>
        </is>
      </c>
      <c r="D1451" s="37" t="n">
        <v>965</v>
      </c>
      <c r="E1451" s="37" t="inlineStr">
        <is>
          <t>GW-0113</t>
        </is>
      </c>
      <c r="F1451" s="37" t="inlineStr">
        <is>
          <t>Gullwing</t>
        </is>
      </c>
      <c r="G1451" s="37" t="n">
        <v>45</v>
      </c>
      <c r="H1451" s="37" t="inlineStr">
        <is>
          <t>OPEN</t>
        </is>
      </c>
      <c r="I1451" s="37" t="inlineStr">
        <is>
          <t>ACCEPTED</t>
        </is>
      </c>
    </row>
    <row r="1452">
      <c r="A1452" s="37" t="inlineStr">
        <is>
          <t>OFR-2026-1451</t>
        </is>
      </c>
      <c r="B1452" s="43" t="n">
        <v>46225</v>
      </c>
      <c r="C1452" s="37" t="inlineStr">
        <is>
          <t>WL-03747</t>
        </is>
      </c>
      <c r="D1452" s="37" t="n">
        <v>2747</v>
      </c>
      <c r="E1452" s="37" t="inlineStr">
        <is>
          <t>SB-0104</t>
        </is>
      </c>
      <c r="F1452" s="37" t="inlineStr">
        <is>
          <t>Salmonberry</t>
        </is>
      </c>
      <c r="G1452" s="37" t="n">
        <v>50</v>
      </c>
      <c r="H1452" s="37" t="inlineStr">
        <is>
          <t>OPEN</t>
        </is>
      </c>
      <c r="I1452" s="37" t="inlineStr">
        <is>
          <t>EXPIRED</t>
        </is>
      </c>
    </row>
    <row r="1453">
      <c r="A1453" s="37" t="inlineStr">
        <is>
          <t>OFR-2026-1452</t>
        </is>
      </c>
      <c r="B1453" s="43" t="n">
        <v>46208</v>
      </c>
      <c r="C1453" s="37" t="inlineStr">
        <is>
          <t>WL-03059</t>
        </is>
      </c>
      <c r="D1453" s="37" t="n">
        <v>2059</v>
      </c>
      <c r="E1453" s="37" t="inlineStr">
        <is>
          <t>GW-0223</t>
        </is>
      </c>
      <c r="F1453" s="37" t="inlineStr">
        <is>
          <t>Gullwing</t>
        </is>
      </c>
      <c r="G1453" s="37" t="n">
        <v>28</v>
      </c>
      <c r="H1453" s="37" t="inlineStr">
        <is>
          <t>OPEN</t>
        </is>
      </c>
      <c r="I1453" s="37" t="inlineStr">
        <is>
          <t>SKIPPED</t>
        </is>
      </c>
      <c r="J1453" s="37" t="inlineStr">
        <is>
          <t>not-current</t>
        </is>
      </c>
    </row>
    <row r="1454">
      <c r="A1454" s="37" t="inlineStr">
        <is>
          <t>OFR-2026-1453</t>
        </is>
      </c>
      <c r="B1454" s="43" t="n">
        <v>46210</v>
      </c>
      <c r="C1454" s="37" t="inlineStr">
        <is>
          <t>WL-01041</t>
        </is>
      </c>
      <c r="D1454" s="37" t="n">
        <v>41</v>
      </c>
      <c r="E1454" s="37" t="inlineStr">
        <is>
          <t>LP-0318</t>
        </is>
      </c>
      <c r="F1454" s="37" t="inlineStr">
        <is>
          <t>Ledgport</t>
        </is>
      </c>
      <c r="G1454" s="37" t="n">
        <v>32</v>
      </c>
      <c r="H1454" s="37" t="inlineStr">
        <is>
          <t>COVERED</t>
        </is>
      </c>
      <c r="I1454" s="37" t="inlineStr">
        <is>
          <t>DECLINED</t>
        </is>
      </c>
    </row>
    <row r="1455">
      <c r="A1455" s="37" t="inlineStr">
        <is>
          <t>OFR-2026-1454</t>
        </is>
      </c>
      <c r="B1455" s="43" t="n">
        <v>46238</v>
      </c>
      <c r="C1455" s="37" t="inlineStr">
        <is>
          <t>WL-03717</t>
        </is>
      </c>
      <c r="D1455" s="37" t="n">
        <v>2717</v>
      </c>
      <c r="E1455" s="37" t="inlineStr">
        <is>
          <t>EW-0604</t>
        </is>
      </c>
      <c r="F1455" s="37" t="inlineStr">
        <is>
          <t>Eastwey</t>
        </is>
      </c>
      <c r="G1455" s="37" t="n">
        <v>60</v>
      </c>
      <c r="H1455" s="37" t="inlineStr">
        <is>
          <t>OPEN</t>
        </is>
      </c>
      <c r="I1455" s="37" t="inlineStr">
        <is>
          <t>WITHDRAWN</t>
        </is>
      </c>
    </row>
    <row r="1456">
      <c r="A1456" s="37" t="inlineStr">
        <is>
          <t>OFR-2026-1455</t>
        </is>
      </c>
      <c r="B1456" s="43" t="n">
        <v>46239</v>
      </c>
      <c r="C1456" s="37" t="inlineStr">
        <is>
          <t>WL-03427</t>
        </is>
      </c>
      <c r="D1456" s="37" t="n">
        <v>2427</v>
      </c>
      <c r="E1456" s="37" t="inlineStr">
        <is>
          <t>EW-0917</t>
        </is>
      </c>
      <c r="F1456" s="37" t="inlineStr">
        <is>
          <t>Eastwey</t>
        </is>
      </c>
      <c r="G1456" s="37" t="n">
        <v>24</v>
      </c>
      <c r="H1456" s="37" t="inlineStr">
        <is>
          <t>OPEN</t>
        </is>
      </c>
      <c r="I1456" s="37" t="inlineStr">
        <is>
          <t>ACCEPTED</t>
        </is>
      </c>
    </row>
    <row r="1457">
      <c r="A1457" s="37" t="inlineStr">
        <is>
          <t>OFR-2026-1456</t>
        </is>
      </c>
      <c r="B1457" s="43" t="n">
        <v>46237</v>
      </c>
      <c r="C1457" s="37" t="inlineStr">
        <is>
          <t>WL-01064</t>
        </is>
      </c>
      <c r="D1457" s="37" t="n">
        <v>64</v>
      </c>
      <c r="E1457" s="37" t="inlineStr">
        <is>
          <t>SB-0715</t>
        </is>
      </c>
      <c r="F1457" s="37" t="inlineStr">
        <is>
          <t>Salmonberry</t>
        </is>
      </c>
      <c r="G1457" s="37" t="n">
        <v>28</v>
      </c>
      <c r="H1457" s="37" t="inlineStr">
        <is>
          <t>OPEN</t>
        </is>
      </c>
      <c r="I1457" s="37" t="inlineStr">
        <is>
          <t>SKIPPED</t>
        </is>
      </c>
      <c r="J1457" s="37" t="inlineStr">
        <is>
          <t>not-current</t>
        </is>
      </c>
    </row>
    <row r="1458">
      <c r="A1458" s="37" t="inlineStr">
        <is>
          <t>OFR-2026-1457</t>
        </is>
      </c>
      <c r="B1458" s="43" t="n">
        <v>46236</v>
      </c>
      <c r="C1458" s="37" t="inlineStr">
        <is>
          <t>WL-02108</t>
        </is>
      </c>
      <c r="D1458" s="37" t="n">
        <v>1108</v>
      </c>
      <c r="E1458" s="37" t="inlineStr">
        <is>
          <t>VB-0120</t>
        </is>
      </c>
      <c r="F1458" s="37" t="inlineStr">
        <is>
          <t>Vessbank</t>
        </is>
      </c>
      <c r="G1458" s="37" t="n">
        <v>28</v>
      </c>
      <c r="H1458" s="37" t="inlineStr">
        <is>
          <t>COVERED</t>
        </is>
      </c>
      <c r="I1458" s="37" t="inlineStr">
        <is>
          <t>DECLINED_RETAINER</t>
        </is>
      </c>
    </row>
    <row r="1459">
      <c r="A1459" s="37" t="inlineStr">
        <is>
          <t>OFR-2026-1458</t>
        </is>
      </c>
      <c r="B1459" s="43" t="n">
        <v>46237</v>
      </c>
      <c r="C1459" s="37" t="inlineStr">
        <is>
          <t>WL-01226</t>
        </is>
      </c>
      <c r="D1459" s="37" t="n">
        <v>226</v>
      </c>
      <c r="E1459" s="37" t="inlineStr">
        <is>
          <t>LP-0308</t>
        </is>
      </c>
      <c r="F1459" s="37" t="inlineStr">
        <is>
          <t>Ledgport</t>
        </is>
      </c>
      <c r="G1459" s="37" t="n">
        <v>24</v>
      </c>
      <c r="H1459" s="37" t="inlineStr">
        <is>
          <t>COVERED</t>
        </is>
      </c>
      <c r="I1459" s="37" t="inlineStr">
        <is>
          <t>ACCEPTED</t>
        </is>
      </c>
    </row>
    <row r="1460">
      <c r="A1460" s="37" t="inlineStr">
        <is>
          <t>OFR-2026-1459</t>
        </is>
      </c>
      <c r="B1460" s="43" t="n">
        <v>46237</v>
      </c>
      <c r="C1460" s="37" t="inlineStr">
        <is>
          <t>WL-03713</t>
        </is>
      </c>
      <c r="D1460" s="37" t="n">
        <v>2713</v>
      </c>
      <c r="E1460" s="37" t="inlineStr">
        <is>
          <t>SB-0117</t>
        </is>
      </c>
      <c r="F1460" s="37" t="inlineStr">
        <is>
          <t>Salmonberry</t>
        </is>
      </c>
      <c r="G1460" s="37" t="n">
        <v>24</v>
      </c>
      <c r="H1460" s="37" t="inlineStr">
        <is>
          <t>OPEN</t>
        </is>
      </c>
      <c r="I1460" s="37" t="inlineStr">
        <is>
          <t>SKIPPED</t>
        </is>
      </c>
      <c r="J1460" s="37" t="inlineStr">
        <is>
          <t>vessel-fit</t>
        </is>
      </c>
    </row>
    <row r="1461">
      <c r="A1461" s="37" t="inlineStr">
        <is>
          <t>OFR-2026-1460</t>
        </is>
      </c>
      <c r="B1461" s="43" t="n">
        <v>46236</v>
      </c>
      <c r="C1461" s="37" t="inlineStr">
        <is>
          <t>WL-02627</t>
        </is>
      </c>
      <c r="D1461" s="37" t="n">
        <v>1627</v>
      </c>
      <c r="E1461" s="37" t="inlineStr">
        <is>
          <t>LP-0411</t>
        </is>
      </c>
      <c r="F1461" s="37" t="inlineStr">
        <is>
          <t>Ledgport</t>
        </is>
      </c>
      <c r="G1461" s="37" t="n">
        <v>24</v>
      </c>
      <c r="H1461" s="37" t="inlineStr">
        <is>
          <t>COVERED</t>
        </is>
      </c>
      <c r="I1461" s="37" t="inlineStr">
        <is>
          <t>DECLINED</t>
        </is>
      </c>
    </row>
    <row r="1462">
      <c r="A1462" s="37" t="inlineStr">
        <is>
          <t>OFR-2026-1461</t>
        </is>
      </c>
      <c r="B1462" s="43" t="n">
        <v>46235</v>
      </c>
      <c r="C1462" s="37" t="inlineStr">
        <is>
          <t>WL-02342</t>
        </is>
      </c>
      <c r="D1462" s="37" t="n">
        <v>1342</v>
      </c>
      <c r="E1462" s="37" t="inlineStr">
        <is>
          <t>EW-0108</t>
        </is>
      </c>
      <c r="F1462" s="37" t="inlineStr">
        <is>
          <t>Eastwey</t>
        </is>
      </c>
      <c r="G1462" s="37" t="n">
        <v>40</v>
      </c>
      <c r="H1462" s="37" t="inlineStr">
        <is>
          <t>OPEN</t>
        </is>
      </c>
      <c r="I1462" s="37" t="inlineStr">
        <is>
          <t>ACCEPTED</t>
        </is>
      </c>
    </row>
    <row r="1463">
      <c r="A1463" s="37" t="inlineStr">
        <is>
          <t>OFR-2026-1462</t>
        </is>
      </c>
      <c r="B1463" s="43" t="n">
        <v>46236</v>
      </c>
      <c r="C1463" s="37" t="inlineStr">
        <is>
          <t>WL-03676</t>
        </is>
      </c>
      <c r="D1463" s="37" t="n">
        <v>2676</v>
      </c>
      <c r="E1463" s="37" t="inlineStr">
        <is>
          <t>VB-0220</t>
        </is>
      </c>
      <c r="F1463" s="37" t="inlineStr">
        <is>
          <t>Vessbank</t>
        </is>
      </c>
      <c r="G1463" s="37" t="n">
        <v>28</v>
      </c>
      <c r="H1463" s="37" t="inlineStr">
        <is>
          <t>COVERED</t>
        </is>
      </c>
      <c r="I1463" s="37" t="inlineStr">
        <is>
          <t>ACCEPTED</t>
        </is>
      </c>
    </row>
    <row r="1464">
      <c r="A1464" s="37" t="inlineStr">
        <is>
          <t>OFR-2026-1463</t>
        </is>
      </c>
      <c r="B1464" s="43" t="n">
        <v>46237</v>
      </c>
      <c r="C1464" s="37" t="inlineStr">
        <is>
          <t>WL-03007</t>
        </is>
      </c>
      <c r="D1464" s="37" t="n">
        <v>2007</v>
      </c>
      <c r="E1464" s="37" t="inlineStr">
        <is>
          <t>SB-0112</t>
        </is>
      </c>
      <c r="F1464" s="37" t="inlineStr">
        <is>
          <t>Salmonberry</t>
        </is>
      </c>
      <c r="G1464" s="37" t="n">
        <v>32</v>
      </c>
      <c r="H1464" s="37" t="inlineStr">
        <is>
          <t>OPEN</t>
        </is>
      </c>
      <c r="I1464" s="37" t="inlineStr">
        <is>
          <t>DECLINED</t>
        </is>
      </c>
    </row>
    <row r="1465">
      <c r="A1465" s="37" t="inlineStr">
        <is>
          <t>OFR-2026-1464</t>
        </is>
      </c>
      <c r="B1465" s="43" t="n">
        <v>46235</v>
      </c>
      <c r="C1465" s="37" t="inlineStr">
        <is>
          <t>WL-03796</t>
        </is>
      </c>
      <c r="D1465" s="37" t="n">
        <v>2796</v>
      </c>
      <c r="E1465" s="37" t="inlineStr">
        <is>
          <t>GW-0321</t>
        </is>
      </c>
      <c r="F1465" s="37" t="inlineStr">
        <is>
          <t>Gullwing</t>
        </is>
      </c>
      <c r="G1465" s="37" t="n">
        <v>45</v>
      </c>
      <c r="H1465" s="37" t="inlineStr">
        <is>
          <t>OPEN</t>
        </is>
      </c>
      <c r="I1465" s="37" t="inlineStr">
        <is>
          <t>SKIPPED</t>
        </is>
      </c>
      <c r="J1465" s="37" t="inlineStr">
        <is>
          <t>vessel-fit</t>
        </is>
      </c>
    </row>
    <row r="1466">
      <c r="A1466" s="37" t="inlineStr">
        <is>
          <t>OFR-2026-1465</t>
        </is>
      </c>
      <c r="B1466" s="43" t="n">
        <v>46239</v>
      </c>
      <c r="C1466" s="37" t="inlineStr">
        <is>
          <t>WL-03409</t>
        </is>
      </c>
      <c r="D1466" s="37" t="n">
        <v>2409</v>
      </c>
      <c r="E1466" s="37" t="inlineStr">
        <is>
          <t>LP-0418</t>
        </is>
      </c>
      <c r="F1466" s="37" t="inlineStr">
        <is>
          <t>Ledgport</t>
        </is>
      </c>
      <c r="G1466" s="37" t="n">
        <v>24</v>
      </c>
      <c r="H1466" s="37" t="inlineStr">
        <is>
          <t>COVERED</t>
        </is>
      </c>
      <c r="I1466" s="37" t="inlineStr">
        <is>
          <t>SKIPPED</t>
        </is>
      </c>
      <c r="J1466" s="37" t="inlineStr">
        <is>
          <t>vessel-fit</t>
        </is>
      </c>
    </row>
    <row r="1467">
      <c r="A1467" s="37" t="inlineStr">
        <is>
          <t>OFR-2026-1466</t>
        </is>
      </c>
      <c r="B1467" s="43" t="n">
        <v>46236</v>
      </c>
      <c r="C1467" s="37" t="inlineStr">
        <is>
          <t>WL-03888</t>
        </is>
      </c>
      <c r="D1467" s="37" t="n">
        <v>2888</v>
      </c>
      <c r="E1467" s="37" t="inlineStr">
        <is>
          <t>VB-0313</t>
        </is>
      </c>
      <c r="F1467" s="37" t="inlineStr">
        <is>
          <t>Vessbank</t>
        </is>
      </c>
      <c r="G1467" s="37" t="n">
        <v>24</v>
      </c>
      <c r="H1467" s="37" t="inlineStr">
        <is>
          <t>COVERED</t>
        </is>
      </c>
      <c r="I1467" s="37" t="inlineStr">
        <is>
          <t>PENDING</t>
        </is>
      </c>
    </row>
    <row r="1468">
      <c r="A1468" s="37" t="inlineStr">
        <is>
          <t>OFR-2026-1467</t>
        </is>
      </c>
      <c r="B1468" s="43" t="n">
        <v>46236</v>
      </c>
      <c r="C1468" s="37" t="inlineStr">
        <is>
          <t>WL-03206</t>
        </is>
      </c>
      <c r="D1468" s="37" t="n">
        <v>2206</v>
      </c>
      <c r="E1468" s="37" t="inlineStr">
        <is>
          <t>EW-0809</t>
        </is>
      </c>
      <c r="F1468" s="37" t="inlineStr">
        <is>
          <t>Eastwey</t>
        </is>
      </c>
      <c r="G1468" s="37" t="n">
        <v>70</v>
      </c>
      <c r="H1468" s="37" t="inlineStr">
        <is>
          <t>OPEN</t>
        </is>
      </c>
      <c r="I1468" s="37" t="inlineStr">
        <is>
          <t>SKIPPED</t>
        </is>
      </c>
      <c r="J1468" s="37" t="inlineStr">
        <is>
          <t>declined-prior-offer</t>
        </is>
      </c>
    </row>
    <row r="1469">
      <c r="A1469" s="37" t="inlineStr">
        <is>
          <t>OFR-2026-1468</t>
        </is>
      </c>
      <c r="B1469" s="43" t="n">
        <v>46239</v>
      </c>
      <c r="C1469" s="37" t="inlineStr">
        <is>
          <t>WL-03726</t>
        </is>
      </c>
      <c r="D1469" s="37" t="n">
        <v>2726</v>
      </c>
      <c r="E1469" s="37" t="inlineStr">
        <is>
          <t>VB-1004</t>
        </is>
      </c>
      <c r="F1469" s="37" t="inlineStr">
        <is>
          <t>Vessbank</t>
        </is>
      </c>
      <c r="G1469" s="37" t="n">
        <v>28</v>
      </c>
      <c r="H1469" s="37" t="inlineStr">
        <is>
          <t>COVERED</t>
        </is>
      </c>
      <c r="I1469" s="37" t="inlineStr">
        <is>
          <t>ACCEPTED</t>
        </is>
      </c>
    </row>
    <row r="1470">
      <c r="A1470" s="37" t="inlineStr">
        <is>
          <t>OFR-2026-1469</t>
        </is>
      </c>
      <c r="B1470" s="43" t="n">
        <v>46238</v>
      </c>
      <c r="C1470" s="37" t="inlineStr">
        <is>
          <t>WL-01477</t>
        </is>
      </c>
      <c r="D1470" s="37" t="n">
        <v>477</v>
      </c>
      <c r="E1470" s="37" t="inlineStr">
        <is>
          <t>GW-0820</t>
        </is>
      </c>
      <c r="F1470" s="37" t="inlineStr">
        <is>
          <t>Gullwing</t>
        </is>
      </c>
      <c r="G1470" s="37" t="n">
        <v>28</v>
      </c>
      <c r="H1470" s="37" t="inlineStr">
        <is>
          <t>OPEN</t>
        </is>
      </c>
      <c r="I1470" s="37" t="inlineStr">
        <is>
          <t>ACCEPTED</t>
        </is>
      </c>
    </row>
    <row r="1471">
      <c r="A1471" s="37" t="inlineStr">
        <is>
          <t>OFR-2026-1470</t>
        </is>
      </c>
      <c r="B1471" s="43" t="n">
        <v>46235</v>
      </c>
      <c r="C1471" s="37" t="inlineStr">
        <is>
          <t>WL-01205</t>
        </is>
      </c>
      <c r="D1471" s="37" t="n">
        <v>205</v>
      </c>
      <c r="E1471" s="37" t="inlineStr">
        <is>
          <t>SB-0418</t>
        </is>
      </c>
      <c r="F1471" s="37" t="inlineStr">
        <is>
          <t>Salmonberry</t>
        </is>
      </c>
      <c r="G1471" s="37" t="n">
        <v>45</v>
      </c>
      <c r="H1471" s="37" t="inlineStr">
        <is>
          <t>OPEN</t>
        </is>
      </c>
      <c r="I1471" s="37" t="inlineStr">
        <is>
          <t>SKIPPED</t>
        </is>
      </c>
      <c r="J1471" s="37" t="inlineStr">
        <is>
          <t>declined-prior-offer</t>
        </is>
      </c>
    </row>
    <row r="1472">
      <c r="A1472" s="37" t="inlineStr">
        <is>
          <t>OFR-2026-1471</t>
        </is>
      </c>
      <c r="B1472" s="43" t="n">
        <v>46238</v>
      </c>
      <c r="C1472" s="37" t="inlineStr">
        <is>
          <t>WL-03237</t>
        </is>
      </c>
      <c r="D1472" s="37" t="n">
        <v>2237</v>
      </c>
      <c r="E1472" s="37" t="inlineStr">
        <is>
          <t>VB-0307</t>
        </is>
      </c>
      <c r="F1472" s="37" t="inlineStr">
        <is>
          <t>Vessbank</t>
        </is>
      </c>
      <c r="G1472" s="37" t="n">
        <v>24</v>
      </c>
      <c r="H1472" s="37" t="inlineStr">
        <is>
          <t>COVERED</t>
        </is>
      </c>
      <c r="I1472" s="37" t="inlineStr">
        <is>
          <t>DECLINED</t>
        </is>
      </c>
    </row>
    <row r="1473">
      <c r="A1473" s="37" t="inlineStr">
        <is>
          <t>OFR-2026-1472</t>
        </is>
      </c>
      <c r="B1473" s="43" t="n">
        <v>46236</v>
      </c>
      <c r="C1473" s="37" t="inlineStr">
        <is>
          <t>WL-02181</t>
        </is>
      </c>
      <c r="D1473" s="37" t="n">
        <v>1181</v>
      </c>
      <c r="E1473" s="37" t="inlineStr">
        <is>
          <t>EW-0410</t>
        </is>
      </c>
      <c r="F1473" s="37" t="inlineStr">
        <is>
          <t>Eastwey</t>
        </is>
      </c>
      <c r="G1473" s="37" t="n">
        <v>32</v>
      </c>
      <c r="H1473" s="37" t="inlineStr">
        <is>
          <t>OPEN</t>
        </is>
      </c>
      <c r="I1473" s="37" t="inlineStr">
        <is>
          <t>ACCEPTED</t>
        </is>
      </c>
    </row>
    <row r="1474">
      <c r="A1474" s="37" t="inlineStr">
        <is>
          <t>OFR-2026-1473</t>
        </is>
      </c>
      <c r="B1474" s="43" t="n">
        <v>46235</v>
      </c>
      <c r="C1474" s="37" t="inlineStr">
        <is>
          <t>WL-01010</t>
        </is>
      </c>
      <c r="D1474" s="37" t="n">
        <v>10</v>
      </c>
      <c r="E1474" s="37" t="inlineStr">
        <is>
          <t>LP-0314</t>
        </is>
      </c>
      <c r="F1474" s="37" t="inlineStr">
        <is>
          <t>Ledgport</t>
        </is>
      </c>
      <c r="G1474" s="37" t="n">
        <v>32</v>
      </c>
      <c r="H1474" s="37" t="inlineStr">
        <is>
          <t>COVERED</t>
        </is>
      </c>
      <c r="I1474" s="37" t="inlineStr">
        <is>
          <t>EXPIRED</t>
        </is>
      </c>
    </row>
    <row r="1475">
      <c r="A1475" s="37" t="inlineStr">
        <is>
          <t>OFR-2026-1474</t>
        </is>
      </c>
      <c r="B1475" s="43" t="n">
        <v>46235</v>
      </c>
      <c r="C1475" s="37" t="inlineStr">
        <is>
          <t>WL-01792</t>
        </is>
      </c>
      <c r="D1475" s="37" t="n">
        <v>792</v>
      </c>
      <c r="E1475" s="37" t="inlineStr">
        <is>
          <t>VB-1015</t>
        </is>
      </c>
      <c r="F1475" s="37" t="inlineStr">
        <is>
          <t>Vessbank</t>
        </is>
      </c>
      <c r="G1475" s="37" t="n">
        <v>36</v>
      </c>
      <c r="H1475" s="37" t="inlineStr">
        <is>
          <t>COVERED</t>
        </is>
      </c>
      <c r="I1475" s="37" t="inlineStr">
        <is>
          <t>WITHDRAWN</t>
        </is>
      </c>
    </row>
    <row r="1476">
      <c r="A1476" s="37" t="inlineStr">
        <is>
          <t>OFR-2026-1475</t>
        </is>
      </c>
      <c r="B1476" s="43" t="n">
        <v>46238</v>
      </c>
      <c r="C1476" s="37" t="inlineStr">
        <is>
          <t>WL-03571</t>
        </is>
      </c>
      <c r="D1476" s="37" t="n">
        <v>2571</v>
      </c>
      <c r="E1476" s="37" t="inlineStr">
        <is>
          <t>VB-0713</t>
        </is>
      </c>
      <c r="F1476" s="37" t="inlineStr">
        <is>
          <t>Vessbank</t>
        </is>
      </c>
      <c r="G1476" s="37" t="n">
        <v>32</v>
      </c>
      <c r="H1476" s="37" t="inlineStr">
        <is>
          <t>COVERED</t>
        </is>
      </c>
      <c r="I1476" s="37" t="inlineStr">
        <is>
          <t>DECLINED</t>
        </is>
      </c>
    </row>
    <row r="1477">
      <c r="A1477" s="37" t="inlineStr">
        <is>
          <t>OFR-2026-1476</t>
        </is>
      </c>
      <c r="B1477" s="43" t="n">
        <v>46235</v>
      </c>
      <c r="C1477" s="37" t="inlineStr">
        <is>
          <t>WL-01201</t>
        </is>
      </c>
      <c r="D1477" s="37" t="n">
        <v>201</v>
      </c>
      <c r="E1477" s="37" t="inlineStr">
        <is>
          <t>VB-0916</t>
        </is>
      </c>
      <c r="F1477" s="37" t="inlineStr">
        <is>
          <t>Vessbank</t>
        </is>
      </c>
      <c r="G1477" s="37" t="n">
        <v>24</v>
      </c>
      <c r="H1477" s="37" t="inlineStr">
        <is>
          <t>COVERED</t>
        </is>
      </c>
      <c r="I1477" s="37" t="inlineStr">
        <is>
          <t>PENDING</t>
        </is>
      </c>
    </row>
    <row r="1478">
      <c r="A1478" s="37" t="inlineStr">
        <is>
          <t>OFR-2026-1477</t>
        </is>
      </c>
      <c r="B1478" s="43" t="n">
        <v>46235</v>
      </c>
      <c r="C1478" s="37" t="inlineStr">
        <is>
          <t>WL-01379</t>
        </is>
      </c>
      <c r="D1478" s="37" t="n">
        <v>379</v>
      </c>
      <c r="E1478" s="37" t="inlineStr">
        <is>
          <t>EW-0224</t>
        </is>
      </c>
      <c r="F1478" s="37" t="inlineStr">
        <is>
          <t>Eastwey</t>
        </is>
      </c>
      <c r="G1478" s="37" t="n">
        <v>24</v>
      </c>
      <c r="H1478" s="37" t="inlineStr">
        <is>
          <t>OPEN</t>
        </is>
      </c>
      <c r="I1478" s="37" t="inlineStr">
        <is>
          <t>SKIPPED</t>
        </is>
      </c>
      <c r="J1478" s="37" t="inlineStr">
        <is>
          <t>vessel-fit</t>
        </is>
      </c>
    </row>
    <row r="1479">
      <c r="A1479" s="37" t="inlineStr">
        <is>
          <t>OFR-2026-1478</t>
        </is>
      </c>
      <c r="B1479" s="43" t="n">
        <v>46237</v>
      </c>
      <c r="C1479" s="37" t="inlineStr">
        <is>
          <t>WL-02475</t>
        </is>
      </c>
      <c r="D1479" s="37" t="n">
        <v>1475</v>
      </c>
      <c r="E1479" s="37" t="inlineStr">
        <is>
          <t>GW-0922</t>
        </is>
      </c>
      <c r="F1479" s="37" t="inlineStr">
        <is>
          <t>Gullwing</t>
        </is>
      </c>
      <c r="G1479" s="37" t="n">
        <v>70</v>
      </c>
      <c r="H1479" s="37" t="inlineStr">
        <is>
          <t>OPEN</t>
        </is>
      </c>
      <c r="I1479" s="37" t="inlineStr">
        <is>
          <t>DECLINED</t>
        </is>
      </c>
    </row>
    <row r="1480">
      <c r="A1480" s="37" t="inlineStr">
        <is>
          <t>OFR-2026-1479</t>
        </is>
      </c>
      <c r="B1480" s="43" t="n">
        <v>46238</v>
      </c>
      <c r="C1480" s="37" t="inlineStr">
        <is>
          <t>WL-01517</t>
        </is>
      </c>
      <c r="D1480" s="37" t="n">
        <v>517</v>
      </c>
      <c r="E1480" s="37" t="inlineStr">
        <is>
          <t>SB-0623</t>
        </is>
      </c>
      <c r="F1480" s="37" t="inlineStr">
        <is>
          <t>Salmonberry</t>
        </is>
      </c>
      <c r="G1480" s="37" t="n">
        <v>28</v>
      </c>
      <c r="H1480" s="37" t="inlineStr">
        <is>
          <t>OPEN</t>
        </is>
      </c>
      <c r="I1480" s="37" t="inlineStr">
        <is>
          <t>SKIPPED</t>
        </is>
      </c>
      <c r="J1480" s="37" t="inlineStr">
        <is>
          <t>vessel-fit</t>
        </is>
      </c>
    </row>
    <row r="1481">
      <c r="A1481" s="37" t="inlineStr">
        <is>
          <t>OFR-2026-1480</t>
        </is>
      </c>
      <c r="B1481" s="43" t="n">
        <v>46235</v>
      </c>
      <c r="C1481" s="37" t="inlineStr">
        <is>
          <t>WL-01475</t>
        </is>
      </c>
      <c r="D1481" s="37" t="n">
        <v>475</v>
      </c>
      <c r="E1481" s="37" t="inlineStr">
        <is>
          <t>EW-1006</t>
        </is>
      </c>
      <c r="F1481" s="37" t="inlineStr">
        <is>
          <t>Eastwey</t>
        </is>
      </c>
      <c r="G1481" s="37" t="n">
        <v>50</v>
      </c>
      <c r="H1481" s="37" t="inlineStr">
        <is>
          <t>OPEN</t>
        </is>
      </c>
      <c r="I1481" s="37" t="inlineStr">
        <is>
          <t>ACCEPTED</t>
        </is>
      </c>
    </row>
    <row r="1482">
      <c r="A1482" s="37" t="inlineStr">
        <is>
          <t>OFR-2026-1481</t>
        </is>
      </c>
      <c r="B1482" s="43" t="n">
        <v>46236</v>
      </c>
      <c r="C1482" s="37" t="inlineStr">
        <is>
          <t>WL-01962</t>
        </is>
      </c>
      <c r="D1482" s="37" t="n">
        <v>962</v>
      </c>
      <c r="E1482" s="37" t="inlineStr">
        <is>
          <t>GW-1017</t>
        </is>
      </c>
      <c r="F1482" s="37" t="inlineStr">
        <is>
          <t>Gullwing</t>
        </is>
      </c>
      <c r="G1482" s="37" t="n">
        <v>32</v>
      </c>
      <c r="H1482" s="37" t="inlineStr">
        <is>
          <t>OPEN</t>
        </is>
      </c>
      <c r="I1482" s="37" t="inlineStr">
        <is>
          <t>ACCEPTED</t>
        </is>
      </c>
    </row>
    <row r="1483">
      <c r="A1483" s="37" t="inlineStr">
        <is>
          <t>OFR-2026-1482</t>
        </is>
      </c>
      <c r="B1483" s="43" t="n">
        <v>46236</v>
      </c>
      <c r="C1483" s="37" t="inlineStr">
        <is>
          <t>WL-02873</t>
        </is>
      </c>
      <c r="D1483" s="37" t="n">
        <v>1873</v>
      </c>
      <c r="E1483" s="37" t="inlineStr">
        <is>
          <t>SB-0617</t>
        </is>
      </c>
      <c r="F1483" s="37" t="inlineStr">
        <is>
          <t>Salmonberry</t>
        </is>
      </c>
      <c r="G1483" s="37" t="n">
        <v>36</v>
      </c>
      <c r="H1483" s="37" t="inlineStr">
        <is>
          <t>OPEN</t>
        </is>
      </c>
      <c r="I1483" s="37" t="inlineStr">
        <is>
          <t>ACCEPTED</t>
        </is>
      </c>
    </row>
    <row r="1484">
      <c r="A1484" s="37" t="inlineStr">
        <is>
          <t>OFR-2026-1483</t>
        </is>
      </c>
      <c r="B1484" s="43" t="n">
        <v>46235</v>
      </c>
      <c r="C1484" s="37" t="inlineStr">
        <is>
          <t>WL-02661</t>
        </is>
      </c>
      <c r="D1484" s="37" t="n">
        <v>1661</v>
      </c>
      <c r="E1484" s="37" t="inlineStr">
        <is>
          <t>VB-1019</t>
        </is>
      </c>
      <c r="F1484" s="37" t="inlineStr">
        <is>
          <t>Vessbank</t>
        </is>
      </c>
      <c r="G1484" s="37" t="n">
        <v>24</v>
      </c>
      <c r="H1484" s="37" t="inlineStr">
        <is>
          <t>COVERED</t>
        </is>
      </c>
      <c r="I1484" s="37" t="inlineStr">
        <is>
          <t>ACCEPTED</t>
        </is>
      </c>
    </row>
    <row r="1485">
      <c r="A1485" s="37" t="inlineStr">
        <is>
          <t>OFR-2026-1484</t>
        </is>
      </c>
      <c r="B1485" s="43" t="n">
        <v>46236</v>
      </c>
      <c r="C1485" s="37" t="inlineStr">
        <is>
          <t>WL-03111</t>
        </is>
      </c>
      <c r="D1485" s="37" t="n">
        <v>2111</v>
      </c>
      <c r="E1485" s="37" t="inlineStr">
        <is>
          <t>EW-1008</t>
        </is>
      </c>
      <c r="F1485" s="37" t="inlineStr">
        <is>
          <t>Eastwey</t>
        </is>
      </c>
      <c r="G1485" s="37" t="n">
        <v>50</v>
      </c>
      <c r="H1485" s="37" t="inlineStr">
        <is>
          <t>OPEN</t>
        </is>
      </c>
      <c r="I1485" s="37" t="inlineStr">
        <is>
          <t>DECLINED</t>
        </is>
      </c>
    </row>
    <row r="1486">
      <c r="A1486" s="37" t="inlineStr">
        <is>
          <t>OFR-2026-1485</t>
        </is>
      </c>
      <c r="B1486" s="43" t="n">
        <v>46237</v>
      </c>
      <c r="C1486" s="37" t="inlineStr">
        <is>
          <t>WL-01148</t>
        </is>
      </c>
      <c r="D1486" s="37" t="n">
        <v>148</v>
      </c>
      <c r="E1486" s="37" t="inlineStr">
        <is>
          <t>SB-0907</t>
        </is>
      </c>
      <c r="F1486" s="37" t="inlineStr">
        <is>
          <t>Salmonberry</t>
        </is>
      </c>
      <c r="G1486" s="37" t="n">
        <v>32</v>
      </c>
      <c r="H1486" s="37" t="inlineStr">
        <is>
          <t>OPEN</t>
        </is>
      </c>
      <c r="I1486" s="37" t="inlineStr">
        <is>
          <t>ACCEPTED</t>
        </is>
      </c>
    </row>
    <row r="1487">
      <c r="A1487" s="37" t="inlineStr">
        <is>
          <t>OFR-2026-1486</t>
        </is>
      </c>
      <c r="B1487" s="43" t="n">
        <v>46238</v>
      </c>
      <c r="C1487" s="37" t="inlineStr">
        <is>
          <t>WL-01088</t>
        </is>
      </c>
      <c r="D1487" s="37" t="n">
        <v>88</v>
      </c>
      <c r="E1487" s="37" t="inlineStr">
        <is>
          <t>LP-1106</t>
        </is>
      </c>
      <c r="F1487" s="37" t="inlineStr">
        <is>
          <t>Ledgport</t>
        </is>
      </c>
      <c r="G1487" s="37" t="n">
        <v>24</v>
      </c>
      <c r="H1487" s="37" t="inlineStr">
        <is>
          <t>COVERED</t>
        </is>
      </c>
      <c r="I1487" s="37" t="inlineStr">
        <is>
          <t>ACCEPTED</t>
        </is>
      </c>
    </row>
  </sheetData>
  <autoFilter ref="A1:J14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36" t="inlineStr">
        <is>
          <t>skip_id</t>
        </is>
      </c>
      <c r="B1" s="36" t="inlineStr">
        <is>
          <t>offer_id</t>
        </is>
      </c>
      <c r="C1" s="36" t="inlineStr">
        <is>
          <t>skip_date</t>
        </is>
      </c>
      <c r="D1" s="36" t="inlineStr">
        <is>
          <t>applicant_id</t>
        </is>
      </c>
      <c r="E1" s="36" t="inlineStr">
        <is>
          <t>rank_at_offer</t>
        </is>
      </c>
      <c r="F1" s="36" t="inlineStr">
        <is>
          <t>slip_id</t>
        </is>
      </c>
      <c r="G1" s="36" t="inlineStr">
        <is>
          <t>basin</t>
        </is>
      </c>
      <c r="H1" s="36" t="inlineStr">
        <is>
          <t>slip_size_ft</t>
        </is>
      </c>
      <c r="I1" s="36" t="inlineStr">
        <is>
          <t>reason_code</t>
        </is>
      </c>
      <c r="J1" s="36" t="inlineStr">
        <is>
          <t>documentation_attached</t>
        </is>
      </c>
      <c r="K1" s="36" t="inlineStr">
        <is>
          <t>review_date</t>
        </is>
      </c>
      <c r="L1" s="36" t="inlineStr">
        <is>
          <t>disposition</t>
        </is>
      </c>
    </row>
    <row r="2">
      <c r="A2" s="37" t="inlineStr">
        <is>
          <t>SKP-2022-0001</t>
        </is>
      </c>
      <c r="B2" s="37" t="inlineStr">
        <is>
          <t>OFR-2022-0001</t>
        </is>
      </c>
      <c r="C2" s="43" t="n">
        <v>44582</v>
      </c>
      <c r="D2" s="37" t="inlineStr">
        <is>
          <t>WL-02136</t>
        </is>
      </c>
      <c r="E2" s="37" t="n">
        <v>1136</v>
      </c>
      <c r="F2" s="37" t="inlineStr">
        <is>
          <t>GW-0701</t>
        </is>
      </c>
      <c r="G2" s="37" t="inlineStr">
        <is>
          <t>Gullwing</t>
        </is>
      </c>
      <c r="H2" s="37" t="n">
        <v>80</v>
      </c>
      <c r="I2" s="37" t="inlineStr">
        <is>
          <t>vessel-fit</t>
        </is>
      </c>
      <c r="J2" s="37" t="inlineStr">
        <is>
          <t>Y</t>
        </is>
      </c>
      <c r="K2" s="43" t="n">
        <v>44584</v>
      </c>
      <c r="L2" s="37" t="inlineStr">
        <is>
          <t>SUSTAINED</t>
        </is>
      </c>
    </row>
    <row r="3">
      <c r="A3" s="37" t="inlineStr">
        <is>
          <t>SKP-2022-0002</t>
        </is>
      </c>
      <c r="B3" s="37" t="inlineStr">
        <is>
          <t>OFR-2022-0010</t>
        </is>
      </c>
      <c r="C3" s="43" t="n">
        <v>44582</v>
      </c>
      <c r="D3" s="37" t="inlineStr">
        <is>
          <t>WL-01004</t>
        </is>
      </c>
      <c r="E3" s="37" t="n">
        <v>4</v>
      </c>
      <c r="F3" s="37" t="inlineStr">
        <is>
          <t>GW-0411</t>
        </is>
      </c>
      <c r="G3" s="37" t="inlineStr">
        <is>
          <t>Gullwing</t>
        </is>
      </c>
      <c r="H3" s="37" t="n">
        <v>32</v>
      </c>
      <c r="I3" s="37" t="inlineStr">
        <is>
          <t>not-current</t>
        </is>
      </c>
      <c r="J3" s="37" t="inlineStr">
        <is>
          <t>Y</t>
        </is>
      </c>
      <c r="K3" s="43" t="n">
        <v>44587</v>
      </c>
      <c r="L3" s="37" t="inlineStr">
        <is>
          <t>SUSTAINED</t>
        </is>
      </c>
    </row>
    <row r="4">
      <c r="A4" s="37" t="inlineStr">
        <is>
          <t>SKP-2022-0003</t>
        </is>
      </c>
      <c r="B4" s="37" t="inlineStr">
        <is>
          <t>OFR-2022-0018</t>
        </is>
      </c>
      <c r="C4" s="43" t="n">
        <v>44575</v>
      </c>
      <c r="D4" s="37" t="inlineStr">
        <is>
          <t>WL-01364</t>
        </is>
      </c>
      <c r="E4" s="37" t="n">
        <v>364</v>
      </c>
      <c r="F4" s="37" t="inlineStr">
        <is>
          <t>GW-0811</t>
        </is>
      </c>
      <c r="G4" s="37" t="inlineStr">
        <is>
          <t>Gullwing</t>
        </is>
      </c>
      <c r="H4" s="37" t="n">
        <v>45</v>
      </c>
      <c r="I4" s="37" t="inlineStr">
        <is>
          <t>declined-prior-offer</t>
        </is>
      </c>
      <c r="J4" s="37" t="inlineStr">
        <is>
          <t>Y</t>
        </is>
      </c>
      <c r="K4" s="43" t="n">
        <v>44580</v>
      </c>
      <c r="L4" s="37" t="inlineStr">
        <is>
          <t>SUSTAINED</t>
        </is>
      </c>
    </row>
    <row r="5">
      <c r="A5" s="37" t="inlineStr">
        <is>
          <t>SKP-2022-0004</t>
        </is>
      </c>
      <c r="B5" s="37" t="inlineStr">
        <is>
          <t>OFR-2022-0019</t>
        </is>
      </c>
      <c r="C5" s="43" t="n">
        <v>44578</v>
      </c>
      <c r="D5" s="37" t="inlineStr">
        <is>
          <t>WL-01700</t>
        </is>
      </c>
      <c r="E5" s="37" t="n">
        <v>700</v>
      </c>
      <c r="F5" s="37" t="inlineStr">
        <is>
          <t>LP-1019</t>
        </is>
      </c>
      <c r="G5" s="37" t="inlineStr">
        <is>
          <t>Ledgport</t>
        </is>
      </c>
      <c r="H5" s="37" t="n">
        <v>32</v>
      </c>
      <c r="I5" s="37" t="inlineStr">
        <is>
          <t>vessel-fit</t>
        </is>
      </c>
      <c r="J5" s="37" t="inlineStr">
        <is>
          <t>Y</t>
        </is>
      </c>
      <c r="K5" s="43" t="n">
        <v>44578</v>
      </c>
      <c r="L5" s="37" t="inlineStr">
        <is>
          <t>SUSTAINED</t>
        </is>
      </c>
    </row>
    <row r="6">
      <c r="A6" s="37" t="inlineStr">
        <is>
          <t>SKP-2022-0005</t>
        </is>
      </c>
      <c r="B6" s="37" t="inlineStr">
        <is>
          <t>OFR-2022-0023</t>
        </is>
      </c>
      <c r="C6" s="43" t="n">
        <v>44585</v>
      </c>
      <c r="D6" s="37" t="inlineStr">
        <is>
          <t>WL-01399</t>
        </is>
      </c>
      <c r="E6" s="37" t="n">
        <v>399</v>
      </c>
      <c r="F6" s="37" t="inlineStr">
        <is>
          <t>LP-0320</t>
        </is>
      </c>
      <c r="G6" s="37" t="inlineStr">
        <is>
          <t>Ledgport</t>
        </is>
      </c>
      <c r="H6" s="37" t="n">
        <v>24</v>
      </c>
      <c r="I6" s="37" t="inlineStr">
        <is>
          <t>preference-mismatch</t>
        </is>
      </c>
      <c r="J6" s="37" t="inlineStr">
        <is>
          <t>Y</t>
        </is>
      </c>
      <c r="K6" s="43" t="n">
        <v>44587</v>
      </c>
      <c r="L6" s="37" t="inlineStr">
        <is>
          <t>SUSTAINED</t>
        </is>
      </c>
    </row>
    <row r="7">
      <c r="A7" s="37" t="inlineStr">
        <is>
          <t>SKP-2022-0006</t>
        </is>
      </c>
      <c r="B7" s="37" t="inlineStr">
        <is>
          <t>OFR-2022-0025</t>
        </is>
      </c>
      <c r="C7" s="43" t="n">
        <v>44614</v>
      </c>
      <c r="D7" s="37" t="inlineStr">
        <is>
          <t>WL-03852</t>
        </is>
      </c>
      <c r="E7" s="37" t="n">
        <v>2852</v>
      </c>
      <c r="F7" s="37" t="inlineStr">
        <is>
          <t>EW-0313</t>
        </is>
      </c>
      <c r="G7" s="37" t="inlineStr">
        <is>
          <t>Eastwey</t>
        </is>
      </c>
      <c r="H7" s="37" t="n">
        <v>50</v>
      </c>
      <c r="I7" s="37" t="inlineStr">
        <is>
          <t>declined-prior-offer</t>
        </is>
      </c>
      <c r="J7" s="37" t="inlineStr">
        <is>
          <t>Y</t>
        </is>
      </c>
      <c r="K7" s="43" t="n">
        <v>44615</v>
      </c>
      <c r="L7" s="37" t="inlineStr">
        <is>
          <t>SUSTAINED</t>
        </is>
      </c>
    </row>
    <row r="8">
      <c r="A8" s="37" t="inlineStr">
        <is>
          <t>SKP-2022-0007</t>
        </is>
      </c>
      <c r="B8" s="37" t="inlineStr">
        <is>
          <t>OFR-2022-0026</t>
        </is>
      </c>
      <c r="C8" s="43" t="n">
        <v>44605</v>
      </c>
      <c r="D8" s="37" t="inlineStr">
        <is>
          <t>WL-03346</t>
        </is>
      </c>
      <c r="E8" s="37" t="n">
        <v>2346</v>
      </c>
      <c r="F8" s="37" t="inlineStr">
        <is>
          <t>GW-0406</t>
        </is>
      </c>
      <c r="G8" s="37" t="inlineStr">
        <is>
          <t>Gullwing</t>
        </is>
      </c>
      <c r="H8" s="37" t="n">
        <v>28</v>
      </c>
      <c r="I8" s="37" t="inlineStr">
        <is>
          <t>vessel-fit</t>
        </is>
      </c>
      <c r="J8" s="37" t="inlineStr">
        <is>
          <t>Y</t>
        </is>
      </c>
      <c r="K8" s="43" t="n">
        <v>44607</v>
      </c>
      <c r="L8" s="37" t="inlineStr">
        <is>
          <t>SUSTAINED</t>
        </is>
      </c>
    </row>
    <row r="9">
      <c r="A9" s="37" t="inlineStr">
        <is>
          <t>SKP-2022-0008</t>
        </is>
      </c>
      <c r="B9" s="37" t="inlineStr">
        <is>
          <t>OFR-2022-0031</t>
        </is>
      </c>
      <c r="C9" s="43" t="n">
        <v>44596</v>
      </c>
      <c r="D9" s="37" t="inlineStr">
        <is>
          <t>WL-03579</t>
        </is>
      </c>
      <c r="E9" s="37" t="n">
        <v>2579</v>
      </c>
      <c r="F9" s="37" t="inlineStr">
        <is>
          <t>GW-1012</t>
        </is>
      </c>
      <c r="G9" s="37" t="inlineStr">
        <is>
          <t>Gullwing</t>
        </is>
      </c>
      <c r="H9" s="37" t="n">
        <v>80</v>
      </c>
      <c r="I9" s="37" t="inlineStr">
        <is>
          <t>vessel-fit</t>
        </is>
      </c>
      <c r="J9" s="37" t="inlineStr">
        <is>
          <t>Y</t>
        </is>
      </c>
      <c r="K9" s="43" t="n">
        <v>44600</v>
      </c>
      <c r="L9" s="37" t="inlineStr">
        <is>
          <t>SUSTAINED</t>
        </is>
      </c>
    </row>
    <row r="10">
      <c r="A10" s="37" t="inlineStr">
        <is>
          <t>SKP-2022-0009</t>
        </is>
      </c>
      <c r="B10" s="37" t="inlineStr">
        <is>
          <t>OFR-2022-0033</t>
        </is>
      </c>
      <c r="C10" s="43" t="n">
        <v>44609</v>
      </c>
      <c r="D10" s="37" t="inlineStr">
        <is>
          <t>WL-02224</t>
        </is>
      </c>
      <c r="E10" s="37" t="n">
        <v>1224</v>
      </c>
      <c r="F10" s="37" t="inlineStr">
        <is>
          <t>LP-0121</t>
        </is>
      </c>
      <c r="G10" s="37" t="inlineStr">
        <is>
          <t>Ledgport</t>
        </is>
      </c>
      <c r="H10" s="37" t="n">
        <v>32</v>
      </c>
      <c r="I10" s="37" t="inlineStr">
        <is>
          <t>preference-mismatch</t>
        </is>
      </c>
      <c r="J10" s="37" t="inlineStr">
        <is>
          <t>Y</t>
        </is>
      </c>
      <c r="K10" s="43" t="n">
        <v>44610</v>
      </c>
      <c r="L10" s="37" t="inlineStr">
        <is>
          <t>SUSTAINED</t>
        </is>
      </c>
    </row>
    <row r="11">
      <c r="A11" s="37" t="inlineStr">
        <is>
          <t>SKP-2022-0010</t>
        </is>
      </c>
      <c r="B11" s="37" t="inlineStr">
        <is>
          <t>OFR-2022-0035</t>
        </is>
      </c>
      <c r="C11" s="43" t="n">
        <v>44620</v>
      </c>
      <c r="D11" s="37" t="inlineStr">
        <is>
          <t>WL-02063</t>
        </is>
      </c>
      <c r="E11" s="37" t="n">
        <v>1063</v>
      </c>
      <c r="F11" s="37" t="inlineStr">
        <is>
          <t>VB-0220</t>
        </is>
      </c>
      <c r="G11" s="37" t="inlineStr">
        <is>
          <t>Vessbank</t>
        </is>
      </c>
      <c r="H11" s="37" t="n">
        <v>28</v>
      </c>
      <c r="I11" s="37" t="inlineStr">
        <is>
          <t>declined-prior-offer</t>
        </is>
      </c>
      <c r="J11" s="37" t="inlineStr">
        <is>
          <t>Y</t>
        </is>
      </c>
      <c r="K11" s="43" t="n">
        <v>44621</v>
      </c>
      <c r="L11" s="37" t="inlineStr">
        <is>
          <t>SUSTAINED</t>
        </is>
      </c>
    </row>
    <row r="12">
      <c r="A12" s="37" t="inlineStr">
        <is>
          <t>SKP-2022-0011</t>
        </is>
      </c>
      <c r="B12" s="37" t="inlineStr">
        <is>
          <t>OFR-2022-0037</t>
        </is>
      </c>
      <c r="C12" s="43" t="n">
        <v>44640</v>
      </c>
      <c r="D12" s="37" t="inlineStr">
        <is>
          <t>WL-01140</t>
        </is>
      </c>
      <c r="E12" s="37" t="n">
        <v>140</v>
      </c>
      <c r="F12" s="37" t="inlineStr">
        <is>
          <t>SB-0510</t>
        </is>
      </c>
      <c r="G12" s="37" t="inlineStr">
        <is>
          <t>Salmonberry</t>
        </is>
      </c>
      <c r="H12" s="37" t="n">
        <v>32</v>
      </c>
      <c r="I12" s="37" t="inlineStr">
        <is>
          <t>preference-mismatch</t>
        </is>
      </c>
      <c r="J12" s="37" t="inlineStr">
        <is>
          <t>Y</t>
        </is>
      </c>
      <c r="K12" s="43" t="n">
        <v>44643</v>
      </c>
      <c r="L12" s="37" t="inlineStr">
        <is>
          <t>SUSTAINED</t>
        </is>
      </c>
    </row>
    <row r="13">
      <c r="A13" s="37" t="inlineStr">
        <is>
          <t>SKP-2022-0012</t>
        </is>
      </c>
      <c r="B13" s="37" t="inlineStr">
        <is>
          <t>OFR-2022-0039</t>
        </is>
      </c>
      <c r="C13" s="43" t="n">
        <v>44634</v>
      </c>
      <c r="D13" s="37" t="inlineStr">
        <is>
          <t>WL-01929</t>
        </is>
      </c>
      <c r="E13" s="37" t="n">
        <v>929</v>
      </c>
      <c r="F13" s="37" t="inlineStr">
        <is>
          <t>EW-0119</t>
        </is>
      </c>
      <c r="G13" s="37" t="inlineStr">
        <is>
          <t>Eastwey</t>
        </is>
      </c>
      <c r="H13" s="37" t="n">
        <v>32</v>
      </c>
      <c r="I13" s="37" t="inlineStr">
        <is>
          <t>not-current</t>
        </is>
      </c>
      <c r="J13" s="37" t="inlineStr">
        <is>
          <t>Y</t>
        </is>
      </c>
      <c r="K13" s="43" t="n">
        <v>44637</v>
      </c>
      <c r="L13" s="37" t="inlineStr">
        <is>
          <t>SUSTAINED</t>
        </is>
      </c>
    </row>
    <row r="14">
      <c r="A14" s="37" t="inlineStr">
        <is>
          <t>SKP-2022-0013</t>
        </is>
      </c>
      <c r="B14" s="37" t="inlineStr">
        <is>
          <t>OFR-2022-0040</t>
        </is>
      </c>
      <c r="C14" s="43" t="n">
        <v>44637</v>
      </c>
      <c r="D14" s="37" t="inlineStr">
        <is>
          <t>WL-01839</t>
        </is>
      </c>
      <c r="E14" s="37" t="n">
        <v>839</v>
      </c>
      <c r="F14" s="37" t="inlineStr">
        <is>
          <t>EW-0819</t>
        </is>
      </c>
      <c r="G14" s="37" t="inlineStr">
        <is>
          <t>Eastwey</t>
        </is>
      </c>
      <c r="H14" s="37" t="n">
        <v>24</v>
      </c>
      <c r="I14" s="37" t="inlineStr">
        <is>
          <t>preference-mismatch</t>
        </is>
      </c>
      <c r="J14" s="37" t="inlineStr">
        <is>
          <t>N</t>
        </is>
      </c>
      <c r="K14" s="43" t="n">
        <v>44641</v>
      </c>
      <c r="L14" s="37" t="inlineStr">
        <is>
          <t>SUSTAINED</t>
        </is>
      </c>
    </row>
    <row r="15">
      <c r="A15" s="37" t="inlineStr">
        <is>
          <t>SKP-2022-0014</t>
        </is>
      </c>
      <c r="B15" s="37" t="inlineStr">
        <is>
          <t>OFR-2022-0042</t>
        </is>
      </c>
      <c r="C15" s="43" t="n">
        <v>44628</v>
      </c>
      <c r="D15" s="37" t="inlineStr">
        <is>
          <t>WL-02665</t>
        </is>
      </c>
      <c r="E15" s="37" t="n">
        <v>1665</v>
      </c>
      <c r="F15" s="37" t="inlineStr">
        <is>
          <t>LP-0806</t>
        </is>
      </c>
      <c r="G15" s="37" t="inlineStr">
        <is>
          <t>Ledgport</t>
        </is>
      </c>
      <c r="H15" s="37" t="n">
        <v>36</v>
      </c>
      <c r="I15" s="37" t="inlineStr">
        <is>
          <t>not-current</t>
        </is>
      </c>
      <c r="J15" s="37" t="inlineStr">
        <is>
          <t>N</t>
        </is>
      </c>
      <c r="K15" s="43" t="n">
        <v>44629</v>
      </c>
      <c r="L15" s="37" t="inlineStr">
        <is>
          <t>SUSTAINED</t>
        </is>
      </c>
    </row>
    <row r="16">
      <c r="A16" s="37" t="inlineStr">
        <is>
          <t>SKP-2022-0015</t>
        </is>
      </c>
      <c r="B16" s="37" t="inlineStr">
        <is>
          <t>OFR-2022-0043</t>
        </is>
      </c>
      <c r="C16" s="43" t="n">
        <v>44643</v>
      </c>
      <c r="D16" s="37" t="inlineStr">
        <is>
          <t>WL-02769</t>
        </is>
      </c>
      <c r="E16" s="37" t="n">
        <v>1769</v>
      </c>
      <c r="F16" s="37" t="inlineStr">
        <is>
          <t>LP-0503</t>
        </is>
      </c>
      <c r="G16" s="37" t="inlineStr">
        <is>
          <t>Ledgport</t>
        </is>
      </c>
      <c r="H16" s="37" t="n">
        <v>24</v>
      </c>
      <c r="I16" s="37" t="inlineStr">
        <is>
          <t>preference-mismatch</t>
        </is>
      </c>
      <c r="J16" s="37" t="inlineStr">
        <is>
          <t>Y</t>
        </is>
      </c>
      <c r="K16" s="43" t="n">
        <v>44643</v>
      </c>
      <c r="L16" s="37" t="inlineStr">
        <is>
          <t>SUSTAINED</t>
        </is>
      </c>
    </row>
    <row r="17">
      <c r="A17" s="37" t="inlineStr">
        <is>
          <t>SKP-2022-0016</t>
        </is>
      </c>
      <c r="B17" s="37" t="inlineStr">
        <is>
          <t>OFR-2022-0048</t>
        </is>
      </c>
      <c r="C17" s="43" t="n">
        <v>44645</v>
      </c>
      <c r="D17" s="37" t="inlineStr">
        <is>
          <t>WL-01642</t>
        </is>
      </c>
      <c r="E17" s="37" t="n">
        <v>642</v>
      </c>
      <c r="F17" s="37" t="inlineStr">
        <is>
          <t>EW-1014</t>
        </is>
      </c>
      <c r="G17" s="37" t="inlineStr">
        <is>
          <t>Eastwey</t>
        </is>
      </c>
      <c r="H17" s="37" t="n">
        <v>40</v>
      </c>
      <c r="I17" s="37" t="inlineStr">
        <is>
          <t>declined-prior-offer</t>
        </is>
      </c>
      <c r="J17" s="37" t="inlineStr">
        <is>
          <t>Y</t>
        </is>
      </c>
      <c r="K17" s="43" t="n">
        <v>44650</v>
      </c>
      <c r="L17" s="37" t="inlineStr">
        <is>
          <t>SUSTAINED</t>
        </is>
      </c>
    </row>
    <row r="18">
      <c r="A18" s="37" t="inlineStr">
        <is>
          <t>SKP-2022-0017</t>
        </is>
      </c>
      <c r="B18" s="37" t="inlineStr">
        <is>
          <t>OFR-2022-0050</t>
        </is>
      </c>
      <c r="C18" s="43" t="n">
        <v>44634</v>
      </c>
      <c r="D18" s="37" t="inlineStr">
        <is>
          <t>WL-02625</t>
        </is>
      </c>
      <c r="E18" s="37" t="n">
        <v>1625</v>
      </c>
      <c r="F18" s="37" t="inlineStr">
        <is>
          <t>SB-0804</t>
        </is>
      </c>
      <c r="G18" s="37" t="inlineStr">
        <is>
          <t>Salmonberry</t>
        </is>
      </c>
      <c r="H18" s="37" t="n">
        <v>24</v>
      </c>
      <c r="I18" s="37" t="inlineStr">
        <is>
          <t>preference-mismatch</t>
        </is>
      </c>
      <c r="J18" s="37" t="inlineStr">
        <is>
          <t>Y</t>
        </is>
      </c>
      <c r="K18" s="43" t="n">
        <v>44634</v>
      </c>
      <c r="L18" s="37" t="inlineStr">
        <is>
          <t>SUSTAINED</t>
        </is>
      </c>
    </row>
    <row r="19">
      <c r="A19" s="37" t="inlineStr">
        <is>
          <t>SKP-2022-0018</t>
        </is>
      </c>
      <c r="B19" s="37" t="inlineStr">
        <is>
          <t>OFR-2022-0052</t>
        </is>
      </c>
      <c r="C19" s="43" t="n">
        <v>44646</v>
      </c>
      <c r="D19" s="37" t="inlineStr">
        <is>
          <t>WL-03851</t>
        </is>
      </c>
      <c r="E19" s="37" t="n">
        <v>2851</v>
      </c>
      <c r="F19" s="37" t="inlineStr">
        <is>
          <t>LP-0113</t>
        </is>
      </c>
      <c r="G19" s="37" t="inlineStr">
        <is>
          <t>Ledgport</t>
        </is>
      </c>
      <c r="H19" s="37" t="n">
        <v>36</v>
      </c>
      <c r="I19" s="37" t="inlineStr">
        <is>
          <t>not-current</t>
        </is>
      </c>
      <c r="J19" s="37" t="inlineStr">
        <is>
          <t>Y</t>
        </is>
      </c>
      <c r="K19" s="43" t="n">
        <v>44646</v>
      </c>
      <c r="L19" s="37" t="inlineStr">
        <is>
          <t>SUSTAINED</t>
        </is>
      </c>
    </row>
    <row r="20">
      <c r="A20" s="37" t="inlineStr">
        <is>
          <t>SKP-2022-0019</t>
        </is>
      </c>
      <c r="B20" s="37" t="inlineStr">
        <is>
          <t>OFR-2022-0059</t>
        </is>
      </c>
      <c r="C20" s="43" t="n">
        <v>44676</v>
      </c>
      <c r="D20" s="37" t="inlineStr">
        <is>
          <t>WL-01227</t>
        </is>
      </c>
      <c r="E20" s="37" t="n">
        <v>227</v>
      </c>
      <c r="F20" s="37" t="inlineStr">
        <is>
          <t>LP-0514</t>
        </is>
      </c>
      <c r="G20" s="37" t="inlineStr">
        <is>
          <t>Ledgport</t>
        </is>
      </c>
      <c r="H20" s="37" t="n">
        <v>28</v>
      </c>
      <c r="I20" s="37" t="inlineStr">
        <is>
          <t>not-current</t>
        </is>
      </c>
      <c r="J20" s="37" t="inlineStr">
        <is>
          <t>Y</t>
        </is>
      </c>
      <c r="K20" s="43" t="n">
        <v>44680</v>
      </c>
      <c r="L20" s="37" t="inlineStr">
        <is>
          <t>SUSTAINED</t>
        </is>
      </c>
    </row>
    <row r="21">
      <c r="A21" s="37" t="inlineStr">
        <is>
          <t>SKP-2022-0020</t>
        </is>
      </c>
      <c r="B21" s="37" t="inlineStr">
        <is>
          <t>OFR-2022-0060</t>
        </is>
      </c>
      <c r="C21" s="43" t="n">
        <v>44679</v>
      </c>
      <c r="D21" s="37" t="inlineStr">
        <is>
          <t>WL-01545</t>
        </is>
      </c>
      <c r="E21" s="37" t="n">
        <v>545</v>
      </c>
      <c r="F21" s="37" t="inlineStr">
        <is>
          <t>SB-0704</t>
        </is>
      </c>
      <c r="G21" s="37" t="inlineStr">
        <is>
          <t>Salmonberry</t>
        </is>
      </c>
      <c r="H21" s="37" t="n">
        <v>70</v>
      </c>
      <c r="I21" s="37" t="inlineStr">
        <is>
          <t>vessel-fit</t>
        </is>
      </c>
      <c r="J21" s="37" t="inlineStr">
        <is>
          <t>Y</t>
        </is>
      </c>
      <c r="K21" s="43" t="n">
        <v>44683</v>
      </c>
      <c r="L21" s="37" t="inlineStr">
        <is>
          <t>SUSTAINED</t>
        </is>
      </c>
    </row>
    <row r="22">
      <c r="A22" s="37" t="inlineStr">
        <is>
          <t>SKP-2022-0021</t>
        </is>
      </c>
      <c r="B22" s="37" t="inlineStr">
        <is>
          <t>OFR-2022-0062</t>
        </is>
      </c>
      <c r="C22" s="43" t="n">
        <v>44661</v>
      </c>
      <c r="D22" s="37" t="inlineStr">
        <is>
          <t>WL-02742</t>
        </is>
      </c>
      <c r="E22" s="37" t="n">
        <v>1742</v>
      </c>
      <c r="F22" s="37" t="inlineStr">
        <is>
          <t>EW-0109</t>
        </is>
      </c>
      <c r="G22" s="37" t="inlineStr">
        <is>
          <t>Eastwey</t>
        </is>
      </c>
      <c r="H22" s="37" t="n">
        <v>60</v>
      </c>
      <c r="I22" s="37" t="inlineStr">
        <is>
          <t>not-current</t>
        </is>
      </c>
      <c r="J22" s="37" t="inlineStr">
        <is>
          <t>Y</t>
        </is>
      </c>
      <c r="K22" s="43" t="n">
        <v>44666</v>
      </c>
      <c r="L22" s="37" t="inlineStr">
        <is>
          <t>SUSTAINED</t>
        </is>
      </c>
    </row>
    <row r="23">
      <c r="A23" s="37" t="inlineStr">
        <is>
          <t>SKP-2022-0022</t>
        </is>
      </c>
      <c r="B23" s="37" t="inlineStr">
        <is>
          <t>OFR-2022-0063</t>
        </is>
      </c>
      <c r="C23" s="43" t="n">
        <v>44652</v>
      </c>
      <c r="D23" s="37" t="inlineStr">
        <is>
          <t>WL-03272</t>
        </is>
      </c>
      <c r="E23" s="37" t="n">
        <v>2272</v>
      </c>
      <c r="F23" s="37" t="inlineStr">
        <is>
          <t>VB-0302</t>
        </is>
      </c>
      <c r="G23" s="37" t="inlineStr">
        <is>
          <t>Vessbank</t>
        </is>
      </c>
      <c r="H23" s="37" t="n">
        <v>28</v>
      </c>
      <c r="I23" s="37" t="inlineStr">
        <is>
          <t>not-current</t>
        </is>
      </c>
      <c r="J23" s="37" t="inlineStr">
        <is>
          <t>Y</t>
        </is>
      </c>
      <c r="K23" s="43" t="n">
        <v>44653</v>
      </c>
      <c r="L23" s="37" t="inlineStr">
        <is>
          <t>SUSTAINED</t>
        </is>
      </c>
    </row>
    <row r="24">
      <c r="A24" s="37" t="inlineStr">
        <is>
          <t>SKP-2022-0023</t>
        </is>
      </c>
      <c r="B24" s="37" t="inlineStr">
        <is>
          <t>OFR-2022-0064</t>
        </is>
      </c>
      <c r="C24" s="43" t="n">
        <v>44669</v>
      </c>
      <c r="D24" s="37" t="inlineStr">
        <is>
          <t>WL-02836</t>
        </is>
      </c>
      <c r="E24" s="37" t="n">
        <v>1836</v>
      </c>
      <c r="F24" s="37" t="inlineStr">
        <is>
          <t>VB-0401</t>
        </is>
      </c>
      <c r="G24" s="37" t="inlineStr">
        <is>
          <t>Vessbank</t>
        </is>
      </c>
      <c r="H24" s="37" t="n">
        <v>24</v>
      </c>
      <c r="I24" s="37" t="inlineStr">
        <is>
          <t>preference-mismatch</t>
        </is>
      </c>
      <c r="J24" s="37" t="inlineStr">
        <is>
          <t>Y</t>
        </is>
      </c>
      <c r="K24" s="43" t="n">
        <v>44671</v>
      </c>
      <c r="L24" s="37" t="inlineStr">
        <is>
          <t>SUSTAINED</t>
        </is>
      </c>
    </row>
    <row r="25">
      <c r="A25" s="37" t="inlineStr">
        <is>
          <t>SKP-2022-0024</t>
        </is>
      </c>
      <c r="B25" s="37" t="inlineStr">
        <is>
          <t>OFR-2022-0069</t>
        </is>
      </c>
      <c r="C25" s="43" t="n">
        <v>44673</v>
      </c>
      <c r="D25" s="37" t="inlineStr">
        <is>
          <t>WL-01262</t>
        </is>
      </c>
      <c r="E25" s="37" t="n">
        <v>262</v>
      </c>
      <c r="F25" s="37" t="inlineStr">
        <is>
          <t>EW-0421</t>
        </is>
      </c>
      <c r="G25" s="37" t="inlineStr">
        <is>
          <t>Eastwey</t>
        </is>
      </c>
      <c r="H25" s="37" t="n">
        <v>36</v>
      </c>
      <c r="I25" s="37" t="inlineStr">
        <is>
          <t>not-current</t>
        </is>
      </c>
      <c r="J25" s="37" t="inlineStr">
        <is>
          <t>Y</t>
        </is>
      </c>
      <c r="K25" s="43" t="n">
        <v>44673</v>
      </c>
      <c r="L25" s="37" t="inlineStr">
        <is>
          <t>SUSTAINED</t>
        </is>
      </c>
    </row>
    <row r="26">
      <c r="A26" s="37" t="inlineStr">
        <is>
          <t>SKP-2022-0025</t>
        </is>
      </c>
      <c r="B26" s="37" t="inlineStr">
        <is>
          <t>OFR-2022-0070</t>
        </is>
      </c>
      <c r="C26" s="43" t="n">
        <v>44678</v>
      </c>
      <c r="D26" s="37" t="inlineStr">
        <is>
          <t>WL-01084</t>
        </is>
      </c>
      <c r="E26" s="37" t="n">
        <v>84</v>
      </c>
      <c r="F26" s="37" t="inlineStr">
        <is>
          <t>GW-0917</t>
        </is>
      </c>
      <c r="G26" s="37" t="inlineStr">
        <is>
          <t>Gullwing</t>
        </is>
      </c>
      <c r="H26" s="37" t="n">
        <v>24</v>
      </c>
      <c r="I26" s="37" t="inlineStr">
        <is>
          <t>vessel-fit</t>
        </is>
      </c>
      <c r="J26" s="37" t="inlineStr">
        <is>
          <t>Y</t>
        </is>
      </c>
      <c r="K26" s="43" t="n">
        <v>44679</v>
      </c>
      <c r="L26" s="37" t="inlineStr">
        <is>
          <t>SUSTAINED</t>
        </is>
      </c>
    </row>
    <row r="27">
      <c r="A27" s="37" t="inlineStr">
        <is>
          <t>SKP-2022-0026</t>
        </is>
      </c>
      <c r="B27" s="37" t="inlineStr">
        <is>
          <t>OFR-2022-0076</t>
        </is>
      </c>
      <c r="C27" s="43" t="n">
        <v>44676</v>
      </c>
      <c r="D27" s="37" t="inlineStr">
        <is>
          <t>WL-02714</t>
        </is>
      </c>
      <c r="E27" s="37" t="n">
        <v>1714</v>
      </c>
      <c r="F27" s="37" t="inlineStr">
        <is>
          <t>SB-0406</t>
        </is>
      </c>
      <c r="G27" s="37" t="inlineStr">
        <is>
          <t>Salmonberry</t>
        </is>
      </c>
      <c r="H27" s="37" t="n">
        <v>40</v>
      </c>
      <c r="I27" s="37" t="inlineStr">
        <is>
          <t>declined-prior-offer</t>
        </is>
      </c>
      <c r="J27" s="37" t="inlineStr">
        <is>
          <t>Y</t>
        </is>
      </c>
      <c r="K27" s="43" t="n">
        <v>44679</v>
      </c>
      <c r="L27" s="37" t="inlineStr">
        <is>
          <t>SUSTAINED</t>
        </is>
      </c>
    </row>
    <row r="28">
      <c r="A28" s="37" t="inlineStr">
        <is>
          <t>SKP-2022-0027</t>
        </is>
      </c>
      <c r="B28" s="37" t="inlineStr">
        <is>
          <t>OFR-2022-0080</t>
        </is>
      </c>
      <c r="C28" s="43" t="n">
        <v>44658</v>
      </c>
      <c r="D28" s="37" t="inlineStr">
        <is>
          <t>WL-01223</t>
        </is>
      </c>
      <c r="E28" s="37" t="n">
        <v>223</v>
      </c>
      <c r="F28" s="37" t="inlineStr">
        <is>
          <t>EW-0611</t>
        </is>
      </c>
      <c r="G28" s="37" t="inlineStr">
        <is>
          <t>Eastwey</t>
        </is>
      </c>
      <c r="H28" s="37" t="n">
        <v>24</v>
      </c>
      <c r="I28" s="37" t="inlineStr">
        <is>
          <t>preference-mismatch</t>
        </is>
      </c>
      <c r="J28" s="37" t="inlineStr">
        <is>
          <t>Y</t>
        </is>
      </c>
      <c r="K28" s="43" t="n">
        <v>44658</v>
      </c>
      <c r="L28" s="37" t="inlineStr">
        <is>
          <t>SUSTAINED</t>
        </is>
      </c>
    </row>
    <row r="29">
      <c r="A29" s="37" t="inlineStr">
        <is>
          <t>SKP-2022-0028</t>
        </is>
      </c>
      <c r="B29" s="37" t="inlineStr">
        <is>
          <t>OFR-2022-0085</t>
        </is>
      </c>
      <c r="C29" s="43" t="n">
        <v>44678</v>
      </c>
      <c r="D29" s="37" t="inlineStr">
        <is>
          <t>WL-03014</t>
        </is>
      </c>
      <c r="E29" s="37" t="n">
        <v>2014</v>
      </c>
      <c r="F29" s="37" t="inlineStr">
        <is>
          <t>GW-0606</t>
        </is>
      </c>
      <c r="G29" s="37" t="inlineStr">
        <is>
          <t>Gullwing</t>
        </is>
      </c>
      <c r="H29" s="37" t="n">
        <v>60</v>
      </c>
      <c r="I29" s="37" t="inlineStr">
        <is>
          <t>declined-prior-offer</t>
        </is>
      </c>
      <c r="J29" s="37" t="inlineStr">
        <is>
          <t>Y</t>
        </is>
      </c>
      <c r="K29" s="43" t="n">
        <v>44680</v>
      </c>
      <c r="L29" s="37" t="inlineStr">
        <is>
          <t>SUSTAINED</t>
        </is>
      </c>
    </row>
    <row r="30">
      <c r="A30" s="37" t="inlineStr">
        <is>
          <t>SKP-2022-0029</t>
        </is>
      </c>
      <c r="B30" s="37" t="inlineStr">
        <is>
          <t>OFR-2022-0087</t>
        </is>
      </c>
      <c r="C30" s="43" t="n">
        <v>44652</v>
      </c>
      <c r="D30" s="37" t="inlineStr">
        <is>
          <t>WL-03157</t>
        </is>
      </c>
      <c r="E30" s="37" t="n">
        <v>2157</v>
      </c>
      <c r="F30" s="37" t="inlineStr">
        <is>
          <t>LP-0506</t>
        </is>
      </c>
      <c r="G30" s="37" t="inlineStr">
        <is>
          <t>Ledgport</t>
        </is>
      </c>
      <c r="H30" s="37" t="n">
        <v>24</v>
      </c>
      <c r="I30" s="37" t="inlineStr">
        <is>
          <t>vessel-fit</t>
        </is>
      </c>
      <c r="J30" s="37" t="inlineStr">
        <is>
          <t>Y</t>
        </is>
      </c>
      <c r="K30" s="43" t="n">
        <v>44656</v>
      </c>
      <c r="L30" s="37" t="inlineStr">
        <is>
          <t>SUSTAINED</t>
        </is>
      </c>
    </row>
    <row r="31">
      <c r="A31" s="37" t="inlineStr">
        <is>
          <t>SKP-2022-0030</t>
        </is>
      </c>
      <c r="B31" s="37" t="inlineStr">
        <is>
          <t>OFR-2022-0090</t>
        </is>
      </c>
      <c r="C31" s="43" t="n">
        <v>44656</v>
      </c>
      <c r="D31" s="37" t="inlineStr">
        <is>
          <t>WL-01269</t>
        </is>
      </c>
      <c r="E31" s="37" t="n">
        <v>269</v>
      </c>
      <c r="F31" s="37" t="inlineStr">
        <is>
          <t>GW-0617</t>
        </is>
      </c>
      <c r="G31" s="37" t="inlineStr">
        <is>
          <t>Gullwing</t>
        </is>
      </c>
      <c r="H31" s="37" t="n">
        <v>32</v>
      </c>
      <c r="I31" s="37" t="inlineStr">
        <is>
          <t>preference-mismatch</t>
        </is>
      </c>
      <c r="J31" s="37" t="inlineStr">
        <is>
          <t>Y</t>
        </is>
      </c>
      <c r="K31" s="43" t="n">
        <v>44656</v>
      </c>
      <c r="L31" s="37" t="inlineStr">
        <is>
          <t>SUSTAINED</t>
        </is>
      </c>
    </row>
    <row r="32">
      <c r="A32" s="37" t="inlineStr">
        <is>
          <t>SKP-2022-0031</t>
        </is>
      </c>
      <c r="B32" s="37" t="inlineStr">
        <is>
          <t>OFR-2022-0095</t>
        </is>
      </c>
      <c r="C32" s="43" t="n">
        <v>44705</v>
      </c>
      <c r="D32" s="37" t="inlineStr">
        <is>
          <t>WL-02258</t>
        </is>
      </c>
      <c r="E32" s="37" t="n">
        <v>1258</v>
      </c>
      <c r="F32" s="37" t="inlineStr">
        <is>
          <t>EW-0624</t>
        </is>
      </c>
      <c r="G32" s="37" t="inlineStr">
        <is>
          <t>Eastwey</t>
        </is>
      </c>
      <c r="H32" s="37" t="n">
        <v>60</v>
      </c>
      <c r="I32" s="37" t="inlineStr">
        <is>
          <t>vessel-fit</t>
        </is>
      </c>
      <c r="J32" s="37" t="inlineStr">
        <is>
          <t>Y</t>
        </is>
      </c>
      <c r="K32" s="43" t="n">
        <v>44708</v>
      </c>
      <c r="L32" s="37" t="inlineStr">
        <is>
          <t>SUSTAINED</t>
        </is>
      </c>
    </row>
    <row r="33">
      <c r="A33" s="37" t="inlineStr">
        <is>
          <t>SKP-2022-0032</t>
        </is>
      </c>
      <c r="B33" s="37" t="inlineStr">
        <is>
          <t>OFR-2022-0097</t>
        </is>
      </c>
      <c r="C33" s="43" t="n">
        <v>44706</v>
      </c>
      <c r="D33" s="37" t="inlineStr">
        <is>
          <t>WL-01273</t>
        </is>
      </c>
      <c r="E33" s="37" t="n">
        <v>273</v>
      </c>
      <c r="F33" s="37" t="inlineStr">
        <is>
          <t>GW-0420</t>
        </is>
      </c>
      <c r="G33" s="37" t="inlineStr">
        <is>
          <t>Gullwing</t>
        </is>
      </c>
      <c r="H33" s="37" t="n">
        <v>28</v>
      </c>
      <c r="I33" s="37" t="inlineStr">
        <is>
          <t>vessel-fit</t>
        </is>
      </c>
      <c r="J33" s="37" t="inlineStr">
        <is>
          <t>Y</t>
        </is>
      </c>
      <c r="K33" s="43" t="n">
        <v>44708</v>
      </c>
      <c r="L33" s="37" t="inlineStr">
        <is>
          <t>SUSTAINED</t>
        </is>
      </c>
    </row>
    <row r="34">
      <c r="A34" s="37" t="inlineStr">
        <is>
          <t>SKP-2022-0033</t>
        </is>
      </c>
      <c r="B34" s="37" t="inlineStr">
        <is>
          <t>OFR-2022-0098</t>
        </is>
      </c>
      <c r="C34" s="43" t="n">
        <v>44688</v>
      </c>
      <c r="D34" s="37" t="inlineStr">
        <is>
          <t>WL-01087</t>
        </is>
      </c>
      <c r="E34" s="37" t="n">
        <v>87</v>
      </c>
      <c r="F34" s="37" t="inlineStr">
        <is>
          <t>LP-0720</t>
        </is>
      </c>
      <c r="G34" s="37" t="inlineStr">
        <is>
          <t>Ledgport</t>
        </is>
      </c>
      <c r="H34" s="37" t="n">
        <v>32</v>
      </c>
      <c r="I34" s="37" t="inlineStr">
        <is>
          <t>declined-prior-offer</t>
        </is>
      </c>
      <c r="J34" s="37" t="inlineStr">
        <is>
          <t>Y</t>
        </is>
      </c>
      <c r="K34" s="43" t="n">
        <v>44689</v>
      </c>
      <c r="L34" s="37" t="inlineStr">
        <is>
          <t>SUSTAINED</t>
        </is>
      </c>
    </row>
    <row r="35">
      <c r="A35" s="37" t="inlineStr">
        <is>
          <t>SKP-2022-0034</t>
        </is>
      </c>
      <c r="B35" s="37" t="inlineStr">
        <is>
          <t>OFR-2022-0101</t>
        </is>
      </c>
      <c r="C35" s="43" t="n">
        <v>44701</v>
      </c>
      <c r="D35" s="37" t="inlineStr">
        <is>
          <t>WL-03708</t>
        </is>
      </c>
      <c r="E35" s="37" t="n">
        <v>2708</v>
      </c>
      <c r="F35" s="37" t="inlineStr">
        <is>
          <t>VB-1024</t>
        </is>
      </c>
      <c r="G35" s="37" t="inlineStr">
        <is>
          <t>Vessbank</t>
        </is>
      </c>
      <c r="H35" s="37" t="n">
        <v>32</v>
      </c>
      <c r="I35" s="37" t="inlineStr">
        <is>
          <t>not-current</t>
        </is>
      </c>
      <c r="J35" s="37" t="inlineStr">
        <is>
          <t>Y</t>
        </is>
      </c>
      <c r="K35" s="43" t="n">
        <v>44704</v>
      </c>
      <c r="L35" s="37" t="inlineStr">
        <is>
          <t>SUSTAINED</t>
        </is>
      </c>
    </row>
    <row r="36">
      <c r="A36" s="37" t="inlineStr">
        <is>
          <t>SKP-2022-0035</t>
        </is>
      </c>
      <c r="B36" s="37" t="inlineStr">
        <is>
          <t>OFR-2022-0102</t>
        </is>
      </c>
      <c r="C36" s="43" t="n">
        <v>44686</v>
      </c>
      <c r="D36" s="37" t="inlineStr">
        <is>
          <t>WL-02825</t>
        </is>
      </c>
      <c r="E36" s="37" t="n">
        <v>1825</v>
      </c>
      <c r="F36" s="37" t="inlineStr">
        <is>
          <t>VB-1001</t>
        </is>
      </c>
      <c r="G36" s="37" t="inlineStr">
        <is>
          <t>Vessbank</t>
        </is>
      </c>
      <c r="H36" s="37" t="n">
        <v>40</v>
      </c>
      <c r="I36" s="37" t="inlineStr">
        <is>
          <t>declined-prior-offer</t>
        </is>
      </c>
      <c r="J36" s="37" t="inlineStr">
        <is>
          <t>Y</t>
        </is>
      </c>
      <c r="K36" s="43" t="n">
        <v>44686</v>
      </c>
      <c r="L36" s="37" t="inlineStr">
        <is>
          <t>SUSTAINED</t>
        </is>
      </c>
    </row>
    <row r="37">
      <c r="A37" s="37" t="inlineStr">
        <is>
          <t>SKP-2022-0036</t>
        </is>
      </c>
      <c r="B37" s="37" t="inlineStr">
        <is>
          <t>OFR-2022-0105</t>
        </is>
      </c>
      <c r="C37" s="43" t="n">
        <v>44700</v>
      </c>
      <c r="D37" s="37" t="inlineStr">
        <is>
          <t>WL-02858</t>
        </is>
      </c>
      <c r="E37" s="37" t="n">
        <v>1858</v>
      </c>
      <c r="F37" s="37" t="inlineStr">
        <is>
          <t>VB-0203</t>
        </is>
      </c>
      <c r="G37" s="37" t="inlineStr">
        <is>
          <t>Vessbank</t>
        </is>
      </c>
      <c r="H37" s="37" t="n">
        <v>32</v>
      </c>
      <c r="I37" s="37" t="inlineStr">
        <is>
          <t>declined-prior-offer</t>
        </is>
      </c>
      <c r="J37" s="37" t="inlineStr">
        <is>
          <t>Y</t>
        </is>
      </c>
      <c r="K37" s="43" t="n">
        <v>44702</v>
      </c>
      <c r="L37" s="37" t="inlineStr">
        <is>
          <t>SUSTAINED</t>
        </is>
      </c>
    </row>
    <row r="38">
      <c r="A38" s="37" t="inlineStr">
        <is>
          <t>SKP-2022-0037</t>
        </is>
      </c>
      <c r="B38" s="37" t="inlineStr">
        <is>
          <t>OFR-2022-0107</t>
        </is>
      </c>
      <c r="C38" s="43" t="n">
        <v>44700</v>
      </c>
      <c r="D38" s="37" t="inlineStr">
        <is>
          <t>WL-02231</t>
        </is>
      </c>
      <c r="E38" s="37" t="n">
        <v>1231</v>
      </c>
      <c r="F38" s="37" t="inlineStr">
        <is>
          <t>LP-0322</t>
        </is>
      </c>
      <c r="G38" s="37" t="inlineStr">
        <is>
          <t>Ledgport</t>
        </is>
      </c>
      <c r="H38" s="37" t="n">
        <v>24</v>
      </c>
      <c r="I38" s="37" t="inlineStr">
        <is>
          <t>not-current</t>
        </is>
      </c>
      <c r="J38" s="37" t="inlineStr">
        <is>
          <t>Y</t>
        </is>
      </c>
      <c r="K38" s="43" t="n">
        <v>44704</v>
      </c>
      <c r="L38" s="37" t="inlineStr">
        <is>
          <t>SUSTAINED</t>
        </is>
      </c>
    </row>
    <row r="39">
      <c r="A39" s="37" t="inlineStr">
        <is>
          <t>SKP-2022-0038</t>
        </is>
      </c>
      <c r="B39" s="37" t="inlineStr">
        <is>
          <t>OFR-2022-0110</t>
        </is>
      </c>
      <c r="C39" s="43" t="n">
        <v>44696</v>
      </c>
      <c r="D39" s="37" t="inlineStr">
        <is>
          <t>WL-02094</t>
        </is>
      </c>
      <c r="E39" s="37" t="n">
        <v>1094</v>
      </c>
      <c r="F39" s="37" t="inlineStr">
        <is>
          <t>SB-0114</t>
        </is>
      </c>
      <c r="G39" s="37" t="inlineStr">
        <is>
          <t>Salmonberry</t>
        </is>
      </c>
      <c r="H39" s="37" t="n">
        <v>32</v>
      </c>
      <c r="I39" s="37" t="inlineStr">
        <is>
          <t>preference-mismatch</t>
        </is>
      </c>
      <c r="J39" s="37" t="inlineStr">
        <is>
          <t>Y</t>
        </is>
      </c>
      <c r="K39" s="43" t="n">
        <v>44696</v>
      </c>
      <c r="L39" s="37" t="inlineStr">
        <is>
          <t>SUSTAINED</t>
        </is>
      </c>
    </row>
    <row r="40">
      <c r="A40" s="37" t="inlineStr">
        <is>
          <t>SKP-2022-0039</t>
        </is>
      </c>
      <c r="B40" s="37" t="inlineStr">
        <is>
          <t>OFR-2022-0115</t>
        </is>
      </c>
      <c r="C40" s="43" t="n">
        <v>44698</v>
      </c>
      <c r="D40" s="37" t="inlineStr">
        <is>
          <t>WL-02180</t>
        </is>
      </c>
      <c r="E40" s="37" t="n">
        <v>1180</v>
      </c>
      <c r="F40" s="37" t="inlineStr">
        <is>
          <t>EW-0411</t>
        </is>
      </c>
      <c r="G40" s="37" t="inlineStr">
        <is>
          <t>Eastwey</t>
        </is>
      </c>
      <c r="H40" s="37" t="n">
        <v>70</v>
      </c>
      <c r="I40" s="37" t="inlineStr">
        <is>
          <t>vessel-fit</t>
        </is>
      </c>
      <c r="J40" s="37" t="inlineStr">
        <is>
          <t>Y</t>
        </is>
      </c>
      <c r="K40" s="43" t="n">
        <v>44698</v>
      </c>
      <c r="L40" s="37" t="inlineStr">
        <is>
          <t>SUSTAINED</t>
        </is>
      </c>
    </row>
    <row r="41">
      <c r="A41" s="37" t="inlineStr">
        <is>
          <t>SKP-2022-0040</t>
        </is>
      </c>
      <c r="B41" s="37" t="inlineStr">
        <is>
          <t>OFR-2022-0117</t>
        </is>
      </c>
      <c r="C41" s="43" t="n">
        <v>44697</v>
      </c>
      <c r="D41" s="37" t="inlineStr">
        <is>
          <t>WL-02224</t>
        </is>
      </c>
      <c r="E41" s="37" t="n">
        <v>1224</v>
      </c>
      <c r="F41" s="37" t="inlineStr">
        <is>
          <t>GW-0407</t>
        </is>
      </c>
      <c r="G41" s="37" t="inlineStr">
        <is>
          <t>Gullwing</t>
        </is>
      </c>
      <c r="H41" s="37" t="n">
        <v>45</v>
      </c>
      <c r="I41" s="37" t="inlineStr">
        <is>
          <t>vessel-fit</t>
        </is>
      </c>
      <c r="J41" s="37" t="inlineStr">
        <is>
          <t>Y</t>
        </is>
      </c>
      <c r="K41" s="43" t="n">
        <v>44700</v>
      </c>
      <c r="L41" s="37" t="inlineStr">
        <is>
          <t>SUSTAINED</t>
        </is>
      </c>
    </row>
    <row r="42">
      <c r="A42" s="37" t="inlineStr">
        <is>
          <t>SKP-2022-0041</t>
        </is>
      </c>
      <c r="B42" s="37" t="inlineStr">
        <is>
          <t>OFR-2022-0125</t>
        </is>
      </c>
      <c r="C42" s="43" t="n">
        <v>44713</v>
      </c>
      <c r="D42" s="37" t="inlineStr">
        <is>
          <t>WL-02782</t>
        </is>
      </c>
      <c r="E42" s="37" t="n">
        <v>1782</v>
      </c>
      <c r="F42" s="37" t="inlineStr">
        <is>
          <t>LP-0812</t>
        </is>
      </c>
      <c r="G42" s="37" t="inlineStr">
        <is>
          <t>Ledgport</t>
        </is>
      </c>
      <c r="H42" s="37" t="n">
        <v>28</v>
      </c>
      <c r="I42" s="37" t="inlineStr">
        <is>
          <t>vessel-fit</t>
        </is>
      </c>
      <c r="J42" s="37" t="inlineStr">
        <is>
          <t>Y</t>
        </is>
      </c>
      <c r="K42" s="43" t="n">
        <v>44716</v>
      </c>
      <c r="L42" s="37" t="inlineStr">
        <is>
          <t>SUSTAINED</t>
        </is>
      </c>
    </row>
    <row r="43">
      <c r="A43" s="37" t="inlineStr">
        <is>
          <t>SKP-2022-0042</t>
        </is>
      </c>
      <c r="B43" s="37" t="inlineStr">
        <is>
          <t>OFR-2022-0130</t>
        </is>
      </c>
      <c r="C43" s="43" t="n">
        <v>44737</v>
      </c>
      <c r="D43" s="37" t="inlineStr">
        <is>
          <t>WL-03403</t>
        </is>
      </c>
      <c r="E43" s="37" t="n">
        <v>2403</v>
      </c>
      <c r="F43" s="37" t="inlineStr">
        <is>
          <t>GW-0519</t>
        </is>
      </c>
      <c r="G43" s="37" t="inlineStr">
        <is>
          <t>Gullwing</t>
        </is>
      </c>
      <c r="H43" s="37" t="n">
        <v>40</v>
      </c>
      <c r="I43" s="37" t="inlineStr">
        <is>
          <t>not-current</t>
        </is>
      </c>
      <c r="J43" s="37" t="inlineStr">
        <is>
          <t>Y</t>
        </is>
      </c>
      <c r="K43" s="43" t="n">
        <v>44737</v>
      </c>
      <c r="L43" s="37" t="inlineStr">
        <is>
          <t>SUSTAINED</t>
        </is>
      </c>
    </row>
    <row r="44">
      <c r="A44" s="37" t="inlineStr">
        <is>
          <t>SKP-2022-0043</t>
        </is>
      </c>
      <c r="B44" s="37" t="inlineStr">
        <is>
          <t>OFR-2022-0137</t>
        </is>
      </c>
      <c r="C44" s="43" t="n">
        <v>44724</v>
      </c>
      <c r="D44" s="37" t="inlineStr">
        <is>
          <t>WL-03414</t>
        </is>
      </c>
      <c r="E44" s="37" t="n">
        <v>2414</v>
      </c>
      <c r="F44" s="37" t="inlineStr">
        <is>
          <t>GW-0207</t>
        </is>
      </c>
      <c r="G44" s="37" t="inlineStr">
        <is>
          <t>Gullwing</t>
        </is>
      </c>
      <c r="H44" s="37" t="n">
        <v>24</v>
      </c>
      <c r="I44" s="37" t="inlineStr">
        <is>
          <t>preference-mismatch</t>
        </is>
      </c>
      <c r="J44" s="37" t="inlineStr">
        <is>
          <t>Y</t>
        </is>
      </c>
      <c r="K44" s="43" t="n">
        <v>44726</v>
      </c>
      <c r="L44" s="37" t="inlineStr">
        <is>
          <t>SUSTAINED</t>
        </is>
      </c>
    </row>
    <row r="45">
      <c r="A45" s="37" t="inlineStr">
        <is>
          <t>SKP-2022-0044</t>
        </is>
      </c>
      <c r="B45" s="37" t="inlineStr">
        <is>
          <t>OFR-2022-0138</t>
        </is>
      </c>
      <c r="C45" s="43" t="n">
        <v>44738</v>
      </c>
      <c r="D45" s="37" t="inlineStr">
        <is>
          <t>WL-01601</t>
        </is>
      </c>
      <c r="E45" s="37" t="n">
        <v>601</v>
      </c>
      <c r="F45" s="37" t="inlineStr">
        <is>
          <t>GW-0907</t>
        </is>
      </c>
      <c r="G45" s="37" t="inlineStr">
        <is>
          <t>Gullwing</t>
        </is>
      </c>
      <c r="H45" s="37" t="n">
        <v>45</v>
      </c>
      <c r="I45" s="37" t="inlineStr">
        <is>
          <t>declined-prior-offer</t>
        </is>
      </c>
      <c r="J45" s="37" t="inlineStr">
        <is>
          <t>Y</t>
        </is>
      </c>
      <c r="K45" s="43" t="n">
        <v>44738</v>
      </c>
      <c r="L45" s="37" t="inlineStr">
        <is>
          <t>SUSTAINED</t>
        </is>
      </c>
    </row>
    <row r="46">
      <c r="A46" s="37" t="inlineStr">
        <is>
          <t>SKP-2022-0045</t>
        </is>
      </c>
      <c r="B46" s="37" t="inlineStr">
        <is>
          <t>OFR-2022-0144</t>
        </is>
      </c>
      <c r="C46" s="43" t="n">
        <v>44733</v>
      </c>
      <c r="D46" s="37" t="inlineStr">
        <is>
          <t>WL-02952</t>
        </is>
      </c>
      <c r="E46" s="37" t="n">
        <v>1952</v>
      </c>
      <c r="F46" s="37" t="inlineStr">
        <is>
          <t>VB-0416</t>
        </is>
      </c>
      <c r="G46" s="37" t="inlineStr">
        <is>
          <t>Vessbank</t>
        </is>
      </c>
      <c r="H46" s="37" t="n">
        <v>36</v>
      </c>
      <c r="I46" s="37" t="inlineStr">
        <is>
          <t>not-current</t>
        </is>
      </c>
      <c r="J46" s="37" t="inlineStr">
        <is>
          <t>Y</t>
        </is>
      </c>
      <c r="K46" s="43" t="n">
        <v>44738</v>
      </c>
      <c r="L46" s="37" t="inlineStr">
        <is>
          <t>SUSTAINED</t>
        </is>
      </c>
    </row>
    <row r="47">
      <c r="A47" s="37" t="inlineStr">
        <is>
          <t>SKP-2022-0046</t>
        </is>
      </c>
      <c r="B47" s="37" t="inlineStr">
        <is>
          <t>OFR-2022-0146</t>
        </is>
      </c>
      <c r="C47" s="43" t="n">
        <v>44727</v>
      </c>
      <c r="D47" s="37" t="inlineStr">
        <is>
          <t>WL-03459</t>
        </is>
      </c>
      <c r="E47" s="37" t="n">
        <v>2459</v>
      </c>
      <c r="F47" s="37" t="inlineStr">
        <is>
          <t>VB-0804</t>
        </is>
      </c>
      <c r="G47" s="37" t="inlineStr">
        <is>
          <t>Vessbank</t>
        </is>
      </c>
      <c r="H47" s="37" t="n">
        <v>24</v>
      </c>
      <c r="I47" s="37" t="inlineStr">
        <is>
          <t>declined-prior-offer</t>
        </is>
      </c>
      <c r="J47" s="37" t="inlineStr">
        <is>
          <t>Y</t>
        </is>
      </c>
      <c r="K47" s="43" t="n">
        <v>44729</v>
      </c>
      <c r="L47" s="37" t="inlineStr">
        <is>
          <t>SUSTAINED</t>
        </is>
      </c>
    </row>
    <row r="48">
      <c r="A48" s="37" t="inlineStr">
        <is>
          <t>SKP-2022-0047</t>
        </is>
      </c>
      <c r="B48" s="37" t="inlineStr">
        <is>
          <t>OFR-2022-0155</t>
        </is>
      </c>
      <c r="C48" s="43" t="n">
        <v>44720</v>
      </c>
      <c r="D48" s="37" t="inlineStr">
        <is>
          <t>WL-03209</t>
        </is>
      </c>
      <c r="E48" s="37" t="n">
        <v>2209</v>
      </c>
      <c r="F48" s="37" t="inlineStr">
        <is>
          <t>VB-0408</t>
        </is>
      </c>
      <c r="G48" s="37" t="inlineStr">
        <is>
          <t>Vessbank</t>
        </is>
      </c>
      <c r="H48" s="37" t="n">
        <v>36</v>
      </c>
      <c r="I48" s="37" t="inlineStr">
        <is>
          <t>preference-mismatch</t>
        </is>
      </c>
      <c r="J48" s="37" t="inlineStr">
        <is>
          <t>Y</t>
        </is>
      </c>
      <c r="K48" s="43" t="n">
        <v>44720</v>
      </c>
      <c r="L48" s="37" t="inlineStr">
        <is>
          <t>SUSTAINED</t>
        </is>
      </c>
    </row>
    <row r="49">
      <c r="A49" s="37" t="inlineStr">
        <is>
          <t>SKP-2022-0048</t>
        </is>
      </c>
      <c r="B49" s="37" t="inlineStr">
        <is>
          <t>OFR-2022-0157</t>
        </is>
      </c>
      <c r="C49" s="43" t="n">
        <v>44728</v>
      </c>
      <c r="D49" s="37" t="inlineStr">
        <is>
          <t>WL-01046</t>
        </is>
      </c>
      <c r="E49" s="37" t="n">
        <v>46</v>
      </c>
      <c r="F49" s="37" t="inlineStr">
        <is>
          <t>EW-1020</t>
        </is>
      </c>
      <c r="G49" s="37" t="inlineStr">
        <is>
          <t>Eastwey</t>
        </is>
      </c>
      <c r="H49" s="37" t="n">
        <v>28</v>
      </c>
      <c r="I49" s="37" t="inlineStr">
        <is>
          <t>vessel-fit</t>
        </is>
      </c>
      <c r="J49" s="37" t="inlineStr">
        <is>
          <t>Y</t>
        </is>
      </c>
      <c r="K49" s="43" t="n">
        <v>44733</v>
      </c>
      <c r="L49" s="37" t="inlineStr">
        <is>
          <t>SUSTAINED</t>
        </is>
      </c>
    </row>
    <row r="50">
      <c r="A50" s="37" t="inlineStr">
        <is>
          <t>SKP-2022-0049</t>
        </is>
      </c>
      <c r="B50" s="37" t="inlineStr">
        <is>
          <t>OFR-2022-0159</t>
        </is>
      </c>
      <c r="C50" s="43" t="n">
        <v>44716</v>
      </c>
      <c r="D50" s="37" t="inlineStr">
        <is>
          <t>WL-03172</t>
        </is>
      </c>
      <c r="E50" s="37" t="n">
        <v>2172</v>
      </c>
      <c r="F50" s="37" t="inlineStr">
        <is>
          <t>SB-0702</t>
        </is>
      </c>
      <c r="G50" s="37" t="inlineStr">
        <is>
          <t>Salmonberry</t>
        </is>
      </c>
      <c r="H50" s="37" t="n">
        <v>50</v>
      </c>
      <c r="I50" s="37" t="inlineStr">
        <is>
          <t>declined-prior-offer</t>
        </is>
      </c>
      <c r="J50" s="37" t="inlineStr">
        <is>
          <t>Y</t>
        </is>
      </c>
      <c r="K50" s="43" t="n">
        <v>44719</v>
      </c>
      <c r="L50" s="37" t="inlineStr">
        <is>
          <t>SUSTAINED</t>
        </is>
      </c>
    </row>
    <row r="51">
      <c r="A51" s="37" t="inlineStr">
        <is>
          <t>SKP-2022-0050</t>
        </is>
      </c>
      <c r="B51" s="37" t="inlineStr">
        <is>
          <t>OFR-2022-0160</t>
        </is>
      </c>
      <c r="C51" s="43" t="n">
        <v>44722</v>
      </c>
      <c r="D51" s="37" t="inlineStr">
        <is>
          <t>WL-03257</t>
        </is>
      </c>
      <c r="E51" s="37" t="n">
        <v>2257</v>
      </c>
      <c r="F51" s="37" t="inlineStr">
        <is>
          <t>LP-0505</t>
        </is>
      </c>
      <c r="G51" s="37" t="inlineStr">
        <is>
          <t>Ledgport</t>
        </is>
      </c>
      <c r="H51" s="37" t="n">
        <v>28</v>
      </c>
      <c r="I51" s="37" t="inlineStr">
        <is>
          <t>vessel-fit</t>
        </is>
      </c>
      <c r="J51" s="37" t="inlineStr">
        <is>
          <t>Y</t>
        </is>
      </c>
      <c r="K51" s="43" t="n">
        <v>44727</v>
      </c>
      <c r="L51" s="37" t="inlineStr">
        <is>
          <t>SUSTAINED</t>
        </is>
      </c>
    </row>
    <row r="52">
      <c r="A52" s="37" t="inlineStr">
        <is>
          <t>SKP-2022-0051</t>
        </is>
      </c>
      <c r="B52" s="37" t="inlineStr">
        <is>
          <t>OFR-2022-0169</t>
        </is>
      </c>
      <c r="C52" s="43" t="n">
        <v>44749</v>
      </c>
      <c r="D52" s="37" t="inlineStr">
        <is>
          <t>WL-02981</t>
        </is>
      </c>
      <c r="E52" s="37" t="n">
        <v>1981</v>
      </c>
      <c r="F52" s="37" t="inlineStr">
        <is>
          <t>GW-0118</t>
        </is>
      </c>
      <c r="G52" s="37" t="inlineStr">
        <is>
          <t>Gullwing</t>
        </is>
      </c>
      <c r="H52" s="37" t="n">
        <v>60</v>
      </c>
      <c r="I52" s="37" t="inlineStr">
        <is>
          <t>not-current</t>
        </is>
      </c>
      <c r="J52" s="37" t="inlineStr">
        <is>
          <t>Y</t>
        </is>
      </c>
      <c r="K52" s="43" t="n">
        <v>44753</v>
      </c>
      <c r="L52" s="37" t="inlineStr">
        <is>
          <t>SUSTAINED</t>
        </is>
      </c>
    </row>
    <row r="53">
      <c r="A53" s="37" t="inlineStr">
        <is>
          <t>SKP-2022-0052</t>
        </is>
      </c>
      <c r="B53" s="37" t="inlineStr">
        <is>
          <t>OFR-2022-0172</t>
        </is>
      </c>
      <c r="C53" s="43" t="n">
        <v>44761</v>
      </c>
      <c r="D53" s="37" t="inlineStr">
        <is>
          <t>WL-03529</t>
        </is>
      </c>
      <c r="E53" s="37" t="n">
        <v>2529</v>
      </c>
      <c r="F53" s="37" t="inlineStr">
        <is>
          <t>EW-1022</t>
        </is>
      </c>
      <c r="G53" s="37" t="inlineStr">
        <is>
          <t>Eastwey</t>
        </is>
      </c>
      <c r="H53" s="37" t="n">
        <v>32</v>
      </c>
      <c r="I53" s="37" t="inlineStr">
        <is>
          <t>vessel-fit</t>
        </is>
      </c>
      <c r="J53" s="37" t="inlineStr">
        <is>
          <t>Y</t>
        </is>
      </c>
      <c r="K53" s="43" t="n">
        <v>44761</v>
      </c>
      <c r="L53" s="37" t="inlineStr">
        <is>
          <t>SUSTAINED</t>
        </is>
      </c>
    </row>
    <row r="54">
      <c r="A54" s="37" t="inlineStr">
        <is>
          <t>SKP-2022-0053</t>
        </is>
      </c>
      <c r="B54" s="37" t="inlineStr">
        <is>
          <t>OFR-2022-0174</t>
        </is>
      </c>
      <c r="C54" s="43" t="n">
        <v>44744</v>
      </c>
      <c r="D54" s="37" t="inlineStr">
        <is>
          <t>WL-02368</t>
        </is>
      </c>
      <c r="E54" s="37" t="n">
        <v>1368</v>
      </c>
      <c r="F54" s="37" t="inlineStr">
        <is>
          <t>VB-0919</t>
        </is>
      </c>
      <c r="G54" s="37" t="inlineStr">
        <is>
          <t>Vessbank</t>
        </is>
      </c>
      <c r="H54" s="37" t="n">
        <v>24</v>
      </c>
      <c r="I54" s="37" t="inlineStr">
        <is>
          <t>vessel-fit</t>
        </is>
      </c>
      <c r="J54" s="37" t="inlineStr">
        <is>
          <t>Y</t>
        </is>
      </c>
      <c r="K54" s="43" t="n">
        <v>44748</v>
      </c>
      <c r="L54" s="37" t="inlineStr">
        <is>
          <t>SUSTAINED</t>
        </is>
      </c>
    </row>
    <row r="55">
      <c r="A55" s="37" t="inlineStr">
        <is>
          <t>SKP-2022-0054</t>
        </is>
      </c>
      <c r="B55" s="37" t="inlineStr">
        <is>
          <t>OFR-2022-0177</t>
        </is>
      </c>
      <c r="C55" s="43" t="n">
        <v>44760</v>
      </c>
      <c r="D55" s="37" t="inlineStr">
        <is>
          <t>WL-02099</t>
        </is>
      </c>
      <c r="E55" s="37" t="n">
        <v>1099</v>
      </c>
      <c r="F55" s="37" t="inlineStr">
        <is>
          <t>SB-0607</t>
        </is>
      </c>
      <c r="G55" s="37" t="inlineStr">
        <is>
          <t>Salmonberry</t>
        </is>
      </c>
      <c r="H55" s="37" t="n">
        <v>40</v>
      </c>
      <c r="I55" s="37" t="inlineStr">
        <is>
          <t>vessel-fit</t>
        </is>
      </c>
      <c r="J55" s="37" t="inlineStr">
        <is>
          <t>Y</t>
        </is>
      </c>
      <c r="K55" s="43" t="n">
        <v>44760</v>
      </c>
      <c r="L55" s="37" t="inlineStr">
        <is>
          <t>SUSTAINED</t>
        </is>
      </c>
    </row>
    <row r="56">
      <c r="A56" s="37" t="inlineStr">
        <is>
          <t>SKP-2022-0055</t>
        </is>
      </c>
      <c r="B56" s="37" t="inlineStr">
        <is>
          <t>OFR-2022-0178</t>
        </is>
      </c>
      <c r="C56" s="43" t="n">
        <v>44765</v>
      </c>
      <c r="D56" s="37" t="inlineStr">
        <is>
          <t>WL-01647</t>
        </is>
      </c>
      <c r="E56" s="37" t="n">
        <v>647</v>
      </c>
      <c r="F56" s="37" t="inlineStr">
        <is>
          <t>LP-0805</t>
        </is>
      </c>
      <c r="G56" s="37" t="inlineStr">
        <is>
          <t>Ledgport</t>
        </is>
      </c>
      <c r="H56" s="37" t="n">
        <v>36</v>
      </c>
      <c r="I56" s="37" t="inlineStr">
        <is>
          <t>vessel-fit</t>
        </is>
      </c>
      <c r="J56" s="37" t="inlineStr">
        <is>
          <t>Y</t>
        </is>
      </c>
      <c r="K56" s="43" t="n">
        <v>44769</v>
      </c>
      <c r="L56" s="37" t="inlineStr">
        <is>
          <t>SUSTAINED</t>
        </is>
      </c>
    </row>
    <row r="57">
      <c r="A57" s="37" t="inlineStr">
        <is>
          <t>SKP-2022-0056</t>
        </is>
      </c>
      <c r="B57" s="37" t="inlineStr">
        <is>
          <t>OFR-2022-0182</t>
        </is>
      </c>
      <c r="C57" s="43" t="n">
        <v>44764</v>
      </c>
      <c r="D57" s="37" t="inlineStr">
        <is>
          <t>WL-01682</t>
        </is>
      </c>
      <c r="E57" s="37" t="n">
        <v>682</v>
      </c>
      <c r="F57" s="37" t="inlineStr">
        <is>
          <t>GW-0521</t>
        </is>
      </c>
      <c r="G57" s="37" t="inlineStr">
        <is>
          <t>Gullwing</t>
        </is>
      </c>
      <c r="H57" s="37" t="n">
        <v>80</v>
      </c>
      <c r="I57" s="37" t="inlineStr">
        <is>
          <t>vessel-fit</t>
        </is>
      </c>
      <c r="J57" s="37" t="inlineStr">
        <is>
          <t>Y</t>
        </is>
      </c>
      <c r="K57" s="43" t="n">
        <v>44769</v>
      </c>
      <c r="L57" s="37" t="inlineStr">
        <is>
          <t>SUSTAINED</t>
        </is>
      </c>
    </row>
    <row r="58">
      <c r="A58" s="37" t="inlineStr">
        <is>
          <t>SKP-2022-0057</t>
        </is>
      </c>
      <c r="B58" s="37" t="inlineStr">
        <is>
          <t>OFR-2022-0188</t>
        </is>
      </c>
      <c r="C58" s="43" t="n">
        <v>44793</v>
      </c>
      <c r="D58" s="37" t="inlineStr">
        <is>
          <t>WL-02287</t>
        </is>
      </c>
      <c r="E58" s="37" t="n">
        <v>1287</v>
      </c>
      <c r="F58" s="37" t="inlineStr">
        <is>
          <t>GW-0405</t>
        </is>
      </c>
      <c r="G58" s="37" t="inlineStr">
        <is>
          <t>Gullwing</t>
        </is>
      </c>
      <c r="H58" s="37" t="n">
        <v>45</v>
      </c>
      <c r="I58" s="37" t="inlineStr">
        <is>
          <t>vessel-fit</t>
        </is>
      </c>
      <c r="J58" s="37" t="inlineStr">
        <is>
          <t>Y</t>
        </is>
      </c>
      <c r="K58" s="43" t="n">
        <v>44795</v>
      </c>
      <c r="L58" s="37" t="inlineStr">
        <is>
          <t>SUSTAINED</t>
        </is>
      </c>
    </row>
    <row r="59">
      <c r="A59" s="37" t="inlineStr">
        <is>
          <t>SKP-2022-0058</t>
        </is>
      </c>
      <c r="B59" s="37" t="inlineStr">
        <is>
          <t>OFR-2022-0194</t>
        </is>
      </c>
      <c r="C59" s="43" t="n">
        <v>44775</v>
      </c>
      <c r="D59" s="37" t="inlineStr">
        <is>
          <t>WL-01050</t>
        </is>
      </c>
      <c r="E59" s="37" t="n">
        <v>50</v>
      </c>
      <c r="F59" s="37" t="inlineStr">
        <is>
          <t>GW-0513</t>
        </is>
      </c>
      <c r="G59" s="37" t="inlineStr">
        <is>
          <t>Gullwing</t>
        </is>
      </c>
      <c r="H59" s="37" t="n">
        <v>32</v>
      </c>
      <c r="I59" s="37" t="inlineStr">
        <is>
          <t>declined-prior-offer</t>
        </is>
      </c>
      <c r="J59" s="37" t="inlineStr">
        <is>
          <t>Y</t>
        </is>
      </c>
      <c r="K59" s="43" t="n">
        <v>44777</v>
      </c>
      <c r="L59" s="37" t="inlineStr">
        <is>
          <t>SUSTAINED</t>
        </is>
      </c>
    </row>
    <row r="60">
      <c r="A60" s="37" t="inlineStr">
        <is>
          <t>SKP-2022-0059</t>
        </is>
      </c>
      <c r="B60" s="37" t="inlineStr">
        <is>
          <t>OFR-2022-0199</t>
        </is>
      </c>
      <c r="C60" s="43" t="n">
        <v>44788</v>
      </c>
      <c r="D60" s="37" t="inlineStr">
        <is>
          <t>WL-03330</t>
        </is>
      </c>
      <c r="E60" s="37" t="n">
        <v>2330</v>
      </c>
      <c r="F60" s="37" t="inlineStr">
        <is>
          <t>EW-0823</t>
        </is>
      </c>
      <c r="G60" s="37" t="inlineStr">
        <is>
          <t>Eastwey</t>
        </is>
      </c>
      <c r="H60" s="37" t="n">
        <v>32</v>
      </c>
      <c r="I60" s="37" t="inlineStr">
        <is>
          <t>vessel-fit</t>
        </is>
      </c>
      <c r="J60" s="37" t="inlineStr">
        <is>
          <t>Y</t>
        </is>
      </c>
      <c r="K60" s="43" t="n">
        <v>44789</v>
      </c>
      <c r="L60" s="37" t="inlineStr">
        <is>
          <t>SUSTAINED</t>
        </is>
      </c>
    </row>
    <row r="61">
      <c r="A61" s="37" t="inlineStr">
        <is>
          <t>SKP-2022-0060</t>
        </is>
      </c>
      <c r="B61" s="37" t="inlineStr">
        <is>
          <t>OFR-2022-0205</t>
        </is>
      </c>
      <c r="C61" s="43" t="n">
        <v>44798</v>
      </c>
      <c r="D61" s="37" t="inlineStr">
        <is>
          <t>WL-02553</t>
        </is>
      </c>
      <c r="E61" s="37" t="n">
        <v>1553</v>
      </c>
      <c r="F61" s="37" t="inlineStr">
        <is>
          <t>LP-1114</t>
        </is>
      </c>
      <c r="G61" s="37" t="inlineStr">
        <is>
          <t>Ledgport</t>
        </is>
      </c>
      <c r="H61" s="37" t="n">
        <v>32</v>
      </c>
      <c r="I61" s="37" t="inlineStr">
        <is>
          <t>declined-prior-offer</t>
        </is>
      </c>
      <c r="J61" s="37" t="inlineStr">
        <is>
          <t>Y</t>
        </is>
      </c>
      <c r="K61" s="43" t="n">
        <v>44803</v>
      </c>
      <c r="L61" s="37" t="inlineStr">
        <is>
          <t>SUSTAINED</t>
        </is>
      </c>
    </row>
    <row r="62">
      <c r="A62" s="37" t="inlineStr">
        <is>
          <t>SKP-2022-0061</t>
        </is>
      </c>
      <c r="B62" s="37" t="inlineStr">
        <is>
          <t>OFR-2022-0208</t>
        </is>
      </c>
      <c r="C62" s="43" t="n">
        <v>44783</v>
      </c>
      <c r="D62" s="37" t="inlineStr">
        <is>
          <t>WL-03425</t>
        </is>
      </c>
      <c r="E62" s="37" t="n">
        <v>2425</v>
      </c>
      <c r="F62" s="37" t="inlineStr">
        <is>
          <t>EW-0602</t>
        </is>
      </c>
      <c r="G62" s="37" t="inlineStr">
        <is>
          <t>Eastwey</t>
        </is>
      </c>
      <c r="H62" s="37" t="n">
        <v>50</v>
      </c>
      <c r="I62" s="37" t="inlineStr">
        <is>
          <t>not-current</t>
        </is>
      </c>
      <c r="J62" s="37" t="inlineStr">
        <is>
          <t>Y</t>
        </is>
      </c>
      <c r="K62" s="43" t="n">
        <v>44787</v>
      </c>
      <c r="L62" s="37" t="inlineStr">
        <is>
          <t>SUSTAINED</t>
        </is>
      </c>
    </row>
    <row r="63">
      <c r="A63" s="37" t="inlineStr">
        <is>
          <t>SKP-2022-0062</t>
        </is>
      </c>
      <c r="B63" s="37" t="inlineStr">
        <is>
          <t>OFR-2022-0211</t>
        </is>
      </c>
      <c r="C63" s="43" t="n">
        <v>44799</v>
      </c>
      <c r="D63" s="37" t="inlineStr">
        <is>
          <t>WL-02325</t>
        </is>
      </c>
      <c r="E63" s="37" t="n">
        <v>1325</v>
      </c>
      <c r="F63" s="37" t="inlineStr">
        <is>
          <t>GW-0303</t>
        </is>
      </c>
      <c r="G63" s="37" t="inlineStr">
        <is>
          <t>Gullwing</t>
        </is>
      </c>
      <c r="H63" s="37" t="n">
        <v>28</v>
      </c>
      <c r="I63" s="37" t="inlineStr">
        <is>
          <t>not-current</t>
        </is>
      </c>
      <c r="J63" s="37" t="inlineStr">
        <is>
          <t>Y</t>
        </is>
      </c>
      <c r="K63" s="43" t="n">
        <v>44799</v>
      </c>
      <c r="L63" s="37" t="inlineStr">
        <is>
          <t>SUSTAINED</t>
        </is>
      </c>
    </row>
    <row r="64">
      <c r="A64" s="37" t="inlineStr">
        <is>
          <t>SKP-2022-0063</t>
        </is>
      </c>
      <c r="B64" s="37" t="inlineStr">
        <is>
          <t>OFR-2022-0217</t>
        </is>
      </c>
      <c r="C64" s="43" t="n">
        <v>44787</v>
      </c>
      <c r="D64" s="37" t="inlineStr">
        <is>
          <t>WL-02495</t>
        </is>
      </c>
      <c r="E64" s="37" t="n">
        <v>1495</v>
      </c>
      <c r="F64" s="37" t="inlineStr">
        <is>
          <t>EW-0120</t>
        </is>
      </c>
      <c r="G64" s="37" t="inlineStr">
        <is>
          <t>Eastwey</t>
        </is>
      </c>
      <c r="H64" s="37" t="n">
        <v>80</v>
      </c>
      <c r="I64" s="37" t="inlineStr">
        <is>
          <t>preference-mismatch</t>
        </is>
      </c>
      <c r="J64" s="37" t="inlineStr">
        <is>
          <t>Y</t>
        </is>
      </c>
      <c r="K64" s="43" t="n">
        <v>44790</v>
      </c>
      <c r="L64" s="37" t="inlineStr">
        <is>
          <t>SUSTAINED</t>
        </is>
      </c>
    </row>
    <row r="65">
      <c r="A65" s="37" t="inlineStr">
        <is>
          <t>SKP-2022-0064</t>
        </is>
      </c>
      <c r="B65" s="37" t="inlineStr">
        <is>
          <t>OFR-2022-0219</t>
        </is>
      </c>
      <c r="C65" s="43" t="n">
        <v>44793</v>
      </c>
      <c r="D65" s="37" t="inlineStr">
        <is>
          <t>WL-03877</t>
        </is>
      </c>
      <c r="E65" s="37" t="n">
        <v>2877</v>
      </c>
      <c r="F65" s="37" t="inlineStr">
        <is>
          <t>VB-0621</t>
        </is>
      </c>
      <c r="G65" s="37" t="inlineStr">
        <is>
          <t>Vessbank</t>
        </is>
      </c>
      <c r="H65" s="37" t="n">
        <v>24</v>
      </c>
      <c r="I65" s="37" t="inlineStr">
        <is>
          <t>vessel-fit</t>
        </is>
      </c>
      <c r="J65" s="37" t="inlineStr">
        <is>
          <t>Y</t>
        </is>
      </c>
      <c r="K65" s="43" t="n">
        <v>44796</v>
      </c>
      <c r="L65" s="37" t="inlineStr">
        <is>
          <t>SUSTAINED</t>
        </is>
      </c>
    </row>
    <row r="66">
      <c r="A66" s="37" t="inlineStr">
        <is>
          <t>SKP-2022-0065</t>
        </is>
      </c>
      <c r="B66" s="37" t="inlineStr">
        <is>
          <t>OFR-2022-0220</t>
        </is>
      </c>
      <c r="C66" s="43" t="n">
        <v>44787</v>
      </c>
      <c r="D66" s="37" t="inlineStr">
        <is>
          <t>WL-01882</t>
        </is>
      </c>
      <c r="E66" s="37" t="n">
        <v>882</v>
      </c>
      <c r="F66" s="37" t="inlineStr">
        <is>
          <t>GW-1015</t>
        </is>
      </c>
      <c r="G66" s="37" t="inlineStr">
        <is>
          <t>Gullwing</t>
        </is>
      </c>
      <c r="H66" s="37" t="n">
        <v>70</v>
      </c>
      <c r="I66" s="37" t="inlineStr">
        <is>
          <t>declined-prior-offer</t>
        </is>
      </c>
      <c r="J66" s="37" t="inlineStr">
        <is>
          <t>Y</t>
        </is>
      </c>
      <c r="K66" s="43" t="n">
        <v>44792</v>
      </c>
      <c r="L66" s="37" t="inlineStr">
        <is>
          <t>SUSTAINED</t>
        </is>
      </c>
    </row>
    <row r="67">
      <c r="A67" s="37" t="inlineStr">
        <is>
          <t>SKP-2022-0066</t>
        </is>
      </c>
      <c r="B67" s="37" t="inlineStr">
        <is>
          <t>OFR-2022-0229</t>
        </is>
      </c>
      <c r="C67" s="43" t="n">
        <v>44831</v>
      </c>
      <c r="D67" s="37" t="inlineStr">
        <is>
          <t>WL-02670</t>
        </is>
      </c>
      <c r="E67" s="37" t="n">
        <v>1670</v>
      </c>
      <c r="F67" s="37" t="inlineStr">
        <is>
          <t>GW-0109</t>
        </is>
      </c>
      <c r="G67" s="37" t="inlineStr">
        <is>
          <t>Gullwing</t>
        </is>
      </c>
      <c r="H67" s="37" t="n">
        <v>28</v>
      </c>
      <c r="I67" s="37" t="inlineStr">
        <is>
          <t>vessel-fit</t>
        </is>
      </c>
      <c r="J67" s="37" t="inlineStr">
        <is>
          <t>Y</t>
        </is>
      </c>
      <c r="K67" s="43" t="n">
        <v>44836</v>
      </c>
      <c r="L67" s="37" t="inlineStr">
        <is>
          <t>SUSTAINED</t>
        </is>
      </c>
    </row>
    <row r="68">
      <c r="A68" s="37" t="inlineStr">
        <is>
          <t>SKP-2022-0067</t>
        </is>
      </c>
      <c r="B68" s="37" t="inlineStr">
        <is>
          <t>OFR-2022-0236</t>
        </is>
      </c>
      <c r="C68" s="43" t="n">
        <v>44808</v>
      </c>
      <c r="D68" s="37" t="inlineStr">
        <is>
          <t>WL-02978</t>
        </is>
      </c>
      <c r="E68" s="37" t="n">
        <v>1978</v>
      </c>
      <c r="F68" s="37" t="inlineStr">
        <is>
          <t>GW-0415</t>
        </is>
      </c>
      <c r="G68" s="37" t="inlineStr">
        <is>
          <t>Gullwing</t>
        </is>
      </c>
      <c r="H68" s="37" t="n">
        <v>24</v>
      </c>
      <c r="I68" s="37" t="inlineStr">
        <is>
          <t>vessel-fit</t>
        </is>
      </c>
      <c r="J68" s="37" t="inlineStr">
        <is>
          <t>Y</t>
        </is>
      </c>
      <c r="K68" s="43" t="n">
        <v>44809</v>
      </c>
      <c r="L68" s="37" t="inlineStr">
        <is>
          <t>SUSTAINED</t>
        </is>
      </c>
    </row>
    <row r="69">
      <c r="A69" s="37" t="inlineStr">
        <is>
          <t>SKP-2022-0068</t>
        </is>
      </c>
      <c r="B69" s="37" t="inlineStr">
        <is>
          <t>OFR-2022-0238</t>
        </is>
      </c>
      <c r="C69" s="43" t="n">
        <v>44829</v>
      </c>
      <c r="D69" s="37" t="inlineStr">
        <is>
          <t>WL-02292</t>
        </is>
      </c>
      <c r="E69" s="37" t="n">
        <v>1292</v>
      </c>
      <c r="F69" s="37" t="inlineStr">
        <is>
          <t>SB-0119</t>
        </is>
      </c>
      <c r="G69" s="37" t="inlineStr">
        <is>
          <t>Salmonberry</t>
        </is>
      </c>
      <c r="H69" s="37" t="n">
        <v>32</v>
      </c>
      <c r="I69" s="37" t="inlineStr">
        <is>
          <t>not-current</t>
        </is>
      </c>
      <c r="J69" s="37" t="inlineStr">
        <is>
          <t>Y</t>
        </is>
      </c>
      <c r="K69" s="43" t="n">
        <v>44830</v>
      </c>
      <c r="L69" s="37" t="inlineStr">
        <is>
          <t>SUSTAINED</t>
        </is>
      </c>
    </row>
    <row r="70">
      <c r="A70" s="37" t="inlineStr">
        <is>
          <t>SKP-2022-0069</t>
        </is>
      </c>
      <c r="B70" s="37" t="inlineStr">
        <is>
          <t>OFR-2022-0239</t>
        </is>
      </c>
      <c r="C70" s="43" t="n">
        <v>44817</v>
      </c>
      <c r="D70" s="37" t="inlineStr">
        <is>
          <t>WL-01492</t>
        </is>
      </c>
      <c r="E70" s="37" t="n">
        <v>492</v>
      </c>
      <c r="F70" s="37" t="inlineStr">
        <is>
          <t>GW-0709</t>
        </is>
      </c>
      <c r="G70" s="37" t="inlineStr">
        <is>
          <t>Gullwing</t>
        </is>
      </c>
      <c r="H70" s="37" t="n">
        <v>32</v>
      </c>
      <c r="I70" s="37" t="inlineStr">
        <is>
          <t>vessel-fit</t>
        </is>
      </c>
      <c r="J70" s="37" t="inlineStr">
        <is>
          <t>Y</t>
        </is>
      </c>
      <c r="K70" s="43" t="n">
        <v>44821</v>
      </c>
      <c r="L70" s="37" t="inlineStr">
        <is>
          <t>SUSTAINED</t>
        </is>
      </c>
    </row>
    <row r="71">
      <c r="A71" s="37" t="inlineStr">
        <is>
          <t>SKP-2022-0070</t>
        </is>
      </c>
      <c r="B71" s="37" t="inlineStr">
        <is>
          <t>OFR-2022-0240</t>
        </is>
      </c>
      <c r="C71" s="43" t="n">
        <v>44817</v>
      </c>
      <c r="D71" s="37" t="inlineStr">
        <is>
          <t>WL-01326</t>
        </is>
      </c>
      <c r="E71" s="37" t="n">
        <v>326</v>
      </c>
      <c r="F71" s="37" t="inlineStr">
        <is>
          <t>VB-0821</t>
        </is>
      </c>
      <c r="G71" s="37" t="inlineStr">
        <is>
          <t>Vessbank</t>
        </is>
      </c>
      <c r="H71" s="37" t="n">
        <v>40</v>
      </c>
      <c r="I71" s="37" t="inlineStr">
        <is>
          <t>preference-mismatch</t>
        </is>
      </c>
      <c r="J71" s="37" t="inlineStr">
        <is>
          <t>Y</t>
        </is>
      </c>
      <c r="K71" s="43" t="n">
        <v>44822</v>
      </c>
      <c r="L71" s="37" t="inlineStr">
        <is>
          <t>SUSTAINED</t>
        </is>
      </c>
    </row>
    <row r="72">
      <c r="A72" s="37" t="inlineStr">
        <is>
          <t>SKP-2022-0071</t>
        </is>
      </c>
      <c r="B72" s="37" t="inlineStr">
        <is>
          <t>OFR-2022-0244</t>
        </is>
      </c>
      <c r="C72" s="43" t="n">
        <v>44820</v>
      </c>
      <c r="D72" s="37" t="inlineStr">
        <is>
          <t>WL-01729</t>
        </is>
      </c>
      <c r="E72" s="37" t="n">
        <v>729</v>
      </c>
      <c r="F72" s="37" t="inlineStr">
        <is>
          <t>EW-1023</t>
        </is>
      </c>
      <c r="G72" s="37" t="inlineStr">
        <is>
          <t>Eastwey</t>
        </is>
      </c>
      <c r="H72" s="37" t="n">
        <v>60</v>
      </c>
      <c r="I72" s="37" t="inlineStr">
        <is>
          <t>preference-mismatch</t>
        </is>
      </c>
      <c r="J72" s="37" t="inlineStr">
        <is>
          <t>Y</t>
        </is>
      </c>
      <c r="K72" s="43" t="n">
        <v>44823</v>
      </c>
      <c r="L72" s="37" t="inlineStr">
        <is>
          <t>SUSTAINED</t>
        </is>
      </c>
    </row>
    <row r="73">
      <c r="A73" s="37" t="inlineStr">
        <is>
          <t>SKP-2022-0072</t>
        </is>
      </c>
      <c r="B73" s="37" t="inlineStr">
        <is>
          <t>OFR-2022-0246</t>
        </is>
      </c>
      <c r="C73" s="43" t="n">
        <v>44818</v>
      </c>
      <c r="D73" s="37" t="inlineStr">
        <is>
          <t>WL-01915</t>
        </is>
      </c>
      <c r="E73" s="37" t="n">
        <v>915</v>
      </c>
      <c r="F73" s="37" t="inlineStr">
        <is>
          <t>EW-0911</t>
        </is>
      </c>
      <c r="G73" s="37" t="inlineStr">
        <is>
          <t>Eastwey</t>
        </is>
      </c>
      <c r="H73" s="37" t="n">
        <v>60</v>
      </c>
      <c r="I73" s="37" t="inlineStr">
        <is>
          <t>vessel-fit</t>
        </is>
      </c>
      <c r="J73" s="37" t="inlineStr">
        <is>
          <t>Y</t>
        </is>
      </c>
      <c r="K73" s="43" t="n">
        <v>44823</v>
      </c>
      <c r="L73" s="37" t="inlineStr">
        <is>
          <t>SUSTAINED</t>
        </is>
      </c>
    </row>
    <row r="74">
      <c r="A74" s="37" t="inlineStr">
        <is>
          <t>SKP-2022-0073</t>
        </is>
      </c>
      <c r="B74" s="37" t="inlineStr">
        <is>
          <t>OFR-2022-0248</t>
        </is>
      </c>
      <c r="C74" s="43" t="n">
        <v>44818</v>
      </c>
      <c r="D74" s="37" t="inlineStr">
        <is>
          <t>WL-01440</t>
        </is>
      </c>
      <c r="E74" s="37" t="n">
        <v>440</v>
      </c>
      <c r="F74" s="37" t="inlineStr">
        <is>
          <t>EW-0717</t>
        </is>
      </c>
      <c r="G74" s="37" t="inlineStr">
        <is>
          <t>Eastwey</t>
        </is>
      </c>
      <c r="H74" s="37" t="n">
        <v>36</v>
      </c>
      <c r="I74" s="37" t="inlineStr">
        <is>
          <t>vessel-fit</t>
        </is>
      </c>
      <c r="J74" s="37" t="inlineStr">
        <is>
          <t>Y</t>
        </is>
      </c>
      <c r="K74" s="43" t="n">
        <v>44822</v>
      </c>
      <c r="L74" s="37" t="inlineStr">
        <is>
          <t>SUSTAINED</t>
        </is>
      </c>
    </row>
    <row r="75">
      <c r="A75" s="37" t="inlineStr">
        <is>
          <t>SKP-2022-0074</t>
        </is>
      </c>
      <c r="B75" s="37" t="inlineStr">
        <is>
          <t>OFR-2022-0250</t>
        </is>
      </c>
      <c r="C75" s="43" t="n">
        <v>44810</v>
      </c>
      <c r="D75" s="37" t="inlineStr">
        <is>
          <t>WL-01165</t>
        </is>
      </c>
      <c r="E75" s="37" t="n">
        <v>165</v>
      </c>
      <c r="F75" s="37" t="inlineStr">
        <is>
          <t>VB-0302</t>
        </is>
      </c>
      <c r="G75" s="37" t="inlineStr">
        <is>
          <t>Vessbank</t>
        </is>
      </c>
      <c r="H75" s="37" t="n">
        <v>28</v>
      </c>
      <c r="I75" s="37" t="inlineStr">
        <is>
          <t>vessel-fit</t>
        </is>
      </c>
      <c r="J75" s="37" t="inlineStr">
        <is>
          <t>Y</t>
        </is>
      </c>
      <c r="K75" s="43" t="n">
        <v>44812</v>
      </c>
      <c r="L75" s="37" t="inlineStr">
        <is>
          <t>SUSTAINED</t>
        </is>
      </c>
    </row>
    <row r="76">
      <c r="A76" s="37" t="inlineStr">
        <is>
          <t>SKP-2022-0075</t>
        </is>
      </c>
      <c r="B76" s="37" t="inlineStr">
        <is>
          <t>OFR-2022-0255</t>
        </is>
      </c>
      <c r="C76" s="43" t="n">
        <v>44809</v>
      </c>
      <c r="D76" s="37" t="inlineStr">
        <is>
          <t>WL-01185</t>
        </is>
      </c>
      <c r="E76" s="37" t="n">
        <v>185</v>
      </c>
      <c r="F76" s="37" t="inlineStr">
        <is>
          <t>EW-1013</t>
        </is>
      </c>
      <c r="G76" s="37" t="inlineStr">
        <is>
          <t>Eastwey</t>
        </is>
      </c>
      <c r="H76" s="37" t="n">
        <v>40</v>
      </c>
      <c r="I76" s="37" t="inlineStr">
        <is>
          <t>vessel-fit</t>
        </is>
      </c>
      <c r="J76" s="37" t="inlineStr">
        <is>
          <t>Y</t>
        </is>
      </c>
      <c r="K76" s="43" t="n">
        <v>44809</v>
      </c>
      <c r="L76" s="37" t="inlineStr">
        <is>
          <t>SUSTAINED</t>
        </is>
      </c>
    </row>
    <row r="77">
      <c r="A77" s="37" t="inlineStr">
        <is>
          <t>SKP-2022-0076</t>
        </is>
      </c>
      <c r="B77" s="37" t="inlineStr">
        <is>
          <t>OFR-2022-0259</t>
        </is>
      </c>
      <c r="C77" s="43" t="n">
        <v>44850</v>
      </c>
      <c r="D77" s="37" t="inlineStr">
        <is>
          <t>WL-03652</t>
        </is>
      </c>
      <c r="E77" s="37" t="n">
        <v>2652</v>
      </c>
      <c r="F77" s="37" t="inlineStr">
        <is>
          <t>GW-0612</t>
        </is>
      </c>
      <c r="G77" s="37" t="inlineStr">
        <is>
          <t>Gullwing</t>
        </is>
      </c>
      <c r="H77" s="37" t="n">
        <v>32</v>
      </c>
      <c r="I77" s="37" t="inlineStr">
        <is>
          <t>declined-prior-offer</t>
        </is>
      </c>
      <c r="J77" s="37" t="inlineStr">
        <is>
          <t>Y</t>
        </is>
      </c>
      <c r="K77" s="43" t="n">
        <v>44850</v>
      </c>
      <c r="L77" s="37" t="inlineStr">
        <is>
          <t>SUSTAINED</t>
        </is>
      </c>
    </row>
    <row r="78">
      <c r="A78" s="37" t="inlineStr">
        <is>
          <t>SKP-2022-0077</t>
        </is>
      </c>
      <c r="B78" s="37" t="inlineStr">
        <is>
          <t>OFR-2022-0265</t>
        </is>
      </c>
      <c r="C78" s="43" t="n">
        <v>44854</v>
      </c>
      <c r="D78" s="37" t="inlineStr">
        <is>
          <t>WL-03637</t>
        </is>
      </c>
      <c r="E78" s="37" t="n">
        <v>2637</v>
      </c>
      <c r="F78" s="37" t="inlineStr">
        <is>
          <t>VB-0717</t>
        </is>
      </c>
      <c r="G78" s="37" t="inlineStr">
        <is>
          <t>Vessbank</t>
        </is>
      </c>
      <c r="H78" s="37" t="n">
        <v>32</v>
      </c>
      <c r="I78" s="37" t="inlineStr">
        <is>
          <t>declined-prior-offer</t>
        </is>
      </c>
      <c r="J78" s="37" t="inlineStr">
        <is>
          <t>N</t>
        </is>
      </c>
      <c r="K78" s="43" t="n">
        <v>44857</v>
      </c>
      <c r="L78" s="37" t="inlineStr">
        <is>
          <t>SUSTAINED</t>
        </is>
      </c>
    </row>
    <row r="79">
      <c r="A79" s="37" t="inlineStr">
        <is>
          <t>SKP-2022-0078</t>
        </is>
      </c>
      <c r="B79" s="37" t="inlineStr">
        <is>
          <t>OFR-2022-0270</t>
        </is>
      </c>
      <c r="C79" s="43" t="n">
        <v>44840</v>
      </c>
      <c r="D79" s="37" t="inlineStr">
        <is>
          <t>WL-03753</t>
        </is>
      </c>
      <c r="E79" s="37" t="n">
        <v>2753</v>
      </c>
      <c r="F79" s="37" t="inlineStr">
        <is>
          <t>GW-0522</t>
        </is>
      </c>
      <c r="G79" s="37" t="inlineStr">
        <is>
          <t>Gullwing</t>
        </is>
      </c>
      <c r="H79" s="37" t="n">
        <v>28</v>
      </c>
      <c r="I79" s="37" t="inlineStr">
        <is>
          <t>vessel-fit</t>
        </is>
      </c>
      <c r="J79" s="37" t="inlineStr">
        <is>
          <t>Y</t>
        </is>
      </c>
      <c r="K79" s="43" t="n">
        <v>44842</v>
      </c>
      <c r="L79" s="37" t="inlineStr">
        <is>
          <t>SUSTAINED</t>
        </is>
      </c>
    </row>
    <row r="80">
      <c r="A80" s="37" t="inlineStr">
        <is>
          <t>SKP-2022-0079</t>
        </is>
      </c>
      <c r="B80" s="37" t="inlineStr">
        <is>
          <t>OFR-2022-0271</t>
        </is>
      </c>
      <c r="C80" s="43" t="n">
        <v>44851</v>
      </c>
      <c r="D80" s="37" t="inlineStr">
        <is>
          <t>WL-02940</t>
        </is>
      </c>
      <c r="E80" s="37" t="n">
        <v>1940</v>
      </c>
      <c r="F80" s="37" t="inlineStr">
        <is>
          <t>SB-0801</t>
        </is>
      </c>
      <c r="G80" s="37" t="inlineStr">
        <is>
          <t>Salmonberry</t>
        </is>
      </c>
      <c r="H80" s="37" t="n">
        <v>32</v>
      </c>
      <c r="I80" s="37" t="inlineStr">
        <is>
          <t>vessel-fit</t>
        </is>
      </c>
      <c r="J80" s="37" t="inlineStr">
        <is>
          <t>Y</t>
        </is>
      </c>
      <c r="K80" s="43" t="n">
        <v>44851</v>
      </c>
      <c r="L80" s="37" t="inlineStr">
        <is>
          <t>SUSTAINED</t>
        </is>
      </c>
    </row>
    <row r="81">
      <c r="A81" s="37" t="inlineStr">
        <is>
          <t>SKP-2022-0080</t>
        </is>
      </c>
      <c r="B81" s="37" t="inlineStr">
        <is>
          <t>OFR-2022-0272</t>
        </is>
      </c>
      <c r="C81" s="43" t="n">
        <v>44852</v>
      </c>
      <c r="D81" s="37" t="inlineStr">
        <is>
          <t>WL-01837</t>
        </is>
      </c>
      <c r="E81" s="37" t="n">
        <v>837</v>
      </c>
      <c r="F81" s="37" t="inlineStr">
        <is>
          <t>LP-1001</t>
        </is>
      </c>
      <c r="G81" s="37" t="inlineStr">
        <is>
          <t>Ledgport</t>
        </is>
      </c>
      <c r="H81" s="37" t="n">
        <v>40</v>
      </c>
      <c r="I81" s="37" t="inlineStr">
        <is>
          <t>vessel-fit</t>
        </is>
      </c>
      <c r="J81" s="37" t="inlineStr">
        <is>
          <t>N</t>
        </is>
      </c>
      <c r="K81" s="43" t="n">
        <v>44856</v>
      </c>
      <c r="L81" s="37" t="inlineStr">
        <is>
          <t>SUSTAINED</t>
        </is>
      </c>
    </row>
    <row r="82">
      <c r="A82" s="37" t="inlineStr">
        <is>
          <t>SKP-2022-0081</t>
        </is>
      </c>
      <c r="B82" s="37" t="inlineStr">
        <is>
          <t>OFR-2022-0274</t>
        </is>
      </c>
      <c r="C82" s="43" t="n">
        <v>44840</v>
      </c>
      <c r="D82" s="37" t="inlineStr">
        <is>
          <t>WL-03245</t>
        </is>
      </c>
      <c r="E82" s="37" t="n">
        <v>2245</v>
      </c>
      <c r="F82" s="37" t="inlineStr">
        <is>
          <t>GW-0614</t>
        </is>
      </c>
      <c r="G82" s="37" t="inlineStr">
        <is>
          <t>Gullwing</t>
        </is>
      </c>
      <c r="H82" s="37" t="n">
        <v>32</v>
      </c>
      <c r="I82" s="37" t="inlineStr">
        <is>
          <t>vessel-fit</t>
        </is>
      </c>
      <c r="J82" s="37" t="inlineStr">
        <is>
          <t>Y</t>
        </is>
      </c>
      <c r="K82" s="43" t="n">
        <v>44840</v>
      </c>
      <c r="L82" s="37" t="inlineStr">
        <is>
          <t>SUSTAINED</t>
        </is>
      </c>
    </row>
    <row r="83">
      <c r="A83" s="37" t="inlineStr">
        <is>
          <t>SKP-2022-0082</t>
        </is>
      </c>
      <c r="B83" s="37" t="inlineStr">
        <is>
          <t>OFR-2022-0276</t>
        </is>
      </c>
      <c r="C83" s="43" t="n">
        <v>44838</v>
      </c>
      <c r="D83" s="37" t="inlineStr">
        <is>
          <t>WL-01246</t>
        </is>
      </c>
      <c r="E83" s="37" t="n">
        <v>246</v>
      </c>
      <c r="F83" s="37" t="inlineStr">
        <is>
          <t>EW-0316</t>
        </is>
      </c>
      <c r="G83" s="37" t="inlineStr">
        <is>
          <t>Eastwey</t>
        </is>
      </c>
      <c r="H83" s="37" t="n">
        <v>36</v>
      </c>
      <c r="I83" s="37" t="inlineStr">
        <is>
          <t>not-current</t>
        </is>
      </c>
      <c r="J83" s="37" t="inlineStr">
        <is>
          <t>Y</t>
        </is>
      </c>
      <c r="K83" s="43" t="n">
        <v>44840</v>
      </c>
      <c r="L83" s="37" t="inlineStr">
        <is>
          <t>SUSTAINED</t>
        </is>
      </c>
    </row>
    <row r="84">
      <c r="A84" s="37" t="inlineStr">
        <is>
          <t>SKP-2022-0083</t>
        </is>
      </c>
      <c r="B84" s="37" t="inlineStr">
        <is>
          <t>OFR-2022-0278</t>
        </is>
      </c>
      <c r="C84" s="43" t="n">
        <v>44842</v>
      </c>
      <c r="D84" s="37" t="inlineStr">
        <is>
          <t>WL-02072</t>
        </is>
      </c>
      <c r="E84" s="37" t="n">
        <v>1072</v>
      </c>
      <c r="F84" s="37" t="inlineStr">
        <is>
          <t>EW-0219</t>
        </is>
      </c>
      <c r="G84" s="37" t="inlineStr">
        <is>
          <t>Eastwey</t>
        </is>
      </c>
      <c r="H84" s="37" t="n">
        <v>70</v>
      </c>
      <c r="I84" s="37" t="inlineStr">
        <is>
          <t>declined-prior-offer</t>
        </is>
      </c>
      <c r="J84" s="37" t="inlineStr">
        <is>
          <t>Y</t>
        </is>
      </c>
      <c r="K84" s="43" t="n">
        <v>44842</v>
      </c>
      <c r="L84" s="37" t="inlineStr">
        <is>
          <t>SUSTAINED</t>
        </is>
      </c>
    </row>
    <row r="85">
      <c r="A85" s="37" t="inlineStr">
        <is>
          <t>SKP-2022-0084</t>
        </is>
      </c>
      <c r="B85" s="37" t="inlineStr">
        <is>
          <t>OFR-2022-0279</t>
        </is>
      </c>
      <c r="C85" s="43" t="n">
        <v>44861</v>
      </c>
      <c r="D85" s="37" t="inlineStr">
        <is>
          <t>WL-02843</t>
        </is>
      </c>
      <c r="E85" s="37" t="n">
        <v>1843</v>
      </c>
      <c r="F85" s="37" t="inlineStr">
        <is>
          <t>LP-0321</t>
        </is>
      </c>
      <c r="G85" s="37" t="inlineStr">
        <is>
          <t>Ledgport</t>
        </is>
      </c>
      <c r="H85" s="37" t="n">
        <v>28</v>
      </c>
      <c r="I85" s="37" t="inlineStr">
        <is>
          <t>vessel-fit</t>
        </is>
      </c>
      <c r="J85" s="37" t="inlineStr">
        <is>
          <t>Y</t>
        </is>
      </c>
      <c r="K85" s="43" t="n">
        <v>44866</v>
      </c>
      <c r="L85" s="37" t="inlineStr">
        <is>
          <t>SUSTAINED</t>
        </is>
      </c>
    </row>
    <row r="86">
      <c r="A86" s="37" t="inlineStr">
        <is>
          <t>SKP-2022-0085</t>
        </is>
      </c>
      <c r="B86" s="37" t="inlineStr">
        <is>
          <t>OFR-2022-0282</t>
        </is>
      </c>
      <c r="C86" s="43" t="n">
        <v>44849</v>
      </c>
      <c r="D86" s="37" t="inlineStr">
        <is>
          <t>WL-03204</t>
        </is>
      </c>
      <c r="E86" s="37" t="n">
        <v>2204</v>
      </c>
      <c r="F86" s="37" t="inlineStr">
        <is>
          <t>LP-1015</t>
        </is>
      </c>
      <c r="G86" s="37" t="inlineStr">
        <is>
          <t>Ledgport</t>
        </is>
      </c>
      <c r="H86" s="37" t="n">
        <v>24</v>
      </c>
      <c r="I86" s="37" t="inlineStr">
        <is>
          <t>not-current</t>
        </is>
      </c>
      <c r="J86" s="37" t="inlineStr">
        <is>
          <t>Y</t>
        </is>
      </c>
      <c r="K86" s="43" t="n">
        <v>44853</v>
      </c>
      <c r="L86" s="37" t="inlineStr">
        <is>
          <t>SUSTAINED</t>
        </is>
      </c>
    </row>
    <row r="87">
      <c r="A87" s="37" t="inlineStr">
        <is>
          <t>SKP-2022-0086</t>
        </is>
      </c>
      <c r="B87" s="37" t="inlineStr">
        <is>
          <t>OFR-2022-0290</t>
        </is>
      </c>
      <c r="C87" s="43" t="n">
        <v>44868</v>
      </c>
      <c r="D87" s="37" t="inlineStr">
        <is>
          <t>WL-02158</t>
        </is>
      </c>
      <c r="E87" s="37" t="n">
        <v>1158</v>
      </c>
      <c r="F87" s="37" t="inlineStr">
        <is>
          <t>SB-0918</t>
        </is>
      </c>
      <c r="G87" s="37" t="inlineStr">
        <is>
          <t>Salmonberry</t>
        </is>
      </c>
      <c r="H87" s="37" t="n">
        <v>80</v>
      </c>
      <c r="I87" s="37" t="inlineStr">
        <is>
          <t>not-current</t>
        </is>
      </c>
      <c r="J87" s="37" t="inlineStr">
        <is>
          <t>Y</t>
        </is>
      </c>
      <c r="K87" s="43" t="n">
        <v>44873</v>
      </c>
      <c r="L87" s="37" t="inlineStr">
        <is>
          <t>SUSTAINED</t>
        </is>
      </c>
    </row>
    <row r="88">
      <c r="A88" s="37" t="inlineStr">
        <is>
          <t>SKP-2022-0087</t>
        </is>
      </c>
      <c r="B88" s="37" t="inlineStr">
        <is>
          <t>OFR-2022-0293</t>
        </is>
      </c>
      <c r="C88" s="43" t="n">
        <v>44890</v>
      </c>
      <c r="D88" s="37" t="inlineStr">
        <is>
          <t>WL-02212</t>
        </is>
      </c>
      <c r="E88" s="37" t="n">
        <v>1212</v>
      </c>
      <c r="F88" s="37" t="inlineStr">
        <is>
          <t>LP-0813</t>
        </is>
      </c>
      <c r="G88" s="37" t="inlineStr">
        <is>
          <t>Ledgport</t>
        </is>
      </c>
      <c r="H88" s="37" t="n">
        <v>32</v>
      </c>
      <c r="I88" s="37" t="inlineStr">
        <is>
          <t>not-current</t>
        </is>
      </c>
      <c r="J88" s="37" t="inlineStr">
        <is>
          <t>Y</t>
        </is>
      </c>
      <c r="K88" s="43" t="n">
        <v>44892</v>
      </c>
      <c r="L88" s="37" t="inlineStr">
        <is>
          <t>SUSTAINED</t>
        </is>
      </c>
    </row>
    <row r="89">
      <c r="A89" s="37" t="inlineStr">
        <is>
          <t>SKP-2022-0088</t>
        </is>
      </c>
      <c r="B89" s="37" t="inlineStr">
        <is>
          <t>OFR-2022-0295</t>
        </is>
      </c>
      <c r="C89" s="43" t="n">
        <v>44874</v>
      </c>
      <c r="D89" s="37" t="inlineStr">
        <is>
          <t>WL-02898</t>
        </is>
      </c>
      <c r="E89" s="37" t="n">
        <v>1898</v>
      </c>
      <c r="F89" s="37" t="inlineStr">
        <is>
          <t>GW-0707</t>
        </is>
      </c>
      <c r="G89" s="37" t="inlineStr">
        <is>
          <t>Gullwing</t>
        </is>
      </c>
      <c r="H89" s="37" t="n">
        <v>24</v>
      </c>
      <c r="I89" s="37" t="inlineStr">
        <is>
          <t>vessel-fit</t>
        </is>
      </c>
      <c r="J89" s="37" t="inlineStr">
        <is>
          <t>Y</t>
        </is>
      </c>
      <c r="K89" s="43" t="n">
        <v>44875</v>
      </c>
      <c r="L89" s="37" t="inlineStr">
        <is>
          <t>SUSTAINED</t>
        </is>
      </c>
    </row>
    <row r="90">
      <c r="A90" s="37" t="inlineStr">
        <is>
          <t>SKP-2022-0089</t>
        </is>
      </c>
      <c r="B90" s="37" t="inlineStr">
        <is>
          <t>OFR-2022-0296</t>
        </is>
      </c>
      <c r="C90" s="43" t="n">
        <v>44868</v>
      </c>
      <c r="D90" s="37" t="inlineStr">
        <is>
          <t>WL-03263</t>
        </is>
      </c>
      <c r="E90" s="37" t="n">
        <v>2263</v>
      </c>
      <c r="F90" s="37" t="inlineStr">
        <is>
          <t>SB-0311</t>
        </is>
      </c>
      <c r="G90" s="37" t="inlineStr">
        <is>
          <t>Salmonberry</t>
        </is>
      </c>
      <c r="H90" s="37" t="n">
        <v>28</v>
      </c>
      <c r="I90" s="37" t="inlineStr">
        <is>
          <t>vessel-fit</t>
        </is>
      </c>
      <c r="J90" s="37" t="inlineStr">
        <is>
          <t>Y</t>
        </is>
      </c>
      <c r="K90" s="43" t="n">
        <v>44873</v>
      </c>
      <c r="L90" s="37" t="inlineStr">
        <is>
          <t>SUSTAINED</t>
        </is>
      </c>
    </row>
    <row r="91">
      <c r="A91" s="37" t="inlineStr">
        <is>
          <t>SKP-2022-0090</t>
        </is>
      </c>
      <c r="B91" s="37" t="inlineStr">
        <is>
          <t>OFR-2022-0300</t>
        </is>
      </c>
      <c r="C91" s="43" t="n">
        <v>44886</v>
      </c>
      <c r="D91" s="37" t="inlineStr">
        <is>
          <t>WL-01360</t>
        </is>
      </c>
      <c r="E91" s="37" t="n">
        <v>360</v>
      </c>
      <c r="F91" s="37" t="inlineStr">
        <is>
          <t>LP-0702</t>
        </is>
      </c>
      <c r="G91" s="37" t="inlineStr">
        <is>
          <t>Ledgport</t>
        </is>
      </c>
      <c r="H91" s="37" t="n">
        <v>32</v>
      </c>
      <c r="I91" s="37" t="inlineStr">
        <is>
          <t>vessel-fit</t>
        </is>
      </c>
      <c r="J91" s="37" t="inlineStr">
        <is>
          <t>Y</t>
        </is>
      </c>
      <c r="K91" s="43" t="n">
        <v>44887</v>
      </c>
      <c r="L91" s="37" t="inlineStr">
        <is>
          <t>SUSTAINED</t>
        </is>
      </c>
    </row>
    <row r="92">
      <c r="A92" s="37" t="inlineStr">
        <is>
          <t>SKP-2022-0091</t>
        </is>
      </c>
      <c r="B92" s="37" t="inlineStr">
        <is>
          <t>OFR-2022-0309</t>
        </is>
      </c>
      <c r="C92" s="43" t="n">
        <v>44879</v>
      </c>
      <c r="D92" s="37" t="inlineStr">
        <is>
          <t>WL-02860</t>
        </is>
      </c>
      <c r="E92" s="37" t="n">
        <v>1860</v>
      </c>
      <c r="F92" s="37" t="inlineStr">
        <is>
          <t>GW-0317</t>
        </is>
      </c>
      <c r="G92" s="37" t="inlineStr">
        <is>
          <t>Gullwing</t>
        </is>
      </c>
      <c r="H92" s="37" t="n">
        <v>32</v>
      </c>
      <c r="I92" s="37" t="inlineStr">
        <is>
          <t>preference-mismatch</t>
        </is>
      </c>
      <c r="J92" s="37" t="inlineStr">
        <is>
          <t>Y</t>
        </is>
      </c>
      <c r="K92" s="43" t="n">
        <v>44880</v>
      </c>
      <c r="L92" s="37" t="inlineStr">
        <is>
          <t>SUSTAINED</t>
        </is>
      </c>
    </row>
    <row r="93">
      <c r="A93" s="37" t="inlineStr">
        <is>
          <t>SKP-2022-0092</t>
        </is>
      </c>
      <c r="B93" s="37" t="inlineStr">
        <is>
          <t>OFR-2022-0310</t>
        </is>
      </c>
      <c r="C93" s="43" t="n">
        <v>44881</v>
      </c>
      <c r="D93" s="37" t="inlineStr">
        <is>
          <t>WL-01162</t>
        </is>
      </c>
      <c r="E93" s="37" t="n">
        <v>162</v>
      </c>
      <c r="F93" s="37" t="inlineStr">
        <is>
          <t>VB-0518</t>
        </is>
      </c>
      <c r="G93" s="37" t="inlineStr">
        <is>
          <t>Vessbank</t>
        </is>
      </c>
      <c r="H93" s="37" t="n">
        <v>28</v>
      </c>
      <c r="I93" s="37" t="inlineStr">
        <is>
          <t>not-current</t>
        </is>
      </c>
      <c r="J93" s="37" t="inlineStr">
        <is>
          <t>Y</t>
        </is>
      </c>
      <c r="K93" s="43" t="n">
        <v>44882</v>
      </c>
      <c r="L93" s="37" t="inlineStr">
        <is>
          <t>SUSTAINED</t>
        </is>
      </c>
    </row>
    <row r="94">
      <c r="A94" s="37" t="inlineStr">
        <is>
          <t>SKP-2022-0093</t>
        </is>
      </c>
      <c r="B94" s="37" t="inlineStr">
        <is>
          <t>OFR-2022-0312</t>
        </is>
      </c>
      <c r="C94" s="43" t="n">
        <v>44915</v>
      </c>
      <c r="D94" s="37" t="inlineStr">
        <is>
          <t>WL-03470</t>
        </is>
      </c>
      <c r="E94" s="37" t="n">
        <v>2470</v>
      </c>
      <c r="F94" s="37" t="inlineStr">
        <is>
          <t>SB-0601</t>
        </is>
      </c>
      <c r="G94" s="37" t="inlineStr">
        <is>
          <t>Salmonberry</t>
        </is>
      </c>
      <c r="H94" s="37" t="n">
        <v>24</v>
      </c>
      <c r="I94" s="37" t="inlineStr">
        <is>
          <t>preference-mismatch</t>
        </is>
      </c>
      <c r="J94" s="37" t="inlineStr">
        <is>
          <t>Y</t>
        </is>
      </c>
      <c r="K94" s="43" t="n">
        <v>44917</v>
      </c>
      <c r="L94" s="37" t="inlineStr">
        <is>
          <t>SUSTAINED</t>
        </is>
      </c>
    </row>
    <row r="95">
      <c r="A95" s="37" t="inlineStr">
        <is>
          <t>SKP-2022-0094</t>
        </is>
      </c>
      <c r="B95" s="37" t="inlineStr">
        <is>
          <t>OFR-2022-0316</t>
        </is>
      </c>
      <c r="C95" s="43" t="n">
        <v>44907</v>
      </c>
      <c r="D95" s="37" t="inlineStr">
        <is>
          <t>WL-01824</t>
        </is>
      </c>
      <c r="E95" s="37" t="n">
        <v>824</v>
      </c>
      <c r="F95" s="37" t="inlineStr">
        <is>
          <t>LP-0805</t>
        </is>
      </c>
      <c r="G95" s="37" t="inlineStr">
        <is>
          <t>Ledgport</t>
        </is>
      </c>
      <c r="H95" s="37" t="n">
        <v>36</v>
      </c>
      <c r="I95" s="37" t="inlineStr">
        <is>
          <t>not-current</t>
        </is>
      </c>
      <c r="J95" s="37" t="inlineStr">
        <is>
          <t>Y</t>
        </is>
      </c>
      <c r="K95" s="43" t="n">
        <v>44912</v>
      </c>
      <c r="L95" s="37" t="inlineStr">
        <is>
          <t>SUSTAINED</t>
        </is>
      </c>
    </row>
    <row r="96">
      <c r="A96" s="37" t="inlineStr">
        <is>
          <t>SKP-2023-0095</t>
        </is>
      </c>
      <c r="B96" s="37" t="inlineStr">
        <is>
          <t>OFR-2023-0323</t>
        </is>
      </c>
      <c r="C96" s="43" t="n">
        <v>44934</v>
      </c>
      <c r="D96" s="37" t="inlineStr">
        <is>
          <t>WL-03099</t>
        </is>
      </c>
      <c r="E96" s="37" t="n">
        <v>2099</v>
      </c>
      <c r="F96" s="37" t="inlineStr">
        <is>
          <t>LP-0317</t>
        </is>
      </c>
      <c r="G96" s="37" t="inlineStr">
        <is>
          <t>Ledgport</t>
        </is>
      </c>
      <c r="H96" s="37" t="n">
        <v>40</v>
      </c>
      <c r="I96" s="37" t="inlineStr">
        <is>
          <t>vessel-fit</t>
        </is>
      </c>
      <c r="J96" s="37" t="inlineStr">
        <is>
          <t>Y</t>
        </is>
      </c>
      <c r="K96" s="43" t="n">
        <v>44936</v>
      </c>
      <c r="L96" s="37" t="inlineStr">
        <is>
          <t>SUSTAINED</t>
        </is>
      </c>
    </row>
    <row r="97">
      <c r="A97" s="37" t="inlineStr">
        <is>
          <t>SKP-2023-0096</t>
        </is>
      </c>
      <c r="B97" s="37" t="inlineStr">
        <is>
          <t>OFR-2023-0324</t>
        </is>
      </c>
      <c r="C97" s="43" t="n">
        <v>44934</v>
      </c>
      <c r="D97" s="37" t="inlineStr">
        <is>
          <t>WL-02685</t>
        </is>
      </c>
      <c r="E97" s="37" t="n">
        <v>1685</v>
      </c>
      <c r="F97" s="37" t="inlineStr">
        <is>
          <t>LP-0906</t>
        </is>
      </c>
      <c r="G97" s="37" t="inlineStr">
        <is>
          <t>Ledgport</t>
        </is>
      </c>
      <c r="H97" s="37" t="n">
        <v>28</v>
      </c>
      <c r="I97" s="37" t="inlineStr">
        <is>
          <t>vessel-fit</t>
        </is>
      </c>
      <c r="J97" s="37" t="inlineStr">
        <is>
          <t>Y</t>
        </is>
      </c>
      <c r="K97" s="43" t="n">
        <v>44937</v>
      </c>
      <c r="L97" s="37" t="inlineStr">
        <is>
          <t>SUSTAINED</t>
        </is>
      </c>
    </row>
    <row r="98">
      <c r="A98" s="37" t="inlineStr">
        <is>
          <t>SKP-2023-0097</t>
        </is>
      </c>
      <c r="B98" s="37" t="inlineStr">
        <is>
          <t>OFR-2023-0326</t>
        </is>
      </c>
      <c r="C98" s="43" t="n">
        <v>44952</v>
      </c>
      <c r="D98" s="37" t="inlineStr">
        <is>
          <t>WL-01298</t>
        </is>
      </c>
      <c r="E98" s="37" t="n">
        <v>298</v>
      </c>
      <c r="F98" s="37" t="inlineStr">
        <is>
          <t>GW-0708</t>
        </is>
      </c>
      <c r="G98" s="37" t="inlineStr">
        <is>
          <t>Gullwing</t>
        </is>
      </c>
      <c r="H98" s="37" t="n">
        <v>70</v>
      </c>
      <c r="I98" s="37" t="inlineStr">
        <is>
          <t>vessel-fit</t>
        </is>
      </c>
      <c r="J98" s="37" t="inlineStr">
        <is>
          <t>Y</t>
        </is>
      </c>
      <c r="K98" s="43" t="n">
        <v>44955</v>
      </c>
      <c r="L98" s="37" t="inlineStr">
        <is>
          <t>SUSTAINED</t>
        </is>
      </c>
    </row>
    <row r="99">
      <c r="A99" s="37" t="inlineStr">
        <is>
          <t>SKP-2023-0098</t>
        </is>
      </c>
      <c r="B99" s="37" t="inlineStr">
        <is>
          <t>OFR-2023-0334</t>
        </is>
      </c>
      <c r="C99" s="43" t="n">
        <v>44934</v>
      </c>
      <c r="D99" s="37" t="inlineStr">
        <is>
          <t>WL-01959</t>
        </is>
      </c>
      <c r="E99" s="37" t="n">
        <v>959</v>
      </c>
      <c r="F99" s="37" t="inlineStr">
        <is>
          <t>VB-1023</t>
        </is>
      </c>
      <c r="G99" s="37" t="inlineStr">
        <is>
          <t>Vessbank</t>
        </is>
      </c>
      <c r="H99" s="37" t="n">
        <v>28</v>
      </c>
      <c r="I99" s="37" t="inlineStr">
        <is>
          <t>not-current</t>
        </is>
      </c>
      <c r="J99" s="37" t="inlineStr">
        <is>
          <t>Y</t>
        </is>
      </c>
      <c r="K99" s="43" t="n">
        <v>44937</v>
      </c>
      <c r="L99" s="37" t="inlineStr">
        <is>
          <t>SUSTAINED</t>
        </is>
      </c>
    </row>
    <row r="100">
      <c r="A100" s="37" t="inlineStr">
        <is>
          <t>SKP-2023-0099</t>
        </is>
      </c>
      <c r="B100" s="37" t="inlineStr">
        <is>
          <t>OFR-2023-0338</t>
        </is>
      </c>
      <c r="C100" s="43" t="n">
        <v>44936</v>
      </c>
      <c r="D100" s="37" t="inlineStr">
        <is>
          <t>WL-01695</t>
        </is>
      </c>
      <c r="E100" s="37" t="n">
        <v>695</v>
      </c>
      <c r="F100" s="37" t="inlineStr">
        <is>
          <t>EW-0203</t>
        </is>
      </c>
      <c r="G100" s="37" t="inlineStr">
        <is>
          <t>Eastwey</t>
        </is>
      </c>
      <c r="H100" s="37" t="n">
        <v>28</v>
      </c>
      <c r="I100" s="37" t="inlineStr">
        <is>
          <t>vessel-fit</t>
        </is>
      </c>
      <c r="J100" s="37" t="inlineStr">
        <is>
          <t>N</t>
        </is>
      </c>
      <c r="K100" s="43" t="n">
        <v>44939</v>
      </c>
      <c r="L100" s="37" t="inlineStr">
        <is>
          <t>SUSTAINED</t>
        </is>
      </c>
    </row>
    <row r="101">
      <c r="A101" s="37" t="inlineStr">
        <is>
          <t>SKP-2023-0100</t>
        </is>
      </c>
      <c r="B101" s="37" t="inlineStr">
        <is>
          <t>OFR-2023-0343</t>
        </is>
      </c>
      <c r="C101" s="43" t="n">
        <v>44975</v>
      </c>
      <c r="D101" s="37" t="inlineStr">
        <is>
          <t>WL-02565</t>
        </is>
      </c>
      <c r="E101" s="37" t="n">
        <v>1565</v>
      </c>
      <c r="F101" s="37" t="inlineStr">
        <is>
          <t>GW-0116</t>
        </is>
      </c>
      <c r="G101" s="37" t="inlineStr">
        <is>
          <t>Gullwing</t>
        </is>
      </c>
      <c r="H101" s="37" t="n">
        <v>32</v>
      </c>
      <c r="I101" s="37" t="inlineStr">
        <is>
          <t>vessel-fit</t>
        </is>
      </c>
      <c r="J101" s="37" t="inlineStr">
        <is>
          <t>Y</t>
        </is>
      </c>
      <c r="K101" s="43" t="n">
        <v>44980</v>
      </c>
      <c r="L101" s="37" t="inlineStr">
        <is>
          <t>SUSTAINED</t>
        </is>
      </c>
    </row>
    <row r="102">
      <c r="A102" s="37" t="inlineStr">
        <is>
          <t>SKP-2023-0101</t>
        </is>
      </c>
      <c r="B102" s="37" t="inlineStr">
        <is>
          <t>OFR-2023-0345</t>
        </is>
      </c>
      <c r="C102" s="43" t="n">
        <v>44976</v>
      </c>
      <c r="D102" s="37" t="inlineStr">
        <is>
          <t>WL-02664</t>
        </is>
      </c>
      <c r="E102" s="37" t="n">
        <v>1664</v>
      </c>
      <c r="F102" s="37" t="inlineStr">
        <is>
          <t>GW-0220</t>
        </is>
      </c>
      <c r="G102" s="37" t="inlineStr">
        <is>
          <t>Gullwing</t>
        </is>
      </c>
      <c r="H102" s="37" t="n">
        <v>60</v>
      </c>
      <c r="I102" s="37" t="inlineStr">
        <is>
          <t>preference-mismatch</t>
        </is>
      </c>
      <c r="J102" s="37" t="inlineStr">
        <is>
          <t>Y</t>
        </is>
      </c>
      <c r="K102" s="43" t="n">
        <v>44976</v>
      </c>
      <c r="L102" s="37" t="inlineStr">
        <is>
          <t>SUSTAINED</t>
        </is>
      </c>
    </row>
    <row r="103">
      <c r="A103" s="37" t="inlineStr">
        <is>
          <t>SKP-2023-0102</t>
        </is>
      </c>
      <c r="B103" s="37" t="inlineStr">
        <is>
          <t>OFR-2023-0346</t>
        </is>
      </c>
      <c r="C103" s="43" t="n">
        <v>44967</v>
      </c>
      <c r="D103" s="37" t="inlineStr">
        <is>
          <t>WL-03582</t>
        </is>
      </c>
      <c r="E103" s="37" t="n">
        <v>2582</v>
      </c>
      <c r="F103" s="37" t="inlineStr">
        <is>
          <t>GW-0615</t>
        </is>
      </c>
      <c r="G103" s="37" t="inlineStr">
        <is>
          <t>Gullwing</t>
        </is>
      </c>
      <c r="H103" s="37" t="n">
        <v>24</v>
      </c>
      <c r="I103" s="37" t="inlineStr">
        <is>
          <t>not-current</t>
        </is>
      </c>
      <c r="J103" s="37" t="inlineStr">
        <is>
          <t>Y</t>
        </is>
      </c>
      <c r="K103" s="43" t="n">
        <v>44971</v>
      </c>
      <c r="L103" s="37" t="inlineStr">
        <is>
          <t>SUSTAINED</t>
        </is>
      </c>
    </row>
    <row r="104">
      <c r="A104" s="37" t="inlineStr">
        <is>
          <t>SKP-2023-0103</t>
        </is>
      </c>
      <c r="B104" s="37" t="inlineStr">
        <is>
          <t>OFR-2023-0350</t>
        </is>
      </c>
      <c r="C104" s="43" t="n">
        <v>44974</v>
      </c>
      <c r="D104" s="37" t="inlineStr">
        <is>
          <t>WL-02918</t>
        </is>
      </c>
      <c r="E104" s="37" t="n">
        <v>1918</v>
      </c>
      <c r="F104" s="37" t="inlineStr">
        <is>
          <t>LP-1116</t>
        </is>
      </c>
      <c r="G104" s="37" t="inlineStr">
        <is>
          <t>Ledgport</t>
        </is>
      </c>
      <c r="H104" s="37" t="n">
        <v>28</v>
      </c>
      <c r="I104" s="37" t="inlineStr">
        <is>
          <t>declined-prior-offer</t>
        </is>
      </c>
      <c r="J104" s="37" t="inlineStr">
        <is>
          <t>Y</t>
        </is>
      </c>
      <c r="K104" s="43" t="n">
        <v>44978</v>
      </c>
      <c r="L104" s="37" t="inlineStr">
        <is>
          <t>SUSTAINED</t>
        </is>
      </c>
    </row>
    <row r="105">
      <c r="A105" s="37" t="inlineStr">
        <is>
          <t>SKP-2023-0104</t>
        </is>
      </c>
      <c r="B105" s="37" t="inlineStr">
        <is>
          <t>OFR-2023-0360</t>
        </is>
      </c>
      <c r="C105" s="43" t="n">
        <v>45000</v>
      </c>
      <c r="D105" s="37" t="inlineStr">
        <is>
          <t>WL-03523</t>
        </is>
      </c>
      <c r="E105" s="37" t="n">
        <v>2523</v>
      </c>
      <c r="F105" s="37" t="inlineStr">
        <is>
          <t>SB-0210</t>
        </is>
      </c>
      <c r="G105" s="37" t="inlineStr">
        <is>
          <t>Salmonberry</t>
        </is>
      </c>
      <c r="H105" s="37" t="n">
        <v>24</v>
      </c>
      <c r="I105" s="37" t="inlineStr">
        <is>
          <t>vessel-fit</t>
        </is>
      </c>
      <c r="J105" s="37" t="inlineStr">
        <is>
          <t>N</t>
        </is>
      </c>
      <c r="K105" s="43" t="n">
        <v>45003</v>
      </c>
      <c r="L105" s="37" t="inlineStr">
        <is>
          <t>SUSTAINED</t>
        </is>
      </c>
    </row>
    <row r="106">
      <c r="A106" s="37" t="inlineStr">
        <is>
          <t>SKP-2023-0105</t>
        </is>
      </c>
      <c r="B106" s="37" t="inlineStr">
        <is>
          <t>OFR-2023-0361</t>
        </is>
      </c>
      <c r="C106" s="43" t="n">
        <v>44991</v>
      </c>
      <c r="D106" s="37" t="inlineStr">
        <is>
          <t>WL-02366</t>
        </is>
      </c>
      <c r="E106" s="37" t="n">
        <v>1366</v>
      </c>
      <c r="F106" s="37" t="inlineStr">
        <is>
          <t>LP-1116</t>
        </is>
      </c>
      <c r="G106" s="37" t="inlineStr">
        <is>
          <t>Ledgport</t>
        </is>
      </c>
      <c r="H106" s="37" t="n">
        <v>28</v>
      </c>
      <c r="I106" s="37" t="inlineStr">
        <is>
          <t>vessel-fit</t>
        </is>
      </c>
      <c r="J106" s="37" t="inlineStr">
        <is>
          <t>Y</t>
        </is>
      </c>
      <c r="K106" s="43" t="n">
        <v>44995</v>
      </c>
      <c r="L106" s="37" t="inlineStr">
        <is>
          <t>SUSTAINED</t>
        </is>
      </c>
    </row>
    <row r="107">
      <c r="A107" s="37" t="inlineStr">
        <is>
          <t>SKP-2023-0106</t>
        </is>
      </c>
      <c r="B107" s="37" t="inlineStr">
        <is>
          <t>OFR-2023-0364</t>
        </is>
      </c>
      <c r="C107" s="43" t="n">
        <v>45012</v>
      </c>
      <c r="D107" s="37" t="inlineStr">
        <is>
          <t>WL-01388</t>
        </is>
      </c>
      <c r="E107" s="37" t="n">
        <v>388</v>
      </c>
      <c r="F107" s="37" t="inlineStr">
        <is>
          <t>SB-0617</t>
        </is>
      </c>
      <c r="G107" s="37" t="inlineStr">
        <is>
          <t>Salmonberry</t>
        </is>
      </c>
      <c r="H107" s="37" t="n">
        <v>36</v>
      </c>
      <c r="I107" s="37" t="inlineStr">
        <is>
          <t>vessel-fit</t>
        </is>
      </c>
      <c r="J107" s="37" t="inlineStr">
        <is>
          <t>Y</t>
        </is>
      </c>
      <c r="K107" s="43" t="n">
        <v>45015</v>
      </c>
      <c r="L107" s="37" t="inlineStr">
        <is>
          <t>SUSTAINED</t>
        </is>
      </c>
    </row>
    <row r="108">
      <c r="A108" s="37" t="inlineStr">
        <is>
          <t>SKP-2023-0107</t>
        </is>
      </c>
      <c r="B108" s="37" t="inlineStr">
        <is>
          <t>OFR-2023-0368</t>
        </is>
      </c>
      <c r="C108" s="43" t="n">
        <v>44995</v>
      </c>
      <c r="D108" s="37" t="inlineStr">
        <is>
          <t>WL-01984</t>
        </is>
      </c>
      <c r="E108" s="37" t="n">
        <v>984</v>
      </c>
      <c r="F108" s="37" t="inlineStr">
        <is>
          <t>GW-0606</t>
        </is>
      </c>
      <c r="G108" s="37" t="inlineStr">
        <is>
          <t>Gullwing</t>
        </is>
      </c>
      <c r="H108" s="37" t="n">
        <v>60</v>
      </c>
      <c r="I108" s="37" t="inlineStr">
        <is>
          <t>declined-prior-offer</t>
        </is>
      </c>
      <c r="J108" s="37" t="inlineStr">
        <is>
          <t>Y</t>
        </is>
      </c>
      <c r="K108" s="43" t="n">
        <v>44999</v>
      </c>
      <c r="L108" s="37" t="inlineStr">
        <is>
          <t>SUSTAINED</t>
        </is>
      </c>
    </row>
    <row r="109">
      <c r="A109" s="37" t="inlineStr">
        <is>
          <t>SKP-2023-0108</t>
        </is>
      </c>
      <c r="B109" s="37" t="inlineStr">
        <is>
          <t>OFR-2023-0370</t>
        </is>
      </c>
      <c r="C109" s="43" t="n">
        <v>45006</v>
      </c>
      <c r="D109" s="37" t="inlineStr">
        <is>
          <t>WL-01649</t>
        </is>
      </c>
      <c r="E109" s="37" t="n">
        <v>649</v>
      </c>
      <c r="F109" s="37" t="inlineStr">
        <is>
          <t>VB-0717</t>
        </is>
      </c>
      <c r="G109" s="37" t="inlineStr">
        <is>
          <t>Vessbank</t>
        </is>
      </c>
      <c r="H109" s="37" t="n">
        <v>32</v>
      </c>
      <c r="I109" s="37" t="inlineStr">
        <is>
          <t>vessel-fit</t>
        </is>
      </c>
      <c r="J109" s="37" t="inlineStr">
        <is>
          <t>Y</t>
        </is>
      </c>
      <c r="K109" s="43" t="n">
        <v>45008</v>
      </c>
      <c r="L109" s="37" t="inlineStr">
        <is>
          <t>SUSTAINED</t>
        </is>
      </c>
    </row>
    <row r="110">
      <c r="A110" s="37" t="inlineStr">
        <is>
          <t>SKP-2023-0109</t>
        </is>
      </c>
      <c r="B110" s="37" t="inlineStr">
        <is>
          <t>OFR-2023-0371</t>
        </is>
      </c>
      <c r="C110" s="43" t="n">
        <v>45010</v>
      </c>
      <c r="D110" s="37" t="inlineStr">
        <is>
          <t>WL-03535</t>
        </is>
      </c>
      <c r="E110" s="37" t="n">
        <v>2535</v>
      </c>
      <c r="F110" s="37" t="inlineStr">
        <is>
          <t>GW-0101</t>
        </is>
      </c>
      <c r="G110" s="37" t="inlineStr">
        <is>
          <t>Gullwing</t>
        </is>
      </c>
      <c r="H110" s="37" t="n">
        <v>24</v>
      </c>
      <c r="I110" s="37" t="inlineStr">
        <is>
          <t>vessel-fit</t>
        </is>
      </c>
      <c r="J110" s="37" t="inlineStr">
        <is>
          <t>Y</t>
        </is>
      </c>
      <c r="K110" s="43" t="n">
        <v>45011</v>
      </c>
      <c r="L110" s="37" t="inlineStr">
        <is>
          <t>SUSTAINED</t>
        </is>
      </c>
    </row>
    <row r="111">
      <c r="A111" s="37" t="inlineStr">
        <is>
          <t>SKP-2023-0110</t>
        </is>
      </c>
      <c r="B111" s="37" t="inlineStr">
        <is>
          <t>OFR-2023-0374</t>
        </is>
      </c>
      <c r="C111" s="43" t="n">
        <v>45036</v>
      </c>
      <c r="D111" s="37" t="inlineStr">
        <is>
          <t>WL-01473</t>
        </is>
      </c>
      <c r="E111" s="37" t="n">
        <v>473</v>
      </c>
      <c r="F111" s="37" t="inlineStr">
        <is>
          <t>SB-0623</t>
        </is>
      </c>
      <c r="G111" s="37" t="inlineStr">
        <is>
          <t>Salmonberry</t>
        </is>
      </c>
      <c r="H111" s="37" t="n">
        <v>28</v>
      </c>
      <c r="I111" s="37" t="inlineStr">
        <is>
          <t>vessel-fit</t>
        </is>
      </c>
      <c r="J111" s="37" t="inlineStr">
        <is>
          <t>Y</t>
        </is>
      </c>
      <c r="K111" s="43" t="n">
        <v>45041</v>
      </c>
      <c r="L111" s="37" t="inlineStr">
        <is>
          <t>SUSTAINED</t>
        </is>
      </c>
    </row>
    <row r="112">
      <c r="A112" s="37" t="inlineStr">
        <is>
          <t>SKP-2023-0111</t>
        </is>
      </c>
      <c r="B112" s="37" t="inlineStr">
        <is>
          <t>OFR-2023-0375</t>
        </is>
      </c>
      <c r="C112" s="43" t="n">
        <v>45036</v>
      </c>
      <c r="D112" s="37" t="inlineStr">
        <is>
          <t>WL-02941</t>
        </is>
      </c>
      <c r="E112" s="37" t="n">
        <v>1941</v>
      </c>
      <c r="F112" s="37" t="inlineStr">
        <is>
          <t>SB-0109</t>
        </is>
      </c>
      <c r="G112" s="37" t="inlineStr">
        <is>
          <t>Salmonberry</t>
        </is>
      </c>
      <c r="H112" s="37" t="n">
        <v>32</v>
      </c>
      <c r="I112" s="37" t="inlineStr">
        <is>
          <t>vessel-fit</t>
        </is>
      </c>
      <c r="J112" s="37" t="inlineStr">
        <is>
          <t>Y</t>
        </is>
      </c>
      <c r="K112" s="43" t="n">
        <v>45037</v>
      </c>
      <c r="L112" s="37" t="inlineStr">
        <is>
          <t>SUSTAINED</t>
        </is>
      </c>
    </row>
    <row r="113">
      <c r="A113" s="37" t="inlineStr">
        <is>
          <t>SKP-2023-0112</t>
        </is>
      </c>
      <c r="B113" s="37" t="inlineStr">
        <is>
          <t>OFR-2023-0387</t>
        </is>
      </c>
      <c r="C113" s="43" t="n">
        <v>45019</v>
      </c>
      <c r="D113" s="37" t="inlineStr">
        <is>
          <t>WL-03014</t>
        </is>
      </c>
      <c r="E113" s="37" t="n">
        <v>2014</v>
      </c>
      <c r="F113" s="37" t="inlineStr">
        <is>
          <t>LP-0204</t>
        </is>
      </c>
      <c r="G113" s="37" t="inlineStr">
        <is>
          <t>Ledgport</t>
        </is>
      </c>
      <c r="H113" s="37" t="n">
        <v>28</v>
      </c>
      <c r="I113" s="37" t="inlineStr">
        <is>
          <t>vessel-fit</t>
        </is>
      </c>
      <c r="J113" s="37" t="inlineStr">
        <is>
          <t>Y</t>
        </is>
      </c>
      <c r="K113" s="43" t="n">
        <v>45020</v>
      </c>
      <c r="L113" s="37" t="inlineStr">
        <is>
          <t>SUSTAINED</t>
        </is>
      </c>
    </row>
    <row r="114">
      <c r="A114" s="37" t="inlineStr">
        <is>
          <t>SKP-2023-0113</t>
        </is>
      </c>
      <c r="B114" s="37" t="inlineStr">
        <is>
          <t>OFR-2023-0392</t>
        </is>
      </c>
      <c r="C114" s="43" t="n">
        <v>45025</v>
      </c>
      <c r="D114" s="37" t="inlineStr">
        <is>
          <t>WL-01886</t>
        </is>
      </c>
      <c r="E114" s="37" t="n">
        <v>886</v>
      </c>
      <c r="F114" s="37" t="inlineStr">
        <is>
          <t>GW-0116</t>
        </is>
      </c>
      <c r="G114" s="37" t="inlineStr">
        <is>
          <t>Gullwing</t>
        </is>
      </c>
      <c r="H114" s="37" t="n">
        <v>32</v>
      </c>
      <c r="I114" s="37" t="inlineStr">
        <is>
          <t>not-current</t>
        </is>
      </c>
      <c r="J114" s="37" t="inlineStr">
        <is>
          <t>Y</t>
        </is>
      </c>
      <c r="K114" s="43" t="n">
        <v>45028</v>
      </c>
      <c r="L114" s="37" t="inlineStr">
        <is>
          <t>SUSTAINED</t>
        </is>
      </c>
    </row>
    <row r="115">
      <c r="A115" s="37" t="inlineStr">
        <is>
          <t>SKP-2023-0114</t>
        </is>
      </c>
      <c r="B115" s="37" t="inlineStr">
        <is>
          <t>OFR-2023-0395</t>
        </is>
      </c>
      <c r="C115" s="43" t="n">
        <v>45027</v>
      </c>
      <c r="D115" s="37" t="inlineStr">
        <is>
          <t>WL-02074</t>
        </is>
      </c>
      <c r="E115" s="37" t="n">
        <v>1074</v>
      </c>
      <c r="F115" s="37" t="inlineStr">
        <is>
          <t>EW-1007</t>
        </is>
      </c>
      <c r="G115" s="37" t="inlineStr">
        <is>
          <t>Eastwey</t>
        </is>
      </c>
      <c r="H115" s="37" t="n">
        <v>32</v>
      </c>
      <c r="I115" s="37" t="inlineStr">
        <is>
          <t>vessel-fit</t>
        </is>
      </c>
      <c r="J115" s="37" t="inlineStr">
        <is>
          <t>Y</t>
        </is>
      </c>
      <c r="K115" s="43" t="n">
        <v>45031</v>
      </c>
      <c r="L115" s="37" t="inlineStr">
        <is>
          <t>SUSTAINED</t>
        </is>
      </c>
    </row>
    <row r="116">
      <c r="A116" s="37" t="inlineStr">
        <is>
          <t>SKP-2023-0115</t>
        </is>
      </c>
      <c r="B116" s="37" t="inlineStr">
        <is>
          <t>OFR-2023-0401</t>
        </is>
      </c>
      <c r="C116" s="43" t="n">
        <v>45024</v>
      </c>
      <c r="D116" s="37" t="inlineStr">
        <is>
          <t>WL-01145</t>
        </is>
      </c>
      <c r="E116" s="37" t="n">
        <v>145</v>
      </c>
      <c r="F116" s="37" t="inlineStr">
        <is>
          <t>EW-0304</t>
        </is>
      </c>
      <c r="G116" s="37" t="inlineStr">
        <is>
          <t>Eastwey</t>
        </is>
      </c>
      <c r="H116" s="37" t="n">
        <v>36</v>
      </c>
      <c r="I116" s="37" t="inlineStr">
        <is>
          <t>not-current</t>
        </is>
      </c>
      <c r="J116" s="37" t="inlineStr">
        <is>
          <t>Y</t>
        </is>
      </c>
      <c r="K116" s="43" t="n">
        <v>45026</v>
      </c>
      <c r="L116" s="37" t="inlineStr">
        <is>
          <t>SUSTAINED</t>
        </is>
      </c>
    </row>
    <row r="117">
      <c r="A117" s="37" t="inlineStr">
        <is>
          <t>SKP-2023-0116</t>
        </is>
      </c>
      <c r="B117" s="37" t="inlineStr">
        <is>
          <t>OFR-2023-0403</t>
        </is>
      </c>
      <c r="C117" s="43" t="n">
        <v>45044</v>
      </c>
      <c r="D117" s="37" t="inlineStr">
        <is>
          <t>WL-01274</t>
        </is>
      </c>
      <c r="E117" s="37" t="n">
        <v>274</v>
      </c>
      <c r="F117" s="37" t="inlineStr">
        <is>
          <t>GW-0905</t>
        </is>
      </c>
      <c r="G117" s="37" t="inlineStr">
        <is>
          <t>Gullwing</t>
        </is>
      </c>
      <c r="H117" s="37" t="n">
        <v>50</v>
      </c>
      <c r="I117" s="37" t="inlineStr">
        <is>
          <t>vessel-fit</t>
        </is>
      </c>
      <c r="J117" s="37" t="inlineStr">
        <is>
          <t>Y</t>
        </is>
      </c>
      <c r="K117" s="43" t="n">
        <v>45045</v>
      </c>
      <c r="L117" s="37" t="inlineStr">
        <is>
          <t>SUSTAINED</t>
        </is>
      </c>
    </row>
    <row r="118">
      <c r="A118" s="37" t="inlineStr">
        <is>
          <t>SKP-2023-0117</t>
        </is>
      </c>
      <c r="B118" s="37" t="inlineStr">
        <is>
          <t>OFR-2023-0409</t>
        </is>
      </c>
      <c r="C118" s="43" t="n">
        <v>45018</v>
      </c>
      <c r="D118" s="37" t="inlineStr">
        <is>
          <t>WL-01089</t>
        </is>
      </c>
      <c r="E118" s="37" t="n">
        <v>89</v>
      </c>
      <c r="F118" s="37" t="inlineStr">
        <is>
          <t>GW-0306</t>
        </is>
      </c>
      <c r="G118" s="37" t="inlineStr">
        <is>
          <t>Gullwing</t>
        </is>
      </c>
      <c r="H118" s="37" t="n">
        <v>32</v>
      </c>
      <c r="I118" s="37" t="inlineStr">
        <is>
          <t>declined-prior-offer</t>
        </is>
      </c>
      <c r="J118" s="37" t="inlineStr">
        <is>
          <t>Y</t>
        </is>
      </c>
      <c r="K118" s="43" t="n">
        <v>45019</v>
      </c>
      <c r="L118" s="37" t="inlineStr">
        <is>
          <t>SUSTAINED</t>
        </is>
      </c>
    </row>
    <row r="119">
      <c r="A119" s="37" t="inlineStr">
        <is>
          <t>SKP-2023-0118</t>
        </is>
      </c>
      <c r="B119" s="37" t="inlineStr">
        <is>
          <t>OFR-2023-0411</t>
        </is>
      </c>
      <c r="C119" s="43" t="n">
        <v>45059</v>
      </c>
      <c r="D119" s="37" t="inlineStr">
        <is>
          <t>WL-02485</t>
        </is>
      </c>
      <c r="E119" s="37" t="n">
        <v>1485</v>
      </c>
      <c r="F119" s="37" t="inlineStr">
        <is>
          <t>VB-0521</t>
        </is>
      </c>
      <c r="G119" s="37" t="inlineStr">
        <is>
          <t>Vessbank</t>
        </is>
      </c>
      <c r="H119" s="37" t="n">
        <v>32</v>
      </c>
      <c r="I119" s="37" t="inlineStr">
        <is>
          <t>not-current</t>
        </is>
      </c>
      <c r="J119" s="37" t="inlineStr">
        <is>
          <t>Y</t>
        </is>
      </c>
      <c r="K119" s="43" t="n">
        <v>45062</v>
      </c>
      <c r="L119" s="37" t="inlineStr">
        <is>
          <t>SUSTAINED</t>
        </is>
      </c>
    </row>
    <row r="120">
      <c r="A120" s="37" t="inlineStr">
        <is>
          <t>SKP-2023-0119</t>
        </is>
      </c>
      <c r="B120" s="37" t="inlineStr">
        <is>
          <t>OFR-2023-0412</t>
        </is>
      </c>
      <c r="C120" s="43" t="n">
        <v>45051</v>
      </c>
      <c r="D120" s="37" t="inlineStr">
        <is>
          <t>WL-03151</t>
        </is>
      </c>
      <c r="E120" s="37" t="n">
        <v>2151</v>
      </c>
      <c r="F120" s="37" t="inlineStr">
        <is>
          <t>VB-0220</t>
        </is>
      </c>
      <c r="G120" s="37" t="inlineStr">
        <is>
          <t>Vessbank</t>
        </is>
      </c>
      <c r="H120" s="37" t="n">
        <v>28</v>
      </c>
      <c r="I120" s="37" t="inlineStr">
        <is>
          <t>declined-prior-offer</t>
        </is>
      </c>
      <c r="J120" s="37" t="inlineStr">
        <is>
          <t>Y</t>
        </is>
      </c>
      <c r="K120" s="43" t="n">
        <v>45054</v>
      </c>
      <c r="L120" s="37" t="inlineStr">
        <is>
          <t>SUSTAINED</t>
        </is>
      </c>
    </row>
    <row r="121">
      <c r="A121" s="37" t="inlineStr">
        <is>
          <t>SKP-2023-0120</t>
        </is>
      </c>
      <c r="B121" s="37" t="inlineStr">
        <is>
          <t>OFR-2023-0417</t>
        </is>
      </c>
      <c r="C121" s="43" t="n">
        <v>45048</v>
      </c>
      <c r="D121" s="37" t="inlineStr">
        <is>
          <t>WL-01469</t>
        </is>
      </c>
      <c r="E121" s="37" t="n">
        <v>469</v>
      </c>
      <c r="F121" s="37" t="inlineStr">
        <is>
          <t>LP-1104</t>
        </is>
      </c>
      <c r="G121" s="37" t="inlineStr">
        <is>
          <t>Ledgport</t>
        </is>
      </c>
      <c r="H121" s="37" t="n">
        <v>32</v>
      </c>
      <c r="I121" s="37" t="inlineStr">
        <is>
          <t>vessel-fit</t>
        </is>
      </c>
      <c r="J121" s="37" t="inlineStr">
        <is>
          <t>Y</t>
        </is>
      </c>
      <c r="K121" s="43" t="n">
        <v>45051</v>
      </c>
      <c r="L121" s="37" t="inlineStr">
        <is>
          <t>SUSTAINED</t>
        </is>
      </c>
    </row>
    <row r="122">
      <c r="A122" s="37" t="inlineStr">
        <is>
          <t>SKP-2023-0121</t>
        </is>
      </c>
      <c r="B122" s="37" t="inlineStr">
        <is>
          <t>OFR-2023-0418</t>
        </is>
      </c>
      <c r="C122" s="43" t="n">
        <v>45058</v>
      </c>
      <c r="D122" s="37" t="inlineStr">
        <is>
          <t>WL-03181</t>
        </is>
      </c>
      <c r="E122" s="37" t="n">
        <v>2181</v>
      </c>
      <c r="F122" s="37" t="inlineStr">
        <is>
          <t>SB-0903</t>
        </is>
      </c>
      <c r="G122" s="37" t="inlineStr">
        <is>
          <t>Salmonberry</t>
        </is>
      </c>
      <c r="H122" s="37" t="n">
        <v>80</v>
      </c>
      <c r="I122" s="37" t="inlineStr">
        <is>
          <t>vessel-fit</t>
        </is>
      </c>
      <c r="J122" s="37" t="inlineStr">
        <is>
          <t>Y</t>
        </is>
      </c>
      <c r="K122" s="43" t="n">
        <v>45063</v>
      </c>
      <c r="L122" s="37" t="inlineStr">
        <is>
          <t>SUSTAINED</t>
        </is>
      </c>
    </row>
    <row r="123">
      <c r="A123" s="37" t="inlineStr">
        <is>
          <t>SKP-2023-0122</t>
        </is>
      </c>
      <c r="B123" s="37" t="inlineStr">
        <is>
          <t>OFR-2023-0419</t>
        </is>
      </c>
      <c r="C123" s="43" t="n">
        <v>45066</v>
      </c>
      <c r="D123" s="37" t="inlineStr">
        <is>
          <t>WL-03816</t>
        </is>
      </c>
      <c r="E123" s="37" t="n">
        <v>2816</v>
      </c>
      <c r="F123" s="37" t="inlineStr">
        <is>
          <t>VB-0113</t>
        </is>
      </c>
      <c r="G123" s="37" t="inlineStr">
        <is>
          <t>Vessbank</t>
        </is>
      </c>
      <c r="H123" s="37" t="n">
        <v>28</v>
      </c>
      <c r="I123" s="37" t="inlineStr">
        <is>
          <t>preference-mismatch</t>
        </is>
      </c>
      <c r="J123" s="37" t="inlineStr">
        <is>
          <t>Y</t>
        </is>
      </c>
      <c r="K123" s="43" t="n">
        <v>45070</v>
      </c>
      <c r="L123" s="37" t="inlineStr">
        <is>
          <t>SUSTAINED</t>
        </is>
      </c>
    </row>
    <row r="124">
      <c r="A124" s="37" t="inlineStr">
        <is>
          <t>SKP-2023-0123</t>
        </is>
      </c>
      <c r="B124" s="37" t="inlineStr">
        <is>
          <t>OFR-2023-0421</t>
        </is>
      </c>
      <c r="C124" s="43" t="n">
        <v>45067</v>
      </c>
      <c r="D124" s="37" t="inlineStr">
        <is>
          <t>WL-03712</t>
        </is>
      </c>
      <c r="E124" s="37" t="n">
        <v>2712</v>
      </c>
      <c r="F124" s="37" t="inlineStr">
        <is>
          <t>LP-0113</t>
        </is>
      </c>
      <c r="G124" s="37" t="inlineStr">
        <is>
          <t>Ledgport</t>
        </is>
      </c>
      <c r="H124" s="37" t="n">
        <v>36</v>
      </c>
      <c r="I124" s="37" t="inlineStr">
        <is>
          <t>declined-prior-offer</t>
        </is>
      </c>
      <c r="J124" s="37" t="inlineStr">
        <is>
          <t>Y</t>
        </is>
      </c>
      <c r="K124" s="43" t="n">
        <v>45070</v>
      </c>
      <c r="L124" s="37" t="inlineStr">
        <is>
          <t>SUSTAINED</t>
        </is>
      </c>
    </row>
    <row r="125">
      <c r="A125" s="37" t="inlineStr">
        <is>
          <t>SKP-2023-0124</t>
        </is>
      </c>
      <c r="B125" s="37" t="inlineStr">
        <is>
          <t>OFR-2023-0422</t>
        </is>
      </c>
      <c r="C125" s="43" t="n">
        <v>45065</v>
      </c>
      <c r="D125" s="37" t="inlineStr">
        <is>
          <t>WL-02100</t>
        </is>
      </c>
      <c r="E125" s="37" t="n">
        <v>1100</v>
      </c>
      <c r="F125" s="37" t="inlineStr">
        <is>
          <t>VB-0504</t>
        </is>
      </c>
      <c r="G125" s="37" t="inlineStr">
        <is>
          <t>Vessbank</t>
        </is>
      </c>
      <c r="H125" s="37" t="n">
        <v>36</v>
      </c>
      <c r="I125" s="37" t="inlineStr">
        <is>
          <t>preference-mismatch</t>
        </is>
      </c>
      <c r="J125" s="37" t="inlineStr">
        <is>
          <t>Y</t>
        </is>
      </c>
      <c r="K125" s="43" t="n">
        <v>45069</v>
      </c>
      <c r="L125" s="37" t="inlineStr">
        <is>
          <t>SUSTAINED</t>
        </is>
      </c>
    </row>
    <row r="126">
      <c r="A126" s="37" t="inlineStr">
        <is>
          <t>SKP-2023-0125</t>
        </is>
      </c>
      <c r="B126" s="37" t="inlineStr">
        <is>
          <t>OFR-2023-0429</t>
        </is>
      </c>
      <c r="C126" s="43" t="n">
        <v>45067</v>
      </c>
      <c r="D126" s="37" t="inlineStr">
        <is>
          <t>WL-02777</t>
        </is>
      </c>
      <c r="E126" s="37" t="n">
        <v>1777</v>
      </c>
      <c r="F126" s="37" t="inlineStr">
        <is>
          <t>LP-0402</t>
        </is>
      </c>
      <c r="G126" s="37" t="inlineStr">
        <is>
          <t>Ledgport</t>
        </is>
      </c>
      <c r="H126" s="37" t="n">
        <v>28</v>
      </c>
      <c r="I126" s="37" t="inlineStr">
        <is>
          <t>vessel-fit</t>
        </is>
      </c>
      <c r="J126" s="37" t="inlineStr">
        <is>
          <t>Y</t>
        </is>
      </c>
      <c r="K126" s="43" t="n">
        <v>45068</v>
      </c>
      <c r="L126" s="37" t="inlineStr">
        <is>
          <t>SUSTAINED</t>
        </is>
      </c>
    </row>
    <row r="127">
      <c r="A127" s="37" t="inlineStr">
        <is>
          <t>SKP-2023-0126</t>
        </is>
      </c>
      <c r="B127" s="37" t="inlineStr">
        <is>
          <t>OFR-2023-0432</t>
        </is>
      </c>
      <c r="C127" s="43" t="n">
        <v>45056</v>
      </c>
      <c r="D127" s="37" t="inlineStr">
        <is>
          <t>WL-02134</t>
        </is>
      </c>
      <c r="E127" s="37" t="n">
        <v>1134</v>
      </c>
      <c r="F127" s="37" t="inlineStr">
        <is>
          <t>EW-0320</t>
        </is>
      </c>
      <c r="G127" s="37" t="inlineStr">
        <is>
          <t>Eastwey</t>
        </is>
      </c>
      <c r="H127" s="37" t="n">
        <v>60</v>
      </c>
      <c r="I127" s="37" t="inlineStr">
        <is>
          <t>not-current</t>
        </is>
      </c>
      <c r="J127" s="37" t="inlineStr">
        <is>
          <t>Y</t>
        </is>
      </c>
      <c r="K127" s="43" t="n">
        <v>45058</v>
      </c>
      <c r="L127" s="37" t="inlineStr">
        <is>
          <t>SUSTAINED</t>
        </is>
      </c>
    </row>
    <row r="128">
      <c r="A128" s="37" t="inlineStr">
        <is>
          <t>SKP-2023-0127</t>
        </is>
      </c>
      <c r="B128" s="37" t="inlineStr">
        <is>
          <t>OFR-2023-0435</t>
        </is>
      </c>
      <c r="C128" s="43" t="n">
        <v>45067</v>
      </c>
      <c r="D128" s="37" t="inlineStr">
        <is>
          <t>WL-01420</t>
        </is>
      </c>
      <c r="E128" s="37" t="n">
        <v>420</v>
      </c>
      <c r="F128" s="37" t="inlineStr">
        <is>
          <t>SB-0405</t>
        </is>
      </c>
      <c r="G128" s="37" t="inlineStr">
        <is>
          <t>Salmonberry</t>
        </is>
      </c>
      <c r="H128" s="37" t="n">
        <v>45</v>
      </c>
      <c r="I128" s="37" t="inlineStr">
        <is>
          <t>vessel-fit</t>
        </is>
      </c>
      <c r="J128" s="37" t="inlineStr">
        <is>
          <t>Y</t>
        </is>
      </c>
      <c r="K128" s="43" t="n">
        <v>45069</v>
      </c>
      <c r="L128" s="37" t="inlineStr">
        <is>
          <t>SUSTAINED</t>
        </is>
      </c>
    </row>
    <row r="129">
      <c r="A129" s="37" t="inlineStr">
        <is>
          <t>SKP-2023-0128</t>
        </is>
      </c>
      <c r="B129" s="37" t="inlineStr">
        <is>
          <t>OFR-2023-0436</t>
        </is>
      </c>
      <c r="C129" s="43" t="n">
        <v>45050</v>
      </c>
      <c r="D129" s="37" t="inlineStr">
        <is>
          <t>WL-03537</t>
        </is>
      </c>
      <c r="E129" s="37" t="n">
        <v>2537</v>
      </c>
      <c r="F129" s="37" t="inlineStr">
        <is>
          <t>GW-0709</t>
        </is>
      </c>
      <c r="G129" s="37" t="inlineStr">
        <is>
          <t>Gullwing</t>
        </is>
      </c>
      <c r="H129" s="37" t="n">
        <v>32</v>
      </c>
      <c r="I129" s="37" t="inlineStr">
        <is>
          <t>not-current</t>
        </is>
      </c>
      <c r="J129" s="37" t="inlineStr">
        <is>
          <t>Y</t>
        </is>
      </c>
      <c r="K129" s="43" t="n">
        <v>45052</v>
      </c>
      <c r="L129" s="37" t="inlineStr">
        <is>
          <t>SUSTAINED</t>
        </is>
      </c>
    </row>
    <row r="130">
      <c r="A130" s="37" t="inlineStr">
        <is>
          <t>SKP-2023-0129</t>
        </is>
      </c>
      <c r="B130" s="37" t="inlineStr">
        <is>
          <t>OFR-2023-0440</t>
        </is>
      </c>
      <c r="C130" s="43" t="n">
        <v>45048</v>
      </c>
      <c r="D130" s="37" t="inlineStr">
        <is>
          <t>WL-03178</t>
        </is>
      </c>
      <c r="E130" s="37" t="n">
        <v>2178</v>
      </c>
      <c r="F130" s="37" t="inlineStr">
        <is>
          <t>VB-0810</t>
        </is>
      </c>
      <c r="G130" s="37" t="inlineStr">
        <is>
          <t>Vessbank</t>
        </is>
      </c>
      <c r="H130" s="37" t="n">
        <v>32</v>
      </c>
      <c r="I130" s="37" t="inlineStr">
        <is>
          <t>vessel-fit</t>
        </is>
      </c>
      <c r="J130" s="37" t="inlineStr">
        <is>
          <t>Y</t>
        </is>
      </c>
      <c r="K130" s="43" t="n">
        <v>45048</v>
      </c>
      <c r="L130" s="37" t="inlineStr">
        <is>
          <t>SUSTAINED</t>
        </is>
      </c>
    </row>
    <row r="131">
      <c r="A131" s="37" t="inlineStr">
        <is>
          <t>SKP-2023-0130</t>
        </is>
      </c>
      <c r="B131" s="37" t="inlineStr">
        <is>
          <t>OFR-2023-0447</t>
        </is>
      </c>
      <c r="C131" s="43" t="n">
        <v>45089</v>
      </c>
      <c r="D131" s="37" t="inlineStr">
        <is>
          <t>WL-02924</t>
        </is>
      </c>
      <c r="E131" s="37" t="n">
        <v>1924</v>
      </c>
      <c r="F131" s="37" t="inlineStr">
        <is>
          <t>VB-0720</t>
        </is>
      </c>
      <c r="G131" s="37" t="inlineStr">
        <is>
          <t>Vessbank</t>
        </is>
      </c>
      <c r="H131" s="37" t="n">
        <v>40</v>
      </c>
      <c r="I131" s="37" t="inlineStr">
        <is>
          <t>not-current</t>
        </is>
      </c>
      <c r="J131" s="37" t="inlineStr">
        <is>
          <t>Y</t>
        </is>
      </c>
      <c r="K131" s="43" t="n">
        <v>45093</v>
      </c>
      <c r="L131" s="37" t="inlineStr">
        <is>
          <t>SUSTAINED</t>
        </is>
      </c>
    </row>
    <row r="132">
      <c r="A132" s="37" t="inlineStr">
        <is>
          <t>SKP-2023-0131</t>
        </is>
      </c>
      <c r="B132" s="37" t="inlineStr">
        <is>
          <t>OFR-2023-0448</t>
        </is>
      </c>
      <c r="C132" s="43" t="n">
        <v>45092</v>
      </c>
      <c r="D132" s="37" t="inlineStr">
        <is>
          <t>WL-01781</t>
        </is>
      </c>
      <c r="E132" s="37" t="n">
        <v>781</v>
      </c>
      <c r="F132" s="37" t="inlineStr">
        <is>
          <t>LP-0220</t>
        </is>
      </c>
      <c r="G132" s="37" t="inlineStr">
        <is>
          <t>Ledgport</t>
        </is>
      </c>
      <c r="H132" s="37" t="n">
        <v>28</v>
      </c>
      <c r="I132" s="37" t="inlineStr">
        <is>
          <t>preference-mismatch</t>
        </is>
      </c>
      <c r="J132" s="37" t="inlineStr">
        <is>
          <t>N</t>
        </is>
      </c>
      <c r="K132" s="43" t="n">
        <v>45096</v>
      </c>
      <c r="L132" s="37" t="inlineStr">
        <is>
          <t>SUSTAINED</t>
        </is>
      </c>
    </row>
    <row r="133">
      <c r="A133" s="37" t="inlineStr">
        <is>
          <t>SKP-2023-0132</t>
        </is>
      </c>
      <c r="B133" s="37" t="inlineStr">
        <is>
          <t>OFR-2023-0449</t>
        </is>
      </c>
      <c r="C133" s="43" t="n">
        <v>45085</v>
      </c>
      <c r="D133" s="37" t="inlineStr">
        <is>
          <t>WL-01193</t>
        </is>
      </c>
      <c r="E133" s="37" t="n">
        <v>193</v>
      </c>
      <c r="F133" s="37" t="inlineStr">
        <is>
          <t>VB-0205</t>
        </is>
      </c>
      <c r="G133" s="37" t="inlineStr">
        <is>
          <t>Vessbank</t>
        </is>
      </c>
      <c r="H133" s="37" t="n">
        <v>28</v>
      </c>
      <c r="I133" s="37" t="inlineStr">
        <is>
          <t>declined-prior-offer</t>
        </is>
      </c>
      <c r="J133" s="37" t="inlineStr">
        <is>
          <t>Y</t>
        </is>
      </c>
      <c r="K133" s="43" t="n">
        <v>45085</v>
      </c>
      <c r="L133" s="37" t="inlineStr">
        <is>
          <t>SUSTAINED</t>
        </is>
      </c>
    </row>
    <row r="134">
      <c r="A134" s="37" t="inlineStr">
        <is>
          <t>SKP-2023-0133</t>
        </is>
      </c>
      <c r="B134" s="37" t="inlineStr">
        <is>
          <t>OFR-2023-0457</t>
        </is>
      </c>
      <c r="C134" s="43" t="n">
        <v>45087</v>
      </c>
      <c r="D134" s="37" t="inlineStr">
        <is>
          <t>WL-01319</t>
        </is>
      </c>
      <c r="E134" s="37" t="n">
        <v>319</v>
      </c>
      <c r="F134" s="37" t="inlineStr">
        <is>
          <t>GW-1008</t>
        </is>
      </c>
      <c r="G134" s="37" t="inlineStr">
        <is>
          <t>Gullwing</t>
        </is>
      </c>
      <c r="H134" s="37" t="n">
        <v>60</v>
      </c>
      <c r="I134" s="37" t="inlineStr">
        <is>
          <t>not-current</t>
        </is>
      </c>
      <c r="J134" s="37" t="inlineStr">
        <is>
          <t>Y</t>
        </is>
      </c>
      <c r="K134" s="43" t="n">
        <v>45088</v>
      </c>
      <c r="L134" s="37" t="inlineStr">
        <is>
          <t>SUSTAINED</t>
        </is>
      </c>
    </row>
    <row r="135">
      <c r="A135" s="37" t="inlineStr">
        <is>
          <t>SKP-2023-0134</t>
        </is>
      </c>
      <c r="B135" s="37" t="inlineStr">
        <is>
          <t>OFR-2023-0458</t>
        </is>
      </c>
      <c r="C135" s="43" t="n">
        <v>45101</v>
      </c>
      <c r="D135" s="37" t="inlineStr">
        <is>
          <t>WL-02173</t>
        </is>
      </c>
      <c r="E135" s="37" t="n">
        <v>1173</v>
      </c>
      <c r="F135" s="37" t="inlineStr">
        <is>
          <t>SB-0205</t>
        </is>
      </c>
      <c r="G135" s="37" t="inlineStr">
        <is>
          <t>Salmonberry</t>
        </is>
      </c>
      <c r="H135" s="37" t="n">
        <v>45</v>
      </c>
      <c r="I135" s="37" t="inlineStr">
        <is>
          <t>vessel-fit</t>
        </is>
      </c>
      <c r="J135" s="37" t="inlineStr">
        <is>
          <t>Y</t>
        </is>
      </c>
      <c r="K135" s="43" t="n">
        <v>45101</v>
      </c>
      <c r="L135" s="37" t="inlineStr">
        <is>
          <t>SUSTAINED</t>
        </is>
      </c>
    </row>
    <row r="136">
      <c r="A136" s="37" t="inlineStr">
        <is>
          <t>SKP-2023-0135</t>
        </is>
      </c>
      <c r="B136" s="37" t="inlineStr">
        <is>
          <t>OFR-2023-0460</t>
        </is>
      </c>
      <c r="C136" s="43" t="n">
        <v>45102</v>
      </c>
      <c r="D136" s="37" t="inlineStr">
        <is>
          <t>WL-01568</t>
        </is>
      </c>
      <c r="E136" s="37" t="n">
        <v>568</v>
      </c>
      <c r="F136" s="37" t="inlineStr">
        <is>
          <t>LP-0219</t>
        </is>
      </c>
      <c r="G136" s="37" t="inlineStr">
        <is>
          <t>Ledgport</t>
        </is>
      </c>
      <c r="H136" s="37" t="n">
        <v>28</v>
      </c>
      <c r="I136" s="37" t="inlineStr">
        <is>
          <t>declined-prior-offer</t>
        </is>
      </c>
      <c r="J136" s="37" t="inlineStr">
        <is>
          <t>Y</t>
        </is>
      </c>
      <c r="K136" s="43" t="n">
        <v>45106</v>
      </c>
      <c r="L136" s="37" t="inlineStr">
        <is>
          <t>SUSTAINED</t>
        </is>
      </c>
    </row>
    <row r="137">
      <c r="A137" s="37" t="inlineStr">
        <is>
          <t>SKP-2023-0136</t>
        </is>
      </c>
      <c r="B137" s="37" t="inlineStr">
        <is>
          <t>OFR-2023-0461</t>
        </is>
      </c>
      <c r="C137" s="43" t="n">
        <v>45085</v>
      </c>
      <c r="D137" s="37" t="inlineStr">
        <is>
          <t>WL-03758</t>
        </is>
      </c>
      <c r="E137" s="37" t="n">
        <v>2758</v>
      </c>
      <c r="F137" s="37" t="inlineStr">
        <is>
          <t>LP-0121</t>
        </is>
      </c>
      <c r="G137" s="37" t="inlineStr">
        <is>
          <t>Ledgport</t>
        </is>
      </c>
      <c r="H137" s="37" t="n">
        <v>32</v>
      </c>
      <c r="I137" s="37" t="inlineStr">
        <is>
          <t>preference-mismatch</t>
        </is>
      </c>
      <c r="J137" s="37" t="inlineStr">
        <is>
          <t>Y</t>
        </is>
      </c>
      <c r="K137" s="43" t="n">
        <v>45087</v>
      </c>
      <c r="L137" s="37" t="inlineStr">
        <is>
          <t>SUSTAINED</t>
        </is>
      </c>
    </row>
    <row r="138">
      <c r="A138" s="37" t="inlineStr">
        <is>
          <t>SKP-2023-0137</t>
        </is>
      </c>
      <c r="B138" s="37" t="inlineStr">
        <is>
          <t>OFR-2023-0462</t>
        </is>
      </c>
      <c r="C138" s="43" t="n">
        <v>45084</v>
      </c>
      <c r="D138" s="37" t="inlineStr">
        <is>
          <t>WL-02535</t>
        </is>
      </c>
      <c r="E138" s="37" t="n">
        <v>1535</v>
      </c>
      <c r="F138" s="37" t="inlineStr">
        <is>
          <t>VB-0805</t>
        </is>
      </c>
      <c r="G138" s="37" t="inlineStr">
        <is>
          <t>Vessbank</t>
        </is>
      </c>
      <c r="H138" s="37" t="n">
        <v>32</v>
      </c>
      <c r="I138" s="37" t="inlineStr">
        <is>
          <t>declined-prior-offer</t>
        </is>
      </c>
      <c r="J138" s="37" t="inlineStr">
        <is>
          <t>Y</t>
        </is>
      </c>
      <c r="K138" s="43" t="n">
        <v>45085</v>
      </c>
      <c r="L138" s="37" t="inlineStr">
        <is>
          <t>SUSTAINED</t>
        </is>
      </c>
    </row>
    <row r="139">
      <c r="A139" s="37" t="inlineStr">
        <is>
          <t>SKP-2023-0138</t>
        </is>
      </c>
      <c r="B139" s="37" t="inlineStr">
        <is>
          <t>OFR-2023-0464</t>
        </is>
      </c>
      <c r="C139" s="43" t="n">
        <v>45090</v>
      </c>
      <c r="D139" s="37" t="inlineStr">
        <is>
          <t>WL-02663</t>
        </is>
      </c>
      <c r="E139" s="37" t="n">
        <v>1663</v>
      </c>
      <c r="F139" s="37" t="inlineStr">
        <is>
          <t>GW-0810</t>
        </is>
      </c>
      <c r="G139" s="37" t="inlineStr">
        <is>
          <t>Gullwing</t>
        </is>
      </c>
      <c r="H139" s="37" t="n">
        <v>70</v>
      </c>
      <c r="I139" s="37" t="inlineStr">
        <is>
          <t>vessel-fit</t>
        </is>
      </c>
      <c r="J139" s="37" t="inlineStr">
        <is>
          <t>Y</t>
        </is>
      </c>
      <c r="K139" s="43" t="n">
        <v>45093</v>
      </c>
      <c r="L139" s="37" t="inlineStr">
        <is>
          <t>SUSTAINED</t>
        </is>
      </c>
    </row>
    <row r="140">
      <c r="A140" s="37" t="inlineStr">
        <is>
          <t>SKP-2023-0139</t>
        </is>
      </c>
      <c r="B140" s="37" t="inlineStr">
        <is>
          <t>OFR-2023-0469</t>
        </is>
      </c>
      <c r="C140" s="43" t="n">
        <v>45086</v>
      </c>
      <c r="D140" s="37" t="inlineStr">
        <is>
          <t>WL-01129</t>
        </is>
      </c>
      <c r="E140" s="37" t="n">
        <v>129</v>
      </c>
      <c r="F140" s="37" t="inlineStr">
        <is>
          <t>GW-0414</t>
        </is>
      </c>
      <c r="G140" s="37" t="inlineStr">
        <is>
          <t>Gullwing</t>
        </is>
      </c>
      <c r="H140" s="37" t="n">
        <v>45</v>
      </c>
      <c r="I140" s="37" t="inlineStr">
        <is>
          <t>preference-mismatch</t>
        </is>
      </c>
      <c r="J140" s="37" t="inlineStr">
        <is>
          <t>Y</t>
        </is>
      </c>
      <c r="K140" s="43" t="n">
        <v>45091</v>
      </c>
      <c r="L140" s="37" t="inlineStr">
        <is>
          <t>SUSTAINED</t>
        </is>
      </c>
    </row>
    <row r="141">
      <c r="A141" s="37" t="inlineStr">
        <is>
          <t>SKP-2023-0140</t>
        </is>
      </c>
      <c r="B141" s="37" t="inlineStr">
        <is>
          <t>OFR-2023-0473</t>
        </is>
      </c>
      <c r="C141" s="43" t="n">
        <v>45089</v>
      </c>
      <c r="D141" s="37" t="inlineStr">
        <is>
          <t>WL-03100</t>
        </is>
      </c>
      <c r="E141" s="37" t="n">
        <v>2100</v>
      </c>
      <c r="F141" s="37" t="inlineStr">
        <is>
          <t>EW-0622</t>
        </is>
      </c>
      <c r="G141" s="37" t="inlineStr">
        <is>
          <t>Eastwey</t>
        </is>
      </c>
      <c r="H141" s="37" t="n">
        <v>70</v>
      </c>
      <c r="I141" s="37" t="inlineStr">
        <is>
          <t>vessel-fit</t>
        </is>
      </c>
      <c r="J141" s="37" t="inlineStr">
        <is>
          <t>Y</t>
        </is>
      </c>
      <c r="K141" s="43" t="n">
        <v>45089</v>
      </c>
      <c r="L141" s="37" t="inlineStr">
        <is>
          <t>SUSTAINED</t>
        </is>
      </c>
    </row>
    <row r="142">
      <c r="A142" s="37" t="inlineStr">
        <is>
          <t>SKP-2023-0141</t>
        </is>
      </c>
      <c r="B142" s="37" t="inlineStr">
        <is>
          <t>OFR-2023-0478</t>
        </is>
      </c>
      <c r="C142" s="43" t="n">
        <v>45111</v>
      </c>
      <c r="D142" s="37" t="inlineStr">
        <is>
          <t>WL-03857</t>
        </is>
      </c>
      <c r="E142" s="37" t="n">
        <v>2857</v>
      </c>
      <c r="F142" s="37" t="inlineStr">
        <is>
          <t>SB-0602</t>
        </is>
      </c>
      <c r="G142" s="37" t="inlineStr">
        <is>
          <t>Salmonberry</t>
        </is>
      </c>
      <c r="H142" s="37" t="n">
        <v>40</v>
      </c>
      <c r="I142" s="37" t="inlineStr">
        <is>
          <t>not-current</t>
        </is>
      </c>
      <c r="J142" s="37" t="inlineStr">
        <is>
          <t>Y</t>
        </is>
      </c>
      <c r="K142" s="43" t="n">
        <v>45116</v>
      </c>
      <c r="L142" s="37" t="inlineStr">
        <is>
          <t>SUSTAINED</t>
        </is>
      </c>
    </row>
    <row r="143">
      <c r="A143" s="37" t="inlineStr">
        <is>
          <t>SKP-2023-0142</t>
        </is>
      </c>
      <c r="B143" s="37" t="inlineStr">
        <is>
          <t>OFR-2023-0479</t>
        </is>
      </c>
      <c r="C143" s="43" t="n">
        <v>45122</v>
      </c>
      <c r="D143" s="37" t="inlineStr">
        <is>
          <t>WL-01054</t>
        </is>
      </c>
      <c r="E143" s="37" t="n">
        <v>54</v>
      </c>
      <c r="F143" s="37" t="inlineStr">
        <is>
          <t>VB-0620</t>
        </is>
      </c>
      <c r="G143" s="37" t="inlineStr">
        <is>
          <t>Vessbank</t>
        </is>
      </c>
      <c r="H143" s="37" t="n">
        <v>40</v>
      </c>
      <c r="I143" s="37" t="inlineStr">
        <is>
          <t>vessel-fit</t>
        </is>
      </c>
      <c r="J143" s="37" t="inlineStr">
        <is>
          <t>Y</t>
        </is>
      </c>
      <c r="K143" s="43" t="n">
        <v>45127</v>
      </c>
      <c r="L143" s="37" t="inlineStr">
        <is>
          <t>SUSTAINED</t>
        </is>
      </c>
    </row>
    <row r="144">
      <c r="A144" s="37" t="inlineStr">
        <is>
          <t>SKP-2023-0143</t>
        </is>
      </c>
      <c r="B144" s="37" t="inlineStr">
        <is>
          <t>OFR-2023-0481</t>
        </is>
      </c>
      <c r="C144" s="43" t="n">
        <v>45110</v>
      </c>
      <c r="D144" s="37" t="inlineStr">
        <is>
          <t>WL-01712</t>
        </is>
      </c>
      <c r="E144" s="37" t="n">
        <v>712</v>
      </c>
      <c r="F144" s="37" t="inlineStr">
        <is>
          <t>GW-0118</t>
        </is>
      </c>
      <c r="G144" s="37" t="inlineStr">
        <is>
          <t>Gullwing</t>
        </is>
      </c>
      <c r="H144" s="37" t="n">
        <v>60</v>
      </c>
      <c r="I144" s="37" t="inlineStr">
        <is>
          <t>vessel-fit</t>
        </is>
      </c>
      <c r="J144" s="37" t="inlineStr">
        <is>
          <t>Y</t>
        </is>
      </c>
      <c r="K144" s="43" t="n">
        <v>45111</v>
      </c>
      <c r="L144" s="37" t="inlineStr">
        <is>
          <t>SUSTAINED</t>
        </is>
      </c>
    </row>
    <row r="145">
      <c r="A145" s="37" t="inlineStr">
        <is>
          <t>SKP-2023-0144</t>
        </is>
      </c>
      <c r="B145" s="37" t="inlineStr">
        <is>
          <t>OFR-2023-0483</t>
        </is>
      </c>
      <c r="C145" s="43" t="n">
        <v>45114</v>
      </c>
      <c r="D145" s="37" t="inlineStr">
        <is>
          <t>WL-02160</t>
        </is>
      </c>
      <c r="E145" s="37" t="n">
        <v>1160</v>
      </c>
      <c r="F145" s="37" t="inlineStr">
        <is>
          <t>LP-0520</t>
        </is>
      </c>
      <c r="G145" s="37" t="inlineStr">
        <is>
          <t>Ledgport</t>
        </is>
      </c>
      <c r="H145" s="37" t="n">
        <v>32</v>
      </c>
      <c r="I145" s="37" t="inlineStr">
        <is>
          <t>not-current</t>
        </is>
      </c>
      <c r="J145" s="37" t="inlineStr">
        <is>
          <t>Y</t>
        </is>
      </c>
      <c r="K145" s="43" t="n">
        <v>45116</v>
      </c>
      <c r="L145" s="37" t="inlineStr">
        <is>
          <t>SUSTAINED</t>
        </is>
      </c>
    </row>
    <row r="146">
      <c r="A146" s="37" t="inlineStr">
        <is>
          <t>SKP-2023-0145</t>
        </is>
      </c>
      <c r="B146" s="37" t="inlineStr">
        <is>
          <t>OFR-2023-0485</t>
        </is>
      </c>
      <c r="C146" s="43" t="n">
        <v>45116</v>
      </c>
      <c r="D146" s="37" t="inlineStr">
        <is>
          <t>WL-01242</t>
        </is>
      </c>
      <c r="E146" s="37" t="n">
        <v>242</v>
      </c>
      <c r="F146" s="37" t="inlineStr">
        <is>
          <t>SB-0314</t>
        </is>
      </c>
      <c r="G146" s="37" t="inlineStr">
        <is>
          <t>Salmonberry</t>
        </is>
      </c>
      <c r="H146" s="37" t="n">
        <v>70</v>
      </c>
      <c r="I146" s="37" t="inlineStr">
        <is>
          <t>vessel-fit</t>
        </is>
      </c>
      <c r="J146" s="37" t="inlineStr">
        <is>
          <t>Y</t>
        </is>
      </c>
      <c r="K146" s="43" t="n">
        <v>45116</v>
      </c>
      <c r="L146" s="37" t="inlineStr">
        <is>
          <t>SUSTAINED</t>
        </is>
      </c>
    </row>
    <row r="147">
      <c r="A147" s="37" t="inlineStr">
        <is>
          <t>SKP-2023-0146</t>
        </is>
      </c>
      <c r="B147" s="37" t="inlineStr">
        <is>
          <t>OFR-2023-0486</t>
        </is>
      </c>
      <c r="C147" s="43" t="n">
        <v>45131</v>
      </c>
      <c r="D147" s="37" t="inlineStr">
        <is>
          <t>WL-02199</t>
        </is>
      </c>
      <c r="E147" s="37" t="n">
        <v>1199</v>
      </c>
      <c r="F147" s="37" t="inlineStr">
        <is>
          <t>GW-1003</t>
        </is>
      </c>
      <c r="G147" s="37" t="inlineStr">
        <is>
          <t>Gullwing</t>
        </is>
      </c>
      <c r="H147" s="37" t="n">
        <v>24</v>
      </c>
      <c r="I147" s="37" t="inlineStr">
        <is>
          <t>not-current</t>
        </is>
      </c>
      <c r="J147" s="37" t="inlineStr">
        <is>
          <t>Y</t>
        </is>
      </c>
      <c r="K147" s="43" t="n">
        <v>45136</v>
      </c>
      <c r="L147" s="37" t="inlineStr">
        <is>
          <t>SUSTAINED</t>
        </is>
      </c>
    </row>
    <row r="148">
      <c r="A148" s="37" t="inlineStr">
        <is>
          <t>SKP-2023-0147</t>
        </is>
      </c>
      <c r="B148" s="37" t="inlineStr">
        <is>
          <t>OFR-2023-0489</t>
        </is>
      </c>
      <c r="C148" s="43" t="n">
        <v>45133</v>
      </c>
      <c r="D148" s="37" t="inlineStr">
        <is>
          <t>WL-01248</t>
        </is>
      </c>
      <c r="E148" s="37" t="n">
        <v>248</v>
      </c>
      <c r="F148" s="37" t="inlineStr">
        <is>
          <t>SB-0915</t>
        </is>
      </c>
      <c r="G148" s="37" t="inlineStr">
        <is>
          <t>Salmonberry</t>
        </is>
      </c>
      <c r="H148" s="37" t="n">
        <v>32</v>
      </c>
      <c r="I148" s="37" t="inlineStr">
        <is>
          <t>preference-mismatch</t>
        </is>
      </c>
      <c r="J148" s="37" t="inlineStr">
        <is>
          <t>Y</t>
        </is>
      </c>
      <c r="K148" s="43" t="n">
        <v>45138</v>
      </c>
      <c r="L148" s="37" t="inlineStr">
        <is>
          <t>SUSTAINED</t>
        </is>
      </c>
    </row>
    <row r="149">
      <c r="A149" s="37" t="inlineStr">
        <is>
          <t>SKP-2023-0148</t>
        </is>
      </c>
      <c r="B149" s="37" t="inlineStr">
        <is>
          <t>OFR-2023-0490</t>
        </is>
      </c>
      <c r="C149" s="43" t="n">
        <v>45118</v>
      </c>
      <c r="D149" s="37" t="inlineStr">
        <is>
          <t>WL-02206</t>
        </is>
      </c>
      <c r="E149" s="37" t="n">
        <v>1206</v>
      </c>
      <c r="F149" s="37" t="inlineStr">
        <is>
          <t>GW-0719</t>
        </is>
      </c>
      <c r="G149" s="37" t="inlineStr">
        <is>
          <t>Gullwing</t>
        </is>
      </c>
      <c r="H149" s="37" t="n">
        <v>50</v>
      </c>
      <c r="I149" s="37" t="inlineStr">
        <is>
          <t>vessel-fit</t>
        </is>
      </c>
      <c r="J149" s="37" t="inlineStr">
        <is>
          <t>Y</t>
        </is>
      </c>
      <c r="K149" s="43" t="n">
        <v>45120</v>
      </c>
      <c r="L149" s="37" t="inlineStr">
        <is>
          <t>SUSTAINED</t>
        </is>
      </c>
    </row>
    <row r="150">
      <c r="A150" s="37" t="inlineStr">
        <is>
          <t>SKP-2023-0149</t>
        </is>
      </c>
      <c r="B150" s="37" t="inlineStr">
        <is>
          <t>OFR-2023-0495</t>
        </is>
      </c>
      <c r="C150" s="43" t="n">
        <v>45133</v>
      </c>
      <c r="D150" s="37" t="inlineStr">
        <is>
          <t>WL-02706</t>
        </is>
      </c>
      <c r="E150" s="37" t="n">
        <v>1706</v>
      </c>
      <c r="F150" s="37" t="inlineStr">
        <is>
          <t>LP-0104</t>
        </is>
      </c>
      <c r="G150" s="37" t="inlineStr">
        <is>
          <t>Ledgport</t>
        </is>
      </c>
      <c r="H150" s="37" t="n">
        <v>24</v>
      </c>
      <c r="I150" s="37" t="inlineStr">
        <is>
          <t>declined-prior-offer</t>
        </is>
      </c>
      <c r="J150" s="37" t="inlineStr">
        <is>
          <t>Y</t>
        </is>
      </c>
      <c r="K150" s="43" t="n">
        <v>45138</v>
      </c>
      <c r="L150" s="37" t="inlineStr">
        <is>
          <t>SUSTAINED</t>
        </is>
      </c>
    </row>
    <row r="151">
      <c r="A151" s="37" t="inlineStr">
        <is>
          <t>SKP-2023-0150</t>
        </is>
      </c>
      <c r="B151" s="37" t="inlineStr">
        <is>
          <t>OFR-2023-0501</t>
        </is>
      </c>
      <c r="C151" s="43" t="n">
        <v>45110</v>
      </c>
      <c r="D151" s="37" t="inlineStr">
        <is>
          <t>WL-01924</t>
        </is>
      </c>
      <c r="E151" s="37" t="n">
        <v>924</v>
      </c>
      <c r="F151" s="37" t="inlineStr">
        <is>
          <t>EW-0111</t>
        </is>
      </c>
      <c r="G151" s="37" t="inlineStr">
        <is>
          <t>Eastwey</t>
        </is>
      </c>
      <c r="H151" s="37" t="n">
        <v>28</v>
      </c>
      <c r="I151" s="37" t="inlineStr">
        <is>
          <t>vessel-fit</t>
        </is>
      </c>
      <c r="J151" s="37" t="inlineStr">
        <is>
          <t>Y</t>
        </is>
      </c>
      <c r="K151" s="43" t="n">
        <v>45112</v>
      </c>
      <c r="L151" s="37" t="inlineStr">
        <is>
          <t>SUSTAINED</t>
        </is>
      </c>
    </row>
    <row r="152">
      <c r="A152" s="37" t="inlineStr">
        <is>
          <t>SKP-2023-0151</t>
        </is>
      </c>
      <c r="B152" s="37" t="inlineStr">
        <is>
          <t>OFR-2023-0504</t>
        </is>
      </c>
      <c r="C152" s="43" t="n">
        <v>45134</v>
      </c>
      <c r="D152" s="37" t="inlineStr">
        <is>
          <t>WL-03652</t>
        </is>
      </c>
      <c r="E152" s="37" t="n">
        <v>2652</v>
      </c>
      <c r="F152" s="37" t="inlineStr">
        <is>
          <t>GW-0301</t>
        </is>
      </c>
      <c r="G152" s="37" t="inlineStr">
        <is>
          <t>Gullwing</t>
        </is>
      </c>
      <c r="H152" s="37" t="n">
        <v>24</v>
      </c>
      <c r="I152" s="37" t="inlineStr">
        <is>
          <t>vessel-fit</t>
        </is>
      </c>
      <c r="J152" s="37" t="inlineStr">
        <is>
          <t>Y</t>
        </is>
      </c>
      <c r="K152" s="43" t="n">
        <v>45135</v>
      </c>
      <c r="L152" s="37" t="inlineStr">
        <is>
          <t>SUSTAINED</t>
        </is>
      </c>
    </row>
    <row r="153">
      <c r="A153" s="37" t="inlineStr">
        <is>
          <t>SKP-2023-0152</t>
        </is>
      </c>
      <c r="B153" s="37" t="inlineStr">
        <is>
          <t>OFR-2023-0505</t>
        </is>
      </c>
      <c r="C153" s="43" t="n">
        <v>45127</v>
      </c>
      <c r="D153" s="37" t="inlineStr">
        <is>
          <t>WL-03411</t>
        </is>
      </c>
      <c r="E153" s="37" t="n">
        <v>2411</v>
      </c>
      <c r="F153" s="37" t="inlineStr">
        <is>
          <t>VB-0719</t>
        </is>
      </c>
      <c r="G153" s="37" t="inlineStr">
        <is>
          <t>Vessbank</t>
        </is>
      </c>
      <c r="H153" s="37" t="n">
        <v>32</v>
      </c>
      <c r="I153" s="37" t="inlineStr">
        <is>
          <t>preference-mismatch</t>
        </is>
      </c>
      <c r="J153" s="37" t="inlineStr">
        <is>
          <t>Y</t>
        </is>
      </c>
      <c r="K153" s="43" t="n">
        <v>45127</v>
      </c>
      <c r="L153" s="37" t="inlineStr">
        <is>
          <t>SUSTAINED</t>
        </is>
      </c>
    </row>
    <row r="154">
      <c r="A154" s="37" t="inlineStr">
        <is>
          <t>SKP-2023-0153</t>
        </is>
      </c>
      <c r="B154" s="37" t="inlineStr">
        <is>
          <t>OFR-2023-0508</t>
        </is>
      </c>
      <c r="C154" s="43" t="n">
        <v>45144</v>
      </c>
      <c r="D154" s="37" t="inlineStr">
        <is>
          <t>WL-01029</t>
        </is>
      </c>
      <c r="E154" s="37" t="n">
        <v>29</v>
      </c>
      <c r="F154" s="37" t="inlineStr">
        <is>
          <t>EW-0119</t>
        </is>
      </c>
      <c r="G154" s="37" t="inlineStr">
        <is>
          <t>Eastwey</t>
        </is>
      </c>
      <c r="H154" s="37" t="n">
        <v>32</v>
      </c>
      <c r="I154" s="37" t="inlineStr">
        <is>
          <t>preference-mismatch</t>
        </is>
      </c>
      <c r="J154" s="37" t="inlineStr">
        <is>
          <t>Y</t>
        </is>
      </c>
      <c r="K154" s="43" t="n">
        <v>45149</v>
      </c>
      <c r="L154" s="37" t="inlineStr">
        <is>
          <t>SUSTAINED</t>
        </is>
      </c>
    </row>
    <row r="155">
      <c r="A155" s="37" t="inlineStr">
        <is>
          <t>SKP-2023-0154</t>
        </is>
      </c>
      <c r="B155" s="37" t="inlineStr">
        <is>
          <t>OFR-2023-0515</t>
        </is>
      </c>
      <c r="C155" s="43" t="n">
        <v>45154</v>
      </c>
      <c r="D155" s="37" t="inlineStr">
        <is>
          <t>WL-01847</t>
        </is>
      </c>
      <c r="E155" s="37" t="n">
        <v>847</v>
      </c>
      <c r="F155" s="37" t="inlineStr">
        <is>
          <t>EW-0110</t>
        </is>
      </c>
      <c r="G155" s="37" t="inlineStr">
        <is>
          <t>Eastwey</t>
        </is>
      </c>
      <c r="H155" s="37" t="n">
        <v>28</v>
      </c>
      <c r="I155" s="37" t="inlineStr">
        <is>
          <t>not-current</t>
        </is>
      </c>
      <c r="J155" s="37" t="inlineStr">
        <is>
          <t>Y</t>
        </is>
      </c>
      <c r="K155" s="43" t="n">
        <v>45158</v>
      </c>
      <c r="L155" s="37" t="inlineStr">
        <is>
          <t>SUSTAINED</t>
        </is>
      </c>
    </row>
    <row r="156">
      <c r="A156" s="37" t="inlineStr">
        <is>
          <t>SKP-2023-0155</t>
        </is>
      </c>
      <c r="B156" s="37" t="inlineStr">
        <is>
          <t>OFR-2023-0517</t>
        </is>
      </c>
      <c r="C156" s="43" t="n">
        <v>45147</v>
      </c>
      <c r="D156" s="37" t="inlineStr">
        <is>
          <t>WL-01297</t>
        </is>
      </c>
      <c r="E156" s="37" t="n">
        <v>297</v>
      </c>
      <c r="F156" s="37" t="inlineStr">
        <is>
          <t>VB-0512</t>
        </is>
      </c>
      <c r="G156" s="37" t="inlineStr">
        <is>
          <t>Vessbank</t>
        </is>
      </c>
      <c r="H156" s="37" t="n">
        <v>28</v>
      </c>
      <c r="I156" s="37" t="inlineStr">
        <is>
          <t>not-current</t>
        </is>
      </c>
      <c r="J156" s="37" t="inlineStr">
        <is>
          <t>Y</t>
        </is>
      </c>
      <c r="K156" s="43" t="n">
        <v>45152</v>
      </c>
      <c r="L156" s="37" t="inlineStr">
        <is>
          <t>SUSTAINED</t>
        </is>
      </c>
    </row>
    <row r="157">
      <c r="A157" s="37" t="inlineStr">
        <is>
          <t>SKP-2023-0156</t>
        </is>
      </c>
      <c r="B157" s="37" t="inlineStr">
        <is>
          <t>OFR-2023-0518</t>
        </is>
      </c>
      <c r="C157" s="43" t="n">
        <v>45140</v>
      </c>
      <c r="D157" s="37" t="inlineStr">
        <is>
          <t>WL-02603</t>
        </is>
      </c>
      <c r="E157" s="37" t="n">
        <v>1603</v>
      </c>
      <c r="F157" s="37" t="inlineStr">
        <is>
          <t>GW-0611</t>
        </is>
      </c>
      <c r="G157" s="37" t="inlineStr">
        <is>
          <t>Gullwing</t>
        </is>
      </c>
      <c r="H157" s="37" t="n">
        <v>24</v>
      </c>
      <c r="I157" s="37" t="inlineStr">
        <is>
          <t>declined-prior-offer</t>
        </is>
      </c>
      <c r="J157" s="37" t="inlineStr">
        <is>
          <t>Y</t>
        </is>
      </c>
      <c r="K157" s="43" t="n">
        <v>45140</v>
      </c>
      <c r="L157" s="37" t="inlineStr">
        <is>
          <t>SUSTAINED</t>
        </is>
      </c>
    </row>
    <row r="158">
      <c r="A158" s="37" t="inlineStr">
        <is>
          <t>SKP-2023-0157</t>
        </is>
      </c>
      <c r="B158" s="37" t="inlineStr">
        <is>
          <t>OFR-2023-0524</t>
        </is>
      </c>
      <c r="C158" s="43" t="n">
        <v>45160</v>
      </c>
      <c r="D158" s="37" t="inlineStr">
        <is>
          <t>WL-03153</t>
        </is>
      </c>
      <c r="E158" s="37" t="n">
        <v>2153</v>
      </c>
      <c r="F158" s="37" t="inlineStr">
        <is>
          <t>EW-0213</t>
        </is>
      </c>
      <c r="G158" s="37" t="inlineStr">
        <is>
          <t>Eastwey</t>
        </is>
      </c>
      <c r="H158" s="37" t="n">
        <v>28</v>
      </c>
      <c r="I158" s="37" t="inlineStr">
        <is>
          <t>preference-mismatch</t>
        </is>
      </c>
      <c r="J158" s="37" t="inlineStr">
        <is>
          <t>Y</t>
        </is>
      </c>
      <c r="K158" s="43" t="n">
        <v>45161</v>
      </c>
      <c r="L158" s="37" t="inlineStr">
        <is>
          <t>SUSTAINED</t>
        </is>
      </c>
    </row>
    <row r="159">
      <c r="A159" s="37" t="inlineStr">
        <is>
          <t>SKP-2023-0158</t>
        </is>
      </c>
      <c r="B159" s="37" t="inlineStr">
        <is>
          <t>OFR-2023-0526</t>
        </is>
      </c>
      <c r="C159" s="43" t="n">
        <v>45160</v>
      </c>
      <c r="D159" s="37" t="inlineStr">
        <is>
          <t>WL-02650</t>
        </is>
      </c>
      <c r="E159" s="37" t="n">
        <v>1650</v>
      </c>
      <c r="F159" s="37" t="inlineStr">
        <is>
          <t>EW-0310</t>
        </is>
      </c>
      <c r="G159" s="37" t="inlineStr">
        <is>
          <t>Eastwey</t>
        </is>
      </c>
      <c r="H159" s="37" t="n">
        <v>24</v>
      </c>
      <c r="I159" s="37" t="inlineStr">
        <is>
          <t>declined-prior-offer</t>
        </is>
      </c>
      <c r="J159" s="37" t="inlineStr">
        <is>
          <t>Y</t>
        </is>
      </c>
      <c r="K159" s="43" t="n">
        <v>45165</v>
      </c>
      <c r="L159" s="37" t="inlineStr">
        <is>
          <t>SUSTAINED</t>
        </is>
      </c>
    </row>
    <row r="160">
      <c r="A160" s="37" t="inlineStr">
        <is>
          <t>SKP-2023-0159</t>
        </is>
      </c>
      <c r="B160" s="37" t="inlineStr">
        <is>
          <t>OFR-2023-0528</t>
        </is>
      </c>
      <c r="C160" s="43" t="n">
        <v>45148</v>
      </c>
      <c r="D160" s="37" t="inlineStr">
        <is>
          <t>WL-01360</t>
        </is>
      </c>
      <c r="E160" s="37" t="n">
        <v>360</v>
      </c>
      <c r="F160" s="37" t="inlineStr">
        <is>
          <t>LP-0516</t>
        </is>
      </c>
      <c r="G160" s="37" t="inlineStr">
        <is>
          <t>Ledgport</t>
        </is>
      </c>
      <c r="H160" s="37" t="n">
        <v>40</v>
      </c>
      <c r="I160" s="37" t="inlineStr">
        <is>
          <t>vessel-fit</t>
        </is>
      </c>
      <c r="J160" s="37" t="inlineStr">
        <is>
          <t>Y</t>
        </is>
      </c>
      <c r="K160" s="43" t="n">
        <v>45149</v>
      </c>
      <c r="L160" s="37" t="inlineStr">
        <is>
          <t>SUSTAINED</t>
        </is>
      </c>
    </row>
    <row r="161">
      <c r="A161" s="37" t="inlineStr">
        <is>
          <t>SKP-2023-0160</t>
        </is>
      </c>
      <c r="B161" s="37" t="inlineStr">
        <is>
          <t>OFR-2023-0530</t>
        </is>
      </c>
      <c r="C161" s="43" t="n">
        <v>45143</v>
      </c>
      <c r="D161" s="37" t="inlineStr">
        <is>
          <t>WL-01367</t>
        </is>
      </c>
      <c r="E161" s="37" t="n">
        <v>367</v>
      </c>
      <c r="F161" s="37" t="inlineStr">
        <is>
          <t>GW-0703</t>
        </is>
      </c>
      <c r="G161" s="37" t="inlineStr">
        <is>
          <t>Gullwing</t>
        </is>
      </c>
      <c r="H161" s="37" t="n">
        <v>32</v>
      </c>
      <c r="I161" s="37" t="inlineStr">
        <is>
          <t>vessel-fit</t>
        </is>
      </c>
      <c r="J161" s="37" t="inlineStr">
        <is>
          <t>Y</t>
        </is>
      </c>
      <c r="K161" s="43" t="n">
        <v>45145</v>
      </c>
      <c r="L161" s="37" t="inlineStr">
        <is>
          <t>SUSTAINED</t>
        </is>
      </c>
    </row>
    <row r="162">
      <c r="A162" s="37" t="inlineStr">
        <is>
          <t>SKP-2023-0161</t>
        </is>
      </c>
      <c r="B162" s="37" t="inlineStr">
        <is>
          <t>OFR-2023-0533</t>
        </is>
      </c>
      <c r="C162" s="43" t="n">
        <v>45156</v>
      </c>
      <c r="D162" s="37" t="inlineStr">
        <is>
          <t>WL-02793</t>
        </is>
      </c>
      <c r="E162" s="37" t="n">
        <v>1793</v>
      </c>
      <c r="F162" s="37" t="inlineStr">
        <is>
          <t>EW-0814</t>
        </is>
      </c>
      <c r="G162" s="37" t="inlineStr">
        <is>
          <t>Eastwey</t>
        </is>
      </c>
      <c r="H162" s="37" t="n">
        <v>40</v>
      </c>
      <c r="I162" s="37" t="inlineStr">
        <is>
          <t>vessel-fit</t>
        </is>
      </c>
      <c r="J162" s="37" t="inlineStr">
        <is>
          <t>Y</t>
        </is>
      </c>
      <c r="K162" s="43" t="n">
        <v>45159</v>
      </c>
      <c r="L162" s="37" t="inlineStr">
        <is>
          <t>SUSTAINED</t>
        </is>
      </c>
    </row>
    <row r="163">
      <c r="A163" s="37" t="inlineStr">
        <is>
          <t>SKP-2023-0162</t>
        </is>
      </c>
      <c r="B163" s="37" t="inlineStr">
        <is>
          <t>OFR-2023-0541</t>
        </is>
      </c>
      <c r="C163" s="43" t="n">
        <v>45187</v>
      </c>
      <c r="D163" s="37" t="inlineStr">
        <is>
          <t>WL-03249</t>
        </is>
      </c>
      <c r="E163" s="37" t="n">
        <v>2249</v>
      </c>
      <c r="F163" s="37" t="inlineStr">
        <is>
          <t>EW-0518</t>
        </is>
      </c>
      <c r="G163" s="37" t="inlineStr">
        <is>
          <t>Eastwey</t>
        </is>
      </c>
      <c r="H163" s="37" t="n">
        <v>50</v>
      </c>
      <c r="I163" s="37" t="inlineStr">
        <is>
          <t>not-current</t>
        </is>
      </c>
      <c r="J163" s="37" t="inlineStr">
        <is>
          <t>Y</t>
        </is>
      </c>
      <c r="K163" s="43" t="n">
        <v>45188</v>
      </c>
      <c r="L163" s="37" t="inlineStr">
        <is>
          <t>SUSTAINED</t>
        </is>
      </c>
    </row>
    <row r="164">
      <c r="A164" s="37" t="inlineStr">
        <is>
          <t>SKP-2023-0163</t>
        </is>
      </c>
      <c r="B164" s="37" t="inlineStr">
        <is>
          <t>OFR-2023-0546</t>
        </is>
      </c>
      <c r="C164" s="43" t="n">
        <v>45180</v>
      </c>
      <c r="D164" s="37" t="inlineStr">
        <is>
          <t>WL-03629</t>
        </is>
      </c>
      <c r="E164" s="37" t="n">
        <v>2629</v>
      </c>
      <c r="F164" s="37" t="inlineStr">
        <is>
          <t>LP-1116</t>
        </is>
      </c>
      <c r="G164" s="37" t="inlineStr">
        <is>
          <t>Ledgport</t>
        </is>
      </c>
      <c r="H164" s="37" t="n">
        <v>28</v>
      </c>
      <c r="I164" s="37" t="inlineStr">
        <is>
          <t>vessel-fit</t>
        </is>
      </c>
      <c r="J164" s="37" t="inlineStr">
        <is>
          <t>Y</t>
        </is>
      </c>
      <c r="K164" s="43" t="n">
        <v>45180</v>
      </c>
      <c r="L164" s="37" t="inlineStr">
        <is>
          <t>SUSTAINED</t>
        </is>
      </c>
    </row>
    <row r="165">
      <c r="A165" s="37" t="inlineStr">
        <is>
          <t>SKP-2023-0164</t>
        </is>
      </c>
      <c r="B165" s="37" t="inlineStr">
        <is>
          <t>OFR-2023-0547</t>
        </is>
      </c>
      <c r="C165" s="43" t="n">
        <v>45174</v>
      </c>
      <c r="D165" s="37" t="inlineStr">
        <is>
          <t>WL-03673</t>
        </is>
      </c>
      <c r="E165" s="37" t="n">
        <v>2673</v>
      </c>
      <c r="F165" s="37" t="inlineStr">
        <is>
          <t>GW-0801</t>
        </is>
      </c>
      <c r="G165" s="37" t="inlineStr">
        <is>
          <t>Gullwing</t>
        </is>
      </c>
      <c r="H165" s="37" t="n">
        <v>80</v>
      </c>
      <c r="I165" s="37" t="inlineStr">
        <is>
          <t>preference-mismatch</t>
        </is>
      </c>
      <c r="J165" s="37" t="inlineStr">
        <is>
          <t>Y</t>
        </is>
      </c>
      <c r="K165" s="43" t="n">
        <v>45177</v>
      </c>
      <c r="L165" s="37" t="inlineStr">
        <is>
          <t>SUSTAINED</t>
        </is>
      </c>
    </row>
    <row r="166">
      <c r="A166" s="37" t="inlineStr">
        <is>
          <t>SKP-2023-0165</t>
        </is>
      </c>
      <c r="B166" s="37" t="inlineStr">
        <is>
          <t>OFR-2023-0550</t>
        </is>
      </c>
      <c r="C166" s="43" t="n">
        <v>45174</v>
      </c>
      <c r="D166" s="37" t="inlineStr">
        <is>
          <t>WL-01746</t>
        </is>
      </c>
      <c r="E166" s="37" t="n">
        <v>746</v>
      </c>
      <c r="F166" s="37" t="inlineStr">
        <is>
          <t>SB-0209</t>
        </is>
      </c>
      <c r="G166" s="37" t="inlineStr">
        <is>
          <t>Salmonberry</t>
        </is>
      </c>
      <c r="H166" s="37" t="n">
        <v>24</v>
      </c>
      <c r="I166" s="37" t="inlineStr">
        <is>
          <t>not-current</t>
        </is>
      </c>
      <c r="J166" s="37" t="inlineStr">
        <is>
          <t>Y</t>
        </is>
      </c>
      <c r="K166" s="43" t="n">
        <v>45178</v>
      </c>
      <c r="L166" s="37" t="inlineStr">
        <is>
          <t>SUSTAINED</t>
        </is>
      </c>
    </row>
    <row r="167">
      <c r="A167" s="37" t="inlineStr">
        <is>
          <t>SKP-2023-0166</t>
        </is>
      </c>
      <c r="B167" s="37" t="inlineStr">
        <is>
          <t>OFR-2023-0551</t>
        </is>
      </c>
      <c r="C167" s="43" t="n">
        <v>45185</v>
      </c>
      <c r="D167" s="37" t="inlineStr">
        <is>
          <t>WL-03844</t>
        </is>
      </c>
      <c r="E167" s="37" t="n">
        <v>2844</v>
      </c>
      <c r="F167" s="37" t="inlineStr">
        <is>
          <t>EW-0109</t>
        </is>
      </c>
      <c r="G167" s="37" t="inlineStr">
        <is>
          <t>Eastwey</t>
        </is>
      </c>
      <c r="H167" s="37" t="n">
        <v>60</v>
      </c>
      <c r="I167" s="37" t="inlineStr">
        <is>
          <t>vessel-fit</t>
        </is>
      </c>
      <c r="J167" s="37" t="inlineStr">
        <is>
          <t>N</t>
        </is>
      </c>
      <c r="K167" s="43" t="n">
        <v>45190</v>
      </c>
      <c r="L167" s="37" t="inlineStr">
        <is>
          <t>SUSTAINED</t>
        </is>
      </c>
    </row>
    <row r="168">
      <c r="A168" s="37" t="inlineStr">
        <is>
          <t>SKP-2023-0167</t>
        </is>
      </c>
      <c r="B168" s="37" t="inlineStr">
        <is>
          <t>OFR-2023-0555</t>
        </is>
      </c>
      <c r="C168" s="43" t="n">
        <v>45194</v>
      </c>
      <c r="D168" s="37" t="inlineStr">
        <is>
          <t>WL-01566</t>
        </is>
      </c>
      <c r="E168" s="37" t="n">
        <v>566</v>
      </c>
      <c r="F168" s="37" t="inlineStr">
        <is>
          <t>LP-0706</t>
        </is>
      </c>
      <c r="G168" s="37" t="inlineStr">
        <is>
          <t>Ledgport</t>
        </is>
      </c>
      <c r="H168" s="37" t="n">
        <v>28</v>
      </c>
      <c r="I168" s="37" t="inlineStr">
        <is>
          <t>vessel-fit</t>
        </is>
      </c>
      <c r="J168" s="37" t="inlineStr">
        <is>
          <t>Y</t>
        </is>
      </c>
      <c r="K168" s="43" t="n">
        <v>45198</v>
      </c>
      <c r="L168" s="37" t="inlineStr">
        <is>
          <t>SUSTAINED</t>
        </is>
      </c>
    </row>
    <row r="169">
      <c r="A169" s="37" t="inlineStr">
        <is>
          <t>SKP-2023-0168</t>
        </is>
      </c>
      <c r="B169" s="37" t="inlineStr">
        <is>
          <t>OFR-2023-0559</t>
        </is>
      </c>
      <c r="C169" s="43" t="n">
        <v>45182</v>
      </c>
      <c r="D169" s="37" t="inlineStr">
        <is>
          <t>WL-02912</t>
        </is>
      </c>
      <c r="E169" s="37" t="n">
        <v>1912</v>
      </c>
      <c r="F169" s="37" t="inlineStr">
        <is>
          <t>SB-0916</t>
        </is>
      </c>
      <c r="G169" s="37" t="inlineStr">
        <is>
          <t>Salmonberry</t>
        </is>
      </c>
      <c r="H169" s="37" t="n">
        <v>60</v>
      </c>
      <c r="I169" s="37" t="inlineStr">
        <is>
          <t>vessel-fit</t>
        </is>
      </c>
      <c r="J169" s="37" t="inlineStr">
        <is>
          <t>Y</t>
        </is>
      </c>
      <c r="K169" s="43" t="n">
        <v>45184</v>
      </c>
      <c r="L169" s="37" t="inlineStr">
        <is>
          <t>SUSTAINED</t>
        </is>
      </c>
    </row>
    <row r="170">
      <c r="A170" s="37" t="inlineStr">
        <is>
          <t>SKP-2023-0169</t>
        </is>
      </c>
      <c r="B170" s="37" t="inlineStr">
        <is>
          <t>OFR-2023-0567</t>
        </is>
      </c>
      <c r="C170" s="43" t="n">
        <v>45190</v>
      </c>
      <c r="D170" s="37" t="inlineStr">
        <is>
          <t>WL-01168</t>
        </is>
      </c>
      <c r="E170" s="37" t="n">
        <v>168</v>
      </c>
      <c r="F170" s="37" t="inlineStr">
        <is>
          <t>LP-0604</t>
        </is>
      </c>
      <c r="G170" s="37" t="inlineStr">
        <is>
          <t>Ledgport</t>
        </is>
      </c>
      <c r="H170" s="37" t="n">
        <v>40</v>
      </c>
      <c r="I170" s="37" t="inlineStr">
        <is>
          <t>declined-prior-offer</t>
        </is>
      </c>
      <c r="J170" s="37" t="inlineStr">
        <is>
          <t>Y</t>
        </is>
      </c>
      <c r="K170" s="43" t="n">
        <v>45191</v>
      </c>
      <c r="L170" s="37" t="inlineStr">
        <is>
          <t>SUSTAINED</t>
        </is>
      </c>
    </row>
    <row r="171">
      <c r="A171" s="37" t="inlineStr">
        <is>
          <t>SKP-2023-0170</t>
        </is>
      </c>
      <c r="B171" s="37" t="inlineStr">
        <is>
          <t>OFR-2023-0571</t>
        </is>
      </c>
      <c r="C171" s="43" t="n">
        <v>45173</v>
      </c>
      <c r="D171" s="37" t="inlineStr">
        <is>
          <t>WL-03700</t>
        </is>
      </c>
      <c r="E171" s="37" t="n">
        <v>2700</v>
      </c>
      <c r="F171" s="37" t="inlineStr">
        <is>
          <t>LP-0412</t>
        </is>
      </c>
      <c r="G171" s="37" t="inlineStr">
        <is>
          <t>Ledgport</t>
        </is>
      </c>
      <c r="H171" s="37" t="n">
        <v>32</v>
      </c>
      <c r="I171" s="37" t="inlineStr">
        <is>
          <t>not-current</t>
        </is>
      </c>
      <c r="J171" s="37" t="inlineStr">
        <is>
          <t>Y</t>
        </is>
      </c>
      <c r="K171" s="43" t="n">
        <v>45175</v>
      </c>
      <c r="L171" s="37" t="inlineStr">
        <is>
          <t>SUSTAINED</t>
        </is>
      </c>
    </row>
    <row r="172">
      <c r="A172" s="37" t="inlineStr">
        <is>
          <t>SKP-2023-0171</t>
        </is>
      </c>
      <c r="B172" s="37" t="inlineStr">
        <is>
          <t>OFR-2023-0573</t>
        </is>
      </c>
      <c r="C172" s="43" t="n">
        <v>45185</v>
      </c>
      <c r="D172" s="37" t="inlineStr">
        <is>
          <t>WL-02000</t>
        </is>
      </c>
      <c r="E172" s="37" t="n">
        <v>1000</v>
      </c>
      <c r="F172" s="37" t="inlineStr">
        <is>
          <t>VB-0820</t>
        </is>
      </c>
      <c r="G172" s="37" t="inlineStr">
        <is>
          <t>Vessbank</t>
        </is>
      </c>
      <c r="H172" s="37" t="n">
        <v>36</v>
      </c>
      <c r="I172" s="37" t="inlineStr">
        <is>
          <t>preference-mismatch</t>
        </is>
      </c>
      <c r="J172" s="37" t="inlineStr">
        <is>
          <t>Y</t>
        </is>
      </c>
      <c r="K172" s="43" t="n">
        <v>45185</v>
      </c>
      <c r="L172" s="37" t="inlineStr">
        <is>
          <t>SUSTAINED</t>
        </is>
      </c>
    </row>
    <row r="173">
      <c r="A173" s="37" t="inlineStr">
        <is>
          <t>SKP-2023-0172</t>
        </is>
      </c>
      <c r="B173" s="37" t="inlineStr">
        <is>
          <t>OFR-2023-0574</t>
        </is>
      </c>
      <c r="C173" s="43" t="n">
        <v>45186</v>
      </c>
      <c r="D173" s="37" t="inlineStr">
        <is>
          <t>WL-01080</t>
        </is>
      </c>
      <c r="E173" s="37" t="n">
        <v>80</v>
      </c>
      <c r="F173" s="37" t="inlineStr">
        <is>
          <t>EW-0511</t>
        </is>
      </c>
      <c r="G173" s="37" t="inlineStr">
        <is>
          <t>Eastwey</t>
        </is>
      </c>
      <c r="H173" s="37" t="n">
        <v>28</v>
      </c>
      <c r="I173" s="37" t="inlineStr">
        <is>
          <t>declined-prior-offer</t>
        </is>
      </c>
      <c r="J173" s="37" t="inlineStr">
        <is>
          <t>Y</t>
        </is>
      </c>
      <c r="K173" s="43" t="n">
        <v>45191</v>
      </c>
      <c r="L173" s="37" t="inlineStr">
        <is>
          <t>SUSTAINED</t>
        </is>
      </c>
    </row>
    <row r="174">
      <c r="A174" s="37" t="inlineStr">
        <is>
          <t>SKP-2023-0173</t>
        </is>
      </c>
      <c r="B174" s="37" t="inlineStr">
        <is>
          <t>OFR-2023-0577</t>
        </is>
      </c>
      <c r="C174" s="43" t="n">
        <v>45172</v>
      </c>
      <c r="D174" s="37" t="inlineStr">
        <is>
          <t>WL-03715</t>
        </is>
      </c>
      <c r="E174" s="37" t="n">
        <v>2715</v>
      </c>
      <c r="F174" s="37" t="inlineStr">
        <is>
          <t>VB-0705</t>
        </is>
      </c>
      <c r="G174" s="37" t="inlineStr">
        <is>
          <t>Vessbank</t>
        </is>
      </c>
      <c r="H174" s="37" t="n">
        <v>28</v>
      </c>
      <c r="I174" s="37" t="inlineStr">
        <is>
          <t>vessel-fit</t>
        </is>
      </c>
      <c r="J174" s="37" t="inlineStr">
        <is>
          <t>Y</t>
        </is>
      </c>
      <c r="K174" s="43" t="n">
        <v>45174</v>
      </c>
      <c r="L174" s="37" t="inlineStr">
        <is>
          <t>SUSTAINED</t>
        </is>
      </c>
    </row>
    <row r="175">
      <c r="A175" s="37" t="inlineStr">
        <is>
          <t>SKP-2023-0174</t>
        </is>
      </c>
      <c r="B175" s="37" t="inlineStr">
        <is>
          <t>OFR-2023-0578</t>
        </is>
      </c>
      <c r="C175" s="43" t="n">
        <v>45180</v>
      </c>
      <c r="D175" s="37" t="inlineStr">
        <is>
          <t>WL-02285</t>
        </is>
      </c>
      <c r="E175" s="37" t="n">
        <v>1285</v>
      </c>
      <c r="F175" s="37" t="inlineStr">
        <is>
          <t>EW-0107</t>
        </is>
      </c>
      <c r="G175" s="37" t="inlineStr">
        <is>
          <t>Eastwey</t>
        </is>
      </c>
      <c r="H175" s="37" t="n">
        <v>28</v>
      </c>
      <c r="I175" s="37" t="inlineStr">
        <is>
          <t>declined-prior-offer</t>
        </is>
      </c>
      <c r="J175" s="37" t="inlineStr">
        <is>
          <t>N</t>
        </is>
      </c>
      <c r="K175" s="43" t="n">
        <v>45181</v>
      </c>
      <c r="L175" s="37" t="inlineStr">
        <is>
          <t>SUSTAINED</t>
        </is>
      </c>
    </row>
    <row r="176">
      <c r="A176" s="37" t="inlineStr">
        <is>
          <t>SKP-2023-0175</t>
        </is>
      </c>
      <c r="B176" s="37" t="inlineStr">
        <is>
          <t>OFR-2023-0586</t>
        </is>
      </c>
      <c r="C176" s="43" t="n">
        <v>45205</v>
      </c>
      <c r="D176" s="37" t="inlineStr">
        <is>
          <t>WL-01003</t>
        </is>
      </c>
      <c r="E176" s="37" t="n">
        <v>3</v>
      </c>
      <c r="F176" s="37" t="inlineStr">
        <is>
          <t>SB-0401</t>
        </is>
      </c>
      <c r="G176" s="37" t="inlineStr">
        <is>
          <t>Salmonberry</t>
        </is>
      </c>
      <c r="H176" s="37" t="n">
        <v>60</v>
      </c>
      <c r="I176" s="37" t="inlineStr">
        <is>
          <t>not-current</t>
        </is>
      </c>
      <c r="J176" s="37" t="inlineStr">
        <is>
          <t>Y</t>
        </is>
      </c>
      <c r="K176" s="43" t="n">
        <v>45207</v>
      </c>
      <c r="L176" s="37" t="inlineStr">
        <is>
          <t>SUSTAINED</t>
        </is>
      </c>
    </row>
    <row r="177">
      <c r="A177" s="37" t="inlineStr">
        <is>
          <t>SKP-2023-0176</t>
        </is>
      </c>
      <c r="B177" s="37" t="inlineStr">
        <is>
          <t>OFR-2023-0604</t>
        </is>
      </c>
      <c r="C177" s="43" t="n">
        <v>45204</v>
      </c>
      <c r="D177" s="37" t="inlineStr">
        <is>
          <t>WL-01594</t>
        </is>
      </c>
      <c r="E177" s="37" t="n">
        <v>594</v>
      </c>
      <c r="F177" s="37" t="inlineStr">
        <is>
          <t>GW-0705</t>
        </is>
      </c>
      <c r="G177" s="37" t="inlineStr">
        <is>
          <t>Gullwing</t>
        </is>
      </c>
      <c r="H177" s="37" t="n">
        <v>24</v>
      </c>
      <c r="I177" s="37" t="inlineStr">
        <is>
          <t>vessel-fit</t>
        </is>
      </c>
      <c r="J177" s="37" t="inlineStr">
        <is>
          <t>Y</t>
        </is>
      </c>
      <c r="K177" s="43" t="n">
        <v>45205</v>
      </c>
      <c r="L177" s="37" t="inlineStr">
        <is>
          <t>SUSTAINED</t>
        </is>
      </c>
    </row>
    <row r="178">
      <c r="A178" s="37" t="inlineStr">
        <is>
          <t>SKP-2023-0177</t>
        </is>
      </c>
      <c r="B178" s="37" t="inlineStr">
        <is>
          <t>OFR-2023-0609</t>
        </is>
      </c>
      <c r="C178" s="43" t="n">
        <v>45220</v>
      </c>
      <c r="D178" s="37" t="inlineStr">
        <is>
          <t>WL-01918</t>
        </is>
      </c>
      <c r="E178" s="37" t="n">
        <v>918</v>
      </c>
      <c r="F178" s="37" t="inlineStr">
        <is>
          <t>VB-0118</t>
        </is>
      </c>
      <c r="G178" s="37" t="inlineStr">
        <is>
          <t>Vessbank</t>
        </is>
      </c>
      <c r="H178" s="37" t="n">
        <v>24</v>
      </c>
      <c r="I178" s="37" t="inlineStr">
        <is>
          <t>preference-mismatch</t>
        </is>
      </c>
      <c r="J178" s="37" t="inlineStr">
        <is>
          <t>Y</t>
        </is>
      </c>
      <c r="K178" s="43" t="n">
        <v>45222</v>
      </c>
      <c r="L178" s="37" t="inlineStr">
        <is>
          <t>SUSTAINED</t>
        </is>
      </c>
    </row>
    <row r="179">
      <c r="A179" s="37" t="inlineStr">
        <is>
          <t>SKP-2023-0178</t>
        </is>
      </c>
      <c r="B179" s="37" t="inlineStr">
        <is>
          <t>OFR-2023-0613</t>
        </is>
      </c>
      <c r="C179" s="43" t="n">
        <v>45223</v>
      </c>
      <c r="D179" s="37" t="inlineStr">
        <is>
          <t>WL-03849</t>
        </is>
      </c>
      <c r="E179" s="37" t="n">
        <v>2849</v>
      </c>
      <c r="F179" s="37" t="inlineStr">
        <is>
          <t>SB-0406</t>
        </is>
      </c>
      <c r="G179" s="37" t="inlineStr">
        <is>
          <t>Salmonberry</t>
        </is>
      </c>
      <c r="H179" s="37" t="n">
        <v>40</v>
      </c>
      <c r="I179" s="37" t="inlineStr">
        <is>
          <t>not-current</t>
        </is>
      </c>
      <c r="J179" s="37" t="inlineStr">
        <is>
          <t>Y</t>
        </is>
      </c>
      <c r="K179" s="43" t="n">
        <v>45226</v>
      </c>
      <c r="L179" s="37" t="inlineStr">
        <is>
          <t>SUSTAINED</t>
        </is>
      </c>
    </row>
    <row r="180">
      <c r="A180" s="37" t="inlineStr">
        <is>
          <t>SKP-2023-0179</t>
        </is>
      </c>
      <c r="B180" s="37" t="inlineStr">
        <is>
          <t>OFR-2023-0617</t>
        </is>
      </c>
      <c r="C180" s="43" t="n">
        <v>45208</v>
      </c>
      <c r="D180" s="37" t="inlineStr">
        <is>
          <t>WL-01704</t>
        </is>
      </c>
      <c r="E180" s="37" t="n">
        <v>704</v>
      </c>
      <c r="F180" s="37" t="inlineStr">
        <is>
          <t>EW-0804</t>
        </is>
      </c>
      <c r="G180" s="37" t="inlineStr">
        <is>
          <t>Eastwey</t>
        </is>
      </c>
      <c r="H180" s="37" t="n">
        <v>32</v>
      </c>
      <c r="I180" s="37" t="inlineStr">
        <is>
          <t>preference-mismatch</t>
        </is>
      </c>
      <c r="J180" s="37" t="inlineStr">
        <is>
          <t>Y</t>
        </is>
      </c>
      <c r="K180" s="43" t="n">
        <v>45211</v>
      </c>
      <c r="L180" s="37" t="inlineStr">
        <is>
          <t>SUSTAINED</t>
        </is>
      </c>
    </row>
    <row r="181">
      <c r="A181" s="37" t="inlineStr">
        <is>
          <t>SKP-2023-0180</t>
        </is>
      </c>
      <c r="B181" s="37" t="inlineStr">
        <is>
          <t>OFR-2023-0623</t>
        </is>
      </c>
      <c r="C181" s="43" t="n">
        <v>45252</v>
      </c>
      <c r="D181" s="37" t="inlineStr">
        <is>
          <t>WL-03696</t>
        </is>
      </c>
      <c r="E181" s="37" t="n">
        <v>2696</v>
      </c>
      <c r="F181" s="37" t="inlineStr">
        <is>
          <t>LP-0114</t>
        </is>
      </c>
      <c r="G181" s="37" t="inlineStr">
        <is>
          <t>Ledgport</t>
        </is>
      </c>
      <c r="H181" s="37" t="n">
        <v>24</v>
      </c>
      <c r="I181" s="37" t="inlineStr">
        <is>
          <t>vessel-fit</t>
        </is>
      </c>
      <c r="J181" s="37" t="inlineStr">
        <is>
          <t>Y</t>
        </is>
      </c>
      <c r="K181" s="43" t="n">
        <v>45256</v>
      </c>
      <c r="L181" s="37" t="inlineStr">
        <is>
          <t>SUSTAINED</t>
        </is>
      </c>
    </row>
    <row r="182">
      <c r="A182" s="37" t="inlineStr">
        <is>
          <t>SKP-2023-0181</t>
        </is>
      </c>
      <c r="B182" s="37" t="inlineStr">
        <is>
          <t>OFR-2023-0634</t>
        </is>
      </c>
      <c r="C182" s="43" t="n">
        <v>45277</v>
      </c>
      <c r="D182" s="37" t="inlineStr">
        <is>
          <t>WL-01016</t>
        </is>
      </c>
      <c r="E182" s="37" t="n">
        <v>16</v>
      </c>
      <c r="F182" s="37" t="inlineStr">
        <is>
          <t>LP-0416</t>
        </is>
      </c>
      <c r="G182" s="37" t="inlineStr">
        <is>
          <t>Ledgport</t>
        </is>
      </c>
      <c r="H182" s="37" t="n">
        <v>24</v>
      </c>
      <c r="I182" s="37" t="inlineStr">
        <is>
          <t>vessel-fit</t>
        </is>
      </c>
      <c r="J182" s="37" t="inlineStr">
        <is>
          <t>Y</t>
        </is>
      </c>
      <c r="K182" s="43" t="n">
        <v>45280</v>
      </c>
      <c r="L182" s="37" t="inlineStr">
        <is>
          <t>SUSTAINED</t>
        </is>
      </c>
    </row>
    <row r="183">
      <c r="A183" s="37" t="inlineStr">
        <is>
          <t>SKP-2023-0182</t>
        </is>
      </c>
      <c r="B183" s="37" t="inlineStr">
        <is>
          <t>OFR-2023-0636</t>
        </is>
      </c>
      <c r="C183" s="43" t="n">
        <v>45281</v>
      </c>
      <c r="D183" s="37" t="inlineStr">
        <is>
          <t>WL-01186</t>
        </is>
      </c>
      <c r="E183" s="37" t="n">
        <v>186</v>
      </c>
      <c r="F183" s="37" t="inlineStr">
        <is>
          <t>SB-0610</t>
        </is>
      </c>
      <c r="G183" s="37" t="inlineStr">
        <is>
          <t>Salmonberry</t>
        </is>
      </c>
      <c r="H183" s="37" t="n">
        <v>60</v>
      </c>
      <c r="I183" s="37" t="inlineStr">
        <is>
          <t>not-current</t>
        </is>
      </c>
      <c r="J183" s="37" t="inlineStr">
        <is>
          <t>Y</t>
        </is>
      </c>
      <c r="K183" s="43" t="n">
        <v>45281</v>
      </c>
      <c r="L183" s="37" t="inlineStr">
        <is>
          <t>SUSTAINED</t>
        </is>
      </c>
    </row>
    <row r="184">
      <c r="A184" s="37" t="inlineStr">
        <is>
          <t>SKP-2023-0183</t>
        </is>
      </c>
      <c r="B184" s="37" t="inlineStr">
        <is>
          <t>OFR-2023-0638</t>
        </is>
      </c>
      <c r="C184" s="43" t="n">
        <v>45286</v>
      </c>
      <c r="D184" s="37" t="inlineStr">
        <is>
          <t>WL-01524</t>
        </is>
      </c>
      <c r="E184" s="37" t="n">
        <v>524</v>
      </c>
      <c r="F184" s="37" t="inlineStr">
        <is>
          <t>VB-0804</t>
        </is>
      </c>
      <c r="G184" s="37" t="inlineStr">
        <is>
          <t>Vessbank</t>
        </is>
      </c>
      <c r="H184" s="37" t="n">
        <v>24</v>
      </c>
      <c r="I184" s="37" t="inlineStr">
        <is>
          <t>not-current</t>
        </is>
      </c>
      <c r="J184" s="37" t="inlineStr">
        <is>
          <t>Y</t>
        </is>
      </c>
      <c r="K184" s="43" t="n">
        <v>45291</v>
      </c>
      <c r="L184" s="37" t="inlineStr">
        <is>
          <t>SUSTAINED</t>
        </is>
      </c>
    </row>
    <row r="185">
      <c r="A185" s="37" t="inlineStr">
        <is>
          <t>SKP-2023-0184</t>
        </is>
      </c>
      <c r="B185" s="37" t="inlineStr">
        <is>
          <t>OFR-2023-0643</t>
        </is>
      </c>
      <c r="C185" s="43" t="n">
        <v>45286</v>
      </c>
      <c r="D185" s="37" t="inlineStr">
        <is>
          <t>WL-03111</t>
        </is>
      </c>
      <c r="E185" s="37" t="n">
        <v>2111</v>
      </c>
      <c r="F185" s="37" t="inlineStr">
        <is>
          <t>VB-0311</t>
        </is>
      </c>
      <c r="G185" s="37" t="inlineStr">
        <is>
          <t>Vessbank</t>
        </is>
      </c>
      <c r="H185" s="37" t="n">
        <v>32</v>
      </c>
      <c r="I185" s="37" t="inlineStr">
        <is>
          <t>not-current</t>
        </is>
      </c>
      <c r="J185" s="37" t="inlineStr">
        <is>
          <t>Y</t>
        </is>
      </c>
      <c r="K185" s="43" t="n">
        <v>45289</v>
      </c>
      <c r="L185" s="37" t="inlineStr">
        <is>
          <t>SUSTAINED</t>
        </is>
      </c>
    </row>
    <row r="186">
      <c r="A186" s="37" t="inlineStr">
        <is>
          <t>SKP-2023-0185</t>
        </is>
      </c>
      <c r="B186" s="37" t="inlineStr">
        <is>
          <t>OFR-2023-0645</t>
        </is>
      </c>
      <c r="C186" s="43" t="n">
        <v>45284</v>
      </c>
      <c r="D186" s="37" t="inlineStr">
        <is>
          <t>WL-02726</t>
        </is>
      </c>
      <c r="E186" s="37" t="n">
        <v>1726</v>
      </c>
      <c r="F186" s="37" t="inlineStr">
        <is>
          <t>EW-0916</t>
        </is>
      </c>
      <c r="G186" s="37" t="inlineStr">
        <is>
          <t>Eastwey</t>
        </is>
      </c>
      <c r="H186" s="37" t="n">
        <v>24</v>
      </c>
      <c r="I186" s="37" t="inlineStr">
        <is>
          <t>vessel-fit</t>
        </is>
      </c>
      <c r="J186" s="37" t="inlineStr">
        <is>
          <t>Y</t>
        </is>
      </c>
      <c r="K186" s="43" t="n">
        <v>45289</v>
      </c>
      <c r="L186" s="37" t="inlineStr">
        <is>
          <t>SUSTAINED</t>
        </is>
      </c>
    </row>
    <row r="187">
      <c r="A187" s="37" t="inlineStr">
        <is>
          <t>SKP-2023-0186</t>
        </is>
      </c>
      <c r="B187" s="37" t="inlineStr">
        <is>
          <t>OFR-2023-0648</t>
        </is>
      </c>
      <c r="C187" s="43" t="n">
        <v>45263</v>
      </c>
      <c r="D187" s="37" t="inlineStr">
        <is>
          <t>WL-01924</t>
        </is>
      </c>
      <c r="E187" s="37" t="n">
        <v>924</v>
      </c>
      <c r="F187" s="37" t="inlineStr">
        <is>
          <t>EW-1002</t>
        </is>
      </c>
      <c r="G187" s="37" t="inlineStr">
        <is>
          <t>Eastwey</t>
        </is>
      </c>
      <c r="H187" s="37" t="n">
        <v>28</v>
      </c>
      <c r="I187" s="37" t="inlineStr">
        <is>
          <t>declined-prior-offer</t>
        </is>
      </c>
      <c r="J187" s="37" t="inlineStr">
        <is>
          <t>Y</t>
        </is>
      </c>
      <c r="K187" s="43" t="n">
        <v>45268</v>
      </c>
      <c r="L187" s="37" t="inlineStr">
        <is>
          <t>SUSTAINED</t>
        </is>
      </c>
    </row>
    <row r="188">
      <c r="A188" s="37" t="inlineStr">
        <is>
          <t>SKP-2024-0187</t>
        </is>
      </c>
      <c r="B188" s="37" t="inlineStr">
        <is>
          <t>OFR-2024-0653</t>
        </is>
      </c>
      <c r="C188" s="43" t="n">
        <v>45305</v>
      </c>
      <c r="D188" s="37" t="inlineStr">
        <is>
          <t>WL-02759</t>
        </is>
      </c>
      <c r="E188" s="37" t="n">
        <v>1759</v>
      </c>
      <c r="F188" s="37" t="inlineStr">
        <is>
          <t>EW-0708</t>
        </is>
      </c>
      <c r="G188" s="37" t="inlineStr">
        <is>
          <t>Eastwey</t>
        </is>
      </c>
      <c r="H188" s="37" t="n">
        <v>50</v>
      </c>
      <c r="I188" s="37" t="inlineStr">
        <is>
          <t>vessel-fit</t>
        </is>
      </c>
      <c r="J188" s="37" t="inlineStr">
        <is>
          <t>Y</t>
        </is>
      </c>
      <c r="K188" s="43" t="n">
        <v>45310</v>
      </c>
      <c r="L188" s="37" t="inlineStr">
        <is>
          <t>SUSTAINED</t>
        </is>
      </c>
    </row>
    <row r="189">
      <c r="A189" s="37" t="inlineStr">
        <is>
          <t>SKP-2024-0188</t>
        </is>
      </c>
      <c r="B189" s="37" t="inlineStr">
        <is>
          <t>OFR-2024-0654</t>
        </is>
      </c>
      <c r="C189" s="43" t="n">
        <v>45295</v>
      </c>
      <c r="D189" s="37" t="inlineStr">
        <is>
          <t>WL-01632</t>
        </is>
      </c>
      <c r="E189" s="37" t="n">
        <v>632</v>
      </c>
      <c r="F189" s="37" t="inlineStr">
        <is>
          <t>SB-0306</t>
        </is>
      </c>
      <c r="G189" s="37" t="inlineStr">
        <is>
          <t>Salmonberry</t>
        </is>
      </c>
      <c r="H189" s="37" t="n">
        <v>70</v>
      </c>
      <c r="I189" s="37" t="inlineStr">
        <is>
          <t>preference-mismatch</t>
        </is>
      </c>
      <c r="J189" s="37" t="inlineStr">
        <is>
          <t>Y</t>
        </is>
      </c>
      <c r="K189" s="43" t="n">
        <v>45296</v>
      </c>
      <c r="L189" s="37" t="inlineStr">
        <is>
          <t>SUSTAINED</t>
        </is>
      </c>
    </row>
    <row r="190">
      <c r="A190" s="37" t="inlineStr">
        <is>
          <t>SKP-2024-0189</t>
        </is>
      </c>
      <c r="B190" s="37" t="inlineStr">
        <is>
          <t>OFR-2024-0661</t>
        </is>
      </c>
      <c r="C190" s="43" t="n">
        <v>45342</v>
      </c>
      <c r="D190" s="37" t="inlineStr">
        <is>
          <t>WL-03141</t>
        </is>
      </c>
      <c r="E190" s="37" t="n">
        <v>2141</v>
      </c>
      <c r="F190" s="37" t="inlineStr">
        <is>
          <t>LP-0203</t>
        </is>
      </c>
      <c r="G190" s="37" t="inlineStr">
        <is>
          <t>Ledgport</t>
        </is>
      </c>
      <c r="H190" s="37" t="n">
        <v>28</v>
      </c>
      <c r="I190" s="37" t="inlineStr">
        <is>
          <t>vessel-fit</t>
        </is>
      </c>
      <c r="J190" s="37" t="inlineStr">
        <is>
          <t>Y</t>
        </is>
      </c>
      <c r="K190" s="43" t="n">
        <v>45343</v>
      </c>
      <c r="L190" s="37" t="inlineStr">
        <is>
          <t>SUSTAINED</t>
        </is>
      </c>
    </row>
    <row r="191">
      <c r="A191" s="37" t="inlineStr">
        <is>
          <t>SKP-2024-0190</t>
        </is>
      </c>
      <c r="B191" s="37" t="inlineStr">
        <is>
          <t>OFR-2024-0663</t>
        </is>
      </c>
      <c r="C191" s="43" t="n">
        <v>45346</v>
      </c>
      <c r="D191" s="37" t="inlineStr">
        <is>
          <t>WL-02349</t>
        </is>
      </c>
      <c r="E191" s="37" t="n">
        <v>1349</v>
      </c>
      <c r="F191" s="37" t="inlineStr">
        <is>
          <t>SB-0403</t>
        </is>
      </c>
      <c r="G191" s="37" t="inlineStr">
        <is>
          <t>Salmonberry</t>
        </is>
      </c>
      <c r="H191" s="37" t="n">
        <v>24</v>
      </c>
      <c r="I191" s="37" t="inlineStr">
        <is>
          <t>preference-mismatch</t>
        </is>
      </c>
      <c r="J191" s="37" t="inlineStr">
        <is>
          <t>Y</t>
        </is>
      </c>
      <c r="K191" s="43" t="n">
        <v>45347</v>
      </c>
      <c r="L191" s="37" t="inlineStr">
        <is>
          <t>SUSTAINED</t>
        </is>
      </c>
    </row>
    <row r="192">
      <c r="A192" s="37" t="inlineStr">
        <is>
          <t>SKP-2024-0191</t>
        </is>
      </c>
      <c r="B192" s="37" t="inlineStr">
        <is>
          <t>OFR-2024-0666</t>
        </is>
      </c>
      <c r="C192" s="43" t="n">
        <v>45325</v>
      </c>
      <c r="D192" s="37" t="inlineStr">
        <is>
          <t>WL-01253</t>
        </is>
      </c>
      <c r="E192" s="37" t="n">
        <v>253</v>
      </c>
      <c r="F192" s="37" t="inlineStr">
        <is>
          <t>LP-0307</t>
        </is>
      </c>
      <c r="G192" s="37" t="inlineStr">
        <is>
          <t>Ledgport</t>
        </is>
      </c>
      <c r="H192" s="37" t="n">
        <v>36</v>
      </c>
      <c r="I192" s="37" t="inlineStr">
        <is>
          <t>declined-prior-offer</t>
        </is>
      </c>
      <c r="J192" s="37" t="inlineStr">
        <is>
          <t>Y</t>
        </is>
      </c>
      <c r="K192" s="43" t="n">
        <v>45327</v>
      </c>
      <c r="L192" s="37" t="inlineStr">
        <is>
          <t>SUSTAINED</t>
        </is>
      </c>
    </row>
    <row r="193">
      <c r="A193" s="37" t="inlineStr">
        <is>
          <t>SKP-2024-0192</t>
        </is>
      </c>
      <c r="B193" s="37" t="inlineStr">
        <is>
          <t>OFR-2024-0670</t>
        </is>
      </c>
      <c r="C193" s="43" t="n">
        <v>45337</v>
      </c>
      <c r="D193" s="37" t="inlineStr">
        <is>
          <t>WL-03127</t>
        </is>
      </c>
      <c r="E193" s="37" t="n">
        <v>2127</v>
      </c>
      <c r="F193" s="37" t="inlineStr">
        <is>
          <t>LP-0515</t>
        </is>
      </c>
      <c r="G193" s="37" t="inlineStr">
        <is>
          <t>Ledgport</t>
        </is>
      </c>
      <c r="H193" s="37" t="n">
        <v>40</v>
      </c>
      <c r="I193" s="37" t="inlineStr">
        <is>
          <t>preference-mismatch</t>
        </is>
      </c>
      <c r="J193" s="37" t="inlineStr">
        <is>
          <t>Y</t>
        </is>
      </c>
      <c r="K193" s="43" t="n">
        <v>45340</v>
      </c>
      <c r="L193" s="37" t="inlineStr">
        <is>
          <t>SUSTAINED</t>
        </is>
      </c>
    </row>
    <row r="194">
      <c r="A194" s="37" t="inlineStr">
        <is>
          <t>SKP-2024-0193</t>
        </is>
      </c>
      <c r="B194" s="37" t="inlineStr">
        <is>
          <t>OFR-2024-0671</t>
        </is>
      </c>
      <c r="C194" s="43" t="n">
        <v>45330</v>
      </c>
      <c r="D194" s="37" t="inlineStr">
        <is>
          <t>WL-02653</t>
        </is>
      </c>
      <c r="E194" s="37" t="n">
        <v>1653</v>
      </c>
      <c r="F194" s="37" t="inlineStr">
        <is>
          <t>SB-0616</t>
        </is>
      </c>
      <c r="G194" s="37" t="inlineStr">
        <is>
          <t>Salmonberry</t>
        </is>
      </c>
      <c r="H194" s="37" t="n">
        <v>24</v>
      </c>
      <c r="I194" s="37" t="inlineStr">
        <is>
          <t>vessel-fit</t>
        </is>
      </c>
      <c r="J194" s="37" t="inlineStr">
        <is>
          <t>Y</t>
        </is>
      </c>
      <c r="K194" s="43" t="n">
        <v>45331</v>
      </c>
      <c r="L194" s="37" t="inlineStr">
        <is>
          <t>SUSTAINED</t>
        </is>
      </c>
    </row>
    <row r="195">
      <c r="A195" s="37" t="inlineStr">
        <is>
          <t>SKP-2024-0194</t>
        </is>
      </c>
      <c r="B195" s="37" t="inlineStr">
        <is>
          <t>OFR-2024-0672</t>
        </is>
      </c>
      <c r="C195" s="43" t="n">
        <v>45329</v>
      </c>
      <c r="D195" s="37" t="inlineStr">
        <is>
          <t>WL-01347</t>
        </is>
      </c>
      <c r="E195" s="37" t="n">
        <v>347</v>
      </c>
      <c r="F195" s="37" t="inlineStr">
        <is>
          <t>EW-0624</t>
        </is>
      </c>
      <c r="G195" s="37" t="inlineStr">
        <is>
          <t>Eastwey</t>
        </is>
      </c>
      <c r="H195" s="37" t="n">
        <v>60</v>
      </c>
      <c r="I195" s="37" t="inlineStr">
        <is>
          <t>preference-mismatch</t>
        </is>
      </c>
      <c r="J195" s="37" t="inlineStr">
        <is>
          <t>Y</t>
        </is>
      </c>
      <c r="K195" s="43" t="n">
        <v>45332</v>
      </c>
      <c r="L195" s="37" t="inlineStr">
        <is>
          <t>SUSTAINED</t>
        </is>
      </c>
    </row>
    <row r="196">
      <c r="A196" s="37" t="inlineStr">
        <is>
          <t>SKP-2024-0195</t>
        </is>
      </c>
      <c r="B196" s="37" t="inlineStr">
        <is>
          <t>OFR-2024-0673</t>
        </is>
      </c>
      <c r="C196" s="43" t="n">
        <v>45331</v>
      </c>
      <c r="D196" s="37" t="inlineStr">
        <is>
          <t>WL-01562</t>
        </is>
      </c>
      <c r="E196" s="37" t="n">
        <v>562</v>
      </c>
      <c r="F196" s="37" t="inlineStr">
        <is>
          <t>GW-0219</t>
        </is>
      </c>
      <c r="G196" s="37" t="inlineStr">
        <is>
          <t>Gullwing</t>
        </is>
      </c>
      <c r="H196" s="37" t="n">
        <v>80</v>
      </c>
      <c r="I196" s="37" t="inlineStr">
        <is>
          <t>preference-mismatch</t>
        </is>
      </c>
      <c r="J196" s="37" t="inlineStr">
        <is>
          <t>Y</t>
        </is>
      </c>
      <c r="K196" s="43" t="n">
        <v>45334</v>
      </c>
      <c r="L196" s="37" t="inlineStr">
        <is>
          <t>SUSTAINED</t>
        </is>
      </c>
    </row>
    <row r="197">
      <c r="A197" s="37" t="inlineStr">
        <is>
          <t>SKP-2024-0196</t>
        </is>
      </c>
      <c r="B197" s="37" t="inlineStr">
        <is>
          <t>OFR-2024-0676</t>
        </is>
      </c>
      <c r="C197" s="43" t="n">
        <v>45374</v>
      </c>
      <c r="D197" s="37" t="inlineStr">
        <is>
          <t>WL-02629</t>
        </is>
      </c>
      <c r="E197" s="37" t="n">
        <v>1629</v>
      </c>
      <c r="F197" s="37" t="inlineStr">
        <is>
          <t>VB-1021</t>
        </is>
      </c>
      <c r="G197" s="37" t="inlineStr">
        <is>
          <t>Vessbank</t>
        </is>
      </c>
      <c r="H197" s="37" t="n">
        <v>40</v>
      </c>
      <c r="I197" s="37" t="inlineStr">
        <is>
          <t>vessel-fit</t>
        </is>
      </c>
      <c r="J197" s="37" t="inlineStr">
        <is>
          <t>Y</t>
        </is>
      </c>
      <c r="K197" s="43" t="n">
        <v>45377</v>
      </c>
      <c r="L197" s="37" t="inlineStr">
        <is>
          <t>SUSTAINED</t>
        </is>
      </c>
    </row>
    <row r="198">
      <c r="A198" s="37" t="inlineStr">
        <is>
          <t>SKP-2024-0197</t>
        </is>
      </c>
      <c r="B198" s="37" t="inlineStr">
        <is>
          <t>OFR-2024-0679</t>
        </is>
      </c>
      <c r="C198" s="43" t="n">
        <v>45379</v>
      </c>
      <c r="D198" s="37" t="inlineStr">
        <is>
          <t>WL-03621</t>
        </is>
      </c>
      <c r="E198" s="37" t="n">
        <v>2621</v>
      </c>
      <c r="F198" s="37" t="inlineStr">
        <is>
          <t>SB-0601</t>
        </is>
      </c>
      <c r="G198" s="37" t="inlineStr">
        <is>
          <t>Salmonberry</t>
        </is>
      </c>
      <c r="H198" s="37" t="n">
        <v>24</v>
      </c>
      <c r="I198" s="37" t="inlineStr">
        <is>
          <t>declined-prior-offer</t>
        </is>
      </c>
      <c r="J198" s="37" t="inlineStr">
        <is>
          <t>Y</t>
        </is>
      </c>
      <c r="K198" s="43" t="n">
        <v>45381</v>
      </c>
      <c r="L198" s="37" t="inlineStr">
        <is>
          <t>SUSTAINED</t>
        </is>
      </c>
    </row>
    <row r="199">
      <c r="A199" s="37" t="inlineStr">
        <is>
          <t>SKP-2024-0198</t>
        </is>
      </c>
      <c r="B199" s="37" t="inlineStr">
        <is>
          <t>OFR-2024-0683</t>
        </is>
      </c>
      <c r="C199" s="43" t="n">
        <v>45373</v>
      </c>
      <c r="D199" s="37" t="inlineStr">
        <is>
          <t>WL-02027</t>
        </is>
      </c>
      <c r="E199" s="37" t="n">
        <v>1027</v>
      </c>
      <c r="F199" s="37" t="inlineStr">
        <is>
          <t>GW-0801</t>
        </is>
      </c>
      <c r="G199" s="37" t="inlineStr">
        <is>
          <t>Gullwing</t>
        </is>
      </c>
      <c r="H199" s="37" t="n">
        <v>80</v>
      </c>
      <c r="I199" s="37" t="inlineStr">
        <is>
          <t>not-current</t>
        </is>
      </c>
      <c r="J199" s="37" t="inlineStr">
        <is>
          <t>Y</t>
        </is>
      </c>
      <c r="K199" s="43" t="n">
        <v>45374</v>
      </c>
      <c r="L199" s="37" t="inlineStr">
        <is>
          <t>SUSTAINED</t>
        </is>
      </c>
    </row>
    <row r="200">
      <c r="A200" s="37" t="inlineStr">
        <is>
          <t>SKP-2024-0199</t>
        </is>
      </c>
      <c r="B200" s="37" t="inlineStr">
        <is>
          <t>OFR-2024-0690</t>
        </is>
      </c>
      <c r="C200" s="43" t="n">
        <v>45378</v>
      </c>
      <c r="D200" s="37" t="inlineStr">
        <is>
          <t>WL-03185</t>
        </is>
      </c>
      <c r="E200" s="37" t="n">
        <v>2185</v>
      </c>
      <c r="F200" s="37" t="inlineStr">
        <is>
          <t>SB-0824</t>
        </is>
      </c>
      <c r="G200" s="37" t="inlineStr">
        <is>
          <t>Salmonberry</t>
        </is>
      </c>
      <c r="H200" s="37" t="n">
        <v>24</v>
      </c>
      <c r="I200" s="37" t="inlineStr">
        <is>
          <t>vessel-fit</t>
        </is>
      </c>
      <c r="J200" s="37" t="inlineStr">
        <is>
          <t>Y</t>
        </is>
      </c>
      <c r="K200" s="43" t="n">
        <v>45378</v>
      </c>
      <c r="L200" s="37" t="inlineStr">
        <is>
          <t>SUSTAINED</t>
        </is>
      </c>
    </row>
    <row r="201">
      <c r="A201" s="37" t="inlineStr">
        <is>
          <t>SKP-2024-0200</t>
        </is>
      </c>
      <c r="B201" s="37" t="inlineStr">
        <is>
          <t>OFR-2024-0693</t>
        </is>
      </c>
      <c r="C201" s="43" t="n">
        <v>45353</v>
      </c>
      <c r="D201" s="37" t="inlineStr">
        <is>
          <t>WL-02893</t>
        </is>
      </c>
      <c r="E201" s="37" t="n">
        <v>1893</v>
      </c>
      <c r="F201" s="37" t="inlineStr">
        <is>
          <t>EW-1021</t>
        </is>
      </c>
      <c r="G201" s="37" t="inlineStr">
        <is>
          <t>Eastwey</t>
        </is>
      </c>
      <c r="H201" s="37" t="n">
        <v>70</v>
      </c>
      <c r="I201" s="37" t="inlineStr">
        <is>
          <t>declined-prior-offer</t>
        </is>
      </c>
      <c r="J201" s="37" t="inlineStr">
        <is>
          <t>Y</t>
        </is>
      </c>
      <c r="K201" s="43" t="n">
        <v>45357</v>
      </c>
      <c r="L201" s="37" t="inlineStr">
        <is>
          <t>SUSTAINED</t>
        </is>
      </c>
    </row>
    <row r="202">
      <c r="A202" s="37" t="inlineStr">
        <is>
          <t>SKP-2024-0201</t>
        </is>
      </c>
      <c r="B202" s="37" t="inlineStr">
        <is>
          <t>OFR-2024-0698</t>
        </is>
      </c>
      <c r="C202" s="43" t="n">
        <v>45376</v>
      </c>
      <c r="D202" s="37" t="inlineStr">
        <is>
          <t>WL-02274</t>
        </is>
      </c>
      <c r="E202" s="37" t="n">
        <v>1274</v>
      </c>
      <c r="F202" s="37" t="inlineStr">
        <is>
          <t>VB-0721</t>
        </is>
      </c>
      <c r="G202" s="37" t="inlineStr">
        <is>
          <t>Vessbank</t>
        </is>
      </c>
      <c r="H202" s="37" t="n">
        <v>28</v>
      </c>
      <c r="I202" s="37" t="inlineStr">
        <is>
          <t>vessel-fit</t>
        </is>
      </c>
      <c r="J202" s="37" t="inlineStr">
        <is>
          <t>Y</t>
        </is>
      </c>
      <c r="K202" s="43" t="n">
        <v>45377</v>
      </c>
      <c r="L202" s="37" t="inlineStr">
        <is>
          <t>SUSTAINED</t>
        </is>
      </c>
    </row>
    <row r="203">
      <c r="A203" s="37" t="inlineStr">
        <is>
          <t>SKP-2024-0202</t>
        </is>
      </c>
      <c r="B203" s="37" t="inlineStr">
        <is>
          <t>OFR-2024-0700</t>
        </is>
      </c>
      <c r="C203" s="43" t="n">
        <v>45371</v>
      </c>
      <c r="D203" s="37" t="inlineStr">
        <is>
          <t>WL-03661</t>
        </is>
      </c>
      <c r="E203" s="37" t="n">
        <v>2661</v>
      </c>
      <c r="F203" s="37" t="inlineStr">
        <is>
          <t>EW-0709</t>
        </is>
      </c>
      <c r="G203" s="37" t="inlineStr">
        <is>
          <t>Eastwey</t>
        </is>
      </c>
      <c r="H203" s="37" t="n">
        <v>28</v>
      </c>
      <c r="I203" s="37" t="inlineStr">
        <is>
          <t>vessel-fit</t>
        </is>
      </c>
      <c r="J203" s="37" t="inlineStr">
        <is>
          <t>Y</t>
        </is>
      </c>
      <c r="K203" s="43" t="n">
        <v>45375</v>
      </c>
      <c r="L203" s="37" t="inlineStr">
        <is>
          <t>SUSTAINED</t>
        </is>
      </c>
    </row>
    <row r="204">
      <c r="A204" s="37" t="inlineStr">
        <is>
          <t>SKP-2024-0203</t>
        </is>
      </c>
      <c r="B204" s="37" t="inlineStr">
        <is>
          <t>OFR-2024-0701</t>
        </is>
      </c>
      <c r="C204" s="43" t="n">
        <v>45353</v>
      </c>
      <c r="D204" s="37" t="inlineStr">
        <is>
          <t>WL-02769</t>
        </is>
      </c>
      <c r="E204" s="37" t="n">
        <v>1769</v>
      </c>
      <c r="F204" s="37" t="inlineStr">
        <is>
          <t>EW-0902</t>
        </is>
      </c>
      <c r="G204" s="37" t="inlineStr">
        <is>
          <t>Eastwey</t>
        </is>
      </c>
      <c r="H204" s="37" t="n">
        <v>80</v>
      </c>
      <c r="I204" s="37" t="inlineStr">
        <is>
          <t>declined-prior-offer</t>
        </is>
      </c>
      <c r="J204" s="37" t="inlineStr">
        <is>
          <t>Y</t>
        </is>
      </c>
      <c r="K204" s="43" t="n">
        <v>45354</v>
      </c>
      <c r="L204" s="37" t="inlineStr">
        <is>
          <t>SUSTAINED</t>
        </is>
      </c>
    </row>
    <row r="205">
      <c r="A205" s="37" t="inlineStr">
        <is>
          <t>SKP-2024-0204</t>
        </is>
      </c>
      <c r="B205" s="37" t="inlineStr">
        <is>
          <t>OFR-2024-0704</t>
        </is>
      </c>
      <c r="C205" s="43" t="n">
        <v>45384</v>
      </c>
      <c r="D205" s="37" t="inlineStr">
        <is>
          <t>WL-01950</t>
        </is>
      </c>
      <c r="E205" s="37" t="n">
        <v>950</v>
      </c>
      <c r="F205" s="37" t="inlineStr">
        <is>
          <t>EW-0608</t>
        </is>
      </c>
      <c r="G205" s="37" t="inlineStr">
        <is>
          <t>Eastwey</t>
        </is>
      </c>
      <c r="H205" s="37" t="n">
        <v>28</v>
      </c>
      <c r="I205" s="37" t="inlineStr">
        <is>
          <t>vessel-fit</t>
        </is>
      </c>
      <c r="J205" s="37" t="inlineStr">
        <is>
          <t>N</t>
        </is>
      </c>
      <c r="K205" s="43" t="n">
        <v>45384</v>
      </c>
      <c r="L205" s="37" t="inlineStr">
        <is>
          <t>SUSTAINED</t>
        </is>
      </c>
    </row>
    <row r="206">
      <c r="A206" s="37" t="inlineStr">
        <is>
          <t>SKP-2024-0205</t>
        </is>
      </c>
      <c r="B206" s="37" t="inlineStr">
        <is>
          <t>OFR-2024-0707</t>
        </is>
      </c>
      <c r="C206" s="43" t="n">
        <v>45407</v>
      </c>
      <c r="D206" s="37" t="inlineStr">
        <is>
          <t>WL-02895</t>
        </is>
      </c>
      <c r="E206" s="37" t="n">
        <v>1895</v>
      </c>
      <c r="F206" s="37" t="inlineStr">
        <is>
          <t>EW-0306</t>
        </is>
      </c>
      <c r="G206" s="37" t="inlineStr">
        <is>
          <t>Eastwey</t>
        </is>
      </c>
      <c r="H206" s="37" t="n">
        <v>50</v>
      </c>
      <c r="I206" s="37" t="inlineStr">
        <is>
          <t>vessel-fit</t>
        </is>
      </c>
      <c r="J206" s="37" t="inlineStr">
        <is>
          <t>Y</t>
        </is>
      </c>
      <c r="K206" s="43" t="n">
        <v>45411</v>
      </c>
      <c r="L206" s="37" t="inlineStr">
        <is>
          <t>SUSTAINED</t>
        </is>
      </c>
    </row>
    <row r="207">
      <c r="A207" s="37" t="inlineStr">
        <is>
          <t>SKP-2024-0206</t>
        </is>
      </c>
      <c r="B207" s="37" t="inlineStr">
        <is>
          <t>OFR-2024-0724</t>
        </is>
      </c>
      <c r="C207" s="43" t="n">
        <v>45390</v>
      </c>
      <c r="D207" s="37" t="inlineStr">
        <is>
          <t>WL-03018</t>
        </is>
      </c>
      <c r="E207" s="37" t="n">
        <v>2018</v>
      </c>
      <c r="F207" s="37" t="inlineStr">
        <is>
          <t>VB-0617</t>
        </is>
      </c>
      <c r="G207" s="37" t="inlineStr">
        <is>
          <t>Vessbank</t>
        </is>
      </c>
      <c r="H207" s="37" t="n">
        <v>40</v>
      </c>
      <c r="I207" s="37" t="inlineStr">
        <is>
          <t>vessel-fit</t>
        </is>
      </c>
      <c r="J207" s="37" t="inlineStr">
        <is>
          <t>Y</t>
        </is>
      </c>
      <c r="K207" s="43" t="n">
        <v>45391</v>
      </c>
      <c r="L207" s="37" t="inlineStr">
        <is>
          <t>SUSTAINED</t>
        </is>
      </c>
    </row>
    <row r="208">
      <c r="A208" s="37" t="inlineStr">
        <is>
          <t>SKP-2024-0207</t>
        </is>
      </c>
      <c r="B208" s="37" t="inlineStr">
        <is>
          <t>OFR-2024-0729</t>
        </is>
      </c>
      <c r="C208" s="43" t="n">
        <v>45403</v>
      </c>
      <c r="D208" s="37" t="inlineStr">
        <is>
          <t>WL-02948</t>
        </is>
      </c>
      <c r="E208" s="37" t="n">
        <v>1948</v>
      </c>
      <c r="F208" s="37" t="inlineStr">
        <is>
          <t>GW-1013</t>
        </is>
      </c>
      <c r="G208" s="37" t="inlineStr">
        <is>
          <t>Gullwing</t>
        </is>
      </c>
      <c r="H208" s="37" t="n">
        <v>60</v>
      </c>
      <c r="I208" s="37" t="inlineStr">
        <is>
          <t>vessel-fit</t>
        </is>
      </c>
      <c r="J208" s="37" t="inlineStr">
        <is>
          <t>N</t>
        </is>
      </c>
      <c r="K208" s="43" t="n">
        <v>45406</v>
      </c>
      <c r="L208" s="37" t="inlineStr">
        <is>
          <t>SUSTAINED</t>
        </is>
      </c>
    </row>
    <row r="209">
      <c r="A209" s="37" t="inlineStr">
        <is>
          <t>SKP-2024-0208</t>
        </is>
      </c>
      <c r="B209" s="37" t="inlineStr">
        <is>
          <t>OFR-2024-0737</t>
        </is>
      </c>
      <c r="C209" s="43" t="n">
        <v>45420</v>
      </c>
      <c r="D209" s="37" t="inlineStr">
        <is>
          <t>WL-02305</t>
        </is>
      </c>
      <c r="E209" s="37" t="n">
        <v>1305</v>
      </c>
      <c r="F209" s="37" t="inlineStr">
        <is>
          <t>GW-0823</t>
        </is>
      </c>
      <c r="G209" s="37" t="inlineStr">
        <is>
          <t>Gullwing</t>
        </is>
      </c>
      <c r="H209" s="37" t="n">
        <v>60</v>
      </c>
      <c r="I209" s="37" t="inlineStr">
        <is>
          <t>declined-prior-offer</t>
        </is>
      </c>
      <c r="J209" s="37" t="inlineStr">
        <is>
          <t>Y</t>
        </is>
      </c>
      <c r="K209" s="43" t="n">
        <v>45420</v>
      </c>
      <c r="L209" s="37" t="inlineStr">
        <is>
          <t>SUSTAINED</t>
        </is>
      </c>
    </row>
    <row r="210">
      <c r="A210" s="37" t="inlineStr">
        <is>
          <t>SKP-2024-0209</t>
        </is>
      </c>
      <c r="B210" s="37" t="inlineStr">
        <is>
          <t>OFR-2024-0746</t>
        </is>
      </c>
      <c r="C210" s="43" t="n">
        <v>45425</v>
      </c>
      <c r="D210" s="37" t="inlineStr">
        <is>
          <t>WL-01675</t>
        </is>
      </c>
      <c r="E210" s="37" t="n">
        <v>675</v>
      </c>
      <c r="F210" s="37" t="inlineStr">
        <is>
          <t>VB-0808</t>
        </is>
      </c>
      <c r="G210" s="37" t="inlineStr">
        <is>
          <t>Vessbank</t>
        </is>
      </c>
      <c r="H210" s="37" t="n">
        <v>24</v>
      </c>
      <c r="I210" s="37" t="inlineStr">
        <is>
          <t>preference-mismatch</t>
        </is>
      </c>
      <c r="J210" s="37" t="inlineStr">
        <is>
          <t>Y</t>
        </is>
      </c>
      <c r="K210" s="43" t="n">
        <v>45427</v>
      </c>
      <c r="L210" s="37" t="inlineStr">
        <is>
          <t>SUSTAINED</t>
        </is>
      </c>
    </row>
    <row r="211">
      <c r="A211" s="37" t="inlineStr">
        <is>
          <t>SKP-2024-0210</t>
        </is>
      </c>
      <c r="B211" s="37" t="inlineStr">
        <is>
          <t>OFR-2024-0747</t>
        </is>
      </c>
      <c r="C211" s="43" t="n">
        <v>45435</v>
      </c>
      <c r="D211" s="37" t="inlineStr">
        <is>
          <t>WL-01242</t>
        </is>
      </c>
      <c r="E211" s="37" t="n">
        <v>242</v>
      </c>
      <c r="F211" s="37" t="inlineStr">
        <is>
          <t>GW-0905</t>
        </is>
      </c>
      <c r="G211" s="37" t="inlineStr">
        <is>
          <t>Gullwing</t>
        </is>
      </c>
      <c r="H211" s="37" t="n">
        <v>50</v>
      </c>
      <c r="I211" s="37" t="inlineStr">
        <is>
          <t>declined-prior-offer</t>
        </is>
      </c>
      <c r="J211" s="37" t="inlineStr">
        <is>
          <t>Y</t>
        </is>
      </c>
      <c r="K211" s="43" t="n">
        <v>45436</v>
      </c>
      <c r="L211" s="37" t="inlineStr">
        <is>
          <t>SUSTAINED</t>
        </is>
      </c>
    </row>
    <row r="212">
      <c r="A212" s="37" t="inlineStr">
        <is>
          <t>SKP-2024-0211</t>
        </is>
      </c>
      <c r="B212" s="37" t="inlineStr">
        <is>
          <t>OFR-2024-0752</t>
        </is>
      </c>
      <c r="C212" s="43" t="n">
        <v>45431</v>
      </c>
      <c r="D212" s="37" t="inlineStr">
        <is>
          <t>WL-01536</t>
        </is>
      </c>
      <c r="E212" s="37" t="n">
        <v>536</v>
      </c>
      <c r="F212" s="37" t="inlineStr">
        <is>
          <t>GW-0522</t>
        </is>
      </c>
      <c r="G212" s="37" t="inlineStr">
        <is>
          <t>Gullwing</t>
        </is>
      </c>
      <c r="H212" s="37" t="n">
        <v>28</v>
      </c>
      <c r="I212" s="37" t="inlineStr">
        <is>
          <t>not-current</t>
        </is>
      </c>
      <c r="J212" s="37" t="inlineStr">
        <is>
          <t>Y</t>
        </is>
      </c>
      <c r="K212" s="43" t="n">
        <v>45432</v>
      </c>
      <c r="L212" s="37" t="inlineStr">
        <is>
          <t>SUSTAINED</t>
        </is>
      </c>
    </row>
    <row r="213">
      <c r="A213" s="37" t="inlineStr">
        <is>
          <t>SKP-2024-0212</t>
        </is>
      </c>
      <c r="B213" s="37" t="inlineStr">
        <is>
          <t>OFR-2024-0755</t>
        </is>
      </c>
      <c r="C213" s="43" t="n">
        <v>45434</v>
      </c>
      <c r="D213" s="37" t="inlineStr">
        <is>
          <t>WL-02013</t>
        </is>
      </c>
      <c r="E213" s="37" t="n">
        <v>1013</v>
      </c>
      <c r="F213" s="37" t="inlineStr">
        <is>
          <t>VB-0602</t>
        </is>
      </c>
      <c r="G213" s="37" t="inlineStr">
        <is>
          <t>Vessbank</t>
        </is>
      </c>
      <c r="H213" s="37" t="n">
        <v>24</v>
      </c>
      <c r="I213" s="37" t="inlineStr">
        <is>
          <t>not-current</t>
        </is>
      </c>
      <c r="J213" s="37" t="inlineStr">
        <is>
          <t>Y</t>
        </is>
      </c>
      <c r="K213" s="43" t="n">
        <v>45435</v>
      </c>
      <c r="L213" s="37" t="inlineStr">
        <is>
          <t>SUSTAINED</t>
        </is>
      </c>
    </row>
    <row r="214">
      <c r="A214" s="37" t="inlineStr">
        <is>
          <t>SKP-2024-0213</t>
        </is>
      </c>
      <c r="B214" s="37" t="inlineStr">
        <is>
          <t>OFR-2024-0759</t>
        </is>
      </c>
      <c r="C214" s="43" t="n">
        <v>45427</v>
      </c>
      <c r="D214" s="37" t="inlineStr">
        <is>
          <t>WL-01753</t>
        </is>
      </c>
      <c r="E214" s="37" t="n">
        <v>753</v>
      </c>
      <c r="F214" s="37" t="inlineStr">
        <is>
          <t>LP-0722</t>
        </is>
      </c>
      <c r="G214" s="37" t="inlineStr">
        <is>
          <t>Ledgport</t>
        </is>
      </c>
      <c r="H214" s="37" t="n">
        <v>24</v>
      </c>
      <c r="I214" s="37" t="inlineStr">
        <is>
          <t>declined-prior-offer</t>
        </is>
      </c>
      <c r="J214" s="37" t="inlineStr">
        <is>
          <t>Y</t>
        </is>
      </c>
      <c r="K214" s="43" t="n">
        <v>45431</v>
      </c>
      <c r="L214" s="37" t="inlineStr">
        <is>
          <t>SUSTAINED</t>
        </is>
      </c>
    </row>
    <row r="215">
      <c r="A215" s="37" t="inlineStr">
        <is>
          <t>SKP-2024-0214</t>
        </is>
      </c>
      <c r="B215" s="37" t="inlineStr">
        <is>
          <t>OFR-2024-0762</t>
        </is>
      </c>
      <c r="C215" s="43" t="n">
        <v>45413</v>
      </c>
      <c r="D215" s="37" t="inlineStr">
        <is>
          <t>WL-01318</t>
        </is>
      </c>
      <c r="E215" s="37" t="n">
        <v>318</v>
      </c>
      <c r="F215" s="37" t="inlineStr">
        <is>
          <t>SB-0405</t>
        </is>
      </c>
      <c r="G215" s="37" t="inlineStr">
        <is>
          <t>Salmonberry</t>
        </is>
      </c>
      <c r="H215" s="37" t="n">
        <v>45</v>
      </c>
      <c r="I215" s="37" t="inlineStr">
        <is>
          <t>preference-mismatch</t>
        </is>
      </c>
      <c r="J215" s="37" t="inlineStr">
        <is>
          <t>Y</t>
        </is>
      </c>
      <c r="K215" s="43" t="n">
        <v>45416</v>
      </c>
      <c r="L215" s="37" t="inlineStr">
        <is>
          <t>SUSTAINED</t>
        </is>
      </c>
    </row>
    <row r="216">
      <c r="A216" s="37" t="inlineStr">
        <is>
          <t>SKP-2024-0215</t>
        </is>
      </c>
      <c r="B216" s="37" t="inlineStr">
        <is>
          <t>OFR-2024-0766</t>
        </is>
      </c>
      <c r="C216" s="43" t="n">
        <v>45433</v>
      </c>
      <c r="D216" s="37" t="inlineStr">
        <is>
          <t>WL-03891</t>
        </is>
      </c>
      <c r="E216" s="37" t="n">
        <v>2891</v>
      </c>
      <c r="F216" s="37" t="inlineStr">
        <is>
          <t>EW-0607</t>
        </is>
      </c>
      <c r="G216" s="37" t="inlineStr">
        <is>
          <t>Eastwey</t>
        </is>
      </c>
      <c r="H216" s="37" t="n">
        <v>24</v>
      </c>
      <c r="I216" s="37" t="inlineStr">
        <is>
          <t>vessel-fit</t>
        </is>
      </c>
      <c r="J216" s="37" t="inlineStr">
        <is>
          <t>Y</t>
        </is>
      </c>
      <c r="K216" s="43" t="n">
        <v>45433</v>
      </c>
      <c r="L216" s="37" t="inlineStr">
        <is>
          <t>SUSTAINED</t>
        </is>
      </c>
    </row>
    <row r="217">
      <c r="A217" s="37" t="inlineStr">
        <is>
          <t>SKP-2024-0216</t>
        </is>
      </c>
      <c r="B217" s="37" t="inlineStr">
        <is>
          <t>OFR-2024-0772</t>
        </is>
      </c>
      <c r="C217" s="43" t="n">
        <v>45455</v>
      </c>
      <c r="D217" s="37" t="inlineStr">
        <is>
          <t>WL-03026</t>
        </is>
      </c>
      <c r="E217" s="37" t="n">
        <v>2026</v>
      </c>
      <c r="F217" s="37" t="inlineStr">
        <is>
          <t>LP-0324</t>
        </is>
      </c>
      <c r="G217" s="37" t="inlineStr">
        <is>
          <t>Ledgport</t>
        </is>
      </c>
      <c r="H217" s="37" t="n">
        <v>32</v>
      </c>
      <c r="I217" s="37" t="inlineStr">
        <is>
          <t>not-current</t>
        </is>
      </c>
      <c r="J217" s="37" t="inlineStr">
        <is>
          <t>Y</t>
        </is>
      </c>
      <c r="K217" s="43" t="n">
        <v>45456</v>
      </c>
      <c r="L217" s="37" t="inlineStr">
        <is>
          <t>SUSTAINED</t>
        </is>
      </c>
    </row>
    <row r="218">
      <c r="A218" s="37" t="inlineStr">
        <is>
          <t>SKP-2024-0217</t>
        </is>
      </c>
      <c r="B218" s="37" t="inlineStr">
        <is>
          <t>OFR-2024-0774</t>
        </is>
      </c>
      <c r="C218" s="43" t="n">
        <v>45458</v>
      </c>
      <c r="D218" s="37" t="inlineStr">
        <is>
          <t>WL-03245</t>
        </is>
      </c>
      <c r="E218" s="37" t="n">
        <v>2245</v>
      </c>
      <c r="F218" s="37" t="inlineStr">
        <is>
          <t>LP-1001</t>
        </is>
      </c>
      <c r="G218" s="37" t="inlineStr">
        <is>
          <t>Ledgport</t>
        </is>
      </c>
      <c r="H218" s="37" t="n">
        <v>40</v>
      </c>
      <c r="I218" s="37" t="inlineStr">
        <is>
          <t>vessel-fit</t>
        </is>
      </c>
      <c r="J218" s="37" t="inlineStr">
        <is>
          <t>Y</t>
        </is>
      </c>
      <c r="K218" s="43" t="n">
        <v>45463</v>
      </c>
      <c r="L218" s="37" t="inlineStr">
        <is>
          <t>SUSTAINED</t>
        </is>
      </c>
    </row>
    <row r="219">
      <c r="A219" s="37" t="inlineStr">
        <is>
          <t>SKP-2024-0218</t>
        </is>
      </c>
      <c r="B219" s="37" t="inlineStr">
        <is>
          <t>OFR-2024-0784</t>
        </is>
      </c>
      <c r="C219" s="43" t="n">
        <v>45457</v>
      </c>
      <c r="D219" s="37" t="inlineStr">
        <is>
          <t>WL-03527</t>
        </is>
      </c>
      <c r="E219" s="37" t="n">
        <v>2527</v>
      </c>
      <c r="F219" s="37" t="inlineStr">
        <is>
          <t>EW-0523</t>
        </is>
      </c>
      <c r="G219" s="37" t="inlineStr">
        <is>
          <t>Eastwey</t>
        </is>
      </c>
      <c r="H219" s="37" t="n">
        <v>24</v>
      </c>
      <c r="I219" s="37" t="inlineStr">
        <is>
          <t>not-current</t>
        </is>
      </c>
      <c r="J219" s="37" t="inlineStr">
        <is>
          <t>Y</t>
        </is>
      </c>
      <c r="K219" s="43" t="n">
        <v>45462</v>
      </c>
      <c r="L219" s="37" t="inlineStr">
        <is>
          <t>SUSTAINED</t>
        </is>
      </c>
    </row>
    <row r="220">
      <c r="A220" s="37" t="inlineStr">
        <is>
          <t>SKP-2024-0219</t>
        </is>
      </c>
      <c r="B220" s="37" t="inlineStr">
        <is>
          <t>OFR-2024-0789</t>
        </is>
      </c>
      <c r="C220" s="43" t="n">
        <v>45448</v>
      </c>
      <c r="D220" s="37" t="inlineStr">
        <is>
          <t>WL-01144</t>
        </is>
      </c>
      <c r="E220" s="37" t="n">
        <v>144</v>
      </c>
      <c r="F220" s="37" t="inlineStr">
        <is>
          <t>LP-0216</t>
        </is>
      </c>
      <c r="G220" s="37" t="inlineStr">
        <is>
          <t>Ledgport</t>
        </is>
      </c>
      <c r="H220" s="37" t="n">
        <v>32</v>
      </c>
      <c r="I220" s="37" t="inlineStr">
        <is>
          <t>vessel-fit</t>
        </is>
      </c>
      <c r="J220" s="37" t="inlineStr">
        <is>
          <t>N</t>
        </is>
      </c>
      <c r="K220" s="43" t="n">
        <v>45451</v>
      </c>
      <c r="L220" s="37" t="inlineStr">
        <is>
          <t>SUSTAINED</t>
        </is>
      </c>
    </row>
    <row r="221">
      <c r="A221" s="37" t="inlineStr">
        <is>
          <t>SKP-2024-0220</t>
        </is>
      </c>
      <c r="B221" s="37" t="inlineStr">
        <is>
          <t>OFR-2024-0791</t>
        </is>
      </c>
      <c r="C221" s="43" t="n">
        <v>45451</v>
      </c>
      <c r="D221" s="37" t="inlineStr">
        <is>
          <t>WL-03390</t>
        </is>
      </c>
      <c r="E221" s="37" t="n">
        <v>2390</v>
      </c>
      <c r="F221" s="37" t="inlineStr">
        <is>
          <t>SB-0302</t>
        </is>
      </c>
      <c r="G221" s="37" t="inlineStr">
        <is>
          <t>Salmonberry</t>
        </is>
      </c>
      <c r="H221" s="37" t="n">
        <v>28</v>
      </c>
      <c r="I221" s="37" t="inlineStr">
        <is>
          <t>declined-prior-offer</t>
        </is>
      </c>
      <c r="J221" s="37" t="inlineStr">
        <is>
          <t>Y</t>
        </is>
      </c>
      <c r="K221" s="43" t="n">
        <v>45452</v>
      </c>
      <c r="L221" s="37" t="inlineStr">
        <is>
          <t>SUSTAINED</t>
        </is>
      </c>
    </row>
    <row r="222">
      <c r="A222" s="37" t="inlineStr">
        <is>
          <t>SKP-2024-0221</t>
        </is>
      </c>
      <c r="B222" s="37" t="inlineStr">
        <is>
          <t>OFR-2024-0792</t>
        </is>
      </c>
      <c r="C222" s="43" t="n">
        <v>45452</v>
      </c>
      <c r="D222" s="37" t="inlineStr">
        <is>
          <t>WL-01368</t>
        </is>
      </c>
      <c r="E222" s="37" t="n">
        <v>368</v>
      </c>
      <c r="F222" s="37" t="inlineStr">
        <is>
          <t>VB-0924</t>
        </is>
      </c>
      <c r="G222" s="37" t="inlineStr">
        <is>
          <t>Vessbank</t>
        </is>
      </c>
      <c r="H222" s="37" t="n">
        <v>32</v>
      </c>
      <c r="I222" s="37" t="inlineStr">
        <is>
          <t>preference-mismatch</t>
        </is>
      </c>
      <c r="J222" s="37" t="inlineStr">
        <is>
          <t>Y</t>
        </is>
      </c>
      <c r="K222" s="43" t="n">
        <v>45454</v>
      </c>
      <c r="L222" s="37" t="inlineStr">
        <is>
          <t>SUSTAINED</t>
        </is>
      </c>
    </row>
    <row r="223">
      <c r="A223" s="37" t="inlineStr">
        <is>
          <t>SKP-2024-0222</t>
        </is>
      </c>
      <c r="B223" s="37" t="inlineStr">
        <is>
          <t>OFR-2024-0818</t>
        </is>
      </c>
      <c r="C223" s="43" t="n">
        <v>45501</v>
      </c>
      <c r="D223" s="37" t="inlineStr">
        <is>
          <t>WL-01889</t>
        </is>
      </c>
      <c r="E223" s="37" t="n">
        <v>889</v>
      </c>
      <c r="F223" s="37" t="inlineStr">
        <is>
          <t>GW-0206</t>
        </is>
      </c>
      <c r="G223" s="37" t="inlineStr">
        <is>
          <t>Gullwing</t>
        </is>
      </c>
      <c r="H223" s="37" t="n">
        <v>24</v>
      </c>
      <c r="I223" s="37" t="inlineStr">
        <is>
          <t>vessel-fit</t>
        </is>
      </c>
      <c r="J223" s="37" t="inlineStr">
        <is>
          <t>Y</t>
        </is>
      </c>
      <c r="K223" s="43" t="n">
        <v>45506</v>
      </c>
      <c r="L223" s="37" t="inlineStr">
        <is>
          <t>SUSTAINED</t>
        </is>
      </c>
    </row>
    <row r="224">
      <c r="A224" s="37" t="inlineStr">
        <is>
          <t>SKP-2024-0223</t>
        </is>
      </c>
      <c r="B224" s="37" t="inlineStr">
        <is>
          <t>OFR-2024-0823</t>
        </is>
      </c>
      <c r="C224" s="43" t="n">
        <v>45478</v>
      </c>
      <c r="D224" s="37" t="inlineStr">
        <is>
          <t>WL-01691</t>
        </is>
      </c>
      <c r="E224" s="37" t="n">
        <v>691</v>
      </c>
      <c r="F224" s="37" t="inlineStr">
        <is>
          <t>LP-1024</t>
        </is>
      </c>
      <c r="G224" s="37" t="inlineStr">
        <is>
          <t>Ledgport</t>
        </is>
      </c>
      <c r="H224" s="37" t="n">
        <v>32</v>
      </c>
      <c r="I224" s="37" t="inlineStr">
        <is>
          <t>preference-mismatch</t>
        </is>
      </c>
      <c r="J224" s="37" t="inlineStr">
        <is>
          <t>Y</t>
        </is>
      </c>
      <c r="K224" s="43" t="n">
        <v>45481</v>
      </c>
      <c r="L224" s="37" t="inlineStr">
        <is>
          <t>SUSTAINED</t>
        </is>
      </c>
    </row>
    <row r="225">
      <c r="A225" s="37" t="inlineStr">
        <is>
          <t>SKP-2024-0224</t>
        </is>
      </c>
      <c r="B225" s="37" t="inlineStr">
        <is>
          <t>OFR-2024-0824</t>
        </is>
      </c>
      <c r="C225" s="43" t="n">
        <v>45487</v>
      </c>
      <c r="D225" s="37" t="inlineStr">
        <is>
          <t>WL-02850</t>
        </is>
      </c>
      <c r="E225" s="37" t="n">
        <v>1850</v>
      </c>
      <c r="F225" s="37" t="inlineStr">
        <is>
          <t>SB-0107</t>
        </is>
      </c>
      <c r="G225" s="37" t="inlineStr">
        <is>
          <t>Salmonberry</t>
        </is>
      </c>
      <c r="H225" s="37" t="n">
        <v>40</v>
      </c>
      <c r="I225" s="37" t="inlineStr">
        <is>
          <t>vessel-fit</t>
        </is>
      </c>
      <c r="J225" s="37" t="inlineStr">
        <is>
          <t>Y</t>
        </is>
      </c>
      <c r="K225" s="43" t="n">
        <v>45492</v>
      </c>
      <c r="L225" s="37" t="inlineStr">
        <is>
          <t>SUSTAINED</t>
        </is>
      </c>
    </row>
    <row r="226">
      <c r="A226" s="37" t="inlineStr">
        <is>
          <t>SKP-2024-0225</t>
        </is>
      </c>
      <c r="B226" s="37" t="inlineStr">
        <is>
          <t>OFR-2024-0828</t>
        </is>
      </c>
      <c r="C226" s="43" t="n">
        <v>45522</v>
      </c>
      <c r="D226" s="37" t="inlineStr">
        <is>
          <t>WL-03762</t>
        </is>
      </c>
      <c r="E226" s="37" t="n">
        <v>2762</v>
      </c>
      <c r="F226" s="37" t="inlineStr">
        <is>
          <t>LP-0513</t>
        </is>
      </c>
      <c r="G226" s="37" t="inlineStr">
        <is>
          <t>Ledgport</t>
        </is>
      </c>
      <c r="H226" s="37" t="n">
        <v>24</v>
      </c>
      <c r="I226" s="37" t="inlineStr">
        <is>
          <t>vessel-fit</t>
        </is>
      </c>
      <c r="J226" s="37" t="inlineStr">
        <is>
          <t>Y</t>
        </is>
      </c>
      <c r="K226" s="43" t="n">
        <v>45524</v>
      </c>
      <c r="L226" s="37" t="inlineStr">
        <is>
          <t>SUSTAINED</t>
        </is>
      </c>
    </row>
    <row r="227">
      <c r="A227" s="37" t="inlineStr">
        <is>
          <t>SKP-2024-0226</t>
        </is>
      </c>
      <c r="B227" s="37" t="inlineStr">
        <is>
          <t>OFR-2024-0829</t>
        </is>
      </c>
      <c r="C227" s="43" t="n">
        <v>45510</v>
      </c>
      <c r="D227" s="37" t="inlineStr">
        <is>
          <t>WL-03542</t>
        </is>
      </c>
      <c r="E227" s="37" t="n">
        <v>2542</v>
      </c>
      <c r="F227" s="37" t="inlineStr">
        <is>
          <t>SB-0319</t>
        </is>
      </c>
      <c r="G227" s="37" t="inlineStr">
        <is>
          <t>Salmonberry</t>
        </is>
      </c>
      <c r="H227" s="37" t="n">
        <v>32</v>
      </c>
      <c r="I227" s="37" t="inlineStr">
        <is>
          <t>vessel-fit</t>
        </is>
      </c>
      <c r="J227" s="37" t="inlineStr">
        <is>
          <t>Y</t>
        </is>
      </c>
      <c r="K227" s="43" t="n">
        <v>45515</v>
      </c>
      <c r="L227" s="37" t="inlineStr">
        <is>
          <t>SUSTAINED</t>
        </is>
      </c>
    </row>
    <row r="228">
      <c r="A228" s="37" t="inlineStr">
        <is>
          <t>SKP-2024-0227</t>
        </is>
      </c>
      <c r="B228" s="37" t="inlineStr">
        <is>
          <t>OFR-2024-0830</t>
        </is>
      </c>
      <c r="C228" s="43" t="n">
        <v>45520</v>
      </c>
      <c r="D228" s="37" t="inlineStr">
        <is>
          <t>WL-03759</t>
        </is>
      </c>
      <c r="E228" s="37" t="n">
        <v>2759</v>
      </c>
      <c r="F228" s="37" t="inlineStr">
        <is>
          <t>GW-0123</t>
        </is>
      </c>
      <c r="G228" s="37" t="inlineStr">
        <is>
          <t>Gullwing</t>
        </is>
      </c>
      <c r="H228" s="37" t="n">
        <v>80</v>
      </c>
      <c r="I228" s="37" t="inlineStr">
        <is>
          <t>not-current</t>
        </is>
      </c>
      <c r="J228" s="37" t="inlineStr">
        <is>
          <t>Y</t>
        </is>
      </c>
      <c r="K228" s="43" t="n">
        <v>45520</v>
      </c>
      <c r="L228" s="37" t="inlineStr">
        <is>
          <t>SUSTAINED</t>
        </is>
      </c>
    </row>
    <row r="229">
      <c r="A229" s="37" t="inlineStr">
        <is>
          <t>SKP-2024-0228</t>
        </is>
      </c>
      <c r="B229" s="37" t="inlineStr">
        <is>
          <t>OFR-2024-0831</t>
        </is>
      </c>
      <c r="C229" s="43" t="n">
        <v>45514</v>
      </c>
      <c r="D229" s="37" t="inlineStr">
        <is>
          <t>WL-01001</t>
        </is>
      </c>
      <c r="E229" s="37" t="n">
        <v>1</v>
      </c>
      <c r="F229" s="37" t="inlineStr">
        <is>
          <t>VB-1008</t>
        </is>
      </c>
      <c r="G229" s="37" t="inlineStr">
        <is>
          <t>Vessbank</t>
        </is>
      </c>
      <c r="H229" s="37" t="n">
        <v>36</v>
      </c>
      <c r="I229" s="37" t="inlineStr">
        <is>
          <t>not-current</t>
        </is>
      </c>
      <c r="J229" s="37" t="inlineStr">
        <is>
          <t>Y</t>
        </is>
      </c>
      <c r="K229" s="43" t="n">
        <v>45518</v>
      </c>
      <c r="L229" s="37" t="inlineStr">
        <is>
          <t>SUSTAINED</t>
        </is>
      </c>
    </row>
    <row r="230">
      <c r="A230" s="37" t="inlineStr">
        <is>
          <t>SKP-2024-0229</t>
        </is>
      </c>
      <c r="B230" s="37" t="inlineStr">
        <is>
          <t>OFR-2024-0838</t>
        </is>
      </c>
      <c r="C230" s="43" t="n">
        <v>45529</v>
      </c>
      <c r="D230" s="37" t="inlineStr">
        <is>
          <t>WL-02791</t>
        </is>
      </c>
      <c r="E230" s="37" t="n">
        <v>1791</v>
      </c>
      <c r="F230" s="37" t="inlineStr">
        <is>
          <t>SB-0205</t>
        </is>
      </c>
      <c r="G230" s="37" t="inlineStr">
        <is>
          <t>Salmonberry</t>
        </is>
      </c>
      <c r="H230" s="37" t="n">
        <v>45</v>
      </c>
      <c r="I230" s="37" t="inlineStr">
        <is>
          <t>vessel-fit</t>
        </is>
      </c>
      <c r="J230" s="37" t="inlineStr">
        <is>
          <t>Y</t>
        </is>
      </c>
      <c r="K230" s="43" t="n">
        <v>45534</v>
      </c>
      <c r="L230" s="37" t="inlineStr">
        <is>
          <t>SUSTAINED</t>
        </is>
      </c>
    </row>
    <row r="231">
      <c r="A231" s="37" t="inlineStr">
        <is>
          <t>SKP-2024-0230</t>
        </is>
      </c>
      <c r="B231" s="37" t="inlineStr">
        <is>
          <t>OFR-2024-0845</t>
        </is>
      </c>
      <c r="C231" s="43" t="n">
        <v>45532</v>
      </c>
      <c r="D231" s="37" t="inlineStr">
        <is>
          <t>WL-01998</t>
        </is>
      </c>
      <c r="E231" s="37" t="n">
        <v>998</v>
      </c>
      <c r="F231" s="37" t="inlineStr">
        <is>
          <t>EW-0118</t>
        </is>
      </c>
      <c r="G231" s="37" t="inlineStr">
        <is>
          <t>Eastwey</t>
        </is>
      </c>
      <c r="H231" s="37" t="n">
        <v>45</v>
      </c>
      <c r="I231" s="37" t="inlineStr">
        <is>
          <t>vessel-fit</t>
        </is>
      </c>
      <c r="J231" s="37" t="inlineStr">
        <is>
          <t>Y</t>
        </is>
      </c>
      <c r="K231" s="43" t="n">
        <v>45532</v>
      </c>
      <c r="L231" s="37" t="inlineStr">
        <is>
          <t>SUSTAINED</t>
        </is>
      </c>
    </row>
    <row r="232">
      <c r="A232" s="37" t="inlineStr">
        <is>
          <t>SKP-2024-0231</t>
        </is>
      </c>
      <c r="B232" s="37" t="inlineStr">
        <is>
          <t>OFR-2024-0862</t>
        </is>
      </c>
      <c r="C232" s="43" t="n">
        <v>45508</v>
      </c>
      <c r="D232" s="37" t="inlineStr">
        <is>
          <t>WL-02925</t>
        </is>
      </c>
      <c r="E232" s="37" t="n">
        <v>1925</v>
      </c>
      <c r="F232" s="37" t="inlineStr">
        <is>
          <t>EW-0324</t>
        </is>
      </c>
      <c r="G232" s="37" t="inlineStr">
        <is>
          <t>Eastwey</t>
        </is>
      </c>
      <c r="H232" s="37" t="n">
        <v>80</v>
      </c>
      <c r="I232" s="37" t="inlineStr">
        <is>
          <t>preference-mismatch</t>
        </is>
      </c>
      <c r="J232" s="37" t="inlineStr">
        <is>
          <t>Y</t>
        </is>
      </c>
      <c r="K232" s="43" t="n">
        <v>45508</v>
      </c>
      <c r="L232" s="37" t="inlineStr">
        <is>
          <t>SUSTAINED</t>
        </is>
      </c>
    </row>
    <row r="233">
      <c r="A233" s="37" t="inlineStr">
        <is>
          <t>SKP-2024-0232</t>
        </is>
      </c>
      <c r="B233" s="37" t="inlineStr">
        <is>
          <t>OFR-2024-0869</t>
        </is>
      </c>
      <c r="C233" s="43" t="n">
        <v>45536</v>
      </c>
      <c r="D233" s="37" t="inlineStr">
        <is>
          <t>WL-03615</t>
        </is>
      </c>
      <c r="E233" s="37" t="n">
        <v>2615</v>
      </c>
      <c r="F233" s="37" t="inlineStr">
        <is>
          <t>VB-0518</t>
        </is>
      </c>
      <c r="G233" s="37" t="inlineStr">
        <is>
          <t>Vessbank</t>
        </is>
      </c>
      <c r="H233" s="37" t="n">
        <v>28</v>
      </c>
      <c r="I233" s="37" t="inlineStr">
        <is>
          <t>declined-prior-offer</t>
        </is>
      </c>
      <c r="J233" s="37" t="inlineStr">
        <is>
          <t>Y</t>
        </is>
      </c>
      <c r="K233" s="43" t="n">
        <v>45538</v>
      </c>
      <c r="L233" s="37" t="inlineStr">
        <is>
          <t>SUSTAINED</t>
        </is>
      </c>
    </row>
    <row r="234">
      <c r="A234" s="37" t="inlineStr">
        <is>
          <t>SKP-2024-0233</t>
        </is>
      </c>
      <c r="B234" s="37" t="inlineStr">
        <is>
          <t>OFR-2024-0870</t>
        </is>
      </c>
      <c r="C234" s="43" t="n">
        <v>45546</v>
      </c>
      <c r="D234" s="37" t="inlineStr">
        <is>
          <t>WL-03062</t>
        </is>
      </c>
      <c r="E234" s="37" t="n">
        <v>2062</v>
      </c>
      <c r="F234" s="37" t="inlineStr">
        <is>
          <t>LP-0303</t>
        </is>
      </c>
      <c r="G234" s="37" t="inlineStr">
        <is>
          <t>Ledgport</t>
        </is>
      </c>
      <c r="H234" s="37" t="n">
        <v>32</v>
      </c>
      <c r="I234" s="37" t="inlineStr">
        <is>
          <t>declined-prior-offer</t>
        </is>
      </c>
      <c r="J234" s="37" t="inlineStr">
        <is>
          <t>Y</t>
        </is>
      </c>
      <c r="K234" s="43" t="n">
        <v>45548</v>
      </c>
      <c r="L234" s="37" t="inlineStr">
        <is>
          <t>SUSTAINED</t>
        </is>
      </c>
    </row>
    <row r="235">
      <c r="A235" s="37" t="inlineStr">
        <is>
          <t>SKP-2024-0234</t>
        </is>
      </c>
      <c r="B235" s="37" t="inlineStr">
        <is>
          <t>OFR-2024-0871</t>
        </is>
      </c>
      <c r="C235" s="43" t="n">
        <v>45542</v>
      </c>
      <c r="D235" s="37" t="inlineStr">
        <is>
          <t>WL-01779</t>
        </is>
      </c>
      <c r="E235" s="37" t="n">
        <v>779</v>
      </c>
      <c r="F235" s="37" t="inlineStr">
        <is>
          <t>SB-0313</t>
        </is>
      </c>
      <c r="G235" s="37" t="inlineStr">
        <is>
          <t>Salmonberry</t>
        </is>
      </c>
      <c r="H235" s="37" t="n">
        <v>24</v>
      </c>
      <c r="I235" s="37" t="inlineStr">
        <is>
          <t>preference-mismatch</t>
        </is>
      </c>
      <c r="J235" s="37" t="inlineStr">
        <is>
          <t>Y</t>
        </is>
      </c>
      <c r="K235" s="43" t="n">
        <v>45543</v>
      </c>
      <c r="L235" s="37" t="inlineStr">
        <is>
          <t>SUSTAINED</t>
        </is>
      </c>
    </row>
    <row r="236">
      <c r="A236" s="37" t="inlineStr">
        <is>
          <t>SKP-2024-0235</t>
        </is>
      </c>
      <c r="B236" s="37" t="inlineStr">
        <is>
          <t>OFR-2024-0876</t>
        </is>
      </c>
      <c r="C236" s="43" t="n">
        <v>45536</v>
      </c>
      <c r="D236" s="37" t="inlineStr">
        <is>
          <t>WL-03228</t>
        </is>
      </c>
      <c r="E236" s="37" t="n">
        <v>2228</v>
      </c>
      <c r="F236" s="37" t="inlineStr">
        <is>
          <t>EW-0319</t>
        </is>
      </c>
      <c r="G236" s="37" t="inlineStr">
        <is>
          <t>Eastwey</t>
        </is>
      </c>
      <c r="H236" s="37" t="n">
        <v>70</v>
      </c>
      <c r="I236" s="37" t="inlineStr">
        <is>
          <t>declined-prior-offer</t>
        </is>
      </c>
      <c r="J236" s="37" t="inlineStr">
        <is>
          <t>Y</t>
        </is>
      </c>
      <c r="K236" s="43" t="n">
        <v>45539</v>
      </c>
      <c r="L236" s="37" t="inlineStr">
        <is>
          <t>SUSTAINED</t>
        </is>
      </c>
    </row>
    <row r="237">
      <c r="A237" s="37" t="inlineStr">
        <is>
          <t>SKP-2024-0236</t>
        </is>
      </c>
      <c r="B237" s="37" t="inlineStr">
        <is>
          <t>OFR-2024-0877</t>
        </is>
      </c>
      <c r="C237" s="43" t="n">
        <v>45545</v>
      </c>
      <c r="D237" s="37" t="inlineStr">
        <is>
          <t>WL-03479</t>
        </is>
      </c>
      <c r="E237" s="37" t="n">
        <v>2479</v>
      </c>
      <c r="F237" s="37" t="inlineStr">
        <is>
          <t>SB-0607</t>
        </is>
      </c>
      <c r="G237" s="37" t="inlineStr">
        <is>
          <t>Salmonberry</t>
        </is>
      </c>
      <c r="H237" s="37" t="n">
        <v>40</v>
      </c>
      <c r="I237" s="37" t="inlineStr">
        <is>
          <t>vessel-fit</t>
        </is>
      </c>
      <c r="J237" s="37" t="inlineStr">
        <is>
          <t>Y</t>
        </is>
      </c>
      <c r="K237" s="43" t="n">
        <v>45550</v>
      </c>
      <c r="L237" s="37" t="inlineStr">
        <is>
          <t>SUSTAINED</t>
        </is>
      </c>
    </row>
    <row r="238">
      <c r="A238" s="37" t="inlineStr">
        <is>
          <t>SKP-2024-0237</t>
        </is>
      </c>
      <c r="B238" s="37" t="inlineStr">
        <is>
          <t>OFR-2024-0878</t>
        </is>
      </c>
      <c r="C238" s="43" t="n">
        <v>45549</v>
      </c>
      <c r="D238" s="37" t="inlineStr">
        <is>
          <t>WL-02574</t>
        </is>
      </c>
      <c r="E238" s="37" t="n">
        <v>1574</v>
      </c>
      <c r="F238" s="37" t="inlineStr">
        <is>
          <t>SB-0403</t>
        </is>
      </c>
      <c r="G238" s="37" t="inlineStr">
        <is>
          <t>Salmonberry</t>
        </is>
      </c>
      <c r="H238" s="37" t="n">
        <v>24</v>
      </c>
      <c r="I238" s="37" t="inlineStr">
        <is>
          <t>not-current</t>
        </is>
      </c>
      <c r="J238" s="37" t="inlineStr">
        <is>
          <t>Y</t>
        </is>
      </c>
      <c r="K238" s="43" t="n">
        <v>45549</v>
      </c>
      <c r="L238" s="37" t="inlineStr">
        <is>
          <t>SUSTAINED</t>
        </is>
      </c>
    </row>
    <row r="239">
      <c r="A239" s="37" t="inlineStr">
        <is>
          <t>SKP-2024-0238</t>
        </is>
      </c>
      <c r="B239" s="37" t="inlineStr">
        <is>
          <t>OFR-2024-0883</t>
        </is>
      </c>
      <c r="C239" s="43" t="n">
        <v>45545</v>
      </c>
      <c r="D239" s="37" t="inlineStr">
        <is>
          <t>WL-02336</t>
        </is>
      </c>
      <c r="E239" s="37" t="n">
        <v>1336</v>
      </c>
      <c r="F239" s="37" t="inlineStr">
        <is>
          <t>VB-0517</t>
        </is>
      </c>
      <c r="G239" s="37" t="inlineStr">
        <is>
          <t>Vessbank</t>
        </is>
      </c>
      <c r="H239" s="37" t="n">
        <v>28</v>
      </c>
      <c r="I239" s="37" t="inlineStr">
        <is>
          <t>not-current</t>
        </is>
      </c>
      <c r="J239" s="37" t="inlineStr">
        <is>
          <t>Y</t>
        </is>
      </c>
      <c r="K239" s="43" t="n">
        <v>45545</v>
      </c>
      <c r="L239" s="37" t="inlineStr">
        <is>
          <t>SUSTAINED</t>
        </is>
      </c>
    </row>
    <row r="240">
      <c r="A240" s="37" t="inlineStr">
        <is>
          <t>SKP-2024-0239</t>
        </is>
      </c>
      <c r="B240" s="37" t="inlineStr">
        <is>
          <t>OFR-2024-0887</t>
        </is>
      </c>
      <c r="C240" s="43" t="n">
        <v>45537</v>
      </c>
      <c r="D240" s="37" t="inlineStr">
        <is>
          <t>WL-01504</t>
        </is>
      </c>
      <c r="E240" s="37" t="n">
        <v>504</v>
      </c>
      <c r="F240" s="37" t="inlineStr">
        <is>
          <t>VB-0223</t>
        </is>
      </c>
      <c r="G240" s="37" t="inlineStr">
        <is>
          <t>Vessbank</t>
        </is>
      </c>
      <c r="H240" s="37" t="n">
        <v>32</v>
      </c>
      <c r="I240" s="37" t="inlineStr">
        <is>
          <t>vessel-fit</t>
        </is>
      </c>
      <c r="J240" s="37" t="inlineStr">
        <is>
          <t>Y</t>
        </is>
      </c>
      <c r="K240" s="43" t="n">
        <v>45537</v>
      </c>
      <c r="L240" s="37" t="inlineStr">
        <is>
          <t>SUSTAINED</t>
        </is>
      </c>
    </row>
    <row r="241">
      <c r="A241" s="37" t="inlineStr">
        <is>
          <t>SKP-2024-0240</t>
        </is>
      </c>
      <c r="B241" s="37" t="inlineStr">
        <is>
          <t>OFR-2024-0889</t>
        </is>
      </c>
      <c r="C241" s="43" t="n">
        <v>45560</v>
      </c>
      <c r="D241" s="37" t="inlineStr">
        <is>
          <t>WL-01718</t>
        </is>
      </c>
      <c r="E241" s="37" t="n">
        <v>718</v>
      </c>
      <c r="F241" s="37" t="inlineStr">
        <is>
          <t>SB-0821</t>
        </is>
      </c>
      <c r="G241" s="37" t="inlineStr">
        <is>
          <t>Salmonberry</t>
        </is>
      </c>
      <c r="H241" s="37" t="n">
        <v>36</v>
      </c>
      <c r="I241" s="37" t="inlineStr">
        <is>
          <t>declined-prior-offer</t>
        </is>
      </c>
      <c r="J241" s="37" t="inlineStr">
        <is>
          <t>Y</t>
        </is>
      </c>
      <c r="K241" s="43" t="n">
        <v>45562</v>
      </c>
      <c r="L241" s="37" t="inlineStr">
        <is>
          <t>SUSTAINED</t>
        </is>
      </c>
    </row>
    <row r="242">
      <c r="A242" s="37" t="inlineStr">
        <is>
          <t>SKP-2024-0241</t>
        </is>
      </c>
      <c r="B242" s="37" t="inlineStr">
        <is>
          <t>OFR-2024-0893</t>
        </is>
      </c>
      <c r="C242" s="43" t="n">
        <v>45591</v>
      </c>
      <c r="D242" s="37" t="inlineStr">
        <is>
          <t>WL-01026</t>
        </is>
      </c>
      <c r="E242" s="37" t="n">
        <v>26</v>
      </c>
      <c r="F242" s="37" t="inlineStr">
        <is>
          <t>SB-0214</t>
        </is>
      </c>
      <c r="G242" s="37" t="inlineStr">
        <is>
          <t>Salmonberry</t>
        </is>
      </c>
      <c r="H242" s="37" t="n">
        <v>28</v>
      </c>
      <c r="I242" s="37" t="inlineStr">
        <is>
          <t>declined-prior-offer</t>
        </is>
      </c>
      <c r="J242" s="37" t="inlineStr">
        <is>
          <t>Y</t>
        </is>
      </c>
      <c r="K242" s="43" t="n">
        <v>45595</v>
      </c>
      <c r="L242" s="37" t="inlineStr">
        <is>
          <t>SUSTAINED</t>
        </is>
      </c>
    </row>
    <row r="243">
      <c r="A243" s="37" t="inlineStr">
        <is>
          <t>SKP-2024-0242</t>
        </is>
      </c>
      <c r="B243" s="37" t="inlineStr">
        <is>
          <t>OFR-2024-0895</t>
        </is>
      </c>
      <c r="C243" s="43" t="n">
        <v>45586</v>
      </c>
      <c r="D243" s="37" t="inlineStr">
        <is>
          <t>WL-03831</t>
        </is>
      </c>
      <c r="E243" s="37" t="n">
        <v>2831</v>
      </c>
      <c r="F243" s="37" t="inlineStr">
        <is>
          <t>EW-1022</t>
        </is>
      </c>
      <c r="G243" s="37" t="inlineStr">
        <is>
          <t>Eastwey</t>
        </is>
      </c>
      <c r="H243" s="37" t="n">
        <v>32</v>
      </c>
      <c r="I243" s="37" t="inlineStr">
        <is>
          <t>not-current</t>
        </is>
      </c>
      <c r="J243" s="37" t="inlineStr">
        <is>
          <t>Y</t>
        </is>
      </c>
      <c r="K243" s="43" t="n">
        <v>45586</v>
      </c>
      <c r="L243" s="37" t="inlineStr">
        <is>
          <t>SUSTAINED</t>
        </is>
      </c>
    </row>
    <row r="244">
      <c r="A244" s="37" t="inlineStr">
        <is>
          <t>SKP-2024-0243</t>
        </is>
      </c>
      <c r="B244" s="37" t="inlineStr">
        <is>
          <t>OFR-2024-0901</t>
        </is>
      </c>
      <c r="C244" s="43" t="n">
        <v>45586</v>
      </c>
      <c r="D244" s="37" t="inlineStr">
        <is>
          <t>WL-01264</t>
        </is>
      </c>
      <c r="E244" s="37" t="n">
        <v>264</v>
      </c>
      <c r="F244" s="37" t="inlineStr">
        <is>
          <t>VB-0917</t>
        </is>
      </c>
      <c r="G244" s="37" t="inlineStr">
        <is>
          <t>Vessbank</t>
        </is>
      </c>
      <c r="H244" s="37" t="n">
        <v>28</v>
      </c>
      <c r="I244" s="37" t="inlineStr">
        <is>
          <t>preference-mismatch</t>
        </is>
      </c>
      <c r="J244" s="37" t="inlineStr">
        <is>
          <t>Y</t>
        </is>
      </c>
      <c r="K244" s="43" t="n">
        <v>45588</v>
      </c>
      <c r="L244" s="37" t="inlineStr">
        <is>
          <t>SUSTAINED</t>
        </is>
      </c>
    </row>
    <row r="245">
      <c r="A245" s="37" t="inlineStr">
        <is>
          <t>SKP-2024-0244</t>
        </is>
      </c>
      <c r="B245" s="37" t="inlineStr">
        <is>
          <t>OFR-2024-0903</t>
        </is>
      </c>
      <c r="C245" s="43" t="n">
        <v>45590</v>
      </c>
      <c r="D245" s="37" t="inlineStr">
        <is>
          <t>WL-03708</t>
        </is>
      </c>
      <c r="E245" s="37" t="n">
        <v>2708</v>
      </c>
      <c r="F245" s="37" t="inlineStr">
        <is>
          <t>GW-0813</t>
        </is>
      </c>
      <c r="G245" s="37" t="inlineStr">
        <is>
          <t>Gullwing</t>
        </is>
      </c>
      <c r="H245" s="37" t="n">
        <v>28</v>
      </c>
      <c r="I245" s="37" t="inlineStr">
        <is>
          <t>not-current</t>
        </is>
      </c>
      <c r="J245" s="37" t="inlineStr">
        <is>
          <t>Y</t>
        </is>
      </c>
      <c r="K245" s="43" t="n">
        <v>45595</v>
      </c>
      <c r="L245" s="37" t="inlineStr">
        <is>
          <t>SUSTAINED</t>
        </is>
      </c>
    </row>
    <row r="246">
      <c r="A246" s="37" t="inlineStr">
        <is>
          <t>SKP-2024-0245</t>
        </is>
      </c>
      <c r="B246" s="37" t="inlineStr">
        <is>
          <t>OFR-2024-0909</t>
        </is>
      </c>
      <c r="C246" s="43" t="n">
        <v>45592</v>
      </c>
      <c r="D246" s="37" t="inlineStr">
        <is>
          <t>WL-03808</t>
        </is>
      </c>
      <c r="E246" s="37" t="n">
        <v>2808</v>
      </c>
      <c r="F246" s="37" t="inlineStr">
        <is>
          <t>VB-0601</t>
        </is>
      </c>
      <c r="G246" s="37" t="inlineStr">
        <is>
          <t>Vessbank</t>
        </is>
      </c>
      <c r="H246" s="37" t="n">
        <v>24</v>
      </c>
      <c r="I246" s="37" t="inlineStr">
        <is>
          <t>declined-prior-offer</t>
        </is>
      </c>
      <c r="J246" s="37" t="inlineStr">
        <is>
          <t>Y</t>
        </is>
      </c>
      <c r="K246" s="43" t="n">
        <v>45597</v>
      </c>
      <c r="L246" s="37" t="inlineStr">
        <is>
          <t>SUSTAINED</t>
        </is>
      </c>
    </row>
    <row r="247">
      <c r="A247" s="37" t="inlineStr">
        <is>
          <t>SKP-2024-0246</t>
        </is>
      </c>
      <c r="B247" s="37" t="inlineStr">
        <is>
          <t>OFR-2024-0922</t>
        </is>
      </c>
      <c r="C247" s="43" t="n">
        <v>45580</v>
      </c>
      <c r="D247" s="37" t="inlineStr">
        <is>
          <t>WL-01269</t>
        </is>
      </c>
      <c r="E247" s="37" t="n">
        <v>269</v>
      </c>
      <c r="F247" s="37" t="inlineStr">
        <is>
          <t>VB-0306</t>
        </is>
      </c>
      <c r="G247" s="37" t="inlineStr">
        <is>
          <t>Vessbank</t>
        </is>
      </c>
      <c r="H247" s="37" t="n">
        <v>28</v>
      </c>
      <c r="I247" s="37" t="inlineStr">
        <is>
          <t>vessel-fit</t>
        </is>
      </c>
      <c r="J247" s="37" t="inlineStr">
        <is>
          <t>Y</t>
        </is>
      </c>
      <c r="K247" s="43" t="n">
        <v>45581</v>
      </c>
      <c r="L247" s="37" t="inlineStr">
        <is>
          <t>SUSTAINED</t>
        </is>
      </c>
    </row>
    <row r="248">
      <c r="A248" s="37" t="inlineStr">
        <is>
          <t>SKP-2024-0247</t>
        </is>
      </c>
      <c r="B248" s="37" t="inlineStr">
        <is>
          <t>OFR-2024-0924</t>
        </is>
      </c>
      <c r="C248" s="43" t="n">
        <v>45585</v>
      </c>
      <c r="D248" s="37" t="inlineStr">
        <is>
          <t>WL-03733</t>
        </is>
      </c>
      <c r="E248" s="37" t="n">
        <v>2733</v>
      </c>
      <c r="F248" s="37" t="inlineStr">
        <is>
          <t>GW-0814</t>
        </is>
      </c>
      <c r="G248" s="37" t="inlineStr">
        <is>
          <t>Gullwing</t>
        </is>
      </c>
      <c r="H248" s="37" t="n">
        <v>70</v>
      </c>
      <c r="I248" s="37" t="inlineStr">
        <is>
          <t>vessel-fit</t>
        </is>
      </c>
      <c r="J248" s="37" t="inlineStr">
        <is>
          <t>Y</t>
        </is>
      </c>
      <c r="K248" s="43" t="n">
        <v>45586</v>
      </c>
      <c r="L248" s="37" t="inlineStr">
        <is>
          <t>SUSTAINED</t>
        </is>
      </c>
    </row>
    <row r="249">
      <c r="A249" s="37" t="inlineStr">
        <is>
          <t>SKP-2024-0248</t>
        </is>
      </c>
      <c r="B249" s="37" t="inlineStr">
        <is>
          <t>OFR-2024-0929</t>
        </is>
      </c>
      <c r="C249" s="43" t="n">
        <v>45618</v>
      </c>
      <c r="D249" s="37" t="inlineStr">
        <is>
          <t>WL-02139</t>
        </is>
      </c>
      <c r="E249" s="37" t="n">
        <v>1139</v>
      </c>
      <c r="F249" s="37" t="inlineStr">
        <is>
          <t>LP-0215</t>
        </is>
      </c>
      <c r="G249" s="37" t="inlineStr">
        <is>
          <t>Ledgport</t>
        </is>
      </c>
      <c r="H249" s="37" t="n">
        <v>28</v>
      </c>
      <c r="I249" s="37" t="inlineStr">
        <is>
          <t>vessel-fit</t>
        </is>
      </c>
      <c r="J249" s="37" t="inlineStr">
        <is>
          <t>Y</t>
        </is>
      </c>
      <c r="K249" s="43" t="n">
        <v>45619</v>
      </c>
      <c r="L249" s="37" t="inlineStr">
        <is>
          <t>SUSTAINED</t>
        </is>
      </c>
    </row>
    <row r="250">
      <c r="A250" s="37" t="inlineStr">
        <is>
          <t>SKP-2024-0249</t>
        </is>
      </c>
      <c r="B250" s="37" t="inlineStr">
        <is>
          <t>OFR-2024-0930</t>
        </is>
      </c>
      <c r="C250" s="43" t="n">
        <v>45613</v>
      </c>
      <c r="D250" s="37" t="inlineStr">
        <is>
          <t>WL-02598</t>
        </is>
      </c>
      <c r="E250" s="37" t="n">
        <v>1598</v>
      </c>
      <c r="F250" s="37" t="inlineStr">
        <is>
          <t>GW-0902</t>
        </is>
      </c>
      <c r="G250" s="37" t="inlineStr">
        <is>
          <t>Gullwing</t>
        </is>
      </c>
      <c r="H250" s="37" t="n">
        <v>36</v>
      </c>
      <c r="I250" s="37" t="inlineStr">
        <is>
          <t>vessel-fit</t>
        </is>
      </c>
      <c r="J250" s="37" t="inlineStr">
        <is>
          <t>N</t>
        </is>
      </c>
      <c r="K250" s="43" t="n">
        <v>45613</v>
      </c>
      <c r="L250" s="37" t="inlineStr">
        <is>
          <t>SUSTAINED</t>
        </is>
      </c>
    </row>
    <row r="251">
      <c r="A251" s="37" t="inlineStr">
        <is>
          <t>SKP-2024-0250</t>
        </is>
      </c>
      <c r="B251" s="37" t="inlineStr">
        <is>
          <t>OFR-2024-0940</t>
        </is>
      </c>
      <c r="C251" s="43" t="n">
        <v>45619</v>
      </c>
      <c r="D251" s="37" t="inlineStr">
        <is>
          <t>WL-01832</t>
        </is>
      </c>
      <c r="E251" s="37" t="n">
        <v>832</v>
      </c>
      <c r="F251" s="37" t="inlineStr">
        <is>
          <t>VB-0222</t>
        </is>
      </c>
      <c r="G251" s="37" t="inlineStr">
        <is>
          <t>Vessbank</t>
        </is>
      </c>
      <c r="H251" s="37" t="n">
        <v>28</v>
      </c>
      <c r="I251" s="37" t="inlineStr">
        <is>
          <t>not-current</t>
        </is>
      </c>
      <c r="J251" s="37" t="inlineStr">
        <is>
          <t>Y</t>
        </is>
      </c>
      <c r="K251" s="43" t="n">
        <v>45624</v>
      </c>
      <c r="L251" s="37" t="inlineStr">
        <is>
          <t>SUSTAINED</t>
        </is>
      </c>
    </row>
    <row r="252">
      <c r="A252" s="37" t="inlineStr">
        <is>
          <t>SKP-2024-0251</t>
        </is>
      </c>
      <c r="B252" s="37" t="inlineStr">
        <is>
          <t>OFR-2024-0942</t>
        </is>
      </c>
      <c r="C252" s="43" t="n">
        <v>45599</v>
      </c>
      <c r="D252" s="37" t="inlineStr">
        <is>
          <t>WL-03857</t>
        </is>
      </c>
      <c r="E252" s="37" t="n">
        <v>2857</v>
      </c>
      <c r="F252" s="37" t="inlineStr">
        <is>
          <t>SB-0407</t>
        </is>
      </c>
      <c r="G252" s="37" t="inlineStr">
        <is>
          <t>Salmonberry</t>
        </is>
      </c>
      <c r="H252" s="37" t="n">
        <v>24</v>
      </c>
      <c r="I252" s="37" t="inlineStr">
        <is>
          <t>vessel-fit</t>
        </is>
      </c>
      <c r="J252" s="37" t="inlineStr">
        <is>
          <t>Y</t>
        </is>
      </c>
      <c r="K252" s="43" t="n">
        <v>45602</v>
      </c>
      <c r="L252" s="37" t="inlineStr">
        <is>
          <t>SUSTAINED</t>
        </is>
      </c>
    </row>
    <row r="253">
      <c r="A253" s="37" t="inlineStr">
        <is>
          <t>SKP-2024-0252</t>
        </is>
      </c>
      <c r="B253" s="37" t="inlineStr">
        <is>
          <t>OFR-2024-0951</t>
        </is>
      </c>
      <c r="C253" s="43" t="n">
        <v>45639</v>
      </c>
      <c r="D253" s="37" t="inlineStr">
        <is>
          <t>WL-02412</t>
        </is>
      </c>
      <c r="E253" s="37" t="n">
        <v>1412</v>
      </c>
      <c r="F253" s="37" t="inlineStr">
        <is>
          <t>GW-0201</t>
        </is>
      </c>
      <c r="G253" s="37" t="inlineStr">
        <is>
          <t>Gullwing</t>
        </is>
      </c>
      <c r="H253" s="37" t="n">
        <v>32</v>
      </c>
      <c r="I253" s="37" t="inlineStr">
        <is>
          <t>preference-mismatch</t>
        </is>
      </c>
      <c r="J253" s="37" t="inlineStr">
        <is>
          <t>Y</t>
        </is>
      </c>
      <c r="K253" s="43" t="n">
        <v>45642</v>
      </c>
      <c r="L253" s="37" t="inlineStr">
        <is>
          <t>SUSTAINED</t>
        </is>
      </c>
    </row>
    <row r="254">
      <c r="A254" s="37" t="inlineStr">
        <is>
          <t>SKP-2024-0253</t>
        </is>
      </c>
      <c r="B254" s="37" t="inlineStr">
        <is>
          <t>OFR-2024-0952</t>
        </is>
      </c>
      <c r="C254" s="43" t="n">
        <v>45650</v>
      </c>
      <c r="D254" s="37" t="inlineStr">
        <is>
          <t>WL-03079</t>
        </is>
      </c>
      <c r="E254" s="37" t="n">
        <v>2079</v>
      </c>
      <c r="F254" s="37" t="inlineStr">
        <is>
          <t>SB-0106</t>
        </is>
      </c>
      <c r="G254" s="37" t="inlineStr">
        <is>
          <t>Salmonberry</t>
        </is>
      </c>
      <c r="H254" s="37" t="n">
        <v>28</v>
      </c>
      <c r="I254" s="37" t="inlineStr">
        <is>
          <t>not-current</t>
        </is>
      </c>
      <c r="J254" s="37" t="inlineStr">
        <is>
          <t>Y</t>
        </is>
      </c>
      <c r="K254" s="43" t="n">
        <v>45655</v>
      </c>
      <c r="L254" s="37" t="inlineStr">
        <is>
          <t>SUSTAINED</t>
        </is>
      </c>
    </row>
    <row r="255">
      <c r="A255" s="37" t="inlineStr">
        <is>
          <t>SKP-2024-0254</t>
        </is>
      </c>
      <c r="B255" s="37" t="inlineStr">
        <is>
          <t>OFR-2024-0954</t>
        </is>
      </c>
      <c r="C255" s="43" t="n">
        <v>45637</v>
      </c>
      <c r="D255" s="37" t="inlineStr">
        <is>
          <t>WL-03294</t>
        </is>
      </c>
      <c r="E255" s="37" t="n">
        <v>2294</v>
      </c>
      <c r="F255" s="37" t="inlineStr">
        <is>
          <t>LP-0102</t>
        </is>
      </c>
      <c r="G255" s="37" t="inlineStr">
        <is>
          <t>Ledgport</t>
        </is>
      </c>
      <c r="H255" s="37" t="n">
        <v>40</v>
      </c>
      <c r="I255" s="37" t="inlineStr">
        <is>
          <t>vessel-fit</t>
        </is>
      </c>
      <c r="J255" s="37" t="inlineStr">
        <is>
          <t>Y</t>
        </is>
      </c>
      <c r="K255" s="43" t="n">
        <v>45637</v>
      </c>
      <c r="L255" s="37" t="inlineStr">
        <is>
          <t>SUSTAINED</t>
        </is>
      </c>
    </row>
    <row r="256">
      <c r="A256" s="37" t="inlineStr">
        <is>
          <t>SKP-2024-0255</t>
        </is>
      </c>
      <c r="B256" s="37" t="inlineStr">
        <is>
          <t>OFR-2024-0955</t>
        </is>
      </c>
      <c r="C256" s="43" t="n">
        <v>45648</v>
      </c>
      <c r="D256" s="37" t="inlineStr">
        <is>
          <t>WL-01844</t>
        </is>
      </c>
      <c r="E256" s="37" t="n">
        <v>844</v>
      </c>
      <c r="F256" s="37" t="inlineStr">
        <is>
          <t>EW-0519</t>
        </is>
      </c>
      <c r="G256" s="37" t="inlineStr">
        <is>
          <t>Eastwey</t>
        </is>
      </c>
      <c r="H256" s="37" t="n">
        <v>32</v>
      </c>
      <c r="I256" s="37" t="inlineStr">
        <is>
          <t>vessel-fit</t>
        </is>
      </c>
      <c r="J256" s="37" t="inlineStr">
        <is>
          <t>Y</t>
        </is>
      </c>
      <c r="K256" s="43" t="n">
        <v>45650</v>
      </c>
      <c r="L256" s="37" t="inlineStr">
        <is>
          <t>SUSTAINED</t>
        </is>
      </c>
    </row>
    <row r="257">
      <c r="A257" s="37" t="inlineStr">
        <is>
          <t>SKP-2024-0256</t>
        </is>
      </c>
      <c r="B257" s="37" t="inlineStr">
        <is>
          <t>OFR-2024-0960</t>
        </is>
      </c>
      <c r="C257" s="43" t="n">
        <v>45644</v>
      </c>
      <c r="D257" s="37" t="inlineStr">
        <is>
          <t>WL-02923</t>
        </is>
      </c>
      <c r="E257" s="37" t="n">
        <v>1923</v>
      </c>
      <c r="F257" s="37" t="inlineStr">
        <is>
          <t>LP-0822</t>
        </is>
      </c>
      <c r="G257" s="37" t="inlineStr">
        <is>
          <t>Ledgport</t>
        </is>
      </c>
      <c r="H257" s="37" t="n">
        <v>36</v>
      </c>
      <c r="I257" s="37" t="inlineStr">
        <is>
          <t>preference-mismatch</t>
        </is>
      </c>
      <c r="J257" s="37" t="inlineStr">
        <is>
          <t>Y</t>
        </is>
      </c>
      <c r="K257" s="43" t="n">
        <v>45644</v>
      </c>
      <c r="L257" s="37" t="inlineStr">
        <is>
          <t>SUSTAINED</t>
        </is>
      </c>
    </row>
    <row r="258">
      <c r="A258" s="37" t="inlineStr">
        <is>
          <t>SKP-2025-0257</t>
        </is>
      </c>
      <c r="B258" s="37" t="inlineStr">
        <is>
          <t>OFR-2025-0964</t>
        </is>
      </c>
      <c r="C258" s="43" t="n">
        <v>45672</v>
      </c>
      <c r="D258" s="37" t="inlineStr">
        <is>
          <t>WL-03628</t>
        </is>
      </c>
      <c r="E258" s="37" t="n">
        <v>2628</v>
      </c>
      <c r="F258" s="37" t="inlineStr">
        <is>
          <t>LP-0715</t>
        </is>
      </c>
      <c r="G258" s="37" t="inlineStr">
        <is>
          <t>Ledgport</t>
        </is>
      </c>
      <c r="H258" s="37" t="n">
        <v>32</v>
      </c>
      <c r="I258" s="37" t="inlineStr">
        <is>
          <t>preference-mismatch</t>
        </is>
      </c>
      <c r="J258" s="37" t="inlineStr">
        <is>
          <t>Y</t>
        </is>
      </c>
      <c r="K258" s="43" t="n">
        <v>45672</v>
      </c>
      <c r="L258" s="37" t="inlineStr">
        <is>
          <t>SUSTAINED</t>
        </is>
      </c>
    </row>
    <row r="259">
      <c r="A259" s="37" t="inlineStr">
        <is>
          <t>SKP-2025-0258</t>
        </is>
      </c>
      <c r="B259" s="37" t="inlineStr">
        <is>
          <t>OFR-2025-0968</t>
        </is>
      </c>
      <c r="C259" s="43" t="n">
        <v>45674</v>
      </c>
      <c r="D259" s="37" t="inlineStr">
        <is>
          <t>WL-01918</t>
        </is>
      </c>
      <c r="E259" s="37" t="n">
        <v>918</v>
      </c>
      <c r="F259" s="37" t="inlineStr">
        <is>
          <t>GW-0517</t>
        </is>
      </c>
      <c r="G259" s="37" t="inlineStr">
        <is>
          <t>Gullwing</t>
        </is>
      </c>
      <c r="H259" s="37" t="n">
        <v>24</v>
      </c>
      <c r="I259" s="37" t="inlineStr">
        <is>
          <t>not-current</t>
        </is>
      </c>
      <c r="J259" s="37" t="inlineStr">
        <is>
          <t>Y</t>
        </is>
      </c>
      <c r="K259" s="43" t="n">
        <v>45677</v>
      </c>
      <c r="L259" s="37" t="inlineStr">
        <is>
          <t>SUSTAINED</t>
        </is>
      </c>
    </row>
    <row r="260">
      <c r="A260" s="37" t="inlineStr">
        <is>
          <t>SKP-2025-0259</t>
        </is>
      </c>
      <c r="B260" s="37" t="inlineStr">
        <is>
          <t>OFR-2025-0969</t>
        </is>
      </c>
      <c r="C260" s="43" t="n">
        <v>45658</v>
      </c>
      <c r="D260" s="37" t="inlineStr">
        <is>
          <t>WL-01382</t>
        </is>
      </c>
      <c r="E260" s="37" t="n">
        <v>382</v>
      </c>
      <c r="F260" s="37" t="inlineStr">
        <is>
          <t>GW-0908</t>
        </is>
      </c>
      <c r="G260" s="37" t="inlineStr">
        <is>
          <t>Gullwing</t>
        </is>
      </c>
      <c r="H260" s="37" t="n">
        <v>24</v>
      </c>
      <c r="I260" s="37" t="inlineStr">
        <is>
          <t>vessel-fit</t>
        </is>
      </c>
      <c r="J260" s="37" t="inlineStr">
        <is>
          <t>Y</t>
        </is>
      </c>
      <c r="K260" s="43" t="n">
        <v>45661</v>
      </c>
      <c r="L260" s="37" t="inlineStr">
        <is>
          <t>SUSTAINED</t>
        </is>
      </c>
    </row>
    <row r="261">
      <c r="A261" s="37" t="inlineStr">
        <is>
          <t>SKP-2025-0260</t>
        </is>
      </c>
      <c r="B261" s="37" t="inlineStr">
        <is>
          <t>OFR-2025-0970</t>
        </is>
      </c>
      <c r="C261" s="43" t="n">
        <v>45669</v>
      </c>
      <c r="D261" s="37" t="inlineStr">
        <is>
          <t>WL-03888</t>
        </is>
      </c>
      <c r="E261" s="37" t="n">
        <v>2888</v>
      </c>
      <c r="F261" s="37" t="inlineStr">
        <is>
          <t>SB-0603</t>
        </is>
      </c>
      <c r="G261" s="37" t="inlineStr">
        <is>
          <t>Salmonberry</t>
        </is>
      </c>
      <c r="H261" s="37" t="n">
        <v>32</v>
      </c>
      <c r="I261" s="37" t="inlineStr">
        <is>
          <t>declined-prior-offer</t>
        </is>
      </c>
      <c r="J261" s="37" t="inlineStr">
        <is>
          <t>Y</t>
        </is>
      </c>
      <c r="K261" s="43" t="n">
        <v>45671</v>
      </c>
      <c r="L261" s="37" t="inlineStr">
        <is>
          <t>SUSTAINED</t>
        </is>
      </c>
    </row>
    <row r="262">
      <c r="A262" s="37" t="inlineStr">
        <is>
          <t>SKP-2025-0261</t>
        </is>
      </c>
      <c r="B262" s="37" t="inlineStr">
        <is>
          <t>OFR-2025-0974</t>
        </is>
      </c>
      <c r="C262" s="43" t="n">
        <v>45673</v>
      </c>
      <c r="D262" s="37" t="inlineStr">
        <is>
          <t>WL-02733</t>
        </is>
      </c>
      <c r="E262" s="37" t="n">
        <v>1733</v>
      </c>
      <c r="F262" s="37" t="inlineStr">
        <is>
          <t>LP-0803</t>
        </is>
      </c>
      <c r="G262" s="37" t="inlineStr">
        <is>
          <t>Ledgport</t>
        </is>
      </c>
      <c r="H262" s="37" t="n">
        <v>28</v>
      </c>
      <c r="I262" s="37" t="inlineStr">
        <is>
          <t>vessel-fit</t>
        </is>
      </c>
      <c r="J262" s="37" t="inlineStr">
        <is>
          <t>Y</t>
        </is>
      </c>
      <c r="K262" s="43" t="n">
        <v>45677</v>
      </c>
      <c r="L262" s="37" t="inlineStr">
        <is>
          <t>SUSTAINED</t>
        </is>
      </c>
    </row>
    <row r="263">
      <c r="A263" s="37" t="inlineStr">
        <is>
          <t>SKP-2025-0262</t>
        </is>
      </c>
      <c r="B263" s="37" t="inlineStr">
        <is>
          <t>OFR-2025-0985</t>
        </is>
      </c>
      <c r="C263" s="43" t="n">
        <v>45708</v>
      </c>
      <c r="D263" s="37" t="inlineStr">
        <is>
          <t>WL-03244</t>
        </is>
      </c>
      <c r="E263" s="37" t="n">
        <v>2244</v>
      </c>
      <c r="F263" s="37" t="inlineStr">
        <is>
          <t>EW-1015</t>
        </is>
      </c>
      <c r="G263" s="37" t="inlineStr">
        <is>
          <t>Eastwey</t>
        </is>
      </c>
      <c r="H263" s="37" t="n">
        <v>24</v>
      </c>
      <c r="I263" s="37" t="inlineStr">
        <is>
          <t>not-current</t>
        </is>
      </c>
      <c r="J263" s="37" t="inlineStr">
        <is>
          <t>Y</t>
        </is>
      </c>
      <c r="K263" s="43" t="n">
        <v>45711</v>
      </c>
      <c r="L263" s="37" t="inlineStr">
        <is>
          <t>SUSTAINED</t>
        </is>
      </c>
    </row>
    <row r="264">
      <c r="A264" s="37" t="inlineStr">
        <is>
          <t>SKP-2025-0263</t>
        </is>
      </c>
      <c r="B264" s="37" t="inlineStr">
        <is>
          <t>OFR-2025-0999</t>
        </is>
      </c>
      <c r="C264" s="43" t="n">
        <v>45738</v>
      </c>
      <c r="D264" s="37" t="inlineStr">
        <is>
          <t>WL-02067</t>
        </is>
      </c>
      <c r="E264" s="37" t="n">
        <v>1067</v>
      </c>
      <c r="F264" s="37" t="inlineStr">
        <is>
          <t>LP-1107</t>
        </is>
      </c>
      <c r="G264" s="37" t="inlineStr">
        <is>
          <t>Ledgport</t>
        </is>
      </c>
      <c r="H264" s="37" t="n">
        <v>28</v>
      </c>
      <c r="I264" s="37" t="inlineStr">
        <is>
          <t>not-current</t>
        </is>
      </c>
      <c r="J264" s="37" t="inlineStr">
        <is>
          <t>Y</t>
        </is>
      </c>
      <c r="K264" s="43" t="n">
        <v>45738</v>
      </c>
      <c r="L264" s="37" t="inlineStr">
        <is>
          <t>SUSTAINED</t>
        </is>
      </c>
    </row>
    <row r="265">
      <c r="A265" s="37" t="inlineStr">
        <is>
          <t>SKP-2025-0264</t>
        </is>
      </c>
      <c r="B265" s="37" t="inlineStr">
        <is>
          <t>OFR-2025-1001</t>
        </is>
      </c>
      <c r="C265" s="43" t="n">
        <v>45743</v>
      </c>
      <c r="D265" s="37" t="inlineStr">
        <is>
          <t>WL-01523</t>
        </is>
      </c>
      <c r="E265" s="37" t="n">
        <v>523</v>
      </c>
      <c r="F265" s="37" t="inlineStr">
        <is>
          <t>LP-0304</t>
        </is>
      </c>
      <c r="G265" s="37" t="inlineStr">
        <is>
          <t>Ledgport</t>
        </is>
      </c>
      <c r="H265" s="37" t="n">
        <v>36</v>
      </c>
      <c r="I265" s="37" t="inlineStr">
        <is>
          <t>not-current</t>
        </is>
      </c>
      <c r="J265" s="37" t="inlineStr">
        <is>
          <t>Y</t>
        </is>
      </c>
      <c r="K265" s="43" t="n">
        <v>45746</v>
      </c>
      <c r="L265" s="37" t="inlineStr">
        <is>
          <t>SUSTAINED</t>
        </is>
      </c>
    </row>
    <row r="266">
      <c r="A266" s="37" t="inlineStr">
        <is>
          <t>SKP-2025-0265</t>
        </is>
      </c>
      <c r="B266" s="37" t="inlineStr">
        <is>
          <t>OFR-2025-1003</t>
        </is>
      </c>
      <c r="C266" s="43" t="n">
        <v>45728</v>
      </c>
      <c r="D266" s="37" t="inlineStr">
        <is>
          <t>WL-03442</t>
        </is>
      </c>
      <c r="E266" s="37" t="n">
        <v>2442</v>
      </c>
      <c r="F266" s="37" t="inlineStr">
        <is>
          <t>SB-0203</t>
        </is>
      </c>
      <c r="G266" s="37" t="inlineStr">
        <is>
          <t>Salmonberry</t>
        </is>
      </c>
      <c r="H266" s="37" t="n">
        <v>36</v>
      </c>
      <c r="I266" s="37" t="inlineStr">
        <is>
          <t>not-current</t>
        </is>
      </c>
      <c r="J266" s="37" t="inlineStr">
        <is>
          <t>Y</t>
        </is>
      </c>
      <c r="K266" s="43" t="n">
        <v>45733</v>
      </c>
      <c r="L266" s="37" t="inlineStr">
        <is>
          <t>SUSTAINED</t>
        </is>
      </c>
    </row>
    <row r="267">
      <c r="A267" s="37" t="inlineStr">
        <is>
          <t>SKP-2025-0266</t>
        </is>
      </c>
      <c r="B267" s="37" t="inlineStr">
        <is>
          <t>OFR-2025-1005</t>
        </is>
      </c>
      <c r="C267" s="43" t="n">
        <v>45725</v>
      </c>
      <c r="D267" s="37" t="inlineStr">
        <is>
          <t>WL-03604</t>
        </is>
      </c>
      <c r="E267" s="37" t="n">
        <v>2604</v>
      </c>
      <c r="F267" s="37" t="inlineStr">
        <is>
          <t>EW-0909</t>
        </is>
      </c>
      <c r="G267" s="37" t="inlineStr">
        <is>
          <t>Eastwey</t>
        </is>
      </c>
      <c r="H267" s="37" t="n">
        <v>45</v>
      </c>
      <c r="I267" s="37" t="inlineStr">
        <is>
          <t>not-current</t>
        </is>
      </c>
      <c r="J267" s="37" t="inlineStr">
        <is>
          <t>Y</t>
        </is>
      </c>
      <c r="K267" s="43" t="n">
        <v>45728</v>
      </c>
      <c r="L267" s="37" t="inlineStr">
        <is>
          <t>SUSTAINED</t>
        </is>
      </c>
    </row>
    <row r="268">
      <c r="A268" s="37" t="inlineStr">
        <is>
          <t>SKP-2025-0267</t>
        </is>
      </c>
      <c r="B268" s="37" t="inlineStr">
        <is>
          <t>OFR-2025-1010</t>
        </is>
      </c>
      <c r="C268" s="43" t="n">
        <v>45717</v>
      </c>
      <c r="D268" s="37" t="inlineStr">
        <is>
          <t>WL-03815</t>
        </is>
      </c>
      <c r="E268" s="37" t="n">
        <v>2815</v>
      </c>
      <c r="F268" s="37" t="inlineStr">
        <is>
          <t>LP-0324</t>
        </is>
      </c>
      <c r="G268" s="37" t="inlineStr">
        <is>
          <t>Ledgport</t>
        </is>
      </c>
      <c r="H268" s="37" t="n">
        <v>32</v>
      </c>
      <c r="I268" s="37" t="inlineStr">
        <is>
          <t>preference-mismatch</t>
        </is>
      </c>
      <c r="J268" s="37" t="inlineStr">
        <is>
          <t>Y</t>
        </is>
      </c>
      <c r="K268" s="43" t="n">
        <v>45722</v>
      </c>
      <c r="L268" s="37" t="inlineStr">
        <is>
          <t>SUSTAINED</t>
        </is>
      </c>
    </row>
    <row r="269">
      <c r="A269" s="37" t="inlineStr">
        <is>
          <t>SKP-2025-0268</t>
        </is>
      </c>
      <c r="B269" s="37" t="inlineStr">
        <is>
          <t>OFR-2025-1012</t>
        </is>
      </c>
      <c r="C269" s="43" t="n">
        <v>45763</v>
      </c>
      <c r="D269" s="37" t="inlineStr">
        <is>
          <t>WL-01578</t>
        </is>
      </c>
      <c r="E269" s="37" t="n">
        <v>578</v>
      </c>
      <c r="F269" s="37" t="inlineStr">
        <is>
          <t>LP-1108</t>
        </is>
      </c>
      <c r="G269" s="37" t="inlineStr">
        <is>
          <t>Ledgport</t>
        </is>
      </c>
      <c r="H269" s="37" t="n">
        <v>32</v>
      </c>
      <c r="I269" s="37" t="inlineStr">
        <is>
          <t>not-current</t>
        </is>
      </c>
      <c r="J269" s="37" t="inlineStr">
        <is>
          <t>Y</t>
        </is>
      </c>
      <c r="K269" s="43" t="n">
        <v>45768</v>
      </c>
      <c r="L269" s="37" t="inlineStr">
        <is>
          <t>SUSTAINED</t>
        </is>
      </c>
    </row>
    <row r="270">
      <c r="A270" s="37" t="inlineStr">
        <is>
          <t>SKP-2025-0269</t>
        </is>
      </c>
      <c r="B270" s="37" t="inlineStr">
        <is>
          <t>OFR-2025-1018</t>
        </is>
      </c>
      <c r="C270" s="43" t="n">
        <v>45749</v>
      </c>
      <c r="D270" s="37" t="inlineStr">
        <is>
          <t>WL-02178</t>
        </is>
      </c>
      <c r="E270" s="37" t="n">
        <v>1178</v>
      </c>
      <c r="F270" s="37" t="inlineStr">
        <is>
          <t>GW-0201</t>
        </is>
      </c>
      <c r="G270" s="37" t="inlineStr">
        <is>
          <t>Gullwing</t>
        </is>
      </c>
      <c r="H270" s="37" t="n">
        <v>32</v>
      </c>
      <c r="I270" s="37" t="inlineStr">
        <is>
          <t>vessel-fit</t>
        </is>
      </c>
      <c r="J270" s="37" t="inlineStr">
        <is>
          <t>Y</t>
        </is>
      </c>
      <c r="K270" s="43" t="n">
        <v>45751</v>
      </c>
      <c r="L270" s="37" t="inlineStr">
        <is>
          <t>SUSTAINED</t>
        </is>
      </c>
    </row>
    <row r="271">
      <c r="A271" s="37" t="inlineStr">
        <is>
          <t>SKP-2025-0270</t>
        </is>
      </c>
      <c r="B271" s="37" t="inlineStr">
        <is>
          <t>OFR-2025-1023</t>
        </is>
      </c>
      <c r="C271" s="43" t="n">
        <v>45756</v>
      </c>
      <c r="D271" s="37" t="inlineStr">
        <is>
          <t>WL-02653</t>
        </is>
      </c>
      <c r="E271" s="37" t="n">
        <v>1653</v>
      </c>
      <c r="F271" s="37" t="inlineStr">
        <is>
          <t>GW-0615</t>
        </is>
      </c>
      <c r="G271" s="37" t="inlineStr">
        <is>
          <t>Gullwing</t>
        </is>
      </c>
      <c r="H271" s="37" t="n">
        <v>24</v>
      </c>
      <c r="I271" s="37" t="inlineStr">
        <is>
          <t>not-current</t>
        </is>
      </c>
      <c r="J271" s="37" t="inlineStr">
        <is>
          <t>Y</t>
        </is>
      </c>
      <c r="K271" s="43" t="n">
        <v>45757</v>
      </c>
      <c r="L271" s="37" t="inlineStr">
        <is>
          <t>SUSTAINED</t>
        </is>
      </c>
    </row>
    <row r="272">
      <c r="A272" s="37" t="inlineStr">
        <is>
          <t>SKP-2025-0271</t>
        </is>
      </c>
      <c r="B272" s="37" t="inlineStr">
        <is>
          <t>OFR-2025-1028</t>
        </is>
      </c>
      <c r="C272" s="43" t="n">
        <v>45754</v>
      </c>
      <c r="D272" s="37" t="inlineStr">
        <is>
          <t>WL-01808</t>
        </is>
      </c>
      <c r="E272" s="37" t="n">
        <v>808</v>
      </c>
      <c r="F272" s="37" t="inlineStr">
        <is>
          <t>LP-0316</t>
        </is>
      </c>
      <c r="G272" s="37" t="inlineStr">
        <is>
          <t>Ledgport</t>
        </is>
      </c>
      <c r="H272" s="37" t="n">
        <v>40</v>
      </c>
      <c r="I272" s="37" t="inlineStr">
        <is>
          <t>not-current</t>
        </is>
      </c>
      <c r="J272" s="37" t="inlineStr">
        <is>
          <t>Y</t>
        </is>
      </c>
      <c r="K272" s="43" t="n">
        <v>45758</v>
      </c>
      <c r="L272" s="37" t="inlineStr">
        <is>
          <t>SUSTAINED</t>
        </is>
      </c>
    </row>
    <row r="273">
      <c r="A273" s="37" t="inlineStr">
        <is>
          <t>SKP-2025-0272</t>
        </is>
      </c>
      <c r="B273" s="37" t="inlineStr">
        <is>
          <t>OFR-2025-1029</t>
        </is>
      </c>
      <c r="C273" s="43" t="n">
        <v>45769</v>
      </c>
      <c r="D273" s="37" t="inlineStr">
        <is>
          <t>WL-02693</t>
        </is>
      </c>
      <c r="E273" s="37" t="n">
        <v>1693</v>
      </c>
      <c r="F273" s="37" t="inlineStr">
        <is>
          <t>VB-0906</t>
        </is>
      </c>
      <c r="G273" s="37" t="inlineStr">
        <is>
          <t>Vessbank</t>
        </is>
      </c>
      <c r="H273" s="37" t="n">
        <v>36</v>
      </c>
      <c r="I273" s="37" t="inlineStr">
        <is>
          <t>preference-mismatch</t>
        </is>
      </c>
      <c r="J273" s="37" t="inlineStr">
        <is>
          <t>Y</t>
        </is>
      </c>
      <c r="K273" s="43" t="n">
        <v>45771</v>
      </c>
      <c r="L273" s="37" t="inlineStr">
        <is>
          <t>SUSTAINED</t>
        </is>
      </c>
    </row>
    <row r="274">
      <c r="A274" s="37" t="inlineStr">
        <is>
          <t>SKP-2025-0273</t>
        </is>
      </c>
      <c r="B274" s="37" t="inlineStr">
        <is>
          <t>OFR-2025-1030</t>
        </is>
      </c>
      <c r="C274" s="43" t="n">
        <v>45774</v>
      </c>
      <c r="D274" s="37" t="inlineStr">
        <is>
          <t>WL-01328</t>
        </is>
      </c>
      <c r="E274" s="37" t="n">
        <v>328</v>
      </c>
      <c r="F274" s="37" t="inlineStr">
        <is>
          <t>SB-0704</t>
        </is>
      </c>
      <c r="G274" s="37" t="inlineStr">
        <is>
          <t>Salmonberry</t>
        </is>
      </c>
      <c r="H274" s="37" t="n">
        <v>70</v>
      </c>
      <c r="I274" s="37" t="inlineStr">
        <is>
          <t>vessel-fit</t>
        </is>
      </c>
      <c r="J274" s="37" t="inlineStr">
        <is>
          <t>Y</t>
        </is>
      </c>
      <c r="K274" s="43" t="n">
        <v>45779</v>
      </c>
      <c r="L274" s="37" t="inlineStr">
        <is>
          <t>SUSTAINED</t>
        </is>
      </c>
    </row>
    <row r="275">
      <c r="A275" s="37" t="inlineStr">
        <is>
          <t>SKP-2025-0274</t>
        </is>
      </c>
      <c r="B275" s="37" t="inlineStr">
        <is>
          <t>OFR-2025-1032</t>
        </is>
      </c>
      <c r="C275" s="43" t="n">
        <v>45756</v>
      </c>
      <c r="D275" s="37" t="inlineStr">
        <is>
          <t>WL-02188</t>
        </is>
      </c>
      <c r="E275" s="37" t="n">
        <v>1188</v>
      </c>
      <c r="F275" s="37" t="inlineStr">
        <is>
          <t>LP-0817</t>
        </is>
      </c>
      <c r="G275" s="37" t="inlineStr">
        <is>
          <t>Ledgport</t>
        </is>
      </c>
      <c r="H275" s="37" t="n">
        <v>32</v>
      </c>
      <c r="I275" s="37" t="inlineStr">
        <is>
          <t>vessel-fit</t>
        </is>
      </c>
      <c r="J275" s="37" t="inlineStr">
        <is>
          <t>Y</t>
        </is>
      </c>
      <c r="K275" s="43" t="n">
        <v>45757</v>
      </c>
      <c r="L275" s="37" t="inlineStr">
        <is>
          <t>SUSTAINED</t>
        </is>
      </c>
    </row>
    <row r="276">
      <c r="A276" s="37" t="inlineStr">
        <is>
          <t>SKP-2025-0275</t>
        </is>
      </c>
      <c r="B276" s="37" t="inlineStr">
        <is>
          <t>OFR-2025-1037</t>
        </is>
      </c>
      <c r="C276" s="43" t="n">
        <v>45752</v>
      </c>
      <c r="D276" s="37" t="inlineStr">
        <is>
          <t>WL-02524</t>
        </is>
      </c>
      <c r="E276" s="37" t="n">
        <v>1524</v>
      </c>
      <c r="F276" s="37" t="inlineStr">
        <is>
          <t>SB-0102</t>
        </is>
      </c>
      <c r="G276" s="37" t="inlineStr">
        <is>
          <t>Salmonberry</t>
        </is>
      </c>
      <c r="H276" s="37" t="n">
        <v>32</v>
      </c>
      <c r="I276" s="37" t="inlineStr">
        <is>
          <t>vessel-fit</t>
        </is>
      </c>
      <c r="J276" s="37" t="inlineStr">
        <is>
          <t>Y</t>
        </is>
      </c>
      <c r="K276" s="43" t="n">
        <v>45754</v>
      </c>
      <c r="L276" s="37" t="inlineStr">
        <is>
          <t>SUSTAINED</t>
        </is>
      </c>
    </row>
    <row r="277">
      <c r="A277" s="37" t="inlineStr">
        <is>
          <t>SKP-2025-0276</t>
        </is>
      </c>
      <c r="B277" s="37" t="inlineStr">
        <is>
          <t>OFR-2025-1039</t>
        </is>
      </c>
      <c r="C277" s="43" t="n">
        <v>45761</v>
      </c>
      <c r="D277" s="37" t="inlineStr">
        <is>
          <t>WL-02845</t>
        </is>
      </c>
      <c r="E277" s="37" t="n">
        <v>1845</v>
      </c>
      <c r="F277" s="37" t="inlineStr">
        <is>
          <t>SB-0410</t>
        </is>
      </c>
      <c r="G277" s="37" t="inlineStr">
        <is>
          <t>Salmonberry</t>
        </is>
      </c>
      <c r="H277" s="37" t="n">
        <v>24</v>
      </c>
      <c r="I277" s="37" t="inlineStr">
        <is>
          <t>declined-prior-offer</t>
        </is>
      </c>
      <c r="J277" s="37" t="inlineStr">
        <is>
          <t>Y</t>
        </is>
      </c>
      <c r="K277" s="43" t="n">
        <v>45764</v>
      </c>
      <c r="L277" s="37" t="inlineStr">
        <is>
          <t>SUSTAINED</t>
        </is>
      </c>
    </row>
    <row r="278">
      <c r="A278" s="37" t="inlineStr">
        <is>
          <t>SKP-2025-0277</t>
        </is>
      </c>
      <c r="B278" s="37" t="inlineStr">
        <is>
          <t>OFR-2025-1042</t>
        </is>
      </c>
      <c r="C278" s="43" t="n">
        <v>45784</v>
      </c>
      <c r="D278" s="37" t="inlineStr">
        <is>
          <t>WL-03839</t>
        </is>
      </c>
      <c r="E278" s="37" t="n">
        <v>2839</v>
      </c>
      <c r="F278" s="37" t="inlineStr">
        <is>
          <t>EW-0209</t>
        </is>
      </c>
      <c r="G278" s="37" t="inlineStr">
        <is>
          <t>Eastwey</t>
        </is>
      </c>
      <c r="H278" s="37" t="n">
        <v>36</v>
      </c>
      <c r="I278" s="37" t="inlineStr">
        <is>
          <t>vessel-fit</t>
        </is>
      </c>
      <c r="J278" s="37" t="inlineStr">
        <is>
          <t>Y</t>
        </is>
      </c>
      <c r="K278" s="43" t="n">
        <v>45789</v>
      </c>
      <c r="L278" s="37" t="inlineStr">
        <is>
          <t>SUSTAINED</t>
        </is>
      </c>
    </row>
    <row r="279">
      <c r="A279" s="37" t="inlineStr">
        <is>
          <t>SKP-2025-0278</t>
        </is>
      </c>
      <c r="B279" s="37" t="inlineStr">
        <is>
          <t>OFR-2025-1053</t>
        </is>
      </c>
      <c r="C279" s="43" t="n">
        <v>45794</v>
      </c>
      <c r="D279" s="37" t="inlineStr">
        <is>
          <t>WL-03094</t>
        </is>
      </c>
      <c r="E279" s="37" t="n">
        <v>2094</v>
      </c>
      <c r="F279" s="37" t="inlineStr">
        <is>
          <t>LP-0316</t>
        </is>
      </c>
      <c r="G279" s="37" t="inlineStr">
        <is>
          <t>Ledgport</t>
        </is>
      </c>
      <c r="H279" s="37" t="n">
        <v>40</v>
      </c>
      <c r="I279" s="37" t="inlineStr">
        <is>
          <t>vessel-fit</t>
        </is>
      </c>
      <c r="J279" s="37" t="inlineStr">
        <is>
          <t>Y</t>
        </is>
      </c>
      <c r="K279" s="43" t="n">
        <v>45799</v>
      </c>
      <c r="L279" s="37" t="inlineStr">
        <is>
          <t>SUSTAINED</t>
        </is>
      </c>
    </row>
    <row r="280">
      <c r="A280" s="37" t="inlineStr">
        <is>
          <t>SKP-2025-0279</t>
        </is>
      </c>
      <c r="B280" s="37" t="inlineStr">
        <is>
          <t>OFR-2025-1054</t>
        </is>
      </c>
      <c r="C280" s="43" t="n">
        <v>45782</v>
      </c>
      <c r="D280" s="37" t="inlineStr">
        <is>
          <t>WL-03662</t>
        </is>
      </c>
      <c r="E280" s="37" t="n">
        <v>2662</v>
      </c>
      <c r="F280" s="37" t="inlineStr">
        <is>
          <t>VB-0604</t>
        </is>
      </c>
      <c r="G280" s="37" t="inlineStr">
        <is>
          <t>Vessbank</t>
        </is>
      </c>
      <c r="H280" s="37" t="n">
        <v>28</v>
      </c>
      <c r="I280" s="37" t="inlineStr">
        <is>
          <t>not-current</t>
        </is>
      </c>
      <c r="J280" s="37" t="inlineStr">
        <is>
          <t>Y</t>
        </is>
      </c>
      <c r="K280" s="43" t="n">
        <v>45784</v>
      </c>
      <c r="L280" s="37" t="inlineStr">
        <is>
          <t>SUSTAINED</t>
        </is>
      </c>
    </row>
    <row r="281">
      <c r="A281" s="37" t="inlineStr">
        <is>
          <t>SKP-2025-0280</t>
        </is>
      </c>
      <c r="B281" s="37" t="inlineStr">
        <is>
          <t>OFR-2025-1059</t>
        </is>
      </c>
      <c r="C281" s="43" t="n">
        <v>45784</v>
      </c>
      <c r="D281" s="37" t="inlineStr">
        <is>
          <t>WL-01472</t>
        </is>
      </c>
      <c r="E281" s="37" t="n">
        <v>472</v>
      </c>
      <c r="F281" s="37" t="inlineStr">
        <is>
          <t>SB-0720</t>
        </is>
      </c>
      <c r="G281" s="37" t="inlineStr">
        <is>
          <t>Salmonberry</t>
        </is>
      </c>
      <c r="H281" s="37" t="n">
        <v>28</v>
      </c>
      <c r="I281" s="37" t="inlineStr">
        <is>
          <t>preference-mismatch</t>
        </is>
      </c>
      <c r="J281" s="37" t="inlineStr">
        <is>
          <t>Y</t>
        </is>
      </c>
      <c r="K281" s="43" t="n">
        <v>45784</v>
      </c>
      <c r="L281" s="37" t="inlineStr">
        <is>
          <t>SUSTAINED</t>
        </is>
      </c>
    </row>
    <row r="282">
      <c r="A282" s="37" t="inlineStr">
        <is>
          <t>SKP-2025-0281</t>
        </is>
      </c>
      <c r="B282" s="37" t="inlineStr">
        <is>
          <t>OFR-2025-1068</t>
        </is>
      </c>
      <c r="C282" s="43" t="n">
        <v>45787</v>
      </c>
      <c r="D282" s="37" t="inlineStr">
        <is>
          <t>WL-03360</t>
        </is>
      </c>
      <c r="E282" s="37" t="n">
        <v>2360</v>
      </c>
      <c r="F282" s="37" t="inlineStr">
        <is>
          <t>EW-1003</t>
        </is>
      </c>
      <c r="G282" s="37" t="inlineStr">
        <is>
          <t>Eastwey</t>
        </is>
      </c>
      <c r="H282" s="37" t="n">
        <v>40</v>
      </c>
      <c r="I282" s="37" t="inlineStr">
        <is>
          <t>not-current</t>
        </is>
      </c>
      <c r="J282" s="37" t="inlineStr">
        <is>
          <t>Y</t>
        </is>
      </c>
      <c r="K282" s="43" t="n">
        <v>45792</v>
      </c>
      <c r="L282" s="37" t="inlineStr">
        <is>
          <t>SUSTAINED</t>
        </is>
      </c>
    </row>
    <row r="283">
      <c r="A283" s="37" t="inlineStr">
        <is>
          <t>SKP-2025-0282</t>
        </is>
      </c>
      <c r="B283" s="37" t="inlineStr">
        <is>
          <t>OFR-2025-1072</t>
        </is>
      </c>
      <c r="C283" s="43" t="n">
        <v>45826</v>
      </c>
      <c r="D283" s="37" t="inlineStr">
        <is>
          <t>WL-02747</t>
        </is>
      </c>
      <c r="E283" s="37" t="n">
        <v>1747</v>
      </c>
      <c r="F283" s="37" t="inlineStr">
        <is>
          <t>GW-0401</t>
        </is>
      </c>
      <c r="G283" s="37" t="inlineStr">
        <is>
          <t>Gullwing</t>
        </is>
      </c>
      <c r="H283" s="37" t="n">
        <v>45</v>
      </c>
      <c r="I283" s="37" t="inlineStr">
        <is>
          <t>preference-mismatch</t>
        </is>
      </c>
      <c r="J283" s="37" t="inlineStr">
        <is>
          <t>Y</t>
        </is>
      </c>
      <c r="K283" s="43" t="n">
        <v>45827</v>
      </c>
      <c r="L283" s="37" t="inlineStr">
        <is>
          <t>SUSTAINED</t>
        </is>
      </c>
    </row>
    <row r="284">
      <c r="A284" s="37" t="inlineStr">
        <is>
          <t>SKP-2025-0283</t>
        </is>
      </c>
      <c r="B284" s="37" t="inlineStr">
        <is>
          <t>OFR-2025-1075</t>
        </is>
      </c>
      <c r="C284" s="43" t="n">
        <v>45826</v>
      </c>
      <c r="D284" s="37" t="inlineStr">
        <is>
          <t>WL-01333</t>
        </is>
      </c>
      <c r="E284" s="37" t="n">
        <v>333</v>
      </c>
      <c r="F284" s="37" t="inlineStr">
        <is>
          <t>LP-0208</t>
        </is>
      </c>
      <c r="G284" s="37" t="inlineStr">
        <is>
          <t>Ledgport</t>
        </is>
      </c>
      <c r="H284" s="37" t="n">
        <v>32</v>
      </c>
      <c r="I284" s="37" t="inlineStr">
        <is>
          <t>not-current</t>
        </is>
      </c>
      <c r="J284" s="37" t="inlineStr">
        <is>
          <t>Y</t>
        </is>
      </c>
      <c r="K284" s="43" t="n">
        <v>45828</v>
      </c>
      <c r="L284" s="37" t="inlineStr">
        <is>
          <t>SUSTAINED</t>
        </is>
      </c>
    </row>
    <row r="285">
      <c r="A285" s="37" t="inlineStr">
        <is>
          <t>SKP-2025-0284</t>
        </is>
      </c>
      <c r="B285" s="37" t="inlineStr">
        <is>
          <t>OFR-2025-1076</t>
        </is>
      </c>
      <c r="C285" s="43" t="n">
        <v>45823</v>
      </c>
      <c r="D285" s="37" t="inlineStr">
        <is>
          <t>WL-02698</t>
        </is>
      </c>
      <c r="E285" s="37" t="n">
        <v>1698</v>
      </c>
      <c r="F285" s="37" t="inlineStr">
        <is>
          <t>VB-0409</t>
        </is>
      </c>
      <c r="G285" s="37" t="inlineStr">
        <is>
          <t>Vessbank</t>
        </is>
      </c>
      <c r="H285" s="37" t="n">
        <v>32</v>
      </c>
      <c r="I285" s="37" t="inlineStr">
        <is>
          <t>preference-mismatch</t>
        </is>
      </c>
      <c r="J285" s="37" t="inlineStr">
        <is>
          <t>Y</t>
        </is>
      </c>
      <c r="K285" s="43" t="n">
        <v>45825</v>
      </c>
      <c r="L285" s="37" t="inlineStr">
        <is>
          <t>SUSTAINED</t>
        </is>
      </c>
    </row>
    <row r="286">
      <c r="A286" s="37" t="inlineStr">
        <is>
          <t>SKP-2025-0285</t>
        </is>
      </c>
      <c r="B286" s="37" t="inlineStr">
        <is>
          <t>OFR-2025-1079</t>
        </is>
      </c>
      <c r="C286" s="43" t="n">
        <v>45810</v>
      </c>
      <c r="D286" s="37" t="inlineStr">
        <is>
          <t>WL-03047</t>
        </is>
      </c>
      <c r="E286" s="37" t="n">
        <v>2047</v>
      </c>
      <c r="F286" s="37" t="inlineStr">
        <is>
          <t>EW-0415</t>
        </is>
      </c>
      <c r="G286" s="37" t="inlineStr">
        <is>
          <t>Eastwey</t>
        </is>
      </c>
      <c r="H286" s="37" t="n">
        <v>24</v>
      </c>
      <c r="I286" s="37" t="inlineStr">
        <is>
          <t>preference-mismatch</t>
        </is>
      </c>
      <c r="J286" s="37" t="inlineStr">
        <is>
          <t>Y</t>
        </is>
      </c>
      <c r="K286" s="43" t="n">
        <v>45811</v>
      </c>
      <c r="L286" s="37" t="inlineStr">
        <is>
          <t>SUSTAINED</t>
        </is>
      </c>
    </row>
    <row r="287">
      <c r="A287" s="37" t="inlineStr">
        <is>
          <t>SKP-2025-0286</t>
        </is>
      </c>
      <c r="B287" s="37" t="inlineStr">
        <is>
          <t>OFR-2025-1081</t>
        </is>
      </c>
      <c r="C287" s="43" t="n">
        <v>45822</v>
      </c>
      <c r="D287" s="37" t="inlineStr">
        <is>
          <t>WL-01151</t>
        </is>
      </c>
      <c r="E287" s="37" t="n">
        <v>151</v>
      </c>
      <c r="F287" s="37" t="inlineStr">
        <is>
          <t>SB-0804</t>
        </is>
      </c>
      <c r="G287" s="37" t="inlineStr">
        <is>
          <t>Salmonberry</t>
        </is>
      </c>
      <c r="H287" s="37" t="n">
        <v>24</v>
      </c>
      <c r="I287" s="37" t="inlineStr">
        <is>
          <t>not-current</t>
        </is>
      </c>
      <c r="J287" s="37" t="inlineStr">
        <is>
          <t>Y</t>
        </is>
      </c>
      <c r="K287" s="43" t="n">
        <v>45822</v>
      </c>
      <c r="L287" s="37" t="inlineStr">
        <is>
          <t>SUSTAINED</t>
        </is>
      </c>
    </row>
    <row r="288">
      <c r="A288" s="37" t="inlineStr">
        <is>
          <t>SKP-2025-0287</t>
        </is>
      </c>
      <c r="B288" s="37" t="inlineStr">
        <is>
          <t>OFR-2025-1090</t>
        </is>
      </c>
      <c r="C288" s="43" t="n">
        <v>45827</v>
      </c>
      <c r="D288" s="37" t="inlineStr">
        <is>
          <t>WL-02314</t>
        </is>
      </c>
      <c r="E288" s="37" t="n">
        <v>1314</v>
      </c>
      <c r="F288" s="37" t="inlineStr">
        <is>
          <t>LP-0124</t>
        </is>
      </c>
      <c r="G288" s="37" t="inlineStr">
        <is>
          <t>Ledgport</t>
        </is>
      </c>
      <c r="H288" s="37" t="n">
        <v>28</v>
      </c>
      <c r="I288" s="37" t="inlineStr">
        <is>
          <t>not-current</t>
        </is>
      </c>
      <c r="J288" s="37" t="inlineStr">
        <is>
          <t>Y</t>
        </is>
      </c>
      <c r="K288" s="43" t="n">
        <v>45828</v>
      </c>
      <c r="L288" s="37" t="inlineStr">
        <is>
          <t>SUSTAINED</t>
        </is>
      </c>
    </row>
    <row r="289">
      <c r="A289" s="37" t="inlineStr">
        <is>
          <t>SKP-2025-0288</t>
        </is>
      </c>
      <c r="B289" s="37" t="inlineStr">
        <is>
          <t>OFR-2025-1091</t>
        </is>
      </c>
      <c r="C289" s="43" t="n">
        <v>45817</v>
      </c>
      <c r="D289" s="37" t="inlineStr">
        <is>
          <t>WL-02356</t>
        </is>
      </c>
      <c r="E289" s="37" t="n">
        <v>1356</v>
      </c>
      <c r="F289" s="37" t="inlineStr">
        <is>
          <t>SB-0411</t>
        </is>
      </c>
      <c r="G289" s="37" t="inlineStr">
        <is>
          <t>Salmonberry</t>
        </is>
      </c>
      <c r="H289" s="37" t="n">
        <v>24</v>
      </c>
      <c r="I289" s="37" t="inlineStr">
        <is>
          <t>preference-mismatch</t>
        </is>
      </c>
      <c r="J289" s="37" t="inlineStr">
        <is>
          <t>Y</t>
        </is>
      </c>
      <c r="K289" s="43" t="n">
        <v>45818</v>
      </c>
      <c r="L289" s="37" t="inlineStr">
        <is>
          <t>SUSTAINED</t>
        </is>
      </c>
    </row>
    <row r="290">
      <c r="A290" s="37" t="inlineStr">
        <is>
          <t>SKP-2025-0289</t>
        </is>
      </c>
      <c r="B290" s="37" t="inlineStr">
        <is>
          <t>OFR-2025-1098</t>
        </is>
      </c>
      <c r="C290" s="43" t="n">
        <v>45810</v>
      </c>
      <c r="D290" s="37" t="inlineStr">
        <is>
          <t>WL-02013</t>
        </is>
      </c>
      <c r="E290" s="37" t="n">
        <v>1013</v>
      </c>
      <c r="F290" s="37" t="inlineStr">
        <is>
          <t>LP-0901</t>
        </is>
      </c>
      <c r="G290" s="37" t="inlineStr">
        <is>
          <t>Ledgport</t>
        </is>
      </c>
      <c r="H290" s="37" t="n">
        <v>40</v>
      </c>
      <c r="I290" s="37" t="inlineStr">
        <is>
          <t>not-current</t>
        </is>
      </c>
      <c r="J290" s="37" t="inlineStr">
        <is>
          <t>Y</t>
        </is>
      </c>
      <c r="K290" s="43" t="n">
        <v>45815</v>
      </c>
      <c r="L290" s="37" t="inlineStr">
        <is>
          <t>SUSTAINED</t>
        </is>
      </c>
    </row>
    <row r="291">
      <c r="A291" s="37" t="inlineStr">
        <is>
          <t>SKP-2025-0290</t>
        </is>
      </c>
      <c r="B291" s="37" t="inlineStr">
        <is>
          <t>OFR-2025-1101</t>
        </is>
      </c>
      <c r="C291" s="43" t="n">
        <v>45848</v>
      </c>
      <c r="D291" s="37" t="inlineStr">
        <is>
          <t>WL-01813</t>
        </is>
      </c>
      <c r="E291" s="37" t="n">
        <v>813</v>
      </c>
      <c r="F291" s="37" t="inlineStr">
        <is>
          <t>GW-0910</t>
        </is>
      </c>
      <c r="G291" s="37" t="inlineStr">
        <is>
          <t>Gullwing</t>
        </is>
      </c>
      <c r="H291" s="37" t="n">
        <v>50</v>
      </c>
      <c r="I291" s="37" t="inlineStr">
        <is>
          <t>not-current</t>
        </is>
      </c>
      <c r="J291" s="37" t="inlineStr">
        <is>
          <t>Y</t>
        </is>
      </c>
      <c r="K291" s="43" t="n">
        <v>45850</v>
      </c>
      <c r="L291" s="37" t="inlineStr">
        <is>
          <t>SUSTAINED</t>
        </is>
      </c>
    </row>
    <row r="292">
      <c r="A292" s="37" t="inlineStr">
        <is>
          <t>SKP-2025-0291</t>
        </is>
      </c>
      <c r="B292" s="37" t="inlineStr">
        <is>
          <t>OFR-2025-1113</t>
        </is>
      </c>
      <c r="C292" s="43" t="n">
        <v>45863</v>
      </c>
      <c r="D292" s="37" t="inlineStr">
        <is>
          <t>WL-03227</t>
        </is>
      </c>
      <c r="E292" s="37" t="n">
        <v>2227</v>
      </c>
      <c r="F292" s="37" t="inlineStr">
        <is>
          <t>LP-0414</t>
        </is>
      </c>
      <c r="G292" s="37" t="inlineStr">
        <is>
          <t>Ledgport</t>
        </is>
      </c>
      <c r="H292" s="37" t="n">
        <v>40</v>
      </c>
      <c r="I292" s="37" t="inlineStr">
        <is>
          <t>declined-prior-offer</t>
        </is>
      </c>
      <c r="J292" s="37" t="inlineStr">
        <is>
          <t>Y</t>
        </is>
      </c>
      <c r="K292" s="43" t="n">
        <v>45868</v>
      </c>
      <c r="L292" s="37" t="inlineStr">
        <is>
          <t>SUSTAINED</t>
        </is>
      </c>
    </row>
    <row r="293">
      <c r="A293" s="37" t="inlineStr">
        <is>
          <t>SKP-2025-0292</t>
        </is>
      </c>
      <c r="B293" s="37" t="inlineStr">
        <is>
          <t>OFR-2025-1117</t>
        </is>
      </c>
      <c r="C293" s="43" t="n">
        <v>45844</v>
      </c>
      <c r="D293" s="37" t="inlineStr">
        <is>
          <t>WL-02298</t>
        </is>
      </c>
      <c r="E293" s="37" t="n">
        <v>1298</v>
      </c>
      <c r="F293" s="37" t="inlineStr">
        <is>
          <t>GW-1017</t>
        </is>
      </c>
      <c r="G293" s="37" t="inlineStr">
        <is>
          <t>Gullwing</t>
        </is>
      </c>
      <c r="H293" s="37" t="n">
        <v>32</v>
      </c>
      <c r="I293" s="37" t="inlineStr">
        <is>
          <t>vessel-fit</t>
        </is>
      </c>
      <c r="J293" s="37" t="inlineStr">
        <is>
          <t>N</t>
        </is>
      </c>
      <c r="K293" s="43" t="n">
        <v>45849</v>
      </c>
      <c r="L293" s="37" t="inlineStr">
        <is>
          <t>SUSTAINED</t>
        </is>
      </c>
    </row>
    <row r="294">
      <c r="A294" s="37" t="inlineStr">
        <is>
          <t>SKP-2025-0293</t>
        </is>
      </c>
      <c r="B294" s="37" t="inlineStr">
        <is>
          <t>OFR-2025-1123</t>
        </is>
      </c>
      <c r="C294" s="43" t="n">
        <v>45850</v>
      </c>
      <c r="D294" s="37" t="inlineStr">
        <is>
          <t>WL-03516</t>
        </is>
      </c>
      <c r="E294" s="37" t="n">
        <v>2516</v>
      </c>
      <c r="F294" s="37" t="inlineStr">
        <is>
          <t>VB-0209</t>
        </is>
      </c>
      <c r="G294" s="37" t="inlineStr">
        <is>
          <t>Vessbank</t>
        </is>
      </c>
      <c r="H294" s="37" t="n">
        <v>32</v>
      </c>
      <c r="I294" s="37" t="inlineStr">
        <is>
          <t>preference-mismatch</t>
        </is>
      </c>
      <c r="J294" s="37" t="inlineStr">
        <is>
          <t>Y</t>
        </is>
      </c>
      <c r="K294" s="43" t="n">
        <v>45852</v>
      </c>
      <c r="L294" s="37" t="inlineStr">
        <is>
          <t>SUSTAINED</t>
        </is>
      </c>
    </row>
    <row r="295">
      <c r="A295" s="37" t="inlineStr">
        <is>
          <t>SKP-2025-0294</t>
        </is>
      </c>
      <c r="B295" s="37" t="inlineStr">
        <is>
          <t>OFR-2025-1124</t>
        </is>
      </c>
      <c r="C295" s="43" t="n">
        <v>45849</v>
      </c>
      <c r="D295" s="37" t="inlineStr">
        <is>
          <t>WL-03579</t>
        </is>
      </c>
      <c r="E295" s="37" t="n">
        <v>2579</v>
      </c>
      <c r="F295" s="37" t="inlineStr">
        <is>
          <t>LP-0816</t>
        </is>
      </c>
      <c r="G295" s="37" t="inlineStr">
        <is>
          <t>Ledgport</t>
        </is>
      </c>
      <c r="H295" s="37" t="n">
        <v>28</v>
      </c>
      <c r="I295" s="37" t="inlineStr">
        <is>
          <t>declined-prior-offer</t>
        </is>
      </c>
      <c r="J295" s="37" t="inlineStr">
        <is>
          <t>Y</t>
        </is>
      </c>
      <c r="K295" s="43" t="n">
        <v>45851</v>
      </c>
      <c r="L295" s="37" t="inlineStr">
        <is>
          <t>SUSTAINED</t>
        </is>
      </c>
    </row>
    <row r="296">
      <c r="A296" s="37" t="inlineStr">
        <is>
          <t>SKP-2025-0295</t>
        </is>
      </c>
      <c r="B296" s="37" t="inlineStr">
        <is>
          <t>OFR-2025-1125</t>
        </is>
      </c>
      <c r="C296" s="43" t="n">
        <v>45855</v>
      </c>
      <c r="D296" s="37" t="inlineStr">
        <is>
          <t>WL-03248</t>
        </is>
      </c>
      <c r="E296" s="37" t="n">
        <v>2248</v>
      </c>
      <c r="F296" s="37" t="inlineStr">
        <is>
          <t>LP-0616</t>
        </is>
      </c>
      <c r="G296" s="37" t="inlineStr">
        <is>
          <t>Ledgport</t>
        </is>
      </c>
      <c r="H296" s="37" t="n">
        <v>24</v>
      </c>
      <c r="I296" s="37" t="inlineStr">
        <is>
          <t>preference-mismatch</t>
        </is>
      </c>
      <c r="J296" s="37" t="inlineStr">
        <is>
          <t>Y</t>
        </is>
      </c>
      <c r="K296" s="43" t="n">
        <v>45855</v>
      </c>
      <c r="L296" s="37" t="inlineStr">
        <is>
          <t>SUSTAINED</t>
        </is>
      </c>
    </row>
    <row r="297">
      <c r="A297" s="37" t="inlineStr">
        <is>
          <t>SKP-2025-0296</t>
        </is>
      </c>
      <c r="B297" s="37" t="inlineStr">
        <is>
          <t>OFR-2025-1126</t>
        </is>
      </c>
      <c r="C297" s="43" t="n">
        <v>45860</v>
      </c>
      <c r="D297" s="37" t="inlineStr">
        <is>
          <t>WL-03526</t>
        </is>
      </c>
      <c r="E297" s="37" t="n">
        <v>2526</v>
      </c>
      <c r="F297" s="37" t="inlineStr">
        <is>
          <t>SB-0102</t>
        </is>
      </c>
      <c r="G297" s="37" t="inlineStr">
        <is>
          <t>Salmonberry</t>
        </is>
      </c>
      <c r="H297" s="37" t="n">
        <v>32</v>
      </c>
      <c r="I297" s="37" t="inlineStr">
        <is>
          <t>preference-mismatch</t>
        </is>
      </c>
      <c r="J297" s="37" t="inlineStr">
        <is>
          <t>Y</t>
        </is>
      </c>
      <c r="K297" s="43" t="n">
        <v>45860</v>
      </c>
      <c r="L297" s="37" t="inlineStr">
        <is>
          <t>SUSTAINED</t>
        </is>
      </c>
    </row>
    <row r="298">
      <c r="A298" s="37" t="inlineStr">
        <is>
          <t>SKP-2025-0297</t>
        </is>
      </c>
      <c r="B298" s="37" t="inlineStr">
        <is>
          <t>OFR-2025-1129</t>
        </is>
      </c>
      <c r="C298" s="43" t="n">
        <v>45866</v>
      </c>
      <c r="D298" s="37" t="inlineStr">
        <is>
          <t>WL-03094</t>
        </is>
      </c>
      <c r="E298" s="37" t="n">
        <v>2094</v>
      </c>
      <c r="F298" s="37" t="inlineStr">
        <is>
          <t>GW-0103</t>
        </is>
      </c>
      <c r="G298" s="37" t="inlineStr">
        <is>
          <t>Gullwing</t>
        </is>
      </c>
      <c r="H298" s="37" t="n">
        <v>45</v>
      </c>
      <c r="I298" s="37" t="inlineStr">
        <is>
          <t>not-current</t>
        </is>
      </c>
      <c r="J298" s="37" t="inlineStr">
        <is>
          <t>N</t>
        </is>
      </c>
      <c r="K298" s="43" t="n">
        <v>45866</v>
      </c>
      <c r="L298" s="37" t="inlineStr">
        <is>
          <t>SUSTAINED</t>
        </is>
      </c>
    </row>
    <row r="299">
      <c r="A299" s="37" t="inlineStr">
        <is>
          <t>SKP-2025-0298</t>
        </is>
      </c>
      <c r="B299" s="37" t="inlineStr">
        <is>
          <t>OFR-2025-1134</t>
        </is>
      </c>
      <c r="C299" s="43" t="n">
        <v>45895</v>
      </c>
      <c r="D299" s="37" t="inlineStr">
        <is>
          <t>WL-02774</t>
        </is>
      </c>
      <c r="E299" s="37" t="n">
        <v>1774</v>
      </c>
      <c r="F299" s="37" t="inlineStr">
        <is>
          <t>LP-0208</t>
        </is>
      </c>
      <c r="G299" s="37" t="inlineStr">
        <is>
          <t>Ledgport</t>
        </is>
      </c>
      <c r="H299" s="37" t="n">
        <v>32</v>
      </c>
      <c r="I299" s="37" t="inlineStr">
        <is>
          <t>declined-prior-offer</t>
        </is>
      </c>
      <c r="J299" s="37" t="inlineStr">
        <is>
          <t>Y</t>
        </is>
      </c>
      <c r="K299" s="43" t="n">
        <v>45898</v>
      </c>
      <c r="L299" s="37" t="inlineStr">
        <is>
          <t>SUSTAINED</t>
        </is>
      </c>
    </row>
    <row r="300">
      <c r="A300" s="37" t="inlineStr">
        <is>
          <t>SKP-2025-0299</t>
        </is>
      </c>
      <c r="B300" s="37" t="inlineStr">
        <is>
          <t>OFR-2025-1136</t>
        </is>
      </c>
      <c r="C300" s="43" t="n">
        <v>45895</v>
      </c>
      <c r="D300" s="37" t="inlineStr">
        <is>
          <t>WL-03311</t>
        </is>
      </c>
      <c r="E300" s="37" t="n">
        <v>2311</v>
      </c>
      <c r="F300" s="37" t="inlineStr">
        <is>
          <t>GW-0116</t>
        </is>
      </c>
      <c r="G300" s="37" t="inlineStr">
        <is>
          <t>Gullwing</t>
        </is>
      </c>
      <c r="H300" s="37" t="n">
        <v>32</v>
      </c>
      <c r="I300" s="37" t="inlineStr">
        <is>
          <t>preference-mismatch</t>
        </is>
      </c>
      <c r="J300" s="37" t="inlineStr">
        <is>
          <t>Y</t>
        </is>
      </c>
      <c r="K300" s="43" t="n">
        <v>45899</v>
      </c>
      <c r="L300" s="37" t="inlineStr">
        <is>
          <t>SUSTAINED</t>
        </is>
      </c>
    </row>
    <row r="301">
      <c r="A301" s="37" t="inlineStr">
        <is>
          <t>SKP-2025-0300</t>
        </is>
      </c>
      <c r="B301" s="37" t="inlineStr">
        <is>
          <t>OFR-2025-1138</t>
        </is>
      </c>
      <c r="C301" s="43" t="n">
        <v>45887</v>
      </c>
      <c r="D301" s="37" t="inlineStr">
        <is>
          <t>WL-01537</t>
        </is>
      </c>
      <c r="E301" s="37" t="n">
        <v>537</v>
      </c>
      <c r="F301" s="37" t="inlineStr">
        <is>
          <t>GW-0701</t>
        </is>
      </c>
      <c r="G301" s="37" t="inlineStr">
        <is>
          <t>Gullwing</t>
        </is>
      </c>
      <c r="H301" s="37" t="n">
        <v>80</v>
      </c>
      <c r="I301" s="37" t="inlineStr">
        <is>
          <t>vessel-fit</t>
        </is>
      </c>
      <c r="J301" s="37" t="inlineStr">
        <is>
          <t>Y</t>
        </is>
      </c>
      <c r="K301" s="43" t="n">
        <v>45891</v>
      </c>
      <c r="L301" s="37" t="inlineStr">
        <is>
          <t>SUSTAINED</t>
        </is>
      </c>
    </row>
    <row r="302">
      <c r="A302" s="37" t="inlineStr">
        <is>
          <t>SKP-2025-0301</t>
        </is>
      </c>
      <c r="B302" s="37" t="inlineStr">
        <is>
          <t>OFR-2025-1143</t>
        </is>
      </c>
      <c r="C302" s="43" t="n">
        <v>45895</v>
      </c>
      <c r="D302" s="37" t="inlineStr">
        <is>
          <t>WL-01788</t>
        </is>
      </c>
      <c r="E302" s="37" t="n">
        <v>788</v>
      </c>
      <c r="F302" s="37" t="inlineStr">
        <is>
          <t>GW-0305</t>
        </is>
      </c>
      <c r="G302" s="37" t="inlineStr">
        <is>
          <t>Gullwing</t>
        </is>
      </c>
      <c r="H302" s="37" t="n">
        <v>80</v>
      </c>
      <c r="I302" s="37" t="inlineStr">
        <is>
          <t>vessel-fit</t>
        </is>
      </c>
      <c r="J302" s="37" t="inlineStr">
        <is>
          <t>Y</t>
        </is>
      </c>
      <c r="K302" s="43" t="n">
        <v>45897</v>
      </c>
      <c r="L302" s="37" t="inlineStr">
        <is>
          <t>SUSTAINED</t>
        </is>
      </c>
    </row>
    <row r="303">
      <c r="A303" s="37" t="inlineStr">
        <is>
          <t>SKP-2025-0302</t>
        </is>
      </c>
      <c r="B303" s="37" t="inlineStr">
        <is>
          <t>OFR-2025-1147</t>
        </is>
      </c>
      <c r="C303" s="43" t="n">
        <v>45891</v>
      </c>
      <c r="D303" s="37" t="inlineStr">
        <is>
          <t>WL-01702</t>
        </is>
      </c>
      <c r="E303" s="37" t="n">
        <v>702</v>
      </c>
      <c r="F303" s="37" t="inlineStr">
        <is>
          <t>VB-1014</t>
        </is>
      </c>
      <c r="G303" s="37" t="inlineStr">
        <is>
          <t>Vessbank</t>
        </is>
      </c>
      <c r="H303" s="37" t="n">
        <v>36</v>
      </c>
      <c r="I303" s="37" t="inlineStr">
        <is>
          <t>vessel-fit</t>
        </is>
      </c>
      <c r="J303" s="37" t="inlineStr">
        <is>
          <t>Y</t>
        </is>
      </c>
      <c r="K303" s="43" t="n">
        <v>45896</v>
      </c>
      <c r="L303" s="37" t="inlineStr">
        <is>
          <t>SUSTAINED</t>
        </is>
      </c>
    </row>
    <row r="304">
      <c r="A304" s="37" t="inlineStr">
        <is>
          <t>SKP-2025-0303</t>
        </is>
      </c>
      <c r="B304" s="37" t="inlineStr">
        <is>
          <t>OFR-2025-1153</t>
        </is>
      </c>
      <c r="C304" s="43" t="n">
        <v>45879</v>
      </c>
      <c r="D304" s="37" t="inlineStr">
        <is>
          <t>WL-02607</t>
        </is>
      </c>
      <c r="E304" s="37" t="n">
        <v>1607</v>
      </c>
      <c r="F304" s="37" t="inlineStr">
        <is>
          <t>LP-1024</t>
        </is>
      </c>
      <c r="G304" s="37" t="inlineStr">
        <is>
          <t>Ledgport</t>
        </is>
      </c>
      <c r="H304" s="37" t="n">
        <v>32</v>
      </c>
      <c r="I304" s="37" t="inlineStr">
        <is>
          <t>vessel-fit</t>
        </is>
      </c>
      <c r="J304" s="37" t="inlineStr">
        <is>
          <t>Y</t>
        </is>
      </c>
      <c r="K304" s="43" t="n">
        <v>45882</v>
      </c>
      <c r="L304" s="37" t="inlineStr">
        <is>
          <t>SUSTAINED</t>
        </is>
      </c>
    </row>
    <row r="305">
      <c r="A305" s="37" t="inlineStr">
        <is>
          <t>SKP-2025-0304</t>
        </is>
      </c>
      <c r="B305" s="37" t="inlineStr">
        <is>
          <t>OFR-2025-1155</t>
        </is>
      </c>
      <c r="C305" s="43" t="n">
        <v>45884</v>
      </c>
      <c r="D305" s="37" t="inlineStr">
        <is>
          <t>WL-03314</t>
        </is>
      </c>
      <c r="E305" s="37" t="n">
        <v>2314</v>
      </c>
      <c r="F305" s="37" t="inlineStr">
        <is>
          <t>LP-0319</t>
        </is>
      </c>
      <c r="G305" s="37" t="inlineStr">
        <is>
          <t>Ledgport</t>
        </is>
      </c>
      <c r="H305" s="37" t="n">
        <v>32</v>
      </c>
      <c r="I305" s="37" t="inlineStr">
        <is>
          <t>preference-mismatch</t>
        </is>
      </c>
      <c r="J305" s="37" t="inlineStr">
        <is>
          <t>Y</t>
        </is>
      </c>
      <c r="K305" s="43" t="n">
        <v>45884</v>
      </c>
      <c r="L305" s="37" t="inlineStr">
        <is>
          <t>SUSTAINED</t>
        </is>
      </c>
    </row>
    <row r="306">
      <c r="A306" s="37" t="inlineStr">
        <is>
          <t>SKP-2025-0305</t>
        </is>
      </c>
      <c r="B306" s="37" t="inlineStr">
        <is>
          <t>OFR-2025-1157</t>
        </is>
      </c>
      <c r="C306" s="43" t="n">
        <v>45883</v>
      </c>
      <c r="D306" s="37" t="inlineStr">
        <is>
          <t>WL-03134</t>
        </is>
      </c>
      <c r="E306" s="37" t="n">
        <v>2134</v>
      </c>
      <c r="F306" s="37" t="inlineStr">
        <is>
          <t>SB-0624</t>
        </is>
      </c>
      <c r="G306" s="37" t="inlineStr">
        <is>
          <t>Salmonberry</t>
        </is>
      </c>
      <c r="H306" s="37" t="n">
        <v>24</v>
      </c>
      <c r="I306" s="37" t="inlineStr">
        <is>
          <t>vessel-fit</t>
        </is>
      </c>
      <c r="J306" s="37" t="inlineStr">
        <is>
          <t>Y</t>
        </is>
      </c>
      <c r="K306" s="43" t="n">
        <v>45883</v>
      </c>
      <c r="L306" s="37" t="inlineStr">
        <is>
          <t>SUSTAINED</t>
        </is>
      </c>
    </row>
    <row r="307">
      <c r="A307" s="37" t="inlineStr">
        <is>
          <t>SKP-2025-0306</t>
        </is>
      </c>
      <c r="B307" s="37" t="inlineStr">
        <is>
          <t>OFR-2025-1160</t>
        </is>
      </c>
      <c r="C307" s="43" t="n">
        <v>45877</v>
      </c>
      <c r="D307" s="37" t="inlineStr">
        <is>
          <t>WL-02912</t>
        </is>
      </c>
      <c r="E307" s="37" t="n">
        <v>1912</v>
      </c>
      <c r="F307" s="37" t="inlineStr">
        <is>
          <t>SB-0420</t>
        </is>
      </c>
      <c r="G307" s="37" t="inlineStr">
        <is>
          <t>Salmonberry</t>
        </is>
      </c>
      <c r="H307" s="37" t="n">
        <v>32</v>
      </c>
      <c r="I307" s="37" t="inlineStr">
        <is>
          <t>preference-mismatch</t>
        </is>
      </c>
      <c r="J307" s="37" t="inlineStr">
        <is>
          <t>Y</t>
        </is>
      </c>
      <c r="K307" s="43" t="n">
        <v>45881</v>
      </c>
      <c r="L307" s="37" t="inlineStr">
        <is>
          <t>SUSTAINED</t>
        </is>
      </c>
    </row>
    <row r="308">
      <c r="A308" s="37" t="inlineStr">
        <is>
          <t>SKP-2025-0307</t>
        </is>
      </c>
      <c r="B308" s="37" t="inlineStr">
        <is>
          <t>OFR-2025-1164</t>
        </is>
      </c>
      <c r="C308" s="43" t="n">
        <v>45874</v>
      </c>
      <c r="D308" s="37" t="inlineStr">
        <is>
          <t>WL-02323</t>
        </is>
      </c>
      <c r="E308" s="37" t="n">
        <v>1323</v>
      </c>
      <c r="F308" s="37" t="inlineStr">
        <is>
          <t>EW-0118</t>
        </is>
      </c>
      <c r="G308" s="37" t="inlineStr">
        <is>
          <t>Eastwey</t>
        </is>
      </c>
      <c r="H308" s="37" t="n">
        <v>45</v>
      </c>
      <c r="I308" s="37" t="inlineStr">
        <is>
          <t>not-current</t>
        </is>
      </c>
      <c r="J308" s="37" t="inlineStr">
        <is>
          <t>Y</t>
        </is>
      </c>
      <c r="K308" s="43" t="n">
        <v>45879</v>
      </c>
      <c r="L308" s="37" t="inlineStr">
        <is>
          <t>SUSTAINED</t>
        </is>
      </c>
    </row>
    <row r="309">
      <c r="A309" s="37" t="inlineStr">
        <is>
          <t>SKP-2025-0308</t>
        </is>
      </c>
      <c r="B309" s="37" t="inlineStr">
        <is>
          <t>OFR-2025-1165</t>
        </is>
      </c>
      <c r="C309" s="43" t="n">
        <v>45872</v>
      </c>
      <c r="D309" s="37" t="inlineStr">
        <is>
          <t>WL-03481</t>
        </is>
      </c>
      <c r="E309" s="37" t="n">
        <v>2481</v>
      </c>
      <c r="F309" s="37" t="inlineStr">
        <is>
          <t>GW-0915</t>
        </is>
      </c>
      <c r="G309" s="37" t="inlineStr">
        <is>
          <t>Gullwing</t>
        </is>
      </c>
      <c r="H309" s="37" t="n">
        <v>32</v>
      </c>
      <c r="I309" s="37" t="inlineStr">
        <is>
          <t>vessel-fit</t>
        </is>
      </c>
      <c r="J309" s="37" t="inlineStr">
        <is>
          <t>Y</t>
        </is>
      </c>
      <c r="K309" s="43" t="n">
        <v>45875</v>
      </c>
      <c r="L309" s="37" t="inlineStr">
        <is>
          <t>SUSTAINED</t>
        </is>
      </c>
    </row>
    <row r="310">
      <c r="A310" s="37" t="inlineStr">
        <is>
          <t>SKP-2025-0309</t>
        </is>
      </c>
      <c r="B310" s="37" t="inlineStr">
        <is>
          <t>OFR-2025-1167</t>
        </is>
      </c>
      <c r="C310" s="43" t="n">
        <v>45897</v>
      </c>
      <c r="D310" s="37" t="inlineStr">
        <is>
          <t>WL-02838</t>
        </is>
      </c>
      <c r="E310" s="37" t="n">
        <v>1838</v>
      </c>
      <c r="F310" s="37" t="inlineStr">
        <is>
          <t>LP-0413</t>
        </is>
      </c>
      <c r="G310" s="37" t="inlineStr">
        <is>
          <t>Ledgport</t>
        </is>
      </c>
      <c r="H310" s="37" t="n">
        <v>28</v>
      </c>
      <c r="I310" s="37" t="inlineStr">
        <is>
          <t>declined-prior-offer</t>
        </is>
      </c>
      <c r="J310" s="37" t="inlineStr">
        <is>
          <t>N</t>
        </is>
      </c>
      <c r="K310" s="43" t="n">
        <v>45898</v>
      </c>
      <c r="L310" s="37" t="inlineStr">
        <is>
          <t>SUSTAINED</t>
        </is>
      </c>
    </row>
    <row r="311">
      <c r="A311" s="37" t="inlineStr">
        <is>
          <t>SKP-2025-0310</t>
        </is>
      </c>
      <c r="B311" s="37" t="inlineStr">
        <is>
          <t>OFR-2025-1168</t>
        </is>
      </c>
      <c r="C311" s="43" t="n">
        <v>45897</v>
      </c>
      <c r="D311" s="37" t="inlineStr">
        <is>
          <t>WL-01617</t>
        </is>
      </c>
      <c r="E311" s="37" t="n">
        <v>617</v>
      </c>
      <c r="F311" s="37" t="inlineStr">
        <is>
          <t>VB-0813</t>
        </is>
      </c>
      <c r="G311" s="37" t="inlineStr">
        <is>
          <t>Vessbank</t>
        </is>
      </c>
      <c r="H311" s="37" t="n">
        <v>28</v>
      </c>
      <c r="I311" s="37" t="inlineStr">
        <is>
          <t>vessel-fit</t>
        </is>
      </c>
      <c r="J311" s="37" t="inlineStr">
        <is>
          <t>Y</t>
        </is>
      </c>
      <c r="K311" s="43" t="n">
        <v>45902</v>
      </c>
      <c r="L311" s="37" t="inlineStr">
        <is>
          <t>SUSTAINED</t>
        </is>
      </c>
    </row>
    <row r="312">
      <c r="A312" s="37" t="inlineStr">
        <is>
          <t>SKP-2025-0311</t>
        </is>
      </c>
      <c r="B312" s="37" t="inlineStr">
        <is>
          <t>OFR-2025-1171</t>
        </is>
      </c>
      <c r="C312" s="43" t="n">
        <v>45888</v>
      </c>
      <c r="D312" s="37" t="inlineStr">
        <is>
          <t>WL-01843</t>
        </is>
      </c>
      <c r="E312" s="37" t="n">
        <v>843</v>
      </c>
      <c r="F312" s="37" t="inlineStr">
        <is>
          <t>SB-0109</t>
        </is>
      </c>
      <c r="G312" s="37" t="inlineStr">
        <is>
          <t>Salmonberry</t>
        </is>
      </c>
      <c r="H312" s="37" t="n">
        <v>32</v>
      </c>
      <c r="I312" s="37" t="inlineStr">
        <is>
          <t>preference-mismatch</t>
        </is>
      </c>
      <c r="J312" s="37" t="inlineStr">
        <is>
          <t>Y</t>
        </is>
      </c>
      <c r="K312" s="43" t="n">
        <v>45892</v>
      </c>
      <c r="L312" s="37" t="inlineStr">
        <is>
          <t>SUSTAINED</t>
        </is>
      </c>
    </row>
    <row r="313">
      <c r="A313" s="37" t="inlineStr">
        <is>
          <t>SKP-2025-0312</t>
        </is>
      </c>
      <c r="B313" s="37" t="inlineStr">
        <is>
          <t>OFR-2025-1181</t>
        </is>
      </c>
      <c r="C313" s="43" t="n">
        <v>45917</v>
      </c>
      <c r="D313" s="37" t="inlineStr">
        <is>
          <t>WL-01715</t>
        </is>
      </c>
      <c r="E313" s="37" t="n">
        <v>715</v>
      </c>
      <c r="F313" s="37" t="inlineStr">
        <is>
          <t>GW-0216</t>
        </is>
      </c>
      <c r="G313" s="37" t="inlineStr">
        <is>
          <t>Gullwing</t>
        </is>
      </c>
      <c r="H313" s="37" t="n">
        <v>80</v>
      </c>
      <c r="I313" s="37" t="inlineStr">
        <is>
          <t>vessel-fit</t>
        </is>
      </c>
      <c r="J313" s="37" t="inlineStr">
        <is>
          <t>Y</t>
        </is>
      </c>
      <c r="K313" s="43" t="n">
        <v>45922</v>
      </c>
      <c r="L313" s="37" t="inlineStr">
        <is>
          <t>SUSTAINED</t>
        </is>
      </c>
    </row>
    <row r="314">
      <c r="A314" s="37" t="inlineStr">
        <is>
          <t>SKP-2025-0313</t>
        </is>
      </c>
      <c r="B314" s="37" t="inlineStr">
        <is>
          <t>OFR-2025-1182</t>
        </is>
      </c>
      <c r="C314" s="43" t="n">
        <v>45903</v>
      </c>
      <c r="D314" s="37" t="inlineStr">
        <is>
          <t>WL-01334</t>
        </is>
      </c>
      <c r="E314" s="37" t="n">
        <v>334</v>
      </c>
      <c r="F314" s="37" t="inlineStr">
        <is>
          <t>LP-0514</t>
        </is>
      </c>
      <c r="G314" s="37" t="inlineStr">
        <is>
          <t>Ledgport</t>
        </is>
      </c>
      <c r="H314" s="37" t="n">
        <v>28</v>
      </c>
      <c r="I314" s="37" t="inlineStr">
        <is>
          <t>not-current</t>
        </is>
      </c>
      <c r="J314" s="37" t="inlineStr">
        <is>
          <t>Y</t>
        </is>
      </c>
      <c r="K314" s="43" t="n">
        <v>45908</v>
      </c>
      <c r="L314" s="37" t="inlineStr">
        <is>
          <t>SUSTAINED</t>
        </is>
      </c>
    </row>
    <row r="315">
      <c r="A315" s="37" t="inlineStr">
        <is>
          <t>SKP-2025-0314</t>
        </is>
      </c>
      <c r="B315" s="37" t="inlineStr">
        <is>
          <t>OFR-2025-1185</t>
        </is>
      </c>
      <c r="C315" s="43" t="n">
        <v>45917</v>
      </c>
      <c r="D315" s="37" t="inlineStr">
        <is>
          <t>WL-02428</t>
        </is>
      </c>
      <c r="E315" s="37" t="n">
        <v>1428</v>
      </c>
      <c r="F315" s="37" t="inlineStr">
        <is>
          <t>SB-0109</t>
        </is>
      </c>
      <c r="G315" s="37" t="inlineStr">
        <is>
          <t>Salmonberry</t>
        </is>
      </c>
      <c r="H315" s="37" t="n">
        <v>32</v>
      </c>
      <c r="I315" s="37" t="inlineStr">
        <is>
          <t>vessel-fit</t>
        </is>
      </c>
      <c r="J315" s="37" t="inlineStr">
        <is>
          <t>Y</t>
        </is>
      </c>
      <c r="K315" s="43" t="n">
        <v>45919</v>
      </c>
      <c r="L315" s="37" t="inlineStr">
        <is>
          <t>SUSTAINED</t>
        </is>
      </c>
    </row>
    <row r="316">
      <c r="A316" s="37" t="inlineStr">
        <is>
          <t>SKP-2025-0315</t>
        </is>
      </c>
      <c r="B316" s="37" t="inlineStr">
        <is>
          <t>OFR-2025-1188</t>
        </is>
      </c>
      <c r="C316" s="43" t="n">
        <v>45922</v>
      </c>
      <c r="D316" s="37" t="inlineStr">
        <is>
          <t>WL-03861</t>
        </is>
      </c>
      <c r="E316" s="37" t="n">
        <v>2861</v>
      </c>
      <c r="F316" s="37" t="inlineStr">
        <is>
          <t>VB-0123</t>
        </is>
      </c>
      <c r="G316" s="37" t="inlineStr">
        <is>
          <t>Vessbank</t>
        </is>
      </c>
      <c r="H316" s="37" t="n">
        <v>36</v>
      </c>
      <c r="I316" s="37" t="inlineStr">
        <is>
          <t>not-current</t>
        </is>
      </c>
      <c r="J316" s="37" t="inlineStr">
        <is>
          <t>Y</t>
        </is>
      </c>
      <c r="K316" s="43" t="n">
        <v>45922</v>
      </c>
      <c r="L316" s="37" t="inlineStr">
        <is>
          <t>SUSTAINED</t>
        </is>
      </c>
    </row>
    <row r="317">
      <c r="A317" s="37" t="inlineStr">
        <is>
          <t>SKP-2025-0316</t>
        </is>
      </c>
      <c r="B317" s="37" t="inlineStr">
        <is>
          <t>OFR-2025-1189</t>
        </is>
      </c>
      <c r="C317" s="43" t="n">
        <v>45920</v>
      </c>
      <c r="D317" s="37" t="inlineStr">
        <is>
          <t>WL-02153</t>
        </is>
      </c>
      <c r="E317" s="37" t="n">
        <v>1153</v>
      </c>
      <c r="F317" s="37" t="inlineStr">
        <is>
          <t>LP-0113</t>
        </is>
      </c>
      <c r="G317" s="37" t="inlineStr">
        <is>
          <t>Ledgport</t>
        </is>
      </c>
      <c r="H317" s="37" t="n">
        <v>36</v>
      </c>
      <c r="I317" s="37" t="inlineStr">
        <is>
          <t>preference-mismatch</t>
        </is>
      </c>
      <c r="J317" s="37" t="inlineStr">
        <is>
          <t>Y</t>
        </is>
      </c>
      <c r="K317" s="43" t="n">
        <v>45920</v>
      </c>
      <c r="L317" s="37" t="inlineStr">
        <is>
          <t>SUSTAINED</t>
        </is>
      </c>
    </row>
    <row r="318">
      <c r="A318" s="37" t="inlineStr">
        <is>
          <t>SKP-2025-0317</t>
        </is>
      </c>
      <c r="B318" s="37" t="inlineStr">
        <is>
          <t>OFR-2025-1195</t>
        </is>
      </c>
      <c r="C318" s="43" t="n">
        <v>45923</v>
      </c>
      <c r="D318" s="37" t="inlineStr">
        <is>
          <t>WL-02445</t>
        </is>
      </c>
      <c r="E318" s="37" t="n">
        <v>1445</v>
      </c>
      <c r="F318" s="37" t="inlineStr">
        <is>
          <t>SB-0222</t>
        </is>
      </c>
      <c r="G318" s="37" t="inlineStr">
        <is>
          <t>Salmonberry</t>
        </is>
      </c>
      <c r="H318" s="37" t="n">
        <v>32</v>
      </c>
      <c r="I318" s="37" t="inlineStr">
        <is>
          <t>vessel-fit</t>
        </is>
      </c>
      <c r="J318" s="37" t="inlineStr">
        <is>
          <t>Y</t>
        </is>
      </c>
      <c r="K318" s="43" t="n">
        <v>45924</v>
      </c>
      <c r="L318" s="37" t="inlineStr">
        <is>
          <t>SUSTAINED</t>
        </is>
      </c>
    </row>
    <row r="319">
      <c r="A319" s="37" t="inlineStr">
        <is>
          <t>SKP-2025-0318</t>
        </is>
      </c>
      <c r="B319" s="37" t="inlineStr">
        <is>
          <t>OFR-2025-1197</t>
        </is>
      </c>
      <c r="C319" s="43" t="n">
        <v>45919</v>
      </c>
      <c r="D319" s="37" t="inlineStr">
        <is>
          <t>WL-02890</t>
        </is>
      </c>
      <c r="E319" s="37" t="n">
        <v>1890</v>
      </c>
      <c r="F319" s="37" t="inlineStr">
        <is>
          <t>EW-0716</t>
        </is>
      </c>
      <c r="G319" s="37" t="inlineStr">
        <is>
          <t>Eastwey</t>
        </is>
      </c>
      <c r="H319" s="37" t="n">
        <v>28</v>
      </c>
      <c r="I319" s="37" t="inlineStr">
        <is>
          <t>not-current</t>
        </is>
      </c>
      <c r="J319" s="37" t="inlineStr">
        <is>
          <t>Y</t>
        </is>
      </c>
      <c r="K319" s="43" t="n">
        <v>45922</v>
      </c>
      <c r="L319" s="37" t="inlineStr">
        <is>
          <t>SUSTAINED</t>
        </is>
      </c>
    </row>
    <row r="320">
      <c r="A320" s="37" t="inlineStr">
        <is>
          <t>SKP-2025-0319</t>
        </is>
      </c>
      <c r="B320" s="37" t="inlineStr">
        <is>
          <t>OFR-2025-1199</t>
        </is>
      </c>
      <c r="C320" s="43" t="n">
        <v>45920</v>
      </c>
      <c r="D320" s="37" t="inlineStr">
        <is>
          <t>WL-01913</t>
        </is>
      </c>
      <c r="E320" s="37" t="n">
        <v>913</v>
      </c>
      <c r="F320" s="37" t="inlineStr">
        <is>
          <t>EW-0819</t>
        </is>
      </c>
      <c r="G320" s="37" t="inlineStr">
        <is>
          <t>Eastwey</t>
        </is>
      </c>
      <c r="H320" s="37" t="n">
        <v>24</v>
      </c>
      <c r="I320" s="37" t="inlineStr">
        <is>
          <t>preference-mismatch</t>
        </is>
      </c>
      <c r="J320" s="37" t="inlineStr">
        <is>
          <t>Y</t>
        </is>
      </c>
      <c r="K320" s="43" t="n">
        <v>45920</v>
      </c>
      <c r="L320" s="37" t="inlineStr">
        <is>
          <t>SUSTAINED</t>
        </is>
      </c>
    </row>
    <row r="321">
      <c r="A321" s="37" t="inlineStr">
        <is>
          <t>SKP-2025-0320</t>
        </is>
      </c>
      <c r="B321" s="37" t="inlineStr">
        <is>
          <t>OFR-2025-1201</t>
        </is>
      </c>
      <c r="C321" s="43" t="n">
        <v>45909</v>
      </c>
      <c r="D321" s="37" t="inlineStr">
        <is>
          <t>WL-02167</t>
        </is>
      </c>
      <c r="E321" s="37" t="n">
        <v>1167</v>
      </c>
      <c r="F321" s="37" t="inlineStr">
        <is>
          <t>VB-0304</t>
        </is>
      </c>
      <c r="G321" s="37" t="inlineStr">
        <is>
          <t>Vessbank</t>
        </is>
      </c>
      <c r="H321" s="37" t="n">
        <v>32</v>
      </c>
      <c r="I321" s="37" t="inlineStr">
        <is>
          <t>vessel-fit</t>
        </is>
      </c>
      <c r="J321" s="37" t="inlineStr">
        <is>
          <t>Y</t>
        </is>
      </c>
      <c r="K321" s="43" t="n">
        <v>45911</v>
      </c>
      <c r="L321" s="37" t="inlineStr">
        <is>
          <t>SUSTAINED</t>
        </is>
      </c>
    </row>
    <row r="322">
      <c r="A322" s="37" t="inlineStr">
        <is>
          <t>SKP-2025-0321</t>
        </is>
      </c>
      <c r="B322" s="37" t="inlineStr">
        <is>
          <t>OFR-2025-1207</t>
        </is>
      </c>
      <c r="C322" s="43" t="n">
        <v>45911</v>
      </c>
      <c r="D322" s="37" t="inlineStr">
        <is>
          <t>WL-03865</t>
        </is>
      </c>
      <c r="E322" s="37" t="n">
        <v>2865</v>
      </c>
      <c r="F322" s="37" t="inlineStr">
        <is>
          <t>SB-0106</t>
        </is>
      </c>
      <c r="G322" s="37" t="inlineStr">
        <is>
          <t>Salmonberry</t>
        </is>
      </c>
      <c r="H322" s="37" t="n">
        <v>28</v>
      </c>
      <c r="I322" s="37" t="inlineStr">
        <is>
          <t>declined-prior-offer</t>
        </is>
      </c>
      <c r="J322" s="37" t="inlineStr">
        <is>
          <t>Y</t>
        </is>
      </c>
      <c r="K322" s="43" t="n">
        <v>45915</v>
      </c>
      <c r="L322" s="37" t="inlineStr">
        <is>
          <t>SUSTAINED</t>
        </is>
      </c>
    </row>
    <row r="323">
      <c r="A323" s="37" t="inlineStr">
        <is>
          <t>SKP-2025-0322</t>
        </is>
      </c>
      <c r="B323" s="37" t="inlineStr">
        <is>
          <t>OFR-2025-1208</t>
        </is>
      </c>
      <c r="C323" s="43" t="n">
        <v>45905</v>
      </c>
      <c r="D323" s="37" t="inlineStr">
        <is>
          <t>WL-02002</t>
        </is>
      </c>
      <c r="E323" s="37" t="n">
        <v>1002</v>
      </c>
      <c r="F323" s="37" t="inlineStr">
        <is>
          <t>LP-0822</t>
        </is>
      </c>
      <c r="G323" s="37" t="inlineStr">
        <is>
          <t>Ledgport</t>
        </is>
      </c>
      <c r="H323" s="37" t="n">
        <v>36</v>
      </c>
      <c r="I323" s="37" t="inlineStr">
        <is>
          <t>not-current</t>
        </is>
      </c>
      <c r="J323" s="37" t="inlineStr">
        <is>
          <t>Y</t>
        </is>
      </c>
      <c r="K323" s="43" t="n">
        <v>45909</v>
      </c>
      <c r="L323" s="37" t="inlineStr">
        <is>
          <t>SUSTAINED</t>
        </is>
      </c>
    </row>
    <row r="324">
      <c r="A324" s="37" t="inlineStr">
        <is>
          <t>SKP-2025-0323</t>
        </is>
      </c>
      <c r="B324" s="37" t="inlineStr">
        <is>
          <t>OFR-2025-1212</t>
        </is>
      </c>
      <c r="C324" s="43" t="n">
        <v>45956</v>
      </c>
      <c r="D324" s="37" t="inlineStr">
        <is>
          <t>WL-02284</t>
        </is>
      </c>
      <c r="E324" s="37" t="n">
        <v>1284</v>
      </c>
      <c r="F324" s="37" t="inlineStr">
        <is>
          <t>SB-0801</t>
        </is>
      </c>
      <c r="G324" s="37" t="inlineStr">
        <is>
          <t>Salmonberry</t>
        </is>
      </c>
      <c r="H324" s="37" t="n">
        <v>32</v>
      </c>
      <c r="I324" s="37" t="inlineStr">
        <is>
          <t>vessel-fit</t>
        </is>
      </c>
      <c r="J324" s="37" t="inlineStr">
        <is>
          <t>Y</t>
        </is>
      </c>
      <c r="K324" s="43" t="n">
        <v>45959</v>
      </c>
      <c r="L324" s="37" t="inlineStr">
        <is>
          <t>SUSTAINED</t>
        </is>
      </c>
    </row>
    <row r="325">
      <c r="A325" s="37" t="inlineStr">
        <is>
          <t>SKP-2025-0324</t>
        </is>
      </c>
      <c r="B325" s="37" t="inlineStr">
        <is>
          <t>OFR-2025-1215</t>
        </is>
      </c>
      <c r="C325" s="43" t="n">
        <v>45958</v>
      </c>
      <c r="D325" s="37" t="inlineStr">
        <is>
          <t>WL-02187</t>
        </is>
      </c>
      <c r="E325" s="37" t="n">
        <v>1187</v>
      </c>
      <c r="F325" s="37" t="inlineStr">
        <is>
          <t>SB-0806</t>
        </is>
      </c>
      <c r="G325" s="37" t="inlineStr">
        <is>
          <t>Salmonberry</t>
        </is>
      </c>
      <c r="H325" s="37" t="n">
        <v>28</v>
      </c>
      <c r="I325" s="37" t="inlineStr">
        <is>
          <t>vessel-fit</t>
        </is>
      </c>
      <c r="J325" s="37" t="inlineStr">
        <is>
          <t>Y</t>
        </is>
      </c>
      <c r="K325" s="43" t="n">
        <v>45961</v>
      </c>
      <c r="L325" s="37" t="inlineStr">
        <is>
          <t>SUSTAINED</t>
        </is>
      </c>
    </row>
    <row r="326">
      <c r="A326" s="37" t="inlineStr">
        <is>
          <t>SKP-2025-0325</t>
        </is>
      </c>
      <c r="B326" s="37" t="inlineStr">
        <is>
          <t>OFR-2025-1218</t>
        </is>
      </c>
      <c r="C326" s="43" t="n">
        <v>45933</v>
      </c>
      <c r="D326" s="37" t="inlineStr">
        <is>
          <t>WL-03750</t>
        </is>
      </c>
      <c r="E326" s="37" t="n">
        <v>2750</v>
      </c>
      <c r="F326" s="37" t="inlineStr">
        <is>
          <t>GW-0622</t>
        </is>
      </c>
      <c r="G326" s="37" t="inlineStr">
        <is>
          <t>Gullwing</t>
        </is>
      </c>
      <c r="H326" s="37" t="n">
        <v>60</v>
      </c>
      <c r="I326" s="37" t="inlineStr">
        <is>
          <t>vessel-fit</t>
        </is>
      </c>
      <c r="J326" s="37" t="inlineStr">
        <is>
          <t>Y</t>
        </is>
      </c>
      <c r="K326" s="43" t="n">
        <v>45935</v>
      </c>
      <c r="L326" s="37" t="inlineStr">
        <is>
          <t>SUSTAINED</t>
        </is>
      </c>
    </row>
    <row r="327">
      <c r="A327" s="37" t="inlineStr">
        <is>
          <t>SKP-2025-0326</t>
        </is>
      </c>
      <c r="B327" s="37" t="inlineStr">
        <is>
          <t>OFR-2025-1219</t>
        </is>
      </c>
      <c r="C327" s="43" t="n">
        <v>45956</v>
      </c>
      <c r="D327" s="37" t="inlineStr">
        <is>
          <t>WL-03857</t>
        </is>
      </c>
      <c r="E327" s="37" t="n">
        <v>2857</v>
      </c>
      <c r="F327" s="37" t="inlineStr">
        <is>
          <t>LP-0705</t>
        </is>
      </c>
      <c r="G327" s="37" t="inlineStr">
        <is>
          <t>Ledgport</t>
        </is>
      </c>
      <c r="H327" s="37" t="n">
        <v>24</v>
      </c>
      <c r="I327" s="37" t="inlineStr">
        <is>
          <t>not-current</t>
        </is>
      </c>
      <c r="J327" s="37" t="inlineStr">
        <is>
          <t>Y</t>
        </is>
      </c>
      <c r="K327" s="43" t="n">
        <v>45956</v>
      </c>
      <c r="L327" s="37" t="inlineStr">
        <is>
          <t>SUSTAINED</t>
        </is>
      </c>
    </row>
    <row r="328">
      <c r="A328" s="37" t="inlineStr">
        <is>
          <t>SKP-2025-0327</t>
        </is>
      </c>
      <c r="B328" s="37" t="inlineStr">
        <is>
          <t>OFR-2025-1225</t>
        </is>
      </c>
      <c r="C328" s="43" t="n">
        <v>45953</v>
      </c>
      <c r="D328" s="37" t="inlineStr">
        <is>
          <t>WL-01645</t>
        </is>
      </c>
      <c r="E328" s="37" t="n">
        <v>645</v>
      </c>
      <c r="F328" s="37" t="inlineStr">
        <is>
          <t>GW-1020</t>
        </is>
      </c>
      <c r="G328" s="37" t="inlineStr">
        <is>
          <t>Gullwing</t>
        </is>
      </c>
      <c r="H328" s="37" t="n">
        <v>32</v>
      </c>
      <c r="I328" s="37" t="inlineStr">
        <is>
          <t>declined-prior-offer</t>
        </is>
      </c>
      <c r="J328" s="37" t="inlineStr">
        <is>
          <t>Y</t>
        </is>
      </c>
      <c r="K328" s="43" t="n">
        <v>45957</v>
      </c>
      <c r="L328" s="37" t="inlineStr">
        <is>
          <t>SUSTAINED</t>
        </is>
      </c>
    </row>
    <row r="329">
      <c r="A329" s="37" t="inlineStr">
        <is>
          <t>SKP-2025-0328</t>
        </is>
      </c>
      <c r="B329" s="37" t="inlineStr">
        <is>
          <t>OFR-2025-1230</t>
        </is>
      </c>
      <c r="C329" s="43" t="n">
        <v>45941</v>
      </c>
      <c r="D329" s="37" t="inlineStr">
        <is>
          <t>WL-01089</t>
        </is>
      </c>
      <c r="E329" s="37" t="n">
        <v>89</v>
      </c>
      <c r="F329" s="37" t="inlineStr">
        <is>
          <t>SB-0115</t>
        </is>
      </c>
      <c r="G329" s="37" t="inlineStr">
        <is>
          <t>Salmonberry</t>
        </is>
      </c>
      <c r="H329" s="37" t="n">
        <v>24</v>
      </c>
      <c r="I329" s="37" t="inlineStr">
        <is>
          <t>vessel-fit</t>
        </is>
      </c>
      <c r="J329" s="37" t="inlineStr">
        <is>
          <t>N</t>
        </is>
      </c>
      <c r="K329" s="43" t="n">
        <v>45943</v>
      </c>
      <c r="L329" s="37" t="inlineStr">
        <is>
          <t>SUSTAINED</t>
        </is>
      </c>
    </row>
    <row r="330">
      <c r="A330" s="37" t="inlineStr">
        <is>
          <t>SKP-2025-0329</t>
        </is>
      </c>
      <c r="B330" s="37" t="inlineStr">
        <is>
          <t>OFR-2025-1233</t>
        </is>
      </c>
      <c r="C330" s="43" t="n">
        <v>45943</v>
      </c>
      <c r="D330" s="37" t="inlineStr">
        <is>
          <t>WL-01128</t>
        </is>
      </c>
      <c r="E330" s="37" t="n">
        <v>128</v>
      </c>
      <c r="F330" s="37" t="inlineStr">
        <is>
          <t>LP-0504</t>
        </is>
      </c>
      <c r="G330" s="37" t="inlineStr">
        <is>
          <t>Ledgport</t>
        </is>
      </c>
      <c r="H330" s="37" t="n">
        <v>28</v>
      </c>
      <c r="I330" s="37" t="inlineStr">
        <is>
          <t>declined-prior-offer</t>
        </is>
      </c>
      <c r="J330" s="37" t="inlineStr">
        <is>
          <t>Y</t>
        </is>
      </c>
      <c r="K330" s="43" t="n">
        <v>45945</v>
      </c>
      <c r="L330" s="37" t="inlineStr">
        <is>
          <t>SUSTAINED</t>
        </is>
      </c>
    </row>
    <row r="331">
      <c r="A331" s="37" t="inlineStr">
        <is>
          <t>SKP-2025-0330</t>
        </is>
      </c>
      <c r="B331" s="37" t="inlineStr">
        <is>
          <t>OFR-2025-1240</t>
        </is>
      </c>
      <c r="C331" s="43" t="n">
        <v>45932</v>
      </c>
      <c r="D331" s="37" t="inlineStr">
        <is>
          <t>WL-02676</t>
        </is>
      </c>
      <c r="E331" s="37" t="n">
        <v>1676</v>
      </c>
      <c r="F331" s="37" t="inlineStr">
        <is>
          <t>EW-0124</t>
        </is>
      </c>
      <c r="G331" s="37" t="inlineStr">
        <is>
          <t>Eastwey</t>
        </is>
      </c>
      <c r="H331" s="37" t="n">
        <v>32</v>
      </c>
      <c r="I331" s="37" t="inlineStr">
        <is>
          <t>vessel-fit</t>
        </is>
      </c>
      <c r="J331" s="37" t="inlineStr">
        <is>
          <t>Y</t>
        </is>
      </c>
      <c r="K331" s="43" t="n">
        <v>45934</v>
      </c>
      <c r="L331" s="37" t="inlineStr">
        <is>
          <t>SUSTAINED</t>
        </is>
      </c>
    </row>
    <row r="332">
      <c r="A332" s="37" t="inlineStr">
        <is>
          <t>SKP-2025-0331</t>
        </is>
      </c>
      <c r="B332" s="37" t="inlineStr">
        <is>
          <t>OFR-2025-1246</t>
        </is>
      </c>
      <c r="C332" s="43" t="n">
        <v>45937</v>
      </c>
      <c r="D332" s="37" t="inlineStr">
        <is>
          <t>WL-03455</t>
        </is>
      </c>
      <c r="E332" s="37" t="n">
        <v>2455</v>
      </c>
      <c r="F332" s="37" t="inlineStr">
        <is>
          <t>SB-0402</t>
        </is>
      </c>
      <c r="G332" s="37" t="inlineStr">
        <is>
          <t>Salmonberry</t>
        </is>
      </c>
      <c r="H332" s="37" t="n">
        <v>32</v>
      </c>
      <c r="I332" s="37" t="inlineStr">
        <is>
          <t>vessel-fit</t>
        </is>
      </c>
      <c r="J332" s="37" t="inlineStr">
        <is>
          <t>Y</t>
        </is>
      </c>
      <c r="K332" s="43" t="n">
        <v>45941</v>
      </c>
      <c r="L332" s="37" t="inlineStr">
        <is>
          <t>SUSTAINED</t>
        </is>
      </c>
    </row>
    <row r="333">
      <c r="A333" s="37" t="inlineStr">
        <is>
          <t>SKP-2025-0332</t>
        </is>
      </c>
      <c r="B333" s="37" t="inlineStr">
        <is>
          <t>OFR-2025-1247</t>
        </is>
      </c>
      <c r="C333" s="43" t="n">
        <v>45943</v>
      </c>
      <c r="D333" s="37" t="inlineStr">
        <is>
          <t>WL-02711</t>
        </is>
      </c>
      <c r="E333" s="37" t="n">
        <v>1711</v>
      </c>
      <c r="F333" s="37" t="inlineStr">
        <is>
          <t>LP-0215</t>
        </is>
      </c>
      <c r="G333" s="37" t="inlineStr">
        <is>
          <t>Ledgport</t>
        </is>
      </c>
      <c r="H333" s="37" t="n">
        <v>28</v>
      </c>
      <c r="I333" s="37" t="inlineStr">
        <is>
          <t>declined-prior-offer</t>
        </is>
      </c>
      <c r="J333" s="37" t="inlineStr">
        <is>
          <t>Y</t>
        </is>
      </c>
      <c r="K333" s="43" t="n">
        <v>45948</v>
      </c>
      <c r="L333" s="37" t="inlineStr">
        <is>
          <t>SUSTAINED</t>
        </is>
      </c>
    </row>
    <row r="334">
      <c r="A334" s="37" t="inlineStr">
        <is>
          <t>SKP-2025-0333</t>
        </is>
      </c>
      <c r="B334" s="37" t="inlineStr">
        <is>
          <t>OFR-2025-1249</t>
        </is>
      </c>
      <c r="C334" s="43" t="n">
        <v>45943</v>
      </c>
      <c r="D334" s="37" t="inlineStr">
        <is>
          <t>WL-02448</t>
        </is>
      </c>
      <c r="E334" s="37" t="n">
        <v>1448</v>
      </c>
      <c r="F334" s="37" t="inlineStr">
        <is>
          <t>LP-0908</t>
        </is>
      </c>
      <c r="G334" s="37" t="inlineStr">
        <is>
          <t>Ledgport</t>
        </is>
      </c>
      <c r="H334" s="37" t="n">
        <v>28</v>
      </c>
      <c r="I334" s="37" t="inlineStr">
        <is>
          <t>vessel-fit</t>
        </is>
      </c>
      <c r="J334" s="37" t="inlineStr">
        <is>
          <t>Y</t>
        </is>
      </c>
      <c r="K334" s="43" t="n">
        <v>45945</v>
      </c>
      <c r="L334" s="37" t="inlineStr">
        <is>
          <t>SUSTAINED</t>
        </is>
      </c>
    </row>
    <row r="335">
      <c r="A335" s="37" t="inlineStr">
        <is>
          <t>SKP-2025-0334</t>
        </is>
      </c>
      <c r="B335" s="37" t="inlineStr">
        <is>
          <t>OFR-2025-1253</t>
        </is>
      </c>
      <c r="C335" s="43" t="n">
        <v>45988</v>
      </c>
      <c r="D335" s="37" t="inlineStr">
        <is>
          <t>WL-01264</t>
        </is>
      </c>
      <c r="E335" s="37" t="n">
        <v>264</v>
      </c>
      <c r="F335" s="37" t="inlineStr">
        <is>
          <t>SB-0623</t>
        </is>
      </c>
      <c r="G335" s="37" t="inlineStr">
        <is>
          <t>Salmonberry</t>
        </is>
      </c>
      <c r="H335" s="37" t="n">
        <v>28</v>
      </c>
      <c r="I335" s="37" t="inlineStr">
        <is>
          <t>vessel-fit</t>
        </is>
      </c>
      <c r="J335" s="37" t="inlineStr">
        <is>
          <t>Y</t>
        </is>
      </c>
      <c r="K335" s="43" t="n">
        <v>45993</v>
      </c>
      <c r="L335" s="37" t="inlineStr">
        <is>
          <t>SUSTAINED</t>
        </is>
      </c>
    </row>
    <row r="336">
      <c r="A336" s="37" t="inlineStr">
        <is>
          <t>SKP-2025-0335</t>
        </is>
      </c>
      <c r="B336" s="37" t="inlineStr">
        <is>
          <t>OFR-2025-1258</t>
        </is>
      </c>
      <c r="C336" s="43" t="n">
        <v>45978</v>
      </c>
      <c r="D336" s="37" t="inlineStr">
        <is>
          <t>WL-02404</t>
        </is>
      </c>
      <c r="E336" s="37" t="n">
        <v>1404</v>
      </c>
      <c r="F336" s="37" t="inlineStr">
        <is>
          <t>VB-0201</t>
        </is>
      </c>
      <c r="G336" s="37" t="inlineStr">
        <is>
          <t>Vessbank</t>
        </is>
      </c>
      <c r="H336" s="37" t="n">
        <v>32</v>
      </c>
      <c r="I336" s="37" t="inlineStr">
        <is>
          <t>not-current</t>
        </is>
      </c>
      <c r="J336" s="37" t="inlineStr">
        <is>
          <t>Y</t>
        </is>
      </c>
      <c r="K336" s="43" t="n">
        <v>45980</v>
      </c>
      <c r="L336" s="37" t="inlineStr">
        <is>
          <t>SUSTAINED</t>
        </is>
      </c>
    </row>
    <row r="337">
      <c r="A337" s="37" t="inlineStr">
        <is>
          <t>SKP-2025-0336</t>
        </is>
      </c>
      <c r="B337" s="37" t="inlineStr">
        <is>
          <t>OFR-2025-1265</t>
        </is>
      </c>
      <c r="C337" s="43" t="n">
        <v>46006</v>
      </c>
      <c r="D337" s="37" t="inlineStr">
        <is>
          <t>WL-01776</t>
        </is>
      </c>
      <c r="E337" s="37" t="n">
        <v>776</v>
      </c>
      <c r="F337" s="37" t="inlineStr">
        <is>
          <t>GW-0419</t>
        </is>
      </c>
      <c r="G337" s="37" t="inlineStr">
        <is>
          <t>Gullwing</t>
        </is>
      </c>
      <c r="H337" s="37" t="n">
        <v>32</v>
      </c>
      <c r="I337" s="37" t="inlineStr">
        <is>
          <t>not-current</t>
        </is>
      </c>
      <c r="J337" s="37" t="inlineStr">
        <is>
          <t>Y</t>
        </is>
      </c>
      <c r="K337" s="43" t="n">
        <v>46008</v>
      </c>
      <c r="L337" s="37" t="inlineStr">
        <is>
          <t>SUSTAINED</t>
        </is>
      </c>
    </row>
    <row r="338">
      <c r="A338" s="37" t="inlineStr">
        <is>
          <t>SKP-2025-0337</t>
        </is>
      </c>
      <c r="B338" s="37" t="inlineStr">
        <is>
          <t>OFR-2025-1276</t>
        </is>
      </c>
      <c r="C338" s="43" t="n">
        <v>46017</v>
      </c>
      <c r="D338" s="37" t="inlineStr">
        <is>
          <t>WL-02991</t>
        </is>
      </c>
      <c r="E338" s="37" t="n">
        <v>1991</v>
      </c>
      <c r="F338" s="37" t="inlineStr">
        <is>
          <t>SB-0408</t>
        </is>
      </c>
      <c r="G338" s="37" t="inlineStr">
        <is>
          <t>Salmonberry</t>
        </is>
      </c>
      <c r="H338" s="37" t="n">
        <v>28</v>
      </c>
      <c r="I338" s="37" t="inlineStr">
        <is>
          <t>vessel-fit</t>
        </is>
      </c>
      <c r="J338" s="37" t="inlineStr">
        <is>
          <t>Y</t>
        </is>
      </c>
      <c r="K338" s="43" t="n">
        <v>46021</v>
      </c>
      <c r="L338" s="37" t="inlineStr">
        <is>
          <t>SUSTAINED</t>
        </is>
      </c>
    </row>
    <row r="339">
      <c r="A339" s="37" t="inlineStr">
        <is>
          <t>SKP-2026-0338</t>
        </is>
      </c>
      <c r="B339" s="37" t="inlineStr">
        <is>
          <t>OFR-2026-1278</t>
        </is>
      </c>
      <c r="C339" s="43" t="n">
        <v>46035</v>
      </c>
      <c r="D339" s="37" t="inlineStr">
        <is>
          <t>WL-03011</t>
        </is>
      </c>
      <c r="E339" s="37" t="n">
        <v>2011</v>
      </c>
      <c r="F339" s="37" t="inlineStr">
        <is>
          <t>SB-0719</t>
        </is>
      </c>
      <c r="G339" s="37" t="inlineStr">
        <is>
          <t>Salmonberry</t>
        </is>
      </c>
      <c r="H339" s="37" t="n">
        <v>28</v>
      </c>
      <c r="I339" s="37" t="inlineStr">
        <is>
          <t>vessel-fit</t>
        </is>
      </c>
      <c r="J339" s="37" t="inlineStr">
        <is>
          <t>Y</t>
        </is>
      </c>
      <c r="K339" s="43" t="n">
        <v>46040</v>
      </c>
      <c r="L339" s="37" t="inlineStr">
        <is>
          <t>SUSTAINED</t>
        </is>
      </c>
    </row>
    <row r="340">
      <c r="A340" s="37" t="inlineStr">
        <is>
          <t>SKP-2026-0339</t>
        </is>
      </c>
      <c r="B340" s="37" t="inlineStr">
        <is>
          <t>OFR-2026-1279</t>
        </is>
      </c>
      <c r="C340" s="43" t="n">
        <v>46035</v>
      </c>
      <c r="D340" s="37" t="inlineStr">
        <is>
          <t>WL-01368</t>
        </is>
      </c>
      <c r="E340" s="37" t="n">
        <v>368</v>
      </c>
      <c r="F340" s="37" t="inlineStr">
        <is>
          <t>EW-0813</t>
        </is>
      </c>
      <c r="G340" s="37" t="inlineStr">
        <is>
          <t>Eastwey</t>
        </is>
      </c>
      <c r="H340" s="37" t="n">
        <v>45</v>
      </c>
      <c r="I340" s="37" t="inlineStr">
        <is>
          <t>preference-mismatch</t>
        </is>
      </c>
      <c r="J340" s="37" t="inlineStr">
        <is>
          <t>Y</t>
        </is>
      </c>
      <c r="K340" s="43" t="n">
        <v>46037</v>
      </c>
      <c r="L340" s="37" t="inlineStr">
        <is>
          <t>SUSTAINED</t>
        </is>
      </c>
    </row>
    <row r="341">
      <c r="A341" s="37" t="inlineStr">
        <is>
          <t>SKP-2026-0340</t>
        </is>
      </c>
      <c r="B341" s="37" t="inlineStr">
        <is>
          <t>OFR-2026-1280</t>
        </is>
      </c>
      <c r="C341" s="43" t="n">
        <v>46043</v>
      </c>
      <c r="D341" s="37" t="inlineStr">
        <is>
          <t>WL-01435</t>
        </is>
      </c>
      <c r="E341" s="37" t="n">
        <v>435</v>
      </c>
      <c r="F341" s="37" t="inlineStr">
        <is>
          <t>GW-0708</t>
        </is>
      </c>
      <c r="G341" s="37" t="inlineStr">
        <is>
          <t>Gullwing</t>
        </is>
      </c>
      <c r="H341" s="37" t="n">
        <v>70</v>
      </c>
      <c r="I341" s="37" t="inlineStr">
        <is>
          <t>not-current</t>
        </is>
      </c>
      <c r="J341" s="37" t="inlineStr">
        <is>
          <t>Y</t>
        </is>
      </c>
      <c r="K341" s="43" t="n">
        <v>46044</v>
      </c>
      <c r="L341" s="37" t="inlineStr">
        <is>
          <t>SUSTAINED</t>
        </is>
      </c>
    </row>
    <row r="342">
      <c r="A342" s="37" t="inlineStr">
        <is>
          <t>SKP-2026-0341</t>
        </is>
      </c>
      <c r="B342" s="37" t="inlineStr">
        <is>
          <t>OFR-2026-1283</t>
        </is>
      </c>
      <c r="C342" s="43" t="n">
        <v>46049</v>
      </c>
      <c r="D342" s="37" t="inlineStr">
        <is>
          <t>WL-03197</t>
        </is>
      </c>
      <c r="E342" s="37" t="n">
        <v>2197</v>
      </c>
      <c r="F342" s="37" t="inlineStr">
        <is>
          <t>LP-1109</t>
        </is>
      </c>
      <c r="G342" s="37" t="inlineStr">
        <is>
          <t>Ledgport</t>
        </is>
      </c>
      <c r="H342" s="37" t="n">
        <v>24</v>
      </c>
      <c r="I342" s="37" t="inlineStr">
        <is>
          <t>declined-prior-offer</t>
        </is>
      </c>
      <c r="J342" s="37" t="inlineStr">
        <is>
          <t>Y</t>
        </is>
      </c>
      <c r="K342" s="43" t="n">
        <v>46054</v>
      </c>
      <c r="L342" s="37" t="inlineStr">
        <is>
          <t>SUSTAINED</t>
        </is>
      </c>
    </row>
    <row r="343">
      <c r="A343" s="37" t="inlineStr">
        <is>
          <t>SKP-2026-0342</t>
        </is>
      </c>
      <c r="B343" s="37" t="inlineStr">
        <is>
          <t>OFR-2026-1284</t>
        </is>
      </c>
      <c r="C343" s="43" t="n">
        <v>46023</v>
      </c>
      <c r="D343" s="37" t="inlineStr">
        <is>
          <t>WL-01558</t>
        </is>
      </c>
      <c r="E343" s="37" t="n">
        <v>558</v>
      </c>
      <c r="F343" s="37" t="inlineStr">
        <is>
          <t>EW-0421</t>
        </is>
      </c>
      <c r="G343" s="37" t="inlineStr">
        <is>
          <t>Eastwey</t>
        </is>
      </c>
      <c r="H343" s="37" t="n">
        <v>36</v>
      </c>
      <c r="I343" s="37" t="inlineStr">
        <is>
          <t>vessel-fit</t>
        </is>
      </c>
      <c r="J343" s="37" t="inlineStr">
        <is>
          <t>Y</t>
        </is>
      </c>
      <c r="K343" s="43" t="n">
        <v>46025</v>
      </c>
      <c r="L343" s="37" t="inlineStr">
        <is>
          <t>SUSTAINED</t>
        </is>
      </c>
    </row>
    <row r="344">
      <c r="A344" s="37" t="inlineStr">
        <is>
          <t>SKP-2026-0343</t>
        </is>
      </c>
      <c r="B344" s="37" t="inlineStr">
        <is>
          <t>OFR-2026-1285</t>
        </is>
      </c>
      <c r="C344" s="43" t="n">
        <v>46023</v>
      </c>
      <c r="D344" s="37" t="inlineStr">
        <is>
          <t>WL-03054</t>
        </is>
      </c>
      <c r="E344" s="37" t="n">
        <v>2054</v>
      </c>
      <c r="F344" s="37" t="inlineStr">
        <is>
          <t>VB-0224</t>
        </is>
      </c>
      <c r="G344" s="37" t="inlineStr">
        <is>
          <t>Vessbank</t>
        </is>
      </c>
      <c r="H344" s="37" t="n">
        <v>28</v>
      </c>
      <c r="I344" s="37" t="inlineStr">
        <is>
          <t>vessel-fit</t>
        </is>
      </c>
      <c r="J344" s="37" t="inlineStr">
        <is>
          <t>N</t>
        </is>
      </c>
      <c r="K344" s="43" t="n">
        <v>46026</v>
      </c>
      <c r="L344" s="37" t="inlineStr">
        <is>
          <t>SUSTAINED</t>
        </is>
      </c>
    </row>
    <row r="345">
      <c r="A345" s="37" t="inlineStr">
        <is>
          <t>SKP-2026-0344</t>
        </is>
      </c>
      <c r="B345" s="37" t="inlineStr">
        <is>
          <t>OFR-2026-1291</t>
        </is>
      </c>
      <c r="C345" s="43" t="n">
        <v>46075</v>
      </c>
      <c r="D345" s="37" t="inlineStr">
        <is>
          <t>WL-03817</t>
        </is>
      </c>
      <c r="E345" s="37" t="n">
        <v>2817</v>
      </c>
      <c r="F345" s="37" t="inlineStr">
        <is>
          <t>SB-0907</t>
        </is>
      </c>
      <c r="G345" s="37" t="inlineStr">
        <is>
          <t>Salmonberry</t>
        </is>
      </c>
      <c r="H345" s="37" t="n">
        <v>32</v>
      </c>
      <c r="I345" s="37" t="inlineStr">
        <is>
          <t>vessel-fit</t>
        </is>
      </c>
      <c r="J345" s="37" t="inlineStr">
        <is>
          <t>Y</t>
        </is>
      </c>
      <c r="K345" s="43" t="n">
        <v>46076</v>
      </c>
      <c r="L345" s="37" t="inlineStr">
        <is>
          <t>SUSTAINED</t>
        </is>
      </c>
    </row>
    <row r="346">
      <c r="A346" s="37" t="inlineStr">
        <is>
          <t>SKP-2026-0345</t>
        </is>
      </c>
      <c r="B346" s="37" t="inlineStr">
        <is>
          <t>OFR-2026-1297</t>
        </is>
      </c>
      <c r="C346" s="43" t="n">
        <v>46080</v>
      </c>
      <c r="D346" s="37" t="inlineStr">
        <is>
          <t>WL-03653</t>
        </is>
      </c>
      <c r="E346" s="37" t="n">
        <v>2653</v>
      </c>
      <c r="F346" s="37" t="inlineStr">
        <is>
          <t>LP-0614</t>
        </is>
      </c>
      <c r="G346" s="37" t="inlineStr">
        <is>
          <t>Ledgport</t>
        </is>
      </c>
      <c r="H346" s="37" t="n">
        <v>28</v>
      </c>
      <c r="I346" s="37" t="inlineStr">
        <is>
          <t>vessel-fit</t>
        </is>
      </c>
      <c r="J346" s="37" t="inlineStr">
        <is>
          <t>Y</t>
        </is>
      </c>
      <c r="K346" s="43" t="n">
        <v>46082</v>
      </c>
      <c r="L346" s="37" t="inlineStr">
        <is>
          <t>SUSTAINED</t>
        </is>
      </c>
    </row>
    <row r="347">
      <c r="A347" s="37" t="inlineStr">
        <is>
          <t>SKP-2026-0346</t>
        </is>
      </c>
      <c r="B347" s="37" t="inlineStr">
        <is>
          <t>OFR-2026-1298</t>
        </is>
      </c>
      <c r="C347" s="43" t="n">
        <v>46067</v>
      </c>
      <c r="D347" s="37" t="inlineStr">
        <is>
          <t>WL-01605</t>
        </is>
      </c>
      <c r="E347" s="37" t="n">
        <v>605</v>
      </c>
      <c r="F347" s="37" t="inlineStr">
        <is>
          <t>VB-0912</t>
        </is>
      </c>
      <c r="G347" s="37" t="inlineStr">
        <is>
          <t>Vessbank</t>
        </is>
      </c>
      <c r="H347" s="37" t="n">
        <v>40</v>
      </c>
      <c r="I347" s="37" t="inlineStr">
        <is>
          <t>preference-mismatch</t>
        </is>
      </c>
      <c r="J347" s="37" t="inlineStr">
        <is>
          <t>Y</t>
        </is>
      </c>
      <c r="K347" s="43" t="n">
        <v>46068</v>
      </c>
      <c r="L347" s="37" t="inlineStr">
        <is>
          <t>SUSTAINED</t>
        </is>
      </c>
    </row>
    <row r="348">
      <c r="A348" s="37" t="inlineStr">
        <is>
          <t>SKP-2026-0347</t>
        </is>
      </c>
      <c r="B348" s="37" t="inlineStr">
        <is>
          <t>OFR-2026-1299</t>
        </is>
      </c>
      <c r="C348" s="43" t="n">
        <v>46075</v>
      </c>
      <c r="D348" s="37" t="inlineStr">
        <is>
          <t>WL-01550</t>
        </is>
      </c>
      <c r="E348" s="37" t="n">
        <v>550</v>
      </c>
      <c r="F348" s="37" t="inlineStr">
        <is>
          <t>EW-1015</t>
        </is>
      </c>
      <c r="G348" s="37" t="inlineStr">
        <is>
          <t>Eastwey</t>
        </is>
      </c>
      <c r="H348" s="37" t="n">
        <v>24</v>
      </c>
      <c r="I348" s="37" t="inlineStr">
        <is>
          <t>vessel-fit</t>
        </is>
      </c>
      <c r="J348" s="37" t="inlineStr">
        <is>
          <t>Y</t>
        </is>
      </c>
      <c r="K348" s="43" t="n">
        <v>46078</v>
      </c>
      <c r="L348" s="37" t="inlineStr">
        <is>
          <t>SUSTAINED</t>
        </is>
      </c>
    </row>
    <row r="349">
      <c r="A349" s="37" t="inlineStr">
        <is>
          <t>SKP-2026-0348</t>
        </is>
      </c>
      <c r="B349" s="37" t="inlineStr">
        <is>
          <t>OFR-2026-1305</t>
        </is>
      </c>
      <c r="C349" s="43" t="n">
        <v>46075</v>
      </c>
      <c r="D349" s="37" t="inlineStr">
        <is>
          <t>WL-02930</t>
        </is>
      </c>
      <c r="E349" s="37" t="n">
        <v>1930</v>
      </c>
      <c r="F349" s="37" t="inlineStr">
        <is>
          <t>LP-0915</t>
        </is>
      </c>
      <c r="G349" s="37" t="inlineStr">
        <is>
          <t>Ledgport</t>
        </is>
      </c>
      <c r="H349" s="37" t="n">
        <v>32</v>
      </c>
      <c r="I349" s="37" t="inlineStr">
        <is>
          <t>declined-prior-offer</t>
        </is>
      </c>
      <c r="J349" s="37" t="inlineStr">
        <is>
          <t>Y</t>
        </is>
      </c>
      <c r="K349" s="43" t="n">
        <v>46075</v>
      </c>
      <c r="L349" s="37" t="inlineStr">
        <is>
          <t>SUSTAINED</t>
        </is>
      </c>
    </row>
    <row r="350">
      <c r="A350" s="37" t="inlineStr">
        <is>
          <t>SKP-2026-0349</t>
        </is>
      </c>
      <c r="B350" s="37" t="inlineStr">
        <is>
          <t>OFR-2026-1306</t>
        </is>
      </c>
      <c r="C350" s="43" t="n">
        <v>46060</v>
      </c>
      <c r="D350" s="37" t="inlineStr">
        <is>
          <t>WL-03816</t>
        </is>
      </c>
      <c r="E350" s="37" t="n">
        <v>2816</v>
      </c>
      <c r="F350" s="37" t="inlineStr">
        <is>
          <t>EW-0804</t>
        </is>
      </c>
      <c r="G350" s="37" t="inlineStr">
        <is>
          <t>Eastwey</t>
        </is>
      </c>
      <c r="H350" s="37" t="n">
        <v>32</v>
      </c>
      <c r="I350" s="37" t="inlineStr">
        <is>
          <t>vessel-fit</t>
        </is>
      </c>
      <c r="J350" s="37" t="inlineStr">
        <is>
          <t>Y</t>
        </is>
      </c>
      <c r="K350" s="43" t="n">
        <v>46065</v>
      </c>
      <c r="L350" s="37" t="inlineStr">
        <is>
          <t>SUSTAINED</t>
        </is>
      </c>
    </row>
    <row r="351">
      <c r="A351" s="37" t="inlineStr">
        <is>
          <t>SKP-2026-0350</t>
        </is>
      </c>
      <c r="B351" s="37" t="inlineStr">
        <is>
          <t>OFR-2026-1310</t>
        </is>
      </c>
      <c r="C351" s="43" t="n">
        <v>46093</v>
      </c>
      <c r="D351" s="37" t="inlineStr">
        <is>
          <t>WL-01038</t>
        </is>
      </c>
      <c r="E351" s="37" t="n">
        <v>38</v>
      </c>
      <c r="F351" s="37" t="inlineStr">
        <is>
          <t>GW-0105</t>
        </is>
      </c>
      <c r="G351" s="37" t="inlineStr">
        <is>
          <t>Gullwing</t>
        </is>
      </c>
      <c r="H351" s="37" t="n">
        <v>60</v>
      </c>
      <c r="I351" s="37" t="inlineStr">
        <is>
          <t>not-current</t>
        </is>
      </c>
      <c r="J351" s="37" t="inlineStr">
        <is>
          <t>Y</t>
        </is>
      </c>
      <c r="K351" s="43" t="n">
        <v>46098</v>
      </c>
      <c r="L351" s="37" t="inlineStr">
        <is>
          <t>SUSTAINED</t>
        </is>
      </c>
    </row>
    <row r="352">
      <c r="A352" s="37" t="inlineStr">
        <is>
          <t>SKP-2026-0351</t>
        </is>
      </c>
      <c r="B352" s="37" t="inlineStr">
        <is>
          <t>OFR-2026-1321</t>
        </is>
      </c>
      <c r="C352" s="43" t="n">
        <v>46096</v>
      </c>
      <c r="D352" s="37" t="inlineStr">
        <is>
          <t>WL-02306</t>
        </is>
      </c>
      <c r="E352" s="37" t="n">
        <v>1306</v>
      </c>
      <c r="F352" s="37" t="inlineStr">
        <is>
          <t>SB-0709</t>
        </is>
      </c>
      <c r="G352" s="37" t="inlineStr">
        <is>
          <t>Salmonberry</t>
        </is>
      </c>
      <c r="H352" s="37" t="n">
        <v>28</v>
      </c>
      <c r="I352" s="37" t="inlineStr">
        <is>
          <t>not-current</t>
        </is>
      </c>
      <c r="J352" s="37" t="inlineStr">
        <is>
          <t>Y</t>
        </is>
      </c>
      <c r="K352" s="43" t="n">
        <v>46099</v>
      </c>
      <c r="L352" s="37" t="inlineStr">
        <is>
          <t>SUSTAINED</t>
        </is>
      </c>
    </row>
    <row r="353">
      <c r="A353" s="37" t="inlineStr">
        <is>
          <t>SKP-2026-0352</t>
        </is>
      </c>
      <c r="B353" s="37" t="inlineStr">
        <is>
          <t>OFR-2026-1322</t>
        </is>
      </c>
      <c r="C353" s="43" t="n">
        <v>46107</v>
      </c>
      <c r="D353" s="37" t="inlineStr">
        <is>
          <t>WL-01139</t>
        </is>
      </c>
      <c r="E353" s="37" t="n">
        <v>139</v>
      </c>
      <c r="F353" s="37" t="inlineStr">
        <is>
          <t>GW-0314</t>
        </is>
      </c>
      <c r="G353" s="37" t="inlineStr">
        <is>
          <t>Gullwing</t>
        </is>
      </c>
      <c r="H353" s="37" t="n">
        <v>32</v>
      </c>
      <c r="I353" s="37" t="inlineStr">
        <is>
          <t>vessel-fit</t>
        </is>
      </c>
      <c r="J353" s="37" t="inlineStr">
        <is>
          <t>Y</t>
        </is>
      </c>
      <c r="K353" s="43" t="n">
        <v>46109</v>
      </c>
      <c r="L353" s="37" t="inlineStr">
        <is>
          <t>SUSTAINED</t>
        </is>
      </c>
    </row>
    <row r="354">
      <c r="A354" s="37" t="inlineStr">
        <is>
          <t>SKP-2026-0353</t>
        </is>
      </c>
      <c r="B354" s="37" t="inlineStr">
        <is>
          <t>OFR-2026-1323</t>
        </is>
      </c>
      <c r="C354" s="43" t="n">
        <v>46094</v>
      </c>
      <c r="D354" s="37" t="inlineStr">
        <is>
          <t>WL-03279</t>
        </is>
      </c>
      <c r="E354" s="37" t="n">
        <v>2279</v>
      </c>
      <c r="F354" s="37" t="inlineStr">
        <is>
          <t>EW-0916</t>
        </is>
      </c>
      <c r="G354" s="37" t="inlineStr">
        <is>
          <t>Eastwey</t>
        </is>
      </c>
      <c r="H354" s="37" t="n">
        <v>24</v>
      </c>
      <c r="I354" s="37" t="inlineStr">
        <is>
          <t>vessel-fit</t>
        </is>
      </c>
      <c r="J354" s="37" t="inlineStr">
        <is>
          <t>Y</t>
        </is>
      </c>
      <c r="K354" s="43" t="n">
        <v>46099</v>
      </c>
      <c r="L354" s="37" t="inlineStr">
        <is>
          <t>SUSTAINED</t>
        </is>
      </c>
    </row>
    <row r="355">
      <c r="A355" s="37" t="inlineStr">
        <is>
          <t>SKP-2026-0354</t>
        </is>
      </c>
      <c r="B355" s="37" t="inlineStr">
        <is>
          <t>OFR-2026-1327</t>
        </is>
      </c>
      <c r="C355" s="43" t="n">
        <v>46107</v>
      </c>
      <c r="D355" s="37" t="inlineStr">
        <is>
          <t>WL-03305</t>
        </is>
      </c>
      <c r="E355" s="37" t="n">
        <v>2305</v>
      </c>
      <c r="F355" s="37" t="inlineStr">
        <is>
          <t>GW-0509</t>
        </is>
      </c>
      <c r="G355" s="37" t="inlineStr">
        <is>
          <t>Gullwing</t>
        </is>
      </c>
      <c r="H355" s="37" t="n">
        <v>45</v>
      </c>
      <c r="I355" s="37" t="inlineStr">
        <is>
          <t>declined-prior-offer</t>
        </is>
      </c>
      <c r="J355" s="37" t="inlineStr">
        <is>
          <t>Y</t>
        </is>
      </c>
      <c r="K355" s="43" t="n">
        <v>46112</v>
      </c>
      <c r="L355" s="37" t="inlineStr">
        <is>
          <t>SUSTAINED</t>
        </is>
      </c>
    </row>
    <row r="356">
      <c r="A356" s="37" t="inlineStr">
        <is>
          <t>SKP-2026-0355</t>
        </is>
      </c>
      <c r="B356" s="37" t="inlineStr">
        <is>
          <t>OFR-2026-1328</t>
        </is>
      </c>
      <c r="C356" s="43" t="n">
        <v>46099</v>
      </c>
      <c r="D356" s="37" t="inlineStr">
        <is>
          <t>WL-02417</t>
        </is>
      </c>
      <c r="E356" s="37" t="n">
        <v>1417</v>
      </c>
      <c r="F356" s="37" t="inlineStr">
        <is>
          <t>GW-0323</t>
        </is>
      </c>
      <c r="G356" s="37" t="inlineStr">
        <is>
          <t>Gullwing</t>
        </is>
      </c>
      <c r="H356" s="37" t="n">
        <v>80</v>
      </c>
      <c r="I356" s="37" t="inlineStr">
        <is>
          <t>declined-prior-offer</t>
        </is>
      </c>
      <c r="J356" s="37" t="inlineStr">
        <is>
          <t>Y</t>
        </is>
      </c>
      <c r="K356" s="43" t="n">
        <v>46101</v>
      </c>
      <c r="L356" s="37" t="inlineStr">
        <is>
          <t>SUSTAINED</t>
        </is>
      </c>
    </row>
    <row r="357">
      <c r="A357" s="37" t="inlineStr">
        <is>
          <t>SKP-2026-0356</t>
        </is>
      </c>
      <c r="B357" s="37" t="inlineStr">
        <is>
          <t>OFR-2026-1330</t>
        </is>
      </c>
      <c r="C357" s="43" t="n">
        <v>46113</v>
      </c>
      <c r="D357" s="37" t="inlineStr">
        <is>
          <t>WL-01084</t>
        </is>
      </c>
      <c r="E357" s="37" t="n">
        <v>84</v>
      </c>
      <c r="F357" s="37" t="inlineStr">
        <is>
          <t>SB-0419</t>
        </is>
      </c>
      <c r="G357" s="37" t="inlineStr">
        <is>
          <t>Salmonberry</t>
        </is>
      </c>
      <c r="H357" s="37" t="n">
        <v>32</v>
      </c>
      <c r="I357" s="37" t="inlineStr">
        <is>
          <t>declined-prior-offer</t>
        </is>
      </c>
      <c r="J357" s="37" t="inlineStr">
        <is>
          <t>Y</t>
        </is>
      </c>
      <c r="K357" s="43" t="n">
        <v>46114</v>
      </c>
      <c r="L357" s="37" t="inlineStr">
        <is>
          <t>SUSTAINED</t>
        </is>
      </c>
    </row>
    <row r="358">
      <c r="A358" s="37" t="inlineStr">
        <is>
          <t>SKP-2026-0357</t>
        </is>
      </c>
      <c r="B358" s="37" t="inlineStr">
        <is>
          <t>OFR-2026-1332</t>
        </is>
      </c>
      <c r="C358" s="43" t="n">
        <v>46117</v>
      </c>
      <c r="D358" s="37" t="inlineStr">
        <is>
          <t>WL-03306</t>
        </is>
      </c>
      <c r="E358" s="37" t="n">
        <v>2306</v>
      </c>
      <c r="F358" s="37" t="inlineStr">
        <is>
          <t>SB-0307</t>
        </is>
      </c>
      <c r="G358" s="37" t="inlineStr">
        <is>
          <t>Salmonberry</t>
        </is>
      </c>
      <c r="H358" s="37" t="n">
        <v>32</v>
      </c>
      <c r="I358" s="37" t="inlineStr">
        <is>
          <t>declined-prior-offer</t>
        </is>
      </c>
      <c r="J358" s="37" t="inlineStr">
        <is>
          <t>Y</t>
        </is>
      </c>
      <c r="K358" s="43" t="n">
        <v>46122</v>
      </c>
      <c r="L358" s="37" t="inlineStr">
        <is>
          <t>SUSTAINED</t>
        </is>
      </c>
    </row>
    <row r="359">
      <c r="A359" s="37" t="inlineStr">
        <is>
          <t>SKP-2026-0358</t>
        </is>
      </c>
      <c r="B359" s="37" t="inlineStr">
        <is>
          <t>OFR-2026-1333</t>
        </is>
      </c>
      <c r="C359" s="43" t="n">
        <v>46116</v>
      </c>
      <c r="D359" s="37" t="inlineStr">
        <is>
          <t>WL-01283</t>
        </is>
      </c>
      <c r="E359" s="37" t="n">
        <v>283</v>
      </c>
      <c r="F359" s="37" t="inlineStr">
        <is>
          <t>SB-0911</t>
        </is>
      </c>
      <c r="G359" s="37" t="inlineStr">
        <is>
          <t>Salmonberry</t>
        </is>
      </c>
      <c r="H359" s="37" t="n">
        <v>28</v>
      </c>
      <c r="I359" s="37" t="inlineStr">
        <is>
          <t>vessel-fit</t>
        </is>
      </c>
      <c r="J359" s="37" t="inlineStr">
        <is>
          <t>Y</t>
        </is>
      </c>
      <c r="K359" s="43" t="n">
        <v>46117</v>
      </c>
      <c r="L359" s="37" t="inlineStr">
        <is>
          <t>SUSTAINED</t>
        </is>
      </c>
    </row>
    <row r="360">
      <c r="A360" s="37" t="inlineStr">
        <is>
          <t>SKP-2026-0359</t>
        </is>
      </c>
      <c r="B360" s="37" t="inlineStr">
        <is>
          <t>OFR-2026-1335</t>
        </is>
      </c>
      <c r="C360" s="43" t="n">
        <v>46113</v>
      </c>
      <c r="D360" s="37" t="inlineStr">
        <is>
          <t>WL-02766</t>
        </is>
      </c>
      <c r="E360" s="37" t="n">
        <v>1766</v>
      </c>
      <c r="F360" s="37" t="inlineStr">
        <is>
          <t>SB-0908</t>
        </is>
      </c>
      <c r="G360" s="37" t="inlineStr">
        <is>
          <t>Salmonberry</t>
        </is>
      </c>
      <c r="H360" s="37" t="n">
        <v>36</v>
      </c>
      <c r="I360" s="37" t="inlineStr">
        <is>
          <t>not-current</t>
        </is>
      </c>
      <c r="J360" s="37" t="inlineStr">
        <is>
          <t>Y</t>
        </is>
      </c>
      <c r="K360" s="43" t="n">
        <v>46117</v>
      </c>
      <c r="L360" s="37" t="inlineStr">
        <is>
          <t>SUSTAINED</t>
        </is>
      </c>
    </row>
    <row r="361">
      <c r="A361" s="37" t="inlineStr">
        <is>
          <t>SKP-2026-0360</t>
        </is>
      </c>
      <c r="B361" s="37" t="inlineStr">
        <is>
          <t>OFR-2026-1337</t>
        </is>
      </c>
      <c r="C361" s="43" t="n">
        <v>46117</v>
      </c>
      <c r="D361" s="37" t="inlineStr">
        <is>
          <t>WL-03088</t>
        </is>
      </c>
      <c r="E361" s="37" t="n">
        <v>2088</v>
      </c>
      <c r="F361" s="37" t="inlineStr">
        <is>
          <t>SB-0213</t>
        </is>
      </c>
      <c r="G361" s="37" t="inlineStr">
        <is>
          <t>Salmonberry</t>
        </is>
      </c>
      <c r="H361" s="37" t="n">
        <v>40</v>
      </c>
      <c r="I361" s="37" t="inlineStr">
        <is>
          <t>declined-prior-offer</t>
        </is>
      </c>
      <c r="J361" s="37" t="inlineStr">
        <is>
          <t>Y</t>
        </is>
      </c>
      <c r="K361" s="43" t="n">
        <v>46122</v>
      </c>
      <c r="L361" s="37" t="inlineStr">
        <is>
          <t>SUSTAINED</t>
        </is>
      </c>
    </row>
    <row r="362">
      <c r="A362" s="37" t="inlineStr">
        <is>
          <t>SKP-2026-0361</t>
        </is>
      </c>
      <c r="B362" s="37" t="inlineStr">
        <is>
          <t>OFR-2026-1339</t>
        </is>
      </c>
      <c r="C362" s="43" t="n">
        <v>46124</v>
      </c>
      <c r="D362" s="37" t="inlineStr">
        <is>
          <t>WL-03139</t>
        </is>
      </c>
      <c r="E362" s="37" t="n">
        <v>2139</v>
      </c>
      <c r="F362" s="37" t="inlineStr">
        <is>
          <t>GW-0601</t>
        </is>
      </c>
      <c r="G362" s="37" t="inlineStr">
        <is>
          <t>Gullwing</t>
        </is>
      </c>
      <c r="H362" s="37" t="n">
        <v>32</v>
      </c>
      <c r="I362" s="37" t="inlineStr">
        <is>
          <t>declined-prior-offer</t>
        </is>
      </c>
      <c r="J362" s="37" t="inlineStr">
        <is>
          <t>Y</t>
        </is>
      </c>
      <c r="K362" s="43" t="n">
        <v>46124</v>
      </c>
      <c r="L362" s="37" t="inlineStr">
        <is>
          <t>SUSTAINED</t>
        </is>
      </c>
    </row>
    <row r="363">
      <c r="A363" s="37" t="inlineStr">
        <is>
          <t>SKP-2026-0362</t>
        </is>
      </c>
      <c r="B363" s="37" t="inlineStr">
        <is>
          <t>OFR-2026-1344</t>
        </is>
      </c>
      <c r="C363" s="43" t="n">
        <v>46125</v>
      </c>
      <c r="D363" s="37" t="inlineStr">
        <is>
          <t>WL-02120</t>
        </is>
      </c>
      <c r="E363" s="37" t="n">
        <v>1120</v>
      </c>
      <c r="F363" s="37" t="inlineStr">
        <is>
          <t>LP-0312</t>
        </is>
      </c>
      <c r="G363" s="37" t="inlineStr">
        <is>
          <t>Ledgport</t>
        </is>
      </c>
      <c r="H363" s="37" t="n">
        <v>24</v>
      </c>
      <c r="I363" s="37" t="inlineStr">
        <is>
          <t>vessel-fit</t>
        </is>
      </c>
      <c r="J363" s="37" t="inlineStr">
        <is>
          <t>Y</t>
        </is>
      </c>
      <c r="K363" s="43" t="n">
        <v>46127</v>
      </c>
      <c r="L363" s="37" t="inlineStr">
        <is>
          <t>SUSTAINED</t>
        </is>
      </c>
    </row>
    <row r="364">
      <c r="A364" s="37" t="inlineStr">
        <is>
          <t>SKP-2026-0363</t>
        </is>
      </c>
      <c r="B364" s="37" t="inlineStr">
        <is>
          <t>OFR-2026-1345</t>
        </is>
      </c>
      <c r="C364" s="43" t="n">
        <v>46118</v>
      </c>
      <c r="D364" s="37" t="inlineStr">
        <is>
          <t>WL-02353</t>
        </is>
      </c>
      <c r="E364" s="37" t="n">
        <v>1353</v>
      </c>
      <c r="F364" s="37" t="inlineStr">
        <is>
          <t>LP-0601</t>
        </is>
      </c>
      <c r="G364" s="37" t="inlineStr">
        <is>
          <t>Ledgport</t>
        </is>
      </c>
      <c r="H364" s="37" t="n">
        <v>24</v>
      </c>
      <c r="I364" s="37" t="inlineStr">
        <is>
          <t>preference-mismatch</t>
        </is>
      </c>
      <c r="J364" s="37" t="inlineStr">
        <is>
          <t>Y</t>
        </is>
      </c>
      <c r="K364" s="43" t="n">
        <v>46120</v>
      </c>
      <c r="L364" s="37" t="inlineStr">
        <is>
          <t>SUSTAINED</t>
        </is>
      </c>
    </row>
    <row r="365">
      <c r="A365" s="37" t="inlineStr">
        <is>
          <t>SKP-2026-0364</t>
        </is>
      </c>
      <c r="B365" s="37" t="inlineStr">
        <is>
          <t>OFR-2026-1346</t>
        </is>
      </c>
      <c r="C365" s="43" t="n">
        <v>46131</v>
      </c>
      <c r="D365" s="37" t="inlineStr">
        <is>
          <t>WL-02504</t>
        </is>
      </c>
      <c r="E365" s="37" t="n">
        <v>1504</v>
      </c>
      <c r="F365" s="37" t="inlineStr">
        <is>
          <t>SB-0104</t>
        </is>
      </c>
      <c r="G365" s="37" t="inlineStr">
        <is>
          <t>Salmonberry</t>
        </is>
      </c>
      <c r="H365" s="37" t="n">
        <v>50</v>
      </c>
      <c r="I365" s="37" t="inlineStr">
        <is>
          <t>not-current</t>
        </is>
      </c>
      <c r="J365" s="37" t="inlineStr">
        <is>
          <t>Y</t>
        </is>
      </c>
      <c r="K365" s="43" t="n">
        <v>46132</v>
      </c>
      <c r="L365" s="37" t="inlineStr">
        <is>
          <t>SUSTAINED</t>
        </is>
      </c>
    </row>
    <row r="366">
      <c r="A366" s="37" t="inlineStr">
        <is>
          <t>SKP-2026-0365</t>
        </is>
      </c>
      <c r="B366" s="37" t="inlineStr">
        <is>
          <t>OFR-2026-1347</t>
        </is>
      </c>
      <c r="C366" s="43" t="n">
        <v>46129</v>
      </c>
      <c r="D366" s="37" t="inlineStr">
        <is>
          <t>WL-02706</t>
        </is>
      </c>
      <c r="E366" s="37" t="n">
        <v>1706</v>
      </c>
      <c r="F366" s="37" t="inlineStr">
        <is>
          <t>GW-0513</t>
        </is>
      </c>
      <c r="G366" s="37" t="inlineStr">
        <is>
          <t>Gullwing</t>
        </is>
      </c>
      <c r="H366" s="37" t="n">
        <v>32</v>
      </c>
      <c r="I366" s="37" t="inlineStr">
        <is>
          <t>not-current</t>
        </is>
      </c>
      <c r="J366" s="37" t="inlineStr">
        <is>
          <t>Y</t>
        </is>
      </c>
      <c r="K366" s="43" t="n">
        <v>46134</v>
      </c>
      <c r="L366" s="37" t="inlineStr">
        <is>
          <t>SUSTAINED</t>
        </is>
      </c>
    </row>
    <row r="367">
      <c r="A367" s="37" t="inlineStr">
        <is>
          <t>SKP-2026-0366</t>
        </is>
      </c>
      <c r="B367" s="37" t="inlineStr">
        <is>
          <t>OFR-2026-1348</t>
        </is>
      </c>
      <c r="C367" s="43" t="n">
        <v>46114</v>
      </c>
      <c r="D367" s="37" t="inlineStr">
        <is>
          <t>WL-01288</t>
        </is>
      </c>
      <c r="E367" s="37" t="n">
        <v>288</v>
      </c>
      <c r="F367" s="37" t="inlineStr">
        <is>
          <t>VB-0916</t>
        </is>
      </c>
      <c r="G367" s="37" t="inlineStr">
        <is>
          <t>Vessbank</t>
        </is>
      </c>
      <c r="H367" s="37" t="n">
        <v>24</v>
      </c>
      <c r="I367" s="37" t="inlineStr">
        <is>
          <t>declined-prior-offer</t>
        </is>
      </c>
      <c r="J367" s="37" t="inlineStr">
        <is>
          <t>Y</t>
        </is>
      </c>
      <c r="K367" s="43" t="n">
        <v>46116</v>
      </c>
      <c r="L367" s="37" t="inlineStr">
        <is>
          <t>SUSTAINED</t>
        </is>
      </c>
    </row>
    <row r="368">
      <c r="A368" s="37" t="inlineStr">
        <is>
          <t>SKP-2026-0367</t>
        </is>
      </c>
      <c r="B368" s="37" t="inlineStr">
        <is>
          <t>OFR-2026-1350</t>
        </is>
      </c>
      <c r="C368" s="43" t="n">
        <v>46119</v>
      </c>
      <c r="D368" s="37" t="inlineStr">
        <is>
          <t>WL-02639</t>
        </is>
      </c>
      <c r="E368" s="37" t="n">
        <v>1639</v>
      </c>
      <c r="F368" s="37" t="inlineStr">
        <is>
          <t>LP-1102</t>
        </is>
      </c>
      <c r="G368" s="37" t="inlineStr">
        <is>
          <t>Ledgport</t>
        </is>
      </c>
      <c r="H368" s="37" t="n">
        <v>28</v>
      </c>
      <c r="I368" s="37" t="inlineStr">
        <is>
          <t>vessel-fit</t>
        </is>
      </c>
      <c r="J368" s="37" t="inlineStr">
        <is>
          <t>Y</t>
        </is>
      </c>
      <c r="K368" s="43" t="n">
        <v>46122</v>
      </c>
      <c r="L368" s="37" t="inlineStr">
        <is>
          <t>SUSTAINED</t>
        </is>
      </c>
    </row>
    <row r="369">
      <c r="A369" s="37" t="inlineStr">
        <is>
          <t>SKP-2026-0368</t>
        </is>
      </c>
      <c r="B369" s="37" t="inlineStr">
        <is>
          <t>OFR-2026-1358</t>
        </is>
      </c>
      <c r="C369" s="43" t="n">
        <v>46151</v>
      </c>
      <c r="D369" s="37" t="inlineStr">
        <is>
          <t>WL-03754</t>
        </is>
      </c>
      <c r="E369" s="37" t="n">
        <v>2754</v>
      </c>
      <c r="F369" s="37" t="inlineStr">
        <is>
          <t>LP-0923</t>
        </is>
      </c>
      <c r="G369" s="37" t="inlineStr">
        <is>
          <t>Ledgport</t>
        </is>
      </c>
      <c r="H369" s="37" t="n">
        <v>24</v>
      </c>
      <c r="I369" s="37" t="inlineStr">
        <is>
          <t>not-current</t>
        </is>
      </c>
      <c r="J369" s="37" t="inlineStr">
        <is>
          <t>Y</t>
        </is>
      </c>
      <c r="K369" s="43" t="n">
        <v>46151</v>
      </c>
      <c r="L369" s="37" t="inlineStr">
        <is>
          <t>SUSTAINED</t>
        </is>
      </c>
    </row>
    <row r="370">
      <c r="A370" s="37" t="inlineStr">
        <is>
          <t>SKP-2026-0369</t>
        </is>
      </c>
      <c r="B370" s="37" t="inlineStr">
        <is>
          <t>OFR-2026-1360</t>
        </is>
      </c>
      <c r="C370" s="43" t="n">
        <v>46148</v>
      </c>
      <c r="D370" s="37" t="inlineStr">
        <is>
          <t>WL-01205</t>
        </is>
      </c>
      <c r="E370" s="37" t="n">
        <v>205</v>
      </c>
      <c r="F370" s="37" t="inlineStr">
        <is>
          <t>GW-0620</t>
        </is>
      </c>
      <c r="G370" s="37" t="inlineStr">
        <is>
          <t>Gullwing</t>
        </is>
      </c>
      <c r="H370" s="37" t="n">
        <v>70</v>
      </c>
      <c r="I370" s="37" t="inlineStr">
        <is>
          <t>preference-mismatch</t>
        </is>
      </c>
      <c r="J370" s="37" t="inlineStr">
        <is>
          <t>Y</t>
        </is>
      </c>
      <c r="K370" s="43" t="n">
        <v>46151</v>
      </c>
      <c r="L370" s="37" t="inlineStr">
        <is>
          <t>SUSTAINED</t>
        </is>
      </c>
    </row>
    <row r="371">
      <c r="A371" s="37" t="inlineStr">
        <is>
          <t>SKP-2026-0370</t>
        </is>
      </c>
      <c r="B371" s="37" t="inlineStr">
        <is>
          <t>OFR-2026-1361</t>
        </is>
      </c>
      <c r="C371" s="43" t="n">
        <v>46160</v>
      </c>
      <c r="D371" s="37" t="inlineStr">
        <is>
          <t>WL-03607</t>
        </is>
      </c>
      <c r="E371" s="37" t="n">
        <v>2607</v>
      </c>
      <c r="F371" s="37" t="inlineStr">
        <is>
          <t>LP-1105</t>
        </is>
      </c>
      <c r="G371" s="37" t="inlineStr">
        <is>
          <t>Ledgport</t>
        </is>
      </c>
      <c r="H371" s="37" t="n">
        <v>36</v>
      </c>
      <c r="I371" s="37" t="inlineStr">
        <is>
          <t>not-current</t>
        </is>
      </c>
      <c r="J371" s="37" t="inlineStr">
        <is>
          <t>Y</t>
        </is>
      </c>
      <c r="K371" s="43" t="n">
        <v>46163</v>
      </c>
      <c r="L371" s="37" t="inlineStr">
        <is>
          <t>SUSTAINED</t>
        </is>
      </c>
    </row>
    <row r="372">
      <c r="A372" s="37" t="inlineStr">
        <is>
          <t>SKP-2026-0371</t>
        </is>
      </c>
      <c r="B372" s="37" t="inlineStr">
        <is>
          <t>OFR-2026-1363</t>
        </is>
      </c>
      <c r="C372" s="43" t="n">
        <v>46150</v>
      </c>
      <c r="D372" s="37" t="inlineStr">
        <is>
          <t>WL-03896</t>
        </is>
      </c>
      <c r="E372" s="37" t="n">
        <v>2896</v>
      </c>
      <c r="F372" s="37" t="inlineStr">
        <is>
          <t>LP-0220</t>
        </is>
      </c>
      <c r="G372" s="37" t="inlineStr">
        <is>
          <t>Ledgport</t>
        </is>
      </c>
      <c r="H372" s="37" t="n">
        <v>28</v>
      </c>
      <c r="I372" s="37" t="inlineStr">
        <is>
          <t>vessel-fit</t>
        </is>
      </c>
      <c r="J372" s="37" t="inlineStr">
        <is>
          <t>N</t>
        </is>
      </c>
      <c r="K372" s="43" t="n">
        <v>46150</v>
      </c>
      <c r="L372" s="37" t="inlineStr">
        <is>
          <t>SUSTAINED</t>
        </is>
      </c>
    </row>
    <row r="373">
      <c r="A373" s="37" t="inlineStr">
        <is>
          <t>SKP-2026-0372</t>
        </is>
      </c>
      <c r="B373" s="37" t="inlineStr">
        <is>
          <t>OFR-2026-1366</t>
        </is>
      </c>
      <c r="C373" s="43" t="n">
        <v>46166</v>
      </c>
      <c r="D373" s="37" t="inlineStr">
        <is>
          <t>WL-03247</t>
        </is>
      </c>
      <c r="E373" s="37" t="n">
        <v>2247</v>
      </c>
      <c r="F373" s="37" t="inlineStr">
        <is>
          <t>VB-0916</t>
        </is>
      </c>
      <c r="G373" s="37" t="inlineStr">
        <is>
          <t>Vessbank</t>
        </is>
      </c>
      <c r="H373" s="37" t="n">
        <v>24</v>
      </c>
      <c r="I373" s="37" t="inlineStr">
        <is>
          <t>vessel-fit</t>
        </is>
      </c>
      <c r="J373" s="37" t="inlineStr">
        <is>
          <t>Y</t>
        </is>
      </c>
      <c r="K373" s="43" t="n">
        <v>46171</v>
      </c>
      <c r="L373" s="37" t="inlineStr">
        <is>
          <t>SUSTAINED</t>
        </is>
      </c>
    </row>
    <row r="374">
      <c r="A374" s="37" t="inlineStr">
        <is>
          <t>SKP-2026-0373</t>
        </is>
      </c>
      <c r="B374" s="37" t="inlineStr">
        <is>
          <t>OFR-2026-1372</t>
        </is>
      </c>
      <c r="C374" s="43" t="n">
        <v>46144</v>
      </c>
      <c r="D374" s="37" t="inlineStr">
        <is>
          <t>WL-02671</t>
        </is>
      </c>
      <c r="E374" s="37" t="n">
        <v>1671</v>
      </c>
      <c r="F374" s="37" t="inlineStr">
        <is>
          <t>LP-1019</t>
        </is>
      </c>
      <c r="G374" s="37" t="inlineStr">
        <is>
          <t>Ledgport</t>
        </is>
      </c>
      <c r="H374" s="37" t="n">
        <v>32</v>
      </c>
      <c r="I374" s="37" t="inlineStr">
        <is>
          <t>vessel-fit</t>
        </is>
      </c>
      <c r="J374" s="37" t="inlineStr">
        <is>
          <t>Y</t>
        </is>
      </c>
      <c r="K374" s="43" t="n">
        <v>46145</v>
      </c>
      <c r="L374" s="37" t="inlineStr">
        <is>
          <t>SUSTAINED</t>
        </is>
      </c>
    </row>
    <row r="375">
      <c r="A375" s="37" t="inlineStr">
        <is>
          <t>SKP-2026-0374</t>
        </is>
      </c>
      <c r="B375" s="37" t="inlineStr">
        <is>
          <t>OFR-2026-1375</t>
        </is>
      </c>
      <c r="C375" s="43" t="n">
        <v>46153</v>
      </c>
      <c r="D375" s="37" t="inlineStr">
        <is>
          <t>WL-01404</t>
        </is>
      </c>
      <c r="E375" s="37" t="n">
        <v>404</v>
      </c>
      <c r="F375" s="37" t="inlineStr">
        <is>
          <t>VB-0619</t>
        </is>
      </c>
      <c r="G375" s="37" t="inlineStr">
        <is>
          <t>Vessbank</t>
        </is>
      </c>
      <c r="H375" s="37" t="n">
        <v>24</v>
      </c>
      <c r="I375" s="37" t="inlineStr">
        <is>
          <t>not-current</t>
        </is>
      </c>
      <c r="J375" s="37" t="inlineStr">
        <is>
          <t>Y</t>
        </is>
      </c>
      <c r="K375" s="43" t="n">
        <v>46157</v>
      </c>
      <c r="L375" s="37" t="inlineStr">
        <is>
          <t>SUSTAINED</t>
        </is>
      </c>
    </row>
    <row r="376">
      <c r="A376" s="37" t="inlineStr">
        <is>
          <t>SKP-2026-0375</t>
        </is>
      </c>
      <c r="B376" s="37" t="inlineStr">
        <is>
          <t>OFR-2026-1378</t>
        </is>
      </c>
      <c r="C376" s="43" t="n">
        <v>46160</v>
      </c>
      <c r="D376" s="37" t="inlineStr">
        <is>
          <t>WL-01299</t>
        </is>
      </c>
      <c r="E376" s="37" t="n">
        <v>299</v>
      </c>
      <c r="F376" s="37" t="inlineStr">
        <is>
          <t>GW-0814</t>
        </is>
      </c>
      <c r="G376" s="37" t="inlineStr">
        <is>
          <t>Gullwing</t>
        </is>
      </c>
      <c r="H376" s="37" t="n">
        <v>70</v>
      </c>
      <c r="I376" s="37" t="inlineStr">
        <is>
          <t>not-current</t>
        </is>
      </c>
      <c r="J376" s="37" t="inlineStr">
        <is>
          <t>Y</t>
        </is>
      </c>
      <c r="K376" s="43" t="n">
        <v>46161</v>
      </c>
      <c r="L376" s="37" t="inlineStr">
        <is>
          <t>SUSTAINED</t>
        </is>
      </c>
    </row>
    <row r="377">
      <c r="A377" s="37" t="inlineStr">
        <is>
          <t>SKP-2026-0376</t>
        </is>
      </c>
      <c r="B377" s="37" t="inlineStr">
        <is>
          <t>OFR-2026-1380</t>
        </is>
      </c>
      <c r="C377" s="43" t="n">
        <v>46144</v>
      </c>
      <c r="D377" s="37" t="inlineStr">
        <is>
          <t>WL-03152</t>
        </is>
      </c>
      <c r="E377" s="37" t="n">
        <v>2152</v>
      </c>
      <c r="F377" s="37" t="inlineStr">
        <is>
          <t>LP-0104</t>
        </is>
      </c>
      <c r="G377" s="37" t="inlineStr">
        <is>
          <t>Ledgport</t>
        </is>
      </c>
      <c r="H377" s="37" t="n">
        <v>24</v>
      </c>
      <c r="I377" s="37" t="inlineStr">
        <is>
          <t>preference-mismatch</t>
        </is>
      </c>
      <c r="J377" s="37" t="inlineStr">
        <is>
          <t>Y</t>
        </is>
      </c>
      <c r="K377" s="43" t="n">
        <v>46145</v>
      </c>
      <c r="L377" s="37" t="inlineStr">
        <is>
          <t>SUSTAINED</t>
        </is>
      </c>
    </row>
    <row r="378">
      <c r="A378" s="37" t="inlineStr">
        <is>
          <t>SKP-2026-0377</t>
        </is>
      </c>
      <c r="B378" s="37" t="inlineStr">
        <is>
          <t>OFR-2026-1381</t>
        </is>
      </c>
      <c r="C378" s="43" t="n">
        <v>46156</v>
      </c>
      <c r="D378" s="37" t="inlineStr">
        <is>
          <t>WL-01255</t>
        </is>
      </c>
      <c r="E378" s="37" t="n">
        <v>255</v>
      </c>
      <c r="F378" s="37" t="inlineStr">
        <is>
          <t>EW-0522</t>
        </is>
      </c>
      <c r="G378" s="37" t="inlineStr">
        <is>
          <t>Eastwey</t>
        </is>
      </c>
      <c r="H378" s="37" t="n">
        <v>36</v>
      </c>
      <c r="I378" s="37" t="inlineStr">
        <is>
          <t>not-current</t>
        </is>
      </c>
      <c r="J378" s="37" t="inlineStr">
        <is>
          <t>Y</t>
        </is>
      </c>
      <c r="K378" s="43" t="n">
        <v>46160</v>
      </c>
      <c r="L378" s="37" t="inlineStr">
        <is>
          <t>SUSTAINED</t>
        </is>
      </c>
    </row>
    <row r="379">
      <c r="A379" s="37" t="inlineStr">
        <is>
          <t>SKP-2026-0378</t>
        </is>
      </c>
      <c r="B379" s="37" t="inlineStr">
        <is>
          <t>OFR-2026-1384</t>
        </is>
      </c>
      <c r="C379" s="43" t="n">
        <v>46152</v>
      </c>
      <c r="D379" s="37" t="inlineStr">
        <is>
          <t>WL-01109</t>
        </is>
      </c>
      <c r="E379" s="37" t="n">
        <v>109</v>
      </c>
      <c r="F379" s="37" t="inlineStr">
        <is>
          <t>LP-0820</t>
        </is>
      </c>
      <c r="G379" s="37" t="inlineStr">
        <is>
          <t>Ledgport</t>
        </is>
      </c>
      <c r="H379" s="37" t="n">
        <v>32</v>
      </c>
      <c r="I379" s="37" t="inlineStr">
        <is>
          <t>preference-mismatch</t>
        </is>
      </c>
      <c r="J379" s="37" t="inlineStr">
        <is>
          <t>Y</t>
        </is>
      </c>
      <c r="K379" s="43" t="n">
        <v>46153</v>
      </c>
      <c r="L379" s="37" t="inlineStr">
        <is>
          <t>SUSTAINED</t>
        </is>
      </c>
    </row>
    <row r="380">
      <c r="A380" s="37" t="inlineStr">
        <is>
          <t>SKP-2026-0379</t>
        </is>
      </c>
      <c r="B380" s="37" t="inlineStr">
        <is>
          <t>OFR-2026-1387</t>
        </is>
      </c>
      <c r="C380" s="43" t="n">
        <v>46175</v>
      </c>
      <c r="D380" s="37" t="inlineStr">
        <is>
          <t>WL-02315</t>
        </is>
      </c>
      <c r="E380" s="37" t="n">
        <v>1315</v>
      </c>
      <c r="F380" s="37" t="inlineStr">
        <is>
          <t>SB-0302</t>
        </is>
      </c>
      <c r="G380" s="37" t="inlineStr">
        <is>
          <t>Salmonberry</t>
        </is>
      </c>
      <c r="H380" s="37" t="n">
        <v>28</v>
      </c>
      <c r="I380" s="37" t="inlineStr">
        <is>
          <t>not-current</t>
        </is>
      </c>
      <c r="J380" s="37" t="inlineStr">
        <is>
          <t>Y</t>
        </is>
      </c>
      <c r="K380" s="43" t="n">
        <v>46175</v>
      </c>
      <c r="L380" s="37" t="inlineStr">
        <is>
          <t>SUSTAINED</t>
        </is>
      </c>
    </row>
    <row r="381">
      <c r="A381" s="37" t="inlineStr">
        <is>
          <t>SKP-2026-0380</t>
        </is>
      </c>
      <c r="B381" s="37" t="inlineStr">
        <is>
          <t>OFR-2026-1391</t>
        </is>
      </c>
      <c r="C381" s="43" t="n">
        <v>46194</v>
      </c>
      <c r="D381" s="37" t="inlineStr">
        <is>
          <t>WL-03078</t>
        </is>
      </c>
      <c r="E381" s="37" t="n">
        <v>2078</v>
      </c>
      <c r="F381" s="37" t="inlineStr">
        <is>
          <t>VB-0415</t>
        </is>
      </c>
      <c r="G381" s="37" t="inlineStr">
        <is>
          <t>Vessbank</t>
        </is>
      </c>
      <c r="H381" s="37" t="n">
        <v>24</v>
      </c>
      <c r="I381" s="37" t="inlineStr">
        <is>
          <t>declined-prior-offer</t>
        </is>
      </c>
      <c r="J381" s="37" t="inlineStr">
        <is>
          <t>Y</t>
        </is>
      </c>
      <c r="K381" s="43" t="n">
        <v>46197</v>
      </c>
      <c r="L381" s="37" t="inlineStr">
        <is>
          <t>SUSTAINED</t>
        </is>
      </c>
    </row>
    <row r="382">
      <c r="A382" s="37" t="inlineStr">
        <is>
          <t>SKP-2026-0381</t>
        </is>
      </c>
      <c r="B382" s="37" t="inlineStr">
        <is>
          <t>OFR-2026-1398</t>
        </is>
      </c>
      <c r="C382" s="43" t="n">
        <v>46182</v>
      </c>
      <c r="D382" s="37" t="inlineStr">
        <is>
          <t>WL-01954</t>
        </is>
      </c>
      <c r="E382" s="37" t="n">
        <v>954</v>
      </c>
      <c r="F382" s="37" t="inlineStr">
        <is>
          <t>SB-0416</t>
        </is>
      </c>
      <c r="G382" s="37" t="inlineStr">
        <is>
          <t>Salmonberry</t>
        </is>
      </c>
      <c r="H382" s="37" t="n">
        <v>28</v>
      </c>
      <c r="I382" s="37" t="inlineStr">
        <is>
          <t>preference-mismatch</t>
        </is>
      </c>
      <c r="J382" s="37" t="inlineStr">
        <is>
          <t>Y</t>
        </is>
      </c>
      <c r="K382" s="43" t="n">
        <v>46183</v>
      </c>
      <c r="L382" s="37" t="inlineStr">
        <is>
          <t>SUSTAINED</t>
        </is>
      </c>
    </row>
    <row r="383">
      <c r="A383" s="37" t="inlineStr">
        <is>
          <t>SKP-2026-0382</t>
        </is>
      </c>
      <c r="B383" s="37" t="inlineStr">
        <is>
          <t>OFR-2026-1399</t>
        </is>
      </c>
      <c r="C383" s="43" t="n">
        <v>46201</v>
      </c>
      <c r="D383" s="37" t="inlineStr">
        <is>
          <t>WL-02098</t>
        </is>
      </c>
      <c r="E383" s="37" t="n">
        <v>1098</v>
      </c>
      <c r="F383" s="37" t="inlineStr">
        <is>
          <t>VB-0707</t>
        </is>
      </c>
      <c r="G383" s="37" t="inlineStr">
        <is>
          <t>Vessbank</t>
        </is>
      </c>
      <c r="H383" s="37" t="n">
        <v>28</v>
      </c>
      <c r="I383" s="37" t="inlineStr">
        <is>
          <t>vessel-fit</t>
        </is>
      </c>
      <c r="J383" s="37" t="inlineStr">
        <is>
          <t>Y</t>
        </is>
      </c>
      <c r="K383" s="43" t="n">
        <v>46201</v>
      </c>
      <c r="L383" s="37" t="inlineStr">
        <is>
          <t>SUSTAINED</t>
        </is>
      </c>
    </row>
    <row r="384">
      <c r="A384" s="37" t="inlineStr">
        <is>
          <t>SKP-2026-0383</t>
        </is>
      </c>
      <c r="B384" s="37" t="inlineStr">
        <is>
          <t>OFR-2026-1400</t>
        </is>
      </c>
      <c r="C384" s="43" t="n">
        <v>46193</v>
      </c>
      <c r="D384" s="37" t="inlineStr">
        <is>
          <t>WL-01256</t>
        </is>
      </c>
      <c r="E384" s="37" t="n">
        <v>256</v>
      </c>
      <c r="F384" s="37" t="inlineStr">
        <is>
          <t>LP-1103</t>
        </is>
      </c>
      <c r="G384" s="37" t="inlineStr">
        <is>
          <t>Ledgport</t>
        </is>
      </c>
      <c r="H384" s="37" t="n">
        <v>32</v>
      </c>
      <c r="I384" s="37" t="inlineStr">
        <is>
          <t>not-current</t>
        </is>
      </c>
      <c r="J384" s="37" t="inlineStr">
        <is>
          <t>Y</t>
        </is>
      </c>
      <c r="K384" s="43" t="n">
        <v>46197</v>
      </c>
      <c r="L384" s="37" t="inlineStr">
        <is>
          <t>SUSTAINED</t>
        </is>
      </c>
    </row>
    <row r="385">
      <c r="A385" s="37" t="inlineStr">
        <is>
          <t>SKP-2026-0384</t>
        </is>
      </c>
      <c r="B385" s="37" t="inlineStr">
        <is>
          <t>OFR-2026-1402</t>
        </is>
      </c>
      <c r="C385" s="43" t="n">
        <v>46195</v>
      </c>
      <c r="D385" s="37" t="inlineStr">
        <is>
          <t>WL-01936</t>
        </is>
      </c>
      <c r="E385" s="37" t="n">
        <v>936</v>
      </c>
      <c r="F385" s="37" t="inlineStr">
        <is>
          <t>VB-0507</t>
        </is>
      </c>
      <c r="G385" s="37" t="inlineStr">
        <is>
          <t>Vessbank</t>
        </is>
      </c>
      <c r="H385" s="37" t="n">
        <v>40</v>
      </c>
      <c r="I385" s="37" t="inlineStr">
        <is>
          <t>not-current</t>
        </is>
      </c>
      <c r="J385" s="37" t="inlineStr">
        <is>
          <t>N</t>
        </is>
      </c>
      <c r="K385" s="43" t="n">
        <v>46200</v>
      </c>
      <c r="L385" s="37" t="inlineStr">
        <is>
          <t>SUSTAINED</t>
        </is>
      </c>
    </row>
    <row r="386">
      <c r="A386" s="37" t="inlineStr">
        <is>
          <t>SKP-2026-0385</t>
        </is>
      </c>
      <c r="B386" s="37" t="inlineStr">
        <is>
          <t>OFR-2026-1403</t>
        </is>
      </c>
      <c r="C386" s="43" t="n">
        <v>46198</v>
      </c>
      <c r="D386" s="37" t="inlineStr">
        <is>
          <t>WL-03690</t>
        </is>
      </c>
      <c r="E386" s="37" t="n">
        <v>2690</v>
      </c>
      <c r="F386" s="37" t="inlineStr">
        <is>
          <t>VB-0312</t>
        </is>
      </c>
      <c r="G386" s="37" t="inlineStr">
        <is>
          <t>Vessbank</t>
        </is>
      </c>
      <c r="H386" s="37" t="n">
        <v>24</v>
      </c>
      <c r="I386" s="37" t="inlineStr">
        <is>
          <t>vessel-fit</t>
        </is>
      </c>
      <c r="J386" s="37" t="inlineStr">
        <is>
          <t>Y</t>
        </is>
      </c>
      <c r="K386" s="43" t="n">
        <v>46200</v>
      </c>
      <c r="L386" s="37" t="inlineStr">
        <is>
          <t>SUSTAINED</t>
        </is>
      </c>
    </row>
    <row r="387">
      <c r="A387" s="37" t="inlineStr">
        <is>
          <t>SKP-2026-0386</t>
        </is>
      </c>
      <c r="B387" s="37" t="inlineStr">
        <is>
          <t>OFR-2026-1410</t>
        </is>
      </c>
      <c r="C387" s="43" t="n">
        <v>46176</v>
      </c>
      <c r="D387" s="37" t="inlineStr">
        <is>
          <t>WL-03787</t>
        </is>
      </c>
      <c r="E387" s="37" t="n">
        <v>2787</v>
      </c>
      <c r="F387" s="37" t="inlineStr">
        <is>
          <t>GW-0214</t>
        </is>
      </c>
      <c r="G387" s="37" t="inlineStr">
        <is>
          <t>Gullwing</t>
        </is>
      </c>
      <c r="H387" s="37" t="n">
        <v>24</v>
      </c>
      <c r="I387" s="37" t="inlineStr">
        <is>
          <t>declined-prior-offer</t>
        </is>
      </c>
      <c r="J387" s="37" t="inlineStr">
        <is>
          <t>Y</t>
        </is>
      </c>
      <c r="K387" s="43" t="n">
        <v>46181</v>
      </c>
      <c r="L387" s="37" t="inlineStr">
        <is>
          <t>SUSTAINED</t>
        </is>
      </c>
    </row>
    <row r="388">
      <c r="A388" s="37" t="inlineStr">
        <is>
          <t>SKP-2026-0387</t>
        </is>
      </c>
      <c r="B388" s="37" t="inlineStr">
        <is>
          <t>OFR-2026-1411</t>
        </is>
      </c>
      <c r="C388" s="43" t="n">
        <v>46198</v>
      </c>
      <c r="D388" s="37" t="inlineStr">
        <is>
          <t>WL-01843</t>
        </is>
      </c>
      <c r="E388" s="37" t="n">
        <v>843</v>
      </c>
      <c r="F388" s="37" t="inlineStr">
        <is>
          <t>VB-0402</t>
        </is>
      </c>
      <c r="G388" s="37" t="inlineStr">
        <is>
          <t>Vessbank</t>
        </is>
      </c>
      <c r="H388" s="37" t="n">
        <v>36</v>
      </c>
      <c r="I388" s="37" t="inlineStr">
        <is>
          <t>not-current</t>
        </is>
      </c>
      <c r="J388" s="37" t="inlineStr">
        <is>
          <t>Y</t>
        </is>
      </c>
      <c r="K388" s="43" t="n">
        <v>46199</v>
      </c>
      <c r="L388" s="37" t="inlineStr">
        <is>
          <t>SUSTAINED</t>
        </is>
      </c>
    </row>
    <row r="389">
      <c r="A389" s="37" t="inlineStr">
        <is>
          <t>SKP-2026-0388</t>
        </is>
      </c>
      <c r="B389" s="37" t="inlineStr">
        <is>
          <t>OFR-2026-1412</t>
        </is>
      </c>
      <c r="C389" s="43" t="n">
        <v>46177</v>
      </c>
      <c r="D389" s="37" t="inlineStr">
        <is>
          <t>WL-01982</t>
        </is>
      </c>
      <c r="E389" s="37" t="n">
        <v>982</v>
      </c>
      <c r="F389" s="37" t="inlineStr">
        <is>
          <t>GW-0305</t>
        </is>
      </c>
      <c r="G389" s="37" t="inlineStr">
        <is>
          <t>Gullwing</t>
        </is>
      </c>
      <c r="H389" s="37" t="n">
        <v>80</v>
      </c>
      <c r="I389" s="37" t="inlineStr">
        <is>
          <t>vessel-fit</t>
        </is>
      </c>
      <c r="J389" s="37" t="inlineStr">
        <is>
          <t>Y</t>
        </is>
      </c>
      <c r="K389" s="43" t="n">
        <v>46181</v>
      </c>
      <c r="L389" s="37" t="inlineStr">
        <is>
          <t>SUSTAINED</t>
        </is>
      </c>
    </row>
    <row r="390">
      <c r="A390" s="37" t="inlineStr">
        <is>
          <t>SKP-2026-0389</t>
        </is>
      </c>
      <c r="B390" s="37" t="inlineStr">
        <is>
          <t>OFR-2026-1419</t>
        </is>
      </c>
      <c r="C390" s="43" t="n">
        <v>46220</v>
      </c>
      <c r="D390" s="37" t="inlineStr">
        <is>
          <t>WL-02013</t>
        </is>
      </c>
      <c r="E390" s="37" t="n">
        <v>1013</v>
      </c>
      <c r="F390" s="37" t="inlineStr">
        <is>
          <t>SB-0902</t>
        </is>
      </c>
      <c r="G390" s="37" t="inlineStr">
        <is>
          <t>Salmonberry</t>
        </is>
      </c>
      <c r="H390" s="37" t="n">
        <v>24</v>
      </c>
      <c r="I390" s="37" t="inlineStr">
        <is>
          <t>not-current</t>
        </is>
      </c>
      <c r="J390" s="37" t="inlineStr">
        <is>
          <t>Y</t>
        </is>
      </c>
      <c r="K390" s="43" t="n">
        <v>46220</v>
      </c>
      <c r="L390" s="37" t="inlineStr">
        <is>
          <t>SUSTAINED</t>
        </is>
      </c>
    </row>
    <row r="391">
      <c r="A391" s="37" t="inlineStr">
        <is>
          <t>SKP-2026-0390</t>
        </is>
      </c>
      <c r="B391" s="37" t="inlineStr">
        <is>
          <t>OFR-2026-1422</t>
        </is>
      </c>
      <c r="C391" s="43" t="n">
        <v>46228</v>
      </c>
      <c r="D391" s="37" t="inlineStr">
        <is>
          <t>WL-03071</t>
        </is>
      </c>
      <c r="E391" s="37" t="n">
        <v>2071</v>
      </c>
      <c r="F391" s="37" t="inlineStr">
        <is>
          <t>SB-0411</t>
        </is>
      </c>
      <c r="G391" s="37" t="inlineStr">
        <is>
          <t>Salmonberry</t>
        </is>
      </c>
      <c r="H391" s="37" t="n">
        <v>24</v>
      </c>
      <c r="I391" s="37" t="inlineStr">
        <is>
          <t>vessel-fit</t>
        </is>
      </c>
      <c r="J391" s="37" t="inlineStr">
        <is>
          <t>Y</t>
        </is>
      </c>
      <c r="K391" s="43" t="n">
        <v>46229</v>
      </c>
      <c r="L391" s="37" t="inlineStr">
        <is>
          <t>SUSTAINED</t>
        </is>
      </c>
    </row>
    <row r="392">
      <c r="A392" s="37" t="inlineStr">
        <is>
          <t>SKP-2026-0391</t>
        </is>
      </c>
      <c r="B392" s="37" t="inlineStr">
        <is>
          <t>OFR-2026-1429</t>
        </is>
      </c>
      <c r="C392" s="43" t="n">
        <v>46224</v>
      </c>
      <c r="D392" s="37" t="inlineStr">
        <is>
          <t>WL-03106</t>
        </is>
      </c>
      <c r="E392" s="37" t="n">
        <v>2106</v>
      </c>
      <c r="F392" s="37" t="inlineStr">
        <is>
          <t>LP-0609</t>
        </is>
      </c>
      <c r="G392" s="37" t="inlineStr">
        <is>
          <t>Ledgport</t>
        </is>
      </c>
      <c r="H392" s="37" t="n">
        <v>24</v>
      </c>
      <c r="I392" s="37" t="inlineStr">
        <is>
          <t>not-current</t>
        </is>
      </c>
      <c r="J392" s="37" t="inlineStr">
        <is>
          <t>Y</t>
        </is>
      </c>
      <c r="K392" s="43" t="n">
        <v>46227</v>
      </c>
      <c r="L392" s="37" t="inlineStr">
        <is>
          <t>SUSTAINED</t>
        </is>
      </c>
    </row>
    <row r="393">
      <c r="A393" s="37" t="inlineStr">
        <is>
          <t>SKP-2026-0392</t>
        </is>
      </c>
      <c r="B393" s="37" t="inlineStr">
        <is>
          <t>OFR-2026-1432</t>
        </is>
      </c>
      <c r="C393" s="43" t="n">
        <v>46205</v>
      </c>
      <c r="D393" s="37" t="inlineStr">
        <is>
          <t>WL-03260</t>
        </is>
      </c>
      <c r="E393" s="37" t="n">
        <v>2260</v>
      </c>
      <c r="F393" s="37" t="inlineStr">
        <is>
          <t>EW-0104</t>
        </is>
      </c>
      <c r="G393" s="37" t="inlineStr">
        <is>
          <t>Eastwey</t>
        </is>
      </c>
      <c r="H393" s="37" t="n">
        <v>40</v>
      </c>
      <c r="I393" s="37" t="inlineStr">
        <is>
          <t>preference-mismatch</t>
        </is>
      </c>
      <c r="J393" s="37" t="inlineStr">
        <is>
          <t>Y</t>
        </is>
      </c>
      <c r="K393" s="43" t="n">
        <v>46206</v>
      </c>
      <c r="L393" s="37" t="inlineStr">
        <is>
          <t>SUSTAINED</t>
        </is>
      </c>
    </row>
    <row r="394">
      <c r="A394" s="37" t="inlineStr">
        <is>
          <t>SKP-2026-0393</t>
        </is>
      </c>
      <c r="B394" s="37" t="inlineStr">
        <is>
          <t>OFR-2026-1436</t>
        </is>
      </c>
      <c r="C394" s="43" t="n">
        <v>46217</v>
      </c>
      <c r="D394" s="37" t="inlineStr">
        <is>
          <t>WL-02358</t>
        </is>
      </c>
      <c r="E394" s="37" t="n">
        <v>1358</v>
      </c>
      <c r="F394" s="37" t="inlineStr">
        <is>
          <t>LP-1009</t>
        </is>
      </c>
      <c r="G394" s="37" t="inlineStr">
        <is>
          <t>Ledgport</t>
        </is>
      </c>
      <c r="H394" s="37" t="n">
        <v>32</v>
      </c>
      <c r="I394" s="37" t="inlineStr">
        <is>
          <t>declined-prior-offer</t>
        </is>
      </c>
      <c r="J394" s="37" t="inlineStr">
        <is>
          <t>Y</t>
        </is>
      </c>
      <c r="K394" s="43" t="n">
        <v>46220</v>
      </c>
      <c r="L394" s="37" t="inlineStr">
        <is>
          <t>SUSTAINED</t>
        </is>
      </c>
    </row>
    <row r="395">
      <c r="A395" s="37" t="inlineStr">
        <is>
          <t>SKP-2026-0394</t>
        </is>
      </c>
      <c r="B395" s="37" t="inlineStr">
        <is>
          <t>OFR-2026-1441</t>
        </is>
      </c>
      <c r="C395" s="43" t="n">
        <v>46206</v>
      </c>
      <c r="D395" s="37" t="inlineStr">
        <is>
          <t>WL-03397</t>
        </is>
      </c>
      <c r="E395" s="37" t="n">
        <v>2397</v>
      </c>
      <c r="F395" s="37" t="inlineStr">
        <is>
          <t>LP-0104</t>
        </is>
      </c>
      <c r="G395" s="37" t="inlineStr">
        <is>
          <t>Ledgport</t>
        </is>
      </c>
      <c r="H395" s="37" t="n">
        <v>24</v>
      </c>
      <c r="I395" s="37" t="inlineStr">
        <is>
          <t>declined-prior-offer</t>
        </is>
      </c>
      <c r="J395" s="37" t="inlineStr">
        <is>
          <t>Y</t>
        </is>
      </c>
      <c r="K395" s="43" t="n">
        <v>46210</v>
      </c>
      <c r="L395" s="37" t="inlineStr">
        <is>
          <t>SUSTAINED</t>
        </is>
      </c>
    </row>
    <row r="396">
      <c r="A396" s="37" t="inlineStr">
        <is>
          <t>SKP-2026-0395</t>
        </is>
      </c>
      <c r="B396" s="37" t="inlineStr">
        <is>
          <t>OFR-2026-1442</t>
        </is>
      </c>
      <c r="C396" s="43" t="n">
        <v>46210</v>
      </c>
      <c r="D396" s="37" t="inlineStr">
        <is>
          <t>WL-02900</t>
        </is>
      </c>
      <c r="E396" s="37" t="n">
        <v>1900</v>
      </c>
      <c r="F396" s="37" t="inlineStr">
        <is>
          <t>GW-0415</t>
        </is>
      </c>
      <c r="G396" s="37" t="inlineStr">
        <is>
          <t>Gullwing</t>
        </is>
      </c>
      <c r="H396" s="37" t="n">
        <v>24</v>
      </c>
      <c r="I396" s="37" t="inlineStr">
        <is>
          <t>preference-mismatch</t>
        </is>
      </c>
      <c r="J396" s="37" t="inlineStr">
        <is>
          <t>Y</t>
        </is>
      </c>
      <c r="K396" s="43" t="n">
        <v>46214</v>
      </c>
      <c r="L396" s="37" t="inlineStr">
        <is>
          <t>SUSTAINED</t>
        </is>
      </c>
    </row>
    <row r="397">
      <c r="A397" s="37" t="inlineStr">
        <is>
          <t>SKP-2026-0396</t>
        </is>
      </c>
      <c r="B397" s="37" t="inlineStr">
        <is>
          <t>OFR-2026-1443</t>
        </is>
      </c>
      <c r="C397" s="43" t="n">
        <v>46218</v>
      </c>
      <c r="D397" s="37" t="inlineStr">
        <is>
          <t>WL-02436</t>
        </is>
      </c>
      <c r="E397" s="37" t="n">
        <v>1436</v>
      </c>
      <c r="F397" s="37" t="inlineStr">
        <is>
          <t>SB-0905</t>
        </is>
      </c>
      <c r="G397" s="37" t="inlineStr">
        <is>
          <t>Salmonberry</t>
        </is>
      </c>
      <c r="H397" s="37" t="n">
        <v>32</v>
      </c>
      <c r="I397" s="37" t="inlineStr">
        <is>
          <t>preference-mismatch</t>
        </is>
      </c>
      <c r="J397" s="37" t="inlineStr">
        <is>
          <t>Y</t>
        </is>
      </c>
      <c r="K397" s="43" t="n">
        <v>46220</v>
      </c>
      <c r="L397" s="37" t="inlineStr">
        <is>
          <t>SUSTAINED</t>
        </is>
      </c>
    </row>
    <row r="398">
      <c r="A398" s="37" t="inlineStr">
        <is>
          <t>SKP-2026-0397</t>
        </is>
      </c>
      <c r="B398" s="37" t="inlineStr">
        <is>
          <t>OFR-2026-1447</t>
        </is>
      </c>
      <c r="C398" s="43" t="n">
        <v>46224</v>
      </c>
      <c r="D398" s="37" t="inlineStr">
        <is>
          <t>WL-01722</t>
        </is>
      </c>
      <c r="E398" s="37" t="n">
        <v>722</v>
      </c>
      <c r="F398" s="37" t="inlineStr">
        <is>
          <t>VB-0404</t>
        </is>
      </c>
      <c r="G398" s="37" t="inlineStr">
        <is>
          <t>Vessbank</t>
        </is>
      </c>
      <c r="H398" s="37" t="n">
        <v>28</v>
      </c>
      <c r="I398" s="37" t="inlineStr">
        <is>
          <t>not-current</t>
        </is>
      </c>
      <c r="J398" s="37" t="inlineStr">
        <is>
          <t>Y</t>
        </is>
      </c>
      <c r="K398" s="43" t="n">
        <v>46227</v>
      </c>
      <c r="L398" s="37" t="inlineStr">
        <is>
          <t>SUSTAINED</t>
        </is>
      </c>
    </row>
    <row r="399">
      <c r="A399" s="37" t="inlineStr">
        <is>
          <t>SKP-2026-0398</t>
        </is>
      </c>
      <c r="B399" s="37" t="inlineStr">
        <is>
          <t>OFR-2026-1452</t>
        </is>
      </c>
      <c r="C399" s="43" t="n">
        <v>46208</v>
      </c>
      <c r="D399" s="37" t="inlineStr">
        <is>
          <t>WL-03059</t>
        </is>
      </c>
      <c r="E399" s="37" t="n">
        <v>2059</v>
      </c>
      <c r="F399" s="37" t="inlineStr">
        <is>
          <t>GW-0223</t>
        </is>
      </c>
      <c r="G399" s="37" t="inlineStr">
        <is>
          <t>Gullwing</t>
        </is>
      </c>
      <c r="H399" s="37" t="n">
        <v>28</v>
      </c>
      <c r="I399" s="37" t="inlineStr">
        <is>
          <t>not-current</t>
        </is>
      </c>
      <c r="J399" s="37" t="inlineStr">
        <is>
          <t>Y</t>
        </is>
      </c>
      <c r="K399" s="43" t="n">
        <v>46210</v>
      </c>
      <c r="L399" s="37" t="inlineStr">
        <is>
          <t>SUSTAINED</t>
        </is>
      </c>
    </row>
    <row r="400">
      <c r="A400" s="37" t="inlineStr">
        <is>
          <t>SKP-2026-0399</t>
        </is>
      </c>
      <c r="B400" s="37" t="inlineStr">
        <is>
          <t>OFR-2026-1456</t>
        </is>
      </c>
      <c r="C400" s="43" t="n">
        <v>46237</v>
      </c>
      <c r="D400" s="37" t="inlineStr">
        <is>
          <t>WL-01064</t>
        </is>
      </c>
      <c r="E400" s="37" t="n">
        <v>64</v>
      </c>
      <c r="F400" s="37" t="inlineStr">
        <is>
          <t>SB-0715</t>
        </is>
      </c>
      <c r="G400" s="37" t="inlineStr">
        <is>
          <t>Salmonberry</t>
        </is>
      </c>
      <c r="H400" s="37" t="n">
        <v>28</v>
      </c>
      <c r="I400" s="37" t="inlineStr">
        <is>
          <t>not-current</t>
        </is>
      </c>
      <c r="J400" s="37" t="inlineStr">
        <is>
          <t>Y</t>
        </is>
      </c>
      <c r="K400" s="43" t="n">
        <v>46239</v>
      </c>
      <c r="L400" s="37" t="inlineStr">
        <is>
          <t>SUSTAINED</t>
        </is>
      </c>
    </row>
    <row r="401">
      <c r="A401" s="37" t="inlineStr">
        <is>
          <t>SKP-2026-0400</t>
        </is>
      </c>
      <c r="B401" s="37" t="inlineStr">
        <is>
          <t>OFR-2026-1459</t>
        </is>
      </c>
      <c r="C401" s="43" t="n">
        <v>46237</v>
      </c>
      <c r="D401" s="37" t="inlineStr">
        <is>
          <t>WL-03713</t>
        </is>
      </c>
      <c r="E401" s="37" t="n">
        <v>2713</v>
      </c>
      <c r="F401" s="37" t="inlineStr">
        <is>
          <t>SB-0117</t>
        </is>
      </c>
      <c r="G401" s="37" t="inlineStr">
        <is>
          <t>Salmonberry</t>
        </is>
      </c>
      <c r="H401" s="37" t="n">
        <v>24</v>
      </c>
      <c r="I401" s="37" t="inlineStr">
        <is>
          <t>vessel-fit</t>
        </is>
      </c>
      <c r="J401" s="37" t="inlineStr">
        <is>
          <t>Y</t>
        </is>
      </c>
      <c r="K401" s="43" t="n">
        <v>46241</v>
      </c>
      <c r="L401" s="37" t="inlineStr">
        <is>
          <t>SUSTAINED</t>
        </is>
      </c>
    </row>
    <row r="402">
      <c r="A402" s="37" t="inlineStr">
        <is>
          <t>SKP-2026-0401</t>
        </is>
      </c>
      <c r="B402" s="37" t="inlineStr">
        <is>
          <t>OFR-2026-1464</t>
        </is>
      </c>
      <c r="C402" s="43" t="n">
        <v>46235</v>
      </c>
      <c r="D402" s="37" t="inlineStr">
        <is>
          <t>WL-03796</t>
        </is>
      </c>
      <c r="E402" s="37" t="n">
        <v>2796</v>
      </c>
      <c r="F402" s="37" t="inlineStr">
        <is>
          <t>GW-0321</t>
        </is>
      </c>
      <c r="G402" s="37" t="inlineStr">
        <is>
          <t>Gullwing</t>
        </is>
      </c>
      <c r="H402" s="37" t="n">
        <v>45</v>
      </c>
      <c r="I402" s="37" t="inlineStr">
        <is>
          <t>vessel-fit</t>
        </is>
      </c>
      <c r="J402" s="37" t="inlineStr">
        <is>
          <t>Y</t>
        </is>
      </c>
      <c r="K402" s="43" t="n">
        <v>46235</v>
      </c>
      <c r="L402" s="37" t="inlineStr">
        <is>
          <t>SUSTAINED</t>
        </is>
      </c>
    </row>
    <row r="403">
      <c r="A403" s="37" t="inlineStr">
        <is>
          <t>SKP-2026-0402</t>
        </is>
      </c>
      <c r="B403" s="37" t="inlineStr">
        <is>
          <t>OFR-2026-1465</t>
        </is>
      </c>
      <c r="C403" s="43" t="n">
        <v>46239</v>
      </c>
      <c r="D403" s="37" t="inlineStr">
        <is>
          <t>WL-03409</t>
        </is>
      </c>
      <c r="E403" s="37" t="n">
        <v>2409</v>
      </c>
      <c r="F403" s="37" t="inlineStr">
        <is>
          <t>LP-0418</t>
        </is>
      </c>
      <c r="G403" s="37" t="inlineStr">
        <is>
          <t>Ledgport</t>
        </is>
      </c>
      <c r="H403" s="37" t="n">
        <v>24</v>
      </c>
      <c r="I403" s="37" t="inlineStr">
        <is>
          <t>vessel-fit</t>
        </is>
      </c>
      <c r="J403" s="37" t="inlineStr">
        <is>
          <t>Y</t>
        </is>
      </c>
      <c r="K403" s="43" t="n">
        <v>46244</v>
      </c>
      <c r="L403" s="37" t="inlineStr">
        <is>
          <t>SUSTAINED</t>
        </is>
      </c>
    </row>
    <row r="404">
      <c r="A404" s="37" t="inlineStr">
        <is>
          <t>SKP-2026-0403</t>
        </is>
      </c>
      <c r="B404" s="37" t="inlineStr">
        <is>
          <t>OFR-2026-1467</t>
        </is>
      </c>
      <c r="C404" s="43" t="n">
        <v>46236</v>
      </c>
      <c r="D404" s="37" t="inlineStr">
        <is>
          <t>WL-03206</t>
        </is>
      </c>
      <c r="E404" s="37" t="n">
        <v>2206</v>
      </c>
      <c r="F404" s="37" t="inlineStr">
        <is>
          <t>EW-0809</t>
        </is>
      </c>
      <c r="G404" s="37" t="inlineStr">
        <is>
          <t>Eastwey</t>
        </is>
      </c>
      <c r="H404" s="37" t="n">
        <v>70</v>
      </c>
      <c r="I404" s="37" t="inlineStr">
        <is>
          <t>declined-prior-offer</t>
        </is>
      </c>
      <c r="J404" s="37" t="inlineStr">
        <is>
          <t>N</t>
        </is>
      </c>
      <c r="K404" s="43" t="n">
        <v>46238</v>
      </c>
      <c r="L404" s="37" t="inlineStr">
        <is>
          <t>SUSTAINED</t>
        </is>
      </c>
    </row>
    <row r="405">
      <c r="A405" s="37" t="inlineStr">
        <is>
          <t>SKP-2026-0404</t>
        </is>
      </c>
      <c r="B405" s="37" t="inlineStr">
        <is>
          <t>OFR-2026-1470</t>
        </is>
      </c>
      <c r="C405" s="43" t="n">
        <v>46235</v>
      </c>
      <c r="D405" s="37" t="inlineStr">
        <is>
          <t>WL-01205</t>
        </is>
      </c>
      <c r="E405" s="37" t="n">
        <v>205</v>
      </c>
      <c r="F405" s="37" t="inlineStr">
        <is>
          <t>SB-0418</t>
        </is>
      </c>
      <c r="G405" s="37" t="inlineStr">
        <is>
          <t>Salmonberry</t>
        </is>
      </c>
      <c r="H405" s="37" t="n">
        <v>45</v>
      </c>
      <c r="I405" s="37" t="inlineStr">
        <is>
          <t>declined-prior-offer</t>
        </is>
      </c>
      <c r="J405" s="37" t="inlineStr">
        <is>
          <t>Y</t>
        </is>
      </c>
      <c r="K405" s="43" t="n">
        <v>46239</v>
      </c>
      <c r="L405" s="37" t="inlineStr">
        <is>
          <t>SUSTAINED</t>
        </is>
      </c>
    </row>
    <row r="406">
      <c r="A406" s="37" t="inlineStr">
        <is>
          <t>SKP-2026-0405</t>
        </is>
      </c>
      <c r="B406" s="37" t="inlineStr">
        <is>
          <t>OFR-2026-1477</t>
        </is>
      </c>
      <c r="C406" s="43" t="n">
        <v>46235</v>
      </c>
      <c r="D406" s="37" t="inlineStr">
        <is>
          <t>WL-01379</t>
        </is>
      </c>
      <c r="E406" s="37" t="n">
        <v>379</v>
      </c>
      <c r="F406" s="37" t="inlineStr">
        <is>
          <t>EW-0224</t>
        </is>
      </c>
      <c r="G406" s="37" t="inlineStr">
        <is>
          <t>Eastwey</t>
        </is>
      </c>
      <c r="H406" s="37" t="n">
        <v>24</v>
      </c>
      <c r="I406" s="37" t="inlineStr">
        <is>
          <t>vessel-fit</t>
        </is>
      </c>
      <c r="J406" s="37" t="inlineStr">
        <is>
          <t>Y</t>
        </is>
      </c>
      <c r="K406" s="43" t="n">
        <v>46237</v>
      </c>
      <c r="L406" s="37" t="inlineStr">
        <is>
          <t>SUSTAINED</t>
        </is>
      </c>
    </row>
    <row r="407">
      <c r="A407" s="37" t="inlineStr">
        <is>
          <t>SKP-2026-0406</t>
        </is>
      </c>
      <c r="B407" s="37" t="inlineStr">
        <is>
          <t>OFR-2026-1479</t>
        </is>
      </c>
      <c r="C407" s="43" t="n">
        <v>46238</v>
      </c>
      <c r="D407" s="37" t="inlineStr">
        <is>
          <t>WL-01517</t>
        </is>
      </c>
      <c r="E407" s="37" t="n">
        <v>517</v>
      </c>
      <c r="F407" s="37" t="inlineStr">
        <is>
          <t>SB-0623</t>
        </is>
      </c>
      <c r="G407" s="37" t="inlineStr">
        <is>
          <t>Salmonberry</t>
        </is>
      </c>
      <c r="H407" s="37" t="n">
        <v>28</v>
      </c>
      <c r="I407" s="37" t="inlineStr">
        <is>
          <t>vessel-fit</t>
        </is>
      </c>
      <c r="J407" s="37" t="inlineStr">
        <is>
          <t>Y</t>
        </is>
      </c>
      <c r="K407" s="43" t="n">
        <v>46243</v>
      </c>
      <c r="L407" s="37" t="inlineStr">
        <is>
          <t>SUSTAINED</t>
        </is>
      </c>
    </row>
    <row r="408">
      <c r="A408" s="37" t="inlineStr">
        <is>
          <t>SKP-2022-0407</t>
        </is>
      </c>
      <c r="B408" s="37" t="inlineStr">
        <is>
          <t>OFR-2022-1487</t>
        </is>
      </c>
      <c r="C408" s="43" t="n">
        <v>44818</v>
      </c>
      <c r="D408" s="37" t="inlineStr">
        <is>
          <t>WL-02211</t>
        </is>
      </c>
      <c r="E408" s="37" t="n">
        <v>1211</v>
      </c>
      <c r="F408" s="37" t="inlineStr">
        <is>
          <t>GW-0417</t>
        </is>
      </c>
      <c r="G408" s="37" t="inlineStr">
        <is>
          <t>Gullwing</t>
        </is>
      </c>
      <c r="H408" s="37" t="n">
        <v>32</v>
      </c>
      <c r="I408" s="37" t="inlineStr">
        <is>
          <t>not-current</t>
        </is>
      </c>
      <c r="J408" s="37" t="inlineStr">
        <is>
          <t>N</t>
        </is>
      </c>
      <c r="K408" s="43" t="n">
        <v>44820</v>
      </c>
      <c r="L408" s="37" t="inlineStr">
        <is>
          <t>SUSTAINED</t>
        </is>
      </c>
    </row>
    <row r="409">
      <c r="A409" s="37" t="inlineStr">
        <is>
          <t>SKP-2023-0408</t>
        </is>
      </c>
      <c r="B409" s="37" t="inlineStr">
        <is>
          <t>OFR-2023-1487</t>
        </is>
      </c>
      <c r="C409" s="43" t="n">
        <v>45048</v>
      </c>
      <c r="D409" s="37" t="inlineStr">
        <is>
          <t>WL-02618</t>
        </is>
      </c>
      <c r="E409" s="37" t="n">
        <v>1618</v>
      </c>
      <c r="F409" s="37" t="inlineStr">
        <is>
          <t>GW-0610</t>
        </is>
      </c>
      <c r="G409" s="37" t="inlineStr">
        <is>
          <t>Gullwing</t>
        </is>
      </c>
      <c r="H409" s="37" t="n">
        <v>32</v>
      </c>
      <c r="I409" s="37" t="inlineStr">
        <is>
          <t>vessel-fit</t>
        </is>
      </c>
      <c r="J409" s="37" t="inlineStr">
        <is>
          <t>N</t>
        </is>
      </c>
      <c r="K409" s="43" t="n">
        <v>45050</v>
      </c>
      <c r="L409" s="37" t="inlineStr">
        <is>
          <t>SUSTAINED</t>
        </is>
      </c>
    </row>
    <row r="410">
      <c r="A410" s="37" t="inlineStr">
        <is>
          <t>SKP-2024-0409</t>
        </is>
      </c>
      <c r="B410" s="37" t="inlineStr">
        <is>
          <t>OFR-2024-1487</t>
        </is>
      </c>
      <c r="C410" s="43" t="n">
        <v>45342</v>
      </c>
      <c r="D410" s="37" t="inlineStr">
        <is>
          <t>WL-03044</t>
        </is>
      </c>
      <c r="E410" s="37" t="n">
        <v>2044</v>
      </c>
      <c r="F410" s="37" t="inlineStr">
        <is>
          <t>VB-0904</t>
        </is>
      </c>
      <c r="G410" s="37" t="inlineStr">
        <is>
          <t>Vessbank</t>
        </is>
      </c>
      <c r="H410" s="37" t="n">
        <v>28</v>
      </c>
      <c r="I410" s="37" t="inlineStr">
        <is>
          <t>preference-mismatch</t>
        </is>
      </c>
      <c r="J410" s="37" t="inlineStr">
        <is>
          <t>N</t>
        </is>
      </c>
      <c r="K410" s="43" t="n">
        <v>45344</v>
      </c>
      <c r="L410" s="37" t="inlineStr">
        <is>
          <t>SUSTAINED</t>
        </is>
      </c>
    </row>
    <row r="411">
      <c r="A411" s="37" t="inlineStr">
        <is>
          <t>SKP-2024-0410</t>
        </is>
      </c>
      <c r="B411" s="37" t="inlineStr">
        <is>
          <t>OFR-2024-1487</t>
        </is>
      </c>
      <c r="C411" s="43" t="n">
        <v>45601</v>
      </c>
      <c r="D411" s="37" t="inlineStr">
        <is>
          <t>WL-03390</t>
        </is>
      </c>
      <c r="E411" s="37" t="n">
        <v>2390</v>
      </c>
      <c r="F411" s="37" t="inlineStr">
        <is>
          <t>SB-0120</t>
        </is>
      </c>
      <c r="G411" s="37" t="inlineStr">
        <is>
          <t>Salmonberry</t>
        </is>
      </c>
      <c r="H411" s="37" t="n">
        <v>40</v>
      </c>
      <c r="I411" s="37" t="inlineStr">
        <is>
          <t>declined-prior-offer</t>
        </is>
      </c>
      <c r="J411" s="37" t="inlineStr">
        <is>
          <t>N</t>
        </is>
      </c>
      <c r="K411" s="43" t="n">
        <v>45603</v>
      </c>
      <c r="L411" s="37" t="inlineStr">
        <is>
          <t>SUSTAINED</t>
        </is>
      </c>
    </row>
    <row r="412">
      <c r="A412" s="37" t="inlineStr">
        <is>
          <t>SKP-2024-0411</t>
        </is>
      </c>
      <c r="B412" s="37" t="inlineStr">
        <is>
          <t>OFR-2024-1487</t>
        </is>
      </c>
      <c r="C412" s="43" t="n">
        <v>45370</v>
      </c>
      <c r="D412" s="37" t="inlineStr">
        <is>
          <t>WL-02877</t>
        </is>
      </c>
      <c r="E412" s="37" t="n">
        <v>1877</v>
      </c>
      <c r="F412" s="37" t="inlineStr">
        <is>
          <t>GW-1012</t>
        </is>
      </c>
      <c r="G412" s="37" t="inlineStr">
        <is>
          <t>Gullwing</t>
        </is>
      </c>
      <c r="H412" s="37" t="n">
        <v>80</v>
      </c>
      <c r="I412" s="37" t="inlineStr">
        <is>
          <t>vessel-fit</t>
        </is>
      </c>
      <c r="J412" s="37" t="inlineStr">
        <is>
          <t>Y</t>
        </is>
      </c>
      <c r="K412" s="43" t="n">
        <v>45372</v>
      </c>
      <c r="L412" s="37" t="inlineStr">
        <is>
          <t>SUSTAINED</t>
        </is>
      </c>
    </row>
    <row r="413">
      <c r="A413" s="37" t="inlineStr">
        <is>
          <t>SKP-2025-0412</t>
        </is>
      </c>
      <c r="B413" s="37" t="inlineStr">
        <is>
          <t>OFR-2025-1487</t>
        </is>
      </c>
      <c r="C413" s="43" t="n">
        <v>45909</v>
      </c>
      <c r="D413" s="37" t="inlineStr">
        <is>
          <t>WL-03102</t>
        </is>
      </c>
      <c r="E413" s="37" t="n">
        <v>2102</v>
      </c>
      <c r="F413" s="37" t="inlineStr">
        <is>
          <t>LP-0806</t>
        </is>
      </c>
      <c r="G413" s="37" t="inlineStr">
        <is>
          <t>Ledgport</t>
        </is>
      </c>
      <c r="H413" s="37" t="n">
        <v>36</v>
      </c>
      <c r="I413" s="37" t="inlineStr">
        <is>
          <t>preference-mismatch</t>
        </is>
      </c>
      <c r="J413" s="37" t="inlineStr">
        <is>
          <t>Y</t>
        </is>
      </c>
      <c r="K413" s="43" t="n">
        <v>45911</v>
      </c>
      <c r="L413" s="37" t="inlineStr">
        <is>
          <t>SUSTAINED</t>
        </is>
      </c>
    </row>
  </sheetData>
  <autoFilter ref="A1:L4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36" t="inlineStr">
        <is>
          <t>slip_id</t>
        </is>
      </c>
      <c r="B1" s="36" t="inlineStr">
        <is>
          <t>basin</t>
        </is>
      </c>
      <c r="C1" s="36" t="inlineStr">
        <is>
          <t>covered</t>
        </is>
      </c>
      <c r="D1" s="36" t="inlineStr">
        <is>
          <t>slip_size_ft</t>
        </is>
      </c>
      <c r="E1" s="36" t="inlineStr">
        <is>
          <t>status</t>
        </is>
      </c>
      <c r="F1" s="36" t="inlineStr">
        <is>
          <t>tenant_id</t>
        </is>
      </c>
      <c r="G1" s="36" t="inlineStr">
        <is>
          <t>tenant_name</t>
        </is>
      </c>
      <c r="H1" s="36" t="inlineStr">
        <is>
          <t>vessel_loa_ft</t>
        </is>
      </c>
    </row>
    <row r="2">
      <c r="A2" s="37" t="inlineStr">
        <is>
          <t>LP-0101</t>
        </is>
      </c>
      <c r="B2" s="37" t="inlineStr">
        <is>
          <t>Ledgport</t>
        </is>
      </c>
      <c r="C2" s="37" t="inlineStr">
        <is>
          <t>COVERED</t>
        </is>
      </c>
      <c r="D2" s="37" t="n">
        <v>24</v>
      </c>
      <c r="E2" s="37" t="inlineStr">
        <is>
          <t>OCCUPIED</t>
        </is>
      </c>
      <c r="F2" s="37" t="inlineStr">
        <is>
          <t>WL-02442</t>
        </is>
      </c>
      <c r="G2" s="37" t="inlineStr">
        <is>
          <t>Elizabeth Burns</t>
        </is>
      </c>
      <c r="H2" s="37" t="n">
        <v>51</v>
      </c>
    </row>
    <row r="3">
      <c r="A3" s="37" t="inlineStr">
        <is>
          <t>LP-0102</t>
        </is>
      </c>
      <c r="B3" s="37" t="inlineStr">
        <is>
          <t>Ledgport</t>
        </is>
      </c>
      <c r="C3" s="37" t="inlineStr">
        <is>
          <t>COVERED</t>
        </is>
      </c>
      <c r="D3" s="37" t="n">
        <v>40</v>
      </c>
      <c r="E3" s="37" t="inlineStr">
        <is>
          <t>OCCUPIED</t>
        </is>
      </c>
      <c r="F3" s="37" t="inlineStr">
        <is>
          <t>WL-02413</t>
        </is>
      </c>
      <c r="G3" s="37" t="inlineStr">
        <is>
          <t>Damon Phillips</t>
        </is>
      </c>
      <c r="H3" s="37" t="n">
        <v>21.9</v>
      </c>
    </row>
    <row r="4">
      <c r="A4" s="37" t="inlineStr">
        <is>
          <t>LP-0103</t>
        </is>
      </c>
      <c r="B4" s="37" t="inlineStr">
        <is>
          <t>Ledgport</t>
        </is>
      </c>
      <c r="C4" s="37" t="inlineStr">
        <is>
          <t>COVERED</t>
        </is>
      </c>
      <c r="D4" s="37" t="n">
        <v>28</v>
      </c>
      <c r="E4" s="37" t="inlineStr">
        <is>
          <t>OCCUPIED</t>
        </is>
      </c>
      <c r="F4" s="37" t="inlineStr">
        <is>
          <t>WL-01449</t>
        </is>
      </c>
      <c r="G4" s="37" t="inlineStr">
        <is>
          <t>Charles Hudson</t>
        </is>
      </c>
      <c r="H4" s="37" t="n">
        <v>32.7</v>
      </c>
    </row>
    <row r="5">
      <c r="A5" s="37" t="inlineStr">
        <is>
          <t>LP-0104</t>
        </is>
      </c>
      <c r="B5" s="37" t="inlineStr">
        <is>
          <t>Ledgport</t>
        </is>
      </c>
      <c r="C5" s="37" t="inlineStr">
        <is>
          <t>COVERED</t>
        </is>
      </c>
      <c r="D5" s="37" t="n">
        <v>24</v>
      </c>
      <c r="E5" s="37" t="inlineStr">
        <is>
          <t>OCCUPIED</t>
        </is>
      </c>
      <c r="F5" s="37" t="inlineStr">
        <is>
          <t>WL-03625</t>
        </is>
      </c>
      <c r="G5" s="37" t="inlineStr">
        <is>
          <t>Vincent Johnson</t>
        </is>
      </c>
      <c r="H5" s="37" t="n">
        <v>42.8</v>
      </c>
    </row>
    <row r="6">
      <c r="A6" s="37" t="inlineStr">
        <is>
          <t>LP-0105</t>
        </is>
      </c>
      <c r="B6" s="37" t="inlineStr">
        <is>
          <t>Ledgport</t>
        </is>
      </c>
      <c r="C6" s="37" t="inlineStr">
        <is>
          <t>COVERED</t>
        </is>
      </c>
      <c r="D6" s="37" t="n">
        <v>36</v>
      </c>
      <c r="E6" s="37" t="inlineStr">
        <is>
          <t>OCCUPIED</t>
        </is>
      </c>
      <c r="F6" s="37" t="inlineStr">
        <is>
          <t>WL-03876</t>
        </is>
      </c>
      <c r="G6" s="37" t="inlineStr">
        <is>
          <t>John Heath</t>
        </is>
      </c>
      <c r="H6" s="37" t="n">
        <v>39</v>
      </c>
    </row>
    <row r="7">
      <c r="A7" s="37" t="inlineStr">
        <is>
          <t>LP-0106</t>
        </is>
      </c>
      <c r="B7" s="37" t="inlineStr">
        <is>
          <t>Ledgport</t>
        </is>
      </c>
      <c r="C7" s="37" t="inlineStr">
        <is>
          <t>COVERED</t>
        </is>
      </c>
      <c r="D7" s="37" t="n">
        <v>24</v>
      </c>
      <c r="E7" s="37" t="inlineStr">
        <is>
          <t>OCCUPIED</t>
        </is>
      </c>
      <c r="F7" s="37" t="inlineStr">
        <is>
          <t>WL-02316</t>
        </is>
      </c>
      <c r="G7" s="37" t="inlineStr">
        <is>
          <t>Cheryl Elliott</t>
        </is>
      </c>
      <c r="H7" s="37" t="n">
        <v>39</v>
      </c>
    </row>
    <row r="8">
      <c r="A8" s="37" t="inlineStr">
        <is>
          <t>LP-0107</t>
        </is>
      </c>
      <c r="B8" s="37" t="inlineStr">
        <is>
          <t>Ledgport</t>
        </is>
      </c>
      <c r="C8" s="37" t="inlineStr">
        <is>
          <t>COVERED</t>
        </is>
      </c>
      <c r="D8" s="37" t="n">
        <v>24</v>
      </c>
      <c r="E8" s="37" t="inlineStr">
        <is>
          <t>OCCUPIED</t>
        </is>
      </c>
      <c r="F8" s="37" t="inlineStr">
        <is>
          <t>WL-02607</t>
        </is>
      </c>
      <c r="G8" s="37" t="inlineStr">
        <is>
          <t>Sean Charles</t>
        </is>
      </c>
      <c r="H8" s="37" t="n">
        <v>30.4</v>
      </c>
    </row>
    <row r="9">
      <c r="A9" s="37" t="inlineStr">
        <is>
          <t>LP-0108</t>
        </is>
      </c>
      <c r="B9" s="37" t="inlineStr">
        <is>
          <t>Ledgport</t>
        </is>
      </c>
      <c r="C9" s="37" t="inlineStr">
        <is>
          <t>COVERED</t>
        </is>
      </c>
      <c r="D9" s="37" t="n">
        <v>32</v>
      </c>
      <c r="E9" s="37" t="inlineStr">
        <is>
          <t>OCCUPIED</t>
        </is>
      </c>
      <c r="F9" s="37" t="inlineStr">
        <is>
          <t>WL-01567</t>
        </is>
      </c>
      <c r="G9" s="37" t="inlineStr">
        <is>
          <t>Alan Thomas</t>
        </is>
      </c>
      <c r="H9" s="37" t="n">
        <v>23.4</v>
      </c>
    </row>
    <row r="10">
      <c r="A10" s="37" t="inlineStr">
        <is>
          <t>LP-0109</t>
        </is>
      </c>
      <c r="B10" s="37" t="inlineStr">
        <is>
          <t>Ledgport</t>
        </is>
      </c>
      <c r="C10" s="37" t="inlineStr">
        <is>
          <t>COVERED</t>
        </is>
      </c>
      <c r="D10" s="37" t="n">
        <v>32</v>
      </c>
      <c r="E10" s="37" t="inlineStr">
        <is>
          <t>OCCUPIED</t>
        </is>
      </c>
      <c r="F10" s="37" t="inlineStr">
        <is>
          <t>WL-02768</t>
        </is>
      </c>
      <c r="G10" s="37" t="inlineStr">
        <is>
          <t>Sandra Sweeney</t>
        </is>
      </c>
      <c r="H10" s="37" t="n">
        <v>20.8</v>
      </c>
    </row>
    <row r="11">
      <c r="A11" s="37" t="inlineStr">
        <is>
          <t>LP-0110</t>
        </is>
      </c>
      <c r="B11" s="37" t="inlineStr">
        <is>
          <t>Ledgport</t>
        </is>
      </c>
      <c r="C11" s="37" t="inlineStr">
        <is>
          <t>COVERED</t>
        </is>
      </c>
      <c r="D11" s="37" t="n">
        <v>28</v>
      </c>
      <c r="E11" s="37" t="inlineStr">
        <is>
          <t>OCCUPIED</t>
        </is>
      </c>
      <c r="F11" s="37" t="inlineStr">
        <is>
          <t>WL-03140</t>
        </is>
      </c>
      <c r="G11" s="37" t="inlineStr">
        <is>
          <t>Jason Martinez</t>
        </is>
      </c>
      <c r="H11" s="37" t="n">
        <v>26</v>
      </c>
    </row>
    <row r="12">
      <c r="A12" s="37" t="inlineStr">
        <is>
          <t>LP-0111</t>
        </is>
      </c>
      <c r="B12" s="37" t="inlineStr">
        <is>
          <t>Ledgport</t>
        </is>
      </c>
      <c r="C12" s="37" t="inlineStr">
        <is>
          <t>COVERED</t>
        </is>
      </c>
      <c r="D12" s="37" t="n">
        <v>40</v>
      </c>
      <c r="E12" s="37" t="inlineStr">
        <is>
          <t>OCCUPIED</t>
        </is>
      </c>
      <c r="F12" s="37" t="inlineStr">
        <is>
          <t>WL-03621</t>
        </is>
      </c>
      <c r="G12" s="37" t="inlineStr">
        <is>
          <t>Denise Powers</t>
        </is>
      </c>
      <c r="H12" s="37" t="n">
        <v>53.5</v>
      </c>
    </row>
    <row r="13">
      <c r="A13" s="37" t="inlineStr">
        <is>
          <t>LP-0112</t>
        </is>
      </c>
      <c r="B13" s="37" t="inlineStr">
        <is>
          <t>Ledgport</t>
        </is>
      </c>
      <c r="C13" s="37" t="inlineStr">
        <is>
          <t>COVERED</t>
        </is>
      </c>
      <c r="D13" s="37" t="n">
        <v>32</v>
      </c>
      <c r="E13" s="37" t="inlineStr">
        <is>
          <t>GUEST</t>
        </is>
      </c>
    </row>
    <row r="14">
      <c r="A14" s="37" t="inlineStr">
        <is>
          <t>LP-0113</t>
        </is>
      </c>
      <c r="B14" s="37" t="inlineStr">
        <is>
          <t>Ledgport</t>
        </is>
      </c>
      <c r="C14" s="37" t="inlineStr">
        <is>
          <t>COVERED</t>
        </is>
      </c>
      <c r="D14" s="37" t="n">
        <v>36</v>
      </c>
      <c r="E14" s="37" t="inlineStr">
        <is>
          <t>OCCUPIED</t>
        </is>
      </c>
      <c r="F14" s="37" t="inlineStr">
        <is>
          <t>WL-02762</t>
        </is>
      </c>
      <c r="G14" s="37" t="inlineStr">
        <is>
          <t>Elizabeth Williams</t>
        </is>
      </c>
      <c r="H14" s="37" t="n">
        <v>26</v>
      </c>
    </row>
    <row r="15">
      <c r="A15" s="37" t="inlineStr">
        <is>
          <t>LP-0114</t>
        </is>
      </c>
      <c r="B15" s="37" t="inlineStr">
        <is>
          <t>Ledgport</t>
        </is>
      </c>
      <c r="C15" s="37" t="inlineStr">
        <is>
          <t>COVERED</t>
        </is>
      </c>
      <c r="D15" s="37" t="n">
        <v>24</v>
      </c>
      <c r="E15" s="37" t="inlineStr">
        <is>
          <t>OCCUPIED</t>
        </is>
      </c>
      <c r="F15" s="37" t="inlineStr">
        <is>
          <t>WL-02237</t>
        </is>
      </c>
      <c r="G15" s="37" t="inlineStr">
        <is>
          <t>William Powell</t>
        </is>
      </c>
      <c r="H15" s="37" t="n">
        <v>28.2</v>
      </c>
    </row>
    <row r="16">
      <c r="A16" s="37" t="inlineStr">
        <is>
          <t>LP-0115</t>
        </is>
      </c>
      <c r="B16" s="37" t="inlineStr">
        <is>
          <t>Ledgport</t>
        </is>
      </c>
      <c r="C16" s="37" t="inlineStr">
        <is>
          <t>COVERED</t>
        </is>
      </c>
      <c r="D16" s="37" t="n">
        <v>28</v>
      </c>
      <c r="E16" s="37" t="inlineStr">
        <is>
          <t>OCCUPIED</t>
        </is>
      </c>
      <c r="F16" s="37" t="inlineStr">
        <is>
          <t>WL-02943</t>
        </is>
      </c>
      <c r="G16" s="37" t="inlineStr">
        <is>
          <t>Matthew Thomas</t>
        </is>
      </c>
      <c r="H16" s="37" t="n">
        <v>18.8</v>
      </c>
    </row>
    <row r="17">
      <c r="A17" s="37" t="inlineStr">
        <is>
          <t>LP-0116</t>
        </is>
      </c>
      <c r="B17" s="37" t="inlineStr">
        <is>
          <t>Ledgport</t>
        </is>
      </c>
      <c r="C17" s="37" t="inlineStr">
        <is>
          <t>COVERED</t>
        </is>
      </c>
      <c r="D17" s="37" t="n">
        <v>28</v>
      </c>
      <c r="E17" s="37" t="inlineStr">
        <is>
          <t>OCCUPIED</t>
        </is>
      </c>
      <c r="F17" s="37" t="inlineStr">
        <is>
          <t>WL-02031</t>
        </is>
      </c>
      <c r="G17" s="37" t="inlineStr">
        <is>
          <t>Joseph Bishop</t>
        </is>
      </c>
      <c r="H17" s="37" t="n">
        <v>19.2</v>
      </c>
    </row>
    <row r="18">
      <c r="A18" s="37" t="inlineStr">
        <is>
          <t>LP-0117</t>
        </is>
      </c>
      <c r="B18" s="37" t="inlineStr">
        <is>
          <t>Ledgport</t>
        </is>
      </c>
      <c r="C18" s="37" t="inlineStr">
        <is>
          <t>COVERED</t>
        </is>
      </c>
      <c r="D18" s="37" t="n">
        <v>32</v>
      </c>
      <c r="E18" s="37" t="inlineStr">
        <is>
          <t>OCCUPIED</t>
        </is>
      </c>
      <c r="F18" s="37" t="inlineStr">
        <is>
          <t>WL-01361</t>
        </is>
      </c>
      <c r="G18" s="37" t="inlineStr">
        <is>
          <t>Benjamin Willis</t>
        </is>
      </c>
      <c r="H18" s="37" t="n">
        <v>28.7</v>
      </c>
    </row>
    <row r="19">
      <c r="A19" s="37" t="inlineStr">
        <is>
          <t>LP-0118</t>
        </is>
      </c>
      <c r="B19" s="37" t="inlineStr">
        <is>
          <t>Ledgport</t>
        </is>
      </c>
      <c r="C19" s="37" t="inlineStr">
        <is>
          <t>COVERED</t>
        </is>
      </c>
      <c r="D19" s="37" t="n">
        <v>24</v>
      </c>
      <c r="E19" s="37" t="inlineStr">
        <is>
          <t>OCCUPIED</t>
        </is>
      </c>
      <c r="F19" s="37" t="inlineStr">
        <is>
          <t>WL-03633</t>
        </is>
      </c>
      <c r="G19" s="37" t="inlineStr">
        <is>
          <t>Keith Powell</t>
        </is>
      </c>
      <c r="H19" s="37" t="n">
        <v>22.1</v>
      </c>
    </row>
    <row r="20">
      <c r="A20" s="37" t="inlineStr">
        <is>
          <t>LP-0119</t>
        </is>
      </c>
      <c r="B20" s="37" t="inlineStr">
        <is>
          <t>Ledgport</t>
        </is>
      </c>
      <c r="C20" s="37" t="inlineStr">
        <is>
          <t>COVERED</t>
        </is>
      </c>
      <c r="D20" s="37" t="n">
        <v>24</v>
      </c>
      <c r="E20" s="37" t="inlineStr">
        <is>
          <t>OCCUPIED</t>
        </is>
      </c>
      <c r="F20" s="37" t="inlineStr">
        <is>
          <t>WL-01880</t>
        </is>
      </c>
      <c r="G20" s="37" t="inlineStr">
        <is>
          <t>Walter Torres</t>
        </is>
      </c>
      <c r="H20" s="37" t="n">
        <v>43.5</v>
      </c>
    </row>
    <row r="21">
      <c r="A21" s="37" t="inlineStr">
        <is>
          <t>LP-0120</t>
        </is>
      </c>
      <c r="B21" s="37" t="inlineStr">
        <is>
          <t>Ledgport</t>
        </is>
      </c>
      <c r="C21" s="37" t="inlineStr">
        <is>
          <t>COVERED</t>
        </is>
      </c>
      <c r="D21" s="37" t="n">
        <v>32</v>
      </c>
      <c r="E21" s="37" t="inlineStr">
        <is>
          <t>OCCUPIED</t>
        </is>
      </c>
      <c r="F21" s="37" t="inlineStr">
        <is>
          <t>WL-03128</t>
        </is>
      </c>
      <c r="G21" s="37" t="inlineStr">
        <is>
          <t>Kayla Johnson</t>
        </is>
      </c>
      <c r="H21" s="37" t="n">
        <v>30.8</v>
      </c>
    </row>
    <row r="22">
      <c r="A22" s="37" t="inlineStr">
        <is>
          <t>LP-0121</t>
        </is>
      </c>
      <c r="B22" s="37" t="inlineStr">
        <is>
          <t>Ledgport</t>
        </is>
      </c>
      <c r="C22" s="37" t="inlineStr">
        <is>
          <t>COVERED</t>
        </is>
      </c>
      <c r="D22" s="37" t="n">
        <v>32</v>
      </c>
      <c r="E22" s="37" t="inlineStr">
        <is>
          <t>OCCUPIED</t>
        </is>
      </c>
      <c r="F22" s="37" t="inlineStr">
        <is>
          <t>WL-03477</t>
        </is>
      </c>
      <c r="G22" s="37" t="inlineStr">
        <is>
          <t>Darryl Garcia</t>
        </is>
      </c>
      <c r="H22" s="37" t="n">
        <v>51.3</v>
      </c>
    </row>
    <row r="23">
      <c r="A23" s="37" t="inlineStr">
        <is>
          <t>LP-0122</t>
        </is>
      </c>
      <c r="B23" s="37" t="inlineStr">
        <is>
          <t>Ledgport</t>
        </is>
      </c>
      <c r="C23" s="37" t="inlineStr">
        <is>
          <t>COVERED</t>
        </is>
      </c>
      <c r="D23" s="37" t="n">
        <v>36</v>
      </c>
      <c r="E23" s="37" t="inlineStr">
        <is>
          <t>OCCUPIED</t>
        </is>
      </c>
      <c r="F23" s="37" t="inlineStr">
        <is>
          <t>WL-01974</t>
        </is>
      </c>
      <c r="G23" s="37" t="inlineStr">
        <is>
          <t>Paula Arroyo</t>
        </is>
      </c>
      <c r="H23" s="37" t="n">
        <v>48.2</v>
      </c>
    </row>
    <row r="24">
      <c r="A24" s="37" t="inlineStr">
        <is>
          <t>LP-0123</t>
        </is>
      </c>
      <c r="B24" s="37" t="inlineStr">
        <is>
          <t>Ledgport</t>
        </is>
      </c>
      <c r="C24" s="37" t="inlineStr">
        <is>
          <t>COVERED</t>
        </is>
      </c>
      <c r="D24" s="37" t="n">
        <v>32</v>
      </c>
      <c r="E24" s="37" t="inlineStr">
        <is>
          <t>OCCUPIED</t>
        </is>
      </c>
      <c r="F24" s="37" t="inlineStr">
        <is>
          <t>WL-03479</t>
        </is>
      </c>
      <c r="G24" s="37" t="inlineStr">
        <is>
          <t>Brittney Daugherty</t>
        </is>
      </c>
      <c r="H24" s="37" t="n">
        <v>25.3</v>
      </c>
    </row>
    <row r="25">
      <c r="A25" s="37" t="inlineStr">
        <is>
          <t>LP-0124</t>
        </is>
      </c>
      <c r="B25" s="37" t="inlineStr">
        <is>
          <t>Ledgport</t>
        </is>
      </c>
      <c r="C25" s="37" t="inlineStr">
        <is>
          <t>COVERED</t>
        </is>
      </c>
      <c r="D25" s="37" t="n">
        <v>28</v>
      </c>
      <c r="E25" s="37" t="inlineStr">
        <is>
          <t>OCCUPIED</t>
        </is>
      </c>
      <c r="F25" s="37" t="inlineStr">
        <is>
          <t>WL-02080</t>
        </is>
      </c>
      <c r="G25" s="37" t="inlineStr">
        <is>
          <t>Audrey Le</t>
        </is>
      </c>
      <c r="H25" s="37" t="n">
        <v>38.8</v>
      </c>
    </row>
    <row r="26">
      <c r="A26" s="37" t="inlineStr">
        <is>
          <t>LP-0201</t>
        </is>
      </c>
      <c r="B26" s="37" t="inlineStr">
        <is>
          <t>Ledgport</t>
        </is>
      </c>
      <c r="C26" s="37" t="inlineStr">
        <is>
          <t>COVERED</t>
        </is>
      </c>
      <c r="D26" s="37" t="n">
        <v>36</v>
      </c>
      <c r="E26" s="37" t="inlineStr">
        <is>
          <t>OCCUPIED</t>
        </is>
      </c>
      <c r="F26" s="37" t="inlineStr">
        <is>
          <t>WL-03657</t>
        </is>
      </c>
      <c r="G26" s="37" t="inlineStr">
        <is>
          <t>Melissa Wagner</t>
        </is>
      </c>
      <c r="H26" s="37" t="n">
        <v>51.3</v>
      </c>
    </row>
    <row r="27">
      <c r="A27" s="37" t="inlineStr">
        <is>
          <t>LP-0202</t>
        </is>
      </c>
      <c r="B27" s="37" t="inlineStr">
        <is>
          <t>Ledgport</t>
        </is>
      </c>
      <c r="C27" s="37" t="inlineStr">
        <is>
          <t>COVERED</t>
        </is>
      </c>
      <c r="D27" s="37" t="n">
        <v>36</v>
      </c>
      <c r="E27" s="37" t="inlineStr">
        <is>
          <t>OCCUPIED</t>
        </is>
      </c>
      <c r="F27" s="37" t="inlineStr">
        <is>
          <t>WL-02964</t>
        </is>
      </c>
      <c r="G27" s="37" t="inlineStr">
        <is>
          <t>Christopher Boyd</t>
        </is>
      </c>
      <c r="H27" s="37" t="n">
        <v>37.5</v>
      </c>
    </row>
    <row r="28">
      <c r="A28" s="37" t="inlineStr">
        <is>
          <t>LP-0203</t>
        </is>
      </c>
      <c r="B28" s="37" t="inlineStr">
        <is>
          <t>Ledgport</t>
        </is>
      </c>
      <c r="C28" s="37" t="inlineStr">
        <is>
          <t>COVERED</t>
        </is>
      </c>
      <c r="D28" s="37" t="n">
        <v>28</v>
      </c>
      <c r="E28" s="37" t="inlineStr">
        <is>
          <t>OCCUPIED</t>
        </is>
      </c>
      <c r="F28" s="37" t="inlineStr">
        <is>
          <t>WL-01820</t>
        </is>
      </c>
      <c r="G28" s="37" t="inlineStr">
        <is>
          <t>Andrew Petty</t>
        </is>
      </c>
      <c r="H28" s="37" t="n">
        <v>28.3</v>
      </c>
    </row>
    <row r="29">
      <c r="A29" s="37" t="inlineStr">
        <is>
          <t>LP-0204</t>
        </is>
      </c>
      <c r="B29" s="37" t="inlineStr">
        <is>
          <t>Ledgport</t>
        </is>
      </c>
      <c r="C29" s="37" t="inlineStr">
        <is>
          <t>COVERED</t>
        </is>
      </c>
      <c r="D29" s="37" t="n">
        <v>28</v>
      </c>
      <c r="E29" s="37" t="inlineStr">
        <is>
          <t>OCCUPIED</t>
        </is>
      </c>
      <c r="F29" s="37" t="inlineStr">
        <is>
          <t>WL-01587</t>
        </is>
      </c>
      <c r="G29" s="37" t="inlineStr">
        <is>
          <t>Patrick Guzman</t>
        </is>
      </c>
      <c r="H29" s="37" t="n">
        <v>35.6</v>
      </c>
    </row>
    <row r="30">
      <c r="A30" s="37" t="inlineStr">
        <is>
          <t>LP-0205</t>
        </is>
      </c>
      <c r="B30" s="37" t="inlineStr">
        <is>
          <t>Ledgport</t>
        </is>
      </c>
      <c r="C30" s="37" t="inlineStr">
        <is>
          <t>COVERED</t>
        </is>
      </c>
      <c r="D30" s="37" t="n">
        <v>40</v>
      </c>
      <c r="E30" s="37" t="inlineStr">
        <is>
          <t>OCCUPIED</t>
        </is>
      </c>
      <c r="F30" s="37" t="inlineStr">
        <is>
          <t>WL-01514</t>
        </is>
      </c>
      <c r="G30" s="37" t="inlineStr">
        <is>
          <t>Gary Young</t>
        </is>
      </c>
      <c r="H30" s="37" t="n">
        <v>23</v>
      </c>
    </row>
    <row r="31">
      <c r="A31" s="37" t="inlineStr">
        <is>
          <t>LP-0206</t>
        </is>
      </c>
      <c r="B31" s="37" t="inlineStr">
        <is>
          <t>Ledgport</t>
        </is>
      </c>
      <c r="C31" s="37" t="inlineStr">
        <is>
          <t>COVERED</t>
        </is>
      </c>
      <c r="D31" s="37" t="n">
        <v>24</v>
      </c>
      <c r="E31" s="37" t="inlineStr">
        <is>
          <t>OCCUPIED</t>
        </is>
      </c>
      <c r="F31" s="37" t="inlineStr">
        <is>
          <t>WL-03079</t>
        </is>
      </c>
      <c r="G31" s="37" t="inlineStr">
        <is>
          <t>Crystal Glover</t>
        </is>
      </c>
      <c r="H31" s="37" t="n">
        <v>41.4</v>
      </c>
    </row>
    <row r="32">
      <c r="A32" s="37" t="inlineStr">
        <is>
          <t>LP-0207</t>
        </is>
      </c>
      <c r="B32" s="37" t="inlineStr">
        <is>
          <t>Ledgport</t>
        </is>
      </c>
      <c r="C32" s="37" t="inlineStr">
        <is>
          <t>COVERED</t>
        </is>
      </c>
      <c r="D32" s="37" t="n">
        <v>40</v>
      </c>
      <c r="E32" s="37" t="inlineStr">
        <is>
          <t>VACANT</t>
        </is>
      </c>
    </row>
    <row r="33">
      <c r="A33" s="37" t="inlineStr">
        <is>
          <t>LP-0208</t>
        </is>
      </c>
      <c r="B33" s="37" t="inlineStr">
        <is>
          <t>Ledgport</t>
        </is>
      </c>
      <c r="C33" s="37" t="inlineStr">
        <is>
          <t>COVERED</t>
        </is>
      </c>
      <c r="D33" s="37" t="n">
        <v>32</v>
      </c>
      <c r="E33" s="37" t="inlineStr">
        <is>
          <t>OCCUPIED</t>
        </is>
      </c>
      <c r="F33" s="37" t="inlineStr">
        <is>
          <t>WL-02432</t>
        </is>
      </c>
      <c r="G33" s="37" t="inlineStr">
        <is>
          <t>James Olson</t>
        </is>
      </c>
      <c r="H33" s="37" t="n">
        <v>35.9</v>
      </c>
    </row>
    <row r="34">
      <c r="A34" s="37" t="inlineStr">
        <is>
          <t>LP-0209</t>
        </is>
      </c>
      <c r="B34" s="37" t="inlineStr">
        <is>
          <t>Ledgport</t>
        </is>
      </c>
      <c r="C34" s="37" t="inlineStr">
        <is>
          <t>COVERED</t>
        </is>
      </c>
      <c r="D34" s="37" t="n">
        <v>32</v>
      </c>
      <c r="E34" s="37" t="inlineStr">
        <is>
          <t>OCCUPIED</t>
        </is>
      </c>
      <c r="F34" s="37" t="inlineStr">
        <is>
          <t>WL-01517</t>
        </is>
      </c>
      <c r="G34" s="37" t="inlineStr">
        <is>
          <t>Manuel Abbott</t>
        </is>
      </c>
      <c r="H34" s="37" t="n">
        <v>19.8</v>
      </c>
    </row>
    <row r="35">
      <c r="A35" s="37" t="inlineStr">
        <is>
          <t>LP-0210</t>
        </is>
      </c>
      <c r="B35" s="37" t="inlineStr">
        <is>
          <t>Ledgport</t>
        </is>
      </c>
      <c r="C35" s="37" t="inlineStr">
        <is>
          <t>COVERED</t>
        </is>
      </c>
      <c r="D35" s="37" t="n">
        <v>40</v>
      </c>
      <c r="E35" s="37" t="inlineStr">
        <is>
          <t>OCCUPIED</t>
        </is>
      </c>
      <c r="F35" s="37" t="inlineStr">
        <is>
          <t>WL-02178</t>
        </is>
      </c>
      <c r="G35" s="37" t="inlineStr">
        <is>
          <t>Thomas Stone</t>
        </is>
      </c>
      <c r="H35" s="37" t="n">
        <v>24.8</v>
      </c>
    </row>
    <row r="36">
      <c r="A36" s="37" t="inlineStr">
        <is>
          <t>LP-0211</t>
        </is>
      </c>
      <c r="B36" s="37" t="inlineStr">
        <is>
          <t>Ledgport</t>
        </is>
      </c>
      <c r="C36" s="37" t="inlineStr">
        <is>
          <t>COVERED</t>
        </is>
      </c>
      <c r="D36" s="37" t="n">
        <v>24</v>
      </c>
      <c r="E36" s="37" t="inlineStr">
        <is>
          <t>VACANT</t>
        </is>
      </c>
    </row>
    <row r="37">
      <c r="A37" s="37" t="inlineStr">
        <is>
          <t>LP-0212</t>
        </is>
      </c>
      <c r="B37" s="37" t="inlineStr">
        <is>
          <t>Ledgport</t>
        </is>
      </c>
      <c r="C37" s="37" t="inlineStr">
        <is>
          <t>COVERED</t>
        </is>
      </c>
      <c r="D37" s="37" t="n">
        <v>24</v>
      </c>
      <c r="E37" s="37" t="inlineStr">
        <is>
          <t>OCCUPIED</t>
        </is>
      </c>
      <c r="F37" s="37" t="inlineStr">
        <is>
          <t>WL-03348</t>
        </is>
      </c>
      <c r="G37" s="37" t="inlineStr">
        <is>
          <t>Sandra Jackson</t>
        </is>
      </c>
      <c r="H37" s="37" t="n">
        <v>57.4</v>
      </c>
    </row>
    <row r="38">
      <c r="A38" s="37" t="inlineStr">
        <is>
          <t>LP-0213</t>
        </is>
      </c>
      <c r="B38" s="37" t="inlineStr">
        <is>
          <t>Ledgport</t>
        </is>
      </c>
      <c r="C38" s="37" t="inlineStr">
        <is>
          <t>COVERED</t>
        </is>
      </c>
      <c r="D38" s="37" t="n">
        <v>40</v>
      </c>
      <c r="E38" s="37" t="inlineStr">
        <is>
          <t>OCCUPIED</t>
        </is>
      </c>
      <c r="F38" s="37" t="inlineStr">
        <is>
          <t>WL-02388</t>
        </is>
      </c>
      <c r="G38" s="37" t="inlineStr">
        <is>
          <t>Gregory Brady</t>
        </is>
      </c>
      <c r="H38" s="37" t="n">
        <v>49.7</v>
      </c>
    </row>
    <row r="39">
      <c r="A39" s="37" t="inlineStr">
        <is>
          <t>LP-0214</t>
        </is>
      </c>
      <c r="B39" s="37" t="inlineStr">
        <is>
          <t>Ledgport</t>
        </is>
      </c>
      <c r="C39" s="37" t="inlineStr">
        <is>
          <t>COVERED</t>
        </is>
      </c>
      <c r="D39" s="37" t="n">
        <v>28</v>
      </c>
      <c r="E39" s="37" t="inlineStr">
        <is>
          <t>OCCUPIED</t>
        </is>
      </c>
      <c r="F39" s="37" t="inlineStr">
        <is>
          <t>WL-01816</t>
        </is>
      </c>
      <c r="G39" s="37" t="inlineStr">
        <is>
          <t>Jeanne Bennett</t>
        </is>
      </c>
      <c r="H39" s="37" t="n">
        <v>31</v>
      </c>
    </row>
    <row r="40">
      <c r="A40" s="37" t="inlineStr">
        <is>
          <t>LP-0215</t>
        </is>
      </c>
      <c r="B40" s="37" t="inlineStr">
        <is>
          <t>Ledgport</t>
        </is>
      </c>
      <c r="C40" s="37" t="inlineStr">
        <is>
          <t>COVERED</t>
        </is>
      </c>
      <c r="D40" s="37" t="n">
        <v>28</v>
      </c>
      <c r="E40" s="37" t="inlineStr">
        <is>
          <t>OCCUPIED</t>
        </is>
      </c>
      <c r="F40" s="37" t="inlineStr">
        <is>
          <t>WL-01337</t>
        </is>
      </c>
      <c r="G40" s="37" t="inlineStr">
        <is>
          <t>Anna Wright</t>
        </is>
      </c>
      <c r="H40" s="37" t="n">
        <v>26.3</v>
      </c>
    </row>
    <row r="41">
      <c r="A41" s="37" t="inlineStr">
        <is>
          <t>LP-0216</t>
        </is>
      </c>
      <c r="B41" s="37" t="inlineStr">
        <is>
          <t>Ledgport</t>
        </is>
      </c>
      <c r="C41" s="37" t="inlineStr">
        <is>
          <t>COVERED</t>
        </is>
      </c>
      <c r="D41" s="37" t="n">
        <v>32</v>
      </c>
      <c r="E41" s="37" t="inlineStr">
        <is>
          <t>OCCUPIED</t>
        </is>
      </c>
      <c r="F41" s="37" t="inlineStr">
        <is>
          <t>WL-01428</t>
        </is>
      </c>
      <c r="G41" s="37" t="inlineStr">
        <is>
          <t>Audrey Taylor</t>
        </is>
      </c>
      <c r="H41" s="37" t="n">
        <v>57</v>
      </c>
    </row>
    <row r="42">
      <c r="A42" s="37" t="inlineStr">
        <is>
          <t>LP-0217</t>
        </is>
      </c>
      <c r="B42" s="37" t="inlineStr">
        <is>
          <t>Ledgport</t>
        </is>
      </c>
      <c r="C42" s="37" t="inlineStr">
        <is>
          <t>COVERED</t>
        </is>
      </c>
      <c r="D42" s="37" t="n">
        <v>40</v>
      </c>
      <c r="E42" s="37" t="inlineStr">
        <is>
          <t>OCCUPIED</t>
        </is>
      </c>
      <c r="F42" s="37" t="inlineStr">
        <is>
          <t>WL-01497</t>
        </is>
      </c>
      <c r="G42" s="37" t="inlineStr">
        <is>
          <t>Aaron Ellis</t>
        </is>
      </c>
      <c r="H42" s="37" t="n">
        <v>58.7</v>
      </c>
    </row>
    <row r="43">
      <c r="A43" s="37" t="inlineStr">
        <is>
          <t>LP-0218</t>
        </is>
      </c>
      <c r="B43" s="37" t="inlineStr">
        <is>
          <t>Ledgport</t>
        </is>
      </c>
      <c r="C43" s="37" t="inlineStr">
        <is>
          <t>COVERED</t>
        </is>
      </c>
      <c r="D43" s="37" t="n">
        <v>24</v>
      </c>
      <c r="E43" s="37" t="inlineStr">
        <is>
          <t>OCCUPIED</t>
        </is>
      </c>
      <c r="F43" s="37" t="inlineStr">
        <is>
          <t>WL-01177</t>
        </is>
      </c>
      <c r="G43" s="37" t="inlineStr">
        <is>
          <t>Sydney Moore</t>
        </is>
      </c>
      <c r="H43" s="37" t="n">
        <v>41.6</v>
      </c>
    </row>
    <row r="44">
      <c r="A44" s="37" t="inlineStr">
        <is>
          <t>LP-0219</t>
        </is>
      </c>
      <c r="B44" s="37" t="inlineStr">
        <is>
          <t>Ledgport</t>
        </is>
      </c>
      <c r="C44" s="37" t="inlineStr">
        <is>
          <t>COVERED</t>
        </is>
      </c>
      <c r="D44" s="37" t="n">
        <v>28</v>
      </c>
      <c r="E44" s="37" t="inlineStr">
        <is>
          <t>OCCUPIED</t>
        </is>
      </c>
      <c r="F44" s="37" t="inlineStr">
        <is>
          <t>WL-01324</t>
        </is>
      </c>
      <c r="G44" s="37" t="inlineStr">
        <is>
          <t>Bradley Baker</t>
        </is>
      </c>
      <c r="H44" s="37" t="n">
        <v>46.9</v>
      </c>
    </row>
    <row r="45">
      <c r="A45" s="37" t="inlineStr">
        <is>
          <t>LP-0220</t>
        </is>
      </c>
      <c r="B45" s="37" t="inlineStr">
        <is>
          <t>Ledgport</t>
        </is>
      </c>
      <c r="C45" s="37" t="inlineStr">
        <is>
          <t>COVERED</t>
        </is>
      </c>
      <c r="D45" s="37" t="n">
        <v>28</v>
      </c>
      <c r="E45" s="37" t="inlineStr">
        <is>
          <t>OCCUPIED</t>
        </is>
      </c>
      <c r="F45" s="37" t="inlineStr">
        <is>
          <t>WL-02659</t>
        </is>
      </c>
      <c r="G45" s="37" t="inlineStr">
        <is>
          <t>Loretta Murillo</t>
        </is>
      </c>
      <c r="H45" s="37" t="n">
        <v>45.1</v>
      </c>
    </row>
    <row r="46">
      <c r="A46" s="37" t="inlineStr">
        <is>
          <t>LP-0221</t>
        </is>
      </c>
      <c r="B46" s="37" t="inlineStr">
        <is>
          <t>Ledgport</t>
        </is>
      </c>
      <c r="C46" s="37" t="inlineStr">
        <is>
          <t>COVERED</t>
        </is>
      </c>
      <c r="D46" s="37" t="n">
        <v>24</v>
      </c>
      <c r="E46" s="37" t="inlineStr">
        <is>
          <t>OCCUPIED</t>
        </is>
      </c>
      <c r="F46" s="37" t="inlineStr">
        <is>
          <t>WL-03407</t>
        </is>
      </c>
      <c r="G46" s="37" t="inlineStr">
        <is>
          <t>Allison Anthony</t>
        </is>
      </c>
      <c r="H46" s="37" t="n">
        <v>57.8</v>
      </c>
    </row>
    <row r="47">
      <c r="A47" s="37" t="inlineStr">
        <is>
          <t>LP-0222</t>
        </is>
      </c>
      <c r="B47" s="37" t="inlineStr">
        <is>
          <t>Ledgport</t>
        </is>
      </c>
      <c r="C47" s="37" t="inlineStr">
        <is>
          <t>COVERED</t>
        </is>
      </c>
      <c r="D47" s="37" t="n">
        <v>36</v>
      </c>
      <c r="E47" s="37" t="inlineStr">
        <is>
          <t>OCCUPIED</t>
        </is>
      </c>
      <c r="F47" s="37" t="inlineStr">
        <is>
          <t>WL-01185</t>
        </is>
      </c>
      <c r="G47" s="37" t="inlineStr">
        <is>
          <t>Stephen Burke</t>
        </is>
      </c>
      <c r="H47" s="37" t="n">
        <v>25.5</v>
      </c>
    </row>
    <row r="48">
      <c r="A48" s="37" t="inlineStr">
        <is>
          <t>LP-0223</t>
        </is>
      </c>
      <c r="B48" s="37" t="inlineStr">
        <is>
          <t>Ledgport</t>
        </is>
      </c>
      <c r="C48" s="37" t="inlineStr">
        <is>
          <t>COVERED</t>
        </is>
      </c>
      <c r="D48" s="37" t="n">
        <v>24</v>
      </c>
      <c r="E48" s="37" t="inlineStr">
        <is>
          <t>OCCUPIED</t>
        </is>
      </c>
      <c r="F48" s="37" t="inlineStr">
        <is>
          <t>WL-02494</t>
        </is>
      </c>
      <c r="G48" s="37" t="inlineStr">
        <is>
          <t>Renee Dean</t>
        </is>
      </c>
      <c r="H48" s="37" t="n">
        <v>49.8</v>
      </c>
    </row>
    <row r="49">
      <c r="A49" s="37" t="inlineStr">
        <is>
          <t>LP-0224</t>
        </is>
      </c>
      <c r="B49" s="37" t="inlineStr">
        <is>
          <t>Ledgport</t>
        </is>
      </c>
      <c r="C49" s="37" t="inlineStr">
        <is>
          <t>COVERED</t>
        </is>
      </c>
      <c r="D49" s="37" t="n">
        <v>40</v>
      </c>
      <c r="E49" s="37" t="inlineStr">
        <is>
          <t>OCCUPIED</t>
        </is>
      </c>
      <c r="F49" s="37" t="inlineStr">
        <is>
          <t>WL-01261</t>
        </is>
      </c>
      <c r="G49" s="37" t="inlineStr">
        <is>
          <t>Anita Rose</t>
        </is>
      </c>
      <c r="H49" s="37" t="n">
        <v>26.7</v>
      </c>
    </row>
    <row r="50">
      <c r="A50" s="37" t="inlineStr">
        <is>
          <t>LP-0301</t>
        </is>
      </c>
      <c r="B50" s="37" t="inlineStr">
        <is>
          <t>Ledgport</t>
        </is>
      </c>
      <c r="C50" s="37" t="inlineStr">
        <is>
          <t>COVERED</t>
        </is>
      </c>
      <c r="D50" s="37" t="n">
        <v>28</v>
      </c>
      <c r="E50" s="37" t="inlineStr">
        <is>
          <t>OCCUPIED</t>
        </is>
      </c>
      <c r="F50" s="37" t="inlineStr">
        <is>
          <t>WL-03425</t>
        </is>
      </c>
      <c r="G50" s="37" t="inlineStr">
        <is>
          <t>Miranda Neal</t>
        </is>
      </c>
      <c r="H50" s="37" t="n">
        <v>18.4</v>
      </c>
    </row>
    <row r="51">
      <c r="A51" s="37" t="inlineStr">
        <is>
          <t>LP-0302</t>
        </is>
      </c>
      <c r="B51" s="37" t="inlineStr">
        <is>
          <t>Ledgport</t>
        </is>
      </c>
      <c r="C51" s="37" t="inlineStr">
        <is>
          <t>COVERED</t>
        </is>
      </c>
      <c r="D51" s="37" t="n">
        <v>32</v>
      </c>
      <c r="E51" s="37" t="inlineStr">
        <is>
          <t>OCCUPIED</t>
        </is>
      </c>
      <c r="F51" s="37" t="inlineStr">
        <is>
          <t>WL-03048</t>
        </is>
      </c>
      <c r="G51" s="37" t="inlineStr">
        <is>
          <t>Brian Campbell</t>
        </is>
      </c>
      <c r="H51" s="37" t="n">
        <v>37.3</v>
      </c>
    </row>
    <row r="52">
      <c r="A52" s="37" t="inlineStr">
        <is>
          <t>LP-0303</t>
        </is>
      </c>
      <c r="B52" s="37" t="inlineStr">
        <is>
          <t>Ledgport</t>
        </is>
      </c>
      <c r="C52" s="37" t="inlineStr">
        <is>
          <t>COVERED</t>
        </is>
      </c>
      <c r="D52" s="37" t="n">
        <v>32</v>
      </c>
      <c r="E52" s="37" t="inlineStr">
        <is>
          <t>OCCUPIED</t>
        </is>
      </c>
      <c r="F52" s="37" t="inlineStr">
        <is>
          <t>WL-02853</t>
        </is>
      </c>
      <c r="G52" s="37" t="inlineStr">
        <is>
          <t>Adam Stevens</t>
        </is>
      </c>
      <c r="H52" s="37" t="n">
        <v>54</v>
      </c>
    </row>
    <row r="53">
      <c r="A53" s="37" t="inlineStr">
        <is>
          <t>LP-0304</t>
        </is>
      </c>
      <c r="B53" s="37" t="inlineStr">
        <is>
          <t>Ledgport</t>
        </is>
      </c>
      <c r="C53" s="37" t="inlineStr">
        <is>
          <t>COVERED</t>
        </is>
      </c>
      <c r="D53" s="37" t="n">
        <v>36</v>
      </c>
      <c r="E53" s="37" t="inlineStr">
        <is>
          <t>MAINTENANCE</t>
        </is>
      </c>
    </row>
    <row r="54">
      <c r="A54" s="37" t="inlineStr">
        <is>
          <t>LP-0305</t>
        </is>
      </c>
      <c r="B54" s="37" t="inlineStr">
        <is>
          <t>Ledgport</t>
        </is>
      </c>
      <c r="C54" s="37" t="inlineStr">
        <is>
          <t>COVERED</t>
        </is>
      </c>
      <c r="D54" s="37" t="n">
        <v>32</v>
      </c>
      <c r="E54" s="37" t="inlineStr">
        <is>
          <t>OCCUPIED</t>
        </is>
      </c>
      <c r="F54" s="37" t="inlineStr">
        <is>
          <t>WL-03470</t>
        </is>
      </c>
      <c r="G54" s="37" t="inlineStr">
        <is>
          <t>Nathan Huffman</t>
        </is>
      </c>
      <c r="H54" s="37" t="n">
        <v>19.4</v>
      </c>
    </row>
    <row r="55">
      <c r="A55" s="37" t="inlineStr">
        <is>
          <t>LP-0306</t>
        </is>
      </c>
      <c r="B55" s="37" t="inlineStr">
        <is>
          <t>Ledgport</t>
        </is>
      </c>
      <c r="C55" s="37" t="inlineStr">
        <is>
          <t>COVERED</t>
        </is>
      </c>
      <c r="D55" s="37" t="n">
        <v>32</v>
      </c>
      <c r="E55" s="37" t="inlineStr">
        <is>
          <t>OCCUPIED</t>
        </is>
      </c>
      <c r="F55" s="37" t="inlineStr">
        <is>
          <t>WL-02345</t>
        </is>
      </c>
      <c r="G55" s="37" t="inlineStr">
        <is>
          <t>Brian Wade</t>
        </is>
      </c>
      <c r="H55" s="37" t="n">
        <v>54.1</v>
      </c>
    </row>
    <row r="56">
      <c r="A56" s="37" t="inlineStr">
        <is>
          <t>LP-0307</t>
        </is>
      </c>
      <c r="B56" s="37" t="inlineStr">
        <is>
          <t>Ledgport</t>
        </is>
      </c>
      <c r="C56" s="37" t="inlineStr">
        <is>
          <t>COVERED</t>
        </is>
      </c>
      <c r="D56" s="37" t="n">
        <v>36</v>
      </c>
      <c r="E56" s="37" t="inlineStr">
        <is>
          <t>OCCUPIED</t>
        </is>
      </c>
      <c r="F56" s="37" t="inlineStr">
        <is>
          <t>WL-03230</t>
        </is>
      </c>
      <c r="G56" s="37" t="inlineStr">
        <is>
          <t>Cory Park</t>
        </is>
      </c>
      <c r="H56" s="37" t="n">
        <v>60.7</v>
      </c>
    </row>
    <row r="57">
      <c r="A57" s="37" t="inlineStr">
        <is>
          <t>LP-0308</t>
        </is>
      </c>
      <c r="B57" s="37" t="inlineStr">
        <is>
          <t>Ledgport</t>
        </is>
      </c>
      <c r="C57" s="37" t="inlineStr">
        <is>
          <t>COVERED</t>
        </is>
      </c>
      <c r="D57" s="37" t="n">
        <v>24</v>
      </c>
      <c r="E57" s="37" t="inlineStr">
        <is>
          <t>GUEST</t>
        </is>
      </c>
    </row>
    <row r="58">
      <c r="A58" s="37" t="inlineStr">
        <is>
          <t>LP-0309</t>
        </is>
      </c>
      <c r="B58" s="37" t="inlineStr">
        <is>
          <t>Ledgport</t>
        </is>
      </c>
      <c r="C58" s="37" t="inlineStr">
        <is>
          <t>COVERED</t>
        </is>
      </c>
      <c r="D58" s="37" t="n">
        <v>40</v>
      </c>
      <c r="E58" s="37" t="inlineStr">
        <is>
          <t>OCCUPIED</t>
        </is>
      </c>
      <c r="F58" s="37" t="inlineStr">
        <is>
          <t>WL-02885</t>
        </is>
      </c>
      <c r="G58" s="37" t="inlineStr">
        <is>
          <t>James Rivera</t>
        </is>
      </c>
      <c r="H58" s="37" t="n">
        <v>42.3</v>
      </c>
    </row>
    <row r="59">
      <c r="A59" s="37" t="inlineStr">
        <is>
          <t>LP-0310</t>
        </is>
      </c>
      <c r="B59" s="37" t="inlineStr">
        <is>
          <t>Ledgport</t>
        </is>
      </c>
      <c r="C59" s="37" t="inlineStr">
        <is>
          <t>COVERED</t>
        </is>
      </c>
      <c r="D59" s="37" t="n">
        <v>32</v>
      </c>
      <c r="E59" s="37" t="inlineStr">
        <is>
          <t>GUEST</t>
        </is>
      </c>
    </row>
    <row r="60">
      <c r="A60" s="37" t="inlineStr">
        <is>
          <t>LP-0311</t>
        </is>
      </c>
      <c r="B60" s="37" t="inlineStr">
        <is>
          <t>Ledgport</t>
        </is>
      </c>
      <c r="C60" s="37" t="inlineStr">
        <is>
          <t>COVERED</t>
        </is>
      </c>
      <c r="D60" s="37" t="n">
        <v>24</v>
      </c>
      <c r="E60" s="37" t="inlineStr">
        <is>
          <t>OCCUPIED</t>
        </is>
      </c>
      <c r="F60" s="37" t="inlineStr">
        <is>
          <t>WL-01606</t>
        </is>
      </c>
      <c r="G60" s="37" t="inlineStr">
        <is>
          <t>Joel English</t>
        </is>
      </c>
      <c r="H60" s="37" t="n">
        <v>23.9</v>
      </c>
    </row>
    <row r="61">
      <c r="A61" s="37" t="inlineStr">
        <is>
          <t>LP-0312</t>
        </is>
      </c>
      <c r="B61" s="37" t="inlineStr">
        <is>
          <t>Ledgport</t>
        </is>
      </c>
      <c r="C61" s="37" t="inlineStr">
        <is>
          <t>COVERED</t>
        </is>
      </c>
      <c r="D61" s="37" t="n">
        <v>24</v>
      </c>
      <c r="E61" s="37" t="inlineStr">
        <is>
          <t>OCCUPIED</t>
        </is>
      </c>
      <c r="F61" s="37" t="inlineStr">
        <is>
          <t>WL-03333</t>
        </is>
      </c>
      <c r="G61" s="37" t="inlineStr">
        <is>
          <t>Steven Greene</t>
        </is>
      </c>
      <c r="H61" s="37" t="n">
        <v>31.1</v>
      </c>
    </row>
    <row r="62">
      <c r="A62" s="37" t="inlineStr">
        <is>
          <t>LP-0313</t>
        </is>
      </c>
      <c r="B62" s="37" t="inlineStr">
        <is>
          <t>Ledgport</t>
        </is>
      </c>
      <c r="C62" s="37" t="inlineStr">
        <is>
          <t>COVERED</t>
        </is>
      </c>
      <c r="D62" s="37" t="n">
        <v>32</v>
      </c>
      <c r="E62" s="37" t="inlineStr">
        <is>
          <t>OCCUPIED</t>
        </is>
      </c>
      <c r="F62" s="37" t="inlineStr">
        <is>
          <t>WL-02675</t>
        </is>
      </c>
      <c r="G62" s="37" t="inlineStr">
        <is>
          <t>Christopher Lopez</t>
        </is>
      </c>
      <c r="H62" s="37" t="n">
        <v>24.8</v>
      </c>
    </row>
    <row r="63">
      <c r="A63" s="37" t="inlineStr">
        <is>
          <t>LP-0314</t>
        </is>
      </c>
      <c r="B63" s="37" t="inlineStr">
        <is>
          <t>Ledgport</t>
        </is>
      </c>
      <c r="C63" s="37" t="inlineStr">
        <is>
          <t>COVERED</t>
        </is>
      </c>
      <c r="D63" s="37" t="n">
        <v>32</v>
      </c>
      <c r="E63" s="37" t="inlineStr">
        <is>
          <t>OCCUPIED</t>
        </is>
      </c>
      <c r="F63" s="37" t="inlineStr">
        <is>
          <t>WL-03274</t>
        </is>
      </c>
      <c r="G63" s="37" t="inlineStr">
        <is>
          <t>Brenda Matthews</t>
        </is>
      </c>
      <c r="H63" s="37" t="n">
        <v>26.3</v>
      </c>
    </row>
    <row r="64">
      <c r="A64" s="37" t="inlineStr">
        <is>
          <t>LP-0315</t>
        </is>
      </c>
      <c r="B64" s="37" t="inlineStr">
        <is>
          <t>Ledgport</t>
        </is>
      </c>
      <c r="C64" s="37" t="inlineStr">
        <is>
          <t>COVERED</t>
        </is>
      </c>
      <c r="D64" s="37" t="n">
        <v>24</v>
      </c>
      <c r="E64" s="37" t="inlineStr">
        <is>
          <t>OCCUPIED</t>
        </is>
      </c>
      <c r="F64" s="37" t="inlineStr">
        <is>
          <t>WL-02756</t>
        </is>
      </c>
      <c r="G64" s="37" t="inlineStr">
        <is>
          <t>Gregory Phillips</t>
        </is>
      </c>
      <c r="H64" s="37" t="n">
        <v>31.6</v>
      </c>
    </row>
    <row r="65">
      <c r="A65" s="37" t="inlineStr">
        <is>
          <t>LP-0316</t>
        </is>
      </c>
      <c r="B65" s="37" t="inlineStr">
        <is>
          <t>Ledgport</t>
        </is>
      </c>
      <c r="C65" s="37" t="inlineStr">
        <is>
          <t>COVERED</t>
        </is>
      </c>
      <c r="D65" s="37" t="n">
        <v>40</v>
      </c>
      <c r="E65" s="37" t="inlineStr">
        <is>
          <t>OCCUPIED</t>
        </is>
      </c>
      <c r="F65" s="37" t="inlineStr">
        <is>
          <t>WL-03711</t>
        </is>
      </c>
      <c r="G65" s="37" t="inlineStr">
        <is>
          <t>Adam Webster</t>
        </is>
      </c>
      <c r="H65" s="37" t="n">
        <v>53.5</v>
      </c>
    </row>
    <row r="66">
      <c r="A66" s="37" t="inlineStr">
        <is>
          <t>LP-0317</t>
        </is>
      </c>
      <c r="B66" s="37" t="inlineStr">
        <is>
          <t>Ledgport</t>
        </is>
      </c>
      <c r="C66" s="37" t="inlineStr">
        <is>
          <t>COVERED</t>
        </is>
      </c>
      <c r="D66" s="37" t="n">
        <v>40</v>
      </c>
      <c r="E66" s="37" t="inlineStr">
        <is>
          <t>OCCUPIED</t>
        </is>
      </c>
      <c r="F66" s="37" t="inlineStr">
        <is>
          <t>WL-02923</t>
        </is>
      </c>
      <c r="G66" s="37" t="inlineStr">
        <is>
          <t>Randall Cummings</t>
        </is>
      </c>
      <c r="H66" s="37" t="n">
        <v>22.7</v>
      </c>
    </row>
    <row r="67">
      <c r="A67" s="37" t="inlineStr">
        <is>
          <t>LP-0318</t>
        </is>
      </c>
      <c r="B67" s="37" t="inlineStr">
        <is>
          <t>Ledgport</t>
        </is>
      </c>
      <c r="C67" s="37" t="inlineStr">
        <is>
          <t>COVERED</t>
        </is>
      </c>
      <c r="D67" s="37" t="n">
        <v>32</v>
      </c>
      <c r="E67" s="37" t="inlineStr">
        <is>
          <t>OCCUPIED</t>
        </is>
      </c>
      <c r="F67" s="37" t="inlineStr">
        <is>
          <t>WL-03488</t>
        </is>
      </c>
      <c r="G67" s="37" t="inlineStr">
        <is>
          <t>Albert Hill</t>
        </is>
      </c>
      <c r="H67" s="37" t="n">
        <v>34.5</v>
      </c>
    </row>
    <row r="68">
      <c r="A68" s="37" t="inlineStr">
        <is>
          <t>LP-0319</t>
        </is>
      </c>
      <c r="B68" s="37" t="inlineStr">
        <is>
          <t>Ledgport</t>
        </is>
      </c>
      <c r="C68" s="37" t="inlineStr">
        <is>
          <t>COVERED</t>
        </is>
      </c>
      <c r="D68" s="37" t="n">
        <v>32</v>
      </c>
      <c r="E68" s="37" t="inlineStr">
        <is>
          <t>VACANT</t>
        </is>
      </c>
    </row>
    <row r="69">
      <c r="A69" s="37" t="inlineStr">
        <is>
          <t>LP-0320</t>
        </is>
      </c>
      <c r="B69" s="37" t="inlineStr">
        <is>
          <t>Ledgport</t>
        </is>
      </c>
      <c r="C69" s="37" t="inlineStr">
        <is>
          <t>COVERED</t>
        </is>
      </c>
      <c r="D69" s="37" t="n">
        <v>24</v>
      </c>
      <c r="E69" s="37" t="inlineStr">
        <is>
          <t>OCCUPIED</t>
        </is>
      </c>
      <c r="F69" s="37" t="inlineStr">
        <is>
          <t>WL-02524</t>
        </is>
      </c>
      <c r="G69" s="37" t="inlineStr">
        <is>
          <t>Douglas Herrera</t>
        </is>
      </c>
      <c r="H69" s="37" t="n">
        <v>53.4</v>
      </c>
    </row>
    <row r="70">
      <c r="A70" s="37" t="inlineStr">
        <is>
          <t>LP-0321</t>
        </is>
      </c>
      <c r="B70" s="37" t="inlineStr">
        <is>
          <t>Ledgport</t>
        </is>
      </c>
      <c r="C70" s="37" t="inlineStr">
        <is>
          <t>COVERED</t>
        </is>
      </c>
      <c r="D70" s="37" t="n">
        <v>28</v>
      </c>
      <c r="E70" s="37" t="inlineStr">
        <is>
          <t>OCCUPIED</t>
        </is>
      </c>
      <c r="F70" s="37" t="inlineStr">
        <is>
          <t>WL-03415</t>
        </is>
      </c>
      <c r="G70" s="37" t="inlineStr">
        <is>
          <t>Jennifer Leonard</t>
        </is>
      </c>
      <c r="H70" s="37" t="n">
        <v>34.2</v>
      </c>
    </row>
    <row r="71">
      <c r="A71" s="37" t="inlineStr">
        <is>
          <t>LP-0322</t>
        </is>
      </c>
      <c r="B71" s="37" t="inlineStr">
        <is>
          <t>Ledgport</t>
        </is>
      </c>
      <c r="C71" s="37" t="inlineStr">
        <is>
          <t>COVERED</t>
        </is>
      </c>
      <c r="D71" s="37" t="n">
        <v>24</v>
      </c>
      <c r="E71" s="37" t="inlineStr">
        <is>
          <t>OCCUPIED</t>
        </is>
      </c>
      <c r="F71" s="37" t="inlineStr">
        <is>
          <t>WL-01554</t>
        </is>
      </c>
      <c r="G71" s="37" t="inlineStr">
        <is>
          <t>Robert Nolan</t>
        </is>
      </c>
      <c r="H71" s="37" t="n">
        <v>57.4</v>
      </c>
    </row>
    <row r="72">
      <c r="A72" s="37" t="inlineStr">
        <is>
          <t>LP-0323</t>
        </is>
      </c>
      <c r="B72" s="37" t="inlineStr">
        <is>
          <t>Ledgport</t>
        </is>
      </c>
      <c r="C72" s="37" t="inlineStr">
        <is>
          <t>COVERED</t>
        </is>
      </c>
      <c r="D72" s="37" t="n">
        <v>24</v>
      </c>
      <c r="E72" s="37" t="inlineStr">
        <is>
          <t>OCCUPIED</t>
        </is>
      </c>
      <c r="F72" s="37" t="inlineStr">
        <is>
          <t>WL-02461</t>
        </is>
      </c>
      <c r="G72" s="37" t="inlineStr">
        <is>
          <t>Robert Swanson</t>
        </is>
      </c>
      <c r="H72" s="37" t="n">
        <v>48.5</v>
      </c>
    </row>
    <row r="73">
      <c r="A73" s="37" t="inlineStr">
        <is>
          <t>LP-0324</t>
        </is>
      </c>
      <c r="B73" s="37" t="inlineStr">
        <is>
          <t>Ledgport</t>
        </is>
      </c>
      <c r="C73" s="37" t="inlineStr">
        <is>
          <t>COVERED</t>
        </is>
      </c>
      <c r="D73" s="37" t="n">
        <v>32</v>
      </c>
      <c r="E73" s="37" t="inlineStr">
        <is>
          <t>OCCUPIED</t>
        </is>
      </c>
      <c r="F73" s="37" t="inlineStr">
        <is>
          <t>WL-01462</t>
        </is>
      </c>
      <c r="G73" s="37" t="inlineStr">
        <is>
          <t>Stephanie Hart</t>
        </is>
      </c>
      <c r="H73" s="37" t="n">
        <v>44.5</v>
      </c>
    </row>
    <row r="74">
      <c r="A74" s="37" t="inlineStr">
        <is>
          <t>LP-0401</t>
        </is>
      </c>
      <c r="B74" s="37" t="inlineStr">
        <is>
          <t>Ledgport</t>
        </is>
      </c>
      <c r="C74" s="37" t="inlineStr">
        <is>
          <t>COVERED</t>
        </is>
      </c>
      <c r="D74" s="37" t="n">
        <v>24</v>
      </c>
      <c r="E74" s="37" t="inlineStr">
        <is>
          <t>VACANT</t>
        </is>
      </c>
    </row>
    <row r="75">
      <c r="A75" s="37" t="inlineStr">
        <is>
          <t>LP-0402</t>
        </is>
      </c>
      <c r="B75" s="37" t="inlineStr">
        <is>
          <t>Ledgport</t>
        </is>
      </c>
      <c r="C75" s="37" t="inlineStr">
        <is>
          <t>COVERED</t>
        </is>
      </c>
      <c r="D75" s="37" t="n">
        <v>28</v>
      </c>
      <c r="E75" s="37" t="inlineStr">
        <is>
          <t>OCCUPIED</t>
        </is>
      </c>
      <c r="F75" s="37" t="inlineStr">
        <is>
          <t>WL-01188</t>
        </is>
      </c>
      <c r="G75" s="37" t="inlineStr">
        <is>
          <t>Dawn Brown</t>
        </is>
      </c>
      <c r="H75" s="37" t="n">
        <v>36.5</v>
      </c>
    </row>
    <row r="76">
      <c r="A76" s="37" t="inlineStr">
        <is>
          <t>LP-0403</t>
        </is>
      </c>
      <c r="B76" s="37" t="inlineStr">
        <is>
          <t>Ledgport</t>
        </is>
      </c>
      <c r="C76" s="37" t="inlineStr">
        <is>
          <t>COVERED</t>
        </is>
      </c>
      <c r="D76" s="37" t="n">
        <v>24</v>
      </c>
      <c r="E76" s="37" t="inlineStr">
        <is>
          <t>OCCUPIED</t>
        </is>
      </c>
      <c r="F76" s="37" t="inlineStr">
        <is>
          <t>WL-01063</t>
        </is>
      </c>
      <c r="G76" s="37" t="inlineStr">
        <is>
          <t>Donna Mitchell</t>
        </is>
      </c>
      <c r="H76" s="37" t="n">
        <v>46.9</v>
      </c>
    </row>
    <row r="77">
      <c r="A77" s="37" t="inlineStr">
        <is>
          <t>LP-0404</t>
        </is>
      </c>
      <c r="B77" s="37" t="inlineStr">
        <is>
          <t>Ledgport</t>
        </is>
      </c>
      <c r="C77" s="37" t="inlineStr">
        <is>
          <t>COVERED</t>
        </is>
      </c>
      <c r="D77" s="37" t="n">
        <v>24</v>
      </c>
      <c r="E77" s="37" t="inlineStr">
        <is>
          <t>OCCUPIED</t>
        </is>
      </c>
      <c r="F77" s="37" t="inlineStr">
        <is>
          <t>WL-02961</t>
        </is>
      </c>
      <c r="G77" s="37" t="inlineStr">
        <is>
          <t>Rachel Flores</t>
        </is>
      </c>
      <c r="H77" s="37" t="n">
        <v>27.2</v>
      </c>
    </row>
    <row r="78">
      <c r="A78" s="37" t="inlineStr">
        <is>
          <t>LP-0405</t>
        </is>
      </c>
      <c r="B78" s="37" t="inlineStr">
        <is>
          <t>Ledgport</t>
        </is>
      </c>
      <c r="C78" s="37" t="inlineStr">
        <is>
          <t>COVERED</t>
        </is>
      </c>
      <c r="D78" s="37" t="n">
        <v>24</v>
      </c>
      <c r="E78" s="37" t="inlineStr">
        <is>
          <t>OCCUPIED</t>
        </is>
      </c>
      <c r="F78" s="37" t="inlineStr">
        <is>
          <t>WL-02530</t>
        </is>
      </c>
      <c r="G78" s="37" t="inlineStr">
        <is>
          <t>David Lopez</t>
        </is>
      </c>
      <c r="H78" s="37" t="n">
        <v>34.5</v>
      </c>
    </row>
    <row r="79">
      <c r="A79" s="37" t="inlineStr">
        <is>
          <t>LP-0406</t>
        </is>
      </c>
      <c r="B79" s="37" t="inlineStr">
        <is>
          <t>Ledgport</t>
        </is>
      </c>
      <c r="C79" s="37" t="inlineStr">
        <is>
          <t>COVERED</t>
        </is>
      </c>
      <c r="D79" s="37" t="n">
        <v>24</v>
      </c>
      <c r="E79" s="37" t="inlineStr">
        <is>
          <t>OCCUPIED</t>
        </is>
      </c>
      <c r="F79" s="37" t="inlineStr">
        <is>
          <t>WL-02260</t>
        </is>
      </c>
      <c r="G79" s="37" t="inlineStr">
        <is>
          <t>Michael King</t>
        </is>
      </c>
      <c r="H79" s="37" t="n">
        <v>59.6</v>
      </c>
    </row>
    <row r="80">
      <c r="A80" s="37" t="inlineStr">
        <is>
          <t>LP-0407</t>
        </is>
      </c>
      <c r="B80" s="37" t="inlineStr">
        <is>
          <t>Ledgport</t>
        </is>
      </c>
      <c r="C80" s="37" t="inlineStr">
        <is>
          <t>COVERED</t>
        </is>
      </c>
      <c r="D80" s="37" t="n">
        <v>28</v>
      </c>
      <c r="E80" s="37" t="inlineStr">
        <is>
          <t>OCCUPIED</t>
        </is>
      </c>
      <c r="F80" s="37" t="inlineStr">
        <is>
          <t>WL-02332</t>
        </is>
      </c>
      <c r="G80" s="37" t="inlineStr">
        <is>
          <t>Karla Cross</t>
        </is>
      </c>
      <c r="H80" s="37" t="n">
        <v>38.4</v>
      </c>
    </row>
    <row r="81">
      <c r="A81" s="37" t="inlineStr">
        <is>
          <t>LP-0408</t>
        </is>
      </c>
      <c r="B81" s="37" t="inlineStr">
        <is>
          <t>Ledgport</t>
        </is>
      </c>
      <c r="C81" s="37" t="inlineStr">
        <is>
          <t>COVERED</t>
        </is>
      </c>
      <c r="D81" s="37" t="n">
        <v>40</v>
      </c>
      <c r="E81" s="37" t="inlineStr">
        <is>
          <t>OCCUPIED</t>
        </is>
      </c>
      <c r="F81" s="37" t="inlineStr">
        <is>
          <t>WL-03226</t>
        </is>
      </c>
      <c r="G81" s="37" t="inlineStr">
        <is>
          <t>Kari Snow</t>
        </is>
      </c>
      <c r="H81" s="37" t="n">
        <v>23.9</v>
      </c>
    </row>
    <row r="82">
      <c r="A82" s="37" t="inlineStr">
        <is>
          <t>LP-0409</t>
        </is>
      </c>
      <c r="B82" s="37" t="inlineStr">
        <is>
          <t>Ledgport</t>
        </is>
      </c>
      <c r="C82" s="37" t="inlineStr">
        <is>
          <t>COVERED</t>
        </is>
      </c>
      <c r="D82" s="37" t="n">
        <v>32</v>
      </c>
      <c r="E82" s="37" t="inlineStr">
        <is>
          <t>OCCUPIED</t>
        </is>
      </c>
      <c r="F82" s="37" t="inlineStr">
        <is>
          <t>WL-02688</t>
        </is>
      </c>
      <c r="G82" s="37" t="inlineStr">
        <is>
          <t>Joseph Cohen</t>
        </is>
      </c>
      <c r="H82" s="37" t="n">
        <v>48.1</v>
      </c>
    </row>
    <row r="83">
      <c r="A83" s="37" t="inlineStr">
        <is>
          <t>LP-0410</t>
        </is>
      </c>
      <c r="B83" s="37" t="inlineStr">
        <is>
          <t>Ledgport</t>
        </is>
      </c>
      <c r="C83" s="37" t="inlineStr">
        <is>
          <t>COVERED</t>
        </is>
      </c>
      <c r="D83" s="37" t="n">
        <v>24</v>
      </c>
      <c r="E83" s="37" t="inlineStr">
        <is>
          <t>OCCUPIED</t>
        </is>
      </c>
      <c r="F83" s="37" t="inlineStr">
        <is>
          <t>WL-02453</t>
        </is>
      </c>
      <c r="G83" s="37" t="inlineStr">
        <is>
          <t>Kristina Savage</t>
        </is>
      </c>
      <c r="H83" s="37" t="n">
        <v>39.7</v>
      </c>
    </row>
    <row r="84">
      <c r="A84" s="37" t="inlineStr">
        <is>
          <t>LP-0411</t>
        </is>
      </c>
      <c r="B84" s="37" t="inlineStr">
        <is>
          <t>Ledgport</t>
        </is>
      </c>
      <c r="C84" s="37" t="inlineStr">
        <is>
          <t>COVERED</t>
        </is>
      </c>
      <c r="D84" s="37" t="n">
        <v>24</v>
      </c>
      <c r="E84" s="37" t="inlineStr">
        <is>
          <t>OCCUPIED</t>
        </is>
      </c>
      <c r="F84" s="37" t="inlineStr">
        <is>
          <t>WL-01932</t>
        </is>
      </c>
      <c r="G84" s="37" t="inlineStr">
        <is>
          <t>Clayton Williams</t>
        </is>
      </c>
      <c r="H84" s="37" t="n">
        <v>24.6</v>
      </c>
    </row>
    <row r="85">
      <c r="A85" s="37" t="inlineStr">
        <is>
          <t>LP-0412</t>
        </is>
      </c>
      <c r="B85" s="37" t="inlineStr">
        <is>
          <t>Ledgport</t>
        </is>
      </c>
      <c r="C85" s="37" t="inlineStr">
        <is>
          <t>COVERED</t>
        </is>
      </c>
      <c r="D85" s="37" t="n">
        <v>32</v>
      </c>
      <c r="E85" s="37" t="inlineStr">
        <is>
          <t>OCCUPIED</t>
        </is>
      </c>
      <c r="F85" s="37" t="inlineStr">
        <is>
          <t>WL-01239</t>
        </is>
      </c>
      <c r="G85" s="37" t="inlineStr">
        <is>
          <t>Edward Cook</t>
        </is>
      </c>
      <c r="H85" s="37" t="n">
        <v>41.2</v>
      </c>
    </row>
    <row r="86">
      <c r="A86" s="37" t="inlineStr">
        <is>
          <t>LP-0413</t>
        </is>
      </c>
      <c r="B86" s="37" t="inlineStr">
        <is>
          <t>Ledgport</t>
        </is>
      </c>
      <c r="C86" s="37" t="inlineStr">
        <is>
          <t>COVERED</t>
        </is>
      </c>
      <c r="D86" s="37" t="n">
        <v>28</v>
      </c>
      <c r="E86" s="37" t="inlineStr">
        <is>
          <t>OCCUPIED</t>
        </is>
      </c>
      <c r="F86" s="37" t="inlineStr">
        <is>
          <t>WL-02589</t>
        </is>
      </c>
      <c r="G86" s="37" t="inlineStr">
        <is>
          <t>Tammie Johnson</t>
        </is>
      </c>
      <c r="H86" s="37" t="n">
        <v>23.7</v>
      </c>
    </row>
    <row r="87">
      <c r="A87" s="37" t="inlineStr">
        <is>
          <t>LP-0414</t>
        </is>
      </c>
      <c r="B87" s="37" t="inlineStr">
        <is>
          <t>Ledgport</t>
        </is>
      </c>
      <c r="C87" s="37" t="inlineStr">
        <is>
          <t>COVERED</t>
        </is>
      </c>
      <c r="D87" s="37" t="n">
        <v>40</v>
      </c>
      <c r="E87" s="37" t="inlineStr">
        <is>
          <t>GUEST</t>
        </is>
      </c>
    </row>
    <row r="88">
      <c r="A88" s="37" t="inlineStr">
        <is>
          <t>LP-0415</t>
        </is>
      </c>
      <c r="B88" s="37" t="inlineStr">
        <is>
          <t>Ledgport</t>
        </is>
      </c>
      <c r="C88" s="37" t="inlineStr">
        <is>
          <t>COVERED</t>
        </is>
      </c>
      <c r="D88" s="37" t="n">
        <v>24</v>
      </c>
      <c r="E88" s="37" t="inlineStr">
        <is>
          <t>OCCUPIED</t>
        </is>
      </c>
      <c r="F88" s="37" t="inlineStr">
        <is>
          <t>WL-03907</t>
        </is>
      </c>
      <c r="G88" s="37" t="inlineStr">
        <is>
          <t>Ryan Collins</t>
        </is>
      </c>
      <c r="H88" s="37" t="n">
        <v>35.9</v>
      </c>
    </row>
    <row r="89">
      <c r="A89" s="37" t="inlineStr">
        <is>
          <t>LP-0416</t>
        </is>
      </c>
      <c r="B89" s="37" t="inlineStr">
        <is>
          <t>Ledgport</t>
        </is>
      </c>
      <c r="C89" s="37" t="inlineStr">
        <is>
          <t>COVERED</t>
        </is>
      </c>
      <c r="D89" s="37" t="n">
        <v>24</v>
      </c>
      <c r="E89" s="37" t="inlineStr">
        <is>
          <t>OCCUPIED</t>
        </is>
      </c>
      <c r="F89" s="37" t="inlineStr">
        <is>
          <t>WL-01699</t>
        </is>
      </c>
      <c r="G89" s="37" t="inlineStr">
        <is>
          <t>Kevin Fuller</t>
        </is>
      </c>
      <c r="H89" s="37" t="n">
        <v>47.8</v>
      </c>
    </row>
    <row r="90">
      <c r="A90" s="37" t="inlineStr">
        <is>
          <t>LP-0417</t>
        </is>
      </c>
      <c r="B90" s="37" t="inlineStr">
        <is>
          <t>Ledgport</t>
        </is>
      </c>
      <c r="C90" s="37" t="inlineStr">
        <is>
          <t>COVERED</t>
        </is>
      </c>
      <c r="D90" s="37" t="n">
        <v>40</v>
      </c>
      <c r="E90" s="37" t="inlineStr">
        <is>
          <t>OCCUPIED</t>
        </is>
      </c>
      <c r="F90" s="37" t="inlineStr">
        <is>
          <t>WL-02689</t>
        </is>
      </c>
      <c r="G90" s="37" t="inlineStr">
        <is>
          <t>Julie Silva</t>
        </is>
      </c>
      <c r="H90" s="37" t="n">
        <v>60.9</v>
      </c>
    </row>
    <row r="91">
      <c r="A91" s="37" t="inlineStr">
        <is>
          <t>LP-0418</t>
        </is>
      </c>
      <c r="B91" s="37" t="inlineStr">
        <is>
          <t>Ledgport</t>
        </is>
      </c>
      <c r="C91" s="37" t="inlineStr">
        <is>
          <t>COVERED</t>
        </is>
      </c>
      <c r="D91" s="37" t="n">
        <v>24</v>
      </c>
      <c r="E91" s="37" t="inlineStr">
        <is>
          <t>OCCUPIED</t>
        </is>
      </c>
      <c r="F91" s="37" t="inlineStr">
        <is>
          <t>WL-01703</t>
        </is>
      </c>
      <c r="G91" s="37" t="inlineStr">
        <is>
          <t>Jorge Avery</t>
        </is>
      </c>
      <c r="H91" s="37" t="n">
        <v>43.7</v>
      </c>
    </row>
    <row r="92">
      <c r="A92" s="37" t="inlineStr">
        <is>
          <t>LP-0419</t>
        </is>
      </c>
      <c r="B92" s="37" t="inlineStr">
        <is>
          <t>Ledgport</t>
        </is>
      </c>
      <c r="C92" s="37" t="inlineStr">
        <is>
          <t>COVERED</t>
        </is>
      </c>
      <c r="D92" s="37" t="n">
        <v>24</v>
      </c>
      <c r="E92" s="37" t="inlineStr">
        <is>
          <t>OCCUPIED</t>
        </is>
      </c>
      <c r="F92" s="37" t="inlineStr">
        <is>
          <t>WL-02926</t>
        </is>
      </c>
      <c r="G92" s="37" t="inlineStr">
        <is>
          <t>Pamela Harris</t>
        </is>
      </c>
      <c r="H92" s="37" t="n">
        <v>44.4</v>
      </c>
    </row>
    <row r="93">
      <c r="A93" s="37" t="inlineStr">
        <is>
          <t>LP-0420</t>
        </is>
      </c>
      <c r="B93" s="37" t="inlineStr">
        <is>
          <t>Ledgport</t>
        </is>
      </c>
      <c r="C93" s="37" t="inlineStr">
        <is>
          <t>COVERED</t>
        </is>
      </c>
      <c r="D93" s="37" t="n">
        <v>36</v>
      </c>
      <c r="E93" s="37" t="inlineStr">
        <is>
          <t>OCCUPIED</t>
        </is>
      </c>
      <c r="F93" s="37" t="inlineStr">
        <is>
          <t>WL-03294</t>
        </is>
      </c>
      <c r="G93" s="37" t="inlineStr">
        <is>
          <t>Megan Nguyen</t>
        </is>
      </c>
      <c r="H93" s="37" t="n">
        <v>28.9</v>
      </c>
    </row>
    <row r="94">
      <c r="A94" s="37" t="inlineStr">
        <is>
          <t>LP-0421</t>
        </is>
      </c>
      <c r="B94" s="37" t="inlineStr">
        <is>
          <t>Ledgport</t>
        </is>
      </c>
      <c r="C94" s="37" t="inlineStr">
        <is>
          <t>COVERED</t>
        </is>
      </c>
      <c r="D94" s="37" t="n">
        <v>28</v>
      </c>
      <c r="E94" s="37" t="inlineStr">
        <is>
          <t>OCCUPIED</t>
        </is>
      </c>
      <c r="F94" s="37" t="inlineStr">
        <is>
          <t>WL-03569</t>
        </is>
      </c>
      <c r="G94" s="37" t="inlineStr">
        <is>
          <t>Mary Hicks</t>
        </is>
      </c>
      <c r="H94" s="37" t="n">
        <v>25.1</v>
      </c>
    </row>
    <row r="95">
      <c r="A95" s="37" t="inlineStr">
        <is>
          <t>LP-0422</t>
        </is>
      </c>
      <c r="B95" s="37" t="inlineStr">
        <is>
          <t>Ledgport</t>
        </is>
      </c>
      <c r="C95" s="37" t="inlineStr">
        <is>
          <t>COVERED</t>
        </is>
      </c>
      <c r="D95" s="37" t="n">
        <v>32</v>
      </c>
      <c r="E95" s="37" t="inlineStr">
        <is>
          <t>OCCUPIED</t>
        </is>
      </c>
      <c r="F95" s="37" t="inlineStr">
        <is>
          <t>WL-02875</t>
        </is>
      </c>
      <c r="G95" s="37" t="inlineStr">
        <is>
          <t>Frank Beard</t>
        </is>
      </c>
      <c r="H95" s="37" t="n">
        <v>33.5</v>
      </c>
    </row>
    <row r="96">
      <c r="A96" s="37" t="inlineStr">
        <is>
          <t>LP-0423</t>
        </is>
      </c>
      <c r="B96" s="37" t="inlineStr">
        <is>
          <t>Ledgport</t>
        </is>
      </c>
      <c r="C96" s="37" t="inlineStr">
        <is>
          <t>COVERED</t>
        </is>
      </c>
      <c r="D96" s="37" t="n">
        <v>40</v>
      </c>
      <c r="E96" s="37" t="inlineStr">
        <is>
          <t>OCCUPIED</t>
        </is>
      </c>
      <c r="F96" s="37" t="inlineStr">
        <is>
          <t>WL-01778</t>
        </is>
      </c>
      <c r="G96" s="37" t="inlineStr">
        <is>
          <t>Margaret Brown</t>
        </is>
      </c>
      <c r="H96" s="37" t="n">
        <v>34.6</v>
      </c>
    </row>
    <row r="97">
      <c r="A97" s="37" t="inlineStr">
        <is>
          <t>LP-0424</t>
        </is>
      </c>
      <c r="B97" s="37" t="inlineStr">
        <is>
          <t>Ledgport</t>
        </is>
      </c>
      <c r="C97" s="37" t="inlineStr">
        <is>
          <t>COVERED</t>
        </is>
      </c>
      <c r="D97" s="37" t="n">
        <v>28</v>
      </c>
      <c r="E97" s="37" t="inlineStr">
        <is>
          <t>OCCUPIED</t>
        </is>
      </c>
      <c r="F97" s="37" t="inlineStr">
        <is>
          <t>WL-02954</t>
        </is>
      </c>
      <c r="G97" s="37" t="inlineStr">
        <is>
          <t>Michael Perez</t>
        </is>
      </c>
      <c r="H97" s="37" t="n">
        <v>28.5</v>
      </c>
    </row>
    <row r="98">
      <c r="A98" s="37" t="inlineStr">
        <is>
          <t>LP-0501</t>
        </is>
      </c>
      <c r="B98" s="37" t="inlineStr">
        <is>
          <t>Ledgport</t>
        </is>
      </c>
      <c r="C98" s="37" t="inlineStr">
        <is>
          <t>COVERED</t>
        </is>
      </c>
      <c r="D98" s="37" t="n">
        <v>40</v>
      </c>
      <c r="E98" s="37" t="inlineStr">
        <is>
          <t>MAINTENANCE</t>
        </is>
      </c>
    </row>
    <row r="99">
      <c r="A99" s="37" t="inlineStr">
        <is>
          <t>LP-0502</t>
        </is>
      </c>
      <c r="B99" s="37" t="inlineStr">
        <is>
          <t>Ledgport</t>
        </is>
      </c>
      <c r="C99" s="37" t="inlineStr">
        <is>
          <t>COVERED</t>
        </is>
      </c>
      <c r="D99" s="37" t="n">
        <v>32</v>
      </c>
      <c r="E99" s="37" t="inlineStr">
        <is>
          <t>OCCUPIED</t>
        </is>
      </c>
      <c r="F99" s="37" t="inlineStr">
        <is>
          <t>WL-02634</t>
        </is>
      </c>
      <c r="G99" s="37" t="inlineStr">
        <is>
          <t>Michelle Cooper</t>
        </is>
      </c>
      <c r="H99" s="37" t="n">
        <v>53.6</v>
      </c>
    </row>
    <row r="100">
      <c r="A100" s="37" t="inlineStr">
        <is>
          <t>LP-0503</t>
        </is>
      </c>
      <c r="B100" s="37" t="inlineStr">
        <is>
          <t>Ledgport</t>
        </is>
      </c>
      <c r="C100" s="37" t="inlineStr">
        <is>
          <t>COVERED</t>
        </is>
      </c>
      <c r="D100" s="37" t="n">
        <v>24</v>
      </c>
      <c r="E100" s="37" t="inlineStr">
        <is>
          <t>OCCUPIED</t>
        </is>
      </c>
      <c r="F100" s="37" t="inlineStr">
        <is>
          <t>WL-03603</t>
        </is>
      </c>
      <c r="G100" s="37" t="inlineStr">
        <is>
          <t>Steven Sanders</t>
        </is>
      </c>
      <c r="H100" s="37" t="n">
        <v>34</v>
      </c>
    </row>
    <row r="101">
      <c r="A101" s="37" t="inlineStr">
        <is>
          <t>LP-0504</t>
        </is>
      </c>
      <c r="B101" s="37" t="inlineStr">
        <is>
          <t>Ledgport</t>
        </is>
      </c>
      <c r="C101" s="37" t="inlineStr">
        <is>
          <t>COVERED</t>
        </is>
      </c>
      <c r="D101" s="37" t="n">
        <v>28</v>
      </c>
      <c r="E101" s="37" t="inlineStr">
        <is>
          <t>OCCUPIED</t>
        </is>
      </c>
      <c r="F101" s="37" t="inlineStr">
        <is>
          <t>WL-02974</t>
        </is>
      </c>
      <c r="G101" s="37" t="inlineStr">
        <is>
          <t>Natasha Wilson</t>
        </is>
      </c>
      <c r="H101" s="37" t="n">
        <v>57.8</v>
      </c>
    </row>
    <row r="102">
      <c r="A102" s="37" t="inlineStr">
        <is>
          <t>LP-0505</t>
        </is>
      </c>
      <c r="B102" s="37" t="inlineStr">
        <is>
          <t>Ledgport</t>
        </is>
      </c>
      <c r="C102" s="37" t="inlineStr">
        <is>
          <t>COVERED</t>
        </is>
      </c>
      <c r="D102" s="37" t="n">
        <v>28</v>
      </c>
      <c r="E102" s="37" t="inlineStr">
        <is>
          <t>OCCUPIED</t>
        </is>
      </c>
      <c r="F102" s="37" t="inlineStr">
        <is>
          <t>WL-02433</t>
        </is>
      </c>
      <c r="G102" s="37" t="inlineStr">
        <is>
          <t>Jordan Casey</t>
        </is>
      </c>
      <c r="H102" s="37" t="n">
        <v>57.9</v>
      </c>
    </row>
    <row r="103">
      <c r="A103" s="37" t="inlineStr">
        <is>
          <t>LP-0506</t>
        </is>
      </c>
      <c r="B103" s="37" t="inlineStr">
        <is>
          <t>Ledgport</t>
        </is>
      </c>
      <c r="C103" s="37" t="inlineStr">
        <is>
          <t>COVERED</t>
        </is>
      </c>
      <c r="D103" s="37" t="n">
        <v>24</v>
      </c>
      <c r="E103" s="37" t="inlineStr">
        <is>
          <t>OCCUPIED</t>
        </is>
      </c>
      <c r="F103" s="37" t="inlineStr">
        <is>
          <t>WL-01135</t>
        </is>
      </c>
      <c r="G103" s="37" t="inlineStr">
        <is>
          <t>Julia Mills</t>
        </is>
      </c>
      <c r="H103" s="37" t="n">
        <v>46.7</v>
      </c>
    </row>
    <row r="104">
      <c r="A104" s="37" t="inlineStr">
        <is>
          <t>LP-0507</t>
        </is>
      </c>
      <c r="B104" s="37" t="inlineStr">
        <is>
          <t>Ledgport</t>
        </is>
      </c>
      <c r="C104" s="37" t="inlineStr">
        <is>
          <t>COVERED</t>
        </is>
      </c>
      <c r="D104" s="37" t="n">
        <v>32</v>
      </c>
      <c r="E104" s="37" t="inlineStr">
        <is>
          <t>OCCUPIED</t>
        </is>
      </c>
      <c r="F104" s="37" t="inlineStr">
        <is>
          <t>WL-03311</t>
        </is>
      </c>
      <c r="G104" s="37" t="inlineStr">
        <is>
          <t>Shane Lee</t>
        </is>
      </c>
      <c r="H104" s="37" t="n">
        <v>41</v>
      </c>
    </row>
    <row r="105">
      <c r="A105" s="37" t="inlineStr">
        <is>
          <t>LP-0508</t>
        </is>
      </c>
      <c r="B105" s="37" t="inlineStr">
        <is>
          <t>Ledgport</t>
        </is>
      </c>
      <c r="C105" s="37" t="inlineStr">
        <is>
          <t>COVERED</t>
        </is>
      </c>
      <c r="D105" s="37" t="n">
        <v>24</v>
      </c>
      <c r="E105" s="37" t="inlineStr">
        <is>
          <t>OCCUPIED</t>
        </is>
      </c>
      <c r="F105" s="37" t="inlineStr">
        <is>
          <t>WL-01855</t>
        </is>
      </c>
      <c r="G105" s="37" t="inlineStr">
        <is>
          <t>Maria Wright</t>
        </is>
      </c>
      <c r="H105" s="37" t="n">
        <v>56.6</v>
      </c>
    </row>
    <row r="106">
      <c r="A106" s="37" t="inlineStr">
        <is>
          <t>LP-0509</t>
        </is>
      </c>
      <c r="B106" s="37" t="inlineStr">
        <is>
          <t>Ledgport</t>
        </is>
      </c>
      <c r="C106" s="37" t="inlineStr">
        <is>
          <t>COVERED</t>
        </is>
      </c>
      <c r="D106" s="37" t="n">
        <v>32</v>
      </c>
      <c r="E106" s="37" t="inlineStr">
        <is>
          <t>OCCUPIED</t>
        </is>
      </c>
      <c r="F106" s="37" t="inlineStr">
        <is>
          <t>WL-01968</t>
        </is>
      </c>
      <c r="G106" s="37" t="inlineStr">
        <is>
          <t>Cheryl Lewis</t>
        </is>
      </c>
      <c r="H106" s="37" t="n">
        <v>50</v>
      </c>
    </row>
    <row r="107">
      <c r="A107" s="37" t="inlineStr">
        <is>
          <t>LP-0510</t>
        </is>
      </c>
      <c r="B107" s="37" t="inlineStr">
        <is>
          <t>Ledgport</t>
        </is>
      </c>
      <c r="C107" s="37" t="inlineStr">
        <is>
          <t>COVERED</t>
        </is>
      </c>
      <c r="D107" s="37" t="n">
        <v>36</v>
      </c>
      <c r="E107" s="37" t="inlineStr">
        <is>
          <t>OCCUPIED</t>
        </is>
      </c>
      <c r="F107" s="37" t="inlineStr">
        <is>
          <t>WL-03288</t>
        </is>
      </c>
      <c r="G107" s="37" t="inlineStr">
        <is>
          <t>Jaclyn Ingram</t>
        </is>
      </c>
      <c r="H107" s="37" t="n">
        <v>58.7</v>
      </c>
    </row>
    <row r="108">
      <c r="A108" s="37" t="inlineStr">
        <is>
          <t>LP-0511</t>
        </is>
      </c>
      <c r="B108" s="37" t="inlineStr">
        <is>
          <t>Ledgport</t>
        </is>
      </c>
      <c r="C108" s="37" t="inlineStr">
        <is>
          <t>COVERED</t>
        </is>
      </c>
      <c r="D108" s="37" t="n">
        <v>40</v>
      </c>
      <c r="E108" s="37" t="inlineStr">
        <is>
          <t>OCCUPIED</t>
        </is>
      </c>
      <c r="F108" s="37" t="inlineStr">
        <is>
          <t>WL-01060</t>
        </is>
      </c>
      <c r="G108" s="37" t="inlineStr">
        <is>
          <t>Michael Cole</t>
        </is>
      </c>
      <c r="H108" s="37" t="n">
        <v>23.7</v>
      </c>
    </row>
    <row r="109">
      <c r="A109" s="37" t="inlineStr">
        <is>
          <t>LP-0512</t>
        </is>
      </c>
      <c r="B109" s="37" t="inlineStr">
        <is>
          <t>Ledgport</t>
        </is>
      </c>
      <c r="C109" s="37" t="inlineStr">
        <is>
          <t>COVERED</t>
        </is>
      </c>
      <c r="D109" s="37" t="n">
        <v>40</v>
      </c>
      <c r="E109" s="37" t="inlineStr">
        <is>
          <t>OCCUPIED</t>
        </is>
      </c>
      <c r="F109" s="37" t="inlineStr">
        <is>
          <t>WL-02938</t>
        </is>
      </c>
      <c r="G109" s="37" t="inlineStr">
        <is>
          <t>Micheal Perez</t>
        </is>
      </c>
      <c r="H109" s="37" t="n">
        <v>19</v>
      </c>
    </row>
    <row r="110">
      <c r="A110" s="37" t="inlineStr">
        <is>
          <t>LP-0513</t>
        </is>
      </c>
      <c r="B110" s="37" t="inlineStr">
        <is>
          <t>Ledgport</t>
        </is>
      </c>
      <c r="C110" s="37" t="inlineStr">
        <is>
          <t>COVERED</t>
        </is>
      </c>
      <c r="D110" s="37" t="n">
        <v>24</v>
      </c>
      <c r="E110" s="37" t="inlineStr">
        <is>
          <t>OCCUPIED</t>
        </is>
      </c>
      <c r="F110" s="37" t="inlineStr">
        <is>
          <t>WL-01509</t>
        </is>
      </c>
      <c r="G110" s="37" t="inlineStr">
        <is>
          <t>William Hatfield</t>
        </is>
      </c>
      <c r="H110" s="37" t="n">
        <v>40.2</v>
      </c>
    </row>
    <row r="111">
      <c r="A111" s="37" t="inlineStr">
        <is>
          <t>LP-0514</t>
        </is>
      </c>
      <c r="B111" s="37" t="inlineStr">
        <is>
          <t>Ledgport</t>
        </is>
      </c>
      <c r="C111" s="37" t="inlineStr">
        <is>
          <t>COVERED</t>
        </is>
      </c>
      <c r="D111" s="37" t="n">
        <v>28</v>
      </c>
      <c r="E111" s="37" t="inlineStr">
        <is>
          <t>OCCUPIED</t>
        </is>
      </c>
      <c r="F111" s="37" t="inlineStr">
        <is>
          <t>WL-01036</t>
        </is>
      </c>
      <c r="G111" s="37" t="inlineStr">
        <is>
          <t>Brandy Rogers</t>
        </is>
      </c>
      <c r="H111" s="37" t="n">
        <v>23.3</v>
      </c>
    </row>
    <row r="112">
      <c r="A112" s="37" t="inlineStr">
        <is>
          <t>LP-0515</t>
        </is>
      </c>
      <c r="B112" s="37" t="inlineStr">
        <is>
          <t>Ledgport</t>
        </is>
      </c>
      <c r="C112" s="37" t="inlineStr">
        <is>
          <t>COVERED</t>
        </is>
      </c>
      <c r="D112" s="37" t="n">
        <v>40</v>
      </c>
      <c r="E112" s="37" t="inlineStr">
        <is>
          <t>RESERVED</t>
        </is>
      </c>
    </row>
    <row r="113">
      <c r="A113" s="37" t="inlineStr">
        <is>
          <t>LP-0516</t>
        </is>
      </c>
      <c r="B113" s="37" t="inlineStr">
        <is>
          <t>Ledgport</t>
        </is>
      </c>
      <c r="C113" s="37" t="inlineStr">
        <is>
          <t>COVERED</t>
        </is>
      </c>
      <c r="D113" s="37" t="n">
        <v>40</v>
      </c>
      <c r="E113" s="37" t="inlineStr">
        <is>
          <t>OCCUPIED</t>
        </is>
      </c>
      <c r="F113" s="37" t="inlineStr">
        <is>
          <t>WL-03135</t>
        </is>
      </c>
      <c r="G113" s="37" t="inlineStr">
        <is>
          <t>Mallory Rodgers</t>
        </is>
      </c>
      <c r="H113" s="37" t="n">
        <v>18.9</v>
      </c>
    </row>
    <row r="114">
      <c r="A114" s="37" t="inlineStr">
        <is>
          <t>LP-0517</t>
        </is>
      </c>
      <c r="B114" s="37" t="inlineStr">
        <is>
          <t>Ledgport</t>
        </is>
      </c>
      <c r="C114" s="37" t="inlineStr">
        <is>
          <t>COVERED</t>
        </is>
      </c>
      <c r="D114" s="37" t="n">
        <v>36</v>
      </c>
      <c r="E114" s="37" t="inlineStr">
        <is>
          <t>OCCUPIED</t>
        </is>
      </c>
      <c r="F114" s="37" t="inlineStr">
        <is>
          <t>WL-02716</t>
        </is>
      </c>
      <c r="G114" s="37" t="inlineStr">
        <is>
          <t>John Nguyen</t>
        </is>
      </c>
      <c r="H114" s="37" t="n">
        <v>55</v>
      </c>
    </row>
    <row r="115">
      <c r="A115" s="37" t="inlineStr">
        <is>
          <t>LP-0518</t>
        </is>
      </c>
      <c r="B115" s="37" t="inlineStr">
        <is>
          <t>Ledgport</t>
        </is>
      </c>
      <c r="C115" s="37" t="inlineStr">
        <is>
          <t>COVERED</t>
        </is>
      </c>
      <c r="D115" s="37" t="n">
        <v>36</v>
      </c>
      <c r="E115" s="37" t="inlineStr">
        <is>
          <t>OCCUPIED</t>
        </is>
      </c>
      <c r="F115" s="37" t="inlineStr">
        <is>
          <t>WL-02963</t>
        </is>
      </c>
      <c r="G115" s="37" t="inlineStr">
        <is>
          <t>Jennifer Liu</t>
        </is>
      </c>
      <c r="H115" s="37" t="n">
        <v>34.6</v>
      </c>
    </row>
    <row r="116">
      <c r="A116" s="37" t="inlineStr">
        <is>
          <t>LP-0519</t>
        </is>
      </c>
      <c r="B116" s="37" t="inlineStr">
        <is>
          <t>Ledgport</t>
        </is>
      </c>
      <c r="C116" s="37" t="inlineStr">
        <is>
          <t>COVERED</t>
        </is>
      </c>
      <c r="D116" s="37" t="n">
        <v>32</v>
      </c>
      <c r="E116" s="37" t="inlineStr">
        <is>
          <t>OCCUPIED</t>
        </is>
      </c>
      <c r="F116" s="37" t="inlineStr">
        <is>
          <t>WL-03181</t>
        </is>
      </c>
      <c r="G116" s="37" t="inlineStr">
        <is>
          <t>Annette Collins</t>
        </is>
      </c>
      <c r="H116" s="37" t="n">
        <v>36.5</v>
      </c>
    </row>
    <row r="117">
      <c r="A117" s="37" t="inlineStr">
        <is>
          <t>LP-0520</t>
        </is>
      </c>
      <c r="B117" s="37" t="inlineStr">
        <is>
          <t>Ledgport</t>
        </is>
      </c>
      <c r="C117" s="37" t="inlineStr">
        <is>
          <t>COVERED</t>
        </is>
      </c>
      <c r="D117" s="37" t="n">
        <v>32</v>
      </c>
      <c r="E117" s="37" t="inlineStr">
        <is>
          <t>OCCUPIED</t>
        </is>
      </c>
      <c r="F117" s="37" t="inlineStr">
        <is>
          <t>WL-01896</t>
        </is>
      </c>
      <c r="G117" s="37" t="inlineStr">
        <is>
          <t>Meredith Williams</t>
        </is>
      </c>
      <c r="H117" s="37" t="n">
        <v>38.5</v>
      </c>
    </row>
    <row r="118">
      <c r="A118" s="37" t="inlineStr">
        <is>
          <t>LP-0521</t>
        </is>
      </c>
      <c r="B118" s="37" t="inlineStr">
        <is>
          <t>Ledgport</t>
        </is>
      </c>
      <c r="C118" s="37" t="inlineStr">
        <is>
          <t>COVERED</t>
        </is>
      </c>
      <c r="D118" s="37" t="n">
        <v>40</v>
      </c>
      <c r="E118" s="37" t="inlineStr">
        <is>
          <t>OCCUPIED</t>
        </is>
      </c>
      <c r="F118" s="37" t="inlineStr">
        <is>
          <t>WL-03161</t>
        </is>
      </c>
      <c r="G118" s="37" t="inlineStr">
        <is>
          <t>Ashley Hall</t>
        </is>
      </c>
      <c r="H118" s="37" t="n">
        <v>39.5</v>
      </c>
    </row>
    <row r="119">
      <c r="A119" s="37" t="inlineStr">
        <is>
          <t>LP-0522</t>
        </is>
      </c>
      <c r="B119" s="37" t="inlineStr">
        <is>
          <t>Ledgport</t>
        </is>
      </c>
      <c r="C119" s="37" t="inlineStr">
        <is>
          <t>COVERED</t>
        </is>
      </c>
      <c r="D119" s="37" t="n">
        <v>40</v>
      </c>
      <c r="E119" s="37" t="inlineStr">
        <is>
          <t>OCCUPIED</t>
        </is>
      </c>
      <c r="F119" s="37" t="inlineStr">
        <is>
          <t>WL-01604</t>
        </is>
      </c>
      <c r="G119" s="37" t="inlineStr">
        <is>
          <t>Patrick Barnes</t>
        </is>
      </c>
      <c r="H119" s="37" t="n">
        <v>60.6</v>
      </c>
    </row>
    <row r="120">
      <c r="A120" s="37" t="inlineStr">
        <is>
          <t>LP-0523</t>
        </is>
      </c>
      <c r="B120" s="37" t="inlineStr">
        <is>
          <t>Ledgport</t>
        </is>
      </c>
      <c r="C120" s="37" t="inlineStr">
        <is>
          <t>COVERED</t>
        </is>
      </c>
      <c r="D120" s="37" t="n">
        <v>24</v>
      </c>
      <c r="E120" s="37" t="inlineStr">
        <is>
          <t>OCCUPIED</t>
        </is>
      </c>
      <c r="F120" s="37" t="inlineStr">
        <is>
          <t>WL-03212</t>
        </is>
      </c>
      <c r="G120" s="37" t="inlineStr">
        <is>
          <t>Damon Garcia</t>
        </is>
      </c>
      <c r="H120" s="37" t="n">
        <v>24.2</v>
      </c>
    </row>
    <row r="121">
      <c r="A121" s="37" t="inlineStr">
        <is>
          <t>LP-0524</t>
        </is>
      </c>
      <c r="B121" s="37" t="inlineStr">
        <is>
          <t>Ledgport</t>
        </is>
      </c>
      <c r="C121" s="37" t="inlineStr">
        <is>
          <t>COVERED</t>
        </is>
      </c>
      <c r="D121" s="37" t="n">
        <v>28</v>
      </c>
      <c r="E121" s="37" t="inlineStr">
        <is>
          <t>OCCUPIED</t>
        </is>
      </c>
      <c r="F121" s="37" t="inlineStr">
        <is>
          <t>WL-02695</t>
        </is>
      </c>
      <c r="G121" s="37" t="inlineStr">
        <is>
          <t>Anthony Hamilton</t>
        </is>
      </c>
      <c r="H121" s="37" t="n">
        <v>24.6</v>
      </c>
    </row>
    <row r="122">
      <c r="A122" s="37" t="inlineStr">
        <is>
          <t>LP-0601</t>
        </is>
      </c>
      <c r="B122" s="37" t="inlineStr">
        <is>
          <t>Ledgport</t>
        </is>
      </c>
      <c r="C122" s="37" t="inlineStr">
        <is>
          <t>COVERED</t>
        </is>
      </c>
      <c r="D122" s="37" t="n">
        <v>24</v>
      </c>
      <c r="E122" s="37" t="inlineStr">
        <is>
          <t>OCCUPIED</t>
        </is>
      </c>
      <c r="F122" s="37" t="inlineStr">
        <is>
          <t>WL-02639</t>
        </is>
      </c>
      <c r="G122" s="37" t="inlineStr">
        <is>
          <t>Ronald Moore</t>
        </is>
      </c>
      <c r="H122" s="37" t="n">
        <v>29.3</v>
      </c>
    </row>
    <row r="123">
      <c r="A123" s="37" t="inlineStr">
        <is>
          <t>LP-0602</t>
        </is>
      </c>
      <c r="B123" s="37" t="inlineStr">
        <is>
          <t>Ledgport</t>
        </is>
      </c>
      <c r="C123" s="37" t="inlineStr">
        <is>
          <t>COVERED</t>
        </is>
      </c>
      <c r="D123" s="37" t="n">
        <v>36</v>
      </c>
      <c r="E123" s="37" t="inlineStr">
        <is>
          <t>OCCUPIED</t>
        </is>
      </c>
      <c r="F123" s="37" t="inlineStr">
        <is>
          <t>WL-01342</t>
        </is>
      </c>
      <c r="G123" s="37" t="inlineStr">
        <is>
          <t>Lee Maldonado</t>
        </is>
      </c>
      <c r="H123" s="37" t="n">
        <v>57.7</v>
      </c>
    </row>
    <row r="124">
      <c r="A124" s="37" t="inlineStr">
        <is>
          <t>LP-0603</t>
        </is>
      </c>
      <c r="B124" s="37" t="inlineStr">
        <is>
          <t>Ledgport</t>
        </is>
      </c>
      <c r="C124" s="37" t="inlineStr">
        <is>
          <t>COVERED</t>
        </is>
      </c>
      <c r="D124" s="37" t="n">
        <v>28</v>
      </c>
      <c r="E124" s="37" t="inlineStr">
        <is>
          <t>OCCUPIED</t>
        </is>
      </c>
      <c r="F124" s="37" t="inlineStr">
        <is>
          <t>WL-02921</t>
        </is>
      </c>
      <c r="G124" s="37" t="inlineStr">
        <is>
          <t>Marissa Hatfield</t>
        </is>
      </c>
      <c r="H124" s="37" t="n">
        <v>32.2</v>
      </c>
    </row>
    <row r="125">
      <c r="A125" s="37" t="inlineStr">
        <is>
          <t>LP-0604</t>
        </is>
      </c>
      <c r="B125" s="37" t="inlineStr">
        <is>
          <t>Ledgport</t>
        </is>
      </c>
      <c r="C125" s="37" t="inlineStr">
        <is>
          <t>COVERED</t>
        </is>
      </c>
      <c r="D125" s="37" t="n">
        <v>40</v>
      </c>
      <c r="E125" s="37" t="inlineStr">
        <is>
          <t>OCCUPIED</t>
        </is>
      </c>
      <c r="F125" s="37" t="inlineStr">
        <is>
          <t>WL-02608</t>
        </is>
      </c>
      <c r="G125" s="37" t="inlineStr">
        <is>
          <t>Timothy Porter</t>
        </is>
      </c>
      <c r="H125" s="37" t="n">
        <v>51</v>
      </c>
    </row>
    <row r="126">
      <c r="A126" s="37" t="inlineStr">
        <is>
          <t>LP-0605</t>
        </is>
      </c>
      <c r="B126" s="37" t="inlineStr">
        <is>
          <t>Ledgport</t>
        </is>
      </c>
      <c r="C126" s="37" t="inlineStr">
        <is>
          <t>COVERED</t>
        </is>
      </c>
      <c r="D126" s="37" t="n">
        <v>24</v>
      </c>
      <c r="E126" s="37" t="inlineStr">
        <is>
          <t>OCCUPIED</t>
        </is>
      </c>
      <c r="F126" s="37" t="inlineStr">
        <is>
          <t>WL-01747</t>
        </is>
      </c>
      <c r="G126" s="37" t="inlineStr">
        <is>
          <t>Andrew Anderson</t>
        </is>
      </c>
      <c r="H126" s="37" t="n">
        <v>50.9</v>
      </c>
    </row>
    <row r="127">
      <c r="A127" s="37" t="inlineStr">
        <is>
          <t>LP-0606</t>
        </is>
      </c>
      <c r="B127" s="37" t="inlineStr">
        <is>
          <t>Ledgport</t>
        </is>
      </c>
      <c r="C127" s="37" t="inlineStr">
        <is>
          <t>COVERED</t>
        </is>
      </c>
      <c r="D127" s="37" t="n">
        <v>24</v>
      </c>
      <c r="E127" s="37" t="inlineStr">
        <is>
          <t>OCCUPIED</t>
        </is>
      </c>
      <c r="F127" s="37" t="inlineStr">
        <is>
          <t>WL-03735</t>
        </is>
      </c>
      <c r="G127" s="37" t="inlineStr">
        <is>
          <t>Kyle Foster</t>
        </is>
      </c>
      <c r="H127" s="37" t="n">
        <v>61.2</v>
      </c>
    </row>
    <row r="128">
      <c r="A128" s="37" t="inlineStr">
        <is>
          <t>LP-0607</t>
        </is>
      </c>
      <c r="B128" s="37" t="inlineStr">
        <is>
          <t>Ledgport</t>
        </is>
      </c>
      <c r="C128" s="37" t="inlineStr">
        <is>
          <t>COVERED</t>
        </is>
      </c>
      <c r="D128" s="37" t="n">
        <v>40</v>
      </c>
      <c r="E128" s="37" t="inlineStr">
        <is>
          <t>OCCUPIED</t>
        </is>
      </c>
      <c r="F128" s="37" t="inlineStr">
        <is>
          <t>WL-01378</t>
        </is>
      </c>
      <c r="G128" s="37" t="inlineStr">
        <is>
          <t>Morgan Clark</t>
        </is>
      </c>
      <c r="H128" s="37" t="n">
        <v>30.7</v>
      </c>
    </row>
    <row r="129">
      <c r="A129" s="37" t="inlineStr">
        <is>
          <t>LP-0608</t>
        </is>
      </c>
      <c r="B129" s="37" t="inlineStr">
        <is>
          <t>Ledgport</t>
        </is>
      </c>
      <c r="C129" s="37" t="inlineStr">
        <is>
          <t>COVERED</t>
        </is>
      </c>
      <c r="D129" s="37" t="n">
        <v>28</v>
      </c>
      <c r="E129" s="37" t="inlineStr">
        <is>
          <t>OCCUPIED</t>
        </is>
      </c>
      <c r="F129" s="37" t="inlineStr">
        <is>
          <t>WL-03905</t>
        </is>
      </c>
      <c r="G129" s="37" t="inlineStr">
        <is>
          <t>Jamie Carpenter</t>
        </is>
      </c>
      <c r="H129" s="37" t="n">
        <v>22.6</v>
      </c>
    </row>
    <row r="130">
      <c r="A130" s="37" t="inlineStr">
        <is>
          <t>LP-0609</t>
        </is>
      </c>
      <c r="B130" s="37" t="inlineStr">
        <is>
          <t>Ledgport</t>
        </is>
      </c>
      <c r="C130" s="37" t="inlineStr">
        <is>
          <t>COVERED</t>
        </is>
      </c>
      <c r="D130" s="37" t="n">
        <v>24</v>
      </c>
      <c r="E130" s="37" t="inlineStr">
        <is>
          <t>OCCUPIED</t>
        </is>
      </c>
      <c r="F130" s="37" t="inlineStr">
        <is>
          <t>WL-01602</t>
        </is>
      </c>
      <c r="G130" s="37" t="inlineStr">
        <is>
          <t>Micheal Martinez</t>
        </is>
      </c>
      <c r="H130" s="37" t="n">
        <v>37.3</v>
      </c>
    </row>
    <row r="131">
      <c r="A131" s="37" t="inlineStr">
        <is>
          <t>LP-0610</t>
        </is>
      </c>
      <c r="B131" s="37" t="inlineStr">
        <is>
          <t>Ledgport</t>
        </is>
      </c>
      <c r="C131" s="37" t="inlineStr">
        <is>
          <t>COVERED</t>
        </is>
      </c>
      <c r="D131" s="37" t="n">
        <v>28</v>
      </c>
      <c r="E131" s="37" t="inlineStr">
        <is>
          <t>OCCUPIED</t>
        </is>
      </c>
      <c r="F131" s="37" t="inlineStr">
        <is>
          <t>WL-02905</t>
        </is>
      </c>
      <c r="G131" s="37" t="inlineStr">
        <is>
          <t>James Williams</t>
        </is>
      </c>
      <c r="H131" s="37" t="n">
        <v>34.5</v>
      </c>
    </row>
    <row r="132">
      <c r="A132" s="37" t="inlineStr">
        <is>
          <t>LP-0611</t>
        </is>
      </c>
      <c r="B132" s="37" t="inlineStr">
        <is>
          <t>Ledgport</t>
        </is>
      </c>
      <c r="C132" s="37" t="inlineStr">
        <is>
          <t>COVERED</t>
        </is>
      </c>
      <c r="D132" s="37" t="n">
        <v>24</v>
      </c>
      <c r="E132" s="37" t="inlineStr">
        <is>
          <t>OCCUPIED</t>
        </is>
      </c>
      <c r="F132" s="37" t="inlineStr">
        <is>
          <t>WL-03556</t>
        </is>
      </c>
      <c r="G132" s="37" t="inlineStr">
        <is>
          <t>Scott Bird</t>
        </is>
      </c>
      <c r="H132" s="37" t="n">
        <v>60.7</v>
      </c>
    </row>
    <row r="133">
      <c r="A133" s="37" t="inlineStr">
        <is>
          <t>LP-0612</t>
        </is>
      </c>
      <c r="B133" s="37" t="inlineStr">
        <is>
          <t>Ledgport</t>
        </is>
      </c>
      <c r="C133" s="37" t="inlineStr">
        <is>
          <t>COVERED</t>
        </is>
      </c>
      <c r="D133" s="37" t="n">
        <v>32</v>
      </c>
      <c r="E133" s="37" t="inlineStr">
        <is>
          <t>OCCUPIED</t>
        </is>
      </c>
      <c r="F133" s="37" t="inlineStr">
        <is>
          <t>WL-01625</t>
        </is>
      </c>
      <c r="G133" s="37" t="inlineStr">
        <is>
          <t>Albert Rowland</t>
        </is>
      </c>
      <c r="H133" s="37" t="n">
        <v>18.6</v>
      </c>
    </row>
    <row r="134">
      <c r="A134" s="37" t="inlineStr">
        <is>
          <t>LP-0613</t>
        </is>
      </c>
      <c r="B134" s="37" t="inlineStr">
        <is>
          <t>Ledgport</t>
        </is>
      </c>
      <c r="C134" s="37" t="inlineStr">
        <is>
          <t>COVERED</t>
        </is>
      </c>
      <c r="D134" s="37" t="n">
        <v>24</v>
      </c>
      <c r="E134" s="37" t="inlineStr">
        <is>
          <t>OCCUPIED</t>
        </is>
      </c>
      <c r="F134" s="37" t="inlineStr">
        <is>
          <t>WL-03447</t>
        </is>
      </c>
      <c r="G134" s="37" t="inlineStr">
        <is>
          <t>Matthew Mcdonald</t>
        </is>
      </c>
      <c r="H134" s="37" t="n">
        <v>52.8</v>
      </c>
    </row>
    <row r="135">
      <c r="A135" s="37" t="inlineStr">
        <is>
          <t>LP-0614</t>
        </is>
      </c>
      <c r="B135" s="37" t="inlineStr">
        <is>
          <t>Ledgport</t>
        </is>
      </c>
      <c r="C135" s="37" t="inlineStr">
        <is>
          <t>COVERED</t>
        </is>
      </c>
      <c r="D135" s="37" t="n">
        <v>28</v>
      </c>
      <c r="E135" s="37" t="inlineStr">
        <is>
          <t>OCCUPIED</t>
        </is>
      </c>
      <c r="F135" s="37" t="inlineStr">
        <is>
          <t>WL-01107</t>
        </is>
      </c>
      <c r="G135" s="37" t="inlineStr">
        <is>
          <t>Dean Gonzalez</t>
        </is>
      </c>
      <c r="H135" s="37" t="n">
        <v>18.7</v>
      </c>
    </row>
    <row r="136">
      <c r="A136" s="37" t="inlineStr">
        <is>
          <t>LP-0615</t>
        </is>
      </c>
      <c r="B136" s="37" t="inlineStr">
        <is>
          <t>Ledgport</t>
        </is>
      </c>
      <c r="C136" s="37" t="inlineStr">
        <is>
          <t>COVERED</t>
        </is>
      </c>
      <c r="D136" s="37" t="n">
        <v>36</v>
      </c>
      <c r="E136" s="37" t="inlineStr">
        <is>
          <t>OCCUPIED</t>
        </is>
      </c>
      <c r="F136" s="37" t="inlineStr">
        <is>
          <t>WL-03818</t>
        </is>
      </c>
      <c r="G136" s="37" t="inlineStr">
        <is>
          <t>Abigail Brooks</t>
        </is>
      </c>
      <c r="H136" s="37" t="n">
        <v>37.5</v>
      </c>
    </row>
    <row r="137">
      <c r="A137" s="37" t="inlineStr">
        <is>
          <t>LP-0616</t>
        </is>
      </c>
      <c r="B137" s="37" t="inlineStr">
        <is>
          <t>Ledgport</t>
        </is>
      </c>
      <c r="C137" s="37" t="inlineStr">
        <is>
          <t>COVERED</t>
        </is>
      </c>
      <c r="D137" s="37" t="n">
        <v>24</v>
      </c>
      <c r="E137" s="37" t="inlineStr">
        <is>
          <t>OCCUPIED</t>
        </is>
      </c>
      <c r="F137" s="37" t="inlineStr">
        <is>
          <t>WL-03854</t>
        </is>
      </c>
      <c r="G137" s="37" t="inlineStr">
        <is>
          <t>Brandon Jackson</t>
        </is>
      </c>
      <c r="H137" s="37" t="n">
        <v>51.4</v>
      </c>
    </row>
    <row r="138">
      <c r="A138" s="37" t="inlineStr">
        <is>
          <t>LP-0617</t>
        </is>
      </c>
      <c r="B138" s="37" t="inlineStr">
        <is>
          <t>Ledgport</t>
        </is>
      </c>
      <c r="C138" s="37" t="inlineStr">
        <is>
          <t>COVERED</t>
        </is>
      </c>
      <c r="D138" s="37" t="n">
        <v>28</v>
      </c>
      <c r="E138" s="37" t="inlineStr">
        <is>
          <t>OCCUPIED</t>
        </is>
      </c>
      <c r="F138" s="37" t="inlineStr">
        <is>
          <t>WL-02073</t>
        </is>
      </c>
      <c r="G138" s="37" t="inlineStr">
        <is>
          <t>Susan Jordan</t>
        </is>
      </c>
      <c r="H138" s="37" t="n">
        <v>35.6</v>
      </c>
    </row>
    <row r="139">
      <c r="A139" s="37" t="inlineStr">
        <is>
          <t>LP-0618</t>
        </is>
      </c>
      <c r="B139" s="37" t="inlineStr">
        <is>
          <t>Ledgport</t>
        </is>
      </c>
      <c r="C139" s="37" t="inlineStr">
        <is>
          <t>COVERED</t>
        </is>
      </c>
      <c r="D139" s="37" t="n">
        <v>32</v>
      </c>
      <c r="E139" s="37" t="inlineStr">
        <is>
          <t>OCCUPIED</t>
        </is>
      </c>
      <c r="F139" s="37" t="inlineStr">
        <is>
          <t>WL-01962</t>
        </is>
      </c>
      <c r="G139" s="37" t="inlineStr">
        <is>
          <t>Natalie Tyler</t>
        </is>
      </c>
      <c r="H139" s="37" t="n">
        <v>30.1</v>
      </c>
    </row>
    <row r="140">
      <c r="A140" s="37" t="inlineStr">
        <is>
          <t>LP-0619</t>
        </is>
      </c>
      <c r="B140" s="37" t="inlineStr">
        <is>
          <t>Ledgport</t>
        </is>
      </c>
      <c r="C140" s="37" t="inlineStr">
        <is>
          <t>COVERED</t>
        </is>
      </c>
      <c r="D140" s="37" t="n">
        <v>36</v>
      </c>
      <c r="E140" s="37" t="inlineStr">
        <is>
          <t>VACANT</t>
        </is>
      </c>
    </row>
    <row r="141">
      <c r="A141" s="37" t="inlineStr">
        <is>
          <t>LP-0620</t>
        </is>
      </c>
      <c r="B141" s="37" t="inlineStr">
        <is>
          <t>Ledgport</t>
        </is>
      </c>
      <c r="C141" s="37" t="inlineStr">
        <is>
          <t>COVERED</t>
        </is>
      </c>
      <c r="D141" s="37" t="n">
        <v>32</v>
      </c>
      <c r="E141" s="37" t="inlineStr">
        <is>
          <t>OCCUPIED</t>
        </is>
      </c>
      <c r="F141" s="37" t="inlineStr">
        <is>
          <t>WL-02410</t>
        </is>
      </c>
      <c r="G141" s="37" t="inlineStr">
        <is>
          <t>Juan Martin</t>
        </is>
      </c>
      <c r="H141" s="37" t="n">
        <v>40.5</v>
      </c>
    </row>
    <row r="142">
      <c r="A142" s="37" t="inlineStr">
        <is>
          <t>LP-0621</t>
        </is>
      </c>
      <c r="B142" s="37" t="inlineStr">
        <is>
          <t>Ledgport</t>
        </is>
      </c>
      <c r="C142" s="37" t="inlineStr">
        <is>
          <t>COVERED</t>
        </is>
      </c>
      <c r="D142" s="37" t="n">
        <v>40</v>
      </c>
      <c r="E142" s="37" t="inlineStr">
        <is>
          <t>OCCUPIED</t>
        </is>
      </c>
      <c r="F142" s="37" t="inlineStr">
        <is>
          <t>WL-02194</t>
        </is>
      </c>
      <c r="G142" s="37" t="inlineStr">
        <is>
          <t>Victoria Williamson</t>
        </is>
      </c>
      <c r="H142" s="37" t="n">
        <v>22</v>
      </c>
    </row>
    <row r="143">
      <c r="A143" s="37" t="inlineStr">
        <is>
          <t>LP-0622</t>
        </is>
      </c>
      <c r="B143" s="37" t="inlineStr">
        <is>
          <t>Ledgport</t>
        </is>
      </c>
      <c r="C143" s="37" t="inlineStr">
        <is>
          <t>COVERED</t>
        </is>
      </c>
      <c r="D143" s="37" t="n">
        <v>32</v>
      </c>
      <c r="E143" s="37" t="inlineStr">
        <is>
          <t>OCCUPIED</t>
        </is>
      </c>
      <c r="F143" s="37" t="inlineStr">
        <is>
          <t>WL-03607</t>
        </is>
      </c>
      <c r="G143" s="37" t="inlineStr">
        <is>
          <t>Ross Green</t>
        </is>
      </c>
      <c r="H143" s="37" t="n">
        <v>39.4</v>
      </c>
    </row>
    <row r="144">
      <c r="A144" s="37" t="inlineStr">
        <is>
          <t>LP-0623</t>
        </is>
      </c>
      <c r="B144" s="37" t="inlineStr">
        <is>
          <t>Ledgport</t>
        </is>
      </c>
      <c r="C144" s="37" t="inlineStr">
        <is>
          <t>COVERED</t>
        </is>
      </c>
      <c r="D144" s="37" t="n">
        <v>32</v>
      </c>
      <c r="E144" s="37" t="inlineStr">
        <is>
          <t>OCCUPIED</t>
        </is>
      </c>
      <c r="F144" s="37" t="inlineStr">
        <is>
          <t>WL-03096</t>
        </is>
      </c>
      <c r="G144" s="37" t="inlineStr">
        <is>
          <t>Craig Kelley</t>
        </is>
      </c>
      <c r="H144" s="37" t="n">
        <v>53.9</v>
      </c>
    </row>
    <row r="145">
      <c r="A145" s="37" t="inlineStr">
        <is>
          <t>LP-0624</t>
        </is>
      </c>
      <c r="B145" s="37" t="inlineStr">
        <is>
          <t>Ledgport</t>
        </is>
      </c>
      <c r="C145" s="37" t="inlineStr">
        <is>
          <t>COVERED</t>
        </is>
      </c>
      <c r="D145" s="37" t="n">
        <v>40</v>
      </c>
      <c r="E145" s="37" t="inlineStr">
        <is>
          <t>OCCUPIED</t>
        </is>
      </c>
      <c r="F145" s="37" t="inlineStr">
        <is>
          <t>WL-02951</t>
        </is>
      </c>
      <c r="G145" s="37" t="inlineStr">
        <is>
          <t>Evelyn Thompson</t>
        </is>
      </c>
      <c r="H145" s="37" t="n">
        <v>49.8</v>
      </c>
    </row>
    <row r="146">
      <c r="A146" s="37" t="inlineStr">
        <is>
          <t>LP-0701</t>
        </is>
      </c>
      <c r="B146" s="37" t="inlineStr">
        <is>
          <t>Ledgport</t>
        </is>
      </c>
      <c r="C146" s="37" t="inlineStr">
        <is>
          <t>COVERED</t>
        </is>
      </c>
      <c r="D146" s="37" t="n">
        <v>24</v>
      </c>
      <c r="E146" s="37" t="inlineStr">
        <is>
          <t>OCCUPIED</t>
        </is>
      </c>
      <c r="F146" s="37" t="inlineStr">
        <is>
          <t>WL-02344</t>
        </is>
      </c>
      <c r="G146" s="37" t="inlineStr">
        <is>
          <t>Michael Combs</t>
        </is>
      </c>
      <c r="H146" s="37" t="n">
        <v>43.4</v>
      </c>
    </row>
    <row r="147">
      <c r="A147" s="37" t="inlineStr">
        <is>
          <t>LP-0702</t>
        </is>
      </c>
      <c r="B147" s="37" t="inlineStr">
        <is>
          <t>Ledgport</t>
        </is>
      </c>
      <c r="C147" s="37" t="inlineStr">
        <is>
          <t>COVERED</t>
        </is>
      </c>
      <c r="D147" s="37" t="n">
        <v>32</v>
      </c>
      <c r="E147" s="37" t="inlineStr">
        <is>
          <t>OCCUPIED</t>
        </is>
      </c>
      <c r="F147" s="37" t="inlineStr">
        <is>
          <t>WL-01711</t>
        </is>
      </c>
      <c r="G147" s="37" t="inlineStr">
        <is>
          <t>Julie Peterson</t>
        </is>
      </c>
      <c r="H147" s="37" t="n">
        <v>51.4</v>
      </c>
    </row>
    <row r="148">
      <c r="A148" s="37" t="inlineStr">
        <is>
          <t>LP-0703</t>
        </is>
      </c>
      <c r="B148" s="37" t="inlineStr">
        <is>
          <t>Ledgport</t>
        </is>
      </c>
      <c r="C148" s="37" t="inlineStr">
        <is>
          <t>COVERED</t>
        </is>
      </c>
      <c r="D148" s="37" t="n">
        <v>40</v>
      </c>
      <c r="E148" s="37" t="inlineStr">
        <is>
          <t>OCCUPIED</t>
        </is>
      </c>
      <c r="F148" s="37" t="inlineStr">
        <is>
          <t>WL-03517</t>
        </is>
      </c>
      <c r="G148" s="37" t="inlineStr">
        <is>
          <t>Ruth Peters</t>
        </is>
      </c>
      <c r="H148" s="37" t="n">
        <v>58.9</v>
      </c>
    </row>
    <row r="149">
      <c r="A149" s="37" t="inlineStr">
        <is>
          <t>LP-0704</t>
        </is>
      </c>
      <c r="B149" s="37" t="inlineStr">
        <is>
          <t>Ledgport</t>
        </is>
      </c>
      <c r="C149" s="37" t="inlineStr">
        <is>
          <t>COVERED</t>
        </is>
      </c>
      <c r="D149" s="37" t="n">
        <v>28</v>
      </c>
      <c r="E149" s="37" t="inlineStr">
        <is>
          <t>OCCUPIED</t>
        </is>
      </c>
      <c r="F149" s="37" t="inlineStr">
        <is>
          <t>WL-02092</t>
        </is>
      </c>
      <c r="G149" s="37" t="inlineStr">
        <is>
          <t>Jason Brooks</t>
        </is>
      </c>
      <c r="H149" s="37" t="n">
        <v>52.4</v>
      </c>
    </row>
    <row r="150">
      <c r="A150" s="37" t="inlineStr">
        <is>
          <t>LP-0705</t>
        </is>
      </c>
      <c r="B150" s="37" t="inlineStr">
        <is>
          <t>Ledgport</t>
        </is>
      </c>
      <c r="C150" s="37" t="inlineStr">
        <is>
          <t>COVERED</t>
        </is>
      </c>
      <c r="D150" s="37" t="n">
        <v>24</v>
      </c>
      <c r="E150" s="37" t="inlineStr">
        <is>
          <t>OCCUPIED</t>
        </is>
      </c>
      <c r="F150" s="37" t="inlineStr">
        <is>
          <t>WL-02327</t>
        </is>
      </c>
      <c r="G150" s="37" t="inlineStr">
        <is>
          <t>Sarah Hogan</t>
        </is>
      </c>
      <c r="H150" s="37" t="n">
        <v>43.6</v>
      </c>
    </row>
    <row r="151">
      <c r="A151" s="37" t="inlineStr">
        <is>
          <t>LP-0706</t>
        </is>
      </c>
      <c r="B151" s="37" t="inlineStr">
        <is>
          <t>Ledgport</t>
        </is>
      </c>
      <c r="C151" s="37" t="inlineStr">
        <is>
          <t>COVERED</t>
        </is>
      </c>
      <c r="D151" s="37" t="n">
        <v>28</v>
      </c>
      <c r="E151" s="37" t="inlineStr">
        <is>
          <t>OCCUPIED</t>
        </is>
      </c>
      <c r="F151" s="37" t="inlineStr">
        <is>
          <t>WL-01857</t>
        </is>
      </c>
      <c r="G151" s="37" t="inlineStr">
        <is>
          <t>Anthony Morales</t>
        </is>
      </c>
      <c r="H151" s="37" t="n">
        <v>43.6</v>
      </c>
    </row>
    <row r="152">
      <c r="A152" s="37" t="inlineStr">
        <is>
          <t>LP-0707</t>
        </is>
      </c>
      <c r="B152" s="37" t="inlineStr">
        <is>
          <t>Ledgport</t>
        </is>
      </c>
      <c r="C152" s="37" t="inlineStr">
        <is>
          <t>COVERED</t>
        </is>
      </c>
      <c r="D152" s="37" t="n">
        <v>28</v>
      </c>
      <c r="E152" s="37" t="inlineStr">
        <is>
          <t>OCCUPIED</t>
        </is>
      </c>
      <c r="F152" s="37" t="inlineStr">
        <is>
          <t>WL-02544</t>
        </is>
      </c>
      <c r="G152" s="37" t="inlineStr">
        <is>
          <t>Laurie Smith</t>
        </is>
      </c>
      <c r="H152" s="37" t="n">
        <v>45.6</v>
      </c>
    </row>
    <row r="153">
      <c r="A153" s="37" t="inlineStr">
        <is>
          <t>LP-0708</t>
        </is>
      </c>
      <c r="B153" s="37" t="inlineStr">
        <is>
          <t>Ledgport</t>
        </is>
      </c>
      <c r="C153" s="37" t="inlineStr">
        <is>
          <t>COVERED</t>
        </is>
      </c>
      <c r="D153" s="37" t="n">
        <v>32</v>
      </c>
      <c r="E153" s="37" t="inlineStr">
        <is>
          <t>OCCUPIED</t>
        </is>
      </c>
      <c r="F153" s="37" t="inlineStr">
        <is>
          <t>WL-03803</t>
        </is>
      </c>
      <c r="G153" s="37" t="inlineStr">
        <is>
          <t>Elizabeth Mathews</t>
        </is>
      </c>
      <c r="H153" s="37" t="n">
        <v>43.3</v>
      </c>
    </row>
    <row r="154">
      <c r="A154" s="37" t="inlineStr">
        <is>
          <t>LP-0709</t>
        </is>
      </c>
      <c r="B154" s="37" t="inlineStr">
        <is>
          <t>Ledgport</t>
        </is>
      </c>
      <c r="C154" s="37" t="inlineStr">
        <is>
          <t>COVERED</t>
        </is>
      </c>
      <c r="D154" s="37" t="n">
        <v>28</v>
      </c>
      <c r="E154" s="37" t="inlineStr">
        <is>
          <t>OCCUPIED</t>
        </is>
      </c>
      <c r="F154" s="37" t="inlineStr">
        <is>
          <t>WL-02693</t>
        </is>
      </c>
      <c r="G154" s="37" t="inlineStr">
        <is>
          <t>Patrick Allen</t>
        </is>
      </c>
      <c r="H154" s="37" t="n">
        <v>45.7</v>
      </c>
    </row>
    <row r="155">
      <c r="A155" s="37" t="inlineStr">
        <is>
          <t>LP-0710</t>
        </is>
      </c>
      <c r="B155" s="37" t="inlineStr">
        <is>
          <t>Ledgport</t>
        </is>
      </c>
      <c r="C155" s="37" t="inlineStr">
        <is>
          <t>COVERED</t>
        </is>
      </c>
      <c r="D155" s="37" t="n">
        <v>28</v>
      </c>
      <c r="E155" s="37" t="inlineStr">
        <is>
          <t>OCCUPIED</t>
        </is>
      </c>
      <c r="F155" s="37" t="inlineStr">
        <is>
          <t>WL-03904</t>
        </is>
      </c>
      <c r="G155" s="37" t="inlineStr">
        <is>
          <t>Peggy Trevino</t>
        </is>
      </c>
      <c r="H155" s="37" t="n">
        <v>33.7</v>
      </c>
    </row>
    <row r="156">
      <c r="A156" s="37" t="inlineStr">
        <is>
          <t>LP-0711</t>
        </is>
      </c>
      <c r="B156" s="37" t="inlineStr">
        <is>
          <t>Ledgport</t>
        </is>
      </c>
      <c r="C156" s="37" t="inlineStr">
        <is>
          <t>COVERED</t>
        </is>
      </c>
      <c r="D156" s="37" t="n">
        <v>36</v>
      </c>
      <c r="E156" s="37" t="inlineStr">
        <is>
          <t>OCCUPIED</t>
        </is>
      </c>
      <c r="F156" s="37" t="inlineStr">
        <is>
          <t>WL-01740</t>
        </is>
      </c>
      <c r="G156" s="37" t="inlineStr">
        <is>
          <t>Lisa Wyatt</t>
        </is>
      </c>
      <c r="H156" s="37" t="n">
        <v>43.4</v>
      </c>
    </row>
    <row r="157">
      <c r="A157" s="37" t="inlineStr">
        <is>
          <t>LP-0712</t>
        </is>
      </c>
      <c r="B157" s="37" t="inlineStr">
        <is>
          <t>Ledgport</t>
        </is>
      </c>
      <c r="C157" s="37" t="inlineStr">
        <is>
          <t>COVERED</t>
        </is>
      </c>
      <c r="D157" s="37" t="n">
        <v>36</v>
      </c>
      <c r="E157" s="37" t="inlineStr">
        <is>
          <t>OCCUPIED</t>
        </is>
      </c>
      <c r="F157" s="37" t="inlineStr">
        <is>
          <t>WL-02936</t>
        </is>
      </c>
      <c r="G157" s="37" t="inlineStr">
        <is>
          <t>Matthew Spencer</t>
        </is>
      </c>
      <c r="H157" s="37" t="n">
        <v>36.1</v>
      </c>
    </row>
    <row r="158">
      <c r="A158" s="37" t="inlineStr">
        <is>
          <t>LP-0713</t>
        </is>
      </c>
      <c r="B158" s="37" t="inlineStr">
        <is>
          <t>Ledgport</t>
        </is>
      </c>
      <c r="C158" s="37" t="inlineStr">
        <is>
          <t>COVERED</t>
        </is>
      </c>
      <c r="D158" s="37" t="n">
        <v>40</v>
      </c>
      <c r="E158" s="37" t="inlineStr">
        <is>
          <t>OCCUPIED</t>
        </is>
      </c>
      <c r="F158" s="37" t="inlineStr">
        <is>
          <t>WL-03438</t>
        </is>
      </c>
      <c r="G158" s="37" t="inlineStr">
        <is>
          <t>Stacey Mitchell</t>
        </is>
      </c>
      <c r="H158" s="37" t="n">
        <v>39.1</v>
      </c>
    </row>
    <row r="159">
      <c r="A159" s="37" t="inlineStr">
        <is>
          <t>LP-0714</t>
        </is>
      </c>
      <c r="B159" s="37" t="inlineStr">
        <is>
          <t>Ledgport</t>
        </is>
      </c>
      <c r="C159" s="37" t="inlineStr">
        <is>
          <t>COVERED</t>
        </is>
      </c>
      <c r="D159" s="37" t="n">
        <v>24</v>
      </c>
      <c r="E159" s="37" t="inlineStr">
        <is>
          <t>OCCUPIED</t>
        </is>
      </c>
      <c r="F159" s="37" t="inlineStr">
        <is>
          <t>WL-01437</t>
        </is>
      </c>
      <c r="G159" s="37" t="inlineStr">
        <is>
          <t>Nicholas Woodward</t>
        </is>
      </c>
      <c r="H159" s="37" t="n">
        <v>31.9</v>
      </c>
    </row>
    <row r="160">
      <c r="A160" s="37" t="inlineStr">
        <is>
          <t>LP-0715</t>
        </is>
      </c>
      <c r="B160" s="37" t="inlineStr">
        <is>
          <t>Ledgport</t>
        </is>
      </c>
      <c r="C160" s="37" t="inlineStr">
        <is>
          <t>COVERED</t>
        </is>
      </c>
      <c r="D160" s="37" t="n">
        <v>32</v>
      </c>
      <c r="E160" s="37" t="inlineStr">
        <is>
          <t>OCCUPIED</t>
        </is>
      </c>
      <c r="F160" s="37" t="inlineStr">
        <is>
          <t>WL-03454</t>
        </is>
      </c>
      <c r="G160" s="37" t="inlineStr">
        <is>
          <t>Jason Ramirez</t>
        </is>
      </c>
      <c r="H160" s="37" t="n">
        <v>55.9</v>
      </c>
    </row>
    <row r="161">
      <c r="A161" s="37" t="inlineStr">
        <is>
          <t>LP-0716</t>
        </is>
      </c>
      <c r="B161" s="37" t="inlineStr">
        <is>
          <t>Ledgport</t>
        </is>
      </c>
      <c r="C161" s="37" t="inlineStr">
        <is>
          <t>COVERED</t>
        </is>
      </c>
      <c r="D161" s="37" t="n">
        <v>24</v>
      </c>
      <c r="E161" s="37" t="inlineStr">
        <is>
          <t>OCCUPIED</t>
        </is>
      </c>
      <c r="F161" s="37" t="inlineStr">
        <is>
          <t>WL-03594</t>
        </is>
      </c>
      <c r="G161" s="37" t="inlineStr">
        <is>
          <t>Teresa Smith</t>
        </is>
      </c>
      <c r="H161" s="37" t="n">
        <v>40.5</v>
      </c>
    </row>
    <row r="162">
      <c r="A162" s="37" t="inlineStr">
        <is>
          <t>LP-0717</t>
        </is>
      </c>
      <c r="B162" s="37" t="inlineStr">
        <is>
          <t>Ledgport</t>
        </is>
      </c>
      <c r="C162" s="37" t="inlineStr">
        <is>
          <t>COVERED</t>
        </is>
      </c>
      <c r="D162" s="37" t="n">
        <v>24</v>
      </c>
      <c r="E162" s="37" t="inlineStr">
        <is>
          <t>OCCUPIED</t>
        </is>
      </c>
      <c r="F162" s="37" t="inlineStr">
        <is>
          <t>WL-01315</t>
        </is>
      </c>
      <c r="G162" s="37" t="inlineStr">
        <is>
          <t>Justin Richardson</t>
        </is>
      </c>
      <c r="H162" s="37" t="n">
        <v>55.2</v>
      </c>
    </row>
    <row r="163">
      <c r="A163" s="37" t="inlineStr">
        <is>
          <t>LP-0718</t>
        </is>
      </c>
      <c r="B163" s="37" t="inlineStr">
        <is>
          <t>Ledgport</t>
        </is>
      </c>
      <c r="C163" s="37" t="inlineStr">
        <is>
          <t>COVERED</t>
        </is>
      </c>
      <c r="D163" s="37" t="n">
        <v>32</v>
      </c>
      <c r="E163" s="37" t="inlineStr">
        <is>
          <t>OCCUPIED</t>
        </is>
      </c>
      <c r="F163" s="37" t="inlineStr">
        <is>
          <t>WL-03399</t>
        </is>
      </c>
      <c r="G163" s="37" t="inlineStr">
        <is>
          <t>Charles Case</t>
        </is>
      </c>
      <c r="H163" s="37" t="n">
        <v>25.4</v>
      </c>
    </row>
    <row r="164">
      <c r="A164" s="37" t="inlineStr">
        <is>
          <t>LP-0719</t>
        </is>
      </c>
      <c r="B164" s="37" t="inlineStr">
        <is>
          <t>Ledgport</t>
        </is>
      </c>
      <c r="C164" s="37" t="inlineStr">
        <is>
          <t>COVERED</t>
        </is>
      </c>
      <c r="D164" s="37" t="n">
        <v>32</v>
      </c>
      <c r="E164" s="37" t="inlineStr">
        <is>
          <t>OCCUPIED</t>
        </is>
      </c>
      <c r="F164" s="37" t="inlineStr">
        <is>
          <t>WL-02512</t>
        </is>
      </c>
      <c r="G164" s="37" t="inlineStr">
        <is>
          <t>Natalie Olsen</t>
        </is>
      </c>
      <c r="H164" s="37" t="n">
        <v>32.7</v>
      </c>
    </row>
    <row r="165">
      <c r="A165" s="37" t="inlineStr">
        <is>
          <t>LP-0720</t>
        </is>
      </c>
      <c r="B165" s="37" t="inlineStr">
        <is>
          <t>Ledgport</t>
        </is>
      </c>
      <c r="C165" s="37" t="inlineStr">
        <is>
          <t>COVERED</t>
        </is>
      </c>
      <c r="D165" s="37" t="n">
        <v>32</v>
      </c>
      <c r="E165" s="37" t="inlineStr">
        <is>
          <t>OCCUPIED</t>
        </is>
      </c>
      <c r="F165" s="37" t="inlineStr">
        <is>
          <t>WL-01709</t>
        </is>
      </c>
      <c r="G165" s="37" t="inlineStr">
        <is>
          <t>Alexander Stephens</t>
        </is>
      </c>
      <c r="H165" s="37" t="n">
        <v>53.5</v>
      </c>
    </row>
    <row r="166">
      <c r="A166" s="37" t="inlineStr">
        <is>
          <t>LP-0721</t>
        </is>
      </c>
      <c r="B166" s="37" t="inlineStr">
        <is>
          <t>Ledgport</t>
        </is>
      </c>
      <c r="C166" s="37" t="inlineStr">
        <is>
          <t>COVERED</t>
        </is>
      </c>
      <c r="D166" s="37" t="n">
        <v>36</v>
      </c>
      <c r="E166" s="37" t="inlineStr">
        <is>
          <t>GUEST</t>
        </is>
      </c>
    </row>
    <row r="167">
      <c r="A167" s="37" t="inlineStr">
        <is>
          <t>LP-0722</t>
        </is>
      </c>
      <c r="B167" s="37" t="inlineStr">
        <is>
          <t>Ledgport</t>
        </is>
      </c>
      <c r="C167" s="37" t="inlineStr">
        <is>
          <t>COVERED</t>
        </is>
      </c>
      <c r="D167" s="37" t="n">
        <v>24</v>
      </c>
      <c r="E167" s="37" t="inlineStr">
        <is>
          <t>OCCUPIED</t>
        </is>
      </c>
      <c r="F167" s="37" t="inlineStr">
        <is>
          <t>WL-02525</t>
        </is>
      </c>
      <c r="G167" s="37" t="inlineStr">
        <is>
          <t>Matthew Wright</t>
        </is>
      </c>
      <c r="H167" s="37" t="n">
        <v>59.7</v>
      </c>
    </row>
    <row r="168">
      <c r="A168" s="37" t="inlineStr">
        <is>
          <t>LP-0723</t>
        </is>
      </c>
      <c r="B168" s="37" t="inlineStr">
        <is>
          <t>Ledgport</t>
        </is>
      </c>
      <c r="C168" s="37" t="inlineStr">
        <is>
          <t>COVERED</t>
        </is>
      </c>
      <c r="D168" s="37" t="n">
        <v>28</v>
      </c>
      <c r="E168" s="37" t="inlineStr">
        <is>
          <t>OCCUPIED</t>
        </is>
      </c>
      <c r="F168" s="37" t="inlineStr">
        <is>
          <t>WL-01106</t>
        </is>
      </c>
      <c r="G168" s="37" t="inlineStr">
        <is>
          <t>Michael Perez</t>
        </is>
      </c>
      <c r="H168" s="37" t="n">
        <v>37.7</v>
      </c>
    </row>
    <row r="169">
      <c r="A169" s="37" t="inlineStr">
        <is>
          <t>LP-0724</t>
        </is>
      </c>
      <c r="B169" s="37" t="inlineStr">
        <is>
          <t>Ledgport</t>
        </is>
      </c>
      <c r="C169" s="37" t="inlineStr">
        <is>
          <t>COVERED</t>
        </is>
      </c>
      <c r="D169" s="37" t="n">
        <v>28</v>
      </c>
      <c r="E169" s="37" t="inlineStr">
        <is>
          <t>OCCUPIED</t>
        </is>
      </c>
      <c r="F169" s="37" t="inlineStr">
        <is>
          <t>WL-01738</t>
        </is>
      </c>
      <c r="G169" s="37" t="inlineStr">
        <is>
          <t>Zachary Kramer</t>
        </is>
      </c>
      <c r="H169" s="37" t="n">
        <v>56.3</v>
      </c>
    </row>
    <row r="170">
      <c r="A170" s="37" t="inlineStr">
        <is>
          <t>LP-0801</t>
        </is>
      </c>
      <c r="B170" s="37" t="inlineStr">
        <is>
          <t>Ledgport</t>
        </is>
      </c>
      <c r="C170" s="37" t="inlineStr">
        <is>
          <t>COVERED</t>
        </is>
      </c>
      <c r="D170" s="37" t="n">
        <v>36</v>
      </c>
      <c r="E170" s="37" t="inlineStr">
        <is>
          <t>OCCUPIED</t>
        </is>
      </c>
      <c r="F170" s="37" t="inlineStr">
        <is>
          <t>WL-02322</t>
        </is>
      </c>
      <c r="G170" s="37" t="inlineStr">
        <is>
          <t>Allison Nguyen</t>
        </is>
      </c>
      <c r="H170" s="37" t="n">
        <v>46.1</v>
      </c>
    </row>
    <row r="171">
      <c r="A171" s="37" t="inlineStr">
        <is>
          <t>LP-0802</t>
        </is>
      </c>
      <c r="B171" s="37" t="inlineStr">
        <is>
          <t>Ledgport</t>
        </is>
      </c>
      <c r="C171" s="37" t="inlineStr">
        <is>
          <t>COVERED</t>
        </is>
      </c>
      <c r="D171" s="37" t="n">
        <v>40</v>
      </c>
      <c r="E171" s="37" t="inlineStr">
        <is>
          <t>OCCUPIED</t>
        </is>
      </c>
      <c r="F171" s="37" t="inlineStr">
        <is>
          <t>WL-03526</t>
        </is>
      </c>
      <c r="G171" s="37" t="inlineStr">
        <is>
          <t>Michael West</t>
        </is>
      </c>
      <c r="H171" s="37" t="n">
        <v>35.1</v>
      </c>
    </row>
    <row r="172">
      <c r="A172" s="37" t="inlineStr">
        <is>
          <t>LP-0803</t>
        </is>
      </c>
      <c r="B172" s="37" t="inlineStr">
        <is>
          <t>Ledgport</t>
        </is>
      </c>
      <c r="C172" s="37" t="inlineStr">
        <is>
          <t>COVERED</t>
        </is>
      </c>
      <c r="D172" s="37" t="n">
        <v>28</v>
      </c>
      <c r="E172" s="37" t="inlineStr">
        <is>
          <t>OCCUPIED</t>
        </is>
      </c>
      <c r="F172" s="37" t="inlineStr">
        <is>
          <t>WL-03367</t>
        </is>
      </c>
      <c r="G172" s="37" t="inlineStr">
        <is>
          <t>Jill Stevenson</t>
        </is>
      </c>
      <c r="H172" s="37" t="n">
        <v>47.8</v>
      </c>
    </row>
    <row r="173">
      <c r="A173" s="37" t="inlineStr">
        <is>
          <t>LP-0804</t>
        </is>
      </c>
      <c r="B173" s="37" t="inlineStr">
        <is>
          <t>Ledgport</t>
        </is>
      </c>
      <c r="C173" s="37" t="inlineStr">
        <is>
          <t>COVERED</t>
        </is>
      </c>
      <c r="D173" s="37" t="n">
        <v>32</v>
      </c>
      <c r="E173" s="37" t="inlineStr">
        <is>
          <t>VACANT</t>
        </is>
      </c>
    </row>
    <row r="174">
      <c r="A174" s="37" t="inlineStr">
        <is>
          <t>LP-0805</t>
        </is>
      </c>
      <c r="B174" s="37" t="inlineStr">
        <is>
          <t>Ledgport</t>
        </is>
      </c>
      <c r="C174" s="37" t="inlineStr">
        <is>
          <t>COVERED</t>
        </is>
      </c>
      <c r="D174" s="37" t="n">
        <v>36</v>
      </c>
      <c r="E174" s="37" t="inlineStr">
        <is>
          <t>OCCUPIED</t>
        </is>
      </c>
      <c r="F174" s="37" t="inlineStr">
        <is>
          <t>WL-02244</t>
        </is>
      </c>
      <c r="G174" s="37" t="inlineStr">
        <is>
          <t>Victoria Nash</t>
        </is>
      </c>
      <c r="H174" s="37" t="n">
        <v>39.6</v>
      </c>
    </row>
    <row r="175">
      <c r="A175" s="37" t="inlineStr">
        <is>
          <t>LP-0806</t>
        </is>
      </c>
      <c r="B175" s="37" t="inlineStr">
        <is>
          <t>Ledgport</t>
        </is>
      </c>
      <c r="C175" s="37" t="inlineStr">
        <is>
          <t>COVERED</t>
        </is>
      </c>
      <c r="D175" s="37" t="n">
        <v>36</v>
      </c>
      <c r="E175" s="37" t="inlineStr">
        <is>
          <t>OCCUPIED</t>
        </is>
      </c>
      <c r="F175" s="37" t="inlineStr">
        <is>
          <t>WL-02771</t>
        </is>
      </c>
      <c r="G175" s="37" t="inlineStr">
        <is>
          <t>Lisa Garcia</t>
        </is>
      </c>
      <c r="H175" s="37" t="n">
        <v>55.1</v>
      </c>
    </row>
    <row r="176">
      <c r="A176" s="37" t="inlineStr">
        <is>
          <t>LP-0807</t>
        </is>
      </c>
      <c r="B176" s="37" t="inlineStr">
        <is>
          <t>Ledgport</t>
        </is>
      </c>
      <c r="C176" s="37" t="inlineStr">
        <is>
          <t>COVERED</t>
        </is>
      </c>
      <c r="D176" s="37" t="n">
        <v>24</v>
      </c>
      <c r="E176" s="37" t="inlineStr">
        <is>
          <t>OCCUPIED</t>
        </is>
      </c>
      <c r="F176" s="37" t="inlineStr">
        <is>
          <t>WL-02647</t>
        </is>
      </c>
      <c r="G176" s="37" t="inlineStr">
        <is>
          <t>Seth Perez</t>
        </is>
      </c>
      <c r="H176" s="37" t="n">
        <v>40.6</v>
      </c>
    </row>
    <row r="177">
      <c r="A177" s="37" t="inlineStr">
        <is>
          <t>LP-0808</t>
        </is>
      </c>
      <c r="B177" s="37" t="inlineStr">
        <is>
          <t>Ledgport</t>
        </is>
      </c>
      <c r="C177" s="37" t="inlineStr">
        <is>
          <t>COVERED</t>
        </is>
      </c>
      <c r="D177" s="37" t="n">
        <v>40</v>
      </c>
      <c r="E177" s="37" t="inlineStr">
        <is>
          <t>OCCUPIED</t>
        </is>
      </c>
      <c r="F177" s="37" t="inlineStr">
        <is>
          <t>WL-03318</t>
        </is>
      </c>
      <c r="G177" s="37" t="inlineStr">
        <is>
          <t>Denise Jordan</t>
        </is>
      </c>
      <c r="H177" s="37" t="n">
        <v>42.3</v>
      </c>
    </row>
    <row r="178">
      <c r="A178" s="37" t="inlineStr">
        <is>
          <t>LP-0809</t>
        </is>
      </c>
      <c r="B178" s="37" t="inlineStr">
        <is>
          <t>Ledgport</t>
        </is>
      </c>
      <c r="C178" s="37" t="inlineStr">
        <is>
          <t>COVERED</t>
        </is>
      </c>
      <c r="D178" s="37" t="n">
        <v>28</v>
      </c>
      <c r="E178" s="37" t="inlineStr">
        <is>
          <t>OCCUPIED</t>
        </is>
      </c>
      <c r="F178" s="37" t="inlineStr">
        <is>
          <t>WL-02205</t>
        </is>
      </c>
      <c r="G178" s="37" t="inlineStr">
        <is>
          <t>Robert Rivas</t>
        </is>
      </c>
      <c r="H178" s="37" t="n">
        <v>34.3</v>
      </c>
    </row>
    <row r="179">
      <c r="A179" s="37" t="inlineStr">
        <is>
          <t>LP-0810</t>
        </is>
      </c>
      <c r="B179" s="37" t="inlineStr">
        <is>
          <t>Ledgport</t>
        </is>
      </c>
      <c r="C179" s="37" t="inlineStr">
        <is>
          <t>COVERED</t>
        </is>
      </c>
      <c r="D179" s="37" t="n">
        <v>36</v>
      </c>
      <c r="E179" s="37" t="inlineStr">
        <is>
          <t>MAINTENANCE</t>
        </is>
      </c>
    </row>
    <row r="180">
      <c r="A180" s="37" t="inlineStr">
        <is>
          <t>LP-0811</t>
        </is>
      </c>
      <c r="B180" s="37" t="inlineStr">
        <is>
          <t>Ledgport</t>
        </is>
      </c>
      <c r="C180" s="37" t="inlineStr">
        <is>
          <t>COVERED</t>
        </is>
      </c>
      <c r="D180" s="37" t="n">
        <v>36</v>
      </c>
      <c r="E180" s="37" t="inlineStr">
        <is>
          <t>OCCUPIED</t>
        </is>
      </c>
      <c r="F180" s="37" t="inlineStr">
        <is>
          <t>WL-02097</t>
        </is>
      </c>
      <c r="G180" s="37" t="inlineStr">
        <is>
          <t>Scott Brooks</t>
        </is>
      </c>
      <c r="H180" s="37" t="n">
        <v>51.3</v>
      </c>
    </row>
    <row r="181">
      <c r="A181" s="37" t="inlineStr">
        <is>
          <t>LP-0812</t>
        </is>
      </c>
      <c r="B181" s="37" t="inlineStr">
        <is>
          <t>Ledgport</t>
        </is>
      </c>
      <c r="C181" s="37" t="inlineStr">
        <is>
          <t>COVERED</t>
        </is>
      </c>
      <c r="D181" s="37" t="n">
        <v>28</v>
      </c>
      <c r="E181" s="37" t="inlineStr">
        <is>
          <t>OCCUPIED</t>
        </is>
      </c>
      <c r="F181" s="37" t="inlineStr">
        <is>
          <t>WL-02511</t>
        </is>
      </c>
      <c r="G181" s="37" t="inlineStr">
        <is>
          <t>Brett Lee</t>
        </is>
      </c>
      <c r="H181" s="37" t="n">
        <v>25.6</v>
      </c>
    </row>
    <row r="182">
      <c r="A182" s="37" t="inlineStr">
        <is>
          <t>LP-0813</t>
        </is>
      </c>
      <c r="B182" s="37" t="inlineStr">
        <is>
          <t>Ledgport</t>
        </is>
      </c>
      <c r="C182" s="37" t="inlineStr">
        <is>
          <t>COVERED</t>
        </is>
      </c>
      <c r="D182" s="37" t="n">
        <v>32</v>
      </c>
      <c r="E182" s="37" t="inlineStr">
        <is>
          <t>OCCUPIED</t>
        </is>
      </c>
      <c r="F182" s="37" t="inlineStr">
        <is>
          <t>WL-02446</t>
        </is>
      </c>
      <c r="G182" s="37" t="inlineStr">
        <is>
          <t>Emily Parker</t>
        </is>
      </c>
      <c r="H182" s="37" t="n">
        <v>37.5</v>
      </c>
    </row>
    <row r="183">
      <c r="A183" s="37" t="inlineStr">
        <is>
          <t>LP-0814</t>
        </is>
      </c>
      <c r="B183" s="37" t="inlineStr">
        <is>
          <t>Ledgport</t>
        </is>
      </c>
      <c r="C183" s="37" t="inlineStr">
        <is>
          <t>COVERED</t>
        </is>
      </c>
      <c r="D183" s="37" t="n">
        <v>32</v>
      </c>
      <c r="E183" s="37" t="inlineStr">
        <is>
          <t>OCCUPIED</t>
        </is>
      </c>
      <c r="F183" s="37" t="inlineStr">
        <is>
          <t>WL-02409</t>
        </is>
      </c>
      <c r="G183" s="37" t="inlineStr">
        <is>
          <t>Danny Sexton</t>
        </is>
      </c>
      <c r="H183" s="37" t="n">
        <v>34.5</v>
      </c>
    </row>
    <row r="184">
      <c r="A184" s="37" t="inlineStr">
        <is>
          <t>LP-0815</t>
        </is>
      </c>
      <c r="B184" s="37" t="inlineStr">
        <is>
          <t>Ledgport</t>
        </is>
      </c>
      <c r="C184" s="37" t="inlineStr">
        <is>
          <t>COVERED</t>
        </is>
      </c>
      <c r="D184" s="37" t="n">
        <v>24</v>
      </c>
      <c r="E184" s="37" t="inlineStr">
        <is>
          <t>OCCUPIED</t>
        </is>
      </c>
      <c r="F184" s="37" t="inlineStr">
        <is>
          <t>WL-01947</t>
        </is>
      </c>
      <c r="G184" s="37" t="inlineStr">
        <is>
          <t>Teresa Mcdowell</t>
        </is>
      </c>
      <c r="H184" s="37" t="n">
        <v>49.8</v>
      </c>
    </row>
    <row r="185">
      <c r="A185" s="37" t="inlineStr">
        <is>
          <t>LP-0816</t>
        </is>
      </c>
      <c r="B185" s="37" t="inlineStr">
        <is>
          <t>Ledgport</t>
        </is>
      </c>
      <c r="C185" s="37" t="inlineStr">
        <is>
          <t>COVERED</t>
        </is>
      </c>
      <c r="D185" s="37" t="n">
        <v>28</v>
      </c>
      <c r="E185" s="37" t="inlineStr">
        <is>
          <t>OCCUPIED</t>
        </is>
      </c>
      <c r="F185" s="37" t="inlineStr">
        <is>
          <t>WL-03243</t>
        </is>
      </c>
      <c r="G185" s="37" t="inlineStr">
        <is>
          <t>Jessica Long</t>
        </is>
      </c>
      <c r="H185" s="37" t="n">
        <v>47.4</v>
      </c>
    </row>
    <row r="186">
      <c r="A186" s="37" t="inlineStr">
        <is>
          <t>LP-0817</t>
        </is>
      </c>
      <c r="B186" s="37" t="inlineStr">
        <is>
          <t>Ledgport</t>
        </is>
      </c>
      <c r="C186" s="37" t="inlineStr">
        <is>
          <t>COVERED</t>
        </is>
      </c>
      <c r="D186" s="37" t="n">
        <v>32</v>
      </c>
      <c r="E186" s="37" t="inlineStr">
        <is>
          <t>OCCUPIED</t>
        </is>
      </c>
      <c r="F186" s="37" t="inlineStr">
        <is>
          <t>WL-03630</t>
        </is>
      </c>
      <c r="G186" s="37" t="inlineStr">
        <is>
          <t>Tiffany Torres</t>
        </is>
      </c>
      <c r="H186" s="37" t="n">
        <v>22.2</v>
      </c>
    </row>
    <row r="187">
      <c r="A187" s="37" t="inlineStr">
        <is>
          <t>LP-0818</t>
        </is>
      </c>
      <c r="B187" s="37" t="inlineStr">
        <is>
          <t>Ledgport</t>
        </is>
      </c>
      <c r="C187" s="37" t="inlineStr">
        <is>
          <t>COVERED</t>
        </is>
      </c>
      <c r="D187" s="37" t="n">
        <v>28</v>
      </c>
      <c r="E187" s="37" t="inlineStr">
        <is>
          <t>OCCUPIED</t>
        </is>
      </c>
      <c r="F187" s="37" t="inlineStr">
        <is>
          <t>WL-02906</t>
        </is>
      </c>
      <c r="G187" s="37" t="inlineStr">
        <is>
          <t>Victor Turner</t>
        </is>
      </c>
      <c r="H187" s="37" t="n">
        <v>60.9</v>
      </c>
    </row>
    <row r="188">
      <c r="A188" s="37" t="inlineStr">
        <is>
          <t>LP-0819</t>
        </is>
      </c>
      <c r="B188" s="37" t="inlineStr">
        <is>
          <t>Ledgport</t>
        </is>
      </c>
      <c r="C188" s="37" t="inlineStr">
        <is>
          <t>COVERED</t>
        </is>
      </c>
      <c r="D188" s="37" t="n">
        <v>32</v>
      </c>
      <c r="E188" s="37" t="inlineStr">
        <is>
          <t>OCCUPIED</t>
        </is>
      </c>
      <c r="F188" s="37" t="inlineStr">
        <is>
          <t>WL-02164</t>
        </is>
      </c>
      <c r="G188" s="37" t="inlineStr">
        <is>
          <t>Adrienne Thompson</t>
        </is>
      </c>
      <c r="H188" s="37" t="n">
        <v>19.1</v>
      </c>
    </row>
    <row r="189">
      <c r="A189" s="37" t="inlineStr">
        <is>
          <t>LP-0820</t>
        </is>
      </c>
      <c r="B189" s="37" t="inlineStr">
        <is>
          <t>Ledgport</t>
        </is>
      </c>
      <c r="C189" s="37" t="inlineStr">
        <is>
          <t>COVERED</t>
        </is>
      </c>
      <c r="D189" s="37" t="n">
        <v>32</v>
      </c>
      <c r="E189" s="37" t="inlineStr">
        <is>
          <t>OCCUPIED</t>
        </is>
      </c>
      <c r="F189" s="37" t="inlineStr">
        <is>
          <t>WL-01109</t>
        </is>
      </c>
      <c r="G189" s="37" t="inlineStr">
        <is>
          <t>Patrick Sanchez</t>
        </is>
      </c>
      <c r="H189" s="37" t="n">
        <v>43.9</v>
      </c>
    </row>
    <row r="190">
      <c r="A190" s="37" t="inlineStr">
        <is>
          <t>LP-0821</t>
        </is>
      </c>
      <c r="B190" s="37" t="inlineStr">
        <is>
          <t>Ledgport</t>
        </is>
      </c>
      <c r="C190" s="37" t="inlineStr">
        <is>
          <t>COVERED</t>
        </is>
      </c>
      <c r="D190" s="37" t="n">
        <v>28</v>
      </c>
      <c r="E190" s="37" t="inlineStr">
        <is>
          <t>OCCUPIED</t>
        </is>
      </c>
      <c r="F190" s="37" t="inlineStr">
        <is>
          <t>WL-03375</t>
        </is>
      </c>
      <c r="G190" s="37" t="inlineStr">
        <is>
          <t>Debra Rogers</t>
        </is>
      </c>
      <c r="H190" s="37" t="n">
        <v>53.2</v>
      </c>
    </row>
    <row r="191">
      <c r="A191" s="37" t="inlineStr">
        <is>
          <t>LP-0822</t>
        </is>
      </c>
      <c r="B191" s="37" t="inlineStr">
        <is>
          <t>Ledgport</t>
        </is>
      </c>
      <c r="C191" s="37" t="inlineStr">
        <is>
          <t>COVERED</t>
        </is>
      </c>
      <c r="D191" s="37" t="n">
        <v>36</v>
      </c>
      <c r="E191" s="37" t="inlineStr">
        <is>
          <t>OCCUPIED</t>
        </is>
      </c>
      <c r="F191" s="37" t="inlineStr">
        <is>
          <t>WL-02728</t>
        </is>
      </c>
      <c r="G191" s="37" t="inlineStr">
        <is>
          <t>Ralph Archer</t>
        </is>
      </c>
      <c r="H191" s="37" t="n">
        <v>60.7</v>
      </c>
    </row>
    <row r="192">
      <c r="A192" s="37" t="inlineStr">
        <is>
          <t>LP-0823</t>
        </is>
      </c>
      <c r="B192" s="37" t="inlineStr">
        <is>
          <t>Ledgport</t>
        </is>
      </c>
      <c r="C192" s="37" t="inlineStr">
        <is>
          <t>COVERED</t>
        </is>
      </c>
      <c r="D192" s="37" t="n">
        <v>24</v>
      </c>
      <c r="E192" s="37" t="inlineStr">
        <is>
          <t>OCCUPIED</t>
        </is>
      </c>
      <c r="F192" s="37" t="inlineStr">
        <is>
          <t>WL-03320</t>
        </is>
      </c>
      <c r="G192" s="37" t="inlineStr">
        <is>
          <t>Maria Robinson</t>
        </is>
      </c>
      <c r="H192" s="37" t="n">
        <v>42.5</v>
      </c>
    </row>
    <row r="193">
      <c r="A193" s="37" t="inlineStr">
        <is>
          <t>LP-0824</t>
        </is>
      </c>
      <c r="B193" s="37" t="inlineStr">
        <is>
          <t>Ledgport</t>
        </is>
      </c>
      <c r="C193" s="37" t="inlineStr">
        <is>
          <t>COVERED</t>
        </is>
      </c>
      <c r="D193" s="37" t="n">
        <v>40</v>
      </c>
      <c r="E193" s="37" t="inlineStr">
        <is>
          <t>OCCUPIED</t>
        </is>
      </c>
      <c r="F193" s="37" t="inlineStr">
        <is>
          <t>WL-01024</t>
        </is>
      </c>
      <c r="G193" s="37" t="inlineStr">
        <is>
          <t>Jennifer Henson</t>
        </is>
      </c>
      <c r="H193" s="37" t="n">
        <v>48.1</v>
      </c>
    </row>
    <row r="194">
      <c r="A194" s="37" t="inlineStr">
        <is>
          <t>LP-0901</t>
        </is>
      </c>
      <c r="B194" s="37" t="inlineStr">
        <is>
          <t>Ledgport</t>
        </is>
      </c>
      <c r="C194" s="37" t="inlineStr">
        <is>
          <t>COVERED</t>
        </is>
      </c>
      <c r="D194" s="37" t="n">
        <v>40</v>
      </c>
      <c r="E194" s="37" t="inlineStr">
        <is>
          <t>OCCUPIED</t>
        </is>
      </c>
      <c r="F194" s="37" t="inlineStr">
        <is>
          <t>WL-02661</t>
        </is>
      </c>
      <c r="G194" s="37" t="inlineStr">
        <is>
          <t>Angela Poole</t>
        </is>
      </c>
      <c r="H194" s="37" t="n">
        <v>24.3</v>
      </c>
    </row>
    <row r="195">
      <c r="A195" s="37" t="inlineStr">
        <is>
          <t>LP-0902</t>
        </is>
      </c>
      <c r="B195" s="37" t="inlineStr">
        <is>
          <t>Ledgport</t>
        </is>
      </c>
      <c r="C195" s="37" t="inlineStr">
        <is>
          <t>COVERED</t>
        </is>
      </c>
      <c r="D195" s="37" t="n">
        <v>32</v>
      </c>
      <c r="E195" s="37" t="inlineStr">
        <is>
          <t>OCCUPIED</t>
        </is>
      </c>
      <c r="F195" s="37" t="inlineStr">
        <is>
          <t>WL-01872</t>
        </is>
      </c>
      <c r="G195" s="37" t="inlineStr">
        <is>
          <t>Neil Adkins</t>
        </is>
      </c>
      <c r="H195" s="37" t="n">
        <v>57.6</v>
      </c>
    </row>
    <row r="196">
      <c r="A196" s="37" t="inlineStr">
        <is>
          <t>LP-0903</t>
        </is>
      </c>
      <c r="B196" s="37" t="inlineStr">
        <is>
          <t>Ledgport</t>
        </is>
      </c>
      <c r="C196" s="37" t="inlineStr">
        <is>
          <t>COVERED</t>
        </is>
      </c>
      <c r="D196" s="37" t="n">
        <v>36</v>
      </c>
      <c r="E196" s="37" t="inlineStr">
        <is>
          <t>OCCUPIED</t>
        </is>
      </c>
      <c r="F196" s="37" t="inlineStr">
        <is>
          <t>WL-01193</t>
        </is>
      </c>
      <c r="G196" s="37" t="inlineStr">
        <is>
          <t>Mindy Medina</t>
        </is>
      </c>
      <c r="H196" s="37" t="n">
        <v>20.2</v>
      </c>
    </row>
    <row r="197">
      <c r="A197" s="37" t="inlineStr">
        <is>
          <t>LP-0904</t>
        </is>
      </c>
      <c r="B197" s="37" t="inlineStr">
        <is>
          <t>Ledgport</t>
        </is>
      </c>
      <c r="C197" s="37" t="inlineStr">
        <is>
          <t>COVERED</t>
        </is>
      </c>
      <c r="D197" s="37" t="n">
        <v>32</v>
      </c>
      <c r="E197" s="37" t="inlineStr">
        <is>
          <t>OCCUPIED</t>
        </is>
      </c>
      <c r="F197" s="37" t="inlineStr">
        <is>
          <t>WL-03771</t>
        </is>
      </c>
      <c r="G197" s="37" t="inlineStr">
        <is>
          <t>Alexander Cross</t>
        </is>
      </c>
      <c r="H197" s="37" t="n">
        <v>61.6</v>
      </c>
    </row>
    <row r="198">
      <c r="A198" s="37" t="inlineStr">
        <is>
          <t>LP-0905</t>
        </is>
      </c>
      <c r="B198" s="37" t="inlineStr">
        <is>
          <t>Ledgport</t>
        </is>
      </c>
      <c r="C198" s="37" t="inlineStr">
        <is>
          <t>COVERED</t>
        </is>
      </c>
      <c r="D198" s="37" t="n">
        <v>36</v>
      </c>
      <c r="E198" s="37" t="inlineStr">
        <is>
          <t>OCCUPIED</t>
        </is>
      </c>
      <c r="F198" s="37" t="inlineStr">
        <is>
          <t>WL-01795</t>
        </is>
      </c>
      <c r="G198" s="37" t="inlineStr">
        <is>
          <t>Emily Alexander</t>
        </is>
      </c>
      <c r="H198" s="37" t="n">
        <v>53.6</v>
      </c>
    </row>
    <row r="199">
      <c r="A199" s="37" t="inlineStr">
        <is>
          <t>LP-0906</t>
        </is>
      </c>
      <c r="B199" s="37" t="inlineStr">
        <is>
          <t>Ledgport</t>
        </is>
      </c>
      <c r="C199" s="37" t="inlineStr">
        <is>
          <t>COVERED</t>
        </is>
      </c>
      <c r="D199" s="37" t="n">
        <v>28</v>
      </c>
      <c r="E199" s="37" t="inlineStr">
        <is>
          <t>OCCUPIED</t>
        </is>
      </c>
      <c r="F199" s="37" t="inlineStr">
        <is>
          <t>WL-03019</t>
        </is>
      </c>
      <c r="G199" s="37" t="inlineStr">
        <is>
          <t>Denise Bonilla</t>
        </is>
      </c>
      <c r="H199" s="37" t="n">
        <v>57.3</v>
      </c>
    </row>
    <row r="200">
      <c r="A200" s="37" t="inlineStr">
        <is>
          <t>LP-0907</t>
        </is>
      </c>
      <c r="B200" s="37" t="inlineStr">
        <is>
          <t>Ledgport</t>
        </is>
      </c>
      <c r="C200" s="37" t="inlineStr">
        <is>
          <t>COVERED</t>
        </is>
      </c>
      <c r="D200" s="37" t="n">
        <v>24</v>
      </c>
      <c r="E200" s="37" t="inlineStr">
        <is>
          <t>OCCUPIED</t>
        </is>
      </c>
      <c r="F200" s="37" t="inlineStr">
        <is>
          <t>WL-02873</t>
        </is>
      </c>
      <c r="G200" s="37" t="inlineStr">
        <is>
          <t>Brittany Wilkerson</t>
        </is>
      </c>
      <c r="H200" s="37" t="n">
        <v>45.7</v>
      </c>
    </row>
    <row r="201">
      <c r="A201" s="37" t="inlineStr">
        <is>
          <t>LP-0908</t>
        </is>
      </c>
      <c r="B201" s="37" t="inlineStr">
        <is>
          <t>Ledgport</t>
        </is>
      </c>
      <c r="C201" s="37" t="inlineStr">
        <is>
          <t>COVERED</t>
        </is>
      </c>
      <c r="D201" s="37" t="n">
        <v>28</v>
      </c>
      <c r="E201" s="37" t="inlineStr">
        <is>
          <t>OCCUPIED</t>
        </is>
      </c>
      <c r="F201" s="37" t="inlineStr">
        <is>
          <t>WL-01005</t>
        </is>
      </c>
      <c r="G201" s="37" t="inlineStr">
        <is>
          <t>Joseph Sharp</t>
        </is>
      </c>
      <c r="H201" s="37" t="n">
        <v>49.9</v>
      </c>
    </row>
    <row r="202">
      <c r="A202" s="37" t="inlineStr">
        <is>
          <t>LP-0909</t>
        </is>
      </c>
      <c r="B202" s="37" t="inlineStr">
        <is>
          <t>Ledgport</t>
        </is>
      </c>
      <c r="C202" s="37" t="inlineStr">
        <is>
          <t>COVERED</t>
        </is>
      </c>
      <c r="D202" s="37" t="n">
        <v>24</v>
      </c>
      <c r="E202" s="37" t="inlineStr">
        <is>
          <t>OCCUPIED</t>
        </is>
      </c>
      <c r="F202" s="37" t="inlineStr">
        <is>
          <t>WL-01808</t>
        </is>
      </c>
      <c r="G202" s="37" t="inlineStr">
        <is>
          <t>Jason Shepard</t>
        </is>
      </c>
      <c r="H202" s="37" t="n">
        <v>46.7</v>
      </c>
    </row>
    <row r="203">
      <c r="A203" s="37" t="inlineStr">
        <is>
          <t>LP-0910</t>
        </is>
      </c>
      <c r="B203" s="37" t="inlineStr">
        <is>
          <t>Ledgport</t>
        </is>
      </c>
      <c r="C203" s="37" t="inlineStr">
        <is>
          <t>COVERED</t>
        </is>
      </c>
      <c r="D203" s="37" t="n">
        <v>28</v>
      </c>
      <c r="E203" s="37" t="inlineStr">
        <is>
          <t>OCCUPIED</t>
        </is>
      </c>
      <c r="F203" s="37" t="inlineStr">
        <is>
          <t>WL-01992</t>
        </is>
      </c>
      <c r="G203" s="37" t="inlineStr">
        <is>
          <t>John Davis</t>
        </is>
      </c>
      <c r="H203" s="37" t="n">
        <v>38</v>
      </c>
    </row>
    <row r="204">
      <c r="A204" s="37" t="inlineStr">
        <is>
          <t>LP-0911</t>
        </is>
      </c>
      <c r="B204" s="37" t="inlineStr">
        <is>
          <t>Ledgport</t>
        </is>
      </c>
      <c r="C204" s="37" t="inlineStr">
        <is>
          <t>COVERED</t>
        </is>
      </c>
      <c r="D204" s="37" t="n">
        <v>24</v>
      </c>
      <c r="E204" s="37" t="inlineStr">
        <is>
          <t>OCCUPIED</t>
        </is>
      </c>
      <c r="F204" s="37" t="inlineStr">
        <is>
          <t>WL-01998</t>
        </is>
      </c>
      <c r="G204" s="37" t="inlineStr">
        <is>
          <t>Katherine Johnson</t>
        </is>
      </c>
      <c r="H204" s="37" t="n">
        <v>43.3</v>
      </c>
    </row>
    <row r="205">
      <c r="A205" s="37" t="inlineStr">
        <is>
          <t>LP-0912</t>
        </is>
      </c>
      <c r="B205" s="37" t="inlineStr">
        <is>
          <t>Ledgport</t>
        </is>
      </c>
      <c r="C205" s="37" t="inlineStr">
        <is>
          <t>COVERED</t>
        </is>
      </c>
      <c r="D205" s="37" t="n">
        <v>32</v>
      </c>
      <c r="E205" s="37" t="inlineStr">
        <is>
          <t>OCCUPIED</t>
        </is>
      </c>
      <c r="F205" s="37" t="inlineStr">
        <is>
          <t>WL-02965</t>
        </is>
      </c>
      <c r="G205" s="37" t="inlineStr">
        <is>
          <t>Harry Koch</t>
        </is>
      </c>
      <c r="H205" s="37" t="n">
        <v>32.6</v>
      </c>
    </row>
    <row r="206">
      <c r="A206" s="37" t="inlineStr">
        <is>
          <t>LP-0913</t>
        </is>
      </c>
      <c r="B206" s="37" t="inlineStr">
        <is>
          <t>Ledgport</t>
        </is>
      </c>
      <c r="C206" s="37" t="inlineStr">
        <is>
          <t>COVERED</t>
        </is>
      </c>
      <c r="D206" s="37" t="n">
        <v>32</v>
      </c>
      <c r="E206" s="37" t="inlineStr">
        <is>
          <t>OCCUPIED</t>
        </is>
      </c>
      <c r="F206" s="37" t="inlineStr">
        <is>
          <t>WL-02303</t>
        </is>
      </c>
      <c r="G206" s="37" t="inlineStr">
        <is>
          <t>Christina Hernandez</t>
        </is>
      </c>
      <c r="H206" s="37" t="n">
        <v>43.1</v>
      </c>
    </row>
    <row r="207">
      <c r="A207" s="37" t="inlineStr">
        <is>
          <t>LP-0914</t>
        </is>
      </c>
      <c r="B207" s="37" t="inlineStr">
        <is>
          <t>Ledgport</t>
        </is>
      </c>
      <c r="C207" s="37" t="inlineStr">
        <is>
          <t>COVERED</t>
        </is>
      </c>
      <c r="D207" s="37" t="n">
        <v>40</v>
      </c>
      <c r="E207" s="37" t="inlineStr">
        <is>
          <t>OCCUPIED</t>
        </is>
      </c>
      <c r="F207" s="37" t="inlineStr">
        <is>
          <t>WL-01697</t>
        </is>
      </c>
      <c r="G207" s="37" t="inlineStr">
        <is>
          <t>Paige Brown</t>
        </is>
      </c>
      <c r="H207" s="37" t="n">
        <v>35.1</v>
      </c>
    </row>
    <row r="208">
      <c r="A208" s="37" t="inlineStr">
        <is>
          <t>LP-0915</t>
        </is>
      </c>
      <c r="B208" s="37" t="inlineStr">
        <is>
          <t>Ledgport</t>
        </is>
      </c>
      <c r="C208" s="37" t="inlineStr">
        <is>
          <t>COVERED</t>
        </is>
      </c>
      <c r="D208" s="37" t="n">
        <v>32</v>
      </c>
      <c r="E208" s="37" t="inlineStr">
        <is>
          <t>OCCUPIED</t>
        </is>
      </c>
      <c r="F208" s="37" t="inlineStr">
        <is>
          <t>WL-01416</t>
        </is>
      </c>
      <c r="G208" s="37" t="inlineStr">
        <is>
          <t>Carmen Hernandez</t>
        </is>
      </c>
      <c r="H208" s="37" t="n">
        <v>35.1</v>
      </c>
    </row>
    <row r="209">
      <c r="A209" s="37" t="inlineStr">
        <is>
          <t>LP-0916</t>
        </is>
      </c>
      <c r="B209" s="37" t="inlineStr">
        <is>
          <t>Ledgport</t>
        </is>
      </c>
      <c r="C209" s="37" t="inlineStr">
        <is>
          <t>COVERED</t>
        </is>
      </c>
      <c r="D209" s="37" t="n">
        <v>36</v>
      </c>
      <c r="E209" s="37" t="inlineStr">
        <is>
          <t>VACANT</t>
        </is>
      </c>
    </row>
    <row r="210">
      <c r="A210" s="37" t="inlineStr">
        <is>
          <t>LP-0917</t>
        </is>
      </c>
      <c r="B210" s="37" t="inlineStr">
        <is>
          <t>Ledgport</t>
        </is>
      </c>
      <c r="C210" s="37" t="inlineStr">
        <is>
          <t>COVERED</t>
        </is>
      </c>
      <c r="D210" s="37" t="n">
        <v>36</v>
      </c>
      <c r="E210" s="37" t="inlineStr">
        <is>
          <t>OCCUPIED</t>
        </is>
      </c>
      <c r="F210" s="37" t="inlineStr">
        <is>
          <t>WL-01392</t>
        </is>
      </c>
      <c r="G210" s="37" t="inlineStr">
        <is>
          <t>Ryan Carr</t>
        </is>
      </c>
      <c r="H210" s="37" t="n">
        <v>34.5</v>
      </c>
    </row>
    <row r="211">
      <c r="A211" s="37" t="inlineStr">
        <is>
          <t>LP-0918</t>
        </is>
      </c>
      <c r="B211" s="37" t="inlineStr">
        <is>
          <t>Ledgport</t>
        </is>
      </c>
      <c r="C211" s="37" t="inlineStr">
        <is>
          <t>COVERED</t>
        </is>
      </c>
      <c r="D211" s="37" t="n">
        <v>36</v>
      </c>
      <c r="E211" s="37" t="inlineStr">
        <is>
          <t>OCCUPIED</t>
        </is>
      </c>
      <c r="F211" s="37" t="inlineStr">
        <is>
          <t>WL-03842</t>
        </is>
      </c>
      <c r="G211" s="37" t="inlineStr">
        <is>
          <t>Jennifer Campbell</t>
        </is>
      </c>
      <c r="H211" s="37" t="n">
        <v>58.2</v>
      </c>
    </row>
    <row r="212">
      <c r="A212" s="37" t="inlineStr">
        <is>
          <t>LP-0919</t>
        </is>
      </c>
      <c r="B212" s="37" t="inlineStr">
        <is>
          <t>Ledgport</t>
        </is>
      </c>
      <c r="C212" s="37" t="inlineStr">
        <is>
          <t>COVERED</t>
        </is>
      </c>
      <c r="D212" s="37" t="n">
        <v>32</v>
      </c>
      <c r="E212" s="37" t="inlineStr">
        <is>
          <t>OCCUPIED</t>
        </is>
      </c>
      <c r="F212" s="37" t="inlineStr">
        <is>
          <t>WL-02994</t>
        </is>
      </c>
      <c r="G212" s="37" t="inlineStr">
        <is>
          <t>Pamela Wright</t>
        </is>
      </c>
      <c r="H212" s="37" t="n">
        <v>24.5</v>
      </c>
    </row>
    <row r="213">
      <c r="A213" s="37" t="inlineStr">
        <is>
          <t>LP-0920</t>
        </is>
      </c>
      <c r="B213" s="37" t="inlineStr">
        <is>
          <t>Ledgport</t>
        </is>
      </c>
      <c r="C213" s="37" t="inlineStr">
        <is>
          <t>COVERED</t>
        </is>
      </c>
      <c r="D213" s="37" t="n">
        <v>28</v>
      </c>
      <c r="E213" s="37" t="inlineStr">
        <is>
          <t>OCCUPIED</t>
        </is>
      </c>
      <c r="F213" s="37" t="inlineStr">
        <is>
          <t>WL-01174</t>
        </is>
      </c>
      <c r="G213" s="37" t="inlineStr">
        <is>
          <t>Jason Kim</t>
        </is>
      </c>
      <c r="H213" s="37" t="n">
        <v>38.3</v>
      </c>
    </row>
    <row r="214">
      <c r="A214" s="37" t="inlineStr">
        <is>
          <t>LP-0921</t>
        </is>
      </c>
      <c r="B214" s="37" t="inlineStr">
        <is>
          <t>Ledgport</t>
        </is>
      </c>
      <c r="C214" s="37" t="inlineStr">
        <is>
          <t>COVERED</t>
        </is>
      </c>
      <c r="D214" s="37" t="n">
        <v>28</v>
      </c>
      <c r="E214" s="37" t="inlineStr">
        <is>
          <t>OCCUPIED</t>
        </is>
      </c>
      <c r="F214" s="37" t="inlineStr">
        <is>
          <t>WL-02368</t>
        </is>
      </c>
      <c r="G214" s="37" t="inlineStr">
        <is>
          <t>Chris Chavez</t>
        </is>
      </c>
      <c r="H214" s="37" t="n">
        <v>24.8</v>
      </c>
    </row>
    <row r="215">
      <c r="A215" s="37" t="inlineStr">
        <is>
          <t>LP-0922</t>
        </is>
      </c>
      <c r="B215" s="37" t="inlineStr">
        <is>
          <t>Ledgport</t>
        </is>
      </c>
      <c r="C215" s="37" t="inlineStr">
        <is>
          <t>COVERED</t>
        </is>
      </c>
      <c r="D215" s="37" t="n">
        <v>24</v>
      </c>
      <c r="E215" s="37" t="inlineStr">
        <is>
          <t>OCCUPIED</t>
        </is>
      </c>
      <c r="F215" s="37" t="inlineStr">
        <is>
          <t>WL-03260</t>
        </is>
      </c>
      <c r="G215" s="37" t="inlineStr">
        <is>
          <t>Joel Thomas</t>
        </is>
      </c>
      <c r="H215" s="37" t="n">
        <v>58</v>
      </c>
    </row>
    <row r="216">
      <c r="A216" s="37" t="inlineStr">
        <is>
          <t>LP-0923</t>
        </is>
      </c>
      <c r="B216" s="37" t="inlineStr">
        <is>
          <t>Ledgport</t>
        </is>
      </c>
      <c r="C216" s="37" t="inlineStr">
        <is>
          <t>COVERED</t>
        </is>
      </c>
      <c r="D216" s="37" t="n">
        <v>24</v>
      </c>
      <c r="E216" s="37" t="inlineStr">
        <is>
          <t>OCCUPIED</t>
        </is>
      </c>
      <c r="F216" s="37" t="inlineStr">
        <is>
          <t>WL-02672</t>
        </is>
      </c>
      <c r="G216" s="37" t="inlineStr">
        <is>
          <t>Russell Barnes</t>
        </is>
      </c>
      <c r="H216" s="37" t="n">
        <v>21</v>
      </c>
    </row>
    <row r="217">
      <c r="A217" s="37" t="inlineStr">
        <is>
          <t>LP-0924</t>
        </is>
      </c>
      <c r="B217" s="37" t="inlineStr">
        <is>
          <t>Ledgport</t>
        </is>
      </c>
      <c r="C217" s="37" t="inlineStr">
        <is>
          <t>COVERED</t>
        </is>
      </c>
      <c r="D217" s="37" t="n">
        <v>28</v>
      </c>
      <c r="E217" s="37" t="inlineStr">
        <is>
          <t>OCCUPIED</t>
        </is>
      </c>
      <c r="F217" s="37" t="inlineStr">
        <is>
          <t>WL-01312</t>
        </is>
      </c>
      <c r="G217" s="37" t="inlineStr">
        <is>
          <t>Matthew King</t>
        </is>
      </c>
      <c r="H217" s="37" t="n">
        <v>59.9</v>
      </c>
    </row>
    <row r="218">
      <c r="A218" s="37" t="inlineStr">
        <is>
          <t>LP-1001</t>
        </is>
      </c>
      <c r="B218" s="37" t="inlineStr">
        <is>
          <t>Ledgport</t>
        </is>
      </c>
      <c r="C218" s="37" t="inlineStr">
        <is>
          <t>COVERED</t>
        </is>
      </c>
      <c r="D218" s="37" t="n">
        <v>40</v>
      </c>
      <c r="E218" s="37" t="inlineStr">
        <is>
          <t>OCCUPIED</t>
        </is>
      </c>
      <c r="F218" s="37" t="inlineStr">
        <is>
          <t>WL-03184</t>
        </is>
      </c>
      <c r="G218" s="37" t="inlineStr">
        <is>
          <t>Lindsay Alexander</t>
        </is>
      </c>
      <c r="H218" s="37" t="n">
        <v>54.4</v>
      </c>
    </row>
    <row r="219">
      <c r="A219" s="37" t="inlineStr">
        <is>
          <t>LP-1002</t>
        </is>
      </c>
      <c r="B219" s="37" t="inlineStr">
        <is>
          <t>Ledgport</t>
        </is>
      </c>
      <c r="C219" s="37" t="inlineStr">
        <is>
          <t>COVERED</t>
        </is>
      </c>
      <c r="D219" s="37" t="n">
        <v>32</v>
      </c>
      <c r="E219" s="37" t="inlineStr">
        <is>
          <t>OCCUPIED</t>
        </is>
      </c>
      <c r="F219" s="37" t="inlineStr">
        <is>
          <t>WL-03393</t>
        </is>
      </c>
      <c r="G219" s="37" t="inlineStr">
        <is>
          <t>Richard Norris</t>
        </is>
      </c>
      <c r="H219" s="37" t="n">
        <v>62</v>
      </c>
    </row>
    <row r="220">
      <c r="A220" s="37" t="inlineStr">
        <is>
          <t>LP-1003</t>
        </is>
      </c>
      <c r="B220" s="37" t="inlineStr">
        <is>
          <t>Ledgport</t>
        </is>
      </c>
      <c r="C220" s="37" t="inlineStr">
        <is>
          <t>COVERED</t>
        </is>
      </c>
      <c r="D220" s="37" t="n">
        <v>28</v>
      </c>
      <c r="E220" s="37" t="inlineStr">
        <is>
          <t>OCCUPIED</t>
        </is>
      </c>
      <c r="F220" s="37" t="inlineStr">
        <is>
          <t>WL-01310</t>
        </is>
      </c>
      <c r="G220" s="37" t="inlineStr">
        <is>
          <t>Donna Weber</t>
        </is>
      </c>
      <c r="H220" s="37" t="n">
        <v>56.2</v>
      </c>
    </row>
    <row r="221">
      <c r="A221" s="37" t="inlineStr">
        <is>
          <t>LP-1004</t>
        </is>
      </c>
      <c r="B221" s="37" t="inlineStr">
        <is>
          <t>Ledgport</t>
        </is>
      </c>
      <c r="C221" s="37" t="inlineStr">
        <is>
          <t>COVERED</t>
        </is>
      </c>
      <c r="D221" s="37" t="n">
        <v>24</v>
      </c>
      <c r="E221" s="37" t="inlineStr">
        <is>
          <t>OCCUPIED</t>
        </is>
      </c>
      <c r="F221" s="37" t="inlineStr">
        <is>
          <t>WL-03418</t>
        </is>
      </c>
      <c r="G221" s="37" t="inlineStr">
        <is>
          <t>Mary Ford</t>
        </is>
      </c>
      <c r="H221" s="37" t="n">
        <v>33.9</v>
      </c>
    </row>
    <row r="222">
      <c r="A222" s="37" t="inlineStr">
        <is>
          <t>LP-1005</t>
        </is>
      </c>
      <c r="B222" s="37" t="inlineStr">
        <is>
          <t>Ledgport</t>
        </is>
      </c>
      <c r="C222" s="37" t="inlineStr">
        <is>
          <t>COVERED</t>
        </is>
      </c>
      <c r="D222" s="37" t="n">
        <v>28</v>
      </c>
      <c r="E222" s="37" t="inlineStr">
        <is>
          <t>OCCUPIED</t>
        </is>
      </c>
      <c r="F222" s="37" t="inlineStr">
        <is>
          <t>WL-03728</t>
        </is>
      </c>
      <c r="G222" s="37" t="inlineStr">
        <is>
          <t>Gary Wade</t>
        </is>
      </c>
      <c r="H222" s="37" t="n">
        <v>38</v>
      </c>
    </row>
    <row r="223">
      <c r="A223" s="37" t="inlineStr">
        <is>
          <t>LP-1006</t>
        </is>
      </c>
      <c r="B223" s="37" t="inlineStr">
        <is>
          <t>Ledgport</t>
        </is>
      </c>
      <c r="C223" s="37" t="inlineStr">
        <is>
          <t>COVERED</t>
        </is>
      </c>
      <c r="D223" s="37" t="n">
        <v>36</v>
      </c>
      <c r="E223" s="37" t="inlineStr">
        <is>
          <t>OCCUPIED</t>
        </is>
      </c>
      <c r="F223" s="37" t="inlineStr">
        <is>
          <t>WL-02721</t>
        </is>
      </c>
      <c r="G223" s="37" t="inlineStr">
        <is>
          <t>Carol Scott</t>
        </is>
      </c>
      <c r="H223" s="37" t="n">
        <v>19.5</v>
      </c>
    </row>
    <row r="224">
      <c r="A224" s="37" t="inlineStr">
        <is>
          <t>LP-1007</t>
        </is>
      </c>
      <c r="B224" s="37" t="inlineStr">
        <is>
          <t>Ledgport</t>
        </is>
      </c>
      <c r="C224" s="37" t="inlineStr">
        <is>
          <t>COVERED</t>
        </is>
      </c>
      <c r="D224" s="37" t="n">
        <v>32</v>
      </c>
      <c r="E224" s="37" t="inlineStr">
        <is>
          <t>OCCUPIED</t>
        </is>
      </c>
      <c r="F224" s="37" t="inlineStr">
        <is>
          <t>WL-03683</t>
        </is>
      </c>
      <c r="G224" s="37" t="inlineStr">
        <is>
          <t>Shawn Carter</t>
        </is>
      </c>
      <c r="H224" s="37" t="n">
        <v>57.9</v>
      </c>
    </row>
    <row r="225">
      <c r="A225" s="37" t="inlineStr">
        <is>
          <t>LP-1008</t>
        </is>
      </c>
      <c r="B225" s="37" t="inlineStr">
        <is>
          <t>Ledgport</t>
        </is>
      </c>
      <c r="C225" s="37" t="inlineStr">
        <is>
          <t>COVERED</t>
        </is>
      </c>
      <c r="D225" s="37" t="n">
        <v>32</v>
      </c>
      <c r="E225" s="37" t="inlineStr">
        <is>
          <t>OCCUPIED</t>
        </is>
      </c>
      <c r="F225" s="37" t="inlineStr">
        <is>
          <t>WL-02719</t>
        </is>
      </c>
      <c r="G225" s="37" t="inlineStr">
        <is>
          <t>Travis Sexton</t>
        </is>
      </c>
      <c r="H225" s="37" t="n">
        <v>58.9</v>
      </c>
    </row>
    <row r="226">
      <c r="A226" s="37" t="inlineStr">
        <is>
          <t>LP-1009</t>
        </is>
      </c>
      <c r="B226" s="37" t="inlineStr">
        <is>
          <t>Ledgport</t>
        </is>
      </c>
      <c r="C226" s="37" t="inlineStr">
        <is>
          <t>COVERED</t>
        </is>
      </c>
      <c r="D226" s="37" t="n">
        <v>32</v>
      </c>
      <c r="E226" s="37" t="inlineStr">
        <is>
          <t>OCCUPIED</t>
        </is>
      </c>
      <c r="F226" s="37" t="inlineStr">
        <is>
          <t>WL-01829</t>
        </is>
      </c>
      <c r="G226" s="37" t="inlineStr">
        <is>
          <t>Bradley Franklin</t>
        </is>
      </c>
      <c r="H226" s="37" t="n">
        <v>19.3</v>
      </c>
    </row>
    <row r="227">
      <c r="A227" s="37" t="inlineStr">
        <is>
          <t>LP-1010</t>
        </is>
      </c>
      <c r="B227" s="37" t="inlineStr">
        <is>
          <t>Ledgport</t>
        </is>
      </c>
      <c r="C227" s="37" t="inlineStr">
        <is>
          <t>COVERED</t>
        </is>
      </c>
      <c r="D227" s="37" t="n">
        <v>32</v>
      </c>
      <c r="E227" s="37" t="inlineStr">
        <is>
          <t>OCCUPIED</t>
        </is>
      </c>
      <c r="F227" s="37" t="inlineStr">
        <is>
          <t>WL-01700</t>
        </is>
      </c>
      <c r="G227" s="37" t="inlineStr">
        <is>
          <t>Sherry Fletcher</t>
        </is>
      </c>
      <c r="H227" s="37" t="n">
        <v>61.8</v>
      </c>
    </row>
    <row r="228">
      <c r="A228" s="37" t="inlineStr">
        <is>
          <t>LP-1011</t>
        </is>
      </c>
      <c r="B228" s="37" t="inlineStr">
        <is>
          <t>Ledgport</t>
        </is>
      </c>
      <c r="C228" s="37" t="inlineStr">
        <is>
          <t>COVERED</t>
        </is>
      </c>
      <c r="D228" s="37" t="n">
        <v>24</v>
      </c>
      <c r="E228" s="37" t="inlineStr">
        <is>
          <t>OCCUPIED</t>
        </is>
      </c>
      <c r="F228" s="37" t="inlineStr">
        <is>
          <t>WL-02925</t>
        </is>
      </c>
      <c r="G228" s="37" t="inlineStr">
        <is>
          <t>Leslie Marsh</t>
        </is>
      </c>
      <c r="H228" s="37" t="n">
        <v>40.9</v>
      </c>
    </row>
    <row r="229">
      <c r="A229" s="37" t="inlineStr">
        <is>
          <t>LP-1012</t>
        </is>
      </c>
      <c r="B229" s="37" t="inlineStr">
        <is>
          <t>Ledgport</t>
        </is>
      </c>
      <c r="C229" s="37" t="inlineStr">
        <is>
          <t>COVERED</t>
        </is>
      </c>
      <c r="D229" s="37" t="n">
        <v>28</v>
      </c>
      <c r="E229" s="37" t="inlineStr">
        <is>
          <t>OCCUPIED</t>
        </is>
      </c>
      <c r="F229" s="37" t="inlineStr">
        <is>
          <t>WL-02088</t>
        </is>
      </c>
      <c r="G229" s="37" t="inlineStr">
        <is>
          <t>Yvonne Collins</t>
        </is>
      </c>
      <c r="H229" s="37" t="n">
        <v>28.7</v>
      </c>
    </row>
    <row r="230">
      <c r="A230" s="37" t="inlineStr">
        <is>
          <t>LP-1013</t>
        </is>
      </c>
      <c r="B230" s="37" t="inlineStr">
        <is>
          <t>Ledgport</t>
        </is>
      </c>
      <c r="C230" s="37" t="inlineStr">
        <is>
          <t>COVERED</t>
        </is>
      </c>
      <c r="D230" s="37" t="n">
        <v>28</v>
      </c>
      <c r="E230" s="37" t="inlineStr">
        <is>
          <t>OCCUPIED</t>
        </is>
      </c>
      <c r="F230" s="37" t="inlineStr">
        <is>
          <t>WL-01242</t>
        </is>
      </c>
      <c r="G230" s="37" t="inlineStr">
        <is>
          <t>Melissa Villanueva</t>
        </is>
      </c>
      <c r="H230" s="37" t="n">
        <v>19.5</v>
      </c>
    </row>
    <row r="231">
      <c r="A231" s="37" t="inlineStr">
        <is>
          <t>LP-1014</t>
        </is>
      </c>
      <c r="B231" s="37" t="inlineStr">
        <is>
          <t>Ledgport</t>
        </is>
      </c>
      <c r="C231" s="37" t="inlineStr">
        <is>
          <t>COVERED</t>
        </is>
      </c>
      <c r="D231" s="37" t="n">
        <v>24</v>
      </c>
      <c r="E231" s="37" t="inlineStr">
        <is>
          <t>OCCUPIED</t>
        </is>
      </c>
      <c r="F231" s="37" t="inlineStr">
        <is>
          <t>WL-02535</t>
        </is>
      </c>
      <c r="G231" s="37" t="inlineStr">
        <is>
          <t>Shari Hess</t>
        </is>
      </c>
      <c r="H231" s="37" t="n">
        <v>19.4</v>
      </c>
    </row>
    <row r="232">
      <c r="A232" s="37" t="inlineStr">
        <is>
          <t>LP-1015</t>
        </is>
      </c>
      <c r="B232" s="37" t="inlineStr">
        <is>
          <t>Ledgport</t>
        </is>
      </c>
      <c r="C232" s="37" t="inlineStr">
        <is>
          <t>COVERED</t>
        </is>
      </c>
      <c r="D232" s="37" t="n">
        <v>24</v>
      </c>
      <c r="E232" s="37" t="inlineStr">
        <is>
          <t>GUEST</t>
        </is>
      </c>
    </row>
    <row r="233">
      <c r="A233" s="37" t="inlineStr">
        <is>
          <t>LP-1016</t>
        </is>
      </c>
      <c r="B233" s="37" t="inlineStr">
        <is>
          <t>Ledgport</t>
        </is>
      </c>
      <c r="C233" s="37" t="inlineStr">
        <is>
          <t>COVERED</t>
        </is>
      </c>
      <c r="D233" s="37" t="n">
        <v>28</v>
      </c>
      <c r="E233" s="37" t="inlineStr">
        <is>
          <t>OCCUPIED</t>
        </is>
      </c>
      <c r="F233" s="37" t="inlineStr">
        <is>
          <t>WL-03089</t>
        </is>
      </c>
      <c r="G233" s="37" t="inlineStr">
        <is>
          <t>Joshua Rivera</t>
        </is>
      </c>
      <c r="H233" s="37" t="n">
        <v>25.9</v>
      </c>
    </row>
    <row r="234">
      <c r="A234" s="37" t="inlineStr">
        <is>
          <t>LP-1017</t>
        </is>
      </c>
      <c r="B234" s="37" t="inlineStr">
        <is>
          <t>Ledgport</t>
        </is>
      </c>
      <c r="C234" s="37" t="inlineStr">
        <is>
          <t>COVERED</t>
        </is>
      </c>
      <c r="D234" s="37" t="n">
        <v>32</v>
      </c>
      <c r="E234" s="37" t="inlineStr">
        <is>
          <t>OCCUPIED</t>
        </is>
      </c>
      <c r="F234" s="37" t="inlineStr">
        <is>
          <t>WL-01838</t>
        </is>
      </c>
      <c r="G234" s="37" t="inlineStr">
        <is>
          <t>James Gregory</t>
        </is>
      </c>
      <c r="H234" s="37" t="n">
        <v>55.1</v>
      </c>
    </row>
    <row r="235">
      <c r="A235" s="37" t="inlineStr">
        <is>
          <t>LP-1018</t>
        </is>
      </c>
      <c r="B235" s="37" t="inlineStr">
        <is>
          <t>Ledgport</t>
        </is>
      </c>
      <c r="C235" s="37" t="inlineStr">
        <is>
          <t>COVERED</t>
        </is>
      </c>
      <c r="D235" s="37" t="n">
        <v>32</v>
      </c>
      <c r="E235" s="37" t="inlineStr">
        <is>
          <t>OCCUPIED</t>
        </is>
      </c>
      <c r="F235" s="37" t="inlineStr">
        <is>
          <t>WL-01243</t>
        </is>
      </c>
      <c r="G235" s="37" t="inlineStr">
        <is>
          <t>Christina Rivera</t>
        </is>
      </c>
      <c r="H235" s="37" t="n">
        <v>53.2</v>
      </c>
    </row>
    <row r="236">
      <c r="A236" s="37" t="inlineStr">
        <is>
          <t>LP-1019</t>
        </is>
      </c>
      <c r="B236" s="37" t="inlineStr">
        <is>
          <t>Ledgport</t>
        </is>
      </c>
      <c r="C236" s="37" t="inlineStr">
        <is>
          <t>COVERED</t>
        </is>
      </c>
      <c r="D236" s="37" t="n">
        <v>32</v>
      </c>
      <c r="E236" s="37" t="inlineStr">
        <is>
          <t>GUEST</t>
        </is>
      </c>
    </row>
    <row r="237">
      <c r="A237" s="37" t="inlineStr">
        <is>
          <t>LP-1020</t>
        </is>
      </c>
      <c r="B237" s="37" t="inlineStr">
        <is>
          <t>Ledgport</t>
        </is>
      </c>
      <c r="C237" s="37" t="inlineStr">
        <is>
          <t>COVERED</t>
        </is>
      </c>
      <c r="D237" s="37" t="n">
        <v>32</v>
      </c>
      <c r="E237" s="37" t="inlineStr">
        <is>
          <t>OCCUPIED</t>
        </is>
      </c>
      <c r="F237" s="37" t="inlineStr">
        <is>
          <t>WL-01990</t>
        </is>
      </c>
      <c r="G237" s="37" t="inlineStr">
        <is>
          <t>Michael Taylor</t>
        </is>
      </c>
      <c r="H237" s="37" t="n">
        <v>25.1</v>
      </c>
    </row>
    <row r="238">
      <c r="A238" s="37" t="inlineStr">
        <is>
          <t>LP-1021</t>
        </is>
      </c>
      <c r="B238" s="37" t="inlineStr">
        <is>
          <t>Ledgport</t>
        </is>
      </c>
      <c r="C238" s="37" t="inlineStr">
        <is>
          <t>COVERED</t>
        </is>
      </c>
      <c r="D238" s="37" t="n">
        <v>24</v>
      </c>
      <c r="E238" s="37" t="inlineStr">
        <is>
          <t>OCCUPIED</t>
        </is>
      </c>
      <c r="F238" s="37" t="inlineStr">
        <is>
          <t>WL-02827</t>
        </is>
      </c>
      <c r="G238" s="37" t="inlineStr">
        <is>
          <t>Kimberly Wilson</t>
        </is>
      </c>
      <c r="H238" s="37" t="n">
        <v>36.2</v>
      </c>
    </row>
    <row r="239">
      <c r="A239" s="37" t="inlineStr">
        <is>
          <t>LP-1022</t>
        </is>
      </c>
      <c r="B239" s="37" t="inlineStr">
        <is>
          <t>Ledgport</t>
        </is>
      </c>
      <c r="C239" s="37" t="inlineStr">
        <is>
          <t>COVERED</t>
        </is>
      </c>
      <c r="D239" s="37" t="n">
        <v>24</v>
      </c>
      <c r="E239" s="37" t="inlineStr">
        <is>
          <t>OCCUPIED</t>
        </is>
      </c>
      <c r="F239" s="37" t="inlineStr">
        <is>
          <t>WL-01807</t>
        </is>
      </c>
      <c r="G239" s="37" t="inlineStr">
        <is>
          <t>Kathleen Mcdonald</t>
        </is>
      </c>
      <c r="H239" s="37" t="n">
        <v>28.7</v>
      </c>
    </row>
    <row r="240">
      <c r="A240" s="37" t="inlineStr">
        <is>
          <t>LP-1023</t>
        </is>
      </c>
      <c r="B240" s="37" t="inlineStr">
        <is>
          <t>Ledgport</t>
        </is>
      </c>
      <c r="C240" s="37" t="inlineStr">
        <is>
          <t>COVERED</t>
        </is>
      </c>
      <c r="D240" s="37" t="n">
        <v>24</v>
      </c>
      <c r="E240" s="37" t="inlineStr">
        <is>
          <t>OCCUPIED</t>
        </is>
      </c>
      <c r="F240" s="37" t="inlineStr">
        <is>
          <t>WL-01364</t>
        </is>
      </c>
      <c r="G240" s="37" t="inlineStr">
        <is>
          <t>Patrick Richmond</t>
        </is>
      </c>
      <c r="H240" s="37" t="n">
        <v>20</v>
      </c>
    </row>
    <row r="241">
      <c r="A241" s="37" t="inlineStr">
        <is>
          <t>LP-1024</t>
        </is>
      </c>
      <c r="B241" s="37" t="inlineStr">
        <is>
          <t>Ledgport</t>
        </is>
      </c>
      <c r="C241" s="37" t="inlineStr">
        <is>
          <t>COVERED</t>
        </is>
      </c>
      <c r="D241" s="37" t="n">
        <v>32</v>
      </c>
      <c r="E241" s="37" t="inlineStr">
        <is>
          <t>OCCUPIED</t>
        </is>
      </c>
      <c r="F241" s="37" t="inlineStr">
        <is>
          <t>WL-01028</t>
        </is>
      </c>
      <c r="G241" s="37" t="inlineStr">
        <is>
          <t>Brittany Benson</t>
        </is>
      </c>
      <c r="H241" s="37" t="n">
        <v>53.7</v>
      </c>
    </row>
    <row r="242">
      <c r="A242" s="37" t="inlineStr">
        <is>
          <t>LP-1101</t>
        </is>
      </c>
      <c r="B242" s="37" t="inlineStr">
        <is>
          <t>Ledgport</t>
        </is>
      </c>
      <c r="C242" s="37" t="inlineStr">
        <is>
          <t>COVERED</t>
        </is>
      </c>
      <c r="D242" s="37" t="n">
        <v>36</v>
      </c>
      <c r="E242" s="37" t="inlineStr">
        <is>
          <t>RESERVED</t>
        </is>
      </c>
    </row>
    <row r="243">
      <c r="A243" s="37" t="inlineStr">
        <is>
          <t>LP-1102</t>
        </is>
      </c>
      <c r="B243" s="37" t="inlineStr">
        <is>
          <t>Ledgport</t>
        </is>
      </c>
      <c r="C243" s="37" t="inlineStr">
        <is>
          <t>COVERED</t>
        </is>
      </c>
      <c r="D243" s="37" t="n">
        <v>28</v>
      </c>
      <c r="E243" s="37" t="inlineStr">
        <is>
          <t>OCCUPIED</t>
        </is>
      </c>
      <c r="F243" s="37" t="inlineStr">
        <is>
          <t>WL-03792</t>
        </is>
      </c>
      <c r="G243" s="37" t="inlineStr">
        <is>
          <t>Rodney Morris</t>
        </is>
      </c>
      <c r="H243" s="37" t="n">
        <v>54.9</v>
      </c>
    </row>
    <row r="244">
      <c r="A244" s="37" t="inlineStr">
        <is>
          <t>LP-1103</t>
        </is>
      </c>
      <c r="B244" s="37" t="inlineStr">
        <is>
          <t>Ledgport</t>
        </is>
      </c>
      <c r="C244" s="37" t="inlineStr">
        <is>
          <t>COVERED</t>
        </is>
      </c>
      <c r="D244" s="37" t="n">
        <v>32</v>
      </c>
      <c r="E244" s="37" t="inlineStr">
        <is>
          <t>OCCUPIED</t>
        </is>
      </c>
      <c r="F244" s="37" t="inlineStr">
        <is>
          <t>WL-03118</t>
        </is>
      </c>
      <c r="G244" s="37" t="inlineStr">
        <is>
          <t>Amanda Clayton</t>
        </is>
      </c>
      <c r="H244" s="37" t="n">
        <v>23.2</v>
      </c>
    </row>
    <row r="245">
      <c r="A245" s="37" t="inlineStr">
        <is>
          <t>LP-1104</t>
        </is>
      </c>
      <c r="B245" s="37" t="inlineStr">
        <is>
          <t>Ledgport</t>
        </is>
      </c>
      <c r="C245" s="37" t="inlineStr">
        <is>
          <t>COVERED</t>
        </is>
      </c>
      <c r="D245" s="37" t="n">
        <v>32</v>
      </c>
      <c r="E245" s="37" t="inlineStr">
        <is>
          <t>OCCUPIED</t>
        </is>
      </c>
      <c r="F245" s="37" t="inlineStr">
        <is>
          <t>WL-03003</t>
        </is>
      </c>
      <c r="G245" s="37" t="inlineStr">
        <is>
          <t>Trevor Turner</t>
        </is>
      </c>
      <c r="H245" s="37" t="n">
        <v>53.6</v>
      </c>
    </row>
    <row r="246">
      <c r="A246" s="37" t="inlineStr">
        <is>
          <t>LP-1105</t>
        </is>
      </c>
      <c r="B246" s="37" t="inlineStr">
        <is>
          <t>Ledgport</t>
        </is>
      </c>
      <c r="C246" s="37" t="inlineStr">
        <is>
          <t>COVERED</t>
        </is>
      </c>
      <c r="D246" s="37" t="n">
        <v>36</v>
      </c>
      <c r="E246" s="37" t="inlineStr">
        <is>
          <t>OCCUPIED</t>
        </is>
      </c>
      <c r="F246" s="37" t="inlineStr">
        <is>
          <t>WL-02015</t>
        </is>
      </c>
      <c r="G246" s="37" t="inlineStr">
        <is>
          <t>Kenneth Frazier</t>
        </is>
      </c>
      <c r="H246" s="37" t="n">
        <v>48.9</v>
      </c>
    </row>
    <row r="247">
      <c r="A247" s="37" t="inlineStr">
        <is>
          <t>LP-1106</t>
        </is>
      </c>
      <c r="B247" s="37" t="inlineStr">
        <is>
          <t>Ledgport</t>
        </is>
      </c>
      <c r="C247" s="37" t="inlineStr">
        <is>
          <t>COVERED</t>
        </is>
      </c>
      <c r="D247" s="37" t="n">
        <v>24</v>
      </c>
      <c r="E247" s="37" t="inlineStr">
        <is>
          <t>OCCUPIED</t>
        </is>
      </c>
      <c r="F247" s="37" t="inlineStr">
        <is>
          <t>WL-01668</t>
        </is>
      </c>
      <c r="G247" s="37" t="inlineStr">
        <is>
          <t>Marisa Alexander</t>
        </is>
      </c>
      <c r="H247" s="37" t="n">
        <v>18.6</v>
      </c>
    </row>
    <row r="248">
      <c r="A248" s="37" t="inlineStr">
        <is>
          <t>LP-1107</t>
        </is>
      </c>
      <c r="B248" s="37" t="inlineStr">
        <is>
          <t>Ledgport</t>
        </is>
      </c>
      <c r="C248" s="37" t="inlineStr">
        <is>
          <t>COVERED</t>
        </is>
      </c>
      <c r="D248" s="37" t="n">
        <v>28</v>
      </c>
      <c r="E248" s="37" t="inlineStr">
        <is>
          <t>OCCUPIED</t>
        </is>
      </c>
      <c r="F248" s="37" t="inlineStr">
        <is>
          <t>WL-03768</t>
        </is>
      </c>
      <c r="G248" s="37" t="inlineStr">
        <is>
          <t>Michael Ramirez</t>
        </is>
      </c>
      <c r="H248" s="37" t="n">
        <v>47.6</v>
      </c>
    </row>
    <row r="249">
      <c r="A249" s="37" t="inlineStr">
        <is>
          <t>LP-1108</t>
        </is>
      </c>
      <c r="B249" s="37" t="inlineStr">
        <is>
          <t>Ledgport</t>
        </is>
      </c>
      <c r="C249" s="37" t="inlineStr">
        <is>
          <t>COVERED</t>
        </is>
      </c>
      <c r="D249" s="37" t="n">
        <v>32</v>
      </c>
      <c r="E249" s="37" t="inlineStr">
        <is>
          <t>OCCUPIED</t>
        </is>
      </c>
      <c r="F249" s="37" t="inlineStr">
        <is>
          <t>WL-02575</t>
        </is>
      </c>
      <c r="G249" s="37" t="inlineStr">
        <is>
          <t>Victoria Aguirre</t>
        </is>
      </c>
      <c r="H249" s="37" t="n">
        <v>30.9</v>
      </c>
    </row>
    <row r="250">
      <c r="A250" s="37" t="inlineStr">
        <is>
          <t>LP-1109</t>
        </is>
      </c>
      <c r="B250" s="37" t="inlineStr">
        <is>
          <t>Ledgport</t>
        </is>
      </c>
      <c r="C250" s="37" t="inlineStr">
        <is>
          <t>COVERED</t>
        </is>
      </c>
      <c r="D250" s="37" t="n">
        <v>24</v>
      </c>
      <c r="E250" s="37" t="inlineStr">
        <is>
          <t>OCCUPIED</t>
        </is>
      </c>
      <c r="F250" s="37" t="inlineStr">
        <is>
          <t>WL-02691</t>
        </is>
      </c>
      <c r="G250" s="37" t="inlineStr">
        <is>
          <t>Pamela Le</t>
        </is>
      </c>
      <c r="H250" s="37" t="n">
        <v>29.2</v>
      </c>
    </row>
    <row r="251">
      <c r="A251" s="37" t="inlineStr">
        <is>
          <t>LP-1110</t>
        </is>
      </c>
      <c r="B251" s="37" t="inlineStr">
        <is>
          <t>Ledgport</t>
        </is>
      </c>
      <c r="C251" s="37" t="inlineStr">
        <is>
          <t>COVERED</t>
        </is>
      </c>
      <c r="D251" s="37" t="n">
        <v>24</v>
      </c>
      <c r="E251" s="37" t="inlineStr">
        <is>
          <t>OCCUPIED</t>
        </is>
      </c>
      <c r="F251" s="37" t="inlineStr">
        <is>
          <t>WL-01093</t>
        </is>
      </c>
      <c r="G251" s="37" t="inlineStr">
        <is>
          <t>John Garcia</t>
        </is>
      </c>
      <c r="H251" s="37" t="n">
        <v>34.1</v>
      </c>
    </row>
    <row r="252">
      <c r="A252" s="37" t="inlineStr">
        <is>
          <t>LP-1111</t>
        </is>
      </c>
      <c r="B252" s="37" t="inlineStr">
        <is>
          <t>Ledgport</t>
        </is>
      </c>
      <c r="C252" s="37" t="inlineStr">
        <is>
          <t>COVERED</t>
        </is>
      </c>
      <c r="D252" s="37" t="n">
        <v>32</v>
      </c>
      <c r="E252" s="37" t="inlineStr">
        <is>
          <t>OCCUPIED</t>
        </is>
      </c>
      <c r="F252" s="37" t="inlineStr">
        <is>
          <t>WL-02766</t>
        </is>
      </c>
      <c r="G252" s="37" t="inlineStr">
        <is>
          <t>Valerie Macias</t>
        </is>
      </c>
      <c r="H252" s="37" t="n">
        <v>54.5</v>
      </c>
    </row>
    <row r="253">
      <c r="A253" s="37" t="inlineStr">
        <is>
          <t>LP-1112</t>
        </is>
      </c>
      <c r="B253" s="37" t="inlineStr">
        <is>
          <t>Ledgport</t>
        </is>
      </c>
      <c r="C253" s="37" t="inlineStr">
        <is>
          <t>COVERED</t>
        </is>
      </c>
      <c r="D253" s="37" t="n">
        <v>40</v>
      </c>
      <c r="E253" s="37" t="inlineStr">
        <is>
          <t>OCCUPIED</t>
        </is>
      </c>
      <c r="F253" s="37" t="inlineStr">
        <is>
          <t>WL-03706</t>
        </is>
      </c>
      <c r="G253" s="37" t="inlineStr">
        <is>
          <t>Nicole Richmond</t>
        </is>
      </c>
      <c r="H253" s="37" t="n">
        <v>34.5</v>
      </c>
    </row>
    <row r="254">
      <c r="A254" s="37" t="inlineStr">
        <is>
          <t>LP-1113</t>
        </is>
      </c>
      <c r="B254" s="37" t="inlineStr">
        <is>
          <t>Ledgport</t>
        </is>
      </c>
      <c r="C254" s="37" t="inlineStr">
        <is>
          <t>COVERED</t>
        </is>
      </c>
      <c r="D254" s="37" t="n">
        <v>24</v>
      </c>
      <c r="E254" s="37" t="inlineStr">
        <is>
          <t>OCCUPIED</t>
        </is>
      </c>
      <c r="F254" s="37" t="inlineStr">
        <is>
          <t>WL-02029</t>
        </is>
      </c>
      <c r="G254" s="37" t="inlineStr">
        <is>
          <t>Whitney Jackson</t>
        </is>
      </c>
      <c r="H254" s="37" t="n">
        <v>18</v>
      </c>
    </row>
    <row r="255">
      <c r="A255" s="37" t="inlineStr">
        <is>
          <t>LP-1114</t>
        </is>
      </c>
      <c r="B255" s="37" t="inlineStr">
        <is>
          <t>Ledgport</t>
        </is>
      </c>
      <c r="C255" s="37" t="inlineStr">
        <is>
          <t>COVERED</t>
        </is>
      </c>
      <c r="D255" s="37" t="n">
        <v>32</v>
      </c>
      <c r="E255" s="37" t="inlineStr">
        <is>
          <t>OCCUPIED</t>
        </is>
      </c>
      <c r="F255" s="37" t="inlineStr">
        <is>
          <t>WL-01680</t>
        </is>
      </c>
      <c r="G255" s="37" t="inlineStr">
        <is>
          <t>Sara Nelson</t>
        </is>
      </c>
      <c r="H255" s="37" t="n">
        <v>21.4</v>
      </c>
    </row>
    <row r="256">
      <c r="A256" s="37" t="inlineStr">
        <is>
          <t>LP-1115</t>
        </is>
      </c>
      <c r="B256" s="37" t="inlineStr">
        <is>
          <t>Ledgport</t>
        </is>
      </c>
      <c r="C256" s="37" t="inlineStr">
        <is>
          <t>COVERED</t>
        </is>
      </c>
      <c r="D256" s="37" t="n">
        <v>28</v>
      </c>
      <c r="E256" s="37" t="inlineStr">
        <is>
          <t>OCCUPIED</t>
        </is>
      </c>
      <c r="F256" s="37" t="inlineStr">
        <is>
          <t>WL-02792</t>
        </is>
      </c>
      <c r="G256" s="37" t="inlineStr">
        <is>
          <t>Michelle Marsh</t>
        </is>
      </c>
      <c r="H256" s="37" t="n">
        <v>58.7</v>
      </c>
    </row>
    <row r="257">
      <c r="A257" s="37" t="inlineStr">
        <is>
          <t>LP-1116</t>
        </is>
      </c>
      <c r="B257" s="37" t="inlineStr">
        <is>
          <t>Ledgport</t>
        </is>
      </c>
      <c r="C257" s="37" t="inlineStr">
        <is>
          <t>COVERED</t>
        </is>
      </c>
      <c r="D257" s="37" t="n">
        <v>28</v>
      </c>
      <c r="E257" s="37" t="inlineStr">
        <is>
          <t>OCCUPIED</t>
        </is>
      </c>
      <c r="F257" s="37" t="inlineStr">
        <is>
          <t>WL-03453</t>
        </is>
      </c>
      <c r="G257" s="37" t="inlineStr">
        <is>
          <t>Kelly Johnson</t>
        </is>
      </c>
      <c r="H257" s="37" t="n">
        <v>36.8</v>
      </c>
    </row>
    <row r="258">
      <c r="A258" s="37" t="inlineStr">
        <is>
          <t>LP-1117</t>
        </is>
      </c>
      <c r="B258" s="37" t="inlineStr">
        <is>
          <t>Ledgport</t>
        </is>
      </c>
      <c r="C258" s="37" t="inlineStr">
        <is>
          <t>COVERED</t>
        </is>
      </c>
      <c r="D258" s="37" t="n">
        <v>24</v>
      </c>
      <c r="E258" s="37" t="inlineStr">
        <is>
          <t>OCCUPIED</t>
        </is>
      </c>
      <c r="F258" s="37" t="inlineStr">
        <is>
          <t>WL-01944</t>
        </is>
      </c>
      <c r="G258" s="37" t="inlineStr">
        <is>
          <t>Tina Wells</t>
        </is>
      </c>
      <c r="H258" s="37" t="n">
        <v>62</v>
      </c>
    </row>
    <row r="259">
      <c r="A259" s="37" t="inlineStr">
        <is>
          <t>LP-1118</t>
        </is>
      </c>
      <c r="B259" s="37" t="inlineStr">
        <is>
          <t>Ledgport</t>
        </is>
      </c>
      <c r="C259" s="37" t="inlineStr">
        <is>
          <t>COVERED</t>
        </is>
      </c>
      <c r="D259" s="37" t="n">
        <v>24</v>
      </c>
      <c r="E259" s="37" t="inlineStr">
        <is>
          <t>OCCUPIED</t>
        </is>
      </c>
      <c r="F259" s="37" t="inlineStr">
        <is>
          <t>WL-02489</t>
        </is>
      </c>
      <c r="G259" s="37" t="inlineStr">
        <is>
          <t>Caitlin Burgess</t>
        </is>
      </c>
      <c r="H259" s="37" t="n">
        <v>59.8</v>
      </c>
    </row>
    <row r="260">
      <c r="A260" s="37" t="inlineStr">
        <is>
          <t>LP-1119</t>
        </is>
      </c>
      <c r="B260" s="37" t="inlineStr">
        <is>
          <t>Ledgport</t>
        </is>
      </c>
      <c r="C260" s="37" t="inlineStr">
        <is>
          <t>COVERED</t>
        </is>
      </c>
      <c r="D260" s="37" t="n">
        <v>32</v>
      </c>
      <c r="E260" s="37" t="inlineStr">
        <is>
          <t>OCCUPIED</t>
        </is>
      </c>
      <c r="F260" s="37" t="inlineStr">
        <is>
          <t>WL-03252</t>
        </is>
      </c>
      <c r="G260" s="37" t="inlineStr">
        <is>
          <t>John Gregory</t>
        </is>
      </c>
      <c r="H260" s="37" t="n">
        <v>41.3</v>
      </c>
    </row>
    <row r="261">
      <c r="A261" s="37" t="inlineStr">
        <is>
          <t>LP-1120</t>
        </is>
      </c>
      <c r="B261" s="37" t="inlineStr">
        <is>
          <t>Ledgport</t>
        </is>
      </c>
      <c r="C261" s="37" t="inlineStr">
        <is>
          <t>COVERED</t>
        </is>
      </c>
      <c r="D261" s="37" t="n">
        <v>32</v>
      </c>
      <c r="E261" s="37" t="inlineStr">
        <is>
          <t>OCCUPIED</t>
        </is>
      </c>
      <c r="F261" s="37" t="inlineStr">
        <is>
          <t>WL-01021</t>
        </is>
      </c>
      <c r="G261" s="37" t="inlineStr">
        <is>
          <t>Deborah Freeman</t>
        </is>
      </c>
      <c r="H261" s="37" t="n">
        <v>24.1</v>
      </c>
    </row>
    <row r="262">
      <c r="A262" s="37" t="inlineStr">
        <is>
          <t>VB-0101</t>
        </is>
      </c>
      <c r="B262" s="37" t="inlineStr">
        <is>
          <t>Vessbank</t>
        </is>
      </c>
      <c r="C262" s="37" t="inlineStr">
        <is>
          <t>COVERED</t>
        </is>
      </c>
      <c r="D262" s="37" t="n">
        <v>36</v>
      </c>
      <c r="E262" s="37" t="inlineStr">
        <is>
          <t>OCCUPIED</t>
        </is>
      </c>
      <c r="F262" s="37" t="inlineStr">
        <is>
          <t>WL-03423</t>
        </is>
      </c>
      <c r="G262" s="37" t="inlineStr">
        <is>
          <t>Sarah Walker</t>
        </is>
      </c>
      <c r="H262" s="37" t="n">
        <v>61</v>
      </c>
    </row>
    <row r="263">
      <c r="A263" s="37" t="inlineStr">
        <is>
          <t>VB-0102</t>
        </is>
      </c>
      <c r="B263" s="37" t="inlineStr">
        <is>
          <t>Vessbank</t>
        </is>
      </c>
      <c r="C263" s="37" t="inlineStr">
        <is>
          <t>COVERED</t>
        </is>
      </c>
      <c r="D263" s="37" t="n">
        <v>24</v>
      </c>
      <c r="E263" s="37" t="inlineStr">
        <is>
          <t>OCCUPIED</t>
        </is>
      </c>
      <c r="F263" s="37" t="inlineStr">
        <is>
          <t>WL-03356</t>
        </is>
      </c>
      <c r="G263" s="37" t="inlineStr">
        <is>
          <t>Nathaniel Flores</t>
        </is>
      </c>
      <c r="H263" s="37" t="n">
        <v>33.2</v>
      </c>
    </row>
    <row r="264">
      <c r="A264" s="37" t="inlineStr">
        <is>
          <t>VB-0103</t>
        </is>
      </c>
      <c r="B264" s="37" t="inlineStr">
        <is>
          <t>Vessbank</t>
        </is>
      </c>
      <c r="C264" s="37" t="inlineStr">
        <is>
          <t>COVERED</t>
        </is>
      </c>
      <c r="D264" s="37" t="n">
        <v>24</v>
      </c>
      <c r="E264" s="37" t="inlineStr">
        <is>
          <t>OCCUPIED</t>
        </is>
      </c>
      <c r="F264" s="37" t="inlineStr">
        <is>
          <t>WL-03152</t>
        </is>
      </c>
      <c r="G264" s="37" t="inlineStr">
        <is>
          <t>Kenneth Simmons</t>
        </is>
      </c>
      <c r="H264" s="37" t="n">
        <v>38.9</v>
      </c>
    </row>
    <row r="265">
      <c r="A265" s="37" t="inlineStr">
        <is>
          <t>VB-0104</t>
        </is>
      </c>
      <c r="B265" s="37" t="inlineStr">
        <is>
          <t>Vessbank</t>
        </is>
      </c>
      <c r="C265" s="37" t="inlineStr">
        <is>
          <t>COVERED</t>
        </is>
      </c>
      <c r="D265" s="37" t="n">
        <v>24</v>
      </c>
      <c r="E265" s="37" t="inlineStr">
        <is>
          <t>RESERVED</t>
        </is>
      </c>
    </row>
    <row r="266">
      <c r="A266" s="37" t="inlineStr">
        <is>
          <t>VB-0105</t>
        </is>
      </c>
      <c r="B266" s="37" t="inlineStr">
        <is>
          <t>Vessbank</t>
        </is>
      </c>
      <c r="C266" s="37" t="inlineStr">
        <is>
          <t>COVERED</t>
        </is>
      </c>
      <c r="D266" s="37" t="n">
        <v>40</v>
      </c>
      <c r="E266" s="37" t="inlineStr">
        <is>
          <t>OCCUPIED</t>
        </is>
      </c>
      <c r="F266" s="37" t="inlineStr">
        <is>
          <t>WL-03843</t>
        </is>
      </c>
      <c r="G266" s="37" t="inlineStr">
        <is>
          <t>Tricia Davila</t>
        </is>
      </c>
      <c r="H266" s="37" t="n">
        <v>53.9</v>
      </c>
    </row>
    <row r="267">
      <c r="A267" s="37" t="inlineStr">
        <is>
          <t>VB-0106</t>
        </is>
      </c>
      <c r="B267" s="37" t="inlineStr">
        <is>
          <t>Vessbank</t>
        </is>
      </c>
      <c r="C267" s="37" t="inlineStr">
        <is>
          <t>COVERED</t>
        </is>
      </c>
      <c r="D267" s="37" t="n">
        <v>24</v>
      </c>
      <c r="E267" s="37" t="inlineStr">
        <is>
          <t>OCCUPIED</t>
        </is>
      </c>
      <c r="F267" s="37" t="inlineStr">
        <is>
          <t>WL-01252</t>
        </is>
      </c>
      <c r="G267" s="37" t="inlineStr">
        <is>
          <t>Regina Brown</t>
        </is>
      </c>
      <c r="H267" s="37" t="n">
        <v>48.2</v>
      </c>
    </row>
    <row r="268">
      <c r="A268" s="37" t="inlineStr">
        <is>
          <t>VB-0107</t>
        </is>
      </c>
      <c r="B268" s="37" t="inlineStr">
        <is>
          <t>Vessbank</t>
        </is>
      </c>
      <c r="C268" s="37" t="inlineStr">
        <is>
          <t>COVERED</t>
        </is>
      </c>
      <c r="D268" s="37" t="n">
        <v>24</v>
      </c>
      <c r="E268" s="37" t="inlineStr">
        <is>
          <t>OCCUPIED</t>
        </is>
      </c>
      <c r="F268" s="37" t="inlineStr">
        <is>
          <t>WL-02845</t>
        </is>
      </c>
      <c r="G268" s="37" t="inlineStr">
        <is>
          <t>Joshua Ortiz</t>
        </is>
      </c>
      <c r="H268" s="37" t="n">
        <v>35.5</v>
      </c>
    </row>
    <row r="269">
      <c r="A269" s="37" t="inlineStr">
        <is>
          <t>VB-0108</t>
        </is>
      </c>
      <c r="B269" s="37" t="inlineStr">
        <is>
          <t>Vessbank</t>
        </is>
      </c>
      <c r="C269" s="37" t="inlineStr">
        <is>
          <t>COVERED</t>
        </is>
      </c>
      <c r="D269" s="37" t="n">
        <v>32</v>
      </c>
      <c r="E269" s="37" t="inlineStr">
        <is>
          <t>OCCUPIED</t>
        </is>
      </c>
      <c r="F269" s="37" t="inlineStr">
        <is>
          <t>WL-03877</t>
        </is>
      </c>
      <c r="G269" s="37" t="inlineStr">
        <is>
          <t>Jerry Davis</t>
        </is>
      </c>
      <c r="H269" s="37" t="n">
        <v>29.7</v>
      </c>
    </row>
    <row r="270">
      <c r="A270" s="37" t="inlineStr">
        <is>
          <t>VB-0109</t>
        </is>
      </c>
      <c r="B270" s="37" t="inlineStr">
        <is>
          <t>Vessbank</t>
        </is>
      </c>
      <c r="C270" s="37" t="inlineStr">
        <is>
          <t>COVERED</t>
        </is>
      </c>
      <c r="D270" s="37" t="n">
        <v>28</v>
      </c>
      <c r="E270" s="37" t="inlineStr">
        <is>
          <t>OCCUPIED</t>
        </is>
      </c>
      <c r="F270" s="37" t="inlineStr">
        <is>
          <t>WL-02551</t>
        </is>
      </c>
      <c r="G270" s="37" t="inlineStr">
        <is>
          <t>Nicole Brown</t>
        </is>
      </c>
      <c r="H270" s="37" t="n">
        <v>30.9</v>
      </c>
    </row>
    <row r="271">
      <c r="A271" s="37" t="inlineStr">
        <is>
          <t>VB-0110</t>
        </is>
      </c>
      <c r="B271" s="37" t="inlineStr">
        <is>
          <t>Vessbank</t>
        </is>
      </c>
      <c r="C271" s="37" t="inlineStr">
        <is>
          <t>COVERED</t>
        </is>
      </c>
      <c r="D271" s="37" t="n">
        <v>24</v>
      </c>
      <c r="E271" s="37" t="inlineStr">
        <is>
          <t>OCCUPIED</t>
        </is>
      </c>
      <c r="F271" s="37" t="inlineStr">
        <is>
          <t>WL-01895</t>
        </is>
      </c>
      <c r="G271" s="37" t="inlineStr">
        <is>
          <t>Lisa Brown</t>
        </is>
      </c>
      <c r="H271" s="37" t="n">
        <v>52</v>
      </c>
    </row>
    <row r="272">
      <c r="A272" s="37" t="inlineStr">
        <is>
          <t>VB-0111</t>
        </is>
      </c>
      <c r="B272" s="37" t="inlineStr">
        <is>
          <t>Vessbank</t>
        </is>
      </c>
      <c r="C272" s="37" t="inlineStr">
        <is>
          <t>COVERED</t>
        </is>
      </c>
      <c r="D272" s="37" t="n">
        <v>32</v>
      </c>
      <c r="E272" s="37" t="inlineStr">
        <is>
          <t>OCCUPIED</t>
        </is>
      </c>
      <c r="F272" s="37" t="inlineStr">
        <is>
          <t>WL-03639</t>
        </is>
      </c>
      <c r="G272" s="37" t="inlineStr">
        <is>
          <t>Toni Graves</t>
        </is>
      </c>
      <c r="H272" s="37" t="n">
        <v>39</v>
      </c>
    </row>
    <row r="273">
      <c r="A273" s="37" t="inlineStr">
        <is>
          <t>VB-0112</t>
        </is>
      </c>
      <c r="B273" s="37" t="inlineStr">
        <is>
          <t>Vessbank</t>
        </is>
      </c>
      <c r="C273" s="37" t="inlineStr">
        <is>
          <t>COVERED</t>
        </is>
      </c>
      <c r="D273" s="37" t="n">
        <v>36</v>
      </c>
      <c r="E273" s="37" t="inlineStr">
        <is>
          <t>OCCUPIED</t>
        </is>
      </c>
      <c r="F273" s="37" t="inlineStr">
        <is>
          <t>WL-01196</t>
        </is>
      </c>
      <c r="G273" s="37" t="inlineStr">
        <is>
          <t>Valerie Montgomery</t>
        </is>
      </c>
      <c r="H273" s="37" t="n">
        <v>53</v>
      </c>
    </row>
    <row r="274">
      <c r="A274" s="37" t="inlineStr">
        <is>
          <t>VB-0113</t>
        </is>
      </c>
      <c r="B274" s="37" t="inlineStr">
        <is>
          <t>Vessbank</t>
        </is>
      </c>
      <c r="C274" s="37" t="inlineStr">
        <is>
          <t>COVERED</t>
        </is>
      </c>
      <c r="D274" s="37" t="n">
        <v>28</v>
      </c>
      <c r="E274" s="37" t="inlineStr">
        <is>
          <t>OCCUPIED</t>
        </is>
      </c>
      <c r="F274" s="37" t="inlineStr">
        <is>
          <t>WL-01600</t>
        </is>
      </c>
      <c r="G274" s="37" t="inlineStr">
        <is>
          <t>Kimberly Solomon</t>
        </is>
      </c>
      <c r="H274" s="37" t="n">
        <v>24.8</v>
      </c>
    </row>
    <row r="275">
      <c r="A275" s="37" t="inlineStr">
        <is>
          <t>VB-0114</t>
        </is>
      </c>
      <c r="B275" s="37" t="inlineStr">
        <is>
          <t>Vessbank</t>
        </is>
      </c>
      <c r="C275" s="37" t="inlineStr">
        <is>
          <t>COVERED</t>
        </is>
      </c>
      <c r="D275" s="37" t="n">
        <v>28</v>
      </c>
      <c r="E275" s="37" t="inlineStr">
        <is>
          <t>OCCUPIED</t>
        </is>
      </c>
      <c r="F275" s="37" t="inlineStr">
        <is>
          <t>WL-02156</t>
        </is>
      </c>
      <c r="G275" s="37" t="inlineStr">
        <is>
          <t>Ariana Jenkins</t>
        </is>
      </c>
      <c r="H275" s="37" t="n">
        <v>40.2</v>
      </c>
    </row>
    <row r="276">
      <c r="A276" s="37" t="inlineStr">
        <is>
          <t>VB-0115</t>
        </is>
      </c>
      <c r="B276" s="37" t="inlineStr">
        <is>
          <t>Vessbank</t>
        </is>
      </c>
      <c r="C276" s="37" t="inlineStr">
        <is>
          <t>COVERED</t>
        </is>
      </c>
      <c r="D276" s="37" t="n">
        <v>24</v>
      </c>
      <c r="E276" s="37" t="inlineStr">
        <is>
          <t>OCCUPIED</t>
        </is>
      </c>
      <c r="F276" s="37" t="inlineStr">
        <is>
          <t>WL-03848</t>
        </is>
      </c>
      <c r="G276" s="37" t="inlineStr">
        <is>
          <t>Anne Thomas</t>
        </is>
      </c>
      <c r="H276" s="37" t="n">
        <v>32</v>
      </c>
    </row>
    <row r="277">
      <c r="A277" s="37" t="inlineStr">
        <is>
          <t>VB-0116</t>
        </is>
      </c>
      <c r="B277" s="37" t="inlineStr">
        <is>
          <t>Vessbank</t>
        </is>
      </c>
      <c r="C277" s="37" t="inlineStr">
        <is>
          <t>COVERED</t>
        </is>
      </c>
      <c r="D277" s="37" t="n">
        <v>36</v>
      </c>
      <c r="E277" s="37" t="inlineStr">
        <is>
          <t>OCCUPIED</t>
        </is>
      </c>
      <c r="F277" s="37" t="inlineStr">
        <is>
          <t>WL-03426</t>
        </is>
      </c>
      <c r="G277" s="37" t="inlineStr">
        <is>
          <t>Amanda Jackson</t>
        </is>
      </c>
      <c r="H277" s="37" t="n">
        <v>54.6</v>
      </c>
    </row>
    <row r="278">
      <c r="A278" s="37" t="inlineStr">
        <is>
          <t>VB-0117</t>
        </is>
      </c>
      <c r="B278" s="37" t="inlineStr">
        <is>
          <t>Vessbank</t>
        </is>
      </c>
      <c r="C278" s="37" t="inlineStr">
        <is>
          <t>COVERED</t>
        </is>
      </c>
      <c r="D278" s="37" t="n">
        <v>32</v>
      </c>
      <c r="E278" s="37" t="inlineStr">
        <is>
          <t>OCCUPIED</t>
        </is>
      </c>
      <c r="F278" s="37" t="inlineStr">
        <is>
          <t>WL-01706</t>
        </is>
      </c>
      <c r="G278" s="37" t="inlineStr">
        <is>
          <t>Michael Lee</t>
        </is>
      </c>
      <c r="H278" s="37" t="n">
        <v>53.2</v>
      </c>
    </row>
    <row r="279">
      <c r="A279" s="37" t="inlineStr">
        <is>
          <t>VB-0118</t>
        </is>
      </c>
      <c r="B279" s="37" t="inlineStr">
        <is>
          <t>Vessbank</t>
        </is>
      </c>
      <c r="C279" s="37" t="inlineStr">
        <is>
          <t>COVERED</t>
        </is>
      </c>
      <c r="D279" s="37" t="n">
        <v>24</v>
      </c>
      <c r="E279" s="37" t="inlineStr">
        <is>
          <t>OCCUPIED</t>
        </is>
      </c>
      <c r="F279" s="37" t="inlineStr">
        <is>
          <t>WL-01297</t>
        </is>
      </c>
      <c r="G279" s="37" t="inlineStr">
        <is>
          <t>Alan Harris</t>
        </is>
      </c>
      <c r="H279" s="37" t="n">
        <v>44</v>
      </c>
    </row>
    <row r="280">
      <c r="A280" s="37" t="inlineStr">
        <is>
          <t>VB-0119</t>
        </is>
      </c>
      <c r="B280" s="37" t="inlineStr">
        <is>
          <t>Vessbank</t>
        </is>
      </c>
      <c r="C280" s="37" t="inlineStr">
        <is>
          <t>COVERED</t>
        </is>
      </c>
      <c r="D280" s="37" t="n">
        <v>32</v>
      </c>
      <c r="E280" s="37" t="inlineStr">
        <is>
          <t>OCCUPIED</t>
        </is>
      </c>
      <c r="F280" s="37" t="inlineStr">
        <is>
          <t>WL-01640</t>
        </is>
      </c>
      <c r="G280" s="37" t="inlineStr">
        <is>
          <t>Tammy Stone</t>
        </is>
      </c>
      <c r="H280" s="37" t="n">
        <v>61.3</v>
      </c>
    </row>
    <row r="281">
      <c r="A281" s="37" t="inlineStr">
        <is>
          <t>VB-0120</t>
        </is>
      </c>
      <c r="B281" s="37" t="inlineStr">
        <is>
          <t>Vessbank</t>
        </is>
      </c>
      <c r="C281" s="37" t="inlineStr">
        <is>
          <t>COVERED</t>
        </is>
      </c>
      <c r="D281" s="37" t="n">
        <v>28</v>
      </c>
      <c r="E281" s="37" t="inlineStr">
        <is>
          <t>OCCUPIED</t>
        </is>
      </c>
      <c r="F281" s="37" t="inlineStr">
        <is>
          <t>WL-02030</t>
        </is>
      </c>
      <c r="G281" s="37" t="inlineStr">
        <is>
          <t>Adam Carr</t>
        </is>
      </c>
      <c r="H281" s="37" t="n">
        <v>47.6</v>
      </c>
    </row>
    <row r="282">
      <c r="A282" s="37" t="inlineStr">
        <is>
          <t>VB-0121</t>
        </is>
      </c>
      <c r="B282" s="37" t="inlineStr">
        <is>
          <t>Vessbank</t>
        </is>
      </c>
      <c r="C282" s="37" t="inlineStr">
        <is>
          <t>COVERED</t>
        </is>
      </c>
      <c r="D282" s="37" t="n">
        <v>32</v>
      </c>
      <c r="E282" s="37" t="inlineStr">
        <is>
          <t>OCCUPIED</t>
        </is>
      </c>
      <c r="F282" s="37" t="inlineStr">
        <is>
          <t>WL-02857</t>
        </is>
      </c>
      <c r="G282" s="37" t="inlineStr">
        <is>
          <t>Charles Nichols</t>
        </is>
      </c>
      <c r="H282" s="37" t="n">
        <v>56.3</v>
      </c>
    </row>
    <row r="283">
      <c r="A283" s="37" t="inlineStr">
        <is>
          <t>VB-0122</t>
        </is>
      </c>
      <c r="B283" s="37" t="inlineStr">
        <is>
          <t>Vessbank</t>
        </is>
      </c>
      <c r="C283" s="37" t="inlineStr">
        <is>
          <t>COVERED</t>
        </is>
      </c>
      <c r="D283" s="37" t="n">
        <v>40</v>
      </c>
      <c r="E283" s="37" t="inlineStr">
        <is>
          <t>OCCUPIED</t>
        </is>
      </c>
      <c r="F283" s="37" t="inlineStr">
        <is>
          <t>WL-01705</t>
        </is>
      </c>
      <c r="G283" s="37" t="inlineStr">
        <is>
          <t>Tracy Walker</t>
        </is>
      </c>
      <c r="H283" s="37" t="n">
        <v>31.4</v>
      </c>
    </row>
    <row r="284">
      <c r="A284" s="37" t="inlineStr">
        <is>
          <t>VB-0123</t>
        </is>
      </c>
      <c r="B284" s="37" t="inlineStr">
        <is>
          <t>Vessbank</t>
        </is>
      </c>
      <c r="C284" s="37" t="inlineStr">
        <is>
          <t>COVERED</t>
        </is>
      </c>
      <c r="D284" s="37" t="n">
        <v>36</v>
      </c>
      <c r="E284" s="37" t="inlineStr">
        <is>
          <t>OCCUPIED</t>
        </is>
      </c>
      <c r="F284" s="37" t="inlineStr">
        <is>
          <t>WL-03171</t>
        </is>
      </c>
      <c r="G284" s="37" t="inlineStr">
        <is>
          <t>Destiny Tucker</t>
        </is>
      </c>
      <c r="H284" s="37" t="n">
        <v>58.8</v>
      </c>
    </row>
    <row r="285">
      <c r="A285" s="37" t="inlineStr">
        <is>
          <t>VB-0124</t>
        </is>
      </c>
      <c r="B285" s="37" t="inlineStr">
        <is>
          <t>Vessbank</t>
        </is>
      </c>
      <c r="C285" s="37" t="inlineStr">
        <is>
          <t>COVERED</t>
        </is>
      </c>
      <c r="D285" s="37" t="n">
        <v>32</v>
      </c>
      <c r="E285" s="37" t="inlineStr">
        <is>
          <t>OCCUPIED</t>
        </is>
      </c>
      <c r="F285" s="37" t="inlineStr">
        <is>
          <t>WL-03145</t>
        </is>
      </c>
      <c r="G285" s="37" t="inlineStr">
        <is>
          <t>Connie Hernandez</t>
        </is>
      </c>
      <c r="H285" s="37" t="n">
        <v>46.9</v>
      </c>
    </row>
    <row r="286">
      <c r="A286" s="37" t="inlineStr">
        <is>
          <t>VB-0201</t>
        </is>
      </c>
      <c r="B286" s="37" t="inlineStr">
        <is>
          <t>Vessbank</t>
        </is>
      </c>
      <c r="C286" s="37" t="inlineStr">
        <is>
          <t>COVERED</t>
        </is>
      </c>
      <c r="D286" s="37" t="n">
        <v>32</v>
      </c>
      <c r="E286" s="37" t="inlineStr">
        <is>
          <t>OCCUPIED</t>
        </is>
      </c>
      <c r="F286" s="37" t="inlineStr">
        <is>
          <t>WL-01629</t>
        </is>
      </c>
      <c r="G286" s="37" t="inlineStr">
        <is>
          <t>Mary Parker</t>
        </is>
      </c>
      <c r="H286" s="37" t="n">
        <v>42.3</v>
      </c>
    </row>
    <row r="287">
      <c r="A287" s="37" t="inlineStr">
        <is>
          <t>VB-0202</t>
        </is>
      </c>
      <c r="B287" s="37" t="inlineStr">
        <is>
          <t>Vessbank</t>
        </is>
      </c>
      <c r="C287" s="37" t="inlineStr">
        <is>
          <t>COVERED</t>
        </is>
      </c>
      <c r="D287" s="37" t="n">
        <v>40</v>
      </c>
      <c r="E287" s="37" t="inlineStr">
        <is>
          <t>OCCUPIED</t>
        </is>
      </c>
      <c r="F287" s="37" t="inlineStr">
        <is>
          <t>WL-02677</t>
        </is>
      </c>
      <c r="G287" s="37" t="inlineStr">
        <is>
          <t>Brandon Cabrera</t>
        </is>
      </c>
      <c r="H287" s="37" t="n">
        <v>27.2</v>
      </c>
    </row>
    <row r="288">
      <c r="A288" s="37" t="inlineStr">
        <is>
          <t>VB-0203</t>
        </is>
      </c>
      <c r="B288" s="37" t="inlineStr">
        <is>
          <t>Vessbank</t>
        </is>
      </c>
      <c r="C288" s="37" t="inlineStr">
        <is>
          <t>COVERED</t>
        </is>
      </c>
      <c r="D288" s="37" t="n">
        <v>32</v>
      </c>
      <c r="E288" s="37" t="inlineStr">
        <is>
          <t>OCCUPIED</t>
        </is>
      </c>
      <c r="F288" s="37" t="inlineStr">
        <is>
          <t>WL-03705</t>
        </is>
      </c>
      <c r="G288" s="37" t="inlineStr">
        <is>
          <t>Brittany Garcia</t>
        </is>
      </c>
      <c r="H288" s="37" t="n">
        <v>36</v>
      </c>
    </row>
    <row r="289">
      <c r="A289" s="37" t="inlineStr">
        <is>
          <t>VB-0204</t>
        </is>
      </c>
      <c r="B289" s="37" t="inlineStr">
        <is>
          <t>Vessbank</t>
        </is>
      </c>
      <c r="C289" s="37" t="inlineStr">
        <is>
          <t>COVERED</t>
        </is>
      </c>
      <c r="D289" s="37" t="n">
        <v>40</v>
      </c>
      <c r="E289" s="37" t="inlineStr">
        <is>
          <t>OCCUPIED</t>
        </is>
      </c>
      <c r="F289" s="37" t="inlineStr">
        <is>
          <t>WL-03015</t>
        </is>
      </c>
      <c r="G289" s="37" t="inlineStr">
        <is>
          <t>Andrew Osborne</t>
        </is>
      </c>
      <c r="H289" s="37" t="n">
        <v>41.7</v>
      </c>
    </row>
    <row r="290">
      <c r="A290" s="37" t="inlineStr">
        <is>
          <t>VB-0205</t>
        </is>
      </c>
      <c r="B290" s="37" t="inlineStr">
        <is>
          <t>Vessbank</t>
        </is>
      </c>
      <c r="C290" s="37" t="inlineStr">
        <is>
          <t>COVERED</t>
        </is>
      </c>
      <c r="D290" s="37" t="n">
        <v>28</v>
      </c>
      <c r="E290" s="37" t="inlineStr">
        <is>
          <t>OCCUPIED</t>
        </is>
      </c>
      <c r="F290" s="37" t="inlineStr">
        <is>
          <t>WL-02622</t>
        </is>
      </c>
      <c r="G290" s="37" t="inlineStr">
        <is>
          <t>Laura Murillo</t>
        </is>
      </c>
      <c r="H290" s="37" t="n">
        <v>34.3</v>
      </c>
    </row>
    <row r="291">
      <c r="A291" s="37" t="inlineStr">
        <is>
          <t>VB-0206</t>
        </is>
      </c>
      <c r="B291" s="37" t="inlineStr">
        <is>
          <t>Vessbank</t>
        </is>
      </c>
      <c r="C291" s="37" t="inlineStr">
        <is>
          <t>COVERED</t>
        </is>
      </c>
      <c r="D291" s="37" t="n">
        <v>28</v>
      </c>
      <c r="E291" s="37" t="inlineStr">
        <is>
          <t>OCCUPIED</t>
        </is>
      </c>
      <c r="F291" s="37" t="inlineStr">
        <is>
          <t>WL-01377</t>
        </is>
      </c>
      <c r="G291" s="37" t="inlineStr">
        <is>
          <t>Rhonda Ferguson</t>
        </is>
      </c>
      <c r="H291" s="37" t="n">
        <v>22.5</v>
      </c>
    </row>
    <row r="292">
      <c r="A292" s="37" t="inlineStr">
        <is>
          <t>VB-0207</t>
        </is>
      </c>
      <c r="B292" s="37" t="inlineStr">
        <is>
          <t>Vessbank</t>
        </is>
      </c>
      <c r="C292" s="37" t="inlineStr">
        <is>
          <t>COVERED</t>
        </is>
      </c>
      <c r="D292" s="37" t="n">
        <v>24</v>
      </c>
      <c r="E292" s="37" t="inlineStr">
        <is>
          <t>OCCUPIED</t>
        </is>
      </c>
      <c r="F292" s="37" t="inlineStr">
        <is>
          <t>WL-03580</t>
        </is>
      </c>
      <c r="G292" s="37" t="inlineStr">
        <is>
          <t>Rebecca Carson</t>
        </is>
      </c>
      <c r="H292" s="37" t="n">
        <v>49.1</v>
      </c>
    </row>
    <row r="293">
      <c r="A293" s="37" t="inlineStr">
        <is>
          <t>VB-0208</t>
        </is>
      </c>
      <c r="B293" s="37" t="inlineStr">
        <is>
          <t>Vessbank</t>
        </is>
      </c>
      <c r="C293" s="37" t="inlineStr">
        <is>
          <t>COVERED</t>
        </is>
      </c>
      <c r="D293" s="37" t="n">
        <v>40</v>
      </c>
      <c r="E293" s="37" t="inlineStr">
        <is>
          <t>OCCUPIED</t>
        </is>
      </c>
      <c r="F293" s="37" t="inlineStr">
        <is>
          <t>WL-03499</t>
        </is>
      </c>
      <c r="G293" s="37" t="inlineStr">
        <is>
          <t>Cameron Foster</t>
        </is>
      </c>
      <c r="H293" s="37" t="n">
        <v>21.8</v>
      </c>
    </row>
    <row r="294">
      <c r="A294" s="37" t="inlineStr">
        <is>
          <t>VB-0209</t>
        </is>
      </c>
      <c r="B294" s="37" t="inlineStr">
        <is>
          <t>Vessbank</t>
        </is>
      </c>
      <c r="C294" s="37" t="inlineStr">
        <is>
          <t>COVERED</t>
        </is>
      </c>
      <c r="D294" s="37" t="n">
        <v>32</v>
      </c>
      <c r="E294" s="37" t="inlineStr">
        <is>
          <t>OCCUPIED</t>
        </is>
      </c>
      <c r="F294" s="37" t="inlineStr">
        <is>
          <t>WL-02734</t>
        </is>
      </c>
      <c r="G294" s="37" t="inlineStr">
        <is>
          <t>Kenneth Lewis</t>
        </is>
      </c>
      <c r="H294" s="37" t="n">
        <v>38.1</v>
      </c>
    </row>
    <row r="295">
      <c r="A295" s="37" t="inlineStr">
        <is>
          <t>VB-0210</t>
        </is>
      </c>
      <c r="B295" s="37" t="inlineStr">
        <is>
          <t>Vessbank</t>
        </is>
      </c>
      <c r="C295" s="37" t="inlineStr">
        <is>
          <t>COVERED</t>
        </is>
      </c>
      <c r="D295" s="37" t="n">
        <v>28</v>
      </c>
      <c r="E295" s="37" t="inlineStr">
        <is>
          <t>OCCUPIED</t>
        </is>
      </c>
      <c r="F295" s="37" t="inlineStr">
        <is>
          <t>WL-02868</t>
        </is>
      </c>
      <c r="G295" s="37" t="inlineStr">
        <is>
          <t>Michael Lopez</t>
        </is>
      </c>
      <c r="H295" s="37" t="n">
        <v>20.9</v>
      </c>
    </row>
    <row r="296">
      <c r="A296" s="37" t="inlineStr">
        <is>
          <t>VB-0211</t>
        </is>
      </c>
      <c r="B296" s="37" t="inlineStr">
        <is>
          <t>Vessbank</t>
        </is>
      </c>
      <c r="C296" s="37" t="inlineStr">
        <is>
          <t>COVERED</t>
        </is>
      </c>
      <c r="D296" s="37" t="n">
        <v>40</v>
      </c>
      <c r="E296" s="37" t="inlineStr">
        <is>
          <t>OCCUPIED</t>
        </is>
      </c>
      <c r="F296" s="37" t="inlineStr">
        <is>
          <t>WL-02206</t>
        </is>
      </c>
      <c r="G296" s="37" t="inlineStr">
        <is>
          <t>Mary Morris</t>
        </is>
      </c>
      <c r="H296" s="37" t="n">
        <v>38.3</v>
      </c>
    </row>
    <row r="297">
      <c r="A297" s="37" t="inlineStr">
        <is>
          <t>VB-0212</t>
        </is>
      </c>
      <c r="B297" s="37" t="inlineStr">
        <is>
          <t>Vessbank</t>
        </is>
      </c>
      <c r="C297" s="37" t="inlineStr">
        <is>
          <t>COVERED</t>
        </is>
      </c>
      <c r="D297" s="37" t="n">
        <v>24</v>
      </c>
      <c r="E297" s="37" t="inlineStr">
        <is>
          <t>OCCUPIED</t>
        </is>
      </c>
      <c r="F297" s="37" t="inlineStr">
        <is>
          <t>WL-02983</t>
        </is>
      </c>
      <c r="G297" s="37" t="inlineStr">
        <is>
          <t>Albert Rodriguez</t>
        </is>
      </c>
      <c r="H297" s="37" t="n">
        <v>57.3</v>
      </c>
    </row>
    <row r="298">
      <c r="A298" s="37" t="inlineStr">
        <is>
          <t>VB-0213</t>
        </is>
      </c>
      <c r="B298" s="37" t="inlineStr">
        <is>
          <t>Vessbank</t>
        </is>
      </c>
      <c r="C298" s="37" t="inlineStr">
        <is>
          <t>COVERED</t>
        </is>
      </c>
      <c r="D298" s="37" t="n">
        <v>24</v>
      </c>
      <c r="E298" s="37" t="inlineStr">
        <is>
          <t>OCCUPIED</t>
        </is>
      </c>
      <c r="F298" s="37" t="inlineStr">
        <is>
          <t>WL-01002</t>
        </is>
      </c>
      <c r="G298" s="37" t="inlineStr">
        <is>
          <t>Virginia Ramirez</t>
        </is>
      </c>
      <c r="H298" s="37" t="n">
        <v>38.2</v>
      </c>
    </row>
    <row r="299">
      <c r="A299" s="37" t="inlineStr">
        <is>
          <t>VB-0214</t>
        </is>
      </c>
      <c r="B299" s="37" t="inlineStr">
        <is>
          <t>Vessbank</t>
        </is>
      </c>
      <c r="C299" s="37" t="inlineStr">
        <is>
          <t>COVERED</t>
        </is>
      </c>
      <c r="D299" s="37" t="n">
        <v>24</v>
      </c>
      <c r="E299" s="37" t="inlineStr">
        <is>
          <t>OCCUPIED</t>
        </is>
      </c>
      <c r="F299" s="37" t="inlineStr">
        <is>
          <t>WL-01871</t>
        </is>
      </c>
      <c r="G299" s="37" t="inlineStr">
        <is>
          <t>Amber Munoz</t>
        </is>
      </c>
      <c r="H299" s="37" t="n">
        <v>60.4</v>
      </c>
    </row>
    <row r="300">
      <c r="A300" s="37" t="inlineStr">
        <is>
          <t>VB-0215</t>
        </is>
      </c>
      <c r="B300" s="37" t="inlineStr">
        <is>
          <t>Vessbank</t>
        </is>
      </c>
      <c r="C300" s="37" t="inlineStr">
        <is>
          <t>COVERED</t>
        </is>
      </c>
      <c r="D300" s="37" t="n">
        <v>28</v>
      </c>
      <c r="E300" s="37" t="inlineStr">
        <is>
          <t>OCCUPIED</t>
        </is>
      </c>
      <c r="F300" s="37" t="inlineStr">
        <is>
          <t>WL-03364</t>
        </is>
      </c>
      <c r="G300" s="37" t="inlineStr">
        <is>
          <t>Brenda Patel</t>
        </is>
      </c>
      <c r="H300" s="37" t="n">
        <v>18.3</v>
      </c>
    </row>
    <row r="301">
      <c r="A301" s="37" t="inlineStr">
        <is>
          <t>VB-0216</t>
        </is>
      </c>
      <c r="B301" s="37" t="inlineStr">
        <is>
          <t>Vessbank</t>
        </is>
      </c>
      <c r="C301" s="37" t="inlineStr">
        <is>
          <t>COVERED</t>
        </is>
      </c>
      <c r="D301" s="37" t="n">
        <v>40</v>
      </c>
      <c r="E301" s="37" t="inlineStr">
        <is>
          <t>OCCUPIED</t>
        </is>
      </c>
      <c r="F301" s="37" t="inlineStr">
        <is>
          <t>WL-02253</t>
        </is>
      </c>
      <c r="G301" s="37" t="inlineStr">
        <is>
          <t>Nathan Parker</t>
        </is>
      </c>
      <c r="H301" s="37" t="n">
        <v>30.8</v>
      </c>
    </row>
    <row r="302">
      <c r="A302" s="37" t="inlineStr">
        <is>
          <t>VB-0217</t>
        </is>
      </c>
      <c r="B302" s="37" t="inlineStr">
        <is>
          <t>Vessbank</t>
        </is>
      </c>
      <c r="C302" s="37" t="inlineStr">
        <is>
          <t>COVERED</t>
        </is>
      </c>
      <c r="D302" s="37" t="n">
        <v>24</v>
      </c>
      <c r="E302" s="37" t="inlineStr">
        <is>
          <t>OCCUPIED</t>
        </is>
      </c>
      <c r="F302" s="37" t="inlineStr">
        <is>
          <t>WL-03383</t>
        </is>
      </c>
      <c r="G302" s="37" t="inlineStr">
        <is>
          <t>Michelle Potter</t>
        </is>
      </c>
      <c r="H302" s="37" t="n">
        <v>38.5</v>
      </c>
    </row>
    <row r="303">
      <c r="A303" s="37" t="inlineStr">
        <is>
          <t>VB-0218</t>
        </is>
      </c>
      <c r="B303" s="37" t="inlineStr">
        <is>
          <t>Vessbank</t>
        </is>
      </c>
      <c r="C303" s="37" t="inlineStr">
        <is>
          <t>COVERED</t>
        </is>
      </c>
      <c r="D303" s="37" t="n">
        <v>24</v>
      </c>
      <c r="E303" s="37" t="inlineStr">
        <is>
          <t>OCCUPIED</t>
        </is>
      </c>
      <c r="F303" s="37" t="inlineStr">
        <is>
          <t>WL-02534</t>
        </is>
      </c>
      <c r="G303" s="37" t="inlineStr">
        <is>
          <t>Daniel Erickson</t>
        </is>
      </c>
      <c r="H303" s="37" t="n">
        <v>27</v>
      </c>
    </row>
    <row r="304">
      <c r="A304" s="37" t="inlineStr">
        <is>
          <t>VB-0219</t>
        </is>
      </c>
      <c r="B304" s="37" t="inlineStr">
        <is>
          <t>Vessbank</t>
        </is>
      </c>
      <c r="C304" s="37" t="inlineStr">
        <is>
          <t>COVERED</t>
        </is>
      </c>
      <c r="D304" s="37" t="n">
        <v>28</v>
      </c>
      <c r="E304" s="37" t="inlineStr">
        <is>
          <t>OCCUPIED</t>
        </is>
      </c>
      <c r="F304" s="37" t="inlineStr">
        <is>
          <t>WL-02980</t>
        </is>
      </c>
      <c r="G304" s="37" t="inlineStr">
        <is>
          <t>Elizabeth Dixon</t>
        </is>
      </c>
      <c r="H304" s="37" t="n">
        <v>47.7</v>
      </c>
    </row>
    <row r="305">
      <c r="A305" s="37" t="inlineStr">
        <is>
          <t>VB-0220</t>
        </is>
      </c>
      <c r="B305" s="37" t="inlineStr">
        <is>
          <t>Vessbank</t>
        </is>
      </c>
      <c r="C305" s="37" t="inlineStr">
        <is>
          <t>COVERED</t>
        </is>
      </c>
      <c r="D305" s="37" t="n">
        <v>28</v>
      </c>
      <c r="E305" s="37" t="inlineStr">
        <is>
          <t>OCCUPIED</t>
        </is>
      </c>
      <c r="F305" s="37" t="inlineStr">
        <is>
          <t>WL-02537</t>
        </is>
      </c>
      <c r="G305" s="37" t="inlineStr">
        <is>
          <t>Calvin Nelson</t>
        </is>
      </c>
      <c r="H305" s="37" t="n">
        <v>24.4</v>
      </c>
    </row>
    <row r="306">
      <c r="A306" s="37" t="inlineStr">
        <is>
          <t>VB-0221</t>
        </is>
      </c>
      <c r="B306" s="37" t="inlineStr">
        <is>
          <t>Vessbank</t>
        </is>
      </c>
      <c r="C306" s="37" t="inlineStr">
        <is>
          <t>COVERED</t>
        </is>
      </c>
      <c r="D306" s="37" t="n">
        <v>24</v>
      </c>
      <c r="E306" s="37" t="inlineStr">
        <is>
          <t>OCCUPIED</t>
        </is>
      </c>
      <c r="F306" s="37" t="inlineStr">
        <is>
          <t>WL-01130</t>
        </is>
      </c>
      <c r="G306" s="37" t="inlineStr">
        <is>
          <t>Thomas Davis</t>
        </is>
      </c>
      <c r="H306" s="37" t="n">
        <v>31.2</v>
      </c>
    </row>
    <row r="307">
      <c r="A307" s="37" t="inlineStr">
        <is>
          <t>VB-0222</t>
        </is>
      </c>
      <c r="B307" s="37" t="inlineStr">
        <is>
          <t>Vessbank</t>
        </is>
      </c>
      <c r="C307" s="37" t="inlineStr">
        <is>
          <t>COVERED</t>
        </is>
      </c>
      <c r="D307" s="37" t="n">
        <v>28</v>
      </c>
      <c r="E307" s="37" t="inlineStr">
        <is>
          <t>OCCUPIED</t>
        </is>
      </c>
      <c r="F307" s="37" t="inlineStr">
        <is>
          <t>WL-02331</t>
        </is>
      </c>
      <c r="G307" s="37" t="inlineStr">
        <is>
          <t>Cassandra Gibbs</t>
        </is>
      </c>
      <c r="H307" s="37" t="n">
        <v>61.3</v>
      </c>
    </row>
    <row r="308">
      <c r="A308" s="37" t="inlineStr">
        <is>
          <t>VB-0223</t>
        </is>
      </c>
      <c r="B308" s="37" t="inlineStr">
        <is>
          <t>Vessbank</t>
        </is>
      </c>
      <c r="C308" s="37" t="inlineStr">
        <is>
          <t>COVERED</t>
        </is>
      </c>
      <c r="D308" s="37" t="n">
        <v>32</v>
      </c>
      <c r="E308" s="37" t="inlineStr">
        <is>
          <t>OCCUPIED</t>
        </is>
      </c>
      <c r="F308" s="37" t="inlineStr">
        <is>
          <t>WL-02078</t>
        </is>
      </c>
      <c r="G308" s="37" t="inlineStr">
        <is>
          <t>Brian Kramer</t>
        </is>
      </c>
      <c r="H308" s="37" t="n">
        <v>31.4</v>
      </c>
    </row>
    <row r="309">
      <c r="A309" s="37" t="inlineStr">
        <is>
          <t>VB-0224</t>
        </is>
      </c>
      <c r="B309" s="37" t="inlineStr">
        <is>
          <t>Vessbank</t>
        </is>
      </c>
      <c r="C309" s="37" t="inlineStr">
        <is>
          <t>COVERED</t>
        </is>
      </c>
      <c r="D309" s="37" t="n">
        <v>28</v>
      </c>
      <c r="E309" s="37" t="inlineStr">
        <is>
          <t>OCCUPIED</t>
        </is>
      </c>
      <c r="F309" s="37" t="inlineStr">
        <is>
          <t>WL-01263</t>
        </is>
      </c>
      <c r="G309" s="37" t="inlineStr">
        <is>
          <t>Sandra Goodwin</t>
        </is>
      </c>
      <c r="H309" s="37" t="n">
        <v>27</v>
      </c>
    </row>
    <row r="310">
      <c r="A310" s="37" t="inlineStr">
        <is>
          <t>VB-0301</t>
        </is>
      </c>
      <c r="B310" s="37" t="inlineStr">
        <is>
          <t>Vessbank</t>
        </is>
      </c>
      <c r="C310" s="37" t="inlineStr">
        <is>
          <t>COVERED</t>
        </is>
      </c>
      <c r="D310" s="37" t="n">
        <v>24</v>
      </c>
      <c r="E310" s="37" t="inlineStr">
        <is>
          <t>GUEST</t>
        </is>
      </c>
    </row>
    <row r="311">
      <c r="A311" s="37" t="inlineStr">
        <is>
          <t>VB-0302</t>
        </is>
      </c>
      <c r="B311" s="37" t="inlineStr">
        <is>
          <t>Vessbank</t>
        </is>
      </c>
      <c r="C311" s="37" t="inlineStr">
        <is>
          <t>COVERED</t>
        </is>
      </c>
      <c r="D311" s="37" t="n">
        <v>28</v>
      </c>
      <c r="E311" s="37" t="inlineStr">
        <is>
          <t>OCCUPIED</t>
        </is>
      </c>
      <c r="F311" s="37" t="inlineStr">
        <is>
          <t>WL-01447</t>
        </is>
      </c>
      <c r="G311" s="37" t="inlineStr">
        <is>
          <t>Tim Bailey</t>
        </is>
      </c>
      <c r="H311" s="37" t="n">
        <v>41.3</v>
      </c>
    </row>
    <row r="312">
      <c r="A312" s="37" t="inlineStr">
        <is>
          <t>VB-0303</t>
        </is>
      </c>
      <c r="B312" s="37" t="inlineStr">
        <is>
          <t>Vessbank</t>
        </is>
      </c>
      <c r="C312" s="37" t="inlineStr">
        <is>
          <t>COVERED</t>
        </is>
      </c>
      <c r="D312" s="37" t="n">
        <v>32</v>
      </c>
      <c r="E312" s="37" t="inlineStr">
        <is>
          <t>OCCUPIED</t>
        </is>
      </c>
      <c r="F312" s="37" t="inlineStr">
        <is>
          <t>WL-01339</t>
        </is>
      </c>
      <c r="G312" s="37" t="inlineStr">
        <is>
          <t>Robert Houston</t>
        </is>
      </c>
      <c r="H312" s="37" t="n">
        <v>30.5</v>
      </c>
    </row>
    <row r="313">
      <c r="A313" s="37" t="inlineStr">
        <is>
          <t>VB-0304</t>
        </is>
      </c>
      <c r="B313" s="37" t="inlineStr">
        <is>
          <t>Vessbank</t>
        </is>
      </c>
      <c r="C313" s="37" t="inlineStr">
        <is>
          <t>COVERED</t>
        </is>
      </c>
      <c r="D313" s="37" t="n">
        <v>32</v>
      </c>
      <c r="E313" s="37" t="inlineStr">
        <is>
          <t>OCCUPIED</t>
        </is>
      </c>
      <c r="F313" s="37" t="inlineStr">
        <is>
          <t>WL-01303</t>
        </is>
      </c>
      <c r="G313" s="37" t="inlineStr">
        <is>
          <t>Robert Harmon</t>
        </is>
      </c>
      <c r="H313" s="37" t="n">
        <v>32.2</v>
      </c>
    </row>
    <row r="314">
      <c r="A314" s="37" t="inlineStr">
        <is>
          <t>VB-0305</t>
        </is>
      </c>
      <c r="B314" s="37" t="inlineStr">
        <is>
          <t>Vessbank</t>
        </is>
      </c>
      <c r="C314" s="37" t="inlineStr">
        <is>
          <t>COVERED</t>
        </is>
      </c>
      <c r="D314" s="37" t="n">
        <v>24</v>
      </c>
      <c r="E314" s="37" t="inlineStr">
        <is>
          <t>OCCUPIED</t>
        </is>
      </c>
      <c r="F314" s="37" t="inlineStr">
        <is>
          <t>WL-02130</t>
        </is>
      </c>
      <c r="G314" s="37" t="inlineStr">
        <is>
          <t>Sierra Le</t>
        </is>
      </c>
      <c r="H314" s="37" t="n">
        <v>45.8</v>
      </c>
    </row>
    <row r="315">
      <c r="A315" s="37" t="inlineStr">
        <is>
          <t>VB-0306</t>
        </is>
      </c>
      <c r="B315" s="37" t="inlineStr">
        <is>
          <t>Vessbank</t>
        </is>
      </c>
      <c r="C315" s="37" t="inlineStr">
        <is>
          <t>COVERED</t>
        </is>
      </c>
      <c r="D315" s="37" t="n">
        <v>28</v>
      </c>
      <c r="E315" s="37" t="inlineStr">
        <is>
          <t>OCCUPIED</t>
        </is>
      </c>
      <c r="F315" s="37" t="inlineStr">
        <is>
          <t>WL-03397</t>
        </is>
      </c>
      <c r="G315" s="37" t="inlineStr">
        <is>
          <t>Jessica Daugherty</t>
        </is>
      </c>
      <c r="H315" s="37" t="n">
        <v>18.3</v>
      </c>
    </row>
    <row r="316">
      <c r="A316" s="37" t="inlineStr">
        <is>
          <t>VB-0307</t>
        </is>
      </c>
      <c r="B316" s="37" t="inlineStr">
        <is>
          <t>Vessbank</t>
        </is>
      </c>
      <c r="C316" s="37" t="inlineStr">
        <is>
          <t>COVERED</t>
        </is>
      </c>
      <c r="D316" s="37" t="n">
        <v>24</v>
      </c>
      <c r="E316" s="37" t="inlineStr">
        <is>
          <t>OCCUPIED</t>
        </is>
      </c>
      <c r="F316" s="37" t="inlineStr">
        <is>
          <t>WL-01379</t>
        </is>
      </c>
      <c r="G316" s="37" t="inlineStr">
        <is>
          <t>Jacob Wong</t>
        </is>
      </c>
      <c r="H316" s="37" t="n">
        <v>32</v>
      </c>
    </row>
    <row r="317">
      <c r="A317" s="37" t="inlineStr">
        <is>
          <t>VB-0308</t>
        </is>
      </c>
      <c r="B317" s="37" t="inlineStr">
        <is>
          <t>Vessbank</t>
        </is>
      </c>
      <c r="C317" s="37" t="inlineStr">
        <is>
          <t>COVERED</t>
        </is>
      </c>
      <c r="D317" s="37" t="n">
        <v>24</v>
      </c>
      <c r="E317" s="37" t="inlineStr">
        <is>
          <t>OCCUPIED</t>
        </is>
      </c>
      <c r="F317" s="37" t="inlineStr">
        <is>
          <t>WL-03564</t>
        </is>
      </c>
      <c r="G317" s="37" t="inlineStr">
        <is>
          <t>Amy Hernandez</t>
        </is>
      </c>
      <c r="H317" s="37" t="n">
        <v>41.8</v>
      </c>
    </row>
    <row r="318">
      <c r="A318" s="37" t="inlineStr">
        <is>
          <t>VB-0309</t>
        </is>
      </c>
      <c r="B318" s="37" t="inlineStr">
        <is>
          <t>Vessbank</t>
        </is>
      </c>
      <c r="C318" s="37" t="inlineStr">
        <is>
          <t>COVERED</t>
        </is>
      </c>
      <c r="D318" s="37" t="n">
        <v>36</v>
      </c>
      <c r="E318" s="37" t="inlineStr">
        <is>
          <t>OCCUPIED</t>
        </is>
      </c>
      <c r="F318" s="37" t="inlineStr">
        <is>
          <t>WL-02656</t>
        </is>
      </c>
      <c r="G318" s="37" t="inlineStr">
        <is>
          <t>David Horton</t>
        </is>
      </c>
      <c r="H318" s="37" t="n">
        <v>20.6</v>
      </c>
    </row>
    <row r="319">
      <c r="A319" s="37" t="inlineStr">
        <is>
          <t>VB-0310</t>
        </is>
      </c>
      <c r="B319" s="37" t="inlineStr">
        <is>
          <t>Vessbank</t>
        </is>
      </c>
      <c r="C319" s="37" t="inlineStr">
        <is>
          <t>COVERED</t>
        </is>
      </c>
      <c r="D319" s="37" t="n">
        <v>28</v>
      </c>
      <c r="E319" s="37" t="inlineStr">
        <is>
          <t>OCCUPIED</t>
        </is>
      </c>
      <c r="F319" s="37" t="inlineStr">
        <is>
          <t>WL-03313</t>
        </is>
      </c>
      <c r="G319" s="37" t="inlineStr">
        <is>
          <t>Jose Jimenez</t>
        </is>
      </c>
      <c r="H319" s="37" t="n">
        <v>38.6</v>
      </c>
    </row>
    <row r="320">
      <c r="A320" s="37" t="inlineStr">
        <is>
          <t>VB-0311</t>
        </is>
      </c>
      <c r="B320" s="37" t="inlineStr">
        <is>
          <t>Vessbank</t>
        </is>
      </c>
      <c r="C320" s="37" t="inlineStr">
        <is>
          <t>COVERED</t>
        </is>
      </c>
      <c r="D320" s="37" t="n">
        <v>32</v>
      </c>
      <c r="E320" s="37" t="inlineStr">
        <is>
          <t>OCCUPIED</t>
        </is>
      </c>
      <c r="F320" s="37" t="inlineStr">
        <is>
          <t>WL-01760</t>
        </is>
      </c>
      <c r="G320" s="37" t="inlineStr">
        <is>
          <t>Jose Becker</t>
        </is>
      </c>
      <c r="H320" s="37" t="n">
        <v>46.6</v>
      </c>
    </row>
    <row r="321">
      <c r="A321" s="37" t="inlineStr">
        <is>
          <t>VB-0312</t>
        </is>
      </c>
      <c r="B321" s="37" t="inlineStr">
        <is>
          <t>Vessbank</t>
        </is>
      </c>
      <c r="C321" s="37" t="inlineStr">
        <is>
          <t>COVERED</t>
        </is>
      </c>
      <c r="D321" s="37" t="n">
        <v>24</v>
      </c>
      <c r="E321" s="37" t="inlineStr">
        <is>
          <t>OCCUPIED</t>
        </is>
      </c>
      <c r="F321" s="37" t="inlineStr">
        <is>
          <t>WL-03224</t>
        </is>
      </c>
      <c r="G321" s="37" t="inlineStr">
        <is>
          <t>Catherine Flynn</t>
        </is>
      </c>
      <c r="H321" s="37" t="n">
        <v>56.6</v>
      </c>
    </row>
    <row r="322">
      <c r="A322" s="37" t="inlineStr">
        <is>
          <t>VB-0313</t>
        </is>
      </c>
      <c r="B322" s="37" t="inlineStr">
        <is>
          <t>Vessbank</t>
        </is>
      </c>
      <c r="C322" s="37" t="inlineStr">
        <is>
          <t>COVERED</t>
        </is>
      </c>
      <c r="D322" s="37" t="n">
        <v>24</v>
      </c>
      <c r="E322" s="37" t="inlineStr">
        <is>
          <t>RESERVED</t>
        </is>
      </c>
    </row>
    <row r="323">
      <c r="A323" s="37" t="inlineStr">
        <is>
          <t>VB-0314</t>
        </is>
      </c>
      <c r="B323" s="37" t="inlineStr">
        <is>
          <t>Vessbank</t>
        </is>
      </c>
      <c r="C323" s="37" t="inlineStr">
        <is>
          <t>COVERED</t>
        </is>
      </c>
      <c r="D323" s="37" t="n">
        <v>24</v>
      </c>
      <c r="E323" s="37" t="inlineStr">
        <is>
          <t>OCCUPIED</t>
        </is>
      </c>
      <c r="F323" s="37" t="inlineStr">
        <is>
          <t>WL-02315</t>
        </is>
      </c>
      <c r="G323" s="37" t="inlineStr">
        <is>
          <t>Mitchell Mendez</t>
        </is>
      </c>
      <c r="H323" s="37" t="n">
        <v>61.1</v>
      </c>
    </row>
    <row r="324">
      <c r="A324" s="37" t="inlineStr">
        <is>
          <t>VB-0315</t>
        </is>
      </c>
      <c r="B324" s="37" t="inlineStr">
        <is>
          <t>Vessbank</t>
        </is>
      </c>
      <c r="C324" s="37" t="inlineStr">
        <is>
          <t>COVERED</t>
        </is>
      </c>
      <c r="D324" s="37" t="n">
        <v>28</v>
      </c>
      <c r="E324" s="37" t="inlineStr">
        <is>
          <t>OCCUPIED</t>
        </is>
      </c>
      <c r="F324" s="37" t="inlineStr">
        <is>
          <t>WL-03326</t>
        </is>
      </c>
      <c r="G324" s="37" t="inlineStr">
        <is>
          <t>Christopher Brock</t>
        </is>
      </c>
      <c r="H324" s="37" t="n">
        <v>40</v>
      </c>
    </row>
    <row r="325">
      <c r="A325" s="37" t="inlineStr">
        <is>
          <t>VB-0316</t>
        </is>
      </c>
      <c r="B325" s="37" t="inlineStr">
        <is>
          <t>Vessbank</t>
        </is>
      </c>
      <c r="C325" s="37" t="inlineStr">
        <is>
          <t>COVERED</t>
        </is>
      </c>
      <c r="D325" s="37" t="n">
        <v>36</v>
      </c>
      <c r="E325" s="37" t="inlineStr">
        <is>
          <t>OCCUPIED</t>
        </is>
      </c>
      <c r="F325" s="37" t="inlineStr">
        <is>
          <t>WL-03492</t>
        </is>
      </c>
      <c r="G325" s="37" t="inlineStr">
        <is>
          <t>Lisa Hernandez</t>
        </is>
      </c>
      <c r="H325" s="37" t="n">
        <v>32.7</v>
      </c>
    </row>
    <row r="326">
      <c r="A326" s="37" t="inlineStr">
        <is>
          <t>VB-0317</t>
        </is>
      </c>
      <c r="B326" s="37" t="inlineStr">
        <is>
          <t>Vessbank</t>
        </is>
      </c>
      <c r="C326" s="37" t="inlineStr">
        <is>
          <t>COVERED</t>
        </is>
      </c>
      <c r="D326" s="37" t="n">
        <v>24</v>
      </c>
      <c r="E326" s="37" t="inlineStr">
        <is>
          <t>OCCUPIED</t>
        </is>
      </c>
      <c r="F326" s="37" t="inlineStr">
        <is>
          <t>WL-02173</t>
        </is>
      </c>
      <c r="G326" s="37" t="inlineStr">
        <is>
          <t>Lisa Parker</t>
        </is>
      </c>
      <c r="H326" s="37" t="n">
        <v>38.4</v>
      </c>
    </row>
    <row r="327">
      <c r="A327" s="37" t="inlineStr">
        <is>
          <t>VB-0318</t>
        </is>
      </c>
      <c r="B327" s="37" t="inlineStr">
        <is>
          <t>Vessbank</t>
        </is>
      </c>
      <c r="C327" s="37" t="inlineStr">
        <is>
          <t>COVERED</t>
        </is>
      </c>
      <c r="D327" s="37" t="n">
        <v>32</v>
      </c>
      <c r="E327" s="37" t="inlineStr">
        <is>
          <t>OCCUPIED</t>
        </is>
      </c>
      <c r="F327" s="37" t="inlineStr">
        <is>
          <t>WL-02255</t>
        </is>
      </c>
      <c r="G327" s="37" t="inlineStr">
        <is>
          <t>Scott Garcia</t>
        </is>
      </c>
      <c r="H327" s="37" t="n">
        <v>27.2</v>
      </c>
    </row>
    <row r="328">
      <c r="A328" s="37" t="inlineStr">
        <is>
          <t>VB-0319</t>
        </is>
      </c>
      <c r="B328" s="37" t="inlineStr">
        <is>
          <t>Vessbank</t>
        </is>
      </c>
      <c r="C328" s="37" t="inlineStr">
        <is>
          <t>COVERED</t>
        </is>
      </c>
      <c r="D328" s="37" t="n">
        <v>28</v>
      </c>
      <c r="E328" s="37" t="inlineStr">
        <is>
          <t>OCCUPIED</t>
        </is>
      </c>
      <c r="F328" s="37" t="inlineStr">
        <is>
          <t>WL-01381</t>
        </is>
      </c>
      <c r="G328" s="37" t="inlineStr">
        <is>
          <t>Michael Dickson</t>
        </is>
      </c>
      <c r="H328" s="37" t="n">
        <v>25.8</v>
      </c>
    </row>
    <row r="329">
      <c r="A329" s="37" t="inlineStr">
        <is>
          <t>VB-0320</t>
        </is>
      </c>
      <c r="B329" s="37" t="inlineStr">
        <is>
          <t>Vessbank</t>
        </is>
      </c>
      <c r="C329" s="37" t="inlineStr">
        <is>
          <t>COVERED</t>
        </is>
      </c>
      <c r="D329" s="37" t="n">
        <v>32</v>
      </c>
      <c r="E329" s="37" t="inlineStr">
        <is>
          <t>OCCUPIED</t>
        </is>
      </c>
      <c r="F329" s="37" t="inlineStr">
        <is>
          <t>WL-01254</t>
        </is>
      </c>
      <c r="G329" s="37" t="inlineStr">
        <is>
          <t>Barbara Jones</t>
        </is>
      </c>
      <c r="H329" s="37" t="n">
        <v>50</v>
      </c>
    </row>
    <row r="330">
      <c r="A330" s="37" t="inlineStr">
        <is>
          <t>VB-0321</t>
        </is>
      </c>
      <c r="B330" s="37" t="inlineStr">
        <is>
          <t>Vessbank</t>
        </is>
      </c>
      <c r="C330" s="37" t="inlineStr">
        <is>
          <t>COVERED</t>
        </is>
      </c>
      <c r="D330" s="37" t="n">
        <v>28</v>
      </c>
      <c r="E330" s="37" t="inlineStr">
        <is>
          <t>OCCUPIED</t>
        </is>
      </c>
      <c r="F330" s="37" t="inlineStr">
        <is>
          <t>WL-03094</t>
        </is>
      </c>
      <c r="G330" s="37" t="inlineStr">
        <is>
          <t>Christine Cook</t>
        </is>
      </c>
      <c r="H330" s="37" t="n">
        <v>26.2</v>
      </c>
    </row>
    <row r="331">
      <c r="A331" s="37" t="inlineStr">
        <is>
          <t>VB-0322</t>
        </is>
      </c>
      <c r="B331" s="37" t="inlineStr">
        <is>
          <t>Vessbank</t>
        </is>
      </c>
      <c r="C331" s="37" t="inlineStr">
        <is>
          <t>COVERED</t>
        </is>
      </c>
      <c r="D331" s="37" t="n">
        <v>40</v>
      </c>
      <c r="E331" s="37" t="inlineStr">
        <is>
          <t>OCCUPIED</t>
        </is>
      </c>
      <c r="F331" s="37" t="inlineStr">
        <is>
          <t>WL-02256</t>
        </is>
      </c>
      <c r="G331" s="37" t="inlineStr">
        <is>
          <t>Ryan Johnson</t>
        </is>
      </c>
      <c r="H331" s="37" t="n">
        <v>22.7</v>
      </c>
    </row>
    <row r="332">
      <c r="A332" s="37" t="inlineStr">
        <is>
          <t>VB-0323</t>
        </is>
      </c>
      <c r="B332" s="37" t="inlineStr">
        <is>
          <t>Vessbank</t>
        </is>
      </c>
      <c r="C332" s="37" t="inlineStr">
        <is>
          <t>COVERED</t>
        </is>
      </c>
      <c r="D332" s="37" t="n">
        <v>40</v>
      </c>
      <c r="E332" s="37" t="inlineStr">
        <is>
          <t>OCCUPIED</t>
        </is>
      </c>
      <c r="F332" s="37" t="inlineStr">
        <is>
          <t>WL-01488</t>
        </is>
      </c>
      <c r="G332" s="37" t="inlineStr">
        <is>
          <t>Stephen Wilcox</t>
        </is>
      </c>
      <c r="H332" s="37" t="n">
        <v>43.8</v>
      </c>
    </row>
    <row r="333">
      <c r="A333" s="37" t="inlineStr">
        <is>
          <t>VB-0324</t>
        </is>
      </c>
      <c r="B333" s="37" t="inlineStr">
        <is>
          <t>Vessbank</t>
        </is>
      </c>
      <c r="C333" s="37" t="inlineStr">
        <is>
          <t>COVERED</t>
        </is>
      </c>
      <c r="D333" s="37" t="n">
        <v>36</v>
      </c>
      <c r="E333" s="37" t="inlineStr">
        <is>
          <t>OCCUPIED</t>
        </is>
      </c>
      <c r="F333" s="37" t="inlineStr">
        <is>
          <t>WL-01311</t>
        </is>
      </c>
      <c r="G333" s="37" t="inlineStr">
        <is>
          <t>Michael Fox</t>
        </is>
      </c>
      <c r="H333" s="37" t="n">
        <v>36.7</v>
      </c>
    </row>
    <row r="334">
      <c r="A334" s="37" t="inlineStr">
        <is>
          <t>VB-0401</t>
        </is>
      </c>
      <c r="B334" s="37" t="inlineStr">
        <is>
          <t>Vessbank</t>
        </is>
      </c>
      <c r="C334" s="37" t="inlineStr">
        <is>
          <t>COVERED</t>
        </is>
      </c>
      <c r="D334" s="37" t="n">
        <v>24</v>
      </c>
      <c r="E334" s="37" t="inlineStr">
        <is>
          <t>OCCUPIED</t>
        </is>
      </c>
      <c r="F334" s="37" t="inlineStr">
        <is>
          <t>WL-01799</t>
        </is>
      </c>
      <c r="G334" s="37" t="inlineStr">
        <is>
          <t>Robert Johnson</t>
        </is>
      </c>
      <c r="H334" s="37" t="n">
        <v>41.1</v>
      </c>
    </row>
    <row r="335">
      <c r="A335" s="37" t="inlineStr">
        <is>
          <t>VB-0402</t>
        </is>
      </c>
      <c r="B335" s="37" t="inlineStr">
        <is>
          <t>Vessbank</t>
        </is>
      </c>
      <c r="C335" s="37" t="inlineStr">
        <is>
          <t>COVERED</t>
        </is>
      </c>
      <c r="D335" s="37" t="n">
        <v>36</v>
      </c>
      <c r="E335" s="37" t="inlineStr">
        <is>
          <t>OCCUPIED</t>
        </is>
      </c>
      <c r="F335" s="37" t="inlineStr">
        <is>
          <t>WL-01959</t>
        </is>
      </c>
      <c r="G335" s="37" t="inlineStr">
        <is>
          <t>Jonathan Moore</t>
        </is>
      </c>
      <c r="H335" s="37" t="n">
        <v>46.8</v>
      </c>
    </row>
    <row r="336">
      <c r="A336" s="37" t="inlineStr">
        <is>
          <t>VB-0403</t>
        </is>
      </c>
      <c r="B336" s="37" t="inlineStr">
        <is>
          <t>Vessbank</t>
        </is>
      </c>
      <c r="C336" s="37" t="inlineStr">
        <is>
          <t>COVERED</t>
        </is>
      </c>
      <c r="D336" s="37" t="n">
        <v>28</v>
      </c>
      <c r="E336" s="37" t="inlineStr">
        <is>
          <t>OCCUPIED</t>
        </is>
      </c>
      <c r="F336" s="37" t="inlineStr">
        <is>
          <t>WL-03548</t>
        </is>
      </c>
      <c r="G336" s="37" t="inlineStr">
        <is>
          <t>Michael Clark</t>
        </is>
      </c>
      <c r="H336" s="37" t="n">
        <v>37.4</v>
      </c>
    </row>
    <row r="337">
      <c r="A337" s="37" t="inlineStr">
        <is>
          <t>VB-0404</t>
        </is>
      </c>
      <c r="B337" s="37" t="inlineStr">
        <is>
          <t>Vessbank</t>
        </is>
      </c>
      <c r="C337" s="37" t="inlineStr">
        <is>
          <t>COVERED</t>
        </is>
      </c>
      <c r="D337" s="37" t="n">
        <v>28</v>
      </c>
      <c r="E337" s="37" t="inlineStr">
        <is>
          <t>GUEST</t>
        </is>
      </c>
    </row>
    <row r="338">
      <c r="A338" s="37" t="inlineStr">
        <is>
          <t>VB-0405</t>
        </is>
      </c>
      <c r="B338" s="37" t="inlineStr">
        <is>
          <t>Vessbank</t>
        </is>
      </c>
      <c r="C338" s="37" t="inlineStr">
        <is>
          <t>COVERED</t>
        </is>
      </c>
      <c r="D338" s="37" t="n">
        <v>36</v>
      </c>
      <c r="E338" s="37" t="inlineStr">
        <is>
          <t>OCCUPIED</t>
        </is>
      </c>
      <c r="F338" s="37" t="inlineStr">
        <is>
          <t>WL-02118</t>
        </is>
      </c>
      <c r="G338" s="37" t="inlineStr">
        <is>
          <t>Matthew Meyer</t>
        </is>
      </c>
      <c r="H338" s="37" t="n">
        <v>55.4</v>
      </c>
    </row>
    <row r="339">
      <c r="A339" s="37" t="inlineStr">
        <is>
          <t>VB-0406</t>
        </is>
      </c>
      <c r="B339" s="37" t="inlineStr">
        <is>
          <t>Vessbank</t>
        </is>
      </c>
      <c r="C339" s="37" t="inlineStr">
        <is>
          <t>COVERED</t>
        </is>
      </c>
      <c r="D339" s="37" t="n">
        <v>40</v>
      </c>
      <c r="E339" s="37" t="inlineStr">
        <is>
          <t>OCCUPIED</t>
        </is>
      </c>
      <c r="F339" s="37" t="inlineStr">
        <is>
          <t>WL-01591</t>
        </is>
      </c>
      <c r="G339" s="37" t="inlineStr">
        <is>
          <t>Chad Yang</t>
        </is>
      </c>
      <c r="H339" s="37" t="n">
        <v>56.4</v>
      </c>
    </row>
    <row r="340">
      <c r="A340" s="37" t="inlineStr">
        <is>
          <t>VB-0407</t>
        </is>
      </c>
      <c r="B340" s="37" t="inlineStr">
        <is>
          <t>Vessbank</t>
        </is>
      </c>
      <c r="C340" s="37" t="inlineStr">
        <is>
          <t>COVERED</t>
        </is>
      </c>
      <c r="D340" s="37" t="n">
        <v>24</v>
      </c>
      <c r="E340" s="37" t="inlineStr">
        <is>
          <t>OCCUPIED</t>
        </is>
      </c>
      <c r="F340" s="37" t="inlineStr">
        <is>
          <t>WL-02731</t>
        </is>
      </c>
      <c r="G340" s="37" t="inlineStr">
        <is>
          <t>Allison Taylor</t>
        </is>
      </c>
      <c r="H340" s="37" t="n">
        <v>30.6</v>
      </c>
    </row>
    <row r="341">
      <c r="A341" s="37" t="inlineStr">
        <is>
          <t>VB-0408</t>
        </is>
      </c>
      <c r="B341" s="37" t="inlineStr">
        <is>
          <t>Vessbank</t>
        </is>
      </c>
      <c r="C341" s="37" t="inlineStr">
        <is>
          <t>COVERED</t>
        </is>
      </c>
      <c r="D341" s="37" t="n">
        <v>36</v>
      </c>
      <c r="E341" s="37" t="inlineStr">
        <is>
          <t>OCCUPIED</t>
        </is>
      </c>
      <c r="F341" s="37" t="inlineStr">
        <is>
          <t>WL-01061</t>
        </is>
      </c>
      <c r="G341" s="37" t="inlineStr">
        <is>
          <t>Casey Smith</t>
        </is>
      </c>
      <c r="H341" s="37" t="n">
        <v>52.4</v>
      </c>
    </row>
    <row r="342">
      <c r="A342" s="37" t="inlineStr">
        <is>
          <t>VB-0409</t>
        </is>
      </c>
      <c r="B342" s="37" t="inlineStr">
        <is>
          <t>Vessbank</t>
        </is>
      </c>
      <c r="C342" s="37" t="inlineStr">
        <is>
          <t>COVERED</t>
        </is>
      </c>
      <c r="D342" s="37" t="n">
        <v>32</v>
      </c>
      <c r="E342" s="37" t="inlineStr">
        <is>
          <t>OCCUPIED</t>
        </is>
      </c>
      <c r="F342" s="37" t="inlineStr">
        <is>
          <t>WL-01832</t>
        </is>
      </c>
      <c r="G342" s="37" t="inlineStr">
        <is>
          <t>Bryan Spencer</t>
        </is>
      </c>
      <c r="H342" s="37" t="n">
        <v>57</v>
      </c>
    </row>
    <row r="343">
      <c r="A343" s="37" t="inlineStr">
        <is>
          <t>VB-0410</t>
        </is>
      </c>
      <c r="B343" s="37" t="inlineStr">
        <is>
          <t>Vessbank</t>
        </is>
      </c>
      <c r="C343" s="37" t="inlineStr">
        <is>
          <t>COVERED</t>
        </is>
      </c>
      <c r="D343" s="37" t="n">
        <v>32</v>
      </c>
      <c r="E343" s="37" t="inlineStr">
        <is>
          <t>OCCUPIED</t>
        </is>
      </c>
      <c r="F343" s="37" t="inlineStr">
        <is>
          <t>WL-02745</t>
        </is>
      </c>
      <c r="G343" s="37" t="inlineStr">
        <is>
          <t>Olivia Baldwin</t>
        </is>
      </c>
      <c r="H343" s="37" t="n">
        <v>20.6</v>
      </c>
    </row>
    <row r="344">
      <c r="A344" s="37" t="inlineStr">
        <is>
          <t>VB-0411</t>
        </is>
      </c>
      <c r="B344" s="37" t="inlineStr">
        <is>
          <t>Vessbank</t>
        </is>
      </c>
      <c r="C344" s="37" t="inlineStr">
        <is>
          <t>COVERED</t>
        </is>
      </c>
      <c r="D344" s="37" t="n">
        <v>24</v>
      </c>
      <c r="E344" s="37" t="inlineStr">
        <is>
          <t>OCCUPIED</t>
        </is>
      </c>
      <c r="F344" s="37" t="inlineStr">
        <is>
          <t>WL-02986</t>
        </is>
      </c>
      <c r="G344" s="37" t="inlineStr">
        <is>
          <t>Jaime Hernandez</t>
        </is>
      </c>
      <c r="H344" s="37" t="n">
        <v>37</v>
      </c>
    </row>
    <row r="345">
      <c r="A345" s="37" t="inlineStr">
        <is>
          <t>VB-0412</t>
        </is>
      </c>
      <c r="B345" s="37" t="inlineStr">
        <is>
          <t>Vessbank</t>
        </is>
      </c>
      <c r="C345" s="37" t="inlineStr">
        <is>
          <t>COVERED</t>
        </is>
      </c>
      <c r="D345" s="37" t="n">
        <v>36</v>
      </c>
      <c r="E345" s="37" t="inlineStr">
        <is>
          <t>OCCUPIED</t>
        </is>
      </c>
      <c r="F345" s="37" t="inlineStr">
        <is>
          <t>WL-02252</t>
        </is>
      </c>
      <c r="G345" s="37" t="inlineStr">
        <is>
          <t>Donald Mitchell</t>
        </is>
      </c>
      <c r="H345" s="37" t="n">
        <v>55.9</v>
      </c>
    </row>
    <row r="346">
      <c r="A346" s="37" t="inlineStr">
        <is>
          <t>VB-0413</t>
        </is>
      </c>
      <c r="B346" s="37" t="inlineStr">
        <is>
          <t>Vessbank</t>
        </is>
      </c>
      <c r="C346" s="37" t="inlineStr">
        <is>
          <t>COVERED</t>
        </is>
      </c>
      <c r="D346" s="37" t="n">
        <v>32</v>
      </c>
      <c r="E346" s="37" t="inlineStr">
        <is>
          <t>OCCUPIED</t>
        </is>
      </c>
      <c r="F346" s="37" t="inlineStr">
        <is>
          <t>WL-01014</t>
        </is>
      </c>
      <c r="G346" s="37" t="inlineStr">
        <is>
          <t>Maria Johnson</t>
        </is>
      </c>
      <c r="H346" s="37" t="n">
        <v>43.6</v>
      </c>
    </row>
    <row r="347">
      <c r="A347" s="37" t="inlineStr">
        <is>
          <t>VB-0414</t>
        </is>
      </c>
      <c r="B347" s="37" t="inlineStr">
        <is>
          <t>Vessbank</t>
        </is>
      </c>
      <c r="C347" s="37" t="inlineStr">
        <is>
          <t>COVERED</t>
        </is>
      </c>
      <c r="D347" s="37" t="n">
        <v>32</v>
      </c>
      <c r="E347" s="37" t="inlineStr">
        <is>
          <t>OCCUPIED</t>
        </is>
      </c>
      <c r="F347" s="37" t="inlineStr">
        <is>
          <t>WL-03699</t>
        </is>
      </c>
      <c r="G347" s="37" t="inlineStr">
        <is>
          <t>Christopher Duncan</t>
        </is>
      </c>
      <c r="H347" s="37" t="n">
        <v>55.4</v>
      </c>
    </row>
    <row r="348">
      <c r="A348" s="37" t="inlineStr">
        <is>
          <t>VB-0415</t>
        </is>
      </c>
      <c r="B348" s="37" t="inlineStr">
        <is>
          <t>Vessbank</t>
        </is>
      </c>
      <c r="C348" s="37" t="inlineStr">
        <is>
          <t>COVERED</t>
        </is>
      </c>
      <c r="D348" s="37" t="n">
        <v>24</v>
      </c>
      <c r="E348" s="37" t="inlineStr">
        <is>
          <t>OCCUPIED</t>
        </is>
      </c>
      <c r="F348" s="37" t="inlineStr">
        <is>
          <t>WL-03507</t>
        </is>
      </c>
      <c r="G348" s="37" t="inlineStr">
        <is>
          <t>John Chambers</t>
        </is>
      </c>
      <c r="H348" s="37" t="n">
        <v>23.3</v>
      </c>
    </row>
    <row r="349">
      <c r="A349" s="37" t="inlineStr">
        <is>
          <t>VB-0416</t>
        </is>
      </c>
      <c r="B349" s="37" t="inlineStr">
        <is>
          <t>Vessbank</t>
        </is>
      </c>
      <c r="C349" s="37" t="inlineStr">
        <is>
          <t>COVERED</t>
        </is>
      </c>
      <c r="D349" s="37" t="n">
        <v>36</v>
      </c>
      <c r="E349" s="37" t="inlineStr">
        <is>
          <t>OCCUPIED</t>
        </is>
      </c>
      <c r="F349" s="37" t="inlineStr">
        <is>
          <t>WL-03602</t>
        </is>
      </c>
      <c r="G349" s="37" t="inlineStr">
        <is>
          <t>Michael Horne</t>
        </is>
      </c>
      <c r="H349" s="37" t="n">
        <v>19</v>
      </c>
    </row>
    <row r="350">
      <c r="A350" s="37" t="inlineStr">
        <is>
          <t>VB-0417</t>
        </is>
      </c>
      <c r="B350" s="37" t="inlineStr">
        <is>
          <t>Vessbank</t>
        </is>
      </c>
      <c r="C350" s="37" t="inlineStr">
        <is>
          <t>COVERED</t>
        </is>
      </c>
      <c r="D350" s="37" t="n">
        <v>32</v>
      </c>
      <c r="E350" s="37" t="inlineStr">
        <is>
          <t>OCCUPIED</t>
        </is>
      </c>
      <c r="F350" s="37" t="inlineStr">
        <is>
          <t>WL-03358</t>
        </is>
      </c>
      <c r="G350" s="37" t="inlineStr">
        <is>
          <t>Jeremiah Cruz</t>
        </is>
      </c>
      <c r="H350" s="37" t="n">
        <v>25.7</v>
      </c>
    </row>
    <row r="351">
      <c r="A351" s="37" t="inlineStr">
        <is>
          <t>VB-0418</t>
        </is>
      </c>
      <c r="B351" s="37" t="inlineStr">
        <is>
          <t>Vessbank</t>
        </is>
      </c>
      <c r="C351" s="37" t="inlineStr">
        <is>
          <t>COVERED</t>
        </is>
      </c>
      <c r="D351" s="37" t="n">
        <v>32</v>
      </c>
      <c r="E351" s="37" t="inlineStr">
        <is>
          <t>OCCUPIED</t>
        </is>
      </c>
      <c r="F351" s="37" t="inlineStr">
        <is>
          <t>WL-03210</t>
        </is>
      </c>
      <c r="G351" s="37" t="inlineStr">
        <is>
          <t>James Calderon</t>
        </is>
      </c>
      <c r="H351" s="37" t="n">
        <v>33.8</v>
      </c>
    </row>
    <row r="352">
      <c r="A352" s="37" t="inlineStr">
        <is>
          <t>VB-0419</t>
        </is>
      </c>
      <c r="B352" s="37" t="inlineStr">
        <is>
          <t>Vessbank</t>
        </is>
      </c>
      <c r="C352" s="37" t="inlineStr">
        <is>
          <t>COVERED</t>
        </is>
      </c>
      <c r="D352" s="37" t="n">
        <v>32</v>
      </c>
      <c r="E352" s="37" t="inlineStr">
        <is>
          <t>OCCUPIED</t>
        </is>
      </c>
      <c r="F352" s="37" t="inlineStr">
        <is>
          <t>WL-03884</t>
        </is>
      </c>
      <c r="G352" s="37" t="inlineStr">
        <is>
          <t>Lindsay Williams</t>
        </is>
      </c>
      <c r="H352" s="37" t="n">
        <v>32.3</v>
      </c>
    </row>
    <row r="353">
      <c r="A353" s="37" t="inlineStr">
        <is>
          <t>VB-0420</t>
        </is>
      </c>
      <c r="B353" s="37" t="inlineStr">
        <is>
          <t>Vessbank</t>
        </is>
      </c>
      <c r="C353" s="37" t="inlineStr">
        <is>
          <t>COVERED</t>
        </is>
      </c>
      <c r="D353" s="37" t="n">
        <v>24</v>
      </c>
      <c r="E353" s="37" t="inlineStr">
        <is>
          <t>OCCUPIED</t>
        </is>
      </c>
      <c r="F353" s="37" t="inlineStr">
        <is>
          <t>WL-01215</t>
        </is>
      </c>
      <c r="G353" s="37" t="inlineStr">
        <is>
          <t>David Harris</t>
        </is>
      </c>
      <c r="H353" s="37" t="n">
        <v>27.2</v>
      </c>
    </row>
    <row r="354">
      <c r="A354" s="37" t="inlineStr">
        <is>
          <t>VB-0421</t>
        </is>
      </c>
      <c r="B354" s="37" t="inlineStr">
        <is>
          <t>Vessbank</t>
        </is>
      </c>
      <c r="C354" s="37" t="inlineStr">
        <is>
          <t>COVERED</t>
        </is>
      </c>
      <c r="D354" s="37" t="n">
        <v>40</v>
      </c>
      <c r="E354" s="37" t="inlineStr">
        <is>
          <t>RESERVED</t>
        </is>
      </c>
    </row>
    <row r="355">
      <c r="A355" s="37" t="inlineStr">
        <is>
          <t>VB-0422</t>
        </is>
      </c>
      <c r="B355" s="37" t="inlineStr">
        <is>
          <t>Vessbank</t>
        </is>
      </c>
      <c r="C355" s="37" t="inlineStr">
        <is>
          <t>COVERED</t>
        </is>
      </c>
      <c r="D355" s="37" t="n">
        <v>36</v>
      </c>
      <c r="E355" s="37" t="inlineStr">
        <is>
          <t>OCCUPIED</t>
        </is>
      </c>
      <c r="F355" s="37" t="inlineStr">
        <is>
          <t>WL-03830</t>
        </is>
      </c>
      <c r="G355" s="37" t="inlineStr">
        <is>
          <t>Erica Smith</t>
        </is>
      </c>
      <c r="H355" s="37" t="n">
        <v>31.6</v>
      </c>
    </row>
    <row r="356">
      <c r="A356" s="37" t="inlineStr">
        <is>
          <t>VB-0423</t>
        </is>
      </c>
      <c r="B356" s="37" t="inlineStr">
        <is>
          <t>Vessbank</t>
        </is>
      </c>
      <c r="C356" s="37" t="inlineStr">
        <is>
          <t>COVERED</t>
        </is>
      </c>
      <c r="D356" s="37" t="n">
        <v>24</v>
      </c>
      <c r="E356" s="37" t="inlineStr">
        <is>
          <t>OCCUPIED</t>
        </is>
      </c>
      <c r="F356" s="37" t="inlineStr">
        <is>
          <t>WL-03054</t>
        </is>
      </c>
      <c r="G356" s="37" t="inlineStr">
        <is>
          <t>Amanda Schmidt</t>
        </is>
      </c>
      <c r="H356" s="37" t="n">
        <v>30.1</v>
      </c>
    </row>
    <row r="357">
      <c r="A357" s="37" t="inlineStr">
        <is>
          <t>VB-0424</t>
        </is>
      </c>
      <c r="B357" s="37" t="inlineStr">
        <is>
          <t>Vessbank</t>
        </is>
      </c>
      <c r="C357" s="37" t="inlineStr">
        <is>
          <t>COVERED</t>
        </is>
      </c>
      <c r="D357" s="37" t="n">
        <v>40</v>
      </c>
      <c r="E357" s="37" t="inlineStr">
        <is>
          <t>OCCUPIED</t>
        </is>
      </c>
      <c r="F357" s="37" t="inlineStr">
        <is>
          <t>WL-02816</t>
        </is>
      </c>
      <c r="G357" s="37" t="inlineStr">
        <is>
          <t>Joel Chang</t>
        </is>
      </c>
      <c r="H357" s="37" t="n">
        <v>48.8</v>
      </c>
    </row>
    <row r="358">
      <c r="A358" s="37" t="inlineStr">
        <is>
          <t>VB-0501</t>
        </is>
      </c>
      <c r="B358" s="37" t="inlineStr">
        <is>
          <t>Vessbank</t>
        </is>
      </c>
      <c r="C358" s="37" t="inlineStr">
        <is>
          <t>COVERED</t>
        </is>
      </c>
      <c r="D358" s="37" t="n">
        <v>28</v>
      </c>
      <c r="E358" s="37" t="inlineStr">
        <is>
          <t>OCCUPIED</t>
        </is>
      </c>
      <c r="F358" s="37" t="inlineStr">
        <is>
          <t>WL-03576</t>
        </is>
      </c>
      <c r="G358" s="37" t="inlineStr">
        <is>
          <t>Aimee Cooper</t>
        </is>
      </c>
      <c r="H358" s="37" t="n">
        <v>36.2</v>
      </c>
    </row>
    <row r="359">
      <c r="A359" s="37" t="inlineStr">
        <is>
          <t>VB-0502</t>
        </is>
      </c>
      <c r="B359" s="37" t="inlineStr">
        <is>
          <t>Vessbank</t>
        </is>
      </c>
      <c r="C359" s="37" t="inlineStr">
        <is>
          <t>COVERED</t>
        </is>
      </c>
      <c r="D359" s="37" t="n">
        <v>32</v>
      </c>
      <c r="E359" s="37" t="inlineStr">
        <is>
          <t>OCCUPIED</t>
        </is>
      </c>
      <c r="F359" s="37" t="inlineStr">
        <is>
          <t>WL-02127</t>
        </is>
      </c>
      <c r="G359" s="37" t="inlineStr">
        <is>
          <t>Kimberly Gomez</t>
        </is>
      </c>
      <c r="H359" s="37" t="n">
        <v>40.1</v>
      </c>
    </row>
    <row r="360">
      <c r="A360" s="37" t="inlineStr">
        <is>
          <t>VB-0503</t>
        </is>
      </c>
      <c r="B360" s="37" t="inlineStr">
        <is>
          <t>Vessbank</t>
        </is>
      </c>
      <c r="C360" s="37" t="inlineStr">
        <is>
          <t>COVERED</t>
        </is>
      </c>
      <c r="D360" s="37" t="n">
        <v>24</v>
      </c>
      <c r="E360" s="37" t="inlineStr">
        <is>
          <t>GUEST</t>
        </is>
      </c>
    </row>
    <row r="361">
      <c r="A361" s="37" t="inlineStr">
        <is>
          <t>VB-0504</t>
        </is>
      </c>
      <c r="B361" s="37" t="inlineStr">
        <is>
          <t>Vessbank</t>
        </is>
      </c>
      <c r="C361" s="37" t="inlineStr">
        <is>
          <t>COVERED</t>
        </is>
      </c>
      <c r="D361" s="37" t="n">
        <v>36</v>
      </c>
      <c r="E361" s="37" t="inlineStr">
        <is>
          <t>OCCUPIED</t>
        </is>
      </c>
      <c r="F361" s="37" t="inlineStr">
        <is>
          <t>WL-03734</t>
        </is>
      </c>
      <c r="G361" s="37" t="inlineStr">
        <is>
          <t>Erin Lewis</t>
        </is>
      </c>
      <c r="H361" s="37" t="n">
        <v>51.6</v>
      </c>
    </row>
    <row r="362">
      <c r="A362" s="37" t="inlineStr">
        <is>
          <t>VB-0505</t>
        </is>
      </c>
      <c r="B362" s="37" t="inlineStr">
        <is>
          <t>Vessbank</t>
        </is>
      </c>
      <c r="C362" s="37" t="inlineStr">
        <is>
          <t>COVERED</t>
        </is>
      </c>
      <c r="D362" s="37" t="n">
        <v>36</v>
      </c>
      <c r="E362" s="37" t="inlineStr">
        <is>
          <t>OCCUPIED</t>
        </is>
      </c>
      <c r="F362" s="37" t="inlineStr">
        <is>
          <t>WL-03343</t>
        </is>
      </c>
      <c r="G362" s="37" t="inlineStr">
        <is>
          <t>Justin Mckinney</t>
        </is>
      </c>
      <c r="H362" s="37" t="n">
        <v>54.4</v>
      </c>
    </row>
    <row r="363">
      <c r="A363" s="37" t="inlineStr">
        <is>
          <t>VB-0506</t>
        </is>
      </c>
      <c r="B363" s="37" t="inlineStr">
        <is>
          <t>Vessbank</t>
        </is>
      </c>
      <c r="C363" s="37" t="inlineStr">
        <is>
          <t>COVERED</t>
        </is>
      </c>
      <c r="D363" s="37" t="n">
        <v>28</v>
      </c>
      <c r="E363" s="37" t="inlineStr">
        <is>
          <t>OCCUPIED</t>
        </is>
      </c>
      <c r="F363" s="37" t="inlineStr">
        <is>
          <t>WL-03154</t>
        </is>
      </c>
      <c r="G363" s="37" t="inlineStr">
        <is>
          <t>Michael Stevens</t>
        </is>
      </c>
      <c r="H363" s="37" t="n">
        <v>39.5</v>
      </c>
    </row>
    <row r="364">
      <c r="A364" s="37" t="inlineStr">
        <is>
          <t>VB-0507</t>
        </is>
      </c>
      <c r="B364" s="37" t="inlineStr">
        <is>
          <t>Vessbank</t>
        </is>
      </c>
      <c r="C364" s="37" t="inlineStr">
        <is>
          <t>COVERED</t>
        </is>
      </c>
      <c r="D364" s="37" t="n">
        <v>40</v>
      </c>
      <c r="E364" s="37" t="inlineStr">
        <is>
          <t>OCCUPIED</t>
        </is>
      </c>
      <c r="F364" s="37" t="inlineStr">
        <is>
          <t>WL-01541</t>
        </is>
      </c>
      <c r="G364" s="37" t="inlineStr">
        <is>
          <t>Rhonda Johnson</t>
        </is>
      </c>
      <c r="H364" s="37" t="n">
        <v>29.8</v>
      </c>
    </row>
    <row r="365">
      <c r="A365" s="37" t="inlineStr">
        <is>
          <t>VB-0508</t>
        </is>
      </c>
      <c r="B365" s="37" t="inlineStr">
        <is>
          <t>Vessbank</t>
        </is>
      </c>
      <c r="C365" s="37" t="inlineStr">
        <is>
          <t>COVERED</t>
        </is>
      </c>
      <c r="D365" s="37" t="n">
        <v>24</v>
      </c>
      <c r="E365" s="37" t="inlineStr">
        <is>
          <t>OCCUPIED</t>
        </is>
      </c>
      <c r="F365" s="37" t="inlineStr">
        <is>
          <t>WL-01834</t>
        </is>
      </c>
      <c r="G365" s="37" t="inlineStr">
        <is>
          <t>Kevin Baker</t>
        </is>
      </c>
      <c r="H365" s="37" t="n">
        <v>53.2</v>
      </c>
    </row>
    <row r="366">
      <c r="A366" s="37" t="inlineStr">
        <is>
          <t>VB-0509</t>
        </is>
      </c>
      <c r="B366" s="37" t="inlineStr">
        <is>
          <t>Vessbank</t>
        </is>
      </c>
      <c r="C366" s="37" t="inlineStr">
        <is>
          <t>COVERED</t>
        </is>
      </c>
      <c r="D366" s="37" t="n">
        <v>28</v>
      </c>
      <c r="E366" s="37" t="inlineStr">
        <is>
          <t>OCCUPIED</t>
        </is>
      </c>
      <c r="F366" s="37" t="inlineStr">
        <is>
          <t>WL-02326</t>
        </is>
      </c>
      <c r="G366" s="37" t="inlineStr">
        <is>
          <t>Debra Blackwell</t>
        </is>
      </c>
      <c r="H366" s="37" t="n">
        <v>33</v>
      </c>
    </row>
    <row r="367">
      <c r="A367" s="37" t="inlineStr">
        <is>
          <t>VB-0510</t>
        </is>
      </c>
      <c r="B367" s="37" t="inlineStr">
        <is>
          <t>Vessbank</t>
        </is>
      </c>
      <c r="C367" s="37" t="inlineStr">
        <is>
          <t>COVERED</t>
        </is>
      </c>
      <c r="D367" s="37" t="n">
        <v>40</v>
      </c>
      <c r="E367" s="37" t="inlineStr">
        <is>
          <t>OCCUPIED</t>
        </is>
      </c>
      <c r="F367" s="37" t="inlineStr">
        <is>
          <t>WL-03831</t>
        </is>
      </c>
      <c r="G367" s="37" t="inlineStr">
        <is>
          <t>Michael Burns</t>
        </is>
      </c>
      <c r="H367" s="37" t="n">
        <v>21</v>
      </c>
    </row>
    <row r="368">
      <c r="A368" s="37" t="inlineStr">
        <is>
          <t>VB-0511</t>
        </is>
      </c>
      <c r="B368" s="37" t="inlineStr">
        <is>
          <t>Vessbank</t>
        </is>
      </c>
      <c r="C368" s="37" t="inlineStr">
        <is>
          <t>COVERED</t>
        </is>
      </c>
      <c r="D368" s="37" t="n">
        <v>28</v>
      </c>
      <c r="E368" s="37" t="inlineStr">
        <is>
          <t>OCCUPIED</t>
        </is>
      </c>
      <c r="F368" s="37" t="inlineStr">
        <is>
          <t>WL-02036</t>
        </is>
      </c>
      <c r="G368" s="37" t="inlineStr">
        <is>
          <t>Susan Miller</t>
        </is>
      </c>
      <c r="H368" s="37" t="n">
        <v>46.2</v>
      </c>
    </row>
    <row r="369">
      <c r="A369" s="37" t="inlineStr">
        <is>
          <t>VB-0512</t>
        </is>
      </c>
      <c r="B369" s="37" t="inlineStr">
        <is>
          <t>Vessbank</t>
        </is>
      </c>
      <c r="C369" s="37" t="inlineStr">
        <is>
          <t>COVERED</t>
        </is>
      </c>
      <c r="D369" s="37" t="n">
        <v>28</v>
      </c>
      <c r="E369" s="37" t="inlineStr">
        <is>
          <t>OCCUPIED</t>
        </is>
      </c>
      <c r="F369" s="37" t="inlineStr">
        <is>
          <t>WL-02592</t>
        </is>
      </c>
      <c r="G369" s="37" t="inlineStr">
        <is>
          <t>Stacy Hernandez</t>
        </is>
      </c>
      <c r="H369" s="37" t="n">
        <v>21.8</v>
      </c>
    </row>
    <row r="370">
      <c r="A370" s="37" t="inlineStr">
        <is>
          <t>VB-0513</t>
        </is>
      </c>
      <c r="B370" s="37" t="inlineStr">
        <is>
          <t>Vessbank</t>
        </is>
      </c>
      <c r="C370" s="37" t="inlineStr">
        <is>
          <t>COVERED</t>
        </is>
      </c>
      <c r="D370" s="37" t="n">
        <v>32</v>
      </c>
      <c r="E370" s="37" t="inlineStr">
        <is>
          <t>OCCUPIED</t>
        </is>
      </c>
      <c r="F370" s="37" t="inlineStr">
        <is>
          <t>WL-01169</t>
        </is>
      </c>
      <c r="G370" s="37" t="inlineStr">
        <is>
          <t>Cheyenne Kim</t>
        </is>
      </c>
      <c r="H370" s="37" t="n">
        <v>57.9</v>
      </c>
    </row>
    <row r="371">
      <c r="A371" s="37" t="inlineStr">
        <is>
          <t>VB-0514</t>
        </is>
      </c>
      <c r="B371" s="37" t="inlineStr">
        <is>
          <t>Vessbank</t>
        </is>
      </c>
      <c r="C371" s="37" t="inlineStr">
        <is>
          <t>COVERED</t>
        </is>
      </c>
      <c r="D371" s="37" t="n">
        <v>24</v>
      </c>
      <c r="E371" s="37" t="inlineStr">
        <is>
          <t>OCCUPIED</t>
        </is>
      </c>
      <c r="F371" s="37" t="inlineStr">
        <is>
          <t>WL-03262</t>
        </is>
      </c>
      <c r="G371" s="37" t="inlineStr">
        <is>
          <t>Melissa Kerr</t>
        </is>
      </c>
      <c r="H371" s="37" t="n">
        <v>26</v>
      </c>
    </row>
    <row r="372">
      <c r="A372" s="37" t="inlineStr">
        <is>
          <t>VB-0515</t>
        </is>
      </c>
      <c r="B372" s="37" t="inlineStr">
        <is>
          <t>Vessbank</t>
        </is>
      </c>
      <c r="C372" s="37" t="inlineStr">
        <is>
          <t>COVERED</t>
        </is>
      </c>
      <c r="D372" s="37" t="n">
        <v>24</v>
      </c>
      <c r="E372" s="37" t="inlineStr">
        <is>
          <t>OCCUPIED</t>
        </is>
      </c>
      <c r="F372" s="37" t="inlineStr">
        <is>
          <t>WL-02590</t>
        </is>
      </c>
      <c r="G372" s="37" t="inlineStr">
        <is>
          <t>Thomas Anderson</t>
        </is>
      </c>
      <c r="H372" s="37" t="n">
        <v>41.5</v>
      </c>
    </row>
    <row r="373">
      <c r="A373" s="37" t="inlineStr">
        <is>
          <t>VB-0516</t>
        </is>
      </c>
      <c r="B373" s="37" t="inlineStr">
        <is>
          <t>Vessbank</t>
        </is>
      </c>
      <c r="C373" s="37" t="inlineStr">
        <is>
          <t>COVERED</t>
        </is>
      </c>
      <c r="D373" s="37" t="n">
        <v>32</v>
      </c>
      <c r="E373" s="37" t="inlineStr">
        <is>
          <t>GUEST</t>
        </is>
      </c>
    </row>
    <row r="374">
      <c r="A374" s="37" t="inlineStr">
        <is>
          <t>VB-0517</t>
        </is>
      </c>
      <c r="B374" s="37" t="inlineStr">
        <is>
          <t>Vessbank</t>
        </is>
      </c>
      <c r="C374" s="37" t="inlineStr">
        <is>
          <t>COVERED</t>
        </is>
      </c>
      <c r="D374" s="37" t="n">
        <v>28</v>
      </c>
      <c r="E374" s="37" t="inlineStr">
        <is>
          <t>OCCUPIED</t>
        </is>
      </c>
      <c r="F374" s="37" t="inlineStr">
        <is>
          <t>WL-03489</t>
        </is>
      </c>
      <c r="G374" s="37" t="inlineStr">
        <is>
          <t>Alec Padilla</t>
        </is>
      </c>
      <c r="H374" s="37" t="n">
        <v>59.8</v>
      </c>
    </row>
    <row r="375">
      <c r="A375" s="37" t="inlineStr">
        <is>
          <t>VB-0518</t>
        </is>
      </c>
      <c r="B375" s="37" t="inlineStr">
        <is>
          <t>Vessbank</t>
        </is>
      </c>
      <c r="C375" s="37" t="inlineStr">
        <is>
          <t>COVERED</t>
        </is>
      </c>
      <c r="D375" s="37" t="n">
        <v>28</v>
      </c>
      <c r="E375" s="37" t="inlineStr">
        <is>
          <t>OCCUPIED</t>
        </is>
      </c>
      <c r="F375" s="37" t="inlineStr">
        <is>
          <t>WL-01561</t>
        </is>
      </c>
      <c r="G375" s="37" t="inlineStr">
        <is>
          <t>Brandon Jacobs</t>
        </is>
      </c>
      <c r="H375" s="37" t="n">
        <v>56.9</v>
      </c>
    </row>
    <row r="376">
      <c r="A376" s="37" t="inlineStr">
        <is>
          <t>VB-0519</t>
        </is>
      </c>
      <c r="B376" s="37" t="inlineStr">
        <is>
          <t>Vessbank</t>
        </is>
      </c>
      <c r="C376" s="37" t="inlineStr">
        <is>
          <t>COVERED</t>
        </is>
      </c>
      <c r="D376" s="37" t="n">
        <v>24</v>
      </c>
      <c r="E376" s="37" t="inlineStr">
        <is>
          <t>OCCUPIED</t>
        </is>
      </c>
      <c r="F376" s="37" t="inlineStr">
        <is>
          <t>WL-02751</t>
        </is>
      </c>
      <c r="G376" s="37" t="inlineStr">
        <is>
          <t>Tracy Austin</t>
        </is>
      </c>
      <c r="H376" s="37" t="n">
        <v>48.2</v>
      </c>
    </row>
    <row r="377">
      <c r="A377" s="37" t="inlineStr">
        <is>
          <t>VB-0520</t>
        </is>
      </c>
      <c r="B377" s="37" t="inlineStr">
        <is>
          <t>Vessbank</t>
        </is>
      </c>
      <c r="C377" s="37" t="inlineStr">
        <is>
          <t>COVERED</t>
        </is>
      </c>
      <c r="D377" s="37" t="n">
        <v>28</v>
      </c>
      <c r="E377" s="37" t="inlineStr">
        <is>
          <t>OCCUPIED</t>
        </is>
      </c>
      <c r="F377" s="37" t="inlineStr">
        <is>
          <t>WL-03010</t>
        </is>
      </c>
      <c r="G377" s="37" t="inlineStr">
        <is>
          <t>Anthony Fleming</t>
        </is>
      </c>
      <c r="H377" s="37" t="n">
        <v>36</v>
      </c>
    </row>
    <row r="378">
      <c r="A378" s="37" t="inlineStr">
        <is>
          <t>VB-0521</t>
        </is>
      </c>
      <c r="B378" s="37" t="inlineStr">
        <is>
          <t>Vessbank</t>
        </is>
      </c>
      <c r="C378" s="37" t="inlineStr">
        <is>
          <t>COVERED</t>
        </is>
      </c>
      <c r="D378" s="37" t="n">
        <v>32</v>
      </c>
      <c r="E378" s="37" t="inlineStr">
        <is>
          <t>OCCUPIED</t>
        </is>
      </c>
      <c r="F378" s="37" t="inlineStr">
        <is>
          <t>WL-02877</t>
        </is>
      </c>
      <c r="G378" s="37" t="inlineStr">
        <is>
          <t>Sandra Milovich</t>
        </is>
      </c>
      <c r="H378" s="37" t="n">
        <v>33.2</v>
      </c>
    </row>
    <row r="379">
      <c r="A379" s="37" t="inlineStr">
        <is>
          <t>VB-0522</t>
        </is>
      </c>
      <c r="B379" s="37" t="inlineStr">
        <is>
          <t>Vessbank</t>
        </is>
      </c>
      <c r="C379" s="37" t="inlineStr">
        <is>
          <t>COVERED</t>
        </is>
      </c>
      <c r="D379" s="37" t="n">
        <v>32</v>
      </c>
      <c r="E379" s="37" t="inlineStr">
        <is>
          <t>OCCUPIED</t>
        </is>
      </c>
      <c r="F379" s="37" t="inlineStr">
        <is>
          <t>WL-03485</t>
        </is>
      </c>
      <c r="G379" s="37" t="inlineStr">
        <is>
          <t>Timothy Moon</t>
        </is>
      </c>
      <c r="H379" s="37" t="n">
        <v>42.5</v>
      </c>
    </row>
    <row r="380">
      <c r="A380" s="37" t="inlineStr">
        <is>
          <t>VB-0523</t>
        </is>
      </c>
      <c r="B380" s="37" t="inlineStr">
        <is>
          <t>Vessbank</t>
        </is>
      </c>
      <c r="C380" s="37" t="inlineStr">
        <is>
          <t>COVERED</t>
        </is>
      </c>
      <c r="D380" s="37" t="n">
        <v>32</v>
      </c>
      <c r="E380" s="37" t="inlineStr">
        <is>
          <t>OCCUPIED</t>
        </is>
      </c>
      <c r="F380" s="37" t="inlineStr">
        <is>
          <t>WL-01927</t>
        </is>
      </c>
      <c r="G380" s="37" t="inlineStr">
        <is>
          <t>Mark Mclaughlin</t>
        </is>
      </c>
      <c r="H380" s="37" t="n">
        <v>38.7</v>
      </c>
    </row>
    <row r="381">
      <c r="A381" s="37" t="inlineStr">
        <is>
          <t>VB-0524</t>
        </is>
      </c>
      <c r="B381" s="37" t="inlineStr">
        <is>
          <t>Vessbank</t>
        </is>
      </c>
      <c r="C381" s="37" t="inlineStr">
        <is>
          <t>COVERED</t>
        </is>
      </c>
      <c r="D381" s="37" t="n">
        <v>28</v>
      </c>
      <c r="E381" s="37" t="inlineStr">
        <is>
          <t>OCCUPIED</t>
        </is>
      </c>
      <c r="F381" s="37" t="inlineStr">
        <is>
          <t>WL-02787</t>
        </is>
      </c>
      <c r="G381" s="37" t="inlineStr">
        <is>
          <t>David Dawson</t>
        </is>
      </c>
      <c r="H381" s="37" t="n">
        <v>22.5</v>
      </c>
    </row>
    <row r="382">
      <c r="A382" s="37" t="inlineStr">
        <is>
          <t>VB-0601</t>
        </is>
      </c>
      <c r="B382" s="37" t="inlineStr">
        <is>
          <t>Vessbank</t>
        </is>
      </c>
      <c r="C382" s="37" t="inlineStr">
        <is>
          <t>COVERED</t>
        </is>
      </c>
      <c r="D382" s="37" t="n">
        <v>24</v>
      </c>
      <c r="E382" s="37" t="inlineStr">
        <is>
          <t>OCCUPIED</t>
        </is>
      </c>
      <c r="F382" s="37" t="inlineStr">
        <is>
          <t>WL-01730</t>
        </is>
      </c>
      <c r="G382" s="37" t="inlineStr">
        <is>
          <t>Charles Sparks</t>
        </is>
      </c>
      <c r="H382" s="37" t="n">
        <v>45.6</v>
      </c>
    </row>
    <row r="383">
      <c r="A383" s="37" t="inlineStr">
        <is>
          <t>VB-0602</t>
        </is>
      </c>
      <c r="B383" s="37" t="inlineStr">
        <is>
          <t>Vessbank</t>
        </is>
      </c>
      <c r="C383" s="37" t="inlineStr">
        <is>
          <t>COVERED</t>
        </is>
      </c>
      <c r="D383" s="37" t="n">
        <v>24</v>
      </c>
      <c r="E383" s="37" t="inlineStr">
        <is>
          <t>OCCUPIED</t>
        </is>
      </c>
      <c r="F383" s="37" t="inlineStr">
        <is>
          <t>WL-03241</t>
        </is>
      </c>
      <c r="G383" s="37" t="inlineStr">
        <is>
          <t>Michael Ford</t>
        </is>
      </c>
      <c r="H383" s="37" t="n">
        <v>39.8</v>
      </c>
    </row>
    <row r="384">
      <c r="A384" s="37" t="inlineStr">
        <is>
          <t>VB-0603</t>
        </is>
      </c>
      <c r="B384" s="37" t="inlineStr">
        <is>
          <t>Vessbank</t>
        </is>
      </c>
      <c r="C384" s="37" t="inlineStr">
        <is>
          <t>COVERED</t>
        </is>
      </c>
      <c r="D384" s="37" t="n">
        <v>28</v>
      </c>
      <c r="E384" s="37" t="inlineStr">
        <is>
          <t>OCCUPIED</t>
        </is>
      </c>
      <c r="F384" s="37" t="inlineStr">
        <is>
          <t>WL-01129</t>
        </is>
      </c>
      <c r="G384" s="37" t="inlineStr">
        <is>
          <t>Alexander Thompson</t>
        </is>
      </c>
      <c r="H384" s="37" t="n">
        <v>27.8</v>
      </c>
    </row>
    <row r="385">
      <c r="A385" s="37" t="inlineStr">
        <is>
          <t>VB-0604</t>
        </is>
      </c>
      <c r="B385" s="37" t="inlineStr">
        <is>
          <t>Vessbank</t>
        </is>
      </c>
      <c r="C385" s="37" t="inlineStr">
        <is>
          <t>COVERED</t>
        </is>
      </c>
      <c r="D385" s="37" t="n">
        <v>28</v>
      </c>
      <c r="E385" s="37" t="inlineStr">
        <is>
          <t>OCCUPIED</t>
        </is>
      </c>
      <c r="F385" s="37" t="inlineStr">
        <is>
          <t>WL-01999</t>
        </is>
      </c>
      <c r="G385" s="37" t="inlineStr">
        <is>
          <t>Kristen Williams</t>
        </is>
      </c>
      <c r="H385" s="37" t="n">
        <v>19.5</v>
      </c>
    </row>
    <row r="386">
      <c r="A386" s="37" t="inlineStr">
        <is>
          <t>VB-0605</t>
        </is>
      </c>
      <c r="B386" s="37" t="inlineStr">
        <is>
          <t>Vessbank</t>
        </is>
      </c>
      <c r="C386" s="37" t="inlineStr">
        <is>
          <t>COVERED</t>
        </is>
      </c>
      <c r="D386" s="37" t="n">
        <v>24</v>
      </c>
      <c r="E386" s="37" t="inlineStr">
        <is>
          <t>OCCUPIED</t>
        </is>
      </c>
      <c r="F386" s="37" t="inlineStr">
        <is>
          <t>WL-02890</t>
        </is>
      </c>
      <c r="G386" s="37" t="inlineStr">
        <is>
          <t>Crystal Morales</t>
        </is>
      </c>
      <c r="H386" s="37" t="n">
        <v>35.2</v>
      </c>
    </row>
    <row r="387">
      <c r="A387" s="37" t="inlineStr">
        <is>
          <t>VB-0606</t>
        </is>
      </c>
      <c r="B387" s="37" t="inlineStr">
        <is>
          <t>Vessbank</t>
        </is>
      </c>
      <c r="C387" s="37" t="inlineStr">
        <is>
          <t>COVERED</t>
        </is>
      </c>
      <c r="D387" s="37" t="n">
        <v>28</v>
      </c>
      <c r="E387" s="37" t="inlineStr">
        <is>
          <t>OCCUPIED</t>
        </is>
      </c>
      <c r="F387" s="37" t="inlineStr">
        <is>
          <t>WL-02404</t>
        </is>
      </c>
      <c r="G387" s="37" t="inlineStr">
        <is>
          <t>Samuel King</t>
        </is>
      </c>
      <c r="H387" s="37" t="n">
        <v>44.8</v>
      </c>
    </row>
    <row r="388">
      <c r="A388" s="37" t="inlineStr">
        <is>
          <t>VB-0607</t>
        </is>
      </c>
      <c r="B388" s="37" t="inlineStr">
        <is>
          <t>Vessbank</t>
        </is>
      </c>
      <c r="C388" s="37" t="inlineStr">
        <is>
          <t>COVERED</t>
        </is>
      </c>
      <c r="D388" s="37" t="n">
        <v>36</v>
      </c>
      <c r="E388" s="37" t="inlineStr">
        <is>
          <t>OCCUPIED</t>
        </is>
      </c>
      <c r="F388" s="37" t="inlineStr">
        <is>
          <t>WL-01590</t>
        </is>
      </c>
      <c r="G388" s="37" t="inlineStr">
        <is>
          <t>Cynthia Gutierrez</t>
        </is>
      </c>
      <c r="H388" s="37" t="n">
        <v>29.2</v>
      </c>
    </row>
    <row r="389">
      <c r="A389" s="37" t="inlineStr">
        <is>
          <t>VB-0608</t>
        </is>
      </c>
      <c r="B389" s="37" t="inlineStr">
        <is>
          <t>Vessbank</t>
        </is>
      </c>
      <c r="C389" s="37" t="inlineStr">
        <is>
          <t>COVERED</t>
        </is>
      </c>
      <c r="D389" s="37" t="n">
        <v>32</v>
      </c>
      <c r="E389" s="37" t="inlineStr">
        <is>
          <t>VACANT</t>
        </is>
      </c>
    </row>
    <row r="390">
      <c r="A390" s="37" t="inlineStr">
        <is>
          <t>VB-0609</t>
        </is>
      </c>
      <c r="B390" s="37" t="inlineStr">
        <is>
          <t>Vessbank</t>
        </is>
      </c>
      <c r="C390" s="37" t="inlineStr">
        <is>
          <t>COVERED</t>
        </is>
      </c>
      <c r="D390" s="37" t="n">
        <v>36</v>
      </c>
      <c r="E390" s="37" t="inlineStr">
        <is>
          <t>OCCUPIED</t>
        </is>
      </c>
      <c r="F390" s="37" t="inlineStr">
        <is>
          <t>WL-01547</t>
        </is>
      </c>
      <c r="G390" s="37" t="inlineStr">
        <is>
          <t>Nicole Burke</t>
        </is>
      </c>
      <c r="H390" s="37" t="n">
        <v>34.2</v>
      </c>
    </row>
    <row r="391">
      <c r="A391" s="37" t="inlineStr">
        <is>
          <t>VB-0610</t>
        </is>
      </c>
      <c r="B391" s="37" t="inlineStr">
        <is>
          <t>Vessbank</t>
        </is>
      </c>
      <c r="C391" s="37" t="inlineStr">
        <is>
          <t>COVERED</t>
        </is>
      </c>
      <c r="D391" s="37" t="n">
        <v>32</v>
      </c>
      <c r="E391" s="37" t="inlineStr">
        <is>
          <t>OCCUPIED</t>
        </is>
      </c>
      <c r="F391" s="37" t="inlineStr">
        <is>
          <t>WL-03058</t>
        </is>
      </c>
      <c r="G391" s="37" t="inlineStr">
        <is>
          <t>Mary Thomas</t>
        </is>
      </c>
      <c r="H391" s="37" t="n">
        <v>59.6</v>
      </c>
    </row>
    <row r="392">
      <c r="A392" s="37" t="inlineStr">
        <is>
          <t>VB-0611</t>
        </is>
      </c>
      <c r="B392" s="37" t="inlineStr">
        <is>
          <t>Vessbank</t>
        </is>
      </c>
      <c r="C392" s="37" t="inlineStr">
        <is>
          <t>COVERED</t>
        </is>
      </c>
      <c r="D392" s="37" t="n">
        <v>32</v>
      </c>
      <c r="E392" s="37" t="inlineStr">
        <is>
          <t>OCCUPIED</t>
        </is>
      </c>
      <c r="F392" s="37" t="inlineStr">
        <is>
          <t>WL-01330</t>
        </is>
      </c>
      <c r="G392" s="37" t="inlineStr">
        <is>
          <t>Mark Flynn</t>
        </is>
      </c>
      <c r="H392" s="37" t="n">
        <v>18.3</v>
      </c>
    </row>
    <row r="393">
      <c r="A393" s="37" t="inlineStr">
        <is>
          <t>VB-0612</t>
        </is>
      </c>
      <c r="B393" s="37" t="inlineStr">
        <is>
          <t>Vessbank</t>
        </is>
      </c>
      <c r="C393" s="37" t="inlineStr">
        <is>
          <t>COVERED</t>
        </is>
      </c>
      <c r="D393" s="37" t="n">
        <v>24</v>
      </c>
      <c r="E393" s="37" t="inlineStr">
        <is>
          <t>OCCUPIED</t>
        </is>
      </c>
      <c r="F393" s="37" t="inlineStr">
        <is>
          <t>WL-03873</t>
        </is>
      </c>
      <c r="G393" s="37" t="inlineStr">
        <is>
          <t>Michele Clay</t>
        </is>
      </c>
      <c r="H393" s="37" t="n">
        <v>57</v>
      </c>
    </row>
    <row r="394">
      <c r="A394" s="37" t="inlineStr">
        <is>
          <t>VB-0613</t>
        </is>
      </c>
      <c r="B394" s="37" t="inlineStr">
        <is>
          <t>Vessbank</t>
        </is>
      </c>
      <c r="C394" s="37" t="inlineStr">
        <is>
          <t>COVERED</t>
        </is>
      </c>
      <c r="D394" s="37" t="n">
        <v>24</v>
      </c>
      <c r="E394" s="37" t="inlineStr">
        <is>
          <t>OCCUPIED</t>
        </is>
      </c>
      <c r="F394" s="37" t="inlineStr">
        <is>
          <t>WL-02467</t>
        </is>
      </c>
      <c r="G394" s="37" t="inlineStr">
        <is>
          <t>Joseph Davis</t>
        </is>
      </c>
      <c r="H394" s="37" t="n">
        <v>54.3</v>
      </c>
    </row>
    <row r="395">
      <c r="A395" s="37" t="inlineStr">
        <is>
          <t>VB-0614</t>
        </is>
      </c>
      <c r="B395" s="37" t="inlineStr">
        <is>
          <t>Vessbank</t>
        </is>
      </c>
      <c r="C395" s="37" t="inlineStr">
        <is>
          <t>COVERED</t>
        </is>
      </c>
      <c r="D395" s="37" t="n">
        <v>32</v>
      </c>
      <c r="E395" s="37" t="inlineStr">
        <is>
          <t>OCCUPIED</t>
        </is>
      </c>
      <c r="F395" s="37" t="inlineStr">
        <is>
          <t>WL-01843</t>
        </is>
      </c>
      <c r="G395" s="37" t="inlineStr">
        <is>
          <t>Donna Kim</t>
        </is>
      </c>
      <c r="H395" s="37" t="n">
        <v>44.8</v>
      </c>
    </row>
    <row r="396">
      <c r="A396" s="37" t="inlineStr">
        <is>
          <t>VB-0615</t>
        </is>
      </c>
      <c r="B396" s="37" t="inlineStr">
        <is>
          <t>Vessbank</t>
        </is>
      </c>
      <c r="C396" s="37" t="inlineStr">
        <is>
          <t>COVERED</t>
        </is>
      </c>
      <c r="D396" s="37" t="n">
        <v>40</v>
      </c>
      <c r="E396" s="37" t="inlineStr">
        <is>
          <t>OCCUPIED</t>
        </is>
      </c>
      <c r="F396" s="37" t="inlineStr">
        <is>
          <t>WL-02699</t>
        </is>
      </c>
      <c r="G396" s="37" t="inlineStr">
        <is>
          <t>Sharon Gonzales</t>
        </is>
      </c>
      <c r="H396" s="37" t="n">
        <v>49.6</v>
      </c>
    </row>
    <row r="397">
      <c r="A397" s="37" t="inlineStr">
        <is>
          <t>VB-0616</t>
        </is>
      </c>
      <c r="B397" s="37" t="inlineStr">
        <is>
          <t>Vessbank</t>
        </is>
      </c>
      <c r="C397" s="37" t="inlineStr">
        <is>
          <t>COVERED</t>
        </is>
      </c>
      <c r="D397" s="37" t="n">
        <v>24</v>
      </c>
      <c r="E397" s="37" t="inlineStr">
        <is>
          <t>OCCUPIED</t>
        </is>
      </c>
      <c r="F397" s="37" t="inlineStr">
        <is>
          <t>WL-01627</t>
        </is>
      </c>
      <c r="G397" s="37" t="inlineStr">
        <is>
          <t>Paige Cherry</t>
        </is>
      </c>
      <c r="H397" s="37" t="n">
        <v>32.5</v>
      </c>
    </row>
    <row r="398">
      <c r="A398" s="37" t="inlineStr">
        <is>
          <t>VB-0617</t>
        </is>
      </c>
      <c r="B398" s="37" t="inlineStr">
        <is>
          <t>Vessbank</t>
        </is>
      </c>
      <c r="C398" s="37" t="inlineStr">
        <is>
          <t>COVERED</t>
        </is>
      </c>
      <c r="D398" s="37" t="n">
        <v>40</v>
      </c>
      <c r="E398" s="37" t="inlineStr">
        <is>
          <t>OCCUPIED</t>
        </is>
      </c>
      <c r="F398" s="37" t="inlineStr">
        <is>
          <t>WL-02887</t>
        </is>
      </c>
      <c r="G398" s="37" t="inlineStr">
        <is>
          <t>Shelly Mayer</t>
        </is>
      </c>
      <c r="H398" s="37" t="n">
        <v>48.2</v>
      </c>
    </row>
    <row r="399">
      <c r="A399" s="37" t="inlineStr">
        <is>
          <t>VB-0618</t>
        </is>
      </c>
      <c r="B399" s="37" t="inlineStr">
        <is>
          <t>Vessbank</t>
        </is>
      </c>
      <c r="C399" s="37" t="inlineStr">
        <is>
          <t>COVERED</t>
        </is>
      </c>
      <c r="D399" s="37" t="n">
        <v>24</v>
      </c>
      <c r="E399" s="37" t="inlineStr">
        <is>
          <t>OCCUPIED</t>
        </is>
      </c>
      <c r="F399" s="37" t="inlineStr">
        <is>
          <t>WL-02828</t>
        </is>
      </c>
      <c r="G399" s="37" t="inlineStr">
        <is>
          <t>Desiree Olsen</t>
        </is>
      </c>
      <c r="H399" s="37" t="n">
        <v>59.7</v>
      </c>
    </row>
    <row r="400">
      <c r="A400" s="37" t="inlineStr">
        <is>
          <t>VB-0619</t>
        </is>
      </c>
      <c r="B400" s="37" t="inlineStr">
        <is>
          <t>Vessbank</t>
        </is>
      </c>
      <c r="C400" s="37" t="inlineStr">
        <is>
          <t>COVERED</t>
        </is>
      </c>
      <c r="D400" s="37" t="n">
        <v>24</v>
      </c>
      <c r="E400" s="37" t="inlineStr">
        <is>
          <t>OCCUPIED</t>
        </is>
      </c>
      <c r="F400" s="37" t="inlineStr">
        <is>
          <t>WL-01841</t>
        </is>
      </c>
      <c r="G400" s="37" t="inlineStr">
        <is>
          <t>Arthur Jones</t>
        </is>
      </c>
      <c r="H400" s="37" t="n">
        <v>61.4</v>
      </c>
    </row>
    <row r="401">
      <c r="A401" s="37" t="inlineStr">
        <is>
          <t>VB-0620</t>
        </is>
      </c>
      <c r="B401" s="37" t="inlineStr">
        <is>
          <t>Vessbank</t>
        </is>
      </c>
      <c r="C401" s="37" t="inlineStr">
        <is>
          <t>COVERED</t>
        </is>
      </c>
      <c r="D401" s="37" t="n">
        <v>40</v>
      </c>
      <c r="E401" s="37" t="inlineStr">
        <is>
          <t>OCCUPIED</t>
        </is>
      </c>
      <c r="F401" s="37" t="inlineStr">
        <is>
          <t>WL-01226</t>
        </is>
      </c>
      <c r="G401" s="37" t="inlineStr">
        <is>
          <t>Phyllis Vargas</t>
        </is>
      </c>
      <c r="H401" s="37" t="n">
        <v>48</v>
      </c>
    </row>
    <row r="402">
      <c r="A402" s="37" t="inlineStr">
        <is>
          <t>VB-0621</t>
        </is>
      </c>
      <c r="B402" s="37" t="inlineStr">
        <is>
          <t>Vessbank</t>
        </is>
      </c>
      <c r="C402" s="37" t="inlineStr">
        <is>
          <t>COVERED</t>
        </is>
      </c>
      <c r="D402" s="37" t="n">
        <v>24</v>
      </c>
      <c r="E402" s="37" t="inlineStr">
        <is>
          <t>OCCUPIED</t>
        </is>
      </c>
      <c r="F402" s="37" t="inlineStr">
        <is>
          <t>WL-01275</t>
        </is>
      </c>
      <c r="G402" s="37" t="inlineStr">
        <is>
          <t>Adam Shepherd</t>
        </is>
      </c>
      <c r="H402" s="37" t="n">
        <v>19.9</v>
      </c>
    </row>
    <row r="403">
      <c r="A403" s="37" t="inlineStr">
        <is>
          <t>VB-0622</t>
        </is>
      </c>
      <c r="B403" s="37" t="inlineStr">
        <is>
          <t>Vessbank</t>
        </is>
      </c>
      <c r="C403" s="37" t="inlineStr">
        <is>
          <t>COVERED</t>
        </is>
      </c>
      <c r="D403" s="37" t="n">
        <v>32</v>
      </c>
      <c r="E403" s="37" t="inlineStr">
        <is>
          <t>OCCUPIED</t>
        </is>
      </c>
      <c r="F403" s="37" t="inlineStr">
        <is>
          <t>WL-01083</t>
        </is>
      </c>
      <c r="G403" s="37" t="inlineStr">
        <is>
          <t>Dennis Schmidt</t>
        </is>
      </c>
      <c r="H403" s="37" t="n">
        <v>19.6</v>
      </c>
    </row>
    <row r="404">
      <c r="A404" s="37" t="inlineStr">
        <is>
          <t>VB-0623</t>
        </is>
      </c>
      <c r="B404" s="37" t="inlineStr">
        <is>
          <t>Vessbank</t>
        </is>
      </c>
      <c r="C404" s="37" t="inlineStr">
        <is>
          <t>COVERED</t>
        </is>
      </c>
      <c r="D404" s="37" t="n">
        <v>24</v>
      </c>
      <c r="E404" s="37" t="inlineStr">
        <is>
          <t>OCCUPIED</t>
        </is>
      </c>
      <c r="F404" s="37" t="inlineStr">
        <is>
          <t>WL-02748</t>
        </is>
      </c>
      <c r="G404" s="37" t="inlineStr">
        <is>
          <t>Ross Griffin</t>
        </is>
      </c>
      <c r="H404" s="37" t="n">
        <v>42.6</v>
      </c>
    </row>
    <row r="405">
      <c r="A405" s="37" t="inlineStr">
        <is>
          <t>VB-0624</t>
        </is>
      </c>
      <c r="B405" s="37" t="inlineStr">
        <is>
          <t>Vessbank</t>
        </is>
      </c>
      <c r="C405" s="37" t="inlineStr">
        <is>
          <t>COVERED</t>
        </is>
      </c>
      <c r="D405" s="37" t="n">
        <v>40</v>
      </c>
      <c r="E405" s="37" t="inlineStr">
        <is>
          <t>OCCUPIED</t>
        </is>
      </c>
      <c r="F405" s="37" t="inlineStr">
        <is>
          <t>WL-03304</t>
        </is>
      </c>
      <c r="G405" s="37" t="inlineStr">
        <is>
          <t>Heather Brown</t>
        </is>
      </c>
      <c r="H405" s="37" t="n">
        <v>19.5</v>
      </c>
    </row>
    <row r="406">
      <c r="A406" s="37" t="inlineStr">
        <is>
          <t>VB-0701</t>
        </is>
      </c>
      <c r="B406" s="37" t="inlineStr">
        <is>
          <t>Vessbank</t>
        </is>
      </c>
      <c r="C406" s="37" t="inlineStr">
        <is>
          <t>COVERED</t>
        </is>
      </c>
      <c r="D406" s="37" t="n">
        <v>32</v>
      </c>
      <c r="E406" s="37" t="inlineStr">
        <is>
          <t>OCCUPIED</t>
        </is>
      </c>
      <c r="F406" s="37" t="inlineStr">
        <is>
          <t>WL-02201</t>
        </is>
      </c>
      <c r="G406" s="37" t="inlineStr">
        <is>
          <t>Johnathan Gould</t>
        </is>
      </c>
      <c r="H406" s="37" t="n">
        <v>38</v>
      </c>
    </row>
    <row r="407">
      <c r="A407" s="37" t="inlineStr">
        <is>
          <t>VB-0702</t>
        </is>
      </c>
      <c r="B407" s="37" t="inlineStr">
        <is>
          <t>Vessbank</t>
        </is>
      </c>
      <c r="C407" s="37" t="inlineStr">
        <is>
          <t>COVERED</t>
        </is>
      </c>
      <c r="D407" s="37" t="n">
        <v>32</v>
      </c>
      <c r="E407" s="37" t="inlineStr">
        <is>
          <t>VACANT</t>
        </is>
      </c>
    </row>
    <row r="408">
      <c r="A408" s="37" t="inlineStr">
        <is>
          <t>VB-0703</t>
        </is>
      </c>
      <c r="B408" s="37" t="inlineStr">
        <is>
          <t>Vessbank</t>
        </is>
      </c>
      <c r="C408" s="37" t="inlineStr">
        <is>
          <t>COVERED</t>
        </is>
      </c>
      <c r="D408" s="37" t="n">
        <v>28</v>
      </c>
      <c r="E408" s="37" t="inlineStr">
        <is>
          <t>OCCUPIED</t>
        </is>
      </c>
      <c r="F408" s="37" t="inlineStr">
        <is>
          <t>WL-01897</t>
        </is>
      </c>
      <c r="G408" s="37" t="inlineStr">
        <is>
          <t>Raymond Davis</t>
        </is>
      </c>
      <c r="H408" s="37" t="n">
        <v>60.8</v>
      </c>
    </row>
    <row r="409">
      <c r="A409" s="37" t="inlineStr">
        <is>
          <t>VB-0704</t>
        </is>
      </c>
      <c r="B409" s="37" t="inlineStr">
        <is>
          <t>Vessbank</t>
        </is>
      </c>
      <c r="C409" s="37" t="inlineStr">
        <is>
          <t>COVERED</t>
        </is>
      </c>
      <c r="D409" s="37" t="n">
        <v>40</v>
      </c>
      <c r="E409" s="37" t="inlineStr">
        <is>
          <t>OCCUPIED</t>
        </is>
      </c>
      <c r="F409" s="37" t="inlineStr">
        <is>
          <t>WL-02737</t>
        </is>
      </c>
      <c r="G409" s="37" t="inlineStr">
        <is>
          <t>Kimberly Crosby</t>
        </is>
      </c>
      <c r="H409" s="37" t="n">
        <v>43.1</v>
      </c>
    </row>
    <row r="410">
      <c r="A410" s="37" t="inlineStr">
        <is>
          <t>VB-0705</t>
        </is>
      </c>
      <c r="B410" s="37" t="inlineStr">
        <is>
          <t>Vessbank</t>
        </is>
      </c>
      <c r="C410" s="37" t="inlineStr">
        <is>
          <t>COVERED</t>
        </is>
      </c>
      <c r="D410" s="37" t="n">
        <v>28</v>
      </c>
      <c r="E410" s="37" t="inlineStr">
        <is>
          <t>OCCUPIED</t>
        </is>
      </c>
      <c r="F410" s="37" t="inlineStr">
        <is>
          <t>WL-02998</t>
        </is>
      </c>
      <c r="G410" s="37" t="inlineStr">
        <is>
          <t>Luis Bradley</t>
        </is>
      </c>
      <c r="H410" s="37" t="n">
        <v>45.4</v>
      </c>
    </row>
    <row r="411">
      <c r="A411" s="37" t="inlineStr">
        <is>
          <t>VB-0706</t>
        </is>
      </c>
      <c r="B411" s="37" t="inlineStr">
        <is>
          <t>Vessbank</t>
        </is>
      </c>
      <c r="C411" s="37" t="inlineStr">
        <is>
          <t>COVERED</t>
        </is>
      </c>
      <c r="D411" s="37" t="n">
        <v>32</v>
      </c>
      <c r="E411" s="37" t="inlineStr">
        <is>
          <t>OCCUPIED</t>
        </is>
      </c>
      <c r="F411" s="37" t="inlineStr">
        <is>
          <t>WL-02627</t>
        </is>
      </c>
      <c r="G411" s="37" t="inlineStr">
        <is>
          <t>Cynthia Campbell</t>
        </is>
      </c>
      <c r="H411" s="37" t="n">
        <v>33.5</v>
      </c>
    </row>
    <row r="412">
      <c r="A412" s="37" t="inlineStr">
        <is>
          <t>VB-0707</t>
        </is>
      </c>
      <c r="B412" s="37" t="inlineStr">
        <is>
          <t>Vessbank</t>
        </is>
      </c>
      <c r="C412" s="37" t="inlineStr">
        <is>
          <t>COVERED</t>
        </is>
      </c>
      <c r="D412" s="37" t="n">
        <v>28</v>
      </c>
      <c r="E412" s="37" t="inlineStr">
        <is>
          <t>OCCUPIED</t>
        </is>
      </c>
      <c r="F412" s="37" t="inlineStr">
        <is>
          <t>WL-01144</t>
        </is>
      </c>
      <c r="G412" s="37" t="inlineStr">
        <is>
          <t>James Lopez</t>
        </is>
      </c>
      <c r="H412" s="37" t="n">
        <v>19.6</v>
      </c>
    </row>
    <row r="413">
      <c r="A413" s="37" t="inlineStr">
        <is>
          <t>VB-0708</t>
        </is>
      </c>
      <c r="B413" s="37" t="inlineStr">
        <is>
          <t>Vessbank</t>
        </is>
      </c>
      <c r="C413" s="37" t="inlineStr">
        <is>
          <t>COVERED</t>
        </is>
      </c>
      <c r="D413" s="37" t="n">
        <v>36</v>
      </c>
      <c r="E413" s="37" t="inlineStr">
        <is>
          <t>OCCUPIED</t>
        </is>
      </c>
      <c r="F413" s="37" t="inlineStr">
        <is>
          <t>WL-01549</t>
        </is>
      </c>
      <c r="G413" s="37" t="inlineStr">
        <is>
          <t>Zachary Wilson</t>
        </is>
      </c>
      <c r="H413" s="37" t="n">
        <v>21.4</v>
      </c>
    </row>
    <row r="414">
      <c r="A414" s="37" t="inlineStr">
        <is>
          <t>VB-0709</t>
        </is>
      </c>
      <c r="B414" s="37" t="inlineStr">
        <is>
          <t>Vessbank</t>
        </is>
      </c>
      <c r="C414" s="37" t="inlineStr">
        <is>
          <t>COVERED</t>
        </is>
      </c>
      <c r="D414" s="37" t="n">
        <v>40</v>
      </c>
      <c r="E414" s="37" t="inlineStr">
        <is>
          <t>OCCUPIED</t>
        </is>
      </c>
      <c r="F414" s="37" t="inlineStr">
        <is>
          <t>WL-03117</t>
        </is>
      </c>
      <c r="G414" s="37" t="inlineStr">
        <is>
          <t>Stephanie Hawkins</t>
        </is>
      </c>
      <c r="H414" s="37" t="n">
        <v>43.5</v>
      </c>
    </row>
    <row r="415">
      <c r="A415" s="37" t="inlineStr">
        <is>
          <t>VB-0710</t>
        </is>
      </c>
      <c r="B415" s="37" t="inlineStr">
        <is>
          <t>Vessbank</t>
        </is>
      </c>
      <c r="C415" s="37" t="inlineStr">
        <is>
          <t>COVERED</t>
        </is>
      </c>
      <c r="D415" s="37" t="n">
        <v>36</v>
      </c>
      <c r="E415" s="37" t="inlineStr">
        <is>
          <t>OCCUPIED</t>
        </is>
      </c>
      <c r="F415" s="37" t="inlineStr">
        <is>
          <t>WL-01146</t>
        </is>
      </c>
      <c r="G415" s="37" t="inlineStr">
        <is>
          <t>Jessica English</t>
        </is>
      </c>
      <c r="H415" s="37" t="n">
        <v>36.7</v>
      </c>
    </row>
    <row r="416">
      <c r="A416" s="37" t="inlineStr">
        <is>
          <t>VB-0711</t>
        </is>
      </c>
      <c r="B416" s="37" t="inlineStr">
        <is>
          <t>Vessbank</t>
        </is>
      </c>
      <c r="C416" s="37" t="inlineStr">
        <is>
          <t>COVERED</t>
        </is>
      </c>
      <c r="D416" s="37" t="n">
        <v>36</v>
      </c>
      <c r="E416" s="37" t="inlineStr">
        <is>
          <t>OCCUPIED</t>
        </is>
      </c>
      <c r="F416" s="37" t="inlineStr">
        <is>
          <t>WL-03156</t>
        </is>
      </c>
      <c r="G416" s="37" t="inlineStr">
        <is>
          <t>Stephen Riley</t>
        </is>
      </c>
      <c r="H416" s="37" t="n">
        <v>37.2</v>
      </c>
    </row>
    <row r="417">
      <c r="A417" s="37" t="inlineStr">
        <is>
          <t>VB-0712</t>
        </is>
      </c>
      <c r="B417" s="37" t="inlineStr">
        <is>
          <t>Vessbank</t>
        </is>
      </c>
      <c r="C417" s="37" t="inlineStr">
        <is>
          <t>COVERED</t>
        </is>
      </c>
      <c r="D417" s="37" t="n">
        <v>28</v>
      </c>
      <c r="E417" s="37" t="inlineStr">
        <is>
          <t>OCCUPIED</t>
        </is>
      </c>
      <c r="F417" s="37" t="inlineStr">
        <is>
          <t>WL-03530</t>
        </is>
      </c>
      <c r="G417" s="37" t="inlineStr">
        <is>
          <t>Jay Dominguez</t>
        </is>
      </c>
      <c r="H417" s="37" t="n">
        <v>40.6</v>
      </c>
    </row>
    <row r="418">
      <c r="A418" s="37" t="inlineStr">
        <is>
          <t>VB-0713</t>
        </is>
      </c>
      <c r="B418" s="37" t="inlineStr">
        <is>
          <t>Vessbank</t>
        </is>
      </c>
      <c r="C418" s="37" t="inlineStr">
        <is>
          <t>COVERED</t>
        </is>
      </c>
      <c r="D418" s="37" t="n">
        <v>32</v>
      </c>
      <c r="E418" s="37" t="inlineStr">
        <is>
          <t>OCCUPIED</t>
        </is>
      </c>
      <c r="F418" s="37" t="inlineStr">
        <is>
          <t>WL-01276</t>
        </is>
      </c>
      <c r="G418" s="37" t="inlineStr">
        <is>
          <t>Nicole Fritz</t>
        </is>
      </c>
      <c r="H418" s="37" t="n">
        <v>33.8</v>
      </c>
    </row>
    <row r="419">
      <c r="A419" s="37" t="inlineStr">
        <is>
          <t>VB-0714</t>
        </is>
      </c>
      <c r="B419" s="37" t="inlineStr">
        <is>
          <t>Vessbank</t>
        </is>
      </c>
      <c r="C419" s="37" t="inlineStr">
        <is>
          <t>COVERED</t>
        </is>
      </c>
      <c r="D419" s="37" t="n">
        <v>32</v>
      </c>
      <c r="E419" s="37" t="inlineStr">
        <is>
          <t>OCCUPIED</t>
        </is>
      </c>
      <c r="F419" s="37" t="inlineStr">
        <is>
          <t>WL-02262</t>
        </is>
      </c>
      <c r="G419" s="37" t="inlineStr">
        <is>
          <t>James Rice</t>
        </is>
      </c>
      <c r="H419" s="37" t="n">
        <v>61.3</v>
      </c>
    </row>
    <row r="420">
      <c r="A420" s="37" t="inlineStr">
        <is>
          <t>VB-0715</t>
        </is>
      </c>
      <c r="B420" s="37" t="inlineStr">
        <is>
          <t>Vessbank</t>
        </is>
      </c>
      <c r="C420" s="37" t="inlineStr">
        <is>
          <t>COVERED</t>
        </is>
      </c>
      <c r="D420" s="37" t="n">
        <v>24</v>
      </c>
      <c r="E420" s="37" t="inlineStr">
        <is>
          <t>OCCUPIED</t>
        </is>
      </c>
      <c r="F420" s="37" t="inlineStr">
        <is>
          <t>WL-02850</t>
        </is>
      </c>
      <c r="G420" s="37" t="inlineStr">
        <is>
          <t>Edwin Boone</t>
        </is>
      </c>
      <c r="H420" s="37" t="n">
        <v>48.7</v>
      </c>
    </row>
    <row r="421">
      <c r="A421" s="37" t="inlineStr">
        <is>
          <t>VB-0716</t>
        </is>
      </c>
      <c r="B421" s="37" t="inlineStr">
        <is>
          <t>Vessbank</t>
        </is>
      </c>
      <c r="C421" s="37" t="inlineStr">
        <is>
          <t>COVERED</t>
        </is>
      </c>
      <c r="D421" s="37" t="n">
        <v>32</v>
      </c>
      <c r="E421" s="37" t="inlineStr">
        <is>
          <t>OCCUPIED</t>
        </is>
      </c>
      <c r="F421" s="37" t="inlineStr">
        <is>
          <t>WL-02482</t>
        </is>
      </c>
      <c r="G421" s="37" t="inlineStr">
        <is>
          <t>Emily Taylor</t>
        </is>
      </c>
      <c r="H421" s="37" t="n">
        <v>57.3</v>
      </c>
    </row>
    <row r="422">
      <c r="A422" s="37" t="inlineStr">
        <is>
          <t>VB-0717</t>
        </is>
      </c>
      <c r="B422" s="37" t="inlineStr">
        <is>
          <t>Vessbank</t>
        </is>
      </c>
      <c r="C422" s="37" t="inlineStr">
        <is>
          <t>COVERED</t>
        </is>
      </c>
      <c r="D422" s="37" t="n">
        <v>32</v>
      </c>
      <c r="E422" s="37" t="inlineStr">
        <is>
          <t>OCCUPIED</t>
        </is>
      </c>
      <c r="F422" s="37" t="inlineStr">
        <is>
          <t>WL-01515</t>
        </is>
      </c>
      <c r="G422" s="37" t="inlineStr">
        <is>
          <t>Andrea Simpson</t>
        </is>
      </c>
      <c r="H422" s="37" t="n">
        <v>50.3</v>
      </c>
    </row>
    <row r="423">
      <c r="A423" s="37" t="inlineStr">
        <is>
          <t>VB-0718</t>
        </is>
      </c>
      <c r="B423" s="37" t="inlineStr">
        <is>
          <t>Vessbank</t>
        </is>
      </c>
      <c r="C423" s="37" t="inlineStr">
        <is>
          <t>COVERED</t>
        </is>
      </c>
      <c r="D423" s="37" t="n">
        <v>28</v>
      </c>
      <c r="E423" s="37" t="inlineStr">
        <is>
          <t>OCCUPIED</t>
        </is>
      </c>
      <c r="F423" s="37" t="inlineStr">
        <is>
          <t>WL-02670</t>
        </is>
      </c>
      <c r="G423" s="37" t="inlineStr">
        <is>
          <t>Sara Hamilton</t>
        </is>
      </c>
      <c r="H423" s="37" t="n">
        <v>35.6</v>
      </c>
    </row>
    <row r="424">
      <c r="A424" s="37" t="inlineStr">
        <is>
          <t>VB-0719</t>
        </is>
      </c>
      <c r="B424" s="37" t="inlineStr">
        <is>
          <t>Vessbank</t>
        </is>
      </c>
      <c r="C424" s="37" t="inlineStr">
        <is>
          <t>COVERED</t>
        </is>
      </c>
      <c r="D424" s="37" t="n">
        <v>32</v>
      </c>
      <c r="E424" s="37" t="inlineStr">
        <is>
          <t>OCCUPIED</t>
        </is>
      </c>
      <c r="F424" s="37" t="inlineStr">
        <is>
          <t>WL-01748</t>
        </is>
      </c>
      <c r="G424" s="37" t="inlineStr">
        <is>
          <t>Daniel Brown</t>
        </is>
      </c>
      <c r="H424" s="37" t="n">
        <v>22.5</v>
      </c>
    </row>
    <row r="425">
      <c r="A425" s="37" t="inlineStr">
        <is>
          <t>VB-0720</t>
        </is>
      </c>
      <c r="B425" s="37" t="inlineStr">
        <is>
          <t>Vessbank</t>
        </is>
      </c>
      <c r="C425" s="37" t="inlineStr">
        <is>
          <t>COVERED</t>
        </is>
      </c>
      <c r="D425" s="37" t="n">
        <v>40</v>
      </c>
      <c r="E425" s="37" t="inlineStr">
        <is>
          <t>OCCUPIED</t>
        </is>
      </c>
      <c r="F425" s="37" t="inlineStr">
        <is>
          <t>WL-01043</t>
        </is>
      </c>
      <c r="G425" s="37" t="inlineStr">
        <is>
          <t>Diane James</t>
        </is>
      </c>
      <c r="H425" s="37" t="n">
        <v>61.5</v>
      </c>
    </row>
    <row r="426">
      <c r="A426" s="37" t="inlineStr">
        <is>
          <t>VB-0721</t>
        </is>
      </c>
      <c r="B426" s="37" t="inlineStr">
        <is>
          <t>Vessbank</t>
        </is>
      </c>
      <c r="C426" s="37" t="inlineStr">
        <is>
          <t>COVERED</t>
        </is>
      </c>
      <c r="D426" s="37" t="n">
        <v>28</v>
      </c>
      <c r="E426" s="37" t="inlineStr">
        <is>
          <t>OCCUPIED</t>
        </is>
      </c>
      <c r="F426" s="37" t="inlineStr">
        <is>
          <t>WL-01272</t>
        </is>
      </c>
      <c r="G426" s="37" t="inlineStr">
        <is>
          <t>Christopher Dixon</t>
        </is>
      </c>
      <c r="H426" s="37" t="n">
        <v>20.5</v>
      </c>
    </row>
    <row r="427">
      <c r="A427" s="37" t="inlineStr">
        <is>
          <t>VB-0722</t>
        </is>
      </c>
      <c r="B427" s="37" t="inlineStr">
        <is>
          <t>Vessbank</t>
        </is>
      </c>
      <c r="C427" s="37" t="inlineStr">
        <is>
          <t>COVERED</t>
        </is>
      </c>
      <c r="D427" s="37" t="n">
        <v>32</v>
      </c>
      <c r="E427" s="37" t="inlineStr">
        <is>
          <t>OCCUPIED</t>
        </is>
      </c>
      <c r="F427" s="37" t="inlineStr">
        <is>
          <t>WL-03066</t>
        </is>
      </c>
      <c r="G427" s="37" t="inlineStr">
        <is>
          <t>Shawna Cain</t>
        </is>
      </c>
      <c r="H427" s="37" t="n">
        <v>53.8</v>
      </c>
    </row>
    <row r="428">
      <c r="A428" s="37" t="inlineStr">
        <is>
          <t>VB-0723</t>
        </is>
      </c>
      <c r="B428" s="37" t="inlineStr">
        <is>
          <t>Vessbank</t>
        </is>
      </c>
      <c r="C428" s="37" t="inlineStr">
        <is>
          <t>COVERED</t>
        </is>
      </c>
      <c r="D428" s="37" t="n">
        <v>24</v>
      </c>
      <c r="E428" s="37" t="inlineStr">
        <is>
          <t>OCCUPIED</t>
        </is>
      </c>
      <c r="F428" s="37" t="inlineStr">
        <is>
          <t>WL-03192</t>
        </is>
      </c>
      <c r="G428" s="37" t="inlineStr">
        <is>
          <t>Aaron Johnson</t>
        </is>
      </c>
      <c r="H428" s="37" t="n">
        <v>55.2</v>
      </c>
    </row>
    <row r="429">
      <c r="A429" s="37" t="inlineStr">
        <is>
          <t>VB-0724</t>
        </is>
      </c>
      <c r="B429" s="37" t="inlineStr">
        <is>
          <t>Vessbank</t>
        </is>
      </c>
      <c r="C429" s="37" t="inlineStr">
        <is>
          <t>COVERED</t>
        </is>
      </c>
      <c r="D429" s="37" t="n">
        <v>24</v>
      </c>
      <c r="E429" s="37" t="inlineStr">
        <is>
          <t>OCCUPIED</t>
        </is>
      </c>
      <c r="F429" s="37" t="inlineStr">
        <is>
          <t>WL-02714</t>
        </is>
      </c>
      <c r="G429" s="37" t="inlineStr">
        <is>
          <t>Mitchell Sanchez</t>
        </is>
      </c>
      <c r="H429" s="37" t="n">
        <v>54.7</v>
      </c>
    </row>
    <row r="430">
      <c r="A430" s="37" t="inlineStr">
        <is>
          <t>VB-0801</t>
        </is>
      </c>
      <c r="B430" s="37" t="inlineStr">
        <is>
          <t>Vessbank</t>
        </is>
      </c>
      <c r="C430" s="37" t="inlineStr">
        <is>
          <t>COVERED</t>
        </is>
      </c>
      <c r="D430" s="37" t="n">
        <v>40</v>
      </c>
      <c r="E430" s="37" t="inlineStr">
        <is>
          <t>OCCUPIED</t>
        </is>
      </c>
      <c r="F430" s="37" t="inlineStr">
        <is>
          <t>WL-01099</t>
        </is>
      </c>
      <c r="G430" s="37" t="inlineStr">
        <is>
          <t>Joseph Cooper</t>
        </is>
      </c>
      <c r="H430" s="37" t="n">
        <v>37.8</v>
      </c>
    </row>
    <row r="431">
      <c r="A431" s="37" t="inlineStr">
        <is>
          <t>VB-0802</t>
        </is>
      </c>
      <c r="B431" s="37" t="inlineStr">
        <is>
          <t>Vessbank</t>
        </is>
      </c>
      <c r="C431" s="37" t="inlineStr">
        <is>
          <t>COVERED</t>
        </is>
      </c>
      <c r="D431" s="37" t="n">
        <v>40</v>
      </c>
      <c r="E431" s="37" t="inlineStr">
        <is>
          <t>OCCUPIED</t>
        </is>
      </c>
      <c r="F431" s="37" t="inlineStr">
        <is>
          <t>WL-03073</t>
        </is>
      </c>
      <c r="G431" s="37" t="inlineStr">
        <is>
          <t>Donna Silva</t>
        </is>
      </c>
      <c r="H431" s="37" t="n">
        <v>49.8</v>
      </c>
    </row>
    <row r="432">
      <c r="A432" s="37" t="inlineStr">
        <is>
          <t>VB-0803</t>
        </is>
      </c>
      <c r="B432" s="37" t="inlineStr">
        <is>
          <t>Vessbank</t>
        </is>
      </c>
      <c r="C432" s="37" t="inlineStr">
        <is>
          <t>COVERED</t>
        </is>
      </c>
      <c r="D432" s="37" t="n">
        <v>28</v>
      </c>
      <c r="E432" s="37" t="inlineStr">
        <is>
          <t>OCCUPIED</t>
        </is>
      </c>
      <c r="F432" s="37" t="inlineStr">
        <is>
          <t>WL-01889</t>
        </is>
      </c>
      <c r="G432" s="37" t="inlineStr">
        <is>
          <t>Haley Scott</t>
        </is>
      </c>
      <c r="H432" s="37" t="n">
        <v>27.9</v>
      </c>
    </row>
    <row r="433">
      <c r="A433" s="37" t="inlineStr">
        <is>
          <t>VB-0804</t>
        </is>
      </c>
      <c r="B433" s="37" t="inlineStr">
        <is>
          <t>Vessbank</t>
        </is>
      </c>
      <c r="C433" s="37" t="inlineStr">
        <is>
          <t>COVERED</t>
        </is>
      </c>
      <c r="D433" s="37" t="n">
        <v>24</v>
      </c>
      <c r="E433" s="37" t="inlineStr">
        <is>
          <t>OCCUPIED</t>
        </is>
      </c>
      <c r="F433" s="37" t="inlineStr">
        <is>
          <t>WL-02837</t>
        </is>
      </c>
      <c r="G433" s="37" t="inlineStr">
        <is>
          <t>Tara Elliott</t>
        </is>
      </c>
      <c r="H433" s="37" t="n">
        <v>21.2</v>
      </c>
    </row>
    <row r="434">
      <c r="A434" s="37" t="inlineStr">
        <is>
          <t>VB-0805</t>
        </is>
      </c>
      <c r="B434" s="37" t="inlineStr">
        <is>
          <t>Vessbank</t>
        </is>
      </c>
      <c r="C434" s="37" t="inlineStr">
        <is>
          <t>COVERED</t>
        </is>
      </c>
      <c r="D434" s="37" t="n">
        <v>32</v>
      </c>
      <c r="E434" s="37" t="inlineStr">
        <is>
          <t>OCCUPIED</t>
        </is>
      </c>
      <c r="F434" s="37" t="inlineStr">
        <is>
          <t>WL-03293</t>
        </is>
      </c>
      <c r="G434" s="37" t="inlineStr">
        <is>
          <t>Laurie Huerta</t>
        </is>
      </c>
      <c r="H434" s="37" t="n">
        <v>23.2</v>
      </c>
    </row>
    <row r="435">
      <c r="A435" s="37" t="inlineStr">
        <is>
          <t>VB-0806</t>
        </is>
      </c>
      <c r="B435" s="37" t="inlineStr">
        <is>
          <t>Vessbank</t>
        </is>
      </c>
      <c r="C435" s="37" t="inlineStr">
        <is>
          <t>COVERED</t>
        </is>
      </c>
      <c r="D435" s="37" t="n">
        <v>32</v>
      </c>
      <c r="E435" s="37" t="inlineStr">
        <is>
          <t>OCCUPIED</t>
        </is>
      </c>
      <c r="F435" s="37" t="inlineStr">
        <is>
          <t>WL-01493</t>
        </is>
      </c>
      <c r="G435" s="37" t="inlineStr">
        <is>
          <t>Jean Guerra</t>
        </is>
      </c>
      <c r="H435" s="37" t="n">
        <v>18.4</v>
      </c>
    </row>
    <row r="436">
      <c r="A436" s="37" t="inlineStr">
        <is>
          <t>VB-0807</t>
        </is>
      </c>
      <c r="B436" s="37" t="inlineStr">
        <is>
          <t>Vessbank</t>
        </is>
      </c>
      <c r="C436" s="37" t="inlineStr">
        <is>
          <t>COVERED</t>
        </is>
      </c>
      <c r="D436" s="37" t="n">
        <v>36</v>
      </c>
      <c r="E436" s="37" t="inlineStr">
        <is>
          <t>OCCUPIED</t>
        </is>
      </c>
      <c r="F436" s="37" t="inlineStr">
        <is>
          <t>WL-01492</t>
        </is>
      </c>
      <c r="G436" s="37" t="inlineStr">
        <is>
          <t>Elizabeth Williams</t>
        </is>
      </c>
      <c r="H436" s="37" t="n">
        <v>58.2</v>
      </c>
    </row>
    <row r="437">
      <c r="A437" s="37" t="inlineStr">
        <is>
          <t>VB-0808</t>
        </is>
      </c>
      <c r="B437" s="37" t="inlineStr">
        <is>
          <t>Vessbank</t>
        </is>
      </c>
      <c r="C437" s="37" t="inlineStr">
        <is>
          <t>COVERED</t>
        </is>
      </c>
      <c r="D437" s="37" t="n">
        <v>24</v>
      </c>
      <c r="E437" s="37" t="inlineStr">
        <is>
          <t>OCCUPIED</t>
        </is>
      </c>
      <c r="F437" s="37" t="inlineStr">
        <is>
          <t>WL-03837</t>
        </is>
      </c>
      <c r="G437" s="37" t="inlineStr">
        <is>
          <t>John Griffith</t>
        </is>
      </c>
      <c r="H437" s="37" t="n">
        <v>18.2</v>
      </c>
    </row>
    <row r="438">
      <c r="A438" s="37" t="inlineStr">
        <is>
          <t>VB-0809</t>
        </is>
      </c>
      <c r="B438" s="37" t="inlineStr">
        <is>
          <t>Vessbank</t>
        </is>
      </c>
      <c r="C438" s="37" t="inlineStr">
        <is>
          <t>COVERED</t>
        </is>
      </c>
      <c r="D438" s="37" t="n">
        <v>28</v>
      </c>
      <c r="E438" s="37" t="inlineStr">
        <is>
          <t>MAINTENANCE</t>
        </is>
      </c>
    </row>
    <row r="439">
      <c r="A439" s="37" t="inlineStr">
        <is>
          <t>VB-0810</t>
        </is>
      </c>
      <c r="B439" s="37" t="inlineStr">
        <is>
          <t>Vessbank</t>
        </is>
      </c>
      <c r="C439" s="37" t="inlineStr">
        <is>
          <t>COVERED</t>
        </is>
      </c>
      <c r="D439" s="37" t="n">
        <v>32</v>
      </c>
      <c r="E439" s="37" t="inlineStr">
        <is>
          <t>OCCUPIED</t>
        </is>
      </c>
      <c r="F439" s="37" t="inlineStr">
        <is>
          <t>WL-03458</t>
        </is>
      </c>
      <c r="G439" s="37" t="inlineStr">
        <is>
          <t>Brittany Wells</t>
        </is>
      </c>
      <c r="H439" s="37" t="n">
        <v>21.3</v>
      </c>
    </row>
    <row r="440">
      <c r="A440" s="37" t="inlineStr">
        <is>
          <t>VB-0811</t>
        </is>
      </c>
      <c r="B440" s="37" t="inlineStr">
        <is>
          <t>Vessbank</t>
        </is>
      </c>
      <c r="C440" s="37" t="inlineStr">
        <is>
          <t>COVERED</t>
        </is>
      </c>
      <c r="D440" s="37" t="n">
        <v>40</v>
      </c>
      <c r="E440" s="37" t="inlineStr">
        <is>
          <t>OCCUPIED</t>
        </is>
      </c>
      <c r="F440" s="37" t="inlineStr">
        <is>
          <t>WL-02419</t>
        </is>
      </c>
      <c r="G440" s="37" t="inlineStr">
        <is>
          <t>Cameron Aguirre</t>
        </is>
      </c>
      <c r="H440" s="37" t="n">
        <v>52.9</v>
      </c>
    </row>
    <row r="441">
      <c r="A441" s="37" t="inlineStr">
        <is>
          <t>VB-0812</t>
        </is>
      </c>
      <c r="B441" s="37" t="inlineStr">
        <is>
          <t>Vessbank</t>
        </is>
      </c>
      <c r="C441" s="37" t="inlineStr">
        <is>
          <t>COVERED</t>
        </is>
      </c>
      <c r="D441" s="37" t="n">
        <v>32</v>
      </c>
      <c r="E441" s="37" t="inlineStr">
        <is>
          <t>OCCUPIED</t>
        </is>
      </c>
      <c r="F441" s="37" t="inlineStr">
        <is>
          <t>WL-02636</t>
        </is>
      </c>
      <c r="G441" s="37" t="inlineStr">
        <is>
          <t>Andrew Young</t>
        </is>
      </c>
      <c r="H441" s="37" t="n">
        <v>33.4</v>
      </c>
    </row>
    <row r="442">
      <c r="A442" s="37" t="inlineStr">
        <is>
          <t>VB-0813</t>
        </is>
      </c>
      <c r="B442" s="37" t="inlineStr">
        <is>
          <t>Vessbank</t>
        </is>
      </c>
      <c r="C442" s="37" t="inlineStr">
        <is>
          <t>COVERED</t>
        </is>
      </c>
      <c r="D442" s="37" t="n">
        <v>28</v>
      </c>
      <c r="E442" s="37" t="inlineStr">
        <is>
          <t>OCCUPIED</t>
        </is>
      </c>
      <c r="F442" s="37" t="inlineStr">
        <is>
          <t>WL-03132</t>
        </is>
      </c>
      <c r="G442" s="37" t="inlineStr">
        <is>
          <t>David Fox</t>
        </is>
      </c>
      <c r="H442" s="37" t="n">
        <v>56.2</v>
      </c>
    </row>
    <row r="443">
      <c r="A443" s="37" t="inlineStr">
        <is>
          <t>VB-0814</t>
        </is>
      </c>
      <c r="B443" s="37" t="inlineStr">
        <is>
          <t>Vessbank</t>
        </is>
      </c>
      <c r="C443" s="37" t="inlineStr">
        <is>
          <t>COVERED</t>
        </is>
      </c>
      <c r="D443" s="37" t="n">
        <v>28</v>
      </c>
      <c r="E443" s="37" t="inlineStr">
        <is>
          <t>OCCUPIED</t>
        </is>
      </c>
      <c r="F443" s="37" t="inlineStr">
        <is>
          <t>WL-03609</t>
        </is>
      </c>
      <c r="G443" s="37" t="inlineStr">
        <is>
          <t>Daniel Dunn</t>
        </is>
      </c>
      <c r="H443" s="37" t="n">
        <v>59.7</v>
      </c>
    </row>
    <row r="444">
      <c r="A444" s="37" t="inlineStr">
        <is>
          <t>VB-0815</t>
        </is>
      </c>
      <c r="B444" s="37" t="inlineStr">
        <is>
          <t>Vessbank</t>
        </is>
      </c>
      <c r="C444" s="37" t="inlineStr">
        <is>
          <t>COVERED</t>
        </is>
      </c>
      <c r="D444" s="37" t="n">
        <v>36</v>
      </c>
      <c r="E444" s="37" t="inlineStr">
        <is>
          <t>OCCUPIED</t>
        </is>
      </c>
      <c r="F444" s="37" t="inlineStr">
        <is>
          <t>WL-01850</t>
        </is>
      </c>
      <c r="G444" s="37" t="inlineStr">
        <is>
          <t>Bryce Benjamin</t>
        </is>
      </c>
      <c r="H444" s="37" t="n">
        <v>22.4</v>
      </c>
    </row>
    <row r="445">
      <c r="A445" s="37" t="inlineStr">
        <is>
          <t>VB-0816</t>
        </is>
      </c>
      <c r="B445" s="37" t="inlineStr">
        <is>
          <t>Vessbank</t>
        </is>
      </c>
      <c r="C445" s="37" t="inlineStr">
        <is>
          <t>COVERED</t>
        </is>
      </c>
      <c r="D445" s="37" t="n">
        <v>32</v>
      </c>
      <c r="E445" s="37" t="inlineStr">
        <is>
          <t>OCCUPIED</t>
        </is>
      </c>
      <c r="F445" s="37" t="inlineStr">
        <is>
          <t>WL-02825</t>
        </is>
      </c>
      <c r="G445" s="37" t="inlineStr">
        <is>
          <t>Dustin Watkins</t>
        </is>
      </c>
      <c r="H445" s="37" t="n">
        <v>58.6</v>
      </c>
    </row>
    <row r="446">
      <c r="A446" s="37" t="inlineStr">
        <is>
          <t>VB-0817</t>
        </is>
      </c>
      <c r="B446" s="37" t="inlineStr">
        <is>
          <t>Vessbank</t>
        </is>
      </c>
      <c r="C446" s="37" t="inlineStr">
        <is>
          <t>COVERED</t>
        </is>
      </c>
      <c r="D446" s="37" t="n">
        <v>28</v>
      </c>
      <c r="E446" s="37" t="inlineStr">
        <is>
          <t>OCCUPIED</t>
        </is>
      </c>
      <c r="F446" s="37" t="inlineStr">
        <is>
          <t>WL-02072</t>
        </is>
      </c>
      <c r="G446" s="37" t="inlineStr">
        <is>
          <t>Stephen Hoffman</t>
        </is>
      </c>
      <c r="H446" s="37" t="n">
        <v>54.9</v>
      </c>
    </row>
    <row r="447">
      <c r="A447" s="37" t="inlineStr">
        <is>
          <t>VB-0818</t>
        </is>
      </c>
      <c r="B447" s="37" t="inlineStr">
        <is>
          <t>Vessbank</t>
        </is>
      </c>
      <c r="C447" s="37" t="inlineStr">
        <is>
          <t>COVERED</t>
        </is>
      </c>
      <c r="D447" s="37" t="n">
        <v>24</v>
      </c>
      <c r="E447" s="37" t="inlineStr">
        <is>
          <t>OCCUPIED</t>
        </is>
      </c>
      <c r="F447" s="37" t="inlineStr">
        <is>
          <t>WL-01501</t>
        </is>
      </c>
      <c r="G447" s="37" t="inlineStr">
        <is>
          <t>Thomas Levine</t>
        </is>
      </c>
      <c r="H447" s="37" t="n">
        <v>47</v>
      </c>
    </row>
    <row r="448">
      <c r="A448" s="37" t="inlineStr">
        <is>
          <t>VB-0819</t>
        </is>
      </c>
      <c r="B448" s="37" t="inlineStr">
        <is>
          <t>Vessbank</t>
        </is>
      </c>
      <c r="C448" s="37" t="inlineStr">
        <is>
          <t>COVERED</t>
        </is>
      </c>
      <c r="D448" s="37" t="n">
        <v>24</v>
      </c>
      <c r="E448" s="37" t="inlineStr">
        <is>
          <t>OCCUPIED</t>
        </is>
      </c>
      <c r="F448" s="37" t="inlineStr">
        <is>
          <t>WL-03202</t>
        </is>
      </c>
      <c r="G448" s="37" t="inlineStr">
        <is>
          <t>Brian Scott</t>
        </is>
      </c>
      <c r="H448" s="37" t="n">
        <v>56.9</v>
      </c>
    </row>
    <row r="449">
      <c r="A449" s="37" t="inlineStr">
        <is>
          <t>VB-0820</t>
        </is>
      </c>
      <c r="B449" s="37" t="inlineStr">
        <is>
          <t>Vessbank</t>
        </is>
      </c>
      <c r="C449" s="37" t="inlineStr">
        <is>
          <t>COVERED</t>
        </is>
      </c>
      <c r="D449" s="37" t="n">
        <v>36</v>
      </c>
      <c r="E449" s="37" t="inlineStr">
        <is>
          <t>OCCUPIED</t>
        </is>
      </c>
      <c r="F449" s="37" t="inlineStr">
        <is>
          <t>WL-01842</t>
        </is>
      </c>
      <c r="G449" s="37" t="inlineStr">
        <is>
          <t>Amy Thomas</t>
        </is>
      </c>
      <c r="H449" s="37" t="n">
        <v>39.8</v>
      </c>
    </row>
    <row r="450">
      <c r="A450" s="37" t="inlineStr">
        <is>
          <t>VB-0821</t>
        </is>
      </c>
      <c r="B450" s="37" t="inlineStr">
        <is>
          <t>Vessbank</t>
        </is>
      </c>
      <c r="C450" s="37" t="inlineStr">
        <is>
          <t>COVERED</t>
        </is>
      </c>
      <c r="D450" s="37" t="n">
        <v>40</v>
      </c>
      <c r="E450" s="37" t="inlineStr">
        <is>
          <t>OCCUPIED</t>
        </is>
      </c>
      <c r="F450" s="37" t="inlineStr">
        <is>
          <t>WL-02284</t>
        </is>
      </c>
      <c r="G450" s="37" t="inlineStr">
        <is>
          <t>Tonya Ruiz</t>
        </is>
      </c>
      <c r="H450" s="37" t="n">
        <v>57.6</v>
      </c>
    </row>
    <row r="451">
      <c r="A451" s="37" t="inlineStr">
        <is>
          <t>VB-0822</t>
        </is>
      </c>
      <c r="B451" s="37" t="inlineStr">
        <is>
          <t>Vessbank</t>
        </is>
      </c>
      <c r="C451" s="37" t="inlineStr">
        <is>
          <t>COVERED</t>
        </is>
      </c>
      <c r="D451" s="37" t="n">
        <v>36</v>
      </c>
      <c r="E451" s="37" t="inlineStr">
        <is>
          <t>OCCUPIED</t>
        </is>
      </c>
      <c r="F451" s="37" t="inlineStr">
        <is>
          <t>WL-01320</t>
        </is>
      </c>
      <c r="G451" s="37" t="inlineStr">
        <is>
          <t>Jesse Jennings</t>
        </is>
      </c>
      <c r="H451" s="37" t="n">
        <v>50.8</v>
      </c>
    </row>
    <row r="452">
      <c r="A452" s="37" t="inlineStr">
        <is>
          <t>VB-0823</t>
        </is>
      </c>
      <c r="B452" s="37" t="inlineStr">
        <is>
          <t>Vessbank</t>
        </is>
      </c>
      <c r="C452" s="37" t="inlineStr">
        <is>
          <t>COVERED</t>
        </is>
      </c>
      <c r="D452" s="37" t="n">
        <v>40</v>
      </c>
      <c r="E452" s="37" t="inlineStr">
        <is>
          <t>OCCUPIED</t>
        </is>
      </c>
      <c r="F452" s="37" t="inlineStr">
        <is>
          <t>WL-01903</t>
        </is>
      </c>
      <c r="G452" s="37" t="inlineStr">
        <is>
          <t>Andrea Brady</t>
        </is>
      </c>
      <c r="H452" s="37" t="n">
        <v>58.3</v>
      </c>
    </row>
    <row r="453">
      <c r="A453" s="37" t="inlineStr">
        <is>
          <t>VB-0824</t>
        </is>
      </c>
      <c r="B453" s="37" t="inlineStr">
        <is>
          <t>Vessbank</t>
        </is>
      </c>
      <c r="C453" s="37" t="inlineStr">
        <is>
          <t>COVERED</t>
        </is>
      </c>
      <c r="D453" s="37" t="n">
        <v>28</v>
      </c>
      <c r="E453" s="37" t="inlineStr">
        <is>
          <t>MAINTENANCE</t>
        </is>
      </c>
    </row>
    <row r="454">
      <c r="A454" s="37" t="inlineStr">
        <is>
          <t>VB-0901</t>
        </is>
      </c>
      <c r="B454" s="37" t="inlineStr">
        <is>
          <t>Vessbank</t>
        </is>
      </c>
      <c r="C454" s="37" t="inlineStr">
        <is>
          <t>COVERED</t>
        </is>
      </c>
      <c r="D454" s="37" t="n">
        <v>36</v>
      </c>
      <c r="E454" s="37" t="inlineStr">
        <is>
          <t>OCCUPIED</t>
        </is>
      </c>
      <c r="F454" s="37" t="inlineStr">
        <is>
          <t>WL-02650</t>
        </is>
      </c>
      <c r="G454" s="37" t="inlineStr">
        <is>
          <t>Alex White</t>
        </is>
      </c>
      <c r="H454" s="37" t="n">
        <v>46.5</v>
      </c>
    </row>
    <row r="455">
      <c r="A455" s="37" t="inlineStr">
        <is>
          <t>VB-0902</t>
        </is>
      </c>
      <c r="B455" s="37" t="inlineStr">
        <is>
          <t>Vessbank</t>
        </is>
      </c>
      <c r="C455" s="37" t="inlineStr">
        <is>
          <t>COVERED</t>
        </is>
      </c>
      <c r="D455" s="37" t="n">
        <v>28</v>
      </c>
      <c r="E455" s="37" t="inlineStr">
        <is>
          <t>OCCUPIED</t>
        </is>
      </c>
      <c r="F455" s="37" t="inlineStr">
        <is>
          <t>WL-01273</t>
        </is>
      </c>
      <c r="G455" s="37" t="inlineStr">
        <is>
          <t>Eduardo Henry</t>
        </is>
      </c>
      <c r="H455" s="37" t="n">
        <v>58.1</v>
      </c>
    </row>
    <row r="456">
      <c r="A456" s="37" t="inlineStr">
        <is>
          <t>VB-0903</t>
        </is>
      </c>
      <c r="B456" s="37" t="inlineStr">
        <is>
          <t>Vessbank</t>
        </is>
      </c>
      <c r="C456" s="37" t="inlineStr">
        <is>
          <t>COVERED</t>
        </is>
      </c>
      <c r="D456" s="37" t="n">
        <v>36</v>
      </c>
      <c r="E456" s="37" t="inlineStr">
        <is>
          <t>OCCUPIED</t>
        </is>
      </c>
      <c r="F456" s="37" t="inlineStr">
        <is>
          <t>WL-02456</t>
        </is>
      </c>
      <c r="G456" s="37" t="inlineStr">
        <is>
          <t>Madeline Nunez</t>
        </is>
      </c>
      <c r="H456" s="37" t="n">
        <v>56.6</v>
      </c>
    </row>
    <row r="457">
      <c r="A457" s="37" t="inlineStr">
        <is>
          <t>VB-0904</t>
        </is>
      </c>
      <c r="B457" s="37" t="inlineStr">
        <is>
          <t>Vessbank</t>
        </is>
      </c>
      <c r="C457" s="37" t="inlineStr">
        <is>
          <t>COVERED</t>
        </is>
      </c>
      <c r="D457" s="37" t="n">
        <v>28</v>
      </c>
      <c r="E457" s="37" t="inlineStr">
        <is>
          <t>OCCUPIED</t>
        </is>
      </c>
      <c r="F457" s="37" t="inlineStr">
        <is>
          <t>WL-02354</t>
        </is>
      </c>
      <c r="G457" s="37" t="inlineStr">
        <is>
          <t>Makayla Sanchez</t>
        </is>
      </c>
      <c r="H457" s="37" t="n">
        <v>56.5</v>
      </c>
    </row>
    <row r="458">
      <c r="A458" s="37" t="inlineStr">
        <is>
          <t>VB-0905</t>
        </is>
      </c>
      <c r="B458" s="37" t="inlineStr">
        <is>
          <t>Vessbank</t>
        </is>
      </c>
      <c r="C458" s="37" t="inlineStr">
        <is>
          <t>COVERED</t>
        </is>
      </c>
      <c r="D458" s="37" t="n">
        <v>28</v>
      </c>
      <c r="E458" s="37" t="inlineStr">
        <is>
          <t>OCCUPIED</t>
        </is>
      </c>
      <c r="F458" s="37" t="inlineStr">
        <is>
          <t>WL-03101</t>
        </is>
      </c>
      <c r="G458" s="37" t="inlineStr">
        <is>
          <t>Kristie Cunningham</t>
        </is>
      </c>
      <c r="H458" s="37" t="n">
        <v>24.5</v>
      </c>
    </row>
    <row r="459">
      <c r="A459" s="37" t="inlineStr">
        <is>
          <t>VB-0906</t>
        </is>
      </c>
      <c r="B459" s="37" t="inlineStr">
        <is>
          <t>Vessbank</t>
        </is>
      </c>
      <c r="C459" s="37" t="inlineStr">
        <is>
          <t>COVERED</t>
        </is>
      </c>
      <c r="D459" s="37" t="n">
        <v>36</v>
      </c>
      <c r="E459" s="37" t="inlineStr">
        <is>
          <t>OCCUPIED</t>
        </is>
      </c>
      <c r="F459" s="37" t="inlineStr">
        <is>
          <t>WL-02747</t>
        </is>
      </c>
      <c r="G459" s="37" t="inlineStr">
        <is>
          <t>Angel Massey</t>
        </is>
      </c>
      <c r="H459" s="37" t="n">
        <v>29.3</v>
      </c>
    </row>
    <row r="460">
      <c r="A460" s="37" t="inlineStr">
        <is>
          <t>VB-0907</t>
        </is>
      </c>
      <c r="B460" s="37" t="inlineStr">
        <is>
          <t>Vessbank</t>
        </is>
      </c>
      <c r="C460" s="37" t="inlineStr">
        <is>
          <t>COVERED</t>
        </is>
      </c>
      <c r="D460" s="37" t="n">
        <v>28</v>
      </c>
      <c r="E460" s="37" t="inlineStr">
        <is>
          <t>OCCUPIED</t>
        </is>
      </c>
      <c r="F460" s="37" t="inlineStr">
        <is>
          <t>WL-03855</t>
        </is>
      </c>
      <c r="G460" s="37" t="inlineStr">
        <is>
          <t>Peggy Solomon</t>
        </is>
      </c>
      <c r="H460" s="37" t="n">
        <v>35.8</v>
      </c>
    </row>
    <row r="461">
      <c r="A461" s="37" t="inlineStr">
        <is>
          <t>VB-0908</t>
        </is>
      </c>
      <c r="B461" s="37" t="inlineStr">
        <is>
          <t>Vessbank</t>
        </is>
      </c>
      <c r="C461" s="37" t="inlineStr">
        <is>
          <t>COVERED</t>
        </is>
      </c>
      <c r="D461" s="37" t="n">
        <v>32</v>
      </c>
      <c r="E461" s="37" t="inlineStr">
        <is>
          <t>OCCUPIED</t>
        </is>
      </c>
      <c r="F461" s="37" t="inlineStr">
        <is>
          <t>WL-02711</t>
        </is>
      </c>
      <c r="G461" s="37" t="inlineStr">
        <is>
          <t>David Baker</t>
        </is>
      </c>
      <c r="H461" s="37" t="n">
        <v>55.4</v>
      </c>
    </row>
    <row r="462">
      <c r="A462" s="37" t="inlineStr">
        <is>
          <t>VB-0909</t>
        </is>
      </c>
      <c r="B462" s="37" t="inlineStr">
        <is>
          <t>Vessbank</t>
        </is>
      </c>
      <c r="C462" s="37" t="inlineStr">
        <is>
          <t>COVERED</t>
        </is>
      </c>
      <c r="D462" s="37" t="n">
        <v>24</v>
      </c>
      <c r="E462" s="37" t="inlineStr">
        <is>
          <t>OCCUPIED</t>
        </is>
      </c>
      <c r="F462" s="37" t="inlineStr">
        <is>
          <t>WL-02313</t>
        </is>
      </c>
      <c r="G462" s="37" t="inlineStr">
        <is>
          <t>Aaron Bell</t>
        </is>
      </c>
      <c r="H462" s="37" t="n">
        <v>61.6</v>
      </c>
    </row>
    <row r="463">
      <c r="A463" s="37" t="inlineStr">
        <is>
          <t>VB-0910</t>
        </is>
      </c>
      <c r="B463" s="37" t="inlineStr">
        <is>
          <t>Vessbank</t>
        </is>
      </c>
      <c r="C463" s="37" t="inlineStr">
        <is>
          <t>COVERED</t>
        </is>
      </c>
      <c r="D463" s="37" t="n">
        <v>36</v>
      </c>
      <c r="E463" s="37" t="inlineStr">
        <is>
          <t>OCCUPIED</t>
        </is>
      </c>
      <c r="F463" s="37" t="inlineStr">
        <is>
          <t>WL-03308</t>
        </is>
      </c>
      <c r="G463" s="37" t="inlineStr">
        <is>
          <t>Tanya Hunt</t>
        </is>
      </c>
      <c r="H463" s="37" t="n">
        <v>61</v>
      </c>
    </row>
    <row r="464">
      <c r="A464" s="37" t="inlineStr">
        <is>
          <t>VB-0911</t>
        </is>
      </c>
      <c r="B464" s="37" t="inlineStr">
        <is>
          <t>Vessbank</t>
        </is>
      </c>
      <c r="C464" s="37" t="inlineStr">
        <is>
          <t>COVERED</t>
        </is>
      </c>
      <c r="D464" s="37" t="n">
        <v>40</v>
      </c>
      <c r="E464" s="37" t="inlineStr">
        <is>
          <t>OCCUPIED</t>
        </is>
      </c>
      <c r="F464" s="37" t="inlineStr">
        <is>
          <t>WL-01513</t>
        </is>
      </c>
      <c r="G464" s="37" t="inlineStr">
        <is>
          <t>Jennifer Thomas</t>
        </is>
      </c>
      <c r="H464" s="37" t="n">
        <v>47.3</v>
      </c>
    </row>
    <row r="465">
      <c r="A465" s="37" t="inlineStr">
        <is>
          <t>VB-0912</t>
        </is>
      </c>
      <c r="B465" s="37" t="inlineStr">
        <is>
          <t>Vessbank</t>
        </is>
      </c>
      <c r="C465" s="37" t="inlineStr">
        <is>
          <t>COVERED</t>
        </is>
      </c>
      <c r="D465" s="37" t="n">
        <v>40</v>
      </c>
      <c r="E465" s="37" t="inlineStr">
        <is>
          <t>OCCUPIED</t>
        </is>
      </c>
      <c r="F465" s="37" t="inlineStr">
        <is>
          <t>WL-01027</t>
        </is>
      </c>
      <c r="G465" s="37" t="inlineStr">
        <is>
          <t>Rachel Jones</t>
        </is>
      </c>
      <c r="H465" s="37" t="n">
        <v>53.9</v>
      </c>
    </row>
    <row r="466">
      <c r="A466" s="37" t="inlineStr">
        <is>
          <t>VB-0913</t>
        </is>
      </c>
      <c r="B466" s="37" t="inlineStr">
        <is>
          <t>Vessbank</t>
        </is>
      </c>
      <c r="C466" s="37" t="inlineStr">
        <is>
          <t>COVERED</t>
        </is>
      </c>
      <c r="D466" s="37" t="n">
        <v>24</v>
      </c>
      <c r="E466" s="37" t="inlineStr">
        <is>
          <t>OCCUPIED</t>
        </is>
      </c>
      <c r="F466" s="37" t="inlineStr">
        <is>
          <t>WL-03838</t>
        </is>
      </c>
      <c r="G466" s="37" t="inlineStr">
        <is>
          <t>Sean Cruz</t>
        </is>
      </c>
      <c r="H466" s="37" t="n">
        <v>29.2</v>
      </c>
    </row>
    <row r="467">
      <c r="A467" s="37" t="inlineStr">
        <is>
          <t>VB-0914</t>
        </is>
      </c>
      <c r="B467" s="37" t="inlineStr">
        <is>
          <t>Vessbank</t>
        </is>
      </c>
      <c r="C467" s="37" t="inlineStr">
        <is>
          <t>COVERED</t>
        </is>
      </c>
      <c r="D467" s="37" t="n">
        <v>28</v>
      </c>
      <c r="E467" s="37" t="inlineStr">
        <is>
          <t>OCCUPIED</t>
        </is>
      </c>
      <c r="F467" s="37" t="inlineStr">
        <is>
          <t>WL-02950</t>
        </is>
      </c>
      <c r="G467" s="37" t="inlineStr">
        <is>
          <t>Travis Young</t>
        </is>
      </c>
      <c r="H467" s="37" t="n">
        <v>23.5</v>
      </c>
    </row>
    <row r="468">
      <c r="A468" s="37" t="inlineStr">
        <is>
          <t>VB-0915</t>
        </is>
      </c>
      <c r="B468" s="37" t="inlineStr">
        <is>
          <t>Vessbank</t>
        </is>
      </c>
      <c r="C468" s="37" t="inlineStr">
        <is>
          <t>COVERED</t>
        </is>
      </c>
      <c r="D468" s="37" t="n">
        <v>28</v>
      </c>
      <c r="E468" s="37" t="inlineStr">
        <is>
          <t>OCCUPIED</t>
        </is>
      </c>
      <c r="F468" s="37" t="inlineStr">
        <is>
          <t>WL-02424</t>
        </is>
      </c>
      <c r="G468" s="37" t="inlineStr">
        <is>
          <t>Jessica Nguyen</t>
        </is>
      </c>
      <c r="H468" s="37" t="n">
        <v>37</v>
      </c>
    </row>
    <row r="469">
      <c r="A469" s="37" t="inlineStr">
        <is>
          <t>VB-0916</t>
        </is>
      </c>
      <c r="B469" s="37" t="inlineStr">
        <is>
          <t>Vessbank</t>
        </is>
      </c>
      <c r="C469" s="37" t="inlineStr">
        <is>
          <t>COVERED</t>
        </is>
      </c>
      <c r="D469" s="37" t="n">
        <v>24</v>
      </c>
      <c r="E469" s="37" t="inlineStr">
        <is>
          <t>OCCUPIED</t>
        </is>
      </c>
      <c r="F469" s="37" t="inlineStr">
        <is>
          <t>WL-01194</t>
        </is>
      </c>
      <c r="G469" s="37" t="inlineStr">
        <is>
          <t>Kathryn Munoz</t>
        </is>
      </c>
      <c r="H469" s="37" t="n">
        <v>26.9</v>
      </c>
    </row>
    <row r="470">
      <c r="A470" s="37" t="inlineStr">
        <is>
          <t>VB-0917</t>
        </is>
      </c>
      <c r="B470" s="37" t="inlineStr">
        <is>
          <t>Vessbank</t>
        </is>
      </c>
      <c r="C470" s="37" t="inlineStr">
        <is>
          <t>COVERED</t>
        </is>
      </c>
      <c r="D470" s="37" t="n">
        <v>28</v>
      </c>
      <c r="E470" s="37" t="inlineStr">
        <is>
          <t>OCCUPIED</t>
        </is>
      </c>
      <c r="F470" s="37" t="inlineStr">
        <is>
          <t>WL-03422</t>
        </is>
      </c>
      <c r="G470" s="37" t="inlineStr">
        <is>
          <t>Robin Jones</t>
        </is>
      </c>
      <c r="H470" s="37" t="n">
        <v>54.5</v>
      </c>
    </row>
    <row r="471">
      <c r="A471" s="37" t="inlineStr">
        <is>
          <t>VB-0918</t>
        </is>
      </c>
      <c r="B471" s="37" t="inlineStr">
        <is>
          <t>Vessbank</t>
        </is>
      </c>
      <c r="C471" s="37" t="inlineStr">
        <is>
          <t>COVERED</t>
        </is>
      </c>
      <c r="D471" s="37" t="n">
        <v>36</v>
      </c>
      <c r="E471" s="37" t="inlineStr">
        <is>
          <t>OCCUPIED</t>
        </is>
      </c>
      <c r="F471" s="37" t="inlineStr">
        <is>
          <t>WL-03033</t>
        </is>
      </c>
      <c r="G471" s="37" t="inlineStr">
        <is>
          <t>Brian Sellers</t>
        </is>
      </c>
      <c r="H471" s="37" t="n">
        <v>26.6</v>
      </c>
    </row>
    <row r="472">
      <c r="A472" s="37" t="inlineStr">
        <is>
          <t>VB-0919</t>
        </is>
      </c>
      <c r="B472" s="37" t="inlineStr">
        <is>
          <t>Vessbank</t>
        </is>
      </c>
      <c r="C472" s="37" t="inlineStr">
        <is>
          <t>COVERED</t>
        </is>
      </c>
      <c r="D472" s="37" t="n">
        <v>24</v>
      </c>
      <c r="E472" s="37" t="inlineStr">
        <is>
          <t>OCCUPIED</t>
        </is>
      </c>
      <c r="F472" s="37" t="inlineStr">
        <is>
          <t>WL-03091</t>
        </is>
      </c>
      <c r="G472" s="37" t="inlineStr">
        <is>
          <t>Sandra Barber</t>
        </is>
      </c>
      <c r="H472" s="37" t="n">
        <v>61.6</v>
      </c>
    </row>
    <row r="473">
      <c r="A473" s="37" t="inlineStr">
        <is>
          <t>VB-0920</t>
        </is>
      </c>
      <c r="B473" s="37" t="inlineStr">
        <is>
          <t>Vessbank</t>
        </is>
      </c>
      <c r="C473" s="37" t="inlineStr">
        <is>
          <t>COVERED</t>
        </is>
      </c>
      <c r="D473" s="37" t="n">
        <v>32</v>
      </c>
      <c r="E473" s="37" t="inlineStr">
        <is>
          <t>OCCUPIED</t>
        </is>
      </c>
      <c r="F473" s="37" t="inlineStr">
        <is>
          <t>WL-02265</t>
        </is>
      </c>
      <c r="G473" s="37" t="inlineStr">
        <is>
          <t>Kimberly Bailey</t>
        </is>
      </c>
      <c r="H473" s="37" t="n">
        <v>47.1</v>
      </c>
    </row>
    <row r="474">
      <c r="A474" s="37" t="inlineStr">
        <is>
          <t>VB-0921</t>
        </is>
      </c>
      <c r="B474" s="37" t="inlineStr">
        <is>
          <t>Vessbank</t>
        </is>
      </c>
      <c r="C474" s="37" t="inlineStr">
        <is>
          <t>COVERED</t>
        </is>
      </c>
      <c r="D474" s="37" t="n">
        <v>28</v>
      </c>
      <c r="E474" s="37" t="inlineStr">
        <is>
          <t>OCCUPIED</t>
        </is>
      </c>
      <c r="F474" s="37" t="inlineStr">
        <is>
          <t>WL-03544</t>
        </is>
      </c>
      <c r="G474" s="37" t="inlineStr">
        <is>
          <t>Sarah Walker</t>
        </is>
      </c>
      <c r="H474" s="37" t="n">
        <v>19.3</v>
      </c>
    </row>
    <row r="475">
      <c r="A475" s="37" t="inlineStr">
        <is>
          <t>VB-0922</t>
        </is>
      </c>
      <c r="B475" s="37" t="inlineStr">
        <is>
          <t>Vessbank</t>
        </is>
      </c>
      <c r="C475" s="37" t="inlineStr">
        <is>
          <t>COVERED</t>
        </is>
      </c>
      <c r="D475" s="37" t="n">
        <v>28</v>
      </c>
      <c r="E475" s="37" t="inlineStr">
        <is>
          <t>GUEST</t>
        </is>
      </c>
    </row>
    <row r="476">
      <c r="A476" s="37" t="inlineStr">
        <is>
          <t>VB-0923</t>
        </is>
      </c>
      <c r="B476" s="37" t="inlineStr">
        <is>
          <t>Vessbank</t>
        </is>
      </c>
      <c r="C476" s="37" t="inlineStr">
        <is>
          <t>COVERED</t>
        </is>
      </c>
      <c r="D476" s="37" t="n">
        <v>36</v>
      </c>
      <c r="E476" s="37" t="inlineStr">
        <is>
          <t>OCCUPIED</t>
        </is>
      </c>
      <c r="F476" s="37" t="inlineStr">
        <is>
          <t>WL-02666</t>
        </is>
      </c>
      <c r="G476" s="37" t="inlineStr">
        <is>
          <t>Amber Liu</t>
        </is>
      </c>
      <c r="H476" s="37" t="n">
        <v>40.3</v>
      </c>
    </row>
    <row r="477">
      <c r="A477" s="37" t="inlineStr">
        <is>
          <t>VB-0924</t>
        </is>
      </c>
      <c r="B477" s="37" t="inlineStr">
        <is>
          <t>Vessbank</t>
        </is>
      </c>
      <c r="C477" s="37" t="inlineStr">
        <is>
          <t>COVERED</t>
        </is>
      </c>
      <c r="D477" s="37" t="n">
        <v>32</v>
      </c>
      <c r="E477" s="37" t="inlineStr">
        <is>
          <t>OCCUPIED</t>
        </is>
      </c>
      <c r="F477" s="37" t="inlineStr">
        <is>
          <t>WL-03176</t>
        </is>
      </c>
      <c r="G477" s="37" t="inlineStr">
        <is>
          <t>Elizabeth Kelly</t>
        </is>
      </c>
      <c r="H477" s="37" t="n">
        <v>27.6</v>
      </c>
    </row>
    <row r="478">
      <c r="A478" s="37" t="inlineStr">
        <is>
          <t>VB-1001</t>
        </is>
      </c>
      <c r="B478" s="37" t="inlineStr">
        <is>
          <t>Vessbank</t>
        </is>
      </c>
      <c r="C478" s="37" t="inlineStr">
        <is>
          <t>COVERED</t>
        </is>
      </c>
      <c r="D478" s="37" t="n">
        <v>40</v>
      </c>
      <c r="E478" s="37" t="inlineStr">
        <is>
          <t>OCCUPIED</t>
        </is>
      </c>
      <c r="F478" s="37" t="inlineStr">
        <is>
          <t>WL-03801</t>
        </is>
      </c>
      <c r="G478" s="37" t="inlineStr">
        <is>
          <t>Brian Robertson</t>
        </is>
      </c>
      <c r="H478" s="37" t="n">
        <v>20.9</v>
      </c>
    </row>
    <row r="479">
      <c r="A479" s="37" t="inlineStr">
        <is>
          <t>VB-1002</t>
        </is>
      </c>
      <c r="B479" s="37" t="inlineStr">
        <is>
          <t>Vessbank</t>
        </is>
      </c>
      <c r="C479" s="37" t="inlineStr">
        <is>
          <t>COVERED</t>
        </is>
      </c>
      <c r="D479" s="37" t="n">
        <v>28</v>
      </c>
      <c r="E479" s="37" t="inlineStr">
        <is>
          <t>OCCUPIED</t>
        </is>
      </c>
      <c r="F479" s="37" t="inlineStr">
        <is>
          <t>WL-02902</t>
        </is>
      </c>
      <c r="G479" s="37" t="inlineStr">
        <is>
          <t>Lorraine Schultz</t>
        </is>
      </c>
      <c r="H479" s="37" t="n">
        <v>60</v>
      </c>
    </row>
    <row r="480">
      <c r="A480" s="37" t="inlineStr">
        <is>
          <t>VB-1003</t>
        </is>
      </c>
      <c r="B480" s="37" t="inlineStr">
        <is>
          <t>Vessbank</t>
        </is>
      </c>
      <c r="C480" s="37" t="inlineStr">
        <is>
          <t>COVERED</t>
        </is>
      </c>
      <c r="D480" s="37" t="n">
        <v>32</v>
      </c>
      <c r="E480" s="37" t="inlineStr">
        <is>
          <t>MAINTENANCE</t>
        </is>
      </c>
    </row>
    <row r="481">
      <c r="A481" s="37" t="inlineStr">
        <is>
          <t>VB-1004</t>
        </is>
      </c>
      <c r="B481" s="37" t="inlineStr">
        <is>
          <t>Vessbank</t>
        </is>
      </c>
      <c r="C481" s="37" t="inlineStr">
        <is>
          <t>COVERED</t>
        </is>
      </c>
      <c r="D481" s="37" t="n">
        <v>28</v>
      </c>
      <c r="E481" s="37" t="inlineStr">
        <is>
          <t>OCCUPIED</t>
        </is>
      </c>
      <c r="F481" s="37" t="inlineStr">
        <is>
          <t>WL-03765</t>
        </is>
      </c>
      <c r="G481" s="37" t="inlineStr">
        <is>
          <t>Joel Schmidt</t>
        </is>
      </c>
      <c r="H481" s="37" t="n">
        <v>35.9</v>
      </c>
    </row>
    <row r="482">
      <c r="A482" s="37" t="inlineStr">
        <is>
          <t>VB-1005</t>
        </is>
      </c>
      <c r="B482" s="37" t="inlineStr">
        <is>
          <t>Vessbank</t>
        </is>
      </c>
      <c r="C482" s="37" t="inlineStr">
        <is>
          <t>COVERED</t>
        </is>
      </c>
      <c r="D482" s="37" t="n">
        <v>28</v>
      </c>
      <c r="E482" s="37" t="inlineStr">
        <is>
          <t>OCCUPIED</t>
        </is>
      </c>
      <c r="F482" s="37" t="inlineStr">
        <is>
          <t>WL-01874</t>
        </is>
      </c>
      <c r="G482" s="37" t="inlineStr">
        <is>
          <t>Glenda Williams</t>
        </is>
      </c>
      <c r="H482" s="37" t="n">
        <v>56.3</v>
      </c>
    </row>
    <row r="483">
      <c r="A483" s="37" t="inlineStr">
        <is>
          <t>VB-1006</t>
        </is>
      </c>
      <c r="B483" s="37" t="inlineStr">
        <is>
          <t>Vessbank</t>
        </is>
      </c>
      <c r="C483" s="37" t="inlineStr">
        <is>
          <t>COVERED</t>
        </is>
      </c>
      <c r="D483" s="37" t="n">
        <v>24</v>
      </c>
      <c r="E483" s="37" t="inlineStr">
        <is>
          <t>OCCUPIED</t>
        </is>
      </c>
      <c r="F483" s="37" t="inlineStr">
        <is>
          <t>WL-03723</t>
        </is>
      </c>
      <c r="G483" s="37" t="inlineStr">
        <is>
          <t>Michael Douglas</t>
        </is>
      </c>
      <c r="H483" s="37" t="n">
        <v>28.1</v>
      </c>
    </row>
    <row r="484">
      <c r="A484" s="37" t="inlineStr">
        <is>
          <t>VB-1007</t>
        </is>
      </c>
      <c r="B484" s="37" t="inlineStr">
        <is>
          <t>Vessbank</t>
        </is>
      </c>
      <c r="C484" s="37" t="inlineStr">
        <is>
          <t>COVERED</t>
        </is>
      </c>
      <c r="D484" s="37" t="n">
        <v>36</v>
      </c>
      <c r="E484" s="37" t="inlineStr">
        <is>
          <t>OCCUPIED</t>
        </is>
      </c>
      <c r="F484" s="37" t="inlineStr">
        <is>
          <t>WL-02796</t>
        </is>
      </c>
      <c r="G484" s="37" t="inlineStr">
        <is>
          <t>Gavin Scott</t>
        </is>
      </c>
      <c r="H484" s="37" t="n">
        <v>46.3</v>
      </c>
    </row>
    <row r="485">
      <c r="A485" s="37" t="inlineStr">
        <is>
          <t>VB-1008</t>
        </is>
      </c>
      <c r="B485" s="37" t="inlineStr">
        <is>
          <t>Vessbank</t>
        </is>
      </c>
      <c r="C485" s="37" t="inlineStr">
        <is>
          <t>COVERED</t>
        </is>
      </c>
      <c r="D485" s="37" t="n">
        <v>36</v>
      </c>
      <c r="E485" s="37" t="inlineStr">
        <is>
          <t>OCCUPIED</t>
        </is>
      </c>
      <c r="F485" s="37" t="inlineStr">
        <is>
          <t>WL-02193</t>
        </is>
      </c>
      <c r="G485" s="37" t="inlineStr">
        <is>
          <t>Valerie Berg</t>
        </is>
      </c>
      <c r="H485" s="37" t="n">
        <v>49.2</v>
      </c>
    </row>
    <row r="486">
      <c r="A486" s="37" t="inlineStr">
        <is>
          <t>VB-1009</t>
        </is>
      </c>
      <c r="B486" s="37" t="inlineStr">
        <is>
          <t>Vessbank</t>
        </is>
      </c>
      <c r="C486" s="37" t="inlineStr">
        <is>
          <t>COVERED</t>
        </is>
      </c>
      <c r="D486" s="37" t="n">
        <v>28</v>
      </c>
      <c r="E486" s="37" t="inlineStr">
        <is>
          <t>OCCUPIED</t>
        </is>
      </c>
      <c r="F486" s="37" t="inlineStr">
        <is>
          <t>WL-02802</t>
        </is>
      </c>
      <c r="G486" s="37" t="inlineStr">
        <is>
          <t>Kimberly Poole</t>
        </is>
      </c>
      <c r="H486" s="37" t="n">
        <v>43.3</v>
      </c>
    </row>
    <row r="487">
      <c r="A487" s="37" t="inlineStr">
        <is>
          <t>VB-1010</t>
        </is>
      </c>
      <c r="B487" s="37" t="inlineStr">
        <is>
          <t>Vessbank</t>
        </is>
      </c>
      <c r="C487" s="37" t="inlineStr">
        <is>
          <t>COVERED</t>
        </is>
      </c>
      <c r="D487" s="37" t="n">
        <v>24</v>
      </c>
      <c r="E487" s="37" t="inlineStr">
        <is>
          <t>OCCUPIED</t>
        </is>
      </c>
      <c r="F487" s="37" t="inlineStr">
        <is>
          <t>WL-03077</t>
        </is>
      </c>
      <c r="G487" s="37" t="inlineStr">
        <is>
          <t>Lisa Jensen</t>
        </is>
      </c>
      <c r="H487" s="37" t="n">
        <v>48.1</v>
      </c>
    </row>
    <row r="488">
      <c r="A488" s="37" t="inlineStr">
        <is>
          <t>VB-1011</t>
        </is>
      </c>
      <c r="B488" s="37" t="inlineStr">
        <is>
          <t>Vessbank</t>
        </is>
      </c>
      <c r="C488" s="37" t="inlineStr">
        <is>
          <t>COVERED</t>
        </is>
      </c>
      <c r="D488" s="37" t="n">
        <v>40</v>
      </c>
      <c r="E488" s="37" t="inlineStr">
        <is>
          <t>OCCUPIED</t>
        </is>
      </c>
      <c r="F488" s="37" t="inlineStr">
        <is>
          <t>WL-01187</t>
        </is>
      </c>
      <c r="G488" s="37" t="inlineStr">
        <is>
          <t>James Lee</t>
        </is>
      </c>
      <c r="H488" s="37" t="n">
        <v>28.3</v>
      </c>
    </row>
    <row r="489">
      <c r="A489" s="37" t="inlineStr">
        <is>
          <t>VB-1012</t>
        </is>
      </c>
      <c r="B489" s="37" t="inlineStr">
        <is>
          <t>Vessbank</t>
        </is>
      </c>
      <c r="C489" s="37" t="inlineStr">
        <is>
          <t>COVERED</t>
        </is>
      </c>
      <c r="D489" s="37" t="n">
        <v>40</v>
      </c>
      <c r="E489" s="37" t="inlineStr">
        <is>
          <t>OCCUPIED</t>
        </is>
      </c>
      <c r="F489" s="37" t="inlineStr">
        <is>
          <t>WL-01323</t>
        </is>
      </c>
      <c r="G489" s="37" t="inlineStr">
        <is>
          <t>Melanie Alvarado</t>
        </is>
      </c>
      <c r="H489" s="37" t="n">
        <v>57.4</v>
      </c>
    </row>
    <row r="490">
      <c r="A490" s="37" t="inlineStr">
        <is>
          <t>VB-1013</t>
        </is>
      </c>
      <c r="B490" s="37" t="inlineStr">
        <is>
          <t>Vessbank</t>
        </is>
      </c>
      <c r="C490" s="37" t="inlineStr">
        <is>
          <t>COVERED</t>
        </is>
      </c>
      <c r="D490" s="37" t="n">
        <v>28</v>
      </c>
      <c r="E490" s="37" t="inlineStr">
        <is>
          <t>OCCUPIED</t>
        </is>
      </c>
      <c r="F490" s="37" t="inlineStr">
        <is>
          <t>WL-02105</t>
        </is>
      </c>
      <c r="G490" s="37" t="inlineStr">
        <is>
          <t>Kenneth Underwood</t>
        </is>
      </c>
      <c r="H490" s="37" t="n">
        <v>21</v>
      </c>
    </row>
    <row r="491">
      <c r="A491" s="37" t="inlineStr">
        <is>
          <t>VB-1014</t>
        </is>
      </c>
      <c r="B491" s="37" t="inlineStr">
        <is>
          <t>Vessbank</t>
        </is>
      </c>
      <c r="C491" s="37" t="inlineStr">
        <is>
          <t>COVERED</t>
        </is>
      </c>
      <c r="D491" s="37" t="n">
        <v>36</v>
      </c>
      <c r="E491" s="37" t="inlineStr">
        <is>
          <t>OCCUPIED</t>
        </is>
      </c>
      <c r="F491" s="37" t="inlineStr">
        <is>
          <t>WL-02188</t>
        </is>
      </c>
      <c r="G491" s="37" t="inlineStr">
        <is>
          <t>Courtney Zamora</t>
        </is>
      </c>
      <c r="H491" s="37" t="n">
        <v>32.3</v>
      </c>
    </row>
    <row r="492">
      <c r="A492" s="37" t="inlineStr">
        <is>
          <t>VB-1015</t>
        </is>
      </c>
      <c r="B492" s="37" t="inlineStr">
        <is>
          <t>Vessbank</t>
        </is>
      </c>
      <c r="C492" s="37" t="inlineStr">
        <is>
          <t>COVERED</t>
        </is>
      </c>
      <c r="D492" s="37" t="n">
        <v>36</v>
      </c>
      <c r="E492" s="37" t="inlineStr">
        <is>
          <t>OCCUPIED</t>
        </is>
      </c>
      <c r="F492" s="37" t="inlineStr">
        <is>
          <t>WL-01478</t>
        </is>
      </c>
      <c r="G492" s="37" t="inlineStr">
        <is>
          <t>William Thomas</t>
        </is>
      </c>
      <c r="H492" s="37" t="n">
        <v>38.1</v>
      </c>
    </row>
    <row r="493">
      <c r="A493" s="37" t="inlineStr">
        <is>
          <t>VB-1016</t>
        </is>
      </c>
      <c r="B493" s="37" t="inlineStr">
        <is>
          <t>Vessbank</t>
        </is>
      </c>
      <c r="C493" s="37" t="inlineStr">
        <is>
          <t>COVERED</t>
        </is>
      </c>
      <c r="D493" s="37" t="n">
        <v>24</v>
      </c>
      <c r="E493" s="37" t="inlineStr">
        <is>
          <t>OCCUPIED</t>
        </is>
      </c>
      <c r="F493" s="37" t="inlineStr">
        <is>
          <t>WL-03078</t>
        </is>
      </c>
      <c r="G493" s="37" t="inlineStr">
        <is>
          <t>Rachael Mitchell</t>
        </is>
      </c>
      <c r="H493" s="37" t="n">
        <v>50</v>
      </c>
    </row>
    <row r="494">
      <c r="A494" s="37" t="inlineStr">
        <is>
          <t>VB-1017</t>
        </is>
      </c>
      <c r="B494" s="37" t="inlineStr">
        <is>
          <t>Vessbank</t>
        </is>
      </c>
      <c r="C494" s="37" t="inlineStr">
        <is>
          <t>COVERED</t>
        </is>
      </c>
      <c r="D494" s="37" t="n">
        <v>24</v>
      </c>
      <c r="E494" s="37" t="inlineStr">
        <is>
          <t>OCCUPIED</t>
        </is>
      </c>
      <c r="F494" s="37" t="inlineStr">
        <is>
          <t>WL-03104</t>
        </is>
      </c>
      <c r="G494" s="37" t="inlineStr">
        <is>
          <t>Jill Maldonado</t>
        </is>
      </c>
      <c r="H494" s="37" t="n">
        <v>34.6</v>
      </c>
    </row>
    <row r="495">
      <c r="A495" s="37" t="inlineStr">
        <is>
          <t>VB-1018</t>
        </is>
      </c>
      <c r="B495" s="37" t="inlineStr">
        <is>
          <t>Vessbank</t>
        </is>
      </c>
      <c r="C495" s="37" t="inlineStr">
        <is>
          <t>COVERED</t>
        </is>
      </c>
      <c r="D495" s="37" t="n">
        <v>36</v>
      </c>
      <c r="E495" s="37" t="inlineStr">
        <is>
          <t>OCCUPIED</t>
        </is>
      </c>
      <c r="F495" s="37" t="inlineStr">
        <is>
          <t>WL-02100</t>
        </is>
      </c>
      <c r="G495" s="37" t="inlineStr">
        <is>
          <t>Michelle Pena</t>
        </is>
      </c>
      <c r="H495" s="37" t="n">
        <v>51.9</v>
      </c>
    </row>
    <row r="496">
      <c r="A496" s="37" t="inlineStr">
        <is>
          <t>VB-1019</t>
        </is>
      </c>
      <c r="B496" s="37" t="inlineStr">
        <is>
          <t>Vessbank</t>
        </is>
      </c>
      <c r="C496" s="37" t="inlineStr">
        <is>
          <t>COVERED</t>
        </is>
      </c>
      <c r="D496" s="37" t="n">
        <v>24</v>
      </c>
      <c r="E496" s="37" t="inlineStr">
        <is>
          <t>OCCUPIED</t>
        </is>
      </c>
      <c r="F496" s="37" t="inlineStr">
        <is>
          <t>WL-03674</t>
        </is>
      </c>
      <c r="G496" s="37" t="inlineStr">
        <is>
          <t>Savannah Scott</t>
        </is>
      </c>
      <c r="H496" s="37" t="n">
        <v>33.4</v>
      </c>
    </row>
    <row r="497">
      <c r="A497" s="37" t="inlineStr">
        <is>
          <t>VB-1020</t>
        </is>
      </c>
      <c r="B497" s="37" t="inlineStr">
        <is>
          <t>Vessbank</t>
        </is>
      </c>
      <c r="C497" s="37" t="inlineStr">
        <is>
          <t>COVERED</t>
        </is>
      </c>
      <c r="D497" s="37" t="n">
        <v>40</v>
      </c>
      <c r="E497" s="37" t="inlineStr">
        <is>
          <t>OCCUPIED</t>
        </is>
      </c>
      <c r="F497" s="37" t="inlineStr">
        <is>
          <t>WL-02112</t>
        </is>
      </c>
      <c r="G497" s="37" t="inlineStr">
        <is>
          <t>Molly Perez</t>
        </is>
      </c>
      <c r="H497" s="37" t="n">
        <v>36.8</v>
      </c>
    </row>
    <row r="498">
      <c r="A498" s="37" t="inlineStr">
        <is>
          <t>VB-1021</t>
        </is>
      </c>
      <c r="B498" s="37" t="inlineStr">
        <is>
          <t>Vessbank</t>
        </is>
      </c>
      <c r="C498" s="37" t="inlineStr">
        <is>
          <t>COVERED</t>
        </is>
      </c>
      <c r="D498" s="37" t="n">
        <v>40</v>
      </c>
      <c r="E498" s="37" t="inlineStr">
        <is>
          <t>OCCUPIED</t>
        </is>
      </c>
      <c r="F498" s="37" t="inlineStr">
        <is>
          <t>WL-03142</t>
        </is>
      </c>
      <c r="G498" s="37" t="inlineStr">
        <is>
          <t>Tommy Bennett</t>
        </is>
      </c>
      <c r="H498" s="37" t="n">
        <v>40.5</v>
      </c>
    </row>
    <row r="499">
      <c r="A499" s="37" t="inlineStr">
        <is>
          <t>VB-1022</t>
        </is>
      </c>
      <c r="B499" s="37" t="inlineStr">
        <is>
          <t>Vessbank</t>
        </is>
      </c>
      <c r="C499" s="37" t="inlineStr">
        <is>
          <t>COVERED</t>
        </is>
      </c>
      <c r="D499" s="37" t="n">
        <v>36</v>
      </c>
      <c r="E499" s="37" t="inlineStr">
        <is>
          <t>OCCUPIED</t>
        </is>
      </c>
      <c r="F499" s="37" t="inlineStr">
        <is>
          <t>WL-01981</t>
        </is>
      </c>
      <c r="G499" s="37" t="inlineStr">
        <is>
          <t>Kathleen Walker</t>
        </is>
      </c>
      <c r="H499" s="37" t="n">
        <v>56.3</v>
      </c>
    </row>
    <row r="500">
      <c r="A500" s="37" t="inlineStr">
        <is>
          <t>VB-1023</t>
        </is>
      </c>
      <c r="B500" s="37" t="inlineStr">
        <is>
          <t>Vessbank</t>
        </is>
      </c>
      <c r="C500" s="37" t="inlineStr">
        <is>
          <t>COVERED</t>
        </is>
      </c>
      <c r="D500" s="37" t="n">
        <v>28</v>
      </c>
      <c r="E500" s="37" t="inlineStr">
        <is>
          <t>OCCUPIED</t>
        </is>
      </c>
      <c r="F500" s="37" t="inlineStr">
        <is>
          <t>WL-01467</t>
        </is>
      </c>
      <c r="G500" s="37" t="inlineStr">
        <is>
          <t>Walter Soto</t>
        </is>
      </c>
      <c r="H500" s="37" t="n">
        <v>29.6</v>
      </c>
    </row>
    <row r="501">
      <c r="A501" s="37" t="inlineStr">
        <is>
          <t>VB-1024</t>
        </is>
      </c>
      <c r="B501" s="37" t="inlineStr">
        <is>
          <t>Vessbank</t>
        </is>
      </c>
      <c r="C501" s="37" t="inlineStr">
        <is>
          <t>COVERED</t>
        </is>
      </c>
      <c r="D501" s="37" t="n">
        <v>32</v>
      </c>
      <c r="E501" s="37" t="inlineStr">
        <is>
          <t>OCCUPIED</t>
        </is>
      </c>
      <c r="F501" s="37" t="inlineStr">
        <is>
          <t>WL-02463</t>
        </is>
      </c>
      <c r="G501" s="37" t="inlineStr">
        <is>
          <t>Lauren Oconnor</t>
        </is>
      </c>
      <c r="H501" s="37" t="n">
        <v>55.7</v>
      </c>
    </row>
    <row r="502">
      <c r="A502" s="37" t="inlineStr">
        <is>
          <t>EW-0101</t>
        </is>
      </c>
      <c r="B502" s="37" t="inlineStr">
        <is>
          <t>Eastwey</t>
        </is>
      </c>
      <c r="C502" s="37" t="inlineStr">
        <is>
          <t>OPEN</t>
        </is>
      </c>
      <c r="D502" s="37" t="n">
        <v>80</v>
      </c>
      <c r="E502" s="37" t="inlineStr">
        <is>
          <t>OCCUPIED</t>
        </is>
      </c>
      <c r="F502" s="37" t="inlineStr">
        <is>
          <t>WL-01414</t>
        </is>
      </c>
      <c r="G502" s="37" t="inlineStr">
        <is>
          <t>Phillip Massey</t>
        </is>
      </c>
      <c r="H502" s="37" t="n">
        <v>29.3</v>
      </c>
    </row>
    <row r="503">
      <c r="A503" s="37" t="inlineStr">
        <is>
          <t>EW-0102</t>
        </is>
      </c>
      <c r="B503" s="37" t="inlineStr">
        <is>
          <t>Eastwey</t>
        </is>
      </c>
      <c r="C503" s="37" t="inlineStr">
        <is>
          <t>OPEN</t>
        </is>
      </c>
      <c r="D503" s="37" t="n">
        <v>24</v>
      </c>
      <c r="E503" s="37" t="inlineStr">
        <is>
          <t>OCCUPIED</t>
        </is>
      </c>
      <c r="F503" s="37" t="inlineStr">
        <is>
          <t>WL-03666</t>
        </is>
      </c>
      <c r="G503" s="37" t="inlineStr">
        <is>
          <t>Andrea Franco</t>
        </is>
      </c>
      <c r="H503" s="37" t="n">
        <v>55.3</v>
      </c>
    </row>
    <row r="504">
      <c r="A504" s="37" t="inlineStr">
        <is>
          <t>EW-0103</t>
        </is>
      </c>
      <c r="B504" s="37" t="inlineStr">
        <is>
          <t>Eastwey</t>
        </is>
      </c>
      <c r="C504" s="37" t="inlineStr">
        <is>
          <t>OPEN</t>
        </is>
      </c>
      <c r="D504" s="37" t="n">
        <v>36</v>
      </c>
      <c r="E504" s="37" t="inlineStr">
        <is>
          <t>OCCUPIED</t>
        </is>
      </c>
      <c r="F504" s="37" t="inlineStr">
        <is>
          <t>WL-01149</t>
        </is>
      </c>
      <c r="G504" s="37" t="inlineStr">
        <is>
          <t>David Hoffman</t>
        </is>
      </c>
      <c r="H504" s="37" t="n">
        <v>42.6</v>
      </c>
    </row>
    <row r="505">
      <c r="A505" s="37" t="inlineStr">
        <is>
          <t>EW-0104</t>
        </is>
      </c>
      <c r="B505" s="37" t="inlineStr">
        <is>
          <t>Eastwey</t>
        </is>
      </c>
      <c r="C505" s="37" t="inlineStr">
        <is>
          <t>OPEN</t>
        </is>
      </c>
      <c r="D505" s="37" t="n">
        <v>40</v>
      </c>
      <c r="E505" s="37" t="inlineStr">
        <is>
          <t>MAINTENANCE</t>
        </is>
      </c>
    </row>
    <row r="506">
      <c r="A506" s="37" t="inlineStr">
        <is>
          <t>EW-0105</t>
        </is>
      </c>
      <c r="B506" s="37" t="inlineStr">
        <is>
          <t>Eastwey</t>
        </is>
      </c>
      <c r="C506" s="37" t="inlineStr">
        <is>
          <t>OPEN</t>
        </is>
      </c>
      <c r="D506" s="37" t="n">
        <v>36</v>
      </c>
      <c r="E506" s="37" t="inlineStr">
        <is>
          <t>OCCUPIED</t>
        </is>
      </c>
      <c r="F506" s="37" t="inlineStr">
        <is>
          <t>WL-03242</t>
        </is>
      </c>
      <c r="G506" s="37" t="inlineStr">
        <is>
          <t>Micheal Navarro</t>
        </is>
      </c>
      <c r="H506" s="37" t="n">
        <v>60.2</v>
      </c>
    </row>
    <row r="507">
      <c r="A507" s="37" t="inlineStr">
        <is>
          <t>EW-0106</t>
        </is>
      </c>
      <c r="B507" s="37" t="inlineStr">
        <is>
          <t>Eastwey</t>
        </is>
      </c>
      <c r="C507" s="37" t="inlineStr">
        <is>
          <t>OPEN</t>
        </is>
      </c>
      <c r="D507" s="37" t="n">
        <v>45</v>
      </c>
      <c r="E507" s="37" t="inlineStr">
        <is>
          <t>OCCUPIED</t>
        </is>
      </c>
      <c r="F507" s="37" t="inlineStr">
        <is>
          <t>WL-03380</t>
        </is>
      </c>
      <c r="G507" s="37" t="inlineStr">
        <is>
          <t>Charles Snyder</t>
        </is>
      </c>
      <c r="H507" s="37" t="n">
        <v>47.5</v>
      </c>
    </row>
    <row r="508">
      <c r="A508" s="37" t="inlineStr">
        <is>
          <t>EW-0107</t>
        </is>
      </c>
      <c r="B508" s="37" t="inlineStr">
        <is>
          <t>Eastwey</t>
        </is>
      </c>
      <c r="C508" s="37" t="inlineStr">
        <is>
          <t>OPEN</t>
        </is>
      </c>
      <c r="D508" s="37" t="n">
        <v>28</v>
      </c>
      <c r="E508" s="37" t="inlineStr">
        <is>
          <t>OCCUPIED</t>
        </is>
      </c>
      <c r="F508" s="37" t="inlineStr">
        <is>
          <t>WL-01368</t>
        </is>
      </c>
      <c r="G508" s="37" t="inlineStr">
        <is>
          <t>Justin Turner</t>
        </is>
      </c>
      <c r="H508" s="37" t="n">
        <v>23.7</v>
      </c>
    </row>
    <row r="509">
      <c r="A509" s="37" t="inlineStr">
        <is>
          <t>EW-0108</t>
        </is>
      </c>
      <c r="B509" s="37" t="inlineStr">
        <is>
          <t>Eastwey</t>
        </is>
      </c>
      <c r="C509" s="37" t="inlineStr">
        <is>
          <t>OPEN</t>
        </is>
      </c>
      <c r="D509" s="37" t="n">
        <v>40</v>
      </c>
      <c r="E509" s="37" t="inlineStr">
        <is>
          <t>OCCUPIED</t>
        </is>
      </c>
      <c r="F509" s="37" t="inlineStr">
        <is>
          <t>WL-02070</t>
        </is>
      </c>
      <c r="G509" s="37" t="inlineStr">
        <is>
          <t>Leslie Thomas</t>
        </is>
      </c>
      <c r="H509" s="37" t="n">
        <v>59.3</v>
      </c>
    </row>
    <row r="510">
      <c r="A510" s="37" t="inlineStr">
        <is>
          <t>EW-0109</t>
        </is>
      </c>
      <c r="B510" s="37" t="inlineStr">
        <is>
          <t>Eastwey</t>
        </is>
      </c>
      <c r="C510" s="37" t="inlineStr">
        <is>
          <t>OPEN</t>
        </is>
      </c>
      <c r="D510" s="37" t="n">
        <v>60</v>
      </c>
      <c r="E510" s="37" t="inlineStr">
        <is>
          <t>OCCUPIED</t>
        </is>
      </c>
      <c r="F510" s="37" t="inlineStr">
        <is>
          <t>WL-03624</t>
        </is>
      </c>
      <c r="G510" s="37" t="inlineStr">
        <is>
          <t>Robert Rodriguez</t>
        </is>
      </c>
      <c r="H510" s="37" t="n">
        <v>30.9</v>
      </c>
    </row>
    <row r="511">
      <c r="A511" s="37" t="inlineStr">
        <is>
          <t>EW-0110</t>
        </is>
      </c>
      <c r="B511" s="37" t="inlineStr">
        <is>
          <t>Eastwey</t>
        </is>
      </c>
      <c r="C511" s="37" t="inlineStr">
        <is>
          <t>OPEN</t>
        </is>
      </c>
      <c r="D511" s="37" t="n">
        <v>28</v>
      </c>
      <c r="E511" s="37" t="inlineStr">
        <is>
          <t>OCCUPIED</t>
        </is>
      </c>
      <c r="F511" s="37" t="inlineStr">
        <is>
          <t>WL-01831</t>
        </is>
      </c>
      <c r="G511" s="37" t="inlineStr">
        <is>
          <t>Angela Andersen</t>
        </is>
      </c>
      <c r="H511" s="37" t="n">
        <v>36.3</v>
      </c>
    </row>
    <row r="512">
      <c r="A512" s="37" t="inlineStr">
        <is>
          <t>EW-0111</t>
        </is>
      </c>
      <c r="B512" s="37" t="inlineStr">
        <is>
          <t>Eastwey</t>
        </is>
      </c>
      <c r="C512" s="37" t="inlineStr">
        <is>
          <t>OPEN</t>
        </is>
      </c>
      <c r="D512" s="37" t="n">
        <v>28</v>
      </c>
      <c r="E512" s="37" t="inlineStr">
        <is>
          <t>OCCUPIED</t>
        </is>
      </c>
      <c r="F512" s="37" t="inlineStr">
        <is>
          <t>WL-01617</t>
        </is>
      </c>
      <c r="G512" s="37" t="inlineStr">
        <is>
          <t>James Ferguson</t>
        </is>
      </c>
      <c r="H512" s="37" t="n">
        <v>43.9</v>
      </c>
    </row>
    <row r="513">
      <c r="A513" s="37" t="inlineStr">
        <is>
          <t>EW-0112</t>
        </is>
      </c>
      <c r="B513" s="37" t="inlineStr">
        <is>
          <t>Eastwey</t>
        </is>
      </c>
      <c r="C513" s="37" t="inlineStr">
        <is>
          <t>OPEN</t>
        </is>
      </c>
      <c r="D513" s="37" t="n">
        <v>70</v>
      </c>
      <c r="E513" s="37" t="inlineStr">
        <is>
          <t>OCCUPIED</t>
        </is>
      </c>
      <c r="F513" s="37" t="inlineStr">
        <is>
          <t>WL-01533</t>
        </is>
      </c>
      <c r="G513" s="37" t="inlineStr">
        <is>
          <t>Beth Cooper</t>
        </is>
      </c>
      <c r="H513" s="37" t="n">
        <v>38.7</v>
      </c>
    </row>
    <row r="514">
      <c r="A514" s="37" t="inlineStr">
        <is>
          <t>EW-0113</t>
        </is>
      </c>
      <c r="B514" s="37" t="inlineStr">
        <is>
          <t>Eastwey</t>
        </is>
      </c>
      <c r="C514" s="37" t="inlineStr">
        <is>
          <t>OPEN</t>
        </is>
      </c>
      <c r="D514" s="37" t="n">
        <v>45</v>
      </c>
      <c r="E514" s="37" t="inlineStr">
        <is>
          <t>OCCUPIED</t>
        </is>
      </c>
      <c r="F514" s="37" t="inlineStr">
        <is>
          <t>WL-01482</t>
        </is>
      </c>
      <c r="G514" s="37" t="inlineStr">
        <is>
          <t>Brandon Boyer</t>
        </is>
      </c>
      <c r="H514" s="37" t="n">
        <v>61.3</v>
      </c>
    </row>
    <row r="515">
      <c r="A515" s="37" t="inlineStr">
        <is>
          <t>EW-0114</t>
        </is>
      </c>
      <c r="B515" s="37" t="inlineStr">
        <is>
          <t>Eastwey</t>
        </is>
      </c>
      <c r="C515" s="37" t="inlineStr">
        <is>
          <t>OPEN</t>
        </is>
      </c>
      <c r="D515" s="37" t="n">
        <v>24</v>
      </c>
      <c r="E515" s="37" t="inlineStr">
        <is>
          <t>OCCUPIED</t>
        </is>
      </c>
      <c r="F515" s="37" t="inlineStr">
        <is>
          <t>WL-03340</t>
        </is>
      </c>
      <c r="G515" s="37" t="inlineStr">
        <is>
          <t>Linda Gonzalez</t>
        </is>
      </c>
      <c r="H515" s="37" t="n">
        <v>41.6</v>
      </c>
    </row>
    <row r="516">
      <c r="A516" s="37" t="inlineStr">
        <is>
          <t>EW-0115</t>
        </is>
      </c>
      <c r="B516" s="37" t="inlineStr">
        <is>
          <t>Eastwey</t>
        </is>
      </c>
      <c r="C516" s="37" t="inlineStr">
        <is>
          <t>OPEN</t>
        </is>
      </c>
      <c r="D516" s="37" t="n">
        <v>32</v>
      </c>
      <c r="E516" s="37" t="inlineStr">
        <is>
          <t>OCCUPIED</t>
        </is>
      </c>
      <c r="F516" s="37" t="inlineStr">
        <is>
          <t>WL-01809</t>
        </is>
      </c>
      <c r="G516" s="37" t="inlineStr">
        <is>
          <t>Tim Banks</t>
        </is>
      </c>
      <c r="H516" s="37" t="n">
        <v>38.4</v>
      </c>
    </row>
    <row r="517">
      <c r="A517" s="37" t="inlineStr">
        <is>
          <t>EW-0116</t>
        </is>
      </c>
      <c r="B517" s="37" t="inlineStr">
        <is>
          <t>Eastwey</t>
        </is>
      </c>
      <c r="C517" s="37" t="inlineStr">
        <is>
          <t>OPEN</t>
        </is>
      </c>
      <c r="D517" s="37" t="n">
        <v>32</v>
      </c>
      <c r="E517" s="37" t="inlineStr">
        <is>
          <t>OCCUPIED</t>
        </is>
      </c>
      <c r="F517" s="37" t="inlineStr">
        <is>
          <t>WL-02558</t>
        </is>
      </c>
      <c r="G517" s="37" t="inlineStr">
        <is>
          <t>Edward Hardy</t>
        </is>
      </c>
      <c r="H517" s="37" t="n">
        <v>25.7</v>
      </c>
    </row>
    <row r="518">
      <c r="A518" s="37" t="inlineStr">
        <is>
          <t>EW-0117</t>
        </is>
      </c>
      <c r="B518" s="37" t="inlineStr">
        <is>
          <t>Eastwey</t>
        </is>
      </c>
      <c r="C518" s="37" t="inlineStr">
        <is>
          <t>OPEN</t>
        </is>
      </c>
      <c r="D518" s="37" t="n">
        <v>80</v>
      </c>
      <c r="E518" s="37" t="inlineStr">
        <is>
          <t>GUEST</t>
        </is>
      </c>
    </row>
    <row r="519">
      <c r="A519" s="37" t="inlineStr">
        <is>
          <t>EW-0118</t>
        </is>
      </c>
      <c r="B519" s="37" t="inlineStr">
        <is>
          <t>Eastwey</t>
        </is>
      </c>
      <c r="C519" s="37" t="inlineStr">
        <is>
          <t>OPEN</t>
        </is>
      </c>
      <c r="D519" s="37" t="n">
        <v>45</v>
      </c>
      <c r="E519" s="37" t="inlineStr">
        <is>
          <t>OCCUPIED</t>
        </is>
      </c>
      <c r="F519" s="37" t="inlineStr">
        <is>
          <t>WL-03472</t>
        </is>
      </c>
      <c r="G519" s="37" t="inlineStr">
        <is>
          <t>Robert Shea</t>
        </is>
      </c>
      <c r="H519" s="37" t="n">
        <v>48.3</v>
      </c>
    </row>
    <row r="520">
      <c r="A520" s="37" t="inlineStr">
        <is>
          <t>EW-0119</t>
        </is>
      </c>
      <c r="B520" s="37" t="inlineStr">
        <is>
          <t>Eastwey</t>
        </is>
      </c>
      <c r="C520" s="37" t="inlineStr">
        <is>
          <t>OPEN</t>
        </is>
      </c>
      <c r="D520" s="37" t="n">
        <v>32</v>
      </c>
      <c r="E520" s="37" t="inlineStr">
        <is>
          <t>OCCUPIED</t>
        </is>
      </c>
      <c r="F520" s="37" t="inlineStr">
        <is>
          <t>WL-02417</t>
        </is>
      </c>
      <c r="G520" s="37" t="inlineStr">
        <is>
          <t>Eric Benjamin</t>
        </is>
      </c>
      <c r="H520" s="37" t="n">
        <v>48.3</v>
      </c>
    </row>
    <row r="521">
      <c r="A521" s="37" t="inlineStr">
        <is>
          <t>EW-0120</t>
        </is>
      </c>
      <c r="B521" s="37" t="inlineStr">
        <is>
          <t>Eastwey</t>
        </is>
      </c>
      <c r="C521" s="37" t="inlineStr">
        <is>
          <t>OPEN</t>
        </is>
      </c>
      <c r="D521" s="37" t="n">
        <v>80</v>
      </c>
      <c r="E521" s="37" t="inlineStr">
        <is>
          <t>OCCUPIED</t>
        </is>
      </c>
      <c r="F521" s="37" t="inlineStr">
        <is>
          <t>WL-02149</t>
        </is>
      </c>
      <c r="G521" s="37" t="inlineStr">
        <is>
          <t>Tonya Bowman</t>
        </is>
      </c>
      <c r="H521" s="37" t="n">
        <v>59.3</v>
      </c>
    </row>
    <row r="522">
      <c r="A522" s="37" t="inlineStr">
        <is>
          <t>EW-0121</t>
        </is>
      </c>
      <c r="B522" s="37" t="inlineStr">
        <is>
          <t>Eastwey</t>
        </is>
      </c>
      <c r="C522" s="37" t="inlineStr">
        <is>
          <t>OPEN</t>
        </is>
      </c>
      <c r="D522" s="37" t="n">
        <v>28</v>
      </c>
      <c r="E522" s="37" t="inlineStr">
        <is>
          <t>OCCUPIED</t>
        </is>
      </c>
      <c r="F522" s="37" t="inlineStr">
        <is>
          <t>WL-01125</t>
        </is>
      </c>
      <c r="G522" s="37" t="inlineStr">
        <is>
          <t>Brandi Baker</t>
        </is>
      </c>
      <c r="H522" s="37" t="n">
        <v>37.9</v>
      </c>
    </row>
    <row r="523">
      <c r="A523" s="37" t="inlineStr">
        <is>
          <t>EW-0122</t>
        </is>
      </c>
      <c r="B523" s="37" t="inlineStr">
        <is>
          <t>Eastwey</t>
        </is>
      </c>
      <c r="C523" s="37" t="inlineStr">
        <is>
          <t>OPEN</t>
        </is>
      </c>
      <c r="D523" s="37" t="n">
        <v>70</v>
      </c>
      <c r="E523" s="37" t="inlineStr">
        <is>
          <t>OCCUPIED</t>
        </is>
      </c>
      <c r="F523" s="37" t="inlineStr">
        <is>
          <t>WL-03816</t>
        </is>
      </c>
      <c r="G523" s="37" t="inlineStr">
        <is>
          <t>Brittany Lopez</t>
        </is>
      </c>
      <c r="H523" s="37" t="n">
        <v>25.7</v>
      </c>
    </row>
    <row r="524">
      <c r="A524" s="37" t="inlineStr">
        <is>
          <t>EW-0123</t>
        </is>
      </c>
      <c r="B524" s="37" t="inlineStr">
        <is>
          <t>Eastwey</t>
        </is>
      </c>
      <c r="C524" s="37" t="inlineStr">
        <is>
          <t>OPEN</t>
        </is>
      </c>
      <c r="D524" s="37" t="n">
        <v>28</v>
      </c>
      <c r="E524" s="37" t="inlineStr">
        <is>
          <t>OCCUPIED</t>
        </is>
      </c>
      <c r="F524" s="37" t="inlineStr">
        <is>
          <t>WL-03203</t>
        </is>
      </c>
      <c r="G524" s="37" t="inlineStr">
        <is>
          <t>Kyle Shepard</t>
        </is>
      </c>
      <c r="H524" s="37" t="n">
        <v>44.4</v>
      </c>
    </row>
    <row r="525">
      <c r="A525" s="37" t="inlineStr">
        <is>
          <t>EW-0124</t>
        </is>
      </c>
      <c r="B525" s="37" t="inlineStr">
        <is>
          <t>Eastwey</t>
        </is>
      </c>
      <c r="C525" s="37" t="inlineStr">
        <is>
          <t>OPEN</t>
        </is>
      </c>
      <c r="D525" s="37" t="n">
        <v>32</v>
      </c>
      <c r="E525" s="37" t="inlineStr">
        <is>
          <t>OCCUPIED</t>
        </is>
      </c>
      <c r="F525" s="37" t="inlineStr">
        <is>
          <t>WL-03361</t>
        </is>
      </c>
      <c r="G525" s="37" t="inlineStr">
        <is>
          <t>Donna Robertson</t>
        </is>
      </c>
      <c r="H525" s="37" t="n">
        <v>55.7</v>
      </c>
    </row>
    <row r="526">
      <c r="A526" s="37" t="inlineStr">
        <is>
          <t>EW-0201</t>
        </is>
      </c>
      <c r="B526" s="37" t="inlineStr">
        <is>
          <t>Eastwey</t>
        </is>
      </c>
      <c r="C526" s="37" t="inlineStr">
        <is>
          <t>OPEN</t>
        </is>
      </c>
      <c r="D526" s="37" t="n">
        <v>36</v>
      </c>
      <c r="E526" s="37" t="inlineStr">
        <is>
          <t>OCCUPIED</t>
        </is>
      </c>
      <c r="F526" s="37" t="inlineStr">
        <is>
          <t>WL-02818</t>
        </is>
      </c>
      <c r="G526" s="37" t="inlineStr">
        <is>
          <t>Andrew Bryan</t>
        </is>
      </c>
      <c r="H526" s="37" t="n">
        <v>39.3</v>
      </c>
    </row>
    <row r="527">
      <c r="A527" s="37" t="inlineStr">
        <is>
          <t>EW-0202</t>
        </is>
      </c>
      <c r="B527" s="37" t="inlineStr">
        <is>
          <t>Eastwey</t>
        </is>
      </c>
      <c r="C527" s="37" t="inlineStr">
        <is>
          <t>OPEN</t>
        </is>
      </c>
      <c r="D527" s="37" t="n">
        <v>32</v>
      </c>
      <c r="E527" s="37" t="inlineStr">
        <is>
          <t>OCCUPIED</t>
        </is>
      </c>
      <c r="F527" s="37" t="inlineStr">
        <is>
          <t>WL-03332</t>
        </is>
      </c>
      <c r="G527" s="37" t="inlineStr">
        <is>
          <t>Amanda Rodgers</t>
        </is>
      </c>
      <c r="H527" s="37" t="n">
        <v>49.2</v>
      </c>
    </row>
    <row r="528">
      <c r="A528" s="37" t="inlineStr">
        <is>
          <t>EW-0203</t>
        </is>
      </c>
      <c r="B528" s="37" t="inlineStr">
        <is>
          <t>Eastwey</t>
        </is>
      </c>
      <c r="C528" s="37" t="inlineStr">
        <is>
          <t>OPEN</t>
        </is>
      </c>
      <c r="D528" s="37" t="n">
        <v>28</v>
      </c>
      <c r="E528" s="37" t="inlineStr">
        <is>
          <t>OCCUPIED</t>
        </is>
      </c>
      <c r="F528" s="37" t="inlineStr">
        <is>
          <t>WL-02676</t>
        </is>
      </c>
      <c r="G528" s="37" t="inlineStr">
        <is>
          <t>Janice Walker</t>
        </is>
      </c>
      <c r="H528" s="37" t="n">
        <v>34.1</v>
      </c>
    </row>
    <row r="529">
      <c r="A529" s="37" t="inlineStr">
        <is>
          <t>EW-0204</t>
        </is>
      </c>
      <c r="B529" s="37" t="inlineStr">
        <is>
          <t>Eastwey</t>
        </is>
      </c>
      <c r="C529" s="37" t="inlineStr">
        <is>
          <t>OPEN</t>
        </is>
      </c>
      <c r="D529" s="37" t="n">
        <v>40</v>
      </c>
      <c r="E529" s="37" t="inlineStr">
        <is>
          <t>OCCUPIED</t>
        </is>
      </c>
      <c r="F529" s="37" t="inlineStr">
        <is>
          <t>WL-01545</t>
        </is>
      </c>
      <c r="G529" s="37" t="inlineStr">
        <is>
          <t>Jessica King</t>
        </is>
      </c>
      <c r="H529" s="37" t="n">
        <v>21.1</v>
      </c>
    </row>
    <row r="530">
      <c r="A530" s="37" t="inlineStr">
        <is>
          <t>EW-0205</t>
        </is>
      </c>
      <c r="B530" s="37" t="inlineStr">
        <is>
          <t>Eastwey</t>
        </is>
      </c>
      <c r="C530" s="37" t="inlineStr">
        <is>
          <t>OPEN</t>
        </is>
      </c>
      <c r="D530" s="37" t="n">
        <v>60</v>
      </c>
      <c r="E530" s="37" t="inlineStr">
        <is>
          <t>MAINTENANCE</t>
        </is>
      </c>
    </row>
    <row r="531">
      <c r="A531" s="37" t="inlineStr">
        <is>
          <t>EW-0206</t>
        </is>
      </c>
      <c r="B531" s="37" t="inlineStr">
        <is>
          <t>Eastwey</t>
        </is>
      </c>
      <c r="C531" s="37" t="inlineStr">
        <is>
          <t>OPEN</t>
        </is>
      </c>
      <c r="D531" s="37" t="n">
        <v>24</v>
      </c>
      <c r="E531" s="37" t="inlineStr">
        <is>
          <t>OCCUPIED</t>
        </is>
      </c>
      <c r="F531" s="37" t="inlineStr">
        <is>
          <t>WL-01286</t>
        </is>
      </c>
      <c r="G531" s="37" t="inlineStr">
        <is>
          <t>Kevin Wiley</t>
        </is>
      </c>
      <c r="H531" s="37" t="n">
        <v>35.2</v>
      </c>
    </row>
    <row r="532">
      <c r="A532" s="37" t="inlineStr">
        <is>
          <t>EW-0207</t>
        </is>
      </c>
      <c r="B532" s="37" t="inlineStr">
        <is>
          <t>Eastwey</t>
        </is>
      </c>
      <c r="C532" s="37" t="inlineStr">
        <is>
          <t>OPEN</t>
        </is>
      </c>
      <c r="D532" s="37" t="n">
        <v>45</v>
      </c>
      <c r="E532" s="37" t="inlineStr">
        <is>
          <t>OCCUPIED</t>
        </is>
      </c>
      <c r="F532" s="37" t="inlineStr">
        <is>
          <t>WL-01486</t>
        </is>
      </c>
      <c r="G532" s="37" t="inlineStr">
        <is>
          <t>Stacey Spears</t>
        </is>
      </c>
      <c r="H532" s="37" t="n">
        <v>42.1</v>
      </c>
    </row>
    <row r="533">
      <c r="A533" s="37" t="inlineStr">
        <is>
          <t>EW-0208</t>
        </is>
      </c>
      <c r="B533" s="37" t="inlineStr">
        <is>
          <t>Eastwey</t>
        </is>
      </c>
      <c r="C533" s="37" t="inlineStr">
        <is>
          <t>OPEN</t>
        </is>
      </c>
      <c r="D533" s="37" t="n">
        <v>32</v>
      </c>
      <c r="E533" s="37" t="inlineStr">
        <is>
          <t>OCCUPIED</t>
        </is>
      </c>
      <c r="F533" s="37" t="inlineStr">
        <is>
          <t>WL-03130</t>
        </is>
      </c>
      <c r="G533" s="37" t="inlineStr">
        <is>
          <t>Nicole Berger</t>
        </is>
      </c>
      <c r="H533" s="37" t="n">
        <v>24.5</v>
      </c>
    </row>
    <row r="534">
      <c r="A534" s="37" t="inlineStr">
        <is>
          <t>EW-0209</t>
        </is>
      </c>
      <c r="B534" s="37" t="inlineStr">
        <is>
          <t>Eastwey</t>
        </is>
      </c>
      <c r="C534" s="37" t="inlineStr">
        <is>
          <t>OPEN</t>
        </is>
      </c>
      <c r="D534" s="37" t="n">
        <v>36</v>
      </c>
      <c r="E534" s="37" t="inlineStr">
        <is>
          <t>OCCUPIED</t>
        </is>
      </c>
      <c r="F534" s="37" t="inlineStr">
        <is>
          <t>WL-02673</t>
        </is>
      </c>
      <c r="G534" s="37" t="inlineStr">
        <is>
          <t>Rodney Watson</t>
        </is>
      </c>
      <c r="H534" s="37" t="n">
        <v>30.4</v>
      </c>
    </row>
    <row r="535">
      <c r="A535" s="37" t="inlineStr">
        <is>
          <t>EW-0210</t>
        </is>
      </c>
      <c r="B535" s="37" t="inlineStr">
        <is>
          <t>Eastwey</t>
        </is>
      </c>
      <c r="C535" s="37" t="inlineStr">
        <is>
          <t>OPEN</t>
        </is>
      </c>
      <c r="D535" s="37" t="n">
        <v>24</v>
      </c>
      <c r="E535" s="37" t="inlineStr">
        <is>
          <t>OCCUPIED</t>
        </is>
      </c>
      <c r="F535" s="37" t="inlineStr">
        <is>
          <t>WL-01729</t>
        </is>
      </c>
      <c r="G535" s="37" t="inlineStr">
        <is>
          <t>Whitney Baker</t>
        </is>
      </c>
      <c r="H535" s="37" t="n">
        <v>39.6</v>
      </c>
    </row>
    <row r="536">
      <c r="A536" s="37" t="inlineStr">
        <is>
          <t>EW-0211</t>
        </is>
      </c>
      <c r="B536" s="37" t="inlineStr">
        <is>
          <t>Eastwey</t>
        </is>
      </c>
      <c r="C536" s="37" t="inlineStr">
        <is>
          <t>OPEN</t>
        </is>
      </c>
      <c r="D536" s="37" t="n">
        <v>50</v>
      </c>
      <c r="E536" s="37" t="inlineStr">
        <is>
          <t>OCCUPIED</t>
        </is>
      </c>
      <c r="F536" s="37" t="inlineStr">
        <is>
          <t>WL-02171</t>
        </is>
      </c>
      <c r="G536" s="37" t="inlineStr">
        <is>
          <t>Andrea Hill</t>
        </is>
      </c>
      <c r="H536" s="37" t="n">
        <v>41.5</v>
      </c>
    </row>
    <row r="537">
      <c r="A537" s="37" t="inlineStr">
        <is>
          <t>EW-0212</t>
        </is>
      </c>
      <c r="B537" s="37" t="inlineStr">
        <is>
          <t>Eastwey</t>
        </is>
      </c>
      <c r="C537" s="37" t="inlineStr">
        <is>
          <t>OPEN</t>
        </is>
      </c>
      <c r="D537" s="37" t="n">
        <v>32</v>
      </c>
      <c r="E537" s="37" t="inlineStr">
        <is>
          <t>OCCUPIED</t>
        </is>
      </c>
      <c r="F537" s="37" t="inlineStr">
        <is>
          <t>WL-01589</t>
        </is>
      </c>
      <c r="G537" s="37" t="inlineStr">
        <is>
          <t>Caitlin Klein</t>
        </is>
      </c>
      <c r="H537" s="37" t="n">
        <v>19.5</v>
      </c>
    </row>
    <row r="538">
      <c r="A538" s="37" t="inlineStr">
        <is>
          <t>EW-0213</t>
        </is>
      </c>
      <c r="B538" s="37" t="inlineStr">
        <is>
          <t>Eastwey</t>
        </is>
      </c>
      <c r="C538" s="37" t="inlineStr">
        <is>
          <t>OPEN</t>
        </is>
      </c>
      <c r="D538" s="37" t="n">
        <v>28</v>
      </c>
      <c r="E538" s="37" t="inlineStr">
        <is>
          <t>GUEST</t>
        </is>
      </c>
    </row>
    <row r="539">
      <c r="A539" s="37" t="inlineStr">
        <is>
          <t>EW-0214</t>
        </is>
      </c>
      <c r="B539" s="37" t="inlineStr">
        <is>
          <t>Eastwey</t>
        </is>
      </c>
      <c r="C539" s="37" t="inlineStr">
        <is>
          <t>OPEN</t>
        </is>
      </c>
      <c r="D539" s="37" t="n">
        <v>60</v>
      </c>
      <c r="E539" s="37" t="inlineStr">
        <is>
          <t>OCCUPIED</t>
        </is>
      </c>
      <c r="F539" s="37" t="inlineStr">
        <is>
          <t>WL-01651</t>
        </is>
      </c>
      <c r="G539" s="37" t="inlineStr">
        <is>
          <t>Kayla Lawson</t>
        </is>
      </c>
      <c r="H539" s="37" t="n">
        <v>23.2</v>
      </c>
    </row>
    <row r="540">
      <c r="A540" s="37" t="inlineStr">
        <is>
          <t>EW-0215</t>
        </is>
      </c>
      <c r="B540" s="37" t="inlineStr">
        <is>
          <t>Eastwey</t>
        </is>
      </c>
      <c r="C540" s="37" t="inlineStr">
        <is>
          <t>OPEN</t>
        </is>
      </c>
      <c r="D540" s="37" t="n">
        <v>32</v>
      </c>
      <c r="E540" s="37" t="inlineStr">
        <is>
          <t>OCCUPIED</t>
        </is>
      </c>
      <c r="F540" s="37" t="inlineStr">
        <is>
          <t>WL-03669</t>
        </is>
      </c>
      <c r="G540" s="37" t="inlineStr">
        <is>
          <t>Samantha Powers</t>
        </is>
      </c>
      <c r="H540" s="37" t="n">
        <v>20.4</v>
      </c>
    </row>
    <row r="541">
      <c r="A541" s="37" t="inlineStr">
        <is>
          <t>EW-0216</t>
        </is>
      </c>
      <c r="B541" s="37" t="inlineStr">
        <is>
          <t>Eastwey</t>
        </is>
      </c>
      <c r="C541" s="37" t="inlineStr">
        <is>
          <t>OPEN</t>
        </is>
      </c>
      <c r="D541" s="37" t="n">
        <v>50</v>
      </c>
      <c r="E541" s="37" t="inlineStr">
        <is>
          <t>OCCUPIED</t>
        </is>
      </c>
      <c r="F541" s="37" t="inlineStr">
        <is>
          <t>WL-01352</t>
        </is>
      </c>
      <c r="G541" s="37" t="inlineStr">
        <is>
          <t>Donald Hoffman</t>
        </is>
      </c>
      <c r="H541" s="37" t="n">
        <v>42.6</v>
      </c>
    </row>
    <row r="542">
      <c r="A542" s="37" t="inlineStr">
        <is>
          <t>EW-0217</t>
        </is>
      </c>
      <c r="B542" s="37" t="inlineStr">
        <is>
          <t>Eastwey</t>
        </is>
      </c>
      <c r="C542" s="37" t="inlineStr">
        <is>
          <t>OPEN</t>
        </is>
      </c>
      <c r="D542" s="37" t="n">
        <v>32</v>
      </c>
      <c r="E542" s="37" t="inlineStr">
        <is>
          <t>OCCUPIED</t>
        </is>
      </c>
      <c r="F542" s="37" t="inlineStr">
        <is>
          <t>WL-01566</t>
        </is>
      </c>
      <c r="G542" s="37" t="inlineStr">
        <is>
          <t>Sara Garcia</t>
        </is>
      </c>
      <c r="H542" s="37" t="n">
        <v>32.9</v>
      </c>
    </row>
    <row r="543">
      <c r="A543" s="37" t="inlineStr">
        <is>
          <t>EW-0218</t>
        </is>
      </c>
      <c r="B543" s="37" t="inlineStr">
        <is>
          <t>Eastwey</t>
        </is>
      </c>
      <c r="C543" s="37" t="inlineStr">
        <is>
          <t>OPEN</t>
        </is>
      </c>
      <c r="D543" s="37" t="n">
        <v>36</v>
      </c>
      <c r="E543" s="37" t="inlineStr">
        <is>
          <t>OCCUPIED</t>
        </is>
      </c>
      <c r="F543" s="37" t="inlineStr">
        <is>
          <t>WL-01012</t>
        </is>
      </c>
      <c r="G543" s="37" t="inlineStr">
        <is>
          <t>Janet Jones</t>
        </is>
      </c>
      <c r="H543" s="37" t="n">
        <v>23</v>
      </c>
    </row>
    <row r="544">
      <c r="A544" s="37" t="inlineStr">
        <is>
          <t>EW-0219</t>
        </is>
      </c>
      <c r="B544" s="37" t="inlineStr">
        <is>
          <t>Eastwey</t>
        </is>
      </c>
      <c r="C544" s="37" t="inlineStr">
        <is>
          <t>OPEN</t>
        </is>
      </c>
      <c r="D544" s="37" t="n">
        <v>70</v>
      </c>
      <c r="E544" s="37" t="inlineStr">
        <is>
          <t>OCCUPIED</t>
        </is>
      </c>
      <c r="F544" s="37" t="inlineStr">
        <is>
          <t>WL-02243</t>
        </is>
      </c>
      <c r="G544" s="37" t="inlineStr">
        <is>
          <t>Andrew Miller</t>
        </is>
      </c>
      <c r="H544" s="37" t="n">
        <v>21.3</v>
      </c>
    </row>
    <row r="545">
      <c r="A545" s="37" t="inlineStr">
        <is>
          <t>EW-0220</t>
        </is>
      </c>
      <c r="B545" s="37" t="inlineStr">
        <is>
          <t>Eastwey</t>
        </is>
      </c>
      <c r="C545" s="37" t="inlineStr">
        <is>
          <t>OPEN</t>
        </is>
      </c>
      <c r="D545" s="37" t="n">
        <v>40</v>
      </c>
      <c r="E545" s="37" t="inlineStr">
        <is>
          <t>OCCUPIED</t>
        </is>
      </c>
      <c r="F545" s="37" t="inlineStr">
        <is>
          <t>WL-01203</t>
        </is>
      </c>
      <c r="G545" s="37" t="inlineStr">
        <is>
          <t>Tracy Conrad</t>
        </is>
      </c>
      <c r="H545" s="37" t="n">
        <v>22.1</v>
      </c>
    </row>
    <row r="546">
      <c r="A546" s="37" t="inlineStr">
        <is>
          <t>EW-0221</t>
        </is>
      </c>
      <c r="B546" s="37" t="inlineStr">
        <is>
          <t>Eastwey</t>
        </is>
      </c>
      <c r="C546" s="37" t="inlineStr">
        <is>
          <t>OPEN</t>
        </is>
      </c>
      <c r="D546" s="37" t="n">
        <v>28</v>
      </c>
      <c r="E546" s="37" t="inlineStr">
        <is>
          <t>OCCUPIED</t>
        </is>
      </c>
      <c r="F546" s="37" t="inlineStr">
        <is>
          <t>WL-02645</t>
        </is>
      </c>
      <c r="G546" s="37" t="inlineStr">
        <is>
          <t>Rose Gonzalez</t>
        </is>
      </c>
      <c r="H546" s="37" t="n">
        <v>57.1</v>
      </c>
    </row>
    <row r="547">
      <c r="A547" s="37" t="inlineStr">
        <is>
          <t>EW-0222</t>
        </is>
      </c>
      <c r="B547" s="37" t="inlineStr">
        <is>
          <t>Eastwey</t>
        </is>
      </c>
      <c r="C547" s="37" t="inlineStr">
        <is>
          <t>OPEN</t>
        </is>
      </c>
      <c r="D547" s="37" t="n">
        <v>24</v>
      </c>
      <c r="E547" s="37" t="inlineStr">
        <is>
          <t>OCCUPIED</t>
        </is>
      </c>
      <c r="F547" s="37" t="inlineStr">
        <is>
          <t>WL-02910</t>
        </is>
      </c>
      <c r="G547" s="37" t="inlineStr">
        <is>
          <t>David Taylor</t>
        </is>
      </c>
      <c r="H547" s="37" t="n">
        <v>29.3</v>
      </c>
    </row>
    <row r="548">
      <c r="A548" s="37" t="inlineStr">
        <is>
          <t>EW-0223</t>
        </is>
      </c>
      <c r="B548" s="37" t="inlineStr">
        <is>
          <t>Eastwey</t>
        </is>
      </c>
      <c r="C548" s="37" t="inlineStr">
        <is>
          <t>OPEN</t>
        </is>
      </c>
      <c r="D548" s="37" t="n">
        <v>36</v>
      </c>
      <c r="E548" s="37" t="inlineStr">
        <is>
          <t>OCCUPIED</t>
        </is>
      </c>
      <c r="F548" s="37" t="inlineStr">
        <is>
          <t>WL-01945</t>
        </is>
      </c>
      <c r="G548" s="37" t="inlineStr">
        <is>
          <t>Jacob Bonilla</t>
        </is>
      </c>
      <c r="H548" s="37" t="n">
        <v>19</v>
      </c>
    </row>
    <row r="549">
      <c r="A549" s="37" t="inlineStr">
        <is>
          <t>EW-0224</t>
        </is>
      </c>
      <c r="B549" s="37" t="inlineStr">
        <is>
          <t>Eastwey</t>
        </is>
      </c>
      <c r="C549" s="37" t="inlineStr">
        <is>
          <t>OPEN</t>
        </is>
      </c>
      <c r="D549" s="37" t="n">
        <v>24</v>
      </c>
      <c r="E549" s="37" t="inlineStr">
        <is>
          <t>OCCUPIED</t>
        </is>
      </c>
      <c r="F549" s="37" t="inlineStr">
        <is>
          <t>WL-01127</t>
        </is>
      </c>
      <c r="G549" s="37" t="inlineStr">
        <is>
          <t>Thomas Hawkins</t>
        </is>
      </c>
      <c r="H549" s="37" t="n">
        <v>49.6</v>
      </c>
    </row>
    <row r="550">
      <c r="A550" s="37" t="inlineStr">
        <is>
          <t>EW-0301</t>
        </is>
      </c>
      <c r="B550" s="37" t="inlineStr">
        <is>
          <t>Eastwey</t>
        </is>
      </c>
      <c r="C550" s="37" t="inlineStr">
        <is>
          <t>OPEN</t>
        </is>
      </c>
      <c r="D550" s="37" t="n">
        <v>28</v>
      </c>
      <c r="E550" s="37" t="inlineStr">
        <is>
          <t>RESERVED</t>
        </is>
      </c>
    </row>
    <row r="551">
      <c r="A551" s="37" t="inlineStr">
        <is>
          <t>EW-0302</t>
        </is>
      </c>
      <c r="B551" s="37" t="inlineStr">
        <is>
          <t>Eastwey</t>
        </is>
      </c>
      <c r="C551" s="37" t="inlineStr">
        <is>
          <t>OPEN</t>
        </is>
      </c>
      <c r="D551" s="37" t="n">
        <v>40</v>
      </c>
      <c r="E551" s="37" t="inlineStr">
        <is>
          <t>OCCUPIED</t>
        </is>
      </c>
      <c r="F551" s="37" t="inlineStr">
        <is>
          <t>WL-01910</t>
        </is>
      </c>
      <c r="G551" s="37" t="inlineStr">
        <is>
          <t>Charles Gates</t>
        </is>
      </c>
      <c r="H551" s="37" t="n">
        <v>49.2</v>
      </c>
    </row>
    <row r="552">
      <c r="A552" s="37" t="inlineStr">
        <is>
          <t>EW-0303</t>
        </is>
      </c>
      <c r="B552" s="37" t="inlineStr">
        <is>
          <t>Eastwey</t>
        </is>
      </c>
      <c r="C552" s="37" t="inlineStr">
        <is>
          <t>OPEN</t>
        </is>
      </c>
      <c r="D552" s="37" t="n">
        <v>40</v>
      </c>
      <c r="E552" s="37" t="inlineStr">
        <is>
          <t>OCCUPIED</t>
        </is>
      </c>
      <c r="F552" s="37" t="inlineStr">
        <is>
          <t>WL-01094</t>
        </is>
      </c>
      <c r="G552" s="37" t="inlineStr">
        <is>
          <t>Denise Jenkins</t>
        </is>
      </c>
      <c r="H552" s="37" t="n">
        <v>29.4</v>
      </c>
    </row>
    <row r="553">
      <c r="A553" s="37" t="inlineStr">
        <is>
          <t>EW-0304</t>
        </is>
      </c>
      <c r="B553" s="37" t="inlineStr">
        <is>
          <t>Eastwey</t>
        </is>
      </c>
      <c r="C553" s="37" t="inlineStr">
        <is>
          <t>OPEN</t>
        </is>
      </c>
      <c r="D553" s="37" t="n">
        <v>36</v>
      </c>
      <c r="E553" s="37" t="inlineStr">
        <is>
          <t>OCCUPIED</t>
        </is>
      </c>
      <c r="F553" s="37" t="inlineStr">
        <is>
          <t>WL-03721</t>
        </is>
      </c>
      <c r="G553" s="37" t="inlineStr">
        <is>
          <t>Ann Vaughn</t>
        </is>
      </c>
      <c r="H553" s="37" t="n">
        <v>39.1</v>
      </c>
    </row>
    <row r="554">
      <c r="A554" s="37" t="inlineStr">
        <is>
          <t>EW-0305</t>
        </is>
      </c>
      <c r="B554" s="37" t="inlineStr">
        <is>
          <t>Eastwey</t>
        </is>
      </c>
      <c r="C554" s="37" t="inlineStr">
        <is>
          <t>OPEN</t>
        </is>
      </c>
      <c r="D554" s="37" t="n">
        <v>40</v>
      </c>
      <c r="E554" s="37" t="inlineStr">
        <is>
          <t>OCCUPIED</t>
        </is>
      </c>
      <c r="F554" s="37" t="inlineStr">
        <is>
          <t>WL-02577</t>
        </is>
      </c>
      <c r="G554" s="37" t="inlineStr">
        <is>
          <t>Aaron Higgins</t>
        </is>
      </c>
      <c r="H554" s="37" t="n">
        <v>61.9</v>
      </c>
    </row>
    <row r="555">
      <c r="A555" s="37" t="inlineStr">
        <is>
          <t>EW-0306</t>
        </is>
      </c>
      <c r="B555" s="37" t="inlineStr">
        <is>
          <t>Eastwey</t>
        </is>
      </c>
      <c r="C555" s="37" t="inlineStr">
        <is>
          <t>OPEN</t>
        </is>
      </c>
      <c r="D555" s="37" t="n">
        <v>50</v>
      </c>
      <c r="E555" s="37" t="inlineStr">
        <is>
          <t>OCCUPIED</t>
        </is>
      </c>
      <c r="F555" s="37" t="inlineStr">
        <is>
          <t>WL-01860</t>
        </is>
      </c>
      <c r="G555" s="37" t="inlineStr">
        <is>
          <t>Justin Brown</t>
        </is>
      </c>
      <c r="H555" s="37" t="n">
        <v>21</v>
      </c>
    </row>
    <row r="556">
      <c r="A556" s="37" t="inlineStr">
        <is>
          <t>EW-0307</t>
        </is>
      </c>
      <c r="B556" s="37" t="inlineStr">
        <is>
          <t>Eastwey</t>
        </is>
      </c>
      <c r="C556" s="37" t="inlineStr">
        <is>
          <t>OPEN</t>
        </is>
      </c>
      <c r="D556" s="37" t="n">
        <v>70</v>
      </c>
      <c r="E556" s="37" t="inlineStr">
        <is>
          <t>OCCUPIED</t>
        </is>
      </c>
      <c r="F556" s="37" t="inlineStr">
        <is>
          <t>WL-01183</t>
        </is>
      </c>
      <c r="G556" s="37" t="inlineStr">
        <is>
          <t>Shelley Tucker</t>
        </is>
      </c>
      <c r="H556" s="37" t="n">
        <v>19.3</v>
      </c>
    </row>
    <row r="557">
      <c r="A557" s="37" t="inlineStr">
        <is>
          <t>EW-0308</t>
        </is>
      </c>
      <c r="B557" s="37" t="inlineStr">
        <is>
          <t>Eastwey</t>
        </is>
      </c>
      <c r="C557" s="37" t="inlineStr">
        <is>
          <t>OPEN</t>
        </is>
      </c>
      <c r="D557" s="37" t="n">
        <v>28</v>
      </c>
      <c r="E557" s="37" t="inlineStr">
        <is>
          <t>OCCUPIED</t>
        </is>
      </c>
      <c r="F557" s="37" t="inlineStr">
        <is>
          <t>WL-02107</t>
        </is>
      </c>
      <c r="G557" s="37" t="inlineStr">
        <is>
          <t>Brittany Baldwin</t>
        </is>
      </c>
      <c r="H557" s="37" t="n">
        <v>26.7</v>
      </c>
    </row>
    <row r="558">
      <c r="A558" s="37" t="inlineStr">
        <is>
          <t>EW-0309</t>
        </is>
      </c>
      <c r="B558" s="37" t="inlineStr">
        <is>
          <t>Eastwey</t>
        </is>
      </c>
      <c r="C558" s="37" t="inlineStr">
        <is>
          <t>OPEN</t>
        </is>
      </c>
      <c r="D558" s="37" t="n">
        <v>50</v>
      </c>
      <c r="E558" s="37" t="inlineStr">
        <is>
          <t>OCCUPIED</t>
        </is>
      </c>
      <c r="F558" s="37" t="inlineStr">
        <is>
          <t>WL-01963</t>
        </is>
      </c>
      <c r="G558" s="37" t="inlineStr">
        <is>
          <t>Erik Beck</t>
        </is>
      </c>
      <c r="H558" s="37" t="n">
        <v>43.4</v>
      </c>
    </row>
    <row r="559">
      <c r="A559" s="37" t="inlineStr">
        <is>
          <t>EW-0310</t>
        </is>
      </c>
      <c r="B559" s="37" t="inlineStr">
        <is>
          <t>Eastwey</t>
        </is>
      </c>
      <c r="C559" s="37" t="inlineStr">
        <is>
          <t>OPEN</t>
        </is>
      </c>
      <c r="D559" s="37" t="n">
        <v>24</v>
      </c>
      <c r="E559" s="37" t="inlineStr">
        <is>
          <t>VACANT</t>
        </is>
      </c>
    </row>
    <row r="560">
      <c r="A560" s="37" t="inlineStr">
        <is>
          <t>EW-0311</t>
        </is>
      </c>
      <c r="B560" s="37" t="inlineStr">
        <is>
          <t>Eastwey</t>
        </is>
      </c>
      <c r="C560" s="37" t="inlineStr">
        <is>
          <t>OPEN</t>
        </is>
      </c>
      <c r="D560" s="37" t="n">
        <v>32</v>
      </c>
      <c r="E560" s="37" t="inlineStr">
        <is>
          <t>OCCUPIED</t>
        </is>
      </c>
      <c r="F560" s="37" t="inlineStr">
        <is>
          <t>WL-02248</t>
        </is>
      </c>
      <c r="G560" s="37" t="inlineStr">
        <is>
          <t>Devon Griffin</t>
        </is>
      </c>
      <c r="H560" s="37" t="n">
        <v>22.3</v>
      </c>
    </row>
    <row r="561">
      <c r="A561" s="37" t="inlineStr">
        <is>
          <t>EW-0312</t>
        </is>
      </c>
      <c r="B561" s="37" t="inlineStr">
        <is>
          <t>Eastwey</t>
        </is>
      </c>
      <c r="C561" s="37" t="inlineStr">
        <is>
          <t>OPEN</t>
        </is>
      </c>
      <c r="D561" s="37" t="n">
        <v>28</v>
      </c>
      <c r="E561" s="37" t="inlineStr">
        <is>
          <t>OCCUPIED</t>
        </is>
      </c>
      <c r="F561" s="37" t="inlineStr">
        <is>
          <t>WL-03809</t>
        </is>
      </c>
      <c r="G561" s="37" t="inlineStr">
        <is>
          <t>Richard Mcguire</t>
        </is>
      </c>
      <c r="H561" s="37" t="n">
        <v>30.1</v>
      </c>
    </row>
    <row r="562">
      <c r="A562" s="37" t="inlineStr">
        <is>
          <t>EW-0313</t>
        </is>
      </c>
      <c r="B562" s="37" t="inlineStr">
        <is>
          <t>Eastwey</t>
        </is>
      </c>
      <c r="C562" s="37" t="inlineStr">
        <is>
          <t>OPEN</t>
        </is>
      </c>
      <c r="D562" s="37" t="n">
        <v>50</v>
      </c>
      <c r="E562" s="37" t="inlineStr">
        <is>
          <t>OCCUPIED</t>
        </is>
      </c>
      <c r="F562" s="37" t="inlineStr">
        <is>
          <t>WL-01429</t>
        </is>
      </c>
      <c r="G562" s="37" t="inlineStr">
        <is>
          <t>Teresa Evans</t>
        </is>
      </c>
      <c r="H562" s="37" t="n">
        <v>21.8</v>
      </c>
    </row>
    <row r="563">
      <c r="A563" s="37" t="inlineStr">
        <is>
          <t>EW-0314</t>
        </is>
      </c>
      <c r="B563" s="37" t="inlineStr">
        <is>
          <t>Eastwey</t>
        </is>
      </c>
      <c r="C563" s="37" t="inlineStr">
        <is>
          <t>OPEN</t>
        </is>
      </c>
      <c r="D563" s="37" t="n">
        <v>32</v>
      </c>
      <c r="E563" s="37" t="inlineStr">
        <is>
          <t>OCCUPIED</t>
        </is>
      </c>
      <c r="F563" s="37" t="inlineStr">
        <is>
          <t>WL-01716</t>
        </is>
      </c>
      <c r="G563" s="37" t="inlineStr">
        <is>
          <t>Christina Olsen</t>
        </is>
      </c>
      <c r="H563" s="37" t="n">
        <v>32.5</v>
      </c>
    </row>
    <row r="564">
      <c r="A564" s="37" t="inlineStr">
        <is>
          <t>EW-0315</t>
        </is>
      </c>
      <c r="B564" s="37" t="inlineStr">
        <is>
          <t>Eastwey</t>
        </is>
      </c>
      <c r="C564" s="37" t="inlineStr">
        <is>
          <t>OPEN</t>
        </is>
      </c>
      <c r="D564" s="37" t="n">
        <v>24</v>
      </c>
      <c r="E564" s="37" t="inlineStr">
        <is>
          <t>OCCUPIED</t>
        </is>
      </c>
      <c r="F564" s="37" t="inlineStr">
        <is>
          <t>WL-01385</t>
        </is>
      </c>
      <c r="G564" s="37" t="inlineStr">
        <is>
          <t>Amanda Morrison</t>
        </is>
      </c>
      <c r="H564" s="37" t="n">
        <v>43.2</v>
      </c>
    </row>
    <row r="565">
      <c r="A565" s="37" t="inlineStr">
        <is>
          <t>EW-0316</t>
        </is>
      </c>
      <c r="B565" s="37" t="inlineStr">
        <is>
          <t>Eastwey</t>
        </is>
      </c>
      <c r="C565" s="37" t="inlineStr">
        <is>
          <t>OPEN</t>
        </is>
      </c>
      <c r="D565" s="37" t="n">
        <v>36</v>
      </c>
      <c r="E565" s="37" t="inlineStr">
        <is>
          <t>OCCUPIED</t>
        </is>
      </c>
      <c r="F565" s="37" t="inlineStr">
        <is>
          <t>WL-02940</t>
        </is>
      </c>
      <c r="G565" s="37" t="inlineStr">
        <is>
          <t>Leah Carter</t>
        </is>
      </c>
      <c r="H565" s="37" t="n">
        <v>60.1</v>
      </c>
    </row>
    <row r="566">
      <c r="A566" s="37" t="inlineStr">
        <is>
          <t>EW-0317</t>
        </is>
      </c>
      <c r="B566" s="37" t="inlineStr">
        <is>
          <t>Eastwey</t>
        </is>
      </c>
      <c r="C566" s="37" t="inlineStr">
        <is>
          <t>OPEN</t>
        </is>
      </c>
      <c r="D566" s="37" t="n">
        <v>36</v>
      </c>
      <c r="E566" s="37" t="inlineStr">
        <is>
          <t>OCCUPIED</t>
        </is>
      </c>
      <c r="F566" s="37" t="inlineStr">
        <is>
          <t>WL-02017</t>
        </is>
      </c>
      <c r="G566" s="37" t="inlineStr">
        <is>
          <t>Gary Horton</t>
        </is>
      </c>
      <c r="H566" s="37" t="n">
        <v>44.2</v>
      </c>
    </row>
    <row r="567">
      <c r="A567" s="37" t="inlineStr">
        <is>
          <t>EW-0318</t>
        </is>
      </c>
      <c r="B567" s="37" t="inlineStr">
        <is>
          <t>Eastwey</t>
        </is>
      </c>
      <c r="C567" s="37" t="inlineStr">
        <is>
          <t>OPEN</t>
        </is>
      </c>
      <c r="D567" s="37" t="n">
        <v>32</v>
      </c>
      <c r="E567" s="37" t="inlineStr">
        <is>
          <t>OCCUPIED</t>
        </is>
      </c>
      <c r="F567" s="37" t="inlineStr">
        <is>
          <t>WL-03162</t>
        </is>
      </c>
      <c r="G567" s="37" t="inlineStr">
        <is>
          <t>Sarah Edwards</t>
        </is>
      </c>
      <c r="H567" s="37" t="n">
        <v>37</v>
      </c>
    </row>
    <row r="568">
      <c r="A568" s="37" t="inlineStr">
        <is>
          <t>EW-0319</t>
        </is>
      </c>
      <c r="B568" s="37" t="inlineStr">
        <is>
          <t>Eastwey</t>
        </is>
      </c>
      <c r="C568" s="37" t="inlineStr">
        <is>
          <t>OPEN</t>
        </is>
      </c>
      <c r="D568" s="37" t="n">
        <v>70</v>
      </c>
      <c r="E568" s="37" t="inlineStr">
        <is>
          <t>OCCUPIED</t>
        </is>
      </c>
      <c r="F568" s="37" t="inlineStr">
        <is>
          <t>WL-02697</t>
        </is>
      </c>
      <c r="G568" s="37" t="inlineStr">
        <is>
          <t>Wendy Green</t>
        </is>
      </c>
      <c r="H568" s="37" t="n">
        <v>56.8</v>
      </c>
    </row>
    <row r="569">
      <c r="A569" s="37" t="inlineStr">
        <is>
          <t>EW-0320</t>
        </is>
      </c>
      <c r="B569" s="37" t="inlineStr">
        <is>
          <t>Eastwey</t>
        </is>
      </c>
      <c r="C569" s="37" t="inlineStr">
        <is>
          <t>OPEN</t>
        </is>
      </c>
      <c r="D569" s="37" t="n">
        <v>60</v>
      </c>
      <c r="E569" s="37" t="inlineStr">
        <is>
          <t>VACANT</t>
        </is>
      </c>
    </row>
    <row r="570">
      <c r="A570" s="37" t="inlineStr">
        <is>
          <t>EW-0321</t>
        </is>
      </c>
      <c r="B570" s="37" t="inlineStr">
        <is>
          <t>Eastwey</t>
        </is>
      </c>
      <c r="C570" s="37" t="inlineStr">
        <is>
          <t>OPEN</t>
        </is>
      </c>
      <c r="D570" s="37" t="n">
        <v>70</v>
      </c>
      <c r="E570" s="37" t="inlineStr">
        <is>
          <t>OCCUPIED</t>
        </is>
      </c>
      <c r="F570" s="37" t="inlineStr">
        <is>
          <t>WL-02660</t>
        </is>
      </c>
      <c r="G570" s="37" t="inlineStr">
        <is>
          <t>Bridget Moore</t>
        </is>
      </c>
      <c r="H570" s="37" t="n">
        <v>18.7</v>
      </c>
    </row>
    <row r="571">
      <c r="A571" s="37" t="inlineStr">
        <is>
          <t>EW-0322</t>
        </is>
      </c>
      <c r="B571" s="37" t="inlineStr">
        <is>
          <t>Eastwey</t>
        </is>
      </c>
      <c r="C571" s="37" t="inlineStr">
        <is>
          <t>OPEN</t>
        </is>
      </c>
      <c r="D571" s="37" t="n">
        <v>28</v>
      </c>
      <c r="E571" s="37" t="inlineStr">
        <is>
          <t>OCCUPIED</t>
        </is>
      </c>
      <c r="F571" s="37" t="inlineStr">
        <is>
          <t>WL-02010</t>
        </is>
      </c>
      <c r="G571" s="37" t="inlineStr">
        <is>
          <t>Anthony Thompson</t>
        </is>
      </c>
      <c r="H571" s="37" t="n">
        <v>56.7</v>
      </c>
    </row>
    <row r="572">
      <c r="A572" s="37" t="inlineStr">
        <is>
          <t>EW-0323</t>
        </is>
      </c>
      <c r="B572" s="37" t="inlineStr">
        <is>
          <t>Eastwey</t>
        </is>
      </c>
      <c r="C572" s="37" t="inlineStr">
        <is>
          <t>OPEN</t>
        </is>
      </c>
      <c r="D572" s="37" t="n">
        <v>36</v>
      </c>
      <c r="E572" s="37" t="inlineStr">
        <is>
          <t>OCCUPIED</t>
        </is>
      </c>
      <c r="F572" s="37" t="inlineStr">
        <is>
          <t>WL-02685</t>
        </is>
      </c>
      <c r="G572" s="37" t="inlineStr">
        <is>
          <t>Stephanie Hill</t>
        </is>
      </c>
      <c r="H572" s="37" t="n">
        <v>50.2</v>
      </c>
    </row>
    <row r="573">
      <c r="A573" s="37" t="inlineStr">
        <is>
          <t>EW-0324</t>
        </is>
      </c>
      <c r="B573" s="37" t="inlineStr">
        <is>
          <t>Eastwey</t>
        </is>
      </c>
      <c r="C573" s="37" t="inlineStr">
        <is>
          <t>OPEN</t>
        </is>
      </c>
      <c r="D573" s="37" t="n">
        <v>80</v>
      </c>
      <c r="E573" s="37" t="inlineStr">
        <is>
          <t>OCCUPIED</t>
        </is>
      </c>
      <c r="F573" s="37" t="inlineStr">
        <is>
          <t>WL-02459</t>
        </is>
      </c>
      <c r="G573" s="37" t="inlineStr">
        <is>
          <t>Kimberly Smith</t>
        </is>
      </c>
      <c r="H573" s="37" t="n">
        <v>19.3</v>
      </c>
    </row>
    <row r="574">
      <c r="A574" s="37" t="inlineStr">
        <is>
          <t>EW-0401</t>
        </is>
      </c>
      <c r="B574" s="37" t="inlineStr">
        <is>
          <t>Eastwey</t>
        </is>
      </c>
      <c r="C574" s="37" t="inlineStr">
        <is>
          <t>OPEN</t>
        </is>
      </c>
      <c r="D574" s="37" t="n">
        <v>28</v>
      </c>
      <c r="E574" s="37" t="inlineStr">
        <is>
          <t>OCCUPIED</t>
        </is>
      </c>
      <c r="F574" s="37" t="inlineStr">
        <is>
          <t>WL-02377</t>
        </is>
      </c>
      <c r="G574" s="37" t="inlineStr">
        <is>
          <t>Tammy Patterson</t>
        </is>
      </c>
      <c r="H574" s="37" t="n">
        <v>50.5</v>
      </c>
    </row>
    <row r="575">
      <c r="A575" s="37" t="inlineStr">
        <is>
          <t>EW-0402</t>
        </is>
      </c>
      <c r="B575" s="37" t="inlineStr">
        <is>
          <t>Eastwey</t>
        </is>
      </c>
      <c r="C575" s="37" t="inlineStr">
        <is>
          <t>OPEN</t>
        </is>
      </c>
      <c r="D575" s="37" t="n">
        <v>40</v>
      </c>
      <c r="E575" s="37" t="inlineStr">
        <is>
          <t>OCCUPIED</t>
        </is>
      </c>
      <c r="F575" s="37" t="inlineStr">
        <is>
          <t>WL-01741</t>
        </is>
      </c>
      <c r="G575" s="37" t="inlineStr">
        <is>
          <t>Lisa Burton</t>
        </is>
      </c>
      <c r="H575" s="37" t="n">
        <v>31.6</v>
      </c>
    </row>
    <row r="576">
      <c r="A576" s="37" t="inlineStr">
        <is>
          <t>EW-0403</t>
        </is>
      </c>
      <c r="B576" s="37" t="inlineStr">
        <is>
          <t>Eastwey</t>
        </is>
      </c>
      <c r="C576" s="37" t="inlineStr">
        <is>
          <t>OPEN</t>
        </is>
      </c>
      <c r="D576" s="37" t="n">
        <v>50</v>
      </c>
      <c r="E576" s="37" t="inlineStr">
        <is>
          <t>OCCUPIED</t>
        </is>
      </c>
      <c r="F576" s="37" t="inlineStr">
        <is>
          <t>WL-01209</t>
        </is>
      </c>
      <c r="G576" s="37" t="inlineStr">
        <is>
          <t>Amy Luna</t>
        </is>
      </c>
      <c r="H576" s="37" t="n">
        <v>60</v>
      </c>
    </row>
    <row r="577">
      <c r="A577" s="37" t="inlineStr">
        <is>
          <t>EW-0404</t>
        </is>
      </c>
      <c r="B577" s="37" t="inlineStr">
        <is>
          <t>Eastwey</t>
        </is>
      </c>
      <c r="C577" s="37" t="inlineStr">
        <is>
          <t>OPEN</t>
        </is>
      </c>
      <c r="D577" s="37" t="n">
        <v>70</v>
      </c>
      <c r="E577" s="37" t="inlineStr">
        <is>
          <t>OCCUPIED</t>
        </is>
      </c>
      <c r="F577" s="37" t="inlineStr">
        <is>
          <t>WL-01370</t>
        </is>
      </c>
      <c r="G577" s="37" t="inlineStr">
        <is>
          <t>James Graham</t>
        </is>
      </c>
      <c r="H577" s="37" t="n">
        <v>31.8</v>
      </c>
    </row>
    <row r="578">
      <c r="A578" s="37" t="inlineStr">
        <is>
          <t>EW-0405</t>
        </is>
      </c>
      <c r="B578" s="37" t="inlineStr">
        <is>
          <t>Eastwey</t>
        </is>
      </c>
      <c r="C578" s="37" t="inlineStr">
        <is>
          <t>OPEN</t>
        </is>
      </c>
      <c r="D578" s="37" t="n">
        <v>24</v>
      </c>
      <c r="E578" s="37" t="inlineStr">
        <is>
          <t>OCCUPIED</t>
        </is>
      </c>
      <c r="F578" s="37" t="inlineStr">
        <is>
          <t>WL-02480</t>
        </is>
      </c>
      <c r="G578" s="37" t="inlineStr">
        <is>
          <t>Rachel Edwards</t>
        </is>
      </c>
      <c r="H578" s="37" t="n">
        <v>46.9</v>
      </c>
    </row>
    <row r="579">
      <c r="A579" s="37" t="inlineStr">
        <is>
          <t>EW-0406</t>
        </is>
      </c>
      <c r="B579" s="37" t="inlineStr">
        <is>
          <t>Eastwey</t>
        </is>
      </c>
      <c r="C579" s="37" t="inlineStr">
        <is>
          <t>OPEN</t>
        </is>
      </c>
      <c r="D579" s="37" t="n">
        <v>40</v>
      </c>
      <c r="E579" s="37" t="inlineStr">
        <is>
          <t>OCCUPIED</t>
        </is>
      </c>
      <c r="F579" s="37" t="inlineStr">
        <is>
          <t>WL-02810</t>
        </is>
      </c>
      <c r="G579" s="37" t="inlineStr">
        <is>
          <t>Steven Morgan</t>
        </is>
      </c>
      <c r="H579" s="37" t="n">
        <v>29.4</v>
      </c>
    </row>
    <row r="580">
      <c r="A580" s="37" t="inlineStr">
        <is>
          <t>EW-0407</t>
        </is>
      </c>
      <c r="B580" s="37" t="inlineStr">
        <is>
          <t>Eastwey</t>
        </is>
      </c>
      <c r="C580" s="37" t="inlineStr">
        <is>
          <t>OPEN</t>
        </is>
      </c>
      <c r="D580" s="37" t="n">
        <v>45</v>
      </c>
      <c r="E580" s="37" t="inlineStr">
        <is>
          <t>OCCUPIED</t>
        </is>
      </c>
      <c r="F580" s="37" t="inlineStr">
        <is>
          <t>WL-02314</t>
        </is>
      </c>
      <c r="G580" s="37" t="inlineStr">
        <is>
          <t>David Silva</t>
        </is>
      </c>
      <c r="H580" s="37" t="n">
        <v>31.1</v>
      </c>
    </row>
    <row r="581">
      <c r="A581" s="37" t="inlineStr">
        <is>
          <t>EW-0408</t>
        </is>
      </c>
      <c r="B581" s="37" t="inlineStr">
        <is>
          <t>Eastwey</t>
        </is>
      </c>
      <c r="C581" s="37" t="inlineStr">
        <is>
          <t>OPEN</t>
        </is>
      </c>
      <c r="D581" s="37" t="n">
        <v>28</v>
      </c>
      <c r="E581" s="37" t="inlineStr">
        <is>
          <t>OCCUPIED</t>
        </is>
      </c>
      <c r="F581" s="37" t="inlineStr">
        <is>
          <t>WL-02705</t>
        </is>
      </c>
      <c r="G581" s="37" t="inlineStr">
        <is>
          <t>Amy Smith</t>
        </is>
      </c>
      <c r="H581" s="37" t="n">
        <v>59.4</v>
      </c>
    </row>
    <row r="582">
      <c r="A582" s="37" t="inlineStr">
        <is>
          <t>EW-0409</t>
        </is>
      </c>
      <c r="B582" s="37" t="inlineStr">
        <is>
          <t>Eastwey</t>
        </is>
      </c>
      <c r="C582" s="37" t="inlineStr">
        <is>
          <t>OPEN</t>
        </is>
      </c>
      <c r="D582" s="37" t="n">
        <v>70</v>
      </c>
      <c r="E582" s="37" t="inlineStr">
        <is>
          <t>OCCUPIED</t>
        </is>
      </c>
      <c r="F582" s="37" t="inlineStr">
        <is>
          <t>WL-01264</t>
        </is>
      </c>
      <c r="G582" s="37" t="inlineStr">
        <is>
          <t>Jeffery Lewis</t>
        </is>
      </c>
      <c r="H582" s="37" t="n">
        <v>51.6</v>
      </c>
    </row>
    <row r="583">
      <c r="A583" s="37" t="inlineStr">
        <is>
          <t>EW-0410</t>
        </is>
      </c>
      <c r="B583" s="37" t="inlineStr">
        <is>
          <t>Eastwey</t>
        </is>
      </c>
      <c r="C583" s="37" t="inlineStr">
        <is>
          <t>OPEN</t>
        </is>
      </c>
      <c r="D583" s="37" t="n">
        <v>32</v>
      </c>
      <c r="E583" s="37" t="inlineStr">
        <is>
          <t>OCCUPIED</t>
        </is>
      </c>
      <c r="F583" s="37" t="inlineStr">
        <is>
          <t>WL-02449</t>
        </is>
      </c>
      <c r="G583" s="37" t="inlineStr">
        <is>
          <t>Herbert Johnson</t>
        </is>
      </c>
      <c r="H583" s="37" t="n">
        <v>44.8</v>
      </c>
    </row>
    <row r="584">
      <c r="A584" s="37" t="inlineStr">
        <is>
          <t>EW-0411</t>
        </is>
      </c>
      <c r="B584" s="37" t="inlineStr">
        <is>
          <t>Eastwey</t>
        </is>
      </c>
      <c r="C584" s="37" t="inlineStr">
        <is>
          <t>OPEN</t>
        </is>
      </c>
      <c r="D584" s="37" t="n">
        <v>70</v>
      </c>
      <c r="E584" s="37" t="inlineStr">
        <is>
          <t>OCCUPIED</t>
        </is>
      </c>
      <c r="F584" s="37" t="inlineStr">
        <is>
          <t>WL-01489</t>
        </is>
      </c>
      <c r="G584" s="37" t="inlineStr">
        <is>
          <t>Donna Thomas</t>
        </is>
      </c>
      <c r="H584" s="37" t="n">
        <v>26.8</v>
      </c>
    </row>
    <row r="585">
      <c r="A585" s="37" t="inlineStr">
        <is>
          <t>EW-0412</t>
        </is>
      </c>
      <c r="B585" s="37" t="inlineStr">
        <is>
          <t>Eastwey</t>
        </is>
      </c>
      <c r="C585" s="37" t="inlineStr">
        <is>
          <t>OPEN</t>
        </is>
      </c>
      <c r="D585" s="37" t="n">
        <v>70</v>
      </c>
      <c r="E585" s="37" t="inlineStr">
        <is>
          <t>OCCUPIED</t>
        </is>
      </c>
      <c r="F585" s="37" t="inlineStr">
        <is>
          <t>WL-01854</t>
        </is>
      </c>
      <c r="G585" s="37" t="inlineStr">
        <is>
          <t>Vincent Simon</t>
        </is>
      </c>
      <c r="H585" s="37" t="n">
        <v>42.5</v>
      </c>
    </row>
    <row r="586">
      <c r="A586" s="37" t="inlineStr">
        <is>
          <t>EW-0413</t>
        </is>
      </c>
      <c r="B586" s="37" t="inlineStr">
        <is>
          <t>Eastwey</t>
        </is>
      </c>
      <c r="C586" s="37" t="inlineStr">
        <is>
          <t>OPEN</t>
        </is>
      </c>
      <c r="D586" s="37" t="n">
        <v>70</v>
      </c>
      <c r="E586" s="37" t="inlineStr">
        <is>
          <t>OCCUPIED</t>
        </is>
      </c>
      <c r="F586" s="37" t="inlineStr">
        <is>
          <t>WL-02169</t>
        </is>
      </c>
      <c r="G586" s="37" t="inlineStr">
        <is>
          <t>Maria Weber</t>
        </is>
      </c>
      <c r="H586" s="37" t="n">
        <v>58.8</v>
      </c>
    </row>
    <row r="587">
      <c r="A587" s="37" t="inlineStr">
        <is>
          <t>EW-0414</t>
        </is>
      </c>
      <c r="B587" s="37" t="inlineStr">
        <is>
          <t>Eastwey</t>
        </is>
      </c>
      <c r="C587" s="37" t="inlineStr">
        <is>
          <t>OPEN</t>
        </is>
      </c>
      <c r="D587" s="37" t="n">
        <v>40</v>
      </c>
      <c r="E587" s="37" t="inlineStr">
        <is>
          <t>OCCUPIED</t>
        </is>
      </c>
      <c r="F587" s="37" t="inlineStr">
        <is>
          <t>WL-02221</t>
        </is>
      </c>
      <c r="G587" s="37" t="inlineStr">
        <is>
          <t>Jason Howe</t>
        </is>
      </c>
      <c r="H587" s="37" t="n">
        <v>20.6</v>
      </c>
    </row>
    <row r="588">
      <c r="A588" s="37" t="inlineStr">
        <is>
          <t>EW-0415</t>
        </is>
      </c>
      <c r="B588" s="37" t="inlineStr">
        <is>
          <t>Eastwey</t>
        </is>
      </c>
      <c r="C588" s="37" t="inlineStr">
        <is>
          <t>OPEN</t>
        </is>
      </c>
      <c r="D588" s="37" t="n">
        <v>24</v>
      </c>
      <c r="E588" s="37" t="inlineStr">
        <is>
          <t>OCCUPIED</t>
        </is>
      </c>
      <c r="F588" s="37" t="inlineStr">
        <is>
          <t>WL-02536</t>
        </is>
      </c>
      <c r="G588" s="37" t="inlineStr">
        <is>
          <t>Christian Ellis</t>
        </is>
      </c>
      <c r="H588" s="37" t="n">
        <v>42.4</v>
      </c>
    </row>
    <row r="589">
      <c r="A589" s="37" t="inlineStr">
        <is>
          <t>EW-0416</t>
        </is>
      </c>
      <c r="B589" s="37" t="inlineStr">
        <is>
          <t>Eastwey</t>
        </is>
      </c>
      <c r="C589" s="37" t="inlineStr">
        <is>
          <t>OPEN</t>
        </is>
      </c>
      <c r="D589" s="37" t="n">
        <v>24</v>
      </c>
      <c r="E589" s="37" t="inlineStr">
        <is>
          <t>OCCUPIED</t>
        </is>
      </c>
      <c r="F589" s="37" t="inlineStr">
        <is>
          <t>WL-02988</t>
        </is>
      </c>
      <c r="G589" s="37" t="inlineStr">
        <is>
          <t>Jamie Roberts</t>
        </is>
      </c>
      <c r="H589" s="37" t="n">
        <v>33.7</v>
      </c>
    </row>
    <row r="590">
      <c r="A590" s="37" t="inlineStr">
        <is>
          <t>EW-0417</t>
        </is>
      </c>
      <c r="B590" s="37" t="inlineStr">
        <is>
          <t>Eastwey</t>
        </is>
      </c>
      <c r="C590" s="37" t="inlineStr">
        <is>
          <t>OPEN</t>
        </is>
      </c>
      <c r="D590" s="37" t="n">
        <v>28</v>
      </c>
      <c r="E590" s="37" t="inlineStr">
        <is>
          <t>OCCUPIED</t>
        </is>
      </c>
      <c r="F590" s="37" t="inlineStr">
        <is>
          <t>WL-01997</t>
        </is>
      </c>
      <c r="G590" s="37" t="inlineStr">
        <is>
          <t>Laura Avila</t>
        </is>
      </c>
      <c r="H590" s="37" t="n">
        <v>56.9</v>
      </c>
    </row>
    <row r="591">
      <c r="A591" s="37" t="inlineStr">
        <is>
          <t>EW-0418</t>
        </is>
      </c>
      <c r="B591" s="37" t="inlineStr">
        <is>
          <t>Eastwey</t>
        </is>
      </c>
      <c r="C591" s="37" t="inlineStr">
        <is>
          <t>OPEN</t>
        </is>
      </c>
      <c r="D591" s="37" t="n">
        <v>24</v>
      </c>
      <c r="E591" s="37" t="inlineStr">
        <is>
          <t>OCCUPIED</t>
        </is>
      </c>
      <c r="F591" s="37" t="inlineStr">
        <is>
          <t>WL-02772</t>
        </is>
      </c>
      <c r="G591" s="37" t="inlineStr">
        <is>
          <t>Sarah Chambers</t>
        </is>
      </c>
      <c r="H591" s="37" t="n">
        <v>58</v>
      </c>
    </row>
    <row r="592">
      <c r="A592" s="37" t="inlineStr">
        <is>
          <t>EW-0419</t>
        </is>
      </c>
      <c r="B592" s="37" t="inlineStr">
        <is>
          <t>Eastwey</t>
        </is>
      </c>
      <c r="C592" s="37" t="inlineStr">
        <is>
          <t>OPEN</t>
        </is>
      </c>
      <c r="D592" s="37" t="n">
        <v>45</v>
      </c>
      <c r="E592" s="37" t="inlineStr">
        <is>
          <t>OCCUPIED</t>
        </is>
      </c>
      <c r="F592" s="37" t="inlineStr">
        <is>
          <t>WL-03750</t>
        </is>
      </c>
      <c r="G592" s="37" t="inlineStr">
        <is>
          <t>Michael Phillips</t>
        </is>
      </c>
      <c r="H592" s="37" t="n">
        <v>36.5</v>
      </c>
    </row>
    <row r="593">
      <c r="A593" s="37" t="inlineStr">
        <is>
          <t>EW-0420</t>
        </is>
      </c>
      <c r="B593" s="37" t="inlineStr">
        <is>
          <t>Eastwey</t>
        </is>
      </c>
      <c r="C593" s="37" t="inlineStr">
        <is>
          <t>OPEN</t>
        </is>
      </c>
      <c r="D593" s="37" t="n">
        <v>32</v>
      </c>
      <c r="E593" s="37" t="inlineStr">
        <is>
          <t>OCCUPIED</t>
        </is>
      </c>
      <c r="F593" s="37" t="inlineStr">
        <is>
          <t>WL-03050</t>
        </is>
      </c>
      <c r="G593" s="37" t="inlineStr">
        <is>
          <t>Justin Pearson</t>
        </is>
      </c>
      <c r="H593" s="37" t="n">
        <v>21.8</v>
      </c>
    </row>
    <row r="594">
      <c r="A594" s="37" t="inlineStr">
        <is>
          <t>EW-0421</t>
        </is>
      </c>
      <c r="B594" s="37" t="inlineStr">
        <is>
          <t>Eastwey</t>
        </is>
      </c>
      <c r="C594" s="37" t="inlineStr">
        <is>
          <t>OPEN</t>
        </is>
      </c>
      <c r="D594" s="37" t="n">
        <v>36</v>
      </c>
      <c r="E594" s="37" t="inlineStr">
        <is>
          <t>OCCUPIED</t>
        </is>
      </c>
      <c r="F594" s="37" t="inlineStr">
        <is>
          <t>WL-01420</t>
        </is>
      </c>
      <c r="G594" s="37" t="inlineStr">
        <is>
          <t>Patricia Wilson</t>
        </is>
      </c>
      <c r="H594" s="37" t="n">
        <v>26.2</v>
      </c>
    </row>
    <row r="595">
      <c r="A595" s="37" t="inlineStr">
        <is>
          <t>EW-0422</t>
        </is>
      </c>
      <c r="B595" s="37" t="inlineStr">
        <is>
          <t>Eastwey</t>
        </is>
      </c>
      <c r="C595" s="37" t="inlineStr">
        <is>
          <t>OPEN</t>
        </is>
      </c>
      <c r="D595" s="37" t="n">
        <v>60</v>
      </c>
      <c r="E595" s="37" t="inlineStr">
        <is>
          <t>MAINTENANCE</t>
        </is>
      </c>
    </row>
    <row r="596">
      <c r="A596" s="37" t="inlineStr">
        <is>
          <t>EW-0423</t>
        </is>
      </c>
      <c r="B596" s="37" t="inlineStr">
        <is>
          <t>Eastwey</t>
        </is>
      </c>
      <c r="C596" s="37" t="inlineStr">
        <is>
          <t>OPEN</t>
        </is>
      </c>
      <c r="D596" s="37" t="n">
        <v>70</v>
      </c>
      <c r="E596" s="37" t="inlineStr">
        <is>
          <t>OCCUPIED</t>
        </is>
      </c>
      <c r="F596" s="37" t="inlineStr">
        <is>
          <t>WL-01906</t>
        </is>
      </c>
      <c r="G596" s="37" t="inlineStr">
        <is>
          <t>Jessica Flores</t>
        </is>
      </c>
      <c r="H596" s="37" t="n">
        <v>37.2</v>
      </c>
    </row>
    <row r="597">
      <c r="A597" s="37" t="inlineStr">
        <is>
          <t>EW-0424</t>
        </is>
      </c>
      <c r="B597" s="37" t="inlineStr">
        <is>
          <t>Eastwey</t>
        </is>
      </c>
      <c r="C597" s="37" t="inlineStr">
        <is>
          <t>OPEN</t>
        </is>
      </c>
      <c r="D597" s="37" t="n">
        <v>45</v>
      </c>
      <c r="E597" s="37" t="inlineStr">
        <is>
          <t>OCCUPIED</t>
        </is>
      </c>
      <c r="F597" s="37" t="inlineStr">
        <is>
          <t>WL-03790</t>
        </is>
      </c>
      <c r="G597" s="37" t="inlineStr">
        <is>
          <t>Bradley Walker</t>
        </is>
      </c>
      <c r="H597" s="37" t="n">
        <v>51.9</v>
      </c>
    </row>
    <row r="598">
      <c r="A598" s="37" t="inlineStr">
        <is>
          <t>EW-0501</t>
        </is>
      </c>
      <c r="B598" s="37" t="inlineStr">
        <is>
          <t>Eastwey</t>
        </is>
      </c>
      <c r="C598" s="37" t="inlineStr">
        <is>
          <t>OPEN</t>
        </is>
      </c>
      <c r="D598" s="37" t="n">
        <v>24</v>
      </c>
      <c r="E598" s="37" t="inlineStr">
        <is>
          <t>VACANT</t>
        </is>
      </c>
    </row>
    <row r="599">
      <c r="A599" s="37" t="inlineStr">
        <is>
          <t>EW-0502</t>
        </is>
      </c>
      <c r="B599" s="37" t="inlineStr">
        <is>
          <t>Eastwey</t>
        </is>
      </c>
      <c r="C599" s="37" t="inlineStr">
        <is>
          <t>OPEN</t>
        </is>
      </c>
      <c r="D599" s="37" t="n">
        <v>32</v>
      </c>
      <c r="E599" s="37" t="inlineStr">
        <is>
          <t>OCCUPIED</t>
        </is>
      </c>
      <c r="F599" s="37" t="inlineStr">
        <is>
          <t>WL-02559</t>
        </is>
      </c>
      <c r="G599" s="37" t="inlineStr">
        <is>
          <t>Joshua Alvarado</t>
        </is>
      </c>
      <c r="H599" s="37" t="n">
        <v>46.4</v>
      </c>
    </row>
    <row r="600">
      <c r="A600" s="37" t="inlineStr">
        <is>
          <t>EW-0503</t>
        </is>
      </c>
      <c r="B600" s="37" t="inlineStr">
        <is>
          <t>Eastwey</t>
        </is>
      </c>
      <c r="C600" s="37" t="inlineStr">
        <is>
          <t>OPEN</t>
        </is>
      </c>
      <c r="D600" s="37" t="n">
        <v>36</v>
      </c>
      <c r="E600" s="37" t="inlineStr">
        <is>
          <t>OCCUPIED</t>
        </is>
      </c>
      <c r="F600" s="37" t="inlineStr">
        <is>
          <t>WL-01756</t>
        </is>
      </c>
      <c r="G600" s="37" t="inlineStr">
        <is>
          <t>Alexander Mcdonald</t>
        </is>
      </c>
      <c r="H600" s="37" t="n">
        <v>58.9</v>
      </c>
    </row>
    <row r="601">
      <c r="A601" s="37" t="inlineStr">
        <is>
          <t>EW-0504</t>
        </is>
      </c>
      <c r="B601" s="37" t="inlineStr">
        <is>
          <t>Eastwey</t>
        </is>
      </c>
      <c r="C601" s="37" t="inlineStr">
        <is>
          <t>OPEN</t>
        </is>
      </c>
      <c r="D601" s="37" t="n">
        <v>28</v>
      </c>
      <c r="E601" s="37" t="inlineStr">
        <is>
          <t>OCCUPIED</t>
        </is>
      </c>
      <c r="F601" s="37" t="inlineStr">
        <is>
          <t>WL-02218</t>
        </is>
      </c>
      <c r="G601" s="37" t="inlineStr">
        <is>
          <t>Dawn Mccarthy</t>
        </is>
      </c>
      <c r="H601" s="37" t="n">
        <v>54.2</v>
      </c>
    </row>
    <row r="602">
      <c r="A602" s="37" t="inlineStr">
        <is>
          <t>EW-0505</t>
        </is>
      </c>
      <c r="B602" s="37" t="inlineStr">
        <is>
          <t>Eastwey</t>
        </is>
      </c>
      <c r="C602" s="37" t="inlineStr">
        <is>
          <t>OPEN</t>
        </is>
      </c>
      <c r="D602" s="37" t="n">
        <v>32</v>
      </c>
      <c r="E602" s="37" t="inlineStr">
        <is>
          <t>OCCUPIED</t>
        </is>
      </c>
      <c r="F602" s="37" t="inlineStr">
        <is>
          <t>WL-02464</t>
        </is>
      </c>
      <c r="G602" s="37" t="inlineStr">
        <is>
          <t>Lisa Perez</t>
        </is>
      </c>
      <c r="H602" s="37" t="n">
        <v>26.2</v>
      </c>
    </row>
    <row r="603">
      <c r="A603" s="37" t="inlineStr">
        <is>
          <t>EW-0506</t>
        </is>
      </c>
      <c r="B603" s="37" t="inlineStr">
        <is>
          <t>Eastwey</t>
        </is>
      </c>
      <c r="C603" s="37" t="inlineStr">
        <is>
          <t>OPEN</t>
        </is>
      </c>
      <c r="D603" s="37" t="n">
        <v>60</v>
      </c>
      <c r="E603" s="37" t="inlineStr">
        <is>
          <t>OCCUPIED</t>
        </is>
      </c>
      <c r="F603" s="37" t="inlineStr">
        <is>
          <t>WL-01608</t>
        </is>
      </c>
      <c r="G603" s="37" t="inlineStr">
        <is>
          <t>Madeline Wright</t>
        </is>
      </c>
      <c r="H603" s="37" t="n">
        <v>37.4</v>
      </c>
    </row>
    <row r="604">
      <c r="A604" s="37" t="inlineStr">
        <is>
          <t>EW-0507</t>
        </is>
      </c>
      <c r="B604" s="37" t="inlineStr">
        <is>
          <t>Eastwey</t>
        </is>
      </c>
      <c r="C604" s="37" t="inlineStr">
        <is>
          <t>OPEN</t>
        </is>
      </c>
      <c r="D604" s="37" t="n">
        <v>70</v>
      </c>
      <c r="E604" s="37" t="inlineStr">
        <is>
          <t>OCCUPIED</t>
        </is>
      </c>
      <c r="F604" s="37" t="inlineStr">
        <is>
          <t>WL-02869</t>
        </is>
      </c>
      <c r="G604" s="37" t="inlineStr">
        <is>
          <t>George Robbins</t>
        </is>
      </c>
      <c r="H604" s="37" t="n">
        <v>55.2</v>
      </c>
    </row>
    <row r="605">
      <c r="A605" s="37" t="inlineStr">
        <is>
          <t>EW-0508</t>
        </is>
      </c>
      <c r="B605" s="37" t="inlineStr">
        <is>
          <t>Eastwey</t>
        </is>
      </c>
      <c r="C605" s="37" t="inlineStr">
        <is>
          <t>OPEN</t>
        </is>
      </c>
      <c r="D605" s="37" t="n">
        <v>36</v>
      </c>
      <c r="E605" s="37" t="inlineStr">
        <is>
          <t>OCCUPIED</t>
        </is>
      </c>
      <c r="F605" s="37" t="inlineStr">
        <is>
          <t>WL-03534</t>
        </is>
      </c>
      <c r="G605" s="37" t="inlineStr">
        <is>
          <t>Henry Morris</t>
        </is>
      </c>
      <c r="H605" s="37" t="n">
        <v>59.7</v>
      </c>
    </row>
    <row r="606">
      <c r="A606" s="37" t="inlineStr">
        <is>
          <t>EW-0509</t>
        </is>
      </c>
      <c r="B606" s="37" t="inlineStr">
        <is>
          <t>Eastwey</t>
        </is>
      </c>
      <c r="C606" s="37" t="inlineStr">
        <is>
          <t>OPEN</t>
        </is>
      </c>
      <c r="D606" s="37" t="n">
        <v>40</v>
      </c>
      <c r="E606" s="37" t="inlineStr">
        <is>
          <t>GUEST</t>
        </is>
      </c>
    </row>
    <row r="607">
      <c r="A607" s="37" t="inlineStr">
        <is>
          <t>EW-0510</t>
        </is>
      </c>
      <c r="B607" s="37" t="inlineStr">
        <is>
          <t>Eastwey</t>
        </is>
      </c>
      <c r="C607" s="37" t="inlineStr">
        <is>
          <t>OPEN</t>
        </is>
      </c>
      <c r="D607" s="37" t="n">
        <v>28</v>
      </c>
      <c r="E607" s="37" t="inlineStr">
        <is>
          <t>OCCUPIED</t>
        </is>
      </c>
      <c r="F607" s="37" t="inlineStr">
        <is>
          <t>WL-03346</t>
        </is>
      </c>
      <c r="G607" s="37" t="inlineStr">
        <is>
          <t>Andrew Miller</t>
        </is>
      </c>
      <c r="H607" s="37" t="n">
        <v>52.5</v>
      </c>
    </row>
    <row r="608">
      <c r="A608" s="37" t="inlineStr">
        <is>
          <t>EW-0511</t>
        </is>
      </c>
      <c r="B608" s="37" t="inlineStr">
        <is>
          <t>Eastwey</t>
        </is>
      </c>
      <c r="C608" s="37" t="inlineStr">
        <is>
          <t>OPEN</t>
        </is>
      </c>
      <c r="D608" s="37" t="n">
        <v>28</v>
      </c>
      <c r="E608" s="37" t="inlineStr">
        <is>
          <t>OCCUPIED</t>
        </is>
      </c>
      <c r="F608" s="37" t="inlineStr">
        <is>
          <t>WL-03287</t>
        </is>
      </c>
      <c r="G608" s="37" t="inlineStr">
        <is>
          <t>Deborah Holmes</t>
        </is>
      </c>
      <c r="H608" s="37" t="n">
        <v>35.3</v>
      </c>
    </row>
    <row r="609">
      <c r="A609" s="37" t="inlineStr">
        <is>
          <t>EW-0512</t>
        </is>
      </c>
      <c r="B609" s="37" t="inlineStr">
        <is>
          <t>Eastwey</t>
        </is>
      </c>
      <c r="C609" s="37" t="inlineStr">
        <is>
          <t>OPEN</t>
        </is>
      </c>
      <c r="D609" s="37" t="n">
        <v>60</v>
      </c>
      <c r="E609" s="37" t="inlineStr">
        <is>
          <t>OCCUPIED</t>
        </is>
      </c>
      <c r="F609" s="37" t="inlineStr">
        <is>
          <t>WL-02879</t>
        </is>
      </c>
      <c r="G609" s="37" t="inlineStr">
        <is>
          <t>Vincent Long</t>
        </is>
      </c>
      <c r="H609" s="37" t="n">
        <v>43.8</v>
      </c>
    </row>
    <row r="610">
      <c r="A610" s="37" t="inlineStr">
        <is>
          <t>EW-0513</t>
        </is>
      </c>
      <c r="B610" s="37" t="inlineStr">
        <is>
          <t>Eastwey</t>
        </is>
      </c>
      <c r="C610" s="37" t="inlineStr">
        <is>
          <t>OPEN</t>
        </is>
      </c>
      <c r="D610" s="37" t="n">
        <v>24</v>
      </c>
      <c r="E610" s="37" t="inlineStr">
        <is>
          <t>OCCUPIED</t>
        </is>
      </c>
      <c r="F610" s="37" t="inlineStr">
        <is>
          <t>WL-01694</t>
        </is>
      </c>
      <c r="G610" s="37" t="inlineStr">
        <is>
          <t>Cory Aguirre</t>
        </is>
      </c>
      <c r="H610" s="37" t="n">
        <v>40.1</v>
      </c>
    </row>
    <row r="611">
      <c r="A611" s="37" t="inlineStr">
        <is>
          <t>EW-0514</t>
        </is>
      </c>
      <c r="B611" s="37" t="inlineStr">
        <is>
          <t>Eastwey</t>
        </is>
      </c>
      <c r="C611" s="37" t="inlineStr">
        <is>
          <t>OPEN</t>
        </is>
      </c>
      <c r="D611" s="37" t="n">
        <v>24</v>
      </c>
      <c r="E611" s="37" t="inlineStr">
        <is>
          <t>OCCUPIED</t>
        </is>
      </c>
      <c r="F611" s="37" t="inlineStr">
        <is>
          <t>WL-02692</t>
        </is>
      </c>
      <c r="G611" s="37" t="inlineStr">
        <is>
          <t>Benjamin Vasquez</t>
        </is>
      </c>
      <c r="H611" s="37" t="n">
        <v>50.2</v>
      </c>
    </row>
    <row r="612">
      <c r="A612" s="37" t="inlineStr">
        <is>
          <t>EW-0515</t>
        </is>
      </c>
      <c r="B612" s="37" t="inlineStr">
        <is>
          <t>Eastwey</t>
        </is>
      </c>
      <c r="C612" s="37" t="inlineStr">
        <is>
          <t>OPEN</t>
        </is>
      </c>
      <c r="D612" s="37" t="n">
        <v>24</v>
      </c>
      <c r="E612" s="37" t="inlineStr">
        <is>
          <t>OCCUPIED</t>
        </is>
      </c>
      <c r="F612" s="37" t="inlineStr">
        <is>
          <t>WL-01936</t>
        </is>
      </c>
      <c r="G612" s="37" t="inlineStr">
        <is>
          <t>Deanna Livingston</t>
        </is>
      </c>
      <c r="H612" s="37" t="n">
        <v>61</v>
      </c>
    </row>
    <row r="613">
      <c r="A613" s="37" t="inlineStr">
        <is>
          <t>EW-0516</t>
        </is>
      </c>
      <c r="B613" s="37" t="inlineStr">
        <is>
          <t>Eastwey</t>
        </is>
      </c>
      <c r="C613" s="37" t="inlineStr">
        <is>
          <t>OPEN</t>
        </is>
      </c>
      <c r="D613" s="37" t="n">
        <v>40</v>
      </c>
      <c r="E613" s="37" t="inlineStr">
        <is>
          <t>OCCUPIED</t>
        </is>
      </c>
      <c r="F613" s="37" t="inlineStr">
        <is>
          <t>WL-03909</t>
        </is>
      </c>
      <c r="G613" s="37" t="inlineStr">
        <is>
          <t>Elizabeth Edwards</t>
        </is>
      </c>
      <c r="H613" s="37" t="n">
        <v>30.5</v>
      </c>
    </row>
    <row r="614">
      <c r="A614" s="37" t="inlineStr">
        <is>
          <t>EW-0517</t>
        </is>
      </c>
      <c r="B614" s="37" t="inlineStr">
        <is>
          <t>Eastwey</t>
        </is>
      </c>
      <c r="C614" s="37" t="inlineStr">
        <is>
          <t>OPEN</t>
        </is>
      </c>
      <c r="D614" s="37" t="n">
        <v>24</v>
      </c>
      <c r="E614" s="37" t="inlineStr">
        <is>
          <t>OCCUPIED</t>
        </is>
      </c>
      <c r="F614" s="37" t="inlineStr">
        <is>
          <t>WL-01673</t>
        </is>
      </c>
      <c r="G614" s="37" t="inlineStr">
        <is>
          <t>Kellie Lee</t>
        </is>
      </c>
      <c r="H614" s="37" t="n">
        <v>38.6</v>
      </c>
    </row>
    <row r="615">
      <c r="A615" s="37" t="inlineStr">
        <is>
          <t>EW-0518</t>
        </is>
      </c>
      <c r="B615" s="37" t="inlineStr">
        <is>
          <t>Eastwey</t>
        </is>
      </c>
      <c r="C615" s="37" t="inlineStr">
        <is>
          <t>OPEN</t>
        </is>
      </c>
      <c r="D615" s="37" t="n">
        <v>50</v>
      </c>
      <c r="E615" s="37" t="inlineStr">
        <is>
          <t>OCCUPIED</t>
        </is>
      </c>
      <c r="F615" s="37" t="inlineStr">
        <is>
          <t>WL-01433</t>
        </is>
      </c>
      <c r="G615" s="37" t="inlineStr">
        <is>
          <t>Lisa Aguilar</t>
        </is>
      </c>
      <c r="H615" s="37" t="n">
        <v>36.8</v>
      </c>
    </row>
    <row r="616">
      <c r="A616" s="37" t="inlineStr">
        <is>
          <t>EW-0519</t>
        </is>
      </c>
      <c r="B616" s="37" t="inlineStr">
        <is>
          <t>Eastwey</t>
        </is>
      </c>
      <c r="C616" s="37" t="inlineStr">
        <is>
          <t>OPEN</t>
        </is>
      </c>
      <c r="D616" s="37" t="n">
        <v>32</v>
      </c>
      <c r="E616" s="37" t="inlineStr">
        <is>
          <t>OCCUPIED</t>
        </is>
      </c>
      <c r="F616" s="37" t="inlineStr">
        <is>
          <t>WL-01765</t>
        </is>
      </c>
      <c r="G616" s="37" t="inlineStr">
        <is>
          <t>Donald Edwards</t>
        </is>
      </c>
      <c r="H616" s="37" t="n">
        <v>53.2</v>
      </c>
    </row>
    <row r="617">
      <c r="A617" s="37" t="inlineStr">
        <is>
          <t>EW-0520</t>
        </is>
      </c>
      <c r="B617" s="37" t="inlineStr">
        <is>
          <t>Eastwey</t>
        </is>
      </c>
      <c r="C617" s="37" t="inlineStr">
        <is>
          <t>OPEN</t>
        </is>
      </c>
      <c r="D617" s="37" t="n">
        <v>24</v>
      </c>
      <c r="E617" s="37" t="inlineStr">
        <is>
          <t>OCCUPIED</t>
        </is>
      </c>
      <c r="F617" s="37" t="inlineStr">
        <is>
          <t>WL-02696</t>
        </is>
      </c>
      <c r="G617" s="37" t="inlineStr">
        <is>
          <t>Hunter Galloway</t>
        </is>
      </c>
      <c r="H617" s="37" t="n">
        <v>26.9</v>
      </c>
    </row>
    <row r="618">
      <c r="A618" s="37" t="inlineStr">
        <is>
          <t>EW-0521</t>
        </is>
      </c>
      <c r="B618" s="37" t="inlineStr">
        <is>
          <t>Eastwey</t>
        </is>
      </c>
      <c r="C618" s="37" t="inlineStr">
        <is>
          <t>OPEN</t>
        </is>
      </c>
      <c r="D618" s="37" t="n">
        <v>50</v>
      </c>
      <c r="E618" s="37" t="inlineStr">
        <is>
          <t>OCCUPIED</t>
        </is>
      </c>
      <c r="F618" s="37" t="inlineStr">
        <is>
          <t>WL-02992</t>
        </is>
      </c>
      <c r="G618" s="37" t="inlineStr">
        <is>
          <t>Emily Cox</t>
        </is>
      </c>
      <c r="H618" s="37" t="n">
        <v>38.3</v>
      </c>
    </row>
    <row r="619">
      <c r="A619" s="37" t="inlineStr">
        <is>
          <t>EW-0522</t>
        </is>
      </c>
      <c r="B619" s="37" t="inlineStr">
        <is>
          <t>Eastwey</t>
        </is>
      </c>
      <c r="C619" s="37" t="inlineStr">
        <is>
          <t>OPEN</t>
        </is>
      </c>
      <c r="D619" s="37" t="n">
        <v>36</v>
      </c>
      <c r="E619" s="37" t="inlineStr">
        <is>
          <t>OCCUPIED</t>
        </is>
      </c>
      <c r="F619" s="37" t="inlineStr">
        <is>
          <t>WL-03629</t>
        </is>
      </c>
      <c r="G619" s="37" t="inlineStr">
        <is>
          <t>Justin Parks</t>
        </is>
      </c>
      <c r="H619" s="37" t="n">
        <v>26.5</v>
      </c>
    </row>
    <row r="620">
      <c r="A620" s="37" t="inlineStr">
        <is>
          <t>EW-0523</t>
        </is>
      </c>
      <c r="B620" s="37" t="inlineStr">
        <is>
          <t>Eastwey</t>
        </is>
      </c>
      <c r="C620" s="37" t="inlineStr">
        <is>
          <t>OPEN</t>
        </is>
      </c>
      <c r="D620" s="37" t="n">
        <v>24</v>
      </c>
      <c r="E620" s="37" t="inlineStr">
        <is>
          <t>OCCUPIED</t>
        </is>
      </c>
      <c r="F620" s="37" t="inlineStr">
        <is>
          <t>WL-01972</t>
        </is>
      </c>
      <c r="G620" s="37" t="inlineStr">
        <is>
          <t>Robyn Torres</t>
        </is>
      </c>
      <c r="H620" s="37" t="n">
        <v>57.9</v>
      </c>
    </row>
    <row r="621">
      <c r="A621" s="37" t="inlineStr">
        <is>
          <t>EW-0524</t>
        </is>
      </c>
      <c r="B621" s="37" t="inlineStr">
        <is>
          <t>Eastwey</t>
        </is>
      </c>
      <c r="C621" s="37" t="inlineStr">
        <is>
          <t>OPEN</t>
        </is>
      </c>
      <c r="D621" s="37" t="n">
        <v>32</v>
      </c>
      <c r="E621" s="37" t="inlineStr">
        <is>
          <t>OCCUPIED</t>
        </is>
      </c>
      <c r="F621" s="37" t="inlineStr">
        <is>
          <t>WL-01298</t>
        </is>
      </c>
      <c r="G621" s="37" t="inlineStr">
        <is>
          <t>Jason Boyd</t>
        </is>
      </c>
      <c r="H621" s="37" t="n">
        <v>19.2</v>
      </c>
    </row>
    <row r="622">
      <c r="A622" s="37" t="inlineStr">
        <is>
          <t>EW-0601</t>
        </is>
      </c>
      <c r="B622" s="37" t="inlineStr">
        <is>
          <t>Eastwey</t>
        </is>
      </c>
      <c r="C622" s="37" t="inlineStr">
        <is>
          <t>OPEN</t>
        </is>
      </c>
      <c r="D622" s="37" t="n">
        <v>24</v>
      </c>
      <c r="E622" s="37" t="inlineStr">
        <is>
          <t>OCCUPIED</t>
        </is>
      </c>
      <c r="F622" s="37" t="inlineStr">
        <is>
          <t>WL-02782</t>
        </is>
      </c>
      <c r="G622" s="37" t="inlineStr">
        <is>
          <t>Judy Adams</t>
        </is>
      </c>
      <c r="H622" s="37" t="n">
        <v>22.8</v>
      </c>
    </row>
    <row r="623">
      <c r="A623" s="37" t="inlineStr">
        <is>
          <t>EW-0602</t>
        </is>
      </c>
      <c r="B623" s="37" t="inlineStr">
        <is>
          <t>Eastwey</t>
        </is>
      </c>
      <c r="C623" s="37" t="inlineStr">
        <is>
          <t>OPEN</t>
        </is>
      </c>
      <c r="D623" s="37" t="n">
        <v>50</v>
      </c>
      <c r="E623" s="37" t="inlineStr">
        <is>
          <t>OCCUPIED</t>
        </is>
      </c>
      <c r="F623" s="37" t="inlineStr">
        <is>
          <t>WL-02572</t>
        </is>
      </c>
      <c r="G623" s="37" t="inlineStr">
        <is>
          <t>Kelly Cox</t>
        </is>
      </c>
      <c r="H623" s="37" t="n">
        <v>26.9</v>
      </c>
    </row>
    <row r="624">
      <c r="A624" s="37" t="inlineStr">
        <is>
          <t>EW-0603</t>
        </is>
      </c>
      <c r="B624" s="37" t="inlineStr">
        <is>
          <t>Eastwey</t>
        </is>
      </c>
      <c r="C624" s="37" t="inlineStr">
        <is>
          <t>OPEN</t>
        </is>
      </c>
      <c r="D624" s="37" t="n">
        <v>24</v>
      </c>
      <c r="E624" s="37" t="inlineStr">
        <is>
          <t>OCCUPIED</t>
        </is>
      </c>
      <c r="F624" s="37" t="inlineStr">
        <is>
          <t>WL-03665</t>
        </is>
      </c>
      <c r="G624" s="37" t="inlineStr">
        <is>
          <t>Maria Middleton</t>
        </is>
      </c>
      <c r="H624" s="37" t="n">
        <v>22</v>
      </c>
    </row>
    <row r="625">
      <c r="A625" s="37" t="inlineStr">
        <is>
          <t>EW-0604</t>
        </is>
      </c>
      <c r="B625" s="37" t="inlineStr">
        <is>
          <t>Eastwey</t>
        </is>
      </c>
      <c r="C625" s="37" t="inlineStr">
        <is>
          <t>OPEN</t>
        </is>
      </c>
      <c r="D625" s="37" t="n">
        <v>60</v>
      </c>
      <c r="E625" s="37" t="inlineStr">
        <is>
          <t>OCCUPIED</t>
        </is>
      </c>
      <c r="F625" s="37" t="inlineStr">
        <is>
          <t>WL-02293</t>
        </is>
      </c>
      <c r="G625" s="37" t="inlineStr">
        <is>
          <t>Brian Alexander</t>
        </is>
      </c>
      <c r="H625" s="37" t="n">
        <v>35</v>
      </c>
    </row>
    <row r="626">
      <c r="A626" s="37" t="inlineStr">
        <is>
          <t>EW-0605</t>
        </is>
      </c>
      <c r="B626" s="37" t="inlineStr">
        <is>
          <t>Eastwey</t>
        </is>
      </c>
      <c r="C626" s="37" t="inlineStr">
        <is>
          <t>OPEN</t>
        </is>
      </c>
      <c r="D626" s="37" t="n">
        <v>40</v>
      </c>
      <c r="E626" s="37" t="inlineStr">
        <is>
          <t>OCCUPIED</t>
        </is>
      </c>
      <c r="F626" s="37" t="inlineStr">
        <is>
          <t>WL-02016</t>
        </is>
      </c>
      <c r="G626" s="37" t="inlineStr">
        <is>
          <t>Andrea Garza</t>
        </is>
      </c>
      <c r="H626" s="37" t="n">
        <v>54.9</v>
      </c>
    </row>
    <row r="627">
      <c r="A627" s="37" t="inlineStr">
        <is>
          <t>EW-0606</t>
        </is>
      </c>
      <c r="B627" s="37" t="inlineStr">
        <is>
          <t>Eastwey</t>
        </is>
      </c>
      <c r="C627" s="37" t="inlineStr">
        <is>
          <t>OPEN</t>
        </is>
      </c>
      <c r="D627" s="37" t="n">
        <v>45</v>
      </c>
      <c r="E627" s="37" t="inlineStr">
        <is>
          <t>OCCUPIED</t>
        </is>
      </c>
      <c r="F627" s="37" t="inlineStr">
        <is>
          <t>WL-03431</t>
        </is>
      </c>
      <c r="G627" s="37" t="inlineStr">
        <is>
          <t>Lisa Cochran</t>
        </is>
      </c>
      <c r="H627" s="37" t="n">
        <v>53.8</v>
      </c>
    </row>
    <row r="628">
      <c r="A628" s="37" t="inlineStr">
        <is>
          <t>EW-0607</t>
        </is>
      </c>
      <c r="B628" s="37" t="inlineStr">
        <is>
          <t>Eastwey</t>
        </is>
      </c>
      <c r="C628" s="37" t="inlineStr">
        <is>
          <t>OPEN</t>
        </is>
      </c>
      <c r="D628" s="37" t="n">
        <v>24</v>
      </c>
      <c r="E628" s="37" t="inlineStr">
        <is>
          <t>OCCUPIED</t>
        </is>
      </c>
      <c r="F628" s="37" t="inlineStr">
        <is>
          <t>WL-02210</t>
        </is>
      </c>
      <c r="G628" s="37" t="inlineStr">
        <is>
          <t>Erika Huber</t>
        </is>
      </c>
      <c r="H628" s="37" t="n">
        <v>40</v>
      </c>
    </row>
    <row r="629">
      <c r="A629" s="37" t="inlineStr">
        <is>
          <t>EW-0608</t>
        </is>
      </c>
      <c r="B629" s="37" t="inlineStr">
        <is>
          <t>Eastwey</t>
        </is>
      </c>
      <c r="C629" s="37" t="inlineStr">
        <is>
          <t>OPEN</t>
        </is>
      </c>
      <c r="D629" s="37" t="n">
        <v>28</v>
      </c>
      <c r="E629" s="37" t="inlineStr">
        <is>
          <t>OCCUPIED</t>
        </is>
      </c>
      <c r="F629" s="37" t="inlineStr">
        <is>
          <t>WL-02498</t>
        </is>
      </c>
      <c r="G629" s="37" t="inlineStr">
        <is>
          <t>Patrick Herrera</t>
        </is>
      </c>
      <c r="H629" s="37" t="n">
        <v>42.7</v>
      </c>
    </row>
    <row r="630">
      <c r="A630" s="37" t="inlineStr">
        <is>
          <t>EW-0609</t>
        </is>
      </c>
      <c r="B630" s="37" t="inlineStr">
        <is>
          <t>Eastwey</t>
        </is>
      </c>
      <c r="C630" s="37" t="inlineStr">
        <is>
          <t>OPEN</t>
        </is>
      </c>
      <c r="D630" s="37" t="n">
        <v>28</v>
      </c>
      <c r="E630" s="37" t="inlineStr">
        <is>
          <t>OCCUPIED</t>
        </is>
      </c>
      <c r="F630" s="37" t="inlineStr">
        <is>
          <t>WL-01511</t>
        </is>
      </c>
      <c r="G630" s="37" t="inlineStr">
        <is>
          <t>Nancy Sullivan</t>
        </is>
      </c>
      <c r="H630" s="37" t="n">
        <v>51.6</v>
      </c>
    </row>
    <row r="631">
      <c r="A631" s="37" t="inlineStr">
        <is>
          <t>EW-0610</t>
        </is>
      </c>
      <c r="B631" s="37" t="inlineStr">
        <is>
          <t>Eastwey</t>
        </is>
      </c>
      <c r="C631" s="37" t="inlineStr">
        <is>
          <t>OPEN</t>
        </is>
      </c>
      <c r="D631" s="37" t="n">
        <v>28</v>
      </c>
      <c r="E631" s="37" t="inlineStr">
        <is>
          <t>OCCUPIED</t>
        </is>
      </c>
      <c r="F631" s="37" t="inlineStr">
        <is>
          <t>WL-02561</t>
        </is>
      </c>
      <c r="G631" s="37" t="inlineStr">
        <is>
          <t>Kayla Carpenter</t>
        </is>
      </c>
      <c r="H631" s="37" t="n">
        <v>50.3</v>
      </c>
    </row>
    <row r="632">
      <c r="A632" s="37" t="inlineStr">
        <is>
          <t>EW-0611</t>
        </is>
      </c>
      <c r="B632" s="37" t="inlineStr">
        <is>
          <t>Eastwey</t>
        </is>
      </c>
      <c r="C632" s="37" t="inlineStr">
        <is>
          <t>OPEN</t>
        </is>
      </c>
      <c r="D632" s="37" t="n">
        <v>24</v>
      </c>
      <c r="E632" s="37" t="inlineStr">
        <is>
          <t>OCCUPIED</t>
        </is>
      </c>
      <c r="F632" s="37" t="inlineStr">
        <is>
          <t>WL-01796</t>
        </is>
      </c>
      <c r="G632" s="37" t="inlineStr">
        <is>
          <t>Michael Phillips</t>
        </is>
      </c>
      <c r="H632" s="37" t="n">
        <v>47</v>
      </c>
    </row>
    <row r="633">
      <c r="A633" s="37" t="inlineStr">
        <is>
          <t>EW-0612</t>
        </is>
      </c>
      <c r="B633" s="37" t="inlineStr">
        <is>
          <t>Eastwey</t>
        </is>
      </c>
      <c r="C633" s="37" t="inlineStr">
        <is>
          <t>OPEN</t>
        </is>
      </c>
      <c r="D633" s="37" t="n">
        <v>70</v>
      </c>
      <c r="E633" s="37" t="inlineStr">
        <is>
          <t>VACANT</t>
        </is>
      </c>
    </row>
    <row r="634">
      <c r="A634" s="37" t="inlineStr">
        <is>
          <t>EW-0613</t>
        </is>
      </c>
      <c r="B634" s="37" t="inlineStr">
        <is>
          <t>Eastwey</t>
        </is>
      </c>
      <c r="C634" s="37" t="inlineStr">
        <is>
          <t>OPEN</t>
        </is>
      </c>
      <c r="D634" s="37" t="n">
        <v>36</v>
      </c>
      <c r="E634" s="37" t="inlineStr">
        <is>
          <t>MAINTENANCE</t>
        </is>
      </c>
    </row>
    <row r="635">
      <c r="A635" s="37" t="inlineStr">
        <is>
          <t>EW-0614</t>
        </is>
      </c>
      <c r="B635" s="37" t="inlineStr">
        <is>
          <t>Eastwey</t>
        </is>
      </c>
      <c r="C635" s="37" t="inlineStr">
        <is>
          <t>OPEN</t>
        </is>
      </c>
      <c r="D635" s="37" t="n">
        <v>45</v>
      </c>
      <c r="E635" s="37" t="inlineStr">
        <is>
          <t>OCCUPIED</t>
        </is>
      </c>
      <c r="F635" s="37" t="inlineStr">
        <is>
          <t>WL-02310</t>
        </is>
      </c>
      <c r="G635" s="37" t="inlineStr">
        <is>
          <t>Kristy Bell</t>
        </is>
      </c>
      <c r="H635" s="37" t="n">
        <v>53</v>
      </c>
    </row>
    <row r="636">
      <c r="A636" s="37" t="inlineStr">
        <is>
          <t>EW-0615</t>
        </is>
      </c>
      <c r="B636" s="37" t="inlineStr">
        <is>
          <t>Eastwey</t>
        </is>
      </c>
      <c r="C636" s="37" t="inlineStr">
        <is>
          <t>OPEN</t>
        </is>
      </c>
      <c r="D636" s="37" t="n">
        <v>45</v>
      </c>
      <c r="E636" s="37" t="inlineStr">
        <is>
          <t>OCCUPIED</t>
        </is>
      </c>
      <c r="F636" s="37" t="inlineStr">
        <is>
          <t>WL-03561</t>
        </is>
      </c>
      <c r="G636" s="37" t="inlineStr">
        <is>
          <t>Rebecca Crawford</t>
        </is>
      </c>
      <c r="H636" s="37" t="n">
        <v>23.5</v>
      </c>
    </row>
    <row r="637">
      <c r="A637" s="37" t="inlineStr">
        <is>
          <t>EW-0616</t>
        </is>
      </c>
      <c r="B637" s="37" t="inlineStr">
        <is>
          <t>Eastwey</t>
        </is>
      </c>
      <c r="C637" s="37" t="inlineStr">
        <is>
          <t>OPEN</t>
        </is>
      </c>
      <c r="D637" s="37" t="n">
        <v>36</v>
      </c>
      <c r="E637" s="37" t="inlineStr">
        <is>
          <t>OCCUPIED</t>
        </is>
      </c>
      <c r="F637" s="37" t="inlineStr">
        <is>
          <t>WL-01289</t>
        </is>
      </c>
      <c r="G637" s="37" t="inlineStr">
        <is>
          <t>Harry Faulkner</t>
        </is>
      </c>
      <c r="H637" s="37" t="n">
        <v>42.6</v>
      </c>
    </row>
    <row r="638">
      <c r="A638" s="37" t="inlineStr">
        <is>
          <t>EW-0617</t>
        </is>
      </c>
      <c r="B638" s="37" t="inlineStr">
        <is>
          <t>Eastwey</t>
        </is>
      </c>
      <c r="C638" s="37" t="inlineStr">
        <is>
          <t>OPEN</t>
        </is>
      </c>
      <c r="D638" s="37" t="n">
        <v>70</v>
      </c>
      <c r="E638" s="37" t="inlineStr">
        <is>
          <t>OCCUPIED</t>
        </is>
      </c>
      <c r="F638" s="37" t="inlineStr">
        <is>
          <t>WL-01818</t>
        </is>
      </c>
      <c r="G638" s="37" t="inlineStr">
        <is>
          <t>Natasha Higgins</t>
        </is>
      </c>
      <c r="H638" s="37" t="n">
        <v>27</v>
      </c>
    </row>
    <row r="639">
      <c r="A639" s="37" t="inlineStr">
        <is>
          <t>EW-0618</t>
        </is>
      </c>
      <c r="B639" s="37" t="inlineStr">
        <is>
          <t>Eastwey</t>
        </is>
      </c>
      <c r="C639" s="37" t="inlineStr">
        <is>
          <t>OPEN</t>
        </is>
      </c>
      <c r="D639" s="37" t="n">
        <v>28</v>
      </c>
      <c r="E639" s="37" t="inlineStr">
        <is>
          <t>OCCUPIED</t>
        </is>
      </c>
      <c r="F639" s="37" t="inlineStr">
        <is>
          <t>WL-01884</t>
        </is>
      </c>
      <c r="G639" s="37" t="inlineStr">
        <is>
          <t>Rebecca Price</t>
        </is>
      </c>
      <c r="H639" s="37" t="n">
        <v>27.3</v>
      </c>
    </row>
    <row r="640">
      <c r="A640" s="37" t="inlineStr">
        <is>
          <t>EW-0619</t>
        </is>
      </c>
      <c r="B640" s="37" t="inlineStr">
        <is>
          <t>Eastwey</t>
        </is>
      </c>
      <c r="C640" s="37" t="inlineStr">
        <is>
          <t>OPEN</t>
        </is>
      </c>
      <c r="D640" s="37" t="n">
        <v>45</v>
      </c>
      <c r="E640" s="37" t="inlineStr">
        <is>
          <t>GUEST</t>
        </is>
      </c>
    </row>
    <row r="641">
      <c r="A641" s="37" t="inlineStr">
        <is>
          <t>EW-0620</t>
        </is>
      </c>
      <c r="B641" s="37" t="inlineStr">
        <is>
          <t>Eastwey</t>
        </is>
      </c>
      <c r="C641" s="37" t="inlineStr">
        <is>
          <t>OPEN</t>
        </is>
      </c>
      <c r="D641" s="37" t="n">
        <v>70</v>
      </c>
      <c r="E641" s="37" t="inlineStr">
        <is>
          <t>RESERVED</t>
        </is>
      </c>
    </row>
    <row r="642">
      <c r="A642" s="37" t="inlineStr">
        <is>
          <t>EW-0621</t>
        </is>
      </c>
      <c r="B642" s="37" t="inlineStr">
        <is>
          <t>Eastwey</t>
        </is>
      </c>
      <c r="C642" s="37" t="inlineStr">
        <is>
          <t>OPEN</t>
        </is>
      </c>
      <c r="D642" s="37" t="n">
        <v>80</v>
      </c>
      <c r="E642" s="37" t="inlineStr">
        <is>
          <t>OCCUPIED</t>
        </is>
      </c>
      <c r="F642" s="37" t="inlineStr">
        <is>
          <t>WL-01004</t>
        </is>
      </c>
      <c r="G642" s="37" t="inlineStr">
        <is>
          <t>Joseph Lopez</t>
        </is>
      </c>
      <c r="H642" s="37" t="n">
        <v>61.6</v>
      </c>
    </row>
    <row r="643">
      <c r="A643" s="37" t="inlineStr">
        <is>
          <t>EW-0622</t>
        </is>
      </c>
      <c r="B643" s="37" t="inlineStr">
        <is>
          <t>Eastwey</t>
        </is>
      </c>
      <c r="C643" s="37" t="inlineStr">
        <is>
          <t>OPEN</t>
        </is>
      </c>
      <c r="D643" s="37" t="n">
        <v>70</v>
      </c>
      <c r="E643" s="37" t="inlineStr">
        <is>
          <t>VACANT</t>
        </is>
      </c>
    </row>
    <row r="644">
      <c r="A644" s="37" t="inlineStr">
        <is>
          <t>EW-0623</t>
        </is>
      </c>
      <c r="B644" s="37" t="inlineStr">
        <is>
          <t>Eastwey</t>
        </is>
      </c>
      <c r="C644" s="37" t="inlineStr">
        <is>
          <t>OPEN</t>
        </is>
      </c>
      <c r="D644" s="37" t="n">
        <v>32</v>
      </c>
      <c r="E644" s="37" t="inlineStr">
        <is>
          <t>OCCUPIED</t>
        </is>
      </c>
      <c r="F644" s="37" t="inlineStr">
        <is>
          <t>WL-02886</t>
        </is>
      </c>
      <c r="G644" s="37" t="inlineStr">
        <is>
          <t>Sarah Woods</t>
        </is>
      </c>
      <c r="H644" s="37" t="n">
        <v>61.8</v>
      </c>
    </row>
    <row r="645">
      <c r="A645" s="37" t="inlineStr">
        <is>
          <t>EW-0624</t>
        </is>
      </c>
      <c r="B645" s="37" t="inlineStr">
        <is>
          <t>Eastwey</t>
        </is>
      </c>
      <c r="C645" s="37" t="inlineStr">
        <is>
          <t>OPEN</t>
        </is>
      </c>
      <c r="D645" s="37" t="n">
        <v>60</v>
      </c>
      <c r="E645" s="37" t="inlineStr">
        <is>
          <t>OCCUPIED</t>
        </is>
      </c>
      <c r="F645" s="37" t="inlineStr">
        <is>
          <t>WL-01257</t>
        </is>
      </c>
      <c r="G645" s="37" t="inlineStr">
        <is>
          <t>Steven Parrish</t>
        </is>
      </c>
      <c r="H645" s="37" t="n">
        <v>47.3</v>
      </c>
    </row>
    <row r="646">
      <c r="A646" s="37" t="inlineStr">
        <is>
          <t>EW-0701</t>
        </is>
      </c>
      <c r="B646" s="37" t="inlineStr">
        <is>
          <t>Eastwey</t>
        </is>
      </c>
      <c r="C646" s="37" t="inlineStr">
        <is>
          <t>OPEN</t>
        </is>
      </c>
      <c r="D646" s="37" t="n">
        <v>60</v>
      </c>
      <c r="E646" s="37" t="inlineStr">
        <is>
          <t>VACANT</t>
        </is>
      </c>
    </row>
    <row r="647">
      <c r="A647" s="37" t="inlineStr">
        <is>
          <t>EW-0702</t>
        </is>
      </c>
      <c r="B647" s="37" t="inlineStr">
        <is>
          <t>Eastwey</t>
        </is>
      </c>
      <c r="C647" s="37" t="inlineStr">
        <is>
          <t>OPEN</t>
        </is>
      </c>
      <c r="D647" s="37" t="n">
        <v>45</v>
      </c>
      <c r="E647" s="37" t="inlineStr">
        <is>
          <t>OCCUPIED</t>
        </is>
      </c>
      <c r="F647" s="37" t="inlineStr">
        <is>
          <t>WL-02343</t>
        </is>
      </c>
      <c r="G647" s="37" t="inlineStr">
        <is>
          <t>Nicole Mata</t>
        </is>
      </c>
      <c r="H647" s="37" t="n">
        <v>24</v>
      </c>
    </row>
    <row r="648">
      <c r="A648" s="37" t="inlineStr">
        <is>
          <t>EW-0703</t>
        </is>
      </c>
      <c r="B648" s="37" t="inlineStr">
        <is>
          <t>Eastwey</t>
        </is>
      </c>
      <c r="C648" s="37" t="inlineStr">
        <is>
          <t>OPEN</t>
        </is>
      </c>
      <c r="D648" s="37" t="n">
        <v>32</v>
      </c>
      <c r="E648" s="37" t="inlineStr">
        <is>
          <t>OCCUPIED</t>
        </is>
      </c>
      <c r="F648" s="37" t="inlineStr">
        <is>
          <t>WL-01158</t>
        </is>
      </c>
      <c r="G648" s="37" t="inlineStr">
        <is>
          <t>Scott Gutierrez</t>
        </is>
      </c>
      <c r="H648" s="37" t="n">
        <v>51.2</v>
      </c>
    </row>
    <row r="649">
      <c r="A649" s="37" t="inlineStr">
        <is>
          <t>EW-0704</t>
        </is>
      </c>
      <c r="B649" s="37" t="inlineStr">
        <is>
          <t>Eastwey</t>
        </is>
      </c>
      <c r="C649" s="37" t="inlineStr">
        <is>
          <t>OPEN</t>
        </is>
      </c>
      <c r="D649" s="37" t="n">
        <v>32</v>
      </c>
      <c r="E649" s="37" t="inlineStr">
        <is>
          <t>OCCUPIED</t>
        </is>
      </c>
      <c r="F649" s="37" t="inlineStr">
        <is>
          <t>WL-03717</t>
        </is>
      </c>
      <c r="G649" s="37" t="inlineStr">
        <is>
          <t>Roy Schmitt</t>
        </is>
      </c>
      <c r="H649" s="37" t="n">
        <v>44.2</v>
      </c>
    </row>
    <row r="650">
      <c r="A650" s="37" t="inlineStr">
        <is>
          <t>EW-0705</t>
        </is>
      </c>
      <c r="B650" s="37" t="inlineStr">
        <is>
          <t>Eastwey</t>
        </is>
      </c>
      <c r="C650" s="37" t="inlineStr">
        <is>
          <t>OPEN</t>
        </is>
      </c>
      <c r="D650" s="37" t="n">
        <v>40</v>
      </c>
      <c r="E650" s="37" t="inlineStr">
        <is>
          <t>OCCUPIED</t>
        </is>
      </c>
      <c r="F650" s="37" t="inlineStr">
        <is>
          <t>WL-01681</t>
        </is>
      </c>
      <c r="G650" s="37" t="inlineStr">
        <is>
          <t>Trevor Jones</t>
        </is>
      </c>
      <c r="H650" s="37" t="n">
        <v>50.3</v>
      </c>
    </row>
    <row r="651">
      <c r="A651" s="37" t="inlineStr">
        <is>
          <t>EW-0706</t>
        </is>
      </c>
      <c r="B651" s="37" t="inlineStr">
        <is>
          <t>Eastwey</t>
        </is>
      </c>
      <c r="C651" s="37" t="inlineStr">
        <is>
          <t>OPEN</t>
        </is>
      </c>
      <c r="D651" s="37" t="n">
        <v>36</v>
      </c>
      <c r="E651" s="37" t="inlineStr">
        <is>
          <t>OCCUPIED</t>
        </is>
      </c>
      <c r="F651" s="37" t="inlineStr">
        <is>
          <t>WL-03502</t>
        </is>
      </c>
      <c r="G651" s="37" t="inlineStr">
        <is>
          <t>Jennifer Bryant</t>
        </is>
      </c>
      <c r="H651" s="37" t="n">
        <v>42.5</v>
      </c>
    </row>
    <row r="652">
      <c r="A652" s="37" t="inlineStr">
        <is>
          <t>EW-0707</t>
        </is>
      </c>
      <c r="B652" s="37" t="inlineStr">
        <is>
          <t>Eastwey</t>
        </is>
      </c>
      <c r="C652" s="37" t="inlineStr">
        <is>
          <t>OPEN</t>
        </is>
      </c>
      <c r="D652" s="37" t="n">
        <v>28</v>
      </c>
      <c r="E652" s="37" t="inlineStr">
        <is>
          <t>MAINTENANCE</t>
        </is>
      </c>
    </row>
    <row r="653">
      <c r="A653" s="37" t="inlineStr">
        <is>
          <t>EW-0708</t>
        </is>
      </c>
      <c r="B653" s="37" t="inlineStr">
        <is>
          <t>Eastwey</t>
        </is>
      </c>
      <c r="C653" s="37" t="inlineStr">
        <is>
          <t>OPEN</t>
        </is>
      </c>
      <c r="D653" s="37" t="n">
        <v>50</v>
      </c>
      <c r="E653" s="37" t="inlineStr">
        <is>
          <t>OCCUPIED</t>
        </is>
      </c>
      <c r="F653" s="37" t="inlineStr">
        <is>
          <t>WL-02872</t>
        </is>
      </c>
      <c r="G653" s="37" t="inlineStr">
        <is>
          <t>Jessica Fitzgerald</t>
        </is>
      </c>
      <c r="H653" s="37" t="n">
        <v>44.2</v>
      </c>
    </row>
    <row r="654">
      <c r="A654" s="37" t="inlineStr">
        <is>
          <t>EW-0709</t>
        </is>
      </c>
      <c r="B654" s="37" t="inlineStr">
        <is>
          <t>Eastwey</t>
        </is>
      </c>
      <c r="C654" s="37" t="inlineStr">
        <is>
          <t>OPEN</t>
        </is>
      </c>
      <c r="D654" s="37" t="n">
        <v>28</v>
      </c>
      <c r="E654" s="37" t="inlineStr">
        <is>
          <t>OCCUPIED</t>
        </is>
      </c>
      <c r="F654" s="37" t="inlineStr">
        <is>
          <t>WL-01255</t>
        </is>
      </c>
      <c r="G654" s="37" t="inlineStr">
        <is>
          <t>Dana Walker</t>
        </is>
      </c>
      <c r="H654" s="37" t="n">
        <v>23.6</v>
      </c>
    </row>
    <row r="655">
      <c r="A655" s="37" t="inlineStr">
        <is>
          <t>EW-0710</t>
        </is>
      </c>
      <c r="B655" s="37" t="inlineStr">
        <is>
          <t>Eastwey</t>
        </is>
      </c>
      <c r="C655" s="37" t="inlineStr">
        <is>
          <t>OPEN</t>
        </is>
      </c>
      <c r="D655" s="37" t="n">
        <v>24</v>
      </c>
      <c r="E655" s="37" t="inlineStr">
        <is>
          <t>OCCUPIED</t>
        </is>
      </c>
      <c r="F655" s="37" t="inlineStr">
        <is>
          <t>WL-01290</t>
        </is>
      </c>
      <c r="G655" s="37" t="inlineStr">
        <is>
          <t>Laura Ball</t>
        </is>
      </c>
      <c r="H655" s="37" t="n">
        <v>27.6</v>
      </c>
    </row>
    <row r="656">
      <c r="A656" s="37" t="inlineStr">
        <is>
          <t>EW-0711</t>
        </is>
      </c>
      <c r="B656" s="37" t="inlineStr">
        <is>
          <t>Eastwey</t>
        </is>
      </c>
      <c r="C656" s="37" t="inlineStr">
        <is>
          <t>OPEN</t>
        </is>
      </c>
      <c r="D656" s="37" t="n">
        <v>36</v>
      </c>
      <c r="E656" s="37" t="inlineStr">
        <is>
          <t>VACANT</t>
        </is>
      </c>
    </row>
    <row r="657">
      <c r="A657" s="37" t="inlineStr">
        <is>
          <t>EW-0712</t>
        </is>
      </c>
      <c r="B657" s="37" t="inlineStr">
        <is>
          <t>Eastwey</t>
        </is>
      </c>
      <c r="C657" s="37" t="inlineStr">
        <is>
          <t>OPEN</t>
        </is>
      </c>
      <c r="D657" s="37" t="n">
        <v>32</v>
      </c>
      <c r="E657" s="37" t="inlineStr">
        <is>
          <t>OCCUPIED</t>
        </is>
      </c>
      <c r="F657" s="37" t="inlineStr">
        <is>
          <t>WL-02411</t>
        </is>
      </c>
      <c r="G657" s="37" t="inlineStr">
        <is>
          <t>Brooke Kelly</t>
        </is>
      </c>
      <c r="H657" s="37" t="n">
        <v>50.6</v>
      </c>
    </row>
    <row r="658">
      <c r="A658" s="37" t="inlineStr">
        <is>
          <t>EW-0713</t>
        </is>
      </c>
      <c r="B658" s="37" t="inlineStr">
        <is>
          <t>Eastwey</t>
        </is>
      </c>
      <c r="C658" s="37" t="inlineStr">
        <is>
          <t>OPEN</t>
        </is>
      </c>
      <c r="D658" s="37" t="n">
        <v>32</v>
      </c>
      <c r="E658" s="37" t="inlineStr">
        <is>
          <t>OCCUPIED</t>
        </is>
      </c>
      <c r="F658" s="37" t="inlineStr">
        <is>
          <t>WL-03726</t>
        </is>
      </c>
      <c r="G658" s="37" t="inlineStr">
        <is>
          <t>Christina Johnson</t>
        </is>
      </c>
      <c r="H658" s="37" t="n">
        <v>32.3</v>
      </c>
    </row>
    <row r="659">
      <c r="A659" s="37" t="inlineStr">
        <is>
          <t>EW-0714</t>
        </is>
      </c>
      <c r="B659" s="37" t="inlineStr">
        <is>
          <t>Eastwey</t>
        </is>
      </c>
      <c r="C659" s="37" t="inlineStr">
        <is>
          <t>OPEN</t>
        </is>
      </c>
      <c r="D659" s="37" t="n">
        <v>50</v>
      </c>
      <c r="E659" s="37" t="inlineStr">
        <is>
          <t>OCCUPIED</t>
        </is>
      </c>
      <c r="F659" s="37" t="inlineStr">
        <is>
          <t>WL-03863</t>
        </is>
      </c>
      <c r="G659" s="37" t="inlineStr">
        <is>
          <t>Brianna Phillips</t>
        </is>
      </c>
      <c r="H659" s="37" t="n">
        <v>59.1</v>
      </c>
    </row>
    <row r="660">
      <c r="A660" s="37" t="inlineStr">
        <is>
          <t>EW-0715</t>
        </is>
      </c>
      <c r="B660" s="37" t="inlineStr">
        <is>
          <t>Eastwey</t>
        </is>
      </c>
      <c r="C660" s="37" t="inlineStr">
        <is>
          <t>OPEN</t>
        </is>
      </c>
      <c r="D660" s="37" t="n">
        <v>45</v>
      </c>
      <c r="E660" s="37" t="inlineStr">
        <is>
          <t>OCCUPIED</t>
        </is>
      </c>
      <c r="F660" s="37" t="inlineStr">
        <is>
          <t>WL-02155</t>
        </is>
      </c>
      <c r="G660" s="37" t="inlineStr">
        <is>
          <t>Jeremy Turner</t>
        </is>
      </c>
      <c r="H660" s="37" t="n">
        <v>49.1</v>
      </c>
    </row>
    <row r="661">
      <c r="A661" s="37" t="inlineStr">
        <is>
          <t>EW-0716</t>
        </is>
      </c>
      <c r="B661" s="37" t="inlineStr">
        <is>
          <t>Eastwey</t>
        </is>
      </c>
      <c r="C661" s="37" t="inlineStr">
        <is>
          <t>OPEN</t>
        </is>
      </c>
      <c r="D661" s="37" t="n">
        <v>28</v>
      </c>
      <c r="E661" s="37" t="inlineStr">
        <is>
          <t>OCCUPIED</t>
        </is>
      </c>
      <c r="F661" s="37" t="inlineStr">
        <is>
          <t>WL-02280</t>
        </is>
      </c>
      <c r="G661" s="37" t="inlineStr">
        <is>
          <t>Joseph Rogers</t>
        </is>
      </c>
      <c r="H661" s="37" t="n">
        <v>21.9</v>
      </c>
    </row>
    <row r="662">
      <c r="A662" s="37" t="inlineStr">
        <is>
          <t>EW-0717</t>
        </is>
      </c>
      <c r="B662" s="37" t="inlineStr">
        <is>
          <t>Eastwey</t>
        </is>
      </c>
      <c r="C662" s="37" t="inlineStr">
        <is>
          <t>OPEN</t>
        </is>
      </c>
      <c r="D662" s="37" t="n">
        <v>36</v>
      </c>
      <c r="E662" s="37" t="inlineStr">
        <is>
          <t>OCCUPIED</t>
        </is>
      </c>
      <c r="F662" s="37" t="inlineStr">
        <is>
          <t>WL-02403</t>
        </is>
      </c>
      <c r="G662" s="37" t="inlineStr">
        <is>
          <t>Courtney Powell</t>
        </is>
      </c>
      <c r="H662" s="37" t="n">
        <v>39.5</v>
      </c>
    </row>
    <row r="663">
      <c r="A663" s="37" t="inlineStr">
        <is>
          <t>EW-0718</t>
        </is>
      </c>
      <c r="B663" s="37" t="inlineStr">
        <is>
          <t>Eastwey</t>
        </is>
      </c>
      <c r="C663" s="37" t="inlineStr">
        <is>
          <t>OPEN</t>
        </is>
      </c>
      <c r="D663" s="37" t="n">
        <v>60</v>
      </c>
      <c r="E663" s="37" t="inlineStr">
        <is>
          <t>OCCUPIED</t>
        </is>
      </c>
      <c r="F663" s="37" t="inlineStr">
        <is>
          <t>WL-01159</t>
        </is>
      </c>
      <c r="G663" s="37" t="inlineStr">
        <is>
          <t>Jesus Rice</t>
        </is>
      </c>
      <c r="H663" s="37" t="n">
        <v>35.8</v>
      </c>
    </row>
    <row r="664">
      <c r="A664" s="37" t="inlineStr">
        <is>
          <t>EW-0719</t>
        </is>
      </c>
      <c r="B664" s="37" t="inlineStr">
        <is>
          <t>Eastwey</t>
        </is>
      </c>
      <c r="C664" s="37" t="inlineStr">
        <is>
          <t>OPEN</t>
        </is>
      </c>
      <c r="D664" s="37" t="n">
        <v>36</v>
      </c>
      <c r="E664" s="37" t="inlineStr">
        <is>
          <t>OCCUPIED</t>
        </is>
      </c>
      <c r="F664" s="37" t="inlineStr">
        <is>
          <t>WL-02799</t>
        </is>
      </c>
      <c r="G664" s="37" t="inlineStr">
        <is>
          <t>Amber Turner</t>
        </is>
      </c>
      <c r="H664" s="37" t="n">
        <v>51.1</v>
      </c>
    </row>
    <row r="665">
      <c r="A665" s="37" t="inlineStr">
        <is>
          <t>EW-0720</t>
        </is>
      </c>
      <c r="B665" s="37" t="inlineStr">
        <is>
          <t>Eastwey</t>
        </is>
      </c>
      <c r="C665" s="37" t="inlineStr">
        <is>
          <t>OPEN</t>
        </is>
      </c>
      <c r="D665" s="37" t="n">
        <v>40</v>
      </c>
      <c r="E665" s="37" t="inlineStr">
        <is>
          <t>OCCUPIED</t>
        </is>
      </c>
      <c r="F665" s="37" t="inlineStr">
        <is>
          <t>WL-03636</t>
        </is>
      </c>
      <c r="G665" s="37" t="inlineStr">
        <is>
          <t>Amy Flores</t>
        </is>
      </c>
      <c r="H665" s="37" t="n">
        <v>29.3</v>
      </c>
    </row>
    <row r="666">
      <c r="A666" s="37" t="inlineStr">
        <is>
          <t>EW-0721</t>
        </is>
      </c>
      <c r="B666" s="37" t="inlineStr">
        <is>
          <t>Eastwey</t>
        </is>
      </c>
      <c r="C666" s="37" t="inlineStr">
        <is>
          <t>OPEN</t>
        </is>
      </c>
      <c r="D666" s="37" t="n">
        <v>24</v>
      </c>
      <c r="E666" s="37" t="inlineStr">
        <is>
          <t>OCCUPIED</t>
        </is>
      </c>
      <c r="F666" s="37" t="inlineStr">
        <is>
          <t>WL-01657</t>
        </is>
      </c>
      <c r="G666" s="37" t="inlineStr">
        <is>
          <t>Chad Wells</t>
        </is>
      </c>
      <c r="H666" s="37" t="n">
        <v>46.9</v>
      </c>
    </row>
    <row r="667">
      <c r="A667" s="37" t="inlineStr">
        <is>
          <t>EW-0722</t>
        </is>
      </c>
      <c r="B667" s="37" t="inlineStr">
        <is>
          <t>Eastwey</t>
        </is>
      </c>
      <c r="C667" s="37" t="inlineStr">
        <is>
          <t>OPEN</t>
        </is>
      </c>
      <c r="D667" s="37" t="n">
        <v>32</v>
      </c>
      <c r="E667" s="37" t="inlineStr">
        <is>
          <t>OCCUPIED</t>
        </is>
      </c>
      <c r="F667" s="37" t="inlineStr">
        <is>
          <t>WL-02952</t>
        </is>
      </c>
      <c r="G667" s="37" t="inlineStr">
        <is>
          <t>Stacy Schroeder</t>
        </is>
      </c>
      <c r="H667" s="37" t="n">
        <v>54.4</v>
      </c>
    </row>
    <row r="668">
      <c r="A668" s="37" t="inlineStr">
        <is>
          <t>EW-0723</t>
        </is>
      </c>
      <c r="B668" s="37" t="inlineStr">
        <is>
          <t>Eastwey</t>
        </is>
      </c>
      <c r="C668" s="37" t="inlineStr">
        <is>
          <t>OPEN</t>
        </is>
      </c>
      <c r="D668" s="37" t="n">
        <v>50</v>
      </c>
      <c r="E668" s="37" t="inlineStr">
        <is>
          <t>OCCUPIED</t>
        </is>
      </c>
      <c r="F668" s="37" t="inlineStr">
        <is>
          <t>WL-03327</t>
        </is>
      </c>
      <c r="G668" s="37" t="inlineStr">
        <is>
          <t>Laura Zamora</t>
        </is>
      </c>
      <c r="H668" s="37" t="n">
        <v>53.3</v>
      </c>
    </row>
    <row r="669">
      <c r="A669" s="37" t="inlineStr">
        <is>
          <t>EW-0724</t>
        </is>
      </c>
      <c r="B669" s="37" t="inlineStr">
        <is>
          <t>Eastwey</t>
        </is>
      </c>
      <c r="C669" s="37" t="inlineStr">
        <is>
          <t>OPEN</t>
        </is>
      </c>
      <c r="D669" s="37" t="n">
        <v>70</v>
      </c>
      <c r="E669" s="37" t="inlineStr">
        <is>
          <t>OCCUPIED</t>
        </is>
      </c>
      <c r="F669" s="37" t="inlineStr">
        <is>
          <t>WL-02005</t>
        </is>
      </c>
      <c r="G669" s="37" t="inlineStr">
        <is>
          <t>Caitlin Howard</t>
        </is>
      </c>
      <c r="H669" s="37" t="n">
        <v>35.8</v>
      </c>
    </row>
    <row r="670">
      <c r="A670" s="37" t="inlineStr">
        <is>
          <t>EW-0801</t>
        </is>
      </c>
      <c r="B670" s="37" t="inlineStr">
        <is>
          <t>Eastwey</t>
        </is>
      </c>
      <c r="C670" s="37" t="inlineStr">
        <is>
          <t>OPEN</t>
        </is>
      </c>
      <c r="D670" s="37" t="n">
        <v>45</v>
      </c>
      <c r="E670" s="37" t="inlineStr">
        <is>
          <t>OCCUPIED</t>
        </is>
      </c>
      <c r="F670" s="37" t="inlineStr">
        <is>
          <t>WL-02019</t>
        </is>
      </c>
      <c r="G670" s="37" t="inlineStr">
        <is>
          <t>James Cox</t>
        </is>
      </c>
      <c r="H670" s="37" t="n">
        <v>22.3</v>
      </c>
    </row>
    <row r="671">
      <c r="A671" s="37" t="inlineStr">
        <is>
          <t>EW-0802</t>
        </is>
      </c>
      <c r="B671" s="37" t="inlineStr">
        <is>
          <t>Eastwey</t>
        </is>
      </c>
      <c r="C671" s="37" t="inlineStr">
        <is>
          <t>OPEN</t>
        </is>
      </c>
      <c r="D671" s="37" t="n">
        <v>70</v>
      </c>
      <c r="E671" s="37" t="inlineStr">
        <is>
          <t>OCCUPIED</t>
        </is>
      </c>
      <c r="F671" s="37" t="inlineStr">
        <is>
          <t>WL-03780</t>
        </is>
      </c>
      <c r="G671" s="37" t="inlineStr">
        <is>
          <t>Carmen Maldonado</t>
        </is>
      </c>
      <c r="H671" s="37" t="n">
        <v>53.3</v>
      </c>
    </row>
    <row r="672">
      <c r="A672" s="37" t="inlineStr">
        <is>
          <t>EW-0803</t>
        </is>
      </c>
      <c r="B672" s="37" t="inlineStr">
        <is>
          <t>Eastwey</t>
        </is>
      </c>
      <c r="C672" s="37" t="inlineStr">
        <is>
          <t>OPEN</t>
        </is>
      </c>
      <c r="D672" s="37" t="n">
        <v>28</v>
      </c>
      <c r="E672" s="37" t="inlineStr">
        <is>
          <t>OCCUPIED</t>
        </is>
      </c>
      <c r="F672" s="37" t="inlineStr">
        <is>
          <t>WL-03360</t>
        </is>
      </c>
      <c r="G672" s="37" t="inlineStr">
        <is>
          <t>Morgan Ramos</t>
        </is>
      </c>
      <c r="H672" s="37" t="n">
        <v>56.4</v>
      </c>
    </row>
    <row r="673">
      <c r="A673" s="37" t="inlineStr">
        <is>
          <t>EW-0804</t>
        </is>
      </c>
      <c r="B673" s="37" t="inlineStr">
        <is>
          <t>Eastwey</t>
        </is>
      </c>
      <c r="C673" s="37" t="inlineStr">
        <is>
          <t>OPEN</t>
        </is>
      </c>
      <c r="D673" s="37" t="n">
        <v>32</v>
      </c>
      <c r="E673" s="37" t="inlineStr">
        <is>
          <t>OCCUPIED</t>
        </is>
      </c>
      <c r="F673" s="37" t="inlineStr">
        <is>
          <t>WL-03722</t>
        </is>
      </c>
      <c r="G673" s="37" t="inlineStr">
        <is>
          <t>Seth Stone</t>
        </is>
      </c>
      <c r="H673" s="37" t="n">
        <v>22.4</v>
      </c>
    </row>
    <row r="674">
      <c r="A674" s="37" t="inlineStr">
        <is>
          <t>EW-0805</t>
        </is>
      </c>
      <c r="B674" s="37" t="inlineStr">
        <is>
          <t>Eastwey</t>
        </is>
      </c>
      <c r="C674" s="37" t="inlineStr">
        <is>
          <t>OPEN</t>
        </is>
      </c>
      <c r="D674" s="37" t="n">
        <v>28</v>
      </c>
      <c r="E674" s="37" t="inlineStr">
        <is>
          <t>OCCUPIED</t>
        </is>
      </c>
      <c r="F674" s="37" t="inlineStr">
        <is>
          <t>WL-01569</t>
        </is>
      </c>
      <c r="G674" s="37" t="inlineStr">
        <is>
          <t>Sherri Smith</t>
        </is>
      </c>
      <c r="H674" s="37" t="n">
        <v>59</v>
      </c>
    </row>
    <row r="675">
      <c r="A675" s="37" t="inlineStr">
        <is>
          <t>EW-0806</t>
        </is>
      </c>
      <c r="B675" s="37" t="inlineStr">
        <is>
          <t>Eastwey</t>
        </is>
      </c>
      <c r="C675" s="37" t="inlineStr">
        <is>
          <t>OPEN</t>
        </is>
      </c>
      <c r="D675" s="37" t="n">
        <v>36</v>
      </c>
      <c r="E675" s="37" t="inlineStr">
        <is>
          <t>OCCUPIED</t>
        </is>
      </c>
      <c r="F675" s="37" t="inlineStr">
        <is>
          <t>WL-01375</t>
        </is>
      </c>
      <c r="G675" s="37" t="inlineStr">
        <is>
          <t>Crystal Austin</t>
        </is>
      </c>
      <c r="H675" s="37" t="n">
        <v>33.5</v>
      </c>
    </row>
    <row r="676">
      <c r="A676" s="37" t="inlineStr">
        <is>
          <t>EW-0807</t>
        </is>
      </c>
      <c r="B676" s="37" t="inlineStr">
        <is>
          <t>Eastwey</t>
        </is>
      </c>
      <c r="C676" s="37" t="inlineStr">
        <is>
          <t>OPEN</t>
        </is>
      </c>
      <c r="D676" s="37" t="n">
        <v>28</v>
      </c>
      <c r="E676" s="37" t="inlineStr">
        <is>
          <t>OCCUPIED</t>
        </is>
      </c>
      <c r="F676" s="37" t="inlineStr">
        <is>
          <t>WL-03182</t>
        </is>
      </c>
      <c r="G676" s="37" t="inlineStr">
        <is>
          <t>Matthew Gonzalez</t>
        </is>
      </c>
      <c r="H676" s="37" t="n">
        <v>29.3</v>
      </c>
    </row>
    <row r="677">
      <c r="A677" s="37" t="inlineStr">
        <is>
          <t>EW-0808</t>
        </is>
      </c>
      <c r="B677" s="37" t="inlineStr">
        <is>
          <t>Eastwey</t>
        </is>
      </c>
      <c r="C677" s="37" t="inlineStr">
        <is>
          <t>OPEN</t>
        </is>
      </c>
      <c r="D677" s="37" t="n">
        <v>80</v>
      </c>
      <c r="E677" s="37" t="inlineStr">
        <is>
          <t>OCCUPIED</t>
        </is>
      </c>
      <c r="F677" s="37" t="inlineStr">
        <is>
          <t>WL-02311</t>
        </is>
      </c>
      <c r="G677" s="37" t="inlineStr">
        <is>
          <t>Catherine Martinez</t>
        </is>
      </c>
      <c r="H677" s="37" t="n">
        <v>49.7</v>
      </c>
    </row>
    <row r="678">
      <c r="A678" s="37" t="inlineStr">
        <is>
          <t>EW-0809</t>
        </is>
      </c>
      <c r="B678" s="37" t="inlineStr">
        <is>
          <t>Eastwey</t>
        </is>
      </c>
      <c r="C678" s="37" t="inlineStr">
        <is>
          <t>OPEN</t>
        </is>
      </c>
      <c r="D678" s="37" t="n">
        <v>70</v>
      </c>
      <c r="E678" s="37" t="inlineStr">
        <is>
          <t>OCCUPIED</t>
        </is>
      </c>
      <c r="F678" s="37" t="inlineStr">
        <is>
          <t>WL-02595</t>
        </is>
      </c>
      <c r="G678" s="37" t="inlineStr">
        <is>
          <t>Cheryl Wood</t>
        </is>
      </c>
      <c r="H678" s="37" t="n">
        <v>58.3</v>
      </c>
    </row>
    <row r="679">
      <c r="A679" s="37" t="inlineStr">
        <is>
          <t>EW-0810</t>
        </is>
      </c>
      <c r="B679" s="37" t="inlineStr">
        <is>
          <t>Eastwey</t>
        </is>
      </c>
      <c r="C679" s="37" t="inlineStr">
        <is>
          <t>OPEN</t>
        </is>
      </c>
      <c r="D679" s="37" t="n">
        <v>28</v>
      </c>
      <c r="E679" s="37" t="inlineStr">
        <is>
          <t>OCCUPIED</t>
        </is>
      </c>
      <c r="F679" s="37" t="inlineStr">
        <is>
          <t>WL-03518</t>
        </is>
      </c>
      <c r="G679" s="37" t="inlineStr">
        <is>
          <t>Jorge Donovan</t>
        </is>
      </c>
      <c r="H679" s="37" t="n">
        <v>26.3</v>
      </c>
    </row>
    <row r="680">
      <c r="A680" s="37" t="inlineStr">
        <is>
          <t>EW-0811</t>
        </is>
      </c>
      <c r="B680" s="37" t="inlineStr">
        <is>
          <t>Eastwey</t>
        </is>
      </c>
      <c r="C680" s="37" t="inlineStr">
        <is>
          <t>OPEN</t>
        </is>
      </c>
      <c r="D680" s="37" t="n">
        <v>70</v>
      </c>
      <c r="E680" s="37" t="inlineStr">
        <is>
          <t>OCCUPIED</t>
        </is>
      </c>
      <c r="F680" s="37" t="inlineStr">
        <is>
          <t>WL-03708</t>
        </is>
      </c>
      <c r="G680" s="37" t="inlineStr">
        <is>
          <t>Catherine Anderson</t>
        </is>
      </c>
      <c r="H680" s="37" t="n">
        <v>61</v>
      </c>
    </row>
    <row r="681">
      <c r="A681" s="37" t="inlineStr">
        <is>
          <t>EW-0812</t>
        </is>
      </c>
      <c r="B681" s="37" t="inlineStr">
        <is>
          <t>Eastwey</t>
        </is>
      </c>
      <c r="C681" s="37" t="inlineStr">
        <is>
          <t>OPEN</t>
        </is>
      </c>
      <c r="D681" s="37" t="n">
        <v>28</v>
      </c>
      <c r="E681" s="37" t="inlineStr">
        <is>
          <t>OCCUPIED</t>
        </is>
      </c>
      <c r="F681" s="37" t="inlineStr">
        <is>
          <t>WL-03679</t>
        </is>
      </c>
      <c r="G681" s="37" t="inlineStr">
        <is>
          <t>Tracy Page</t>
        </is>
      </c>
      <c r="H681" s="37" t="n">
        <v>26.4</v>
      </c>
    </row>
    <row r="682">
      <c r="A682" s="37" t="inlineStr">
        <is>
          <t>EW-0813</t>
        </is>
      </c>
      <c r="B682" s="37" t="inlineStr">
        <is>
          <t>Eastwey</t>
        </is>
      </c>
      <c r="C682" s="37" t="inlineStr">
        <is>
          <t>OPEN</t>
        </is>
      </c>
      <c r="D682" s="37" t="n">
        <v>45</v>
      </c>
      <c r="E682" s="37" t="inlineStr">
        <is>
          <t>OCCUPIED</t>
        </is>
      </c>
      <c r="F682" s="37" t="inlineStr">
        <is>
          <t>WL-02198</t>
        </is>
      </c>
      <c r="G682" s="37" t="inlineStr">
        <is>
          <t>James Torres</t>
        </is>
      </c>
      <c r="H682" s="37" t="n">
        <v>54.3</v>
      </c>
    </row>
    <row r="683">
      <c r="A683" s="37" t="inlineStr">
        <is>
          <t>EW-0814</t>
        </is>
      </c>
      <c r="B683" s="37" t="inlineStr">
        <is>
          <t>Eastwey</t>
        </is>
      </c>
      <c r="C683" s="37" t="inlineStr">
        <is>
          <t>OPEN</t>
        </is>
      </c>
      <c r="D683" s="37" t="n">
        <v>40</v>
      </c>
      <c r="E683" s="37" t="inlineStr">
        <is>
          <t>OCCUPIED</t>
        </is>
      </c>
      <c r="F683" s="37" t="inlineStr">
        <is>
          <t>WL-01852</t>
        </is>
      </c>
      <c r="G683" s="37" t="inlineStr">
        <is>
          <t>Ross Erickson</t>
        </is>
      </c>
      <c r="H683" s="37" t="n">
        <v>30.1</v>
      </c>
    </row>
    <row r="684">
      <c r="A684" s="37" t="inlineStr">
        <is>
          <t>EW-0815</t>
        </is>
      </c>
      <c r="B684" s="37" t="inlineStr">
        <is>
          <t>Eastwey</t>
        </is>
      </c>
      <c r="C684" s="37" t="inlineStr">
        <is>
          <t>OPEN</t>
        </is>
      </c>
      <c r="D684" s="37" t="n">
        <v>50</v>
      </c>
      <c r="E684" s="37" t="inlineStr">
        <is>
          <t>OCCUPIED</t>
        </is>
      </c>
      <c r="F684" s="37" t="inlineStr">
        <is>
          <t>WL-03368</t>
        </is>
      </c>
      <c r="G684" s="37" t="inlineStr">
        <is>
          <t>Daniel Bowen</t>
        </is>
      </c>
      <c r="H684" s="37" t="n">
        <v>41.7</v>
      </c>
    </row>
    <row r="685">
      <c r="A685" s="37" t="inlineStr">
        <is>
          <t>EW-0816</t>
        </is>
      </c>
      <c r="B685" s="37" t="inlineStr">
        <is>
          <t>Eastwey</t>
        </is>
      </c>
      <c r="C685" s="37" t="inlineStr">
        <is>
          <t>OPEN</t>
        </is>
      </c>
      <c r="D685" s="37" t="n">
        <v>80</v>
      </c>
      <c r="E685" s="37" t="inlineStr">
        <is>
          <t>OCCUPIED</t>
        </is>
      </c>
      <c r="F685" s="37" t="inlineStr">
        <is>
          <t>WL-02445</t>
        </is>
      </c>
      <c r="G685" s="37" t="inlineStr">
        <is>
          <t>Marcus Yee</t>
        </is>
      </c>
      <c r="H685" s="37" t="n">
        <v>39.4</v>
      </c>
    </row>
    <row r="686">
      <c r="A686" s="37" t="inlineStr">
        <is>
          <t>EW-0817</t>
        </is>
      </c>
      <c r="B686" s="37" t="inlineStr">
        <is>
          <t>Eastwey</t>
        </is>
      </c>
      <c r="C686" s="37" t="inlineStr">
        <is>
          <t>OPEN</t>
        </is>
      </c>
      <c r="D686" s="37" t="n">
        <v>24</v>
      </c>
      <c r="E686" s="37" t="inlineStr">
        <is>
          <t>OCCUPIED</t>
        </is>
      </c>
      <c r="F686" s="37" t="inlineStr">
        <is>
          <t>WL-03434</t>
        </is>
      </c>
      <c r="G686" s="37" t="inlineStr">
        <is>
          <t>Michelle Caldwell</t>
        </is>
      </c>
      <c r="H686" s="37" t="n">
        <v>35.5</v>
      </c>
    </row>
    <row r="687">
      <c r="A687" s="37" t="inlineStr">
        <is>
          <t>EW-0818</t>
        </is>
      </c>
      <c r="B687" s="37" t="inlineStr">
        <is>
          <t>Eastwey</t>
        </is>
      </c>
      <c r="C687" s="37" t="inlineStr">
        <is>
          <t>OPEN</t>
        </is>
      </c>
      <c r="D687" s="37" t="n">
        <v>32</v>
      </c>
      <c r="E687" s="37" t="inlineStr">
        <is>
          <t>OCCUPIED</t>
        </is>
      </c>
      <c r="F687" s="37" t="inlineStr">
        <is>
          <t>WL-03709</t>
        </is>
      </c>
      <c r="G687" s="37" t="inlineStr">
        <is>
          <t>Brandy Mays</t>
        </is>
      </c>
      <c r="H687" s="37" t="n">
        <v>54.1</v>
      </c>
    </row>
    <row r="688">
      <c r="A688" s="37" t="inlineStr">
        <is>
          <t>EW-0819</t>
        </is>
      </c>
      <c r="B688" s="37" t="inlineStr">
        <is>
          <t>Eastwey</t>
        </is>
      </c>
      <c r="C688" s="37" t="inlineStr">
        <is>
          <t>OPEN</t>
        </is>
      </c>
      <c r="D688" s="37" t="n">
        <v>24</v>
      </c>
      <c r="E688" s="37" t="inlineStr">
        <is>
          <t>OCCUPIED</t>
        </is>
      </c>
      <c r="F688" s="37" t="inlineStr">
        <is>
          <t>WL-02587</t>
        </is>
      </c>
      <c r="G688" s="37" t="inlineStr">
        <is>
          <t>Mary Figueroa</t>
        </is>
      </c>
      <c r="H688" s="37" t="n">
        <v>35</v>
      </c>
    </row>
    <row r="689">
      <c r="A689" s="37" t="inlineStr">
        <is>
          <t>EW-0820</t>
        </is>
      </c>
      <c r="B689" s="37" t="inlineStr">
        <is>
          <t>Eastwey</t>
        </is>
      </c>
      <c r="C689" s="37" t="inlineStr">
        <is>
          <t>OPEN</t>
        </is>
      </c>
      <c r="D689" s="37" t="n">
        <v>40</v>
      </c>
      <c r="E689" s="37" t="inlineStr">
        <is>
          <t>GUEST</t>
        </is>
      </c>
    </row>
    <row r="690">
      <c r="A690" s="37" t="inlineStr">
        <is>
          <t>EW-0821</t>
        </is>
      </c>
      <c r="B690" s="37" t="inlineStr">
        <is>
          <t>Eastwey</t>
        </is>
      </c>
      <c r="C690" s="37" t="inlineStr">
        <is>
          <t>OPEN</t>
        </is>
      </c>
      <c r="D690" s="37" t="n">
        <v>40</v>
      </c>
      <c r="E690" s="37" t="inlineStr">
        <is>
          <t>OCCUPIED</t>
        </is>
      </c>
      <c r="F690" s="37" t="inlineStr">
        <is>
          <t>WL-02217</t>
        </is>
      </c>
      <c r="G690" s="37" t="inlineStr">
        <is>
          <t>Rose Morales</t>
        </is>
      </c>
      <c r="H690" s="37" t="n">
        <v>28.5</v>
      </c>
    </row>
    <row r="691">
      <c r="A691" s="37" t="inlineStr">
        <is>
          <t>EW-0822</t>
        </is>
      </c>
      <c r="B691" s="37" t="inlineStr">
        <is>
          <t>Eastwey</t>
        </is>
      </c>
      <c r="C691" s="37" t="inlineStr">
        <is>
          <t>OPEN</t>
        </is>
      </c>
      <c r="D691" s="37" t="n">
        <v>60</v>
      </c>
      <c r="E691" s="37" t="inlineStr">
        <is>
          <t>OCCUPIED</t>
        </is>
      </c>
      <c r="F691" s="37" t="inlineStr">
        <is>
          <t>WL-01076</t>
        </is>
      </c>
      <c r="G691" s="37" t="inlineStr">
        <is>
          <t>Timothy Robinson</t>
        </is>
      </c>
      <c r="H691" s="37" t="n">
        <v>49.9</v>
      </c>
    </row>
    <row r="692">
      <c r="A692" s="37" t="inlineStr">
        <is>
          <t>EW-0823</t>
        </is>
      </c>
      <c r="B692" s="37" t="inlineStr">
        <is>
          <t>Eastwey</t>
        </is>
      </c>
      <c r="C692" s="37" t="inlineStr">
        <is>
          <t>OPEN</t>
        </is>
      </c>
      <c r="D692" s="37" t="n">
        <v>32</v>
      </c>
      <c r="E692" s="37" t="inlineStr">
        <is>
          <t>OCCUPIED</t>
        </is>
      </c>
      <c r="F692" s="37" t="inlineStr">
        <is>
          <t>WL-03201</t>
        </is>
      </c>
      <c r="G692" s="37" t="inlineStr">
        <is>
          <t>Nancy Montgomery</t>
        </is>
      </c>
      <c r="H692" s="37" t="n">
        <v>54.2</v>
      </c>
    </row>
    <row r="693">
      <c r="A693" s="37" t="inlineStr">
        <is>
          <t>EW-0824</t>
        </is>
      </c>
      <c r="B693" s="37" t="inlineStr">
        <is>
          <t>Eastwey</t>
        </is>
      </c>
      <c r="C693" s="37" t="inlineStr">
        <is>
          <t>OPEN</t>
        </is>
      </c>
      <c r="D693" s="37" t="n">
        <v>28</v>
      </c>
      <c r="E693" s="37" t="inlineStr">
        <is>
          <t>MAINTENANCE</t>
        </is>
      </c>
    </row>
    <row r="694">
      <c r="A694" s="37" t="inlineStr">
        <is>
          <t>EW-0901</t>
        </is>
      </c>
      <c r="B694" s="37" t="inlineStr">
        <is>
          <t>Eastwey</t>
        </is>
      </c>
      <c r="C694" s="37" t="inlineStr">
        <is>
          <t>OPEN</t>
        </is>
      </c>
      <c r="D694" s="37" t="n">
        <v>28</v>
      </c>
      <c r="E694" s="37" t="inlineStr">
        <is>
          <t>OCCUPIED</t>
        </is>
      </c>
      <c r="F694" s="37" t="inlineStr">
        <is>
          <t>WL-02581</t>
        </is>
      </c>
      <c r="G694" s="37" t="inlineStr">
        <is>
          <t>Carolyn Sanchez</t>
        </is>
      </c>
      <c r="H694" s="37" t="n">
        <v>37.9</v>
      </c>
    </row>
    <row r="695">
      <c r="A695" s="37" t="inlineStr">
        <is>
          <t>EW-0902</t>
        </is>
      </c>
      <c r="B695" s="37" t="inlineStr">
        <is>
          <t>Eastwey</t>
        </is>
      </c>
      <c r="C695" s="37" t="inlineStr">
        <is>
          <t>OPEN</t>
        </is>
      </c>
      <c r="D695" s="37" t="n">
        <v>80</v>
      </c>
      <c r="E695" s="37" t="inlineStr">
        <is>
          <t>OCCUPIED</t>
        </is>
      </c>
      <c r="F695" s="37" t="inlineStr">
        <is>
          <t>WL-03690</t>
        </is>
      </c>
      <c r="G695" s="37" t="inlineStr">
        <is>
          <t>John Patel</t>
        </is>
      </c>
      <c r="H695" s="37" t="n">
        <v>46.8</v>
      </c>
    </row>
    <row r="696">
      <c r="A696" s="37" t="inlineStr">
        <is>
          <t>EW-0903</t>
        </is>
      </c>
      <c r="B696" s="37" t="inlineStr">
        <is>
          <t>Eastwey</t>
        </is>
      </c>
      <c r="C696" s="37" t="inlineStr">
        <is>
          <t>OPEN</t>
        </is>
      </c>
      <c r="D696" s="37" t="n">
        <v>24</v>
      </c>
      <c r="E696" s="37" t="inlineStr">
        <is>
          <t>OCCUPIED</t>
        </is>
      </c>
      <c r="F696" s="37" t="inlineStr">
        <is>
          <t>WL-01891</t>
        </is>
      </c>
      <c r="G696" s="37" t="inlineStr">
        <is>
          <t>Lee Ritter</t>
        </is>
      </c>
      <c r="H696" s="37" t="n">
        <v>26.2</v>
      </c>
    </row>
    <row r="697">
      <c r="A697" s="37" t="inlineStr">
        <is>
          <t>EW-0904</t>
        </is>
      </c>
      <c r="B697" s="37" t="inlineStr">
        <is>
          <t>Eastwey</t>
        </is>
      </c>
      <c r="C697" s="37" t="inlineStr">
        <is>
          <t>OPEN</t>
        </is>
      </c>
      <c r="D697" s="37" t="n">
        <v>45</v>
      </c>
      <c r="E697" s="37" t="inlineStr">
        <is>
          <t>OCCUPIED</t>
        </is>
      </c>
      <c r="F697" s="37" t="inlineStr">
        <is>
          <t>WL-03412</t>
        </is>
      </c>
      <c r="G697" s="37" t="inlineStr">
        <is>
          <t>Seth Smith</t>
        </is>
      </c>
      <c r="H697" s="37" t="n">
        <v>38.3</v>
      </c>
    </row>
    <row r="698">
      <c r="A698" s="37" t="inlineStr">
        <is>
          <t>EW-0905</t>
        </is>
      </c>
      <c r="B698" s="37" t="inlineStr">
        <is>
          <t>Eastwey</t>
        </is>
      </c>
      <c r="C698" s="37" t="inlineStr">
        <is>
          <t>OPEN</t>
        </is>
      </c>
      <c r="D698" s="37" t="n">
        <v>45</v>
      </c>
      <c r="E698" s="37" t="inlineStr">
        <is>
          <t>OCCUPIED</t>
        </is>
      </c>
      <c r="F698" s="37" t="inlineStr">
        <is>
          <t>WL-01393</t>
        </is>
      </c>
      <c r="G698" s="37" t="inlineStr">
        <is>
          <t>Lauren Thompson</t>
        </is>
      </c>
      <c r="H698" s="37" t="n">
        <v>47</v>
      </c>
    </row>
    <row r="699">
      <c r="A699" s="37" t="inlineStr">
        <is>
          <t>EW-0906</t>
        </is>
      </c>
      <c r="B699" s="37" t="inlineStr">
        <is>
          <t>Eastwey</t>
        </is>
      </c>
      <c r="C699" s="37" t="inlineStr">
        <is>
          <t>OPEN</t>
        </is>
      </c>
      <c r="D699" s="37" t="n">
        <v>80</v>
      </c>
      <c r="E699" s="37" t="inlineStr">
        <is>
          <t>OCCUPIED</t>
        </is>
      </c>
      <c r="F699" s="37" t="inlineStr">
        <is>
          <t>WL-01035</t>
        </is>
      </c>
      <c r="G699" s="37" t="inlineStr">
        <is>
          <t>Ivan Webster</t>
        </is>
      </c>
      <c r="H699" s="37" t="n">
        <v>58.9</v>
      </c>
    </row>
    <row r="700">
      <c r="A700" s="37" t="inlineStr">
        <is>
          <t>EW-0907</t>
        </is>
      </c>
      <c r="B700" s="37" t="inlineStr">
        <is>
          <t>Eastwey</t>
        </is>
      </c>
      <c r="C700" s="37" t="inlineStr">
        <is>
          <t>OPEN</t>
        </is>
      </c>
      <c r="D700" s="37" t="n">
        <v>40</v>
      </c>
      <c r="E700" s="37" t="inlineStr">
        <is>
          <t>OCCUPIED</t>
        </is>
      </c>
      <c r="F700" s="37" t="inlineStr">
        <is>
          <t>WL-02881</t>
        </is>
      </c>
      <c r="G700" s="37" t="inlineStr">
        <is>
          <t>Christopher Woodward</t>
        </is>
      </c>
      <c r="H700" s="37" t="n">
        <v>52</v>
      </c>
    </row>
    <row r="701">
      <c r="A701" s="37" t="inlineStr">
        <is>
          <t>EW-0908</t>
        </is>
      </c>
      <c r="B701" s="37" t="inlineStr">
        <is>
          <t>Eastwey</t>
        </is>
      </c>
      <c r="C701" s="37" t="inlineStr">
        <is>
          <t>OPEN</t>
        </is>
      </c>
      <c r="D701" s="37" t="n">
        <v>40</v>
      </c>
      <c r="E701" s="37" t="inlineStr">
        <is>
          <t>OCCUPIED</t>
        </is>
      </c>
      <c r="F701" s="37" t="inlineStr">
        <is>
          <t>WL-02478</t>
        </is>
      </c>
      <c r="G701" s="37" t="inlineStr">
        <is>
          <t>Travis Long</t>
        </is>
      </c>
      <c r="H701" s="37" t="n">
        <v>34.8</v>
      </c>
    </row>
    <row r="702">
      <c r="A702" s="37" t="inlineStr">
        <is>
          <t>EW-0909</t>
        </is>
      </c>
      <c r="B702" s="37" t="inlineStr">
        <is>
          <t>Eastwey</t>
        </is>
      </c>
      <c r="C702" s="37" t="inlineStr">
        <is>
          <t>OPEN</t>
        </is>
      </c>
      <c r="D702" s="37" t="n">
        <v>45</v>
      </c>
      <c r="E702" s="37" t="inlineStr">
        <is>
          <t>OCCUPIED</t>
        </is>
      </c>
      <c r="F702" s="37" t="inlineStr">
        <is>
          <t>WL-03396</t>
        </is>
      </c>
      <c r="G702" s="37" t="inlineStr">
        <is>
          <t>Tanya Woods</t>
        </is>
      </c>
      <c r="H702" s="37" t="n">
        <v>24.6</v>
      </c>
    </row>
    <row r="703">
      <c r="A703" s="37" t="inlineStr">
        <is>
          <t>EW-0910</t>
        </is>
      </c>
      <c r="B703" s="37" t="inlineStr">
        <is>
          <t>Eastwey</t>
        </is>
      </c>
      <c r="C703" s="37" t="inlineStr">
        <is>
          <t>OPEN</t>
        </is>
      </c>
      <c r="D703" s="37" t="n">
        <v>70</v>
      </c>
      <c r="E703" s="37" t="inlineStr">
        <is>
          <t>OCCUPIED</t>
        </is>
      </c>
      <c r="F703" s="37" t="inlineStr">
        <is>
          <t>WL-03319</t>
        </is>
      </c>
      <c r="G703" s="37" t="inlineStr">
        <is>
          <t>Darrell Hall</t>
        </is>
      </c>
      <c r="H703" s="37" t="n">
        <v>53.7</v>
      </c>
    </row>
    <row r="704">
      <c r="A704" s="37" t="inlineStr">
        <is>
          <t>EW-0911</t>
        </is>
      </c>
      <c r="B704" s="37" t="inlineStr">
        <is>
          <t>Eastwey</t>
        </is>
      </c>
      <c r="C704" s="37" t="inlineStr">
        <is>
          <t>OPEN</t>
        </is>
      </c>
      <c r="D704" s="37" t="n">
        <v>60</v>
      </c>
      <c r="E704" s="37" t="inlineStr">
        <is>
          <t>OCCUPIED</t>
        </is>
      </c>
      <c r="F704" s="37" t="inlineStr">
        <is>
          <t>WL-02871</t>
        </is>
      </c>
      <c r="G704" s="37" t="inlineStr">
        <is>
          <t>Bailey Barnes</t>
        </is>
      </c>
      <c r="H704" s="37" t="n">
        <v>24</v>
      </c>
    </row>
    <row r="705">
      <c r="A705" s="37" t="inlineStr">
        <is>
          <t>EW-0912</t>
        </is>
      </c>
      <c r="B705" s="37" t="inlineStr">
        <is>
          <t>Eastwey</t>
        </is>
      </c>
      <c r="C705" s="37" t="inlineStr">
        <is>
          <t>OPEN</t>
        </is>
      </c>
      <c r="D705" s="37" t="n">
        <v>70</v>
      </c>
      <c r="E705" s="37" t="inlineStr">
        <is>
          <t>OCCUPIED</t>
        </is>
      </c>
      <c r="F705" s="37" t="inlineStr">
        <is>
          <t>WL-03562</t>
        </is>
      </c>
      <c r="G705" s="37" t="inlineStr">
        <is>
          <t>Tara Davis</t>
        </is>
      </c>
      <c r="H705" s="37" t="n">
        <v>47.4</v>
      </c>
    </row>
    <row r="706">
      <c r="A706" s="37" t="inlineStr">
        <is>
          <t>EW-0913</t>
        </is>
      </c>
      <c r="B706" s="37" t="inlineStr">
        <is>
          <t>Eastwey</t>
        </is>
      </c>
      <c r="C706" s="37" t="inlineStr">
        <is>
          <t>OPEN</t>
        </is>
      </c>
      <c r="D706" s="37" t="n">
        <v>32</v>
      </c>
      <c r="E706" s="37" t="inlineStr">
        <is>
          <t>OCCUPIED</t>
        </is>
      </c>
      <c r="F706" s="37" t="inlineStr">
        <is>
          <t>WL-02382</t>
        </is>
      </c>
      <c r="G706" s="37" t="inlineStr">
        <is>
          <t>Rachael Wallace</t>
        </is>
      </c>
      <c r="H706" s="37" t="n">
        <v>47.2</v>
      </c>
    </row>
    <row r="707">
      <c r="A707" s="37" t="inlineStr">
        <is>
          <t>EW-0914</t>
        </is>
      </c>
      <c r="B707" s="37" t="inlineStr">
        <is>
          <t>Eastwey</t>
        </is>
      </c>
      <c r="C707" s="37" t="inlineStr">
        <is>
          <t>OPEN</t>
        </is>
      </c>
      <c r="D707" s="37" t="n">
        <v>28</v>
      </c>
      <c r="E707" s="37" t="inlineStr">
        <is>
          <t>OCCUPIED</t>
        </is>
      </c>
      <c r="F707" s="37" t="inlineStr">
        <is>
          <t>WL-02046</t>
        </is>
      </c>
      <c r="G707" s="37" t="inlineStr">
        <is>
          <t>Jennifer Scott</t>
        </is>
      </c>
      <c r="H707" s="37" t="n">
        <v>25.3</v>
      </c>
    </row>
    <row r="708">
      <c r="A708" s="37" t="inlineStr">
        <is>
          <t>EW-0915</t>
        </is>
      </c>
      <c r="B708" s="37" t="inlineStr">
        <is>
          <t>Eastwey</t>
        </is>
      </c>
      <c r="C708" s="37" t="inlineStr">
        <is>
          <t>OPEN</t>
        </is>
      </c>
      <c r="D708" s="37" t="n">
        <v>50</v>
      </c>
      <c r="E708" s="37" t="inlineStr">
        <is>
          <t>OCCUPIED</t>
        </is>
      </c>
      <c r="F708" s="37" t="inlineStr">
        <is>
          <t>WL-03170</t>
        </is>
      </c>
      <c r="G708" s="37" t="inlineStr">
        <is>
          <t>Kyle Chen</t>
        </is>
      </c>
      <c r="H708" s="37" t="n">
        <v>49.5</v>
      </c>
    </row>
    <row r="709">
      <c r="A709" s="37" t="inlineStr">
        <is>
          <t>EW-0916</t>
        </is>
      </c>
      <c r="B709" s="37" t="inlineStr">
        <is>
          <t>Eastwey</t>
        </is>
      </c>
      <c r="C709" s="37" t="inlineStr">
        <is>
          <t>OPEN</t>
        </is>
      </c>
      <c r="D709" s="37" t="n">
        <v>24</v>
      </c>
      <c r="E709" s="37" t="inlineStr">
        <is>
          <t>OCCUPIED</t>
        </is>
      </c>
      <c r="F709" s="37" t="inlineStr">
        <is>
          <t>WL-03268</t>
        </is>
      </c>
      <c r="G709" s="37" t="inlineStr">
        <is>
          <t>Charles Parker</t>
        </is>
      </c>
      <c r="H709" s="37" t="n">
        <v>53.1</v>
      </c>
    </row>
    <row r="710">
      <c r="A710" s="37" t="inlineStr">
        <is>
          <t>EW-0917</t>
        </is>
      </c>
      <c r="B710" s="37" t="inlineStr">
        <is>
          <t>Eastwey</t>
        </is>
      </c>
      <c r="C710" s="37" t="inlineStr">
        <is>
          <t>OPEN</t>
        </is>
      </c>
      <c r="D710" s="37" t="n">
        <v>24</v>
      </c>
      <c r="E710" s="37" t="inlineStr">
        <is>
          <t>OCCUPIED</t>
        </is>
      </c>
      <c r="F710" s="37" t="inlineStr">
        <is>
          <t>WL-03374</t>
        </is>
      </c>
      <c r="G710" s="37" t="inlineStr">
        <is>
          <t>Tina Ward</t>
        </is>
      </c>
      <c r="H710" s="37" t="n">
        <v>48.6</v>
      </c>
    </row>
    <row r="711">
      <c r="A711" s="37" t="inlineStr">
        <is>
          <t>EW-0918</t>
        </is>
      </c>
      <c r="B711" s="37" t="inlineStr">
        <is>
          <t>Eastwey</t>
        </is>
      </c>
      <c r="C711" s="37" t="inlineStr">
        <is>
          <t>OPEN</t>
        </is>
      </c>
      <c r="D711" s="37" t="n">
        <v>24</v>
      </c>
      <c r="E711" s="37" t="inlineStr">
        <is>
          <t>OCCUPIED</t>
        </is>
      </c>
      <c r="F711" s="37" t="inlineStr">
        <is>
          <t>WL-02502</t>
        </is>
      </c>
      <c r="G711" s="37" t="inlineStr">
        <is>
          <t>Michelle Cline</t>
        </is>
      </c>
      <c r="H711" s="37" t="n">
        <v>29.8</v>
      </c>
    </row>
    <row r="712">
      <c r="A712" s="37" t="inlineStr">
        <is>
          <t>EW-0919</t>
        </is>
      </c>
      <c r="B712" s="37" t="inlineStr">
        <is>
          <t>Eastwey</t>
        </is>
      </c>
      <c r="C712" s="37" t="inlineStr">
        <is>
          <t>OPEN</t>
        </is>
      </c>
      <c r="D712" s="37" t="n">
        <v>28</v>
      </c>
      <c r="E712" s="37" t="inlineStr">
        <is>
          <t>OCCUPIED</t>
        </is>
      </c>
      <c r="F712" s="37" t="inlineStr">
        <is>
          <t>WL-03012</t>
        </is>
      </c>
      <c r="G712" s="37" t="inlineStr">
        <is>
          <t>Olivia Joseph</t>
        </is>
      </c>
      <c r="H712" s="37" t="n">
        <v>61.3</v>
      </c>
    </row>
    <row r="713">
      <c r="A713" s="37" t="inlineStr">
        <is>
          <t>EW-0920</t>
        </is>
      </c>
      <c r="B713" s="37" t="inlineStr">
        <is>
          <t>Eastwey</t>
        </is>
      </c>
      <c r="C713" s="37" t="inlineStr">
        <is>
          <t>OPEN</t>
        </is>
      </c>
      <c r="D713" s="37" t="n">
        <v>40</v>
      </c>
      <c r="E713" s="37" t="inlineStr">
        <is>
          <t>OCCUPIED</t>
        </is>
      </c>
      <c r="F713" s="37" t="inlineStr">
        <is>
          <t>WL-02451</t>
        </is>
      </c>
      <c r="G713" s="37" t="inlineStr">
        <is>
          <t>Brooke Bell</t>
        </is>
      </c>
      <c r="H713" s="37" t="n">
        <v>51.4</v>
      </c>
    </row>
    <row r="714">
      <c r="A714" s="37" t="inlineStr">
        <is>
          <t>EW-0921</t>
        </is>
      </c>
      <c r="B714" s="37" t="inlineStr">
        <is>
          <t>Eastwey</t>
        </is>
      </c>
      <c r="C714" s="37" t="inlineStr">
        <is>
          <t>OPEN</t>
        </is>
      </c>
      <c r="D714" s="37" t="n">
        <v>32</v>
      </c>
      <c r="E714" s="37" t="inlineStr">
        <is>
          <t>OCCUPIED</t>
        </is>
      </c>
      <c r="F714" s="37" t="inlineStr">
        <is>
          <t>WL-01499</t>
        </is>
      </c>
      <c r="G714" s="37" t="inlineStr">
        <is>
          <t>Jessica Miller</t>
        </is>
      </c>
      <c r="H714" s="37" t="n">
        <v>61.9</v>
      </c>
    </row>
    <row r="715">
      <c r="A715" s="37" t="inlineStr">
        <is>
          <t>EW-0922</t>
        </is>
      </c>
      <c r="B715" s="37" t="inlineStr">
        <is>
          <t>Eastwey</t>
        </is>
      </c>
      <c r="C715" s="37" t="inlineStr">
        <is>
          <t>OPEN</t>
        </is>
      </c>
      <c r="D715" s="37" t="n">
        <v>28</v>
      </c>
      <c r="E715" s="37" t="inlineStr">
        <is>
          <t>OCCUPIED</t>
        </is>
      </c>
      <c r="F715" s="37" t="inlineStr">
        <is>
          <t>WL-03568</t>
        </is>
      </c>
      <c r="G715" s="37" t="inlineStr">
        <is>
          <t>Ricardo Jensen</t>
        </is>
      </c>
      <c r="H715" s="37" t="n">
        <v>26.2</v>
      </c>
    </row>
    <row r="716">
      <c r="A716" s="37" t="inlineStr">
        <is>
          <t>EW-0923</t>
        </is>
      </c>
      <c r="B716" s="37" t="inlineStr">
        <is>
          <t>Eastwey</t>
        </is>
      </c>
      <c r="C716" s="37" t="inlineStr">
        <is>
          <t>OPEN</t>
        </is>
      </c>
      <c r="D716" s="37" t="n">
        <v>32</v>
      </c>
      <c r="E716" s="37" t="inlineStr">
        <is>
          <t>OCCUPIED</t>
        </is>
      </c>
      <c r="F716" s="37" t="inlineStr">
        <is>
          <t>WL-03351</t>
        </is>
      </c>
      <c r="G716" s="37" t="inlineStr">
        <is>
          <t>Justin Mejia</t>
        </is>
      </c>
      <c r="H716" s="37" t="n">
        <v>40.6</v>
      </c>
    </row>
    <row r="717">
      <c r="A717" s="37" t="inlineStr">
        <is>
          <t>EW-0924</t>
        </is>
      </c>
      <c r="B717" s="37" t="inlineStr">
        <is>
          <t>Eastwey</t>
        </is>
      </c>
      <c r="C717" s="37" t="inlineStr">
        <is>
          <t>OPEN</t>
        </is>
      </c>
      <c r="D717" s="37" t="n">
        <v>36</v>
      </c>
      <c r="E717" s="37" t="inlineStr">
        <is>
          <t>GUEST</t>
        </is>
      </c>
    </row>
    <row r="718">
      <c r="A718" s="37" t="inlineStr">
        <is>
          <t>EW-1001</t>
        </is>
      </c>
      <c r="B718" s="37" t="inlineStr">
        <is>
          <t>Eastwey</t>
        </is>
      </c>
      <c r="C718" s="37" t="inlineStr">
        <is>
          <t>OPEN</t>
        </is>
      </c>
      <c r="D718" s="37" t="n">
        <v>45</v>
      </c>
      <c r="E718" s="37" t="inlineStr">
        <is>
          <t>OCCUPIED</t>
        </is>
      </c>
      <c r="F718" s="37" t="inlineStr">
        <is>
          <t>WL-03821</t>
        </is>
      </c>
      <c r="G718" s="37" t="inlineStr">
        <is>
          <t>Tammy Dalton</t>
        </is>
      </c>
      <c r="H718" s="37" t="n">
        <v>59.5</v>
      </c>
    </row>
    <row r="719">
      <c r="A719" s="37" t="inlineStr">
        <is>
          <t>EW-1002</t>
        </is>
      </c>
      <c r="B719" s="37" t="inlineStr">
        <is>
          <t>Eastwey</t>
        </is>
      </c>
      <c r="C719" s="37" t="inlineStr">
        <is>
          <t>OPEN</t>
        </is>
      </c>
      <c r="D719" s="37" t="n">
        <v>28</v>
      </c>
      <c r="E719" s="37" t="inlineStr">
        <is>
          <t>OCCUPIED</t>
        </is>
      </c>
      <c r="F719" s="37" t="inlineStr">
        <is>
          <t>WL-02120</t>
        </is>
      </c>
      <c r="G719" s="37" t="inlineStr">
        <is>
          <t>Jerry Reyes</t>
        </is>
      </c>
      <c r="H719" s="37" t="n">
        <v>26.7</v>
      </c>
    </row>
    <row r="720">
      <c r="A720" s="37" t="inlineStr">
        <is>
          <t>EW-1003</t>
        </is>
      </c>
      <c r="B720" s="37" t="inlineStr">
        <is>
          <t>Eastwey</t>
        </is>
      </c>
      <c r="C720" s="37" t="inlineStr">
        <is>
          <t>OPEN</t>
        </is>
      </c>
      <c r="D720" s="37" t="n">
        <v>40</v>
      </c>
      <c r="E720" s="37" t="inlineStr">
        <is>
          <t>OCCUPIED</t>
        </is>
      </c>
      <c r="F720" s="37" t="inlineStr">
        <is>
          <t>WL-01595</t>
        </is>
      </c>
      <c r="G720" s="37" t="inlineStr">
        <is>
          <t>Anthony Kemp</t>
        </is>
      </c>
      <c r="H720" s="37" t="n">
        <v>34.4</v>
      </c>
    </row>
    <row r="721">
      <c r="A721" s="37" t="inlineStr">
        <is>
          <t>EW-1004</t>
        </is>
      </c>
      <c r="B721" s="37" t="inlineStr">
        <is>
          <t>Eastwey</t>
        </is>
      </c>
      <c r="C721" s="37" t="inlineStr">
        <is>
          <t>OPEN</t>
        </is>
      </c>
      <c r="D721" s="37" t="n">
        <v>24</v>
      </c>
      <c r="E721" s="37" t="inlineStr">
        <is>
          <t>VACANT</t>
        </is>
      </c>
    </row>
    <row r="722">
      <c r="A722" s="37" t="inlineStr">
        <is>
          <t>EW-1005</t>
        </is>
      </c>
      <c r="B722" s="37" t="inlineStr">
        <is>
          <t>Eastwey</t>
        </is>
      </c>
      <c r="C722" s="37" t="inlineStr">
        <is>
          <t>OPEN</t>
        </is>
      </c>
      <c r="D722" s="37" t="n">
        <v>32</v>
      </c>
      <c r="E722" s="37" t="inlineStr">
        <is>
          <t>OCCUPIED</t>
        </is>
      </c>
      <c r="F722" s="37" t="inlineStr">
        <is>
          <t>WL-01010</t>
        </is>
      </c>
      <c r="G722" s="37" t="inlineStr">
        <is>
          <t>Steven Hanson</t>
        </is>
      </c>
      <c r="H722" s="37" t="n">
        <v>26.5</v>
      </c>
    </row>
    <row r="723">
      <c r="A723" s="37" t="inlineStr">
        <is>
          <t>EW-1006</t>
        </is>
      </c>
      <c r="B723" s="37" t="inlineStr">
        <is>
          <t>Eastwey</t>
        </is>
      </c>
      <c r="C723" s="37" t="inlineStr">
        <is>
          <t>OPEN</t>
        </is>
      </c>
      <c r="D723" s="37" t="n">
        <v>50</v>
      </c>
      <c r="E723" s="37" t="inlineStr">
        <is>
          <t>VACANT</t>
        </is>
      </c>
    </row>
    <row r="724">
      <c r="A724" s="37" t="inlineStr">
        <is>
          <t>EW-1007</t>
        </is>
      </c>
      <c r="B724" s="37" t="inlineStr">
        <is>
          <t>Eastwey</t>
        </is>
      </c>
      <c r="C724" s="37" t="inlineStr">
        <is>
          <t>OPEN</t>
        </is>
      </c>
      <c r="D724" s="37" t="n">
        <v>32</v>
      </c>
      <c r="E724" s="37" t="inlineStr">
        <is>
          <t>OCCUPIED</t>
        </is>
      </c>
      <c r="F724" s="37" t="inlineStr">
        <is>
          <t>WL-02438</t>
        </is>
      </c>
      <c r="G724" s="37" t="inlineStr">
        <is>
          <t>Sharon Phillips</t>
        </is>
      </c>
      <c r="H724" s="37" t="n">
        <v>53.6</v>
      </c>
    </row>
    <row r="725">
      <c r="A725" s="37" t="inlineStr">
        <is>
          <t>EW-1008</t>
        </is>
      </c>
      <c r="B725" s="37" t="inlineStr">
        <is>
          <t>Eastwey</t>
        </is>
      </c>
      <c r="C725" s="37" t="inlineStr">
        <is>
          <t>OPEN</t>
        </is>
      </c>
      <c r="D725" s="37" t="n">
        <v>50</v>
      </c>
      <c r="E725" s="37" t="inlineStr">
        <is>
          <t>OCCUPIED</t>
        </is>
      </c>
      <c r="F725" s="37" t="inlineStr">
        <is>
          <t>WL-02219</t>
        </is>
      </c>
      <c r="G725" s="37" t="inlineStr">
        <is>
          <t>Grant Cameron</t>
        </is>
      </c>
      <c r="H725" s="37" t="n">
        <v>19.8</v>
      </c>
    </row>
    <row r="726">
      <c r="A726" s="37" t="inlineStr">
        <is>
          <t>EW-1009</t>
        </is>
      </c>
      <c r="B726" s="37" t="inlineStr">
        <is>
          <t>Eastwey</t>
        </is>
      </c>
      <c r="C726" s="37" t="inlineStr">
        <is>
          <t>OPEN</t>
        </is>
      </c>
      <c r="D726" s="37" t="n">
        <v>24</v>
      </c>
      <c r="E726" s="37" t="inlineStr">
        <is>
          <t>VACANT</t>
        </is>
      </c>
    </row>
    <row r="727">
      <c r="A727" s="37" t="inlineStr">
        <is>
          <t>EW-1010</t>
        </is>
      </c>
      <c r="B727" s="37" t="inlineStr">
        <is>
          <t>Eastwey</t>
        </is>
      </c>
      <c r="C727" s="37" t="inlineStr">
        <is>
          <t>OPEN</t>
        </is>
      </c>
      <c r="D727" s="37" t="n">
        <v>32</v>
      </c>
      <c r="E727" s="37" t="inlineStr">
        <is>
          <t>OCCUPIED</t>
        </is>
      </c>
      <c r="F727" s="37" t="inlineStr">
        <is>
          <t>WL-02063</t>
        </is>
      </c>
      <c r="G727" s="37" t="inlineStr">
        <is>
          <t>Spencer Thompson</t>
        </is>
      </c>
      <c r="H727" s="37" t="n">
        <v>44.2</v>
      </c>
    </row>
    <row r="728">
      <c r="A728" s="37" t="inlineStr">
        <is>
          <t>EW-1011</t>
        </is>
      </c>
      <c r="B728" s="37" t="inlineStr">
        <is>
          <t>Eastwey</t>
        </is>
      </c>
      <c r="C728" s="37" t="inlineStr">
        <is>
          <t>OPEN</t>
        </is>
      </c>
      <c r="D728" s="37" t="n">
        <v>32</v>
      </c>
      <c r="E728" s="37" t="inlineStr">
        <is>
          <t>OCCUPIED</t>
        </is>
      </c>
      <c r="F728" s="37" t="inlineStr">
        <is>
          <t>WL-03465</t>
        </is>
      </c>
      <c r="G728" s="37" t="inlineStr">
        <is>
          <t>Eric Mays</t>
        </is>
      </c>
      <c r="H728" s="37" t="n">
        <v>40.1</v>
      </c>
    </row>
    <row r="729">
      <c r="A729" s="37" t="inlineStr">
        <is>
          <t>EW-1012</t>
        </is>
      </c>
      <c r="B729" s="37" t="inlineStr">
        <is>
          <t>Eastwey</t>
        </is>
      </c>
      <c r="C729" s="37" t="inlineStr">
        <is>
          <t>OPEN</t>
        </is>
      </c>
      <c r="D729" s="37" t="n">
        <v>45</v>
      </c>
      <c r="E729" s="37" t="inlineStr">
        <is>
          <t>OCCUPIED</t>
        </is>
      </c>
      <c r="F729" s="37" t="inlineStr">
        <is>
          <t>WL-02406</t>
        </is>
      </c>
      <c r="G729" s="37" t="inlineStr">
        <is>
          <t>Christopher Jackson</t>
        </is>
      </c>
      <c r="H729" s="37" t="n">
        <v>53</v>
      </c>
    </row>
    <row r="730">
      <c r="A730" s="37" t="inlineStr">
        <is>
          <t>EW-1013</t>
        </is>
      </c>
      <c r="B730" s="37" t="inlineStr">
        <is>
          <t>Eastwey</t>
        </is>
      </c>
      <c r="C730" s="37" t="inlineStr">
        <is>
          <t>OPEN</t>
        </is>
      </c>
      <c r="D730" s="37" t="n">
        <v>40</v>
      </c>
      <c r="E730" s="37" t="inlineStr">
        <is>
          <t>OCCUPIED</t>
        </is>
      </c>
      <c r="F730" s="37" t="inlineStr">
        <is>
          <t>WL-02008</t>
        </is>
      </c>
      <c r="G730" s="37" t="inlineStr">
        <is>
          <t>Karen Matthews</t>
        </is>
      </c>
      <c r="H730" s="37" t="n">
        <v>21.2</v>
      </c>
    </row>
    <row r="731">
      <c r="A731" s="37" t="inlineStr">
        <is>
          <t>EW-1014</t>
        </is>
      </c>
      <c r="B731" s="37" t="inlineStr">
        <is>
          <t>Eastwey</t>
        </is>
      </c>
      <c r="C731" s="37" t="inlineStr">
        <is>
          <t>OPEN</t>
        </is>
      </c>
      <c r="D731" s="37" t="n">
        <v>40</v>
      </c>
      <c r="E731" s="37" t="inlineStr">
        <is>
          <t>OCCUPIED</t>
        </is>
      </c>
      <c r="F731" s="37" t="inlineStr">
        <is>
          <t>WL-02680</t>
        </is>
      </c>
      <c r="G731" s="37" t="inlineStr">
        <is>
          <t>Melanie Rivera</t>
        </is>
      </c>
      <c r="H731" s="37" t="n">
        <v>34.4</v>
      </c>
    </row>
    <row r="732">
      <c r="A732" s="37" t="inlineStr">
        <is>
          <t>EW-1015</t>
        </is>
      </c>
      <c r="B732" s="37" t="inlineStr">
        <is>
          <t>Eastwey</t>
        </is>
      </c>
      <c r="C732" s="37" t="inlineStr">
        <is>
          <t>OPEN</t>
        </is>
      </c>
      <c r="D732" s="37" t="n">
        <v>24</v>
      </c>
      <c r="E732" s="37" t="inlineStr">
        <is>
          <t>OCCUPIED</t>
        </is>
      </c>
      <c r="F732" s="37" t="inlineStr">
        <is>
          <t>WL-03353</t>
        </is>
      </c>
      <c r="G732" s="37" t="inlineStr">
        <is>
          <t>Patricia Adkins</t>
        </is>
      </c>
      <c r="H732" s="37" t="n">
        <v>20.7</v>
      </c>
    </row>
    <row r="733">
      <c r="A733" s="37" t="inlineStr">
        <is>
          <t>EW-1016</t>
        </is>
      </c>
      <c r="B733" s="37" t="inlineStr">
        <is>
          <t>Eastwey</t>
        </is>
      </c>
      <c r="C733" s="37" t="inlineStr">
        <is>
          <t>OPEN</t>
        </is>
      </c>
      <c r="D733" s="37" t="n">
        <v>28</v>
      </c>
      <c r="E733" s="37" t="inlineStr">
        <is>
          <t>OCCUPIED</t>
        </is>
      </c>
      <c r="F733" s="37" t="inlineStr">
        <is>
          <t>WL-01746</t>
        </is>
      </c>
      <c r="G733" s="37" t="inlineStr">
        <is>
          <t>Elizabeth Ward</t>
        </is>
      </c>
      <c r="H733" s="37" t="n">
        <v>55.1</v>
      </c>
    </row>
    <row r="734">
      <c r="A734" s="37" t="inlineStr">
        <is>
          <t>EW-1017</t>
        </is>
      </c>
      <c r="B734" s="37" t="inlineStr">
        <is>
          <t>Eastwey</t>
        </is>
      </c>
      <c r="C734" s="37" t="inlineStr">
        <is>
          <t>OPEN</t>
        </is>
      </c>
      <c r="D734" s="37" t="n">
        <v>32</v>
      </c>
      <c r="E734" s="37" t="inlineStr">
        <is>
          <t>OCCUPIED</t>
        </is>
      </c>
      <c r="F734" s="37" t="inlineStr">
        <is>
          <t>WL-02717</t>
        </is>
      </c>
      <c r="G734" s="37" t="inlineStr">
        <is>
          <t>Ryan Phillips</t>
        </is>
      </c>
      <c r="H734" s="37" t="n">
        <v>61.8</v>
      </c>
    </row>
    <row r="735">
      <c r="A735" s="37" t="inlineStr">
        <is>
          <t>EW-1018</t>
        </is>
      </c>
      <c r="B735" s="37" t="inlineStr">
        <is>
          <t>Eastwey</t>
        </is>
      </c>
      <c r="C735" s="37" t="inlineStr">
        <is>
          <t>OPEN</t>
        </is>
      </c>
      <c r="D735" s="37" t="n">
        <v>28</v>
      </c>
      <c r="E735" s="37" t="inlineStr">
        <is>
          <t>OCCUPIED</t>
        </is>
      </c>
      <c r="F735" s="37" t="inlineStr">
        <is>
          <t>WL-01540</t>
        </is>
      </c>
      <c r="G735" s="37" t="inlineStr">
        <is>
          <t>Jonathan Baker</t>
        </is>
      </c>
      <c r="H735" s="37" t="n">
        <v>60.8</v>
      </c>
    </row>
    <row r="736">
      <c r="A736" s="37" t="inlineStr">
        <is>
          <t>EW-1019</t>
        </is>
      </c>
      <c r="B736" s="37" t="inlineStr">
        <is>
          <t>Eastwey</t>
        </is>
      </c>
      <c r="C736" s="37" t="inlineStr">
        <is>
          <t>OPEN</t>
        </is>
      </c>
      <c r="D736" s="37" t="n">
        <v>45</v>
      </c>
      <c r="E736" s="37" t="inlineStr">
        <is>
          <t>OCCUPIED</t>
        </is>
      </c>
      <c r="F736" s="37" t="inlineStr">
        <is>
          <t>WL-03583</t>
        </is>
      </c>
      <c r="G736" s="37" t="inlineStr">
        <is>
          <t>Walter Martin</t>
        </is>
      </c>
      <c r="H736" s="37" t="n">
        <v>50.6</v>
      </c>
    </row>
    <row r="737">
      <c r="A737" s="37" t="inlineStr">
        <is>
          <t>EW-1020</t>
        </is>
      </c>
      <c r="B737" s="37" t="inlineStr">
        <is>
          <t>Eastwey</t>
        </is>
      </c>
      <c r="C737" s="37" t="inlineStr">
        <is>
          <t>OPEN</t>
        </is>
      </c>
      <c r="D737" s="37" t="n">
        <v>28</v>
      </c>
      <c r="E737" s="37" t="inlineStr">
        <is>
          <t>VACANT</t>
        </is>
      </c>
    </row>
    <row r="738">
      <c r="A738" s="37" t="inlineStr">
        <is>
          <t>EW-1021</t>
        </is>
      </c>
      <c r="B738" s="37" t="inlineStr">
        <is>
          <t>Eastwey</t>
        </is>
      </c>
      <c r="C738" s="37" t="inlineStr">
        <is>
          <t>OPEN</t>
        </is>
      </c>
      <c r="D738" s="37" t="n">
        <v>70</v>
      </c>
      <c r="E738" s="37" t="inlineStr">
        <is>
          <t>OCCUPIED</t>
        </is>
      </c>
      <c r="F738" s="37" t="inlineStr">
        <is>
          <t>WL-03888</t>
        </is>
      </c>
      <c r="G738" s="37" t="inlineStr">
        <is>
          <t>Christian Garcia</t>
        </is>
      </c>
      <c r="H738" s="37" t="n">
        <v>57.5</v>
      </c>
    </row>
    <row r="739">
      <c r="A739" s="37" t="inlineStr">
        <is>
          <t>EW-1022</t>
        </is>
      </c>
      <c r="B739" s="37" t="inlineStr">
        <is>
          <t>Eastwey</t>
        </is>
      </c>
      <c r="C739" s="37" t="inlineStr">
        <is>
          <t>OPEN</t>
        </is>
      </c>
      <c r="D739" s="37" t="n">
        <v>32</v>
      </c>
      <c r="E739" s="37" t="inlineStr">
        <is>
          <t>OCCUPIED</t>
        </is>
      </c>
      <c r="F739" s="37" t="inlineStr">
        <is>
          <t>WL-01788</t>
        </is>
      </c>
      <c r="G739" s="37" t="inlineStr">
        <is>
          <t>James Austin</t>
        </is>
      </c>
      <c r="H739" s="37" t="n">
        <v>39</v>
      </c>
    </row>
    <row r="740">
      <c r="A740" s="37" t="inlineStr">
        <is>
          <t>EW-1023</t>
        </is>
      </c>
      <c r="B740" s="37" t="inlineStr">
        <is>
          <t>Eastwey</t>
        </is>
      </c>
      <c r="C740" s="37" t="inlineStr">
        <is>
          <t>OPEN</t>
        </is>
      </c>
      <c r="D740" s="37" t="n">
        <v>60</v>
      </c>
      <c r="E740" s="37" t="inlineStr">
        <is>
          <t>OCCUPIED</t>
        </is>
      </c>
      <c r="F740" s="37" t="inlineStr">
        <is>
          <t>WL-01824</t>
        </is>
      </c>
      <c r="G740" s="37" t="inlineStr">
        <is>
          <t>Robin Tucker</t>
        </is>
      </c>
      <c r="H740" s="37" t="n">
        <v>26.5</v>
      </c>
    </row>
    <row r="741">
      <c r="A741" s="37" t="inlineStr">
        <is>
          <t>EW-1024</t>
        </is>
      </c>
      <c r="B741" s="37" t="inlineStr">
        <is>
          <t>Eastwey</t>
        </is>
      </c>
      <c r="C741" s="37" t="inlineStr">
        <is>
          <t>OPEN</t>
        </is>
      </c>
      <c r="D741" s="37" t="n">
        <v>24</v>
      </c>
      <c r="E741" s="37" t="inlineStr">
        <is>
          <t>OCCUPIED</t>
        </is>
      </c>
      <c r="F741" s="37" t="inlineStr">
        <is>
          <t>WL-03180</t>
        </is>
      </c>
      <c r="G741" s="37" t="inlineStr">
        <is>
          <t>Teresa Jimenez</t>
        </is>
      </c>
      <c r="H741" s="37" t="n">
        <v>33.7</v>
      </c>
    </row>
    <row r="742">
      <c r="A742" s="37" t="inlineStr">
        <is>
          <t>GW-0101</t>
        </is>
      </c>
      <c r="B742" s="37" t="inlineStr">
        <is>
          <t>Gullwing</t>
        </is>
      </c>
      <c r="C742" s="37" t="inlineStr">
        <is>
          <t>OPEN</t>
        </is>
      </c>
      <c r="D742" s="37" t="n">
        <v>24</v>
      </c>
      <c r="E742" s="37" t="inlineStr">
        <is>
          <t>GUEST</t>
        </is>
      </c>
    </row>
    <row r="743">
      <c r="A743" s="37" t="inlineStr">
        <is>
          <t>GW-0102</t>
        </is>
      </c>
      <c r="B743" s="37" t="inlineStr">
        <is>
          <t>Gullwing</t>
        </is>
      </c>
      <c r="C743" s="37" t="inlineStr">
        <is>
          <t>OPEN</t>
        </is>
      </c>
      <c r="D743" s="37" t="n">
        <v>40</v>
      </c>
      <c r="E743" s="37" t="inlineStr">
        <is>
          <t>OCCUPIED</t>
        </is>
      </c>
      <c r="F743" s="37" t="inlineStr">
        <is>
          <t>WL-01136</t>
        </is>
      </c>
      <c r="G743" s="37" t="inlineStr">
        <is>
          <t>Christina Green</t>
        </is>
      </c>
      <c r="H743" s="37" t="n">
        <v>43.8</v>
      </c>
    </row>
    <row r="744">
      <c r="A744" s="37" t="inlineStr">
        <is>
          <t>GW-0103</t>
        </is>
      </c>
      <c r="B744" s="37" t="inlineStr">
        <is>
          <t>Gullwing</t>
        </is>
      </c>
      <c r="C744" s="37" t="inlineStr">
        <is>
          <t>OPEN</t>
        </is>
      </c>
      <c r="D744" s="37" t="n">
        <v>45</v>
      </c>
      <c r="E744" s="37" t="inlineStr">
        <is>
          <t>OCCUPIED</t>
        </is>
      </c>
      <c r="F744" s="37" t="inlineStr">
        <is>
          <t>WL-02233</t>
        </is>
      </c>
      <c r="G744" s="37" t="inlineStr">
        <is>
          <t>Sarah Forbes</t>
        </is>
      </c>
      <c r="H744" s="37" t="n">
        <v>21.9</v>
      </c>
    </row>
    <row r="745">
      <c r="A745" s="37" t="inlineStr">
        <is>
          <t>GW-0104</t>
        </is>
      </c>
      <c r="B745" s="37" t="inlineStr">
        <is>
          <t>Gullwing</t>
        </is>
      </c>
      <c r="C745" s="37" t="inlineStr">
        <is>
          <t>OPEN</t>
        </is>
      </c>
      <c r="D745" s="37" t="n">
        <v>40</v>
      </c>
      <c r="E745" s="37" t="inlineStr">
        <is>
          <t>OCCUPIED</t>
        </is>
      </c>
      <c r="F745" s="37" t="inlineStr">
        <is>
          <t>WL-01980</t>
        </is>
      </c>
      <c r="G745" s="37" t="inlineStr">
        <is>
          <t>Jacob Powell</t>
        </is>
      </c>
      <c r="H745" s="37" t="n">
        <v>49.6</v>
      </c>
    </row>
    <row r="746">
      <c r="A746" s="37" t="inlineStr">
        <is>
          <t>GW-0105</t>
        </is>
      </c>
      <c r="B746" s="37" t="inlineStr">
        <is>
          <t>Gullwing</t>
        </is>
      </c>
      <c r="C746" s="37" t="inlineStr">
        <is>
          <t>OPEN</t>
        </is>
      </c>
      <c r="D746" s="37" t="n">
        <v>60</v>
      </c>
      <c r="E746" s="37" t="inlineStr">
        <is>
          <t>OCCUPIED</t>
        </is>
      </c>
      <c r="F746" s="37" t="inlineStr">
        <is>
          <t>WL-03409</t>
        </is>
      </c>
      <c r="G746" s="37" t="inlineStr">
        <is>
          <t>Linda Franklin</t>
        </is>
      </c>
      <c r="H746" s="37" t="n">
        <v>35.5</v>
      </c>
    </row>
    <row r="747">
      <c r="A747" s="37" t="inlineStr">
        <is>
          <t>GW-0106</t>
        </is>
      </c>
      <c r="B747" s="37" t="inlineStr">
        <is>
          <t>Gullwing</t>
        </is>
      </c>
      <c r="C747" s="37" t="inlineStr">
        <is>
          <t>OPEN</t>
        </is>
      </c>
      <c r="D747" s="37" t="n">
        <v>80</v>
      </c>
      <c r="E747" s="37" t="inlineStr">
        <is>
          <t>OCCUPIED</t>
        </is>
      </c>
      <c r="F747" s="37" t="inlineStr">
        <is>
          <t>WL-01773</t>
        </is>
      </c>
      <c r="G747" s="37" t="inlineStr">
        <is>
          <t>Kara Bartlett</t>
        </is>
      </c>
      <c r="H747" s="37" t="n">
        <v>40.5</v>
      </c>
    </row>
    <row r="748">
      <c r="A748" s="37" t="inlineStr">
        <is>
          <t>GW-0107</t>
        </is>
      </c>
      <c r="B748" s="37" t="inlineStr">
        <is>
          <t>Gullwing</t>
        </is>
      </c>
      <c r="C748" s="37" t="inlineStr">
        <is>
          <t>OPEN</t>
        </is>
      </c>
      <c r="D748" s="37" t="n">
        <v>32</v>
      </c>
      <c r="E748" s="37" t="inlineStr">
        <is>
          <t>GUEST</t>
        </is>
      </c>
    </row>
    <row r="749">
      <c r="A749" s="37" t="inlineStr">
        <is>
          <t>GW-0108</t>
        </is>
      </c>
      <c r="B749" s="37" t="inlineStr">
        <is>
          <t>Gullwing</t>
        </is>
      </c>
      <c r="C749" s="37" t="inlineStr">
        <is>
          <t>OPEN</t>
        </is>
      </c>
      <c r="D749" s="37" t="n">
        <v>32</v>
      </c>
      <c r="E749" s="37" t="inlineStr">
        <is>
          <t>OCCUPIED</t>
        </is>
      </c>
      <c r="F749" s="37" t="inlineStr">
        <is>
          <t>WL-02927</t>
        </is>
      </c>
      <c r="G749" s="37" t="inlineStr">
        <is>
          <t>Jonathon Jones</t>
        </is>
      </c>
      <c r="H749" s="37" t="n">
        <v>46.9</v>
      </c>
    </row>
    <row r="750">
      <c r="A750" s="37" t="inlineStr">
        <is>
          <t>GW-0109</t>
        </is>
      </c>
      <c r="B750" s="37" t="inlineStr">
        <is>
          <t>Gullwing</t>
        </is>
      </c>
      <c r="C750" s="37" t="inlineStr">
        <is>
          <t>OPEN</t>
        </is>
      </c>
      <c r="D750" s="37" t="n">
        <v>28</v>
      </c>
      <c r="E750" s="37" t="inlineStr">
        <is>
          <t>OCCUPIED</t>
        </is>
      </c>
      <c r="F750" s="37" t="inlineStr">
        <is>
          <t>WL-02979</t>
        </is>
      </c>
      <c r="G750" s="37" t="inlineStr">
        <is>
          <t>Catherine Reed</t>
        </is>
      </c>
      <c r="H750" s="37" t="n">
        <v>55</v>
      </c>
    </row>
    <row r="751">
      <c r="A751" s="37" t="inlineStr">
        <is>
          <t>GW-0110</t>
        </is>
      </c>
      <c r="B751" s="37" t="inlineStr">
        <is>
          <t>Gullwing</t>
        </is>
      </c>
      <c r="C751" s="37" t="inlineStr">
        <is>
          <t>OPEN</t>
        </is>
      </c>
      <c r="D751" s="37" t="n">
        <v>80</v>
      </c>
      <c r="E751" s="37" t="inlineStr">
        <is>
          <t>OCCUPIED</t>
        </is>
      </c>
      <c r="F751" s="37" t="inlineStr">
        <is>
          <t>WL-02479</t>
        </is>
      </c>
      <c r="G751" s="37" t="inlineStr">
        <is>
          <t>Jeremy Aguirre</t>
        </is>
      </c>
      <c r="H751" s="37" t="n">
        <v>42.1</v>
      </c>
    </row>
    <row r="752">
      <c r="A752" s="37" t="inlineStr">
        <is>
          <t>GW-0111</t>
        </is>
      </c>
      <c r="B752" s="37" t="inlineStr">
        <is>
          <t>Gullwing</t>
        </is>
      </c>
      <c r="C752" s="37" t="inlineStr">
        <is>
          <t>OPEN</t>
        </is>
      </c>
      <c r="D752" s="37" t="n">
        <v>28</v>
      </c>
      <c r="E752" s="37" t="inlineStr">
        <is>
          <t>OCCUPIED</t>
        </is>
      </c>
      <c r="F752" s="37" t="inlineStr">
        <is>
          <t>WL-03229</t>
        </is>
      </c>
      <c r="G752" s="37" t="inlineStr">
        <is>
          <t>Monica Alvarez</t>
        </is>
      </c>
      <c r="H752" s="37" t="n">
        <v>59.8</v>
      </c>
    </row>
    <row r="753">
      <c r="A753" s="37" t="inlineStr">
        <is>
          <t>GW-0112</t>
        </is>
      </c>
      <c r="B753" s="37" t="inlineStr">
        <is>
          <t>Gullwing</t>
        </is>
      </c>
      <c r="C753" s="37" t="inlineStr">
        <is>
          <t>OPEN</t>
        </is>
      </c>
      <c r="D753" s="37" t="n">
        <v>32</v>
      </c>
      <c r="E753" s="37" t="inlineStr">
        <is>
          <t>OCCUPIED</t>
        </is>
      </c>
      <c r="F753" s="37" t="inlineStr">
        <is>
          <t>WL-01208</t>
        </is>
      </c>
      <c r="G753" s="37" t="inlineStr">
        <is>
          <t>Nicholas Lewis</t>
        </is>
      </c>
      <c r="H753" s="37" t="n">
        <v>19.8</v>
      </c>
    </row>
    <row r="754">
      <c r="A754" s="37" t="inlineStr">
        <is>
          <t>GW-0113</t>
        </is>
      </c>
      <c r="B754" s="37" t="inlineStr">
        <is>
          <t>Gullwing</t>
        </is>
      </c>
      <c r="C754" s="37" t="inlineStr">
        <is>
          <t>OPEN</t>
        </is>
      </c>
      <c r="D754" s="37" t="n">
        <v>45</v>
      </c>
      <c r="E754" s="37" t="inlineStr">
        <is>
          <t>OCCUPIED</t>
        </is>
      </c>
      <c r="F754" s="37" t="inlineStr">
        <is>
          <t>WL-01259</t>
        </is>
      </c>
      <c r="G754" s="37" t="inlineStr">
        <is>
          <t>Sara Avery</t>
        </is>
      </c>
      <c r="H754" s="37" t="n">
        <v>45.1</v>
      </c>
    </row>
    <row r="755">
      <c r="A755" s="37" t="inlineStr">
        <is>
          <t>GW-0114</t>
        </is>
      </c>
      <c r="B755" s="37" t="inlineStr">
        <is>
          <t>Gullwing</t>
        </is>
      </c>
      <c r="C755" s="37" t="inlineStr">
        <is>
          <t>OPEN</t>
        </is>
      </c>
      <c r="D755" s="37" t="n">
        <v>24</v>
      </c>
      <c r="E755" s="37" t="inlineStr">
        <is>
          <t>OCCUPIED</t>
        </is>
      </c>
      <c r="F755" s="37" t="inlineStr">
        <is>
          <t>WL-02985</t>
        </is>
      </c>
      <c r="G755" s="37" t="inlineStr">
        <is>
          <t>Francisco Benjamin</t>
        </is>
      </c>
      <c r="H755" s="37" t="n">
        <v>36.6</v>
      </c>
    </row>
    <row r="756">
      <c r="A756" s="37" t="inlineStr">
        <is>
          <t>GW-0115</t>
        </is>
      </c>
      <c r="B756" s="37" t="inlineStr">
        <is>
          <t>Gullwing</t>
        </is>
      </c>
      <c r="C756" s="37" t="inlineStr">
        <is>
          <t>OPEN</t>
        </is>
      </c>
      <c r="D756" s="37" t="n">
        <v>50</v>
      </c>
      <c r="E756" s="37" t="inlineStr">
        <is>
          <t>OCCUPIED</t>
        </is>
      </c>
      <c r="F756" s="37" t="inlineStr">
        <is>
          <t>WL-01610</t>
        </is>
      </c>
      <c r="G756" s="37" t="inlineStr">
        <is>
          <t>Anthony Johnson</t>
        </is>
      </c>
      <c r="H756" s="37" t="n">
        <v>26.4</v>
      </c>
    </row>
    <row r="757">
      <c r="A757" s="37" t="inlineStr">
        <is>
          <t>GW-0116</t>
        </is>
      </c>
      <c r="B757" s="37" t="inlineStr">
        <is>
          <t>Gullwing</t>
        </is>
      </c>
      <c r="C757" s="37" t="inlineStr">
        <is>
          <t>OPEN</t>
        </is>
      </c>
      <c r="D757" s="37" t="n">
        <v>32</v>
      </c>
      <c r="E757" s="37" t="inlineStr">
        <is>
          <t>OCCUPIED</t>
        </is>
      </c>
      <c r="F757" s="37" t="inlineStr">
        <is>
          <t>WL-02724</t>
        </is>
      </c>
      <c r="G757" s="37" t="inlineStr">
        <is>
          <t>Benjamin Hawkins</t>
        </is>
      </c>
      <c r="H757" s="37" t="n">
        <v>49.4</v>
      </c>
    </row>
    <row r="758">
      <c r="A758" s="37" t="inlineStr">
        <is>
          <t>GW-0117</t>
        </is>
      </c>
      <c r="B758" s="37" t="inlineStr">
        <is>
          <t>Gullwing</t>
        </is>
      </c>
      <c r="C758" s="37" t="inlineStr">
        <is>
          <t>OPEN</t>
        </is>
      </c>
      <c r="D758" s="37" t="n">
        <v>50</v>
      </c>
      <c r="E758" s="37" t="inlineStr">
        <is>
          <t>OCCUPIED</t>
        </is>
      </c>
      <c r="F758" s="37" t="inlineStr">
        <is>
          <t>WL-02588</t>
        </is>
      </c>
      <c r="G758" s="37" t="inlineStr">
        <is>
          <t>Laura Wiley</t>
        </is>
      </c>
      <c r="H758" s="37" t="n">
        <v>50</v>
      </c>
    </row>
    <row r="759">
      <c r="A759" s="37" t="inlineStr">
        <is>
          <t>GW-0118</t>
        </is>
      </c>
      <c r="B759" s="37" t="inlineStr">
        <is>
          <t>Gullwing</t>
        </is>
      </c>
      <c r="C759" s="37" t="inlineStr">
        <is>
          <t>OPEN</t>
        </is>
      </c>
      <c r="D759" s="37" t="n">
        <v>60</v>
      </c>
      <c r="E759" s="37" t="inlineStr">
        <is>
          <t>OCCUPIED</t>
        </is>
      </c>
      <c r="F759" s="37" t="inlineStr">
        <is>
          <t>WL-02840</t>
        </is>
      </c>
      <c r="G759" s="37" t="inlineStr">
        <is>
          <t>Zachary Mcdonald</t>
        </is>
      </c>
      <c r="H759" s="37" t="n">
        <v>53.9</v>
      </c>
    </row>
    <row r="760">
      <c r="A760" s="37" t="inlineStr">
        <is>
          <t>GW-0119</t>
        </is>
      </c>
      <c r="B760" s="37" t="inlineStr">
        <is>
          <t>Gullwing</t>
        </is>
      </c>
      <c r="C760" s="37" t="inlineStr">
        <is>
          <t>OPEN</t>
        </is>
      </c>
      <c r="D760" s="37" t="n">
        <v>28</v>
      </c>
      <c r="E760" s="37" t="inlineStr">
        <is>
          <t>OCCUPIED</t>
        </is>
      </c>
      <c r="F760" s="37" t="inlineStr">
        <is>
          <t>WL-01624</t>
        </is>
      </c>
      <c r="G760" s="37" t="inlineStr">
        <is>
          <t>Megan Estrada</t>
        </is>
      </c>
      <c r="H760" s="37" t="n">
        <v>37.9</v>
      </c>
    </row>
    <row r="761">
      <c r="A761" s="37" t="inlineStr">
        <is>
          <t>GW-0120</t>
        </is>
      </c>
      <c r="B761" s="37" t="inlineStr">
        <is>
          <t>Gullwing</t>
        </is>
      </c>
      <c r="C761" s="37" t="inlineStr">
        <is>
          <t>OPEN</t>
        </is>
      </c>
      <c r="D761" s="37" t="n">
        <v>32</v>
      </c>
      <c r="E761" s="37" t="inlineStr">
        <is>
          <t>OCCUPIED</t>
        </is>
      </c>
      <c r="F761" s="37" t="inlineStr">
        <is>
          <t>WL-01224</t>
        </is>
      </c>
      <c r="G761" s="37" t="inlineStr">
        <is>
          <t>Yolanda Crane</t>
        </is>
      </c>
      <c r="H761" s="37" t="n">
        <v>49.8</v>
      </c>
    </row>
    <row r="762">
      <c r="A762" s="37" t="inlineStr">
        <is>
          <t>GW-0121</t>
        </is>
      </c>
      <c r="B762" s="37" t="inlineStr">
        <is>
          <t>Gullwing</t>
        </is>
      </c>
      <c r="C762" s="37" t="inlineStr">
        <is>
          <t>OPEN</t>
        </is>
      </c>
      <c r="D762" s="37" t="n">
        <v>32</v>
      </c>
      <c r="E762" s="37" t="inlineStr">
        <is>
          <t>OCCUPIED</t>
        </is>
      </c>
      <c r="F762" s="37" t="inlineStr">
        <is>
          <t>WL-01763</t>
        </is>
      </c>
      <c r="G762" s="37" t="inlineStr">
        <is>
          <t>Christopher Miller</t>
        </is>
      </c>
      <c r="H762" s="37" t="n">
        <v>40.7</v>
      </c>
    </row>
    <row r="763">
      <c r="A763" s="37" t="inlineStr">
        <is>
          <t>GW-0122</t>
        </is>
      </c>
      <c r="B763" s="37" t="inlineStr">
        <is>
          <t>Gullwing</t>
        </is>
      </c>
      <c r="C763" s="37" t="inlineStr">
        <is>
          <t>OPEN</t>
        </is>
      </c>
      <c r="D763" s="37" t="n">
        <v>32</v>
      </c>
      <c r="E763" s="37" t="inlineStr">
        <is>
          <t>OCCUPIED</t>
        </is>
      </c>
      <c r="F763" s="37" t="inlineStr">
        <is>
          <t>WL-01683</t>
        </is>
      </c>
      <c r="G763" s="37" t="inlineStr">
        <is>
          <t>Steven Davis</t>
        </is>
      </c>
      <c r="H763" s="37" t="n">
        <v>26.5</v>
      </c>
    </row>
    <row r="764">
      <c r="A764" s="37" t="inlineStr">
        <is>
          <t>GW-0123</t>
        </is>
      </c>
      <c r="B764" s="37" t="inlineStr">
        <is>
          <t>Gullwing</t>
        </is>
      </c>
      <c r="C764" s="37" t="inlineStr">
        <is>
          <t>OPEN</t>
        </is>
      </c>
      <c r="D764" s="37" t="n">
        <v>80</v>
      </c>
      <c r="E764" s="37" t="inlineStr">
        <is>
          <t>OCCUPIED</t>
        </is>
      </c>
      <c r="F764" s="37" t="inlineStr">
        <is>
          <t>WL-03611</t>
        </is>
      </c>
      <c r="G764" s="37" t="inlineStr">
        <is>
          <t>Madeline Morris</t>
        </is>
      </c>
      <c r="H764" s="37" t="n">
        <v>40.2</v>
      </c>
    </row>
    <row r="765">
      <c r="A765" s="37" t="inlineStr">
        <is>
          <t>GW-0201</t>
        </is>
      </c>
      <c r="B765" s="37" t="inlineStr">
        <is>
          <t>Gullwing</t>
        </is>
      </c>
      <c r="C765" s="37" t="inlineStr">
        <is>
          <t>OPEN</t>
        </is>
      </c>
      <c r="D765" s="37" t="n">
        <v>32</v>
      </c>
      <c r="E765" s="37" t="inlineStr">
        <is>
          <t>OCCUPIED</t>
        </is>
      </c>
      <c r="F765" s="37" t="inlineStr">
        <is>
          <t>WL-01782</t>
        </is>
      </c>
      <c r="G765" s="37" t="inlineStr">
        <is>
          <t>Ronald White</t>
        </is>
      </c>
      <c r="H765" s="37" t="n">
        <v>36.5</v>
      </c>
    </row>
    <row r="766">
      <c r="A766" s="37" t="inlineStr">
        <is>
          <t>GW-0202</t>
        </is>
      </c>
      <c r="B766" s="37" t="inlineStr">
        <is>
          <t>Gullwing</t>
        </is>
      </c>
      <c r="C766" s="37" t="inlineStr">
        <is>
          <t>OPEN</t>
        </is>
      </c>
      <c r="D766" s="37" t="n">
        <v>80</v>
      </c>
      <c r="E766" s="37" t="inlineStr">
        <is>
          <t>OCCUPIED</t>
        </is>
      </c>
      <c r="F766" s="37" t="inlineStr">
        <is>
          <t>WL-03086</t>
        </is>
      </c>
      <c r="G766" s="37" t="inlineStr">
        <is>
          <t>William Daugherty</t>
        </is>
      </c>
      <c r="H766" s="37" t="n">
        <v>58.2</v>
      </c>
    </row>
    <row r="767">
      <c r="A767" s="37" t="inlineStr">
        <is>
          <t>GW-0203</t>
        </is>
      </c>
      <c r="B767" s="37" t="inlineStr">
        <is>
          <t>Gullwing</t>
        </is>
      </c>
      <c r="C767" s="37" t="inlineStr">
        <is>
          <t>OPEN</t>
        </is>
      </c>
      <c r="D767" s="37" t="n">
        <v>70</v>
      </c>
      <c r="E767" s="37" t="inlineStr">
        <is>
          <t>VACANT</t>
        </is>
      </c>
    </row>
    <row r="768">
      <c r="A768" s="37" t="inlineStr">
        <is>
          <t>GW-0204</t>
        </is>
      </c>
      <c r="B768" s="37" t="inlineStr">
        <is>
          <t>Gullwing</t>
        </is>
      </c>
      <c r="C768" s="37" t="inlineStr">
        <is>
          <t>OPEN</t>
        </is>
      </c>
      <c r="D768" s="37" t="n">
        <v>32</v>
      </c>
      <c r="E768" s="37" t="inlineStr">
        <is>
          <t>OCCUPIED</t>
        </is>
      </c>
      <c r="F768" s="37" t="inlineStr">
        <is>
          <t>WL-02069</t>
        </is>
      </c>
      <c r="G768" s="37" t="inlineStr">
        <is>
          <t>David Lopez</t>
        </is>
      </c>
      <c r="H768" s="37" t="n">
        <v>25.1</v>
      </c>
    </row>
    <row r="769">
      <c r="A769" s="37" t="inlineStr">
        <is>
          <t>GW-0205</t>
        </is>
      </c>
      <c r="B769" s="37" t="inlineStr">
        <is>
          <t>Gullwing</t>
        </is>
      </c>
      <c r="C769" s="37" t="inlineStr">
        <is>
          <t>OPEN</t>
        </is>
      </c>
      <c r="D769" s="37" t="n">
        <v>50</v>
      </c>
      <c r="E769" s="37" t="inlineStr">
        <is>
          <t>OCCUPIED</t>
        </is>
      </c>
      <c r="F769" s="37" t="inlineStr">
        <is>
          <t>WL-01865</t>
        </is>
      </c>
      <c r="G769" s="37" t="inlineStr">
        <is>
          <t>Aaron Barton</t>
        </is>
      </c>
      <c r="H769" s="37" t="n">
        <v>43.1</v>
      </c>
    </row>
    <row r="770">
      <c r="A770" s="37" t="inlineStr">
        <is>
          <t>GW-0206</t>
        </is>
      </c>
      <c r="B770" s="37" t="inlineStr">
        <is>
          <t>Gullwing</t>
        </is>
      </c>
      <c r="C770" s="37" t="inlineStr">
        <is>
          <t>OPEN</t>
        </is>
      </c>
      <c r="D770" s="37" t="n">
        <v>24</v>
      </c>
      <c r="E770" s="37" t="inlineStr">
        <is>
          <t>OCCUPIED</t>
        </is>
      </c>
      <c r="F770" s="37" t="inlineStr">
        <is>
          <t>WL-03352</t>
        </is>
      </c>
      <c r="G770" s="37" t="inlineStr">
        <is>
          <t>Isabella Sutton</t>
        </is>
      </c>
      <c r="H770" s="37" t="n">
        <v>55.9</v>
      </c>
    </row>
    <row r="771">
      <c r="A771" s="37" t="inlineStr">
        <is>
          <t>GW-0207</t>
        </is>
      </c>
      <c r="B771" s="37" t="inlineStr">
        <is>
          <t>Gullwing</t>
        </is>
      </c>
      <c r="C771" s="37" t="inlineStr">
        <is>
          <t>OPEN</t>
        </is>
      </c>
      <c r="D771" s="37" t="n">
        <v>24</v>
      </c>
      <c r="E771" s="37" t="inlineStr">
        <is>
          <t>OCCUPIED</t>
        </is>
      </c>
      <c r="F771" s="37" t="inlineStr">
        <is>
          <t>WL-01291</t>
        </is>
      </c>
      <c r="G771" s="37" t="inlineStr">
        <is>
          <t>Brian Wallace</t>
        </is>
      </c>
      <c r="H771" s="37" t="n">
        <v>52.2</v>
      </c>
    </row>
    <row r="772">
      <c r="A772" s="37" t="inlineStr">
        <is>
          <t>GW-0208</t>
        </is>
      </c>
      <c r="B772" s="37" t="inlineStr">
        <is>
          <t>Gullwing</t>
        </is>
      </c>
      <c r="C772" s="37" t="inlineStr">
        <is>
          <t>OPEN</t>
        </is>
      </c>
      <c r="D772" s="37" t="n">
        <v>24</v>
      </c>
      <c r="E772" s="37" t="inlineStr">
        <is>
          <t>OCCUPIED</t>
        </is>
      </c>
      <c r="F772" s="37" t="inlineStr">
        <is>
          <t>WL-02505</t>
        </is>
      </c>
      <c r="G772" s="37" t="inlineStr">
        <is>
          <t>Joe Smith</t>
        </is>
      </c>
      <c r="H772" s="37" t="n">
        <v>57.6</v>
      </c>
    </row>
    <row r="773">
      <c r="A773" s="37" t="inlineStr">
        <is>
          <t>GW-0209</t>
        </is>
      </c>
      <c r="B773" s="37" t="inlineStr">
        <is>
          <t>Gullwing</t>
        </is>
      </c>
      <c r="C773" s="37" t="inlineStr">
        <is>
          <t>OPEN</t>
        </is>
      </c>
      <c r="D773" s="37" t="n">
        <v>40</v>
      </c>
      <c r="E773" s="37" t="inlineStr">
        <is>
          <t>OCCUPIED</t>
        </is>
      </c>
      <c r="F773" s="37" t="inlineStr">
        <is>
          <t>WL-01421</t>
        </is>
      </c>
      <c r="G773" s="37" t="inlineStr">
        <is>
          <t>Jessica Brown</t>
        </is>
      </c>
      <c r="H773" s="37" t="n">
        <v>36</v>
      </c>
    </row>
    <row r="774">
      <c r="A774" s="37" t="inlineStr">
        <is>
          <t>GW-0210</t>
        </is>
      </c>
      <c r="B774" s="37" t="inlineStr">
        <is>
          <t>Gullwing</t>
        </is>
      </c>
      <c r="C774" s="37" t="inlineStr">
        <is>
          <t>OPEN</t>
        </is>
      </c>
      <c r="D774" s="37" t="n">
        <v>40</v>
      </c>
      <c r="E774" s="37" t="inlineStr">
        <is>
          <t>OCCUPIED</t>
        </is>
      </c>
      <c r="F774" s="37" t="inlineStr">
        <is>
          <t>WL-03832</t>
        </is>
      </c>
      <c r="G774" s="37" t="inlineStr">
        <is>
          <t>Amanda Smith</t>
        </is>
      </c>
      <c r="H774" s="37" t="n">
        <v>30.9</v>
      </c>
    </row>
    <row r="775">
      <c r="A775" s="37" t="inlineStr">
        <is>
          <t>GW-0211</t>
        </is>
      </c>
      <c r="B775" s="37" t="inlineStr">
        <is>
          <t>Gullwing</t>
        </is>
      </c>
      <c r="C775" s="37" t="inlineStr">
        <is>
          <t>OPEN</t>
        </is>
      </c>
      <c r="D775" s="37" t="n">
        <v>28</v>
      </c>
      <c r="E775" s="37" t="inlineStr">
        <is>
          <t>OCCUPIED</t>
        </is>
      </c>
      <c r="F775" s="37" t="inlineStr">
        <is>
          <t>WL-03139</t>
        </is>
      </c>
      <c r="G775" s="37" t="inlineStr">
        <is>
          <t>Stanley Peterson</t>
        </is>
      </c>
      <c r="H775" s="37" t="n">
        <v>22.7</v>
      </c>
    </row>
    <row r="776">
      <c r="A776" s="37" t="inlineStr">
        <is>
          <t>GW-0212</t>
        </is>
      </c>
      <c r="B776" s="37" t="inlineStr">
        <is>
          <t>Gullwing</t>
        </is>
      </c>
      <c r="C776" s="37" t="inlineStr">
        <is>
          <t>OPEN</t>
        </is>
      </c>
      <c r="D776" s="37" t="n">
        <v>60</v>
      </c>
      <c r="E776" s="37" t="inlineStr">
        <is>
          <t>OCCUPIED</t>
        </is>
      </c>
      <c r="F776" s="37" t="inlineStr">
        <is>
          <t>WL-02184</t>
        </is>
      </c>
      <c r="G776" s="37" t="inlineStr">
        <is>
          <t>Leonard Wiley</t>
        </is>
      </c>
      <c r="H776" s="37" t="n">
        <v>31.8</v>
      </c>
    </row>
    <row r="777">
      <c r="A777" s="37" t="inlineStr">
        <is>
          <t>GW-0213</t>
        </is>
      </c>
      <c r="B777" s="37" t="inlineStr">
        <is>
          <t>Gullwing</t>
        </is>
      </c>
      <c r="C777" s="37" t="inlineStr">
        <is>
          <t>OPEN</t>
        </is>
      </c>
      <c r="D777" s="37" t="n">
        <v>28</v>
      </c>
      <c r="E777" s="37" t="inlineStr">
        <is>
          <t>OCCUPIED</t>
        </is>
      </c>
      <c r="F777" s="37" t="inlineStr">
        <is>
          <t>WL-02363</t>
        </is>
      </c>
      <c r="G777" s="37" t="inlineStr">
        <is>
          <t>Timothy Johnson</t>
        </is>
      </c>
      <c r="H777" s="37" t="n">
        <v>28.3</v>
      </c>
    </row>
    <row r="778">
      <c r="A778" s="37" t="inlineStr">
        <is>
          <t>GW-0214</t>
        </is>
      </c>
      <c r="B778" s="37" t="inlineStr">
        <is>
          <t>Gullwing</t>
        </is>
      </c>
      <c r="C778" s="37" t="inlineStr">
        <is>
          <t>OPEN</t>
        </is>
      </c>
      <c r="D778" s="37" t="n">
        <v>24</v>
      </c>
      <c r="E778" s="37" t="inlineStr">
        <is>
          <t>OCCUPIED</t>
        </is>
      </c>
      <c r="F778" s="37" t="inlineStr">
        <is>
          <t>WL-03720</t>
        </is>
      </c>
      <c r="G778" s="37" t="inlineStr">
        <is>
          <t>Kristen Blair</t>
        </is>
      </c>
      <c r="H778" s="37" t="n">
        <v>25.2</v>
      </c>
    </row>
    <row r="779">
      <c r="A779" s="37" t="inlineStr">
        <is>
          <t>GW-0215</t>
        </is>
      </c>
      <c r="B779" s="37" t="inlineStr">
        <is>
          <t>Gullwing</t>
        </is>
      </c>
      <c r="C779" s="37" t="inlineStr">
        <is>
          <t>OPEN</t>
        </is>
      </c>
      <c r="D779" s="37" t="n">
        <v>28</v>
      </c>
      <c r="E779" s="37" t="inlineStr">
        <is>
          <t>OCCUPIED</t>
        </is>
      </c>
      <c r="F779" s="37" t="inlineStr">
        <is>
          <t>WL-01436</t>
        </is>
      </c>
      <c r="G779" s="37" t="inlineStr">
        <is>
          <t>William Cook</t>
        </is>
      </c>
      <c r="H779" s="37" t="n">
        <v>33.7</v>
      </c>
    </row>
    <row r="780">
      <c r="A780" s="37" t="inlineStr">
        <is>
          <t>GW-0216</t>
        </is>
      </c>
      <c r="B780" s="37" t="inlineStr">
        <is>
          <t>Gullwing</t>
        </is>
      </c>
      <c r="C780" s="37" t="inlineStr">
        <is>
          <t>OPEN</t>
        </is>
      </c>
      <c r="D780" s="37" t="n">
        <v>80</v>
      </c>
      <c r="E780" s="37" t="inlineStr">
        <is>
          <t>OCCUPIED</t>
        </is>
      </c>
      <c r="F780" s="37" t="inlineStr">
        <is>
          <t>WL-03614</t>
        </is>
      </c>
      <c r="G780" s="37" t="inlineStr">
        <is>
          <t>Richard Waters</t>
        </is>
      </c>
      <c r="H780" s="37" t="n">
        <v>42.5</v>
      </c>
    </row>
    <row r="781">
      <c r="A781" s="37" t="inlineStr">
        <is>
          <t>GW-0217</t>
        </is>
      </c>
      <c r="B781" s="37" t="inlineStr">
        <is>
          <t>Gullwing</t>
        </is>
      </c>
      <c r="C781" s="37" t="inlineStr">
        <is>
          <t>OPEN</t>
        </is>
      </c>
      <c r="D781" s="37" t="n">
        <v>80</v>
      </c>
      <c r="E781" s="37" t="inlineStr">
        <is>
          <t>OCCUPIED</t>
        </is>
      </c>
      <c r="F781" s="37" t="inlineStr">
        <is>
          <t>WL-02984</t>
        </is>
      </c>
      <c r="G781" s="37" t="inlineStr">
        <is>
          <t>Bridget Jones</t>
        </is>
      </c>
      <c r="H781" s="37" t="n">
        <v>58.7</v>
      </c>
    </row>
    <row r="782">
      <c r="A782" s="37" t="inlineStr">
        <is>
          <t>GW-0218</t>
        </is>
      </c>
      <c r="B782" s="37" t="inlineStr">
        <is>
          <t>Gullwing</t>
        </is>
      </c>
      <c r="C782" s="37" t="inlineStr">
        <is>
          <t>OPEN</t>
        </is>
      </c>
      <c r="D782" s="37" t="n">
        <v>60</v>
      </c>
      <c r="E782" s="37" t="inlineStr">
        <is>
          <t>OCCUPIED</t>
        </is>
      </c>
      <c r="F782" s="37" t="inlineStr">
        <is>
          <t>WL-01556</t>
        </is>
      </c>
      <c r="G782" s="37" t="inlineStr">
        <is>
          <t>Christopher Russell</t>
        </is>
      </c>
      <c r="H782" s="37" t="n">
        <v>56.1</v>
      </c>
    </row>
    <row r="783">
      <c r="A783" s="37" t="inlineStr">
        <is>
          <t>GW-0219</t>
        </is>
      </c>
      <c r="B783" s="37" t="inlineStr">
        <is>
          <t>Gullwing</t>
        </is>
      </c>
      <c r="C783" s="37" t="inlineStr">
        <is>
          <t>OPEN</t>
        </is>
      </c>
      <c r="D783" s="37" t="n">
        <v>80</v>
      </c>
      <c r="E783" s="37" t="inlineStr">
        <is>
          <t>GUEST</t>
        </is>
      </c>
    </row>
    <row r="784">
      <c r="A784" s="37" t="inlineStr">
        <is>
          <t>GW-0220</t>
        </is>
      </c>
      <c r="B784" s="37" t="inlineStr">
        <is>
          <t>Gullwing</t>
        </is>
      </c>
      <c r="C784" s="37" t="inlineStr">
        <is>
          <t>OPEN</t>
        </is>
      </c>
      <c r="D784" s="37" t="n">
        <v>60</v>
      </c>
      <c r="E784" s="37" t="inlineStr">
        <is>
          <t>OCCUPIED</t>
        </is>
      </c>
      <c r="F784" s="37" t="inlineStr">
        <is>
          <t>WL-02436</t>
        </is>
      </c>
      <c r="G784" s="37" t="inlineStr">
        <is>
          <t>Jeffrey Allen</t>
        </is>
      </c>
      <c r="H784" s="37" t="n">
        <v>54.9</v>
      </c>
    </row>
    <row r="785">
      <c r="A785" s="37" t="inlineStr">
        <is>
          <t>GW-0221</t>
        </is>
      </c>
      <c r="B785" s="37" t="inlineStr">
        <is>
          <t>Gullwing</t>
        </is>
      </c>
      <c r="C785" s="37" t="inlineStr">
        <is>
          <t>OPEN</t>
        </is>
      </c>
      <c r="D785" s="37" t="n">
        <v>80</v>
      </c>
      <c r="E785" s="37" t="inlineStr">
        <is>
          <t>OCCUPIED</t>
        </is>
      </c>
      <c r="F785" s="37" t="inlineStr">
        <is>
          <t>WL-02319</t>
        </is>
      </c>
      <c r="G785" s="37" t="inlineStr">
        <is>
          <t>Elizabeth Pacheco</t>
        </is>
      </c>
      <c r="H785" s="37" t="n">
        <v>31.6</v>
      </c>
    </row>
    <row r="786">
      <c r="A786" s="37" t="inlineStr">
        <is>
          <t>GW-0222</t>
        </is>
      </c>
      <c r="B786" s="37" t="inlineStr">
        <is>
          <t>Gullwing</t>
        </is>
      </c>
      <c r="C786" s="37" t="inlineStr">
        <is>
          <t>OPEN</t>
        </is>
      </c>
      <c r="D786" s="37" t="n">
        <v>60</v>
      </c>
      <c r="E786" s="37" t="inlineStr">
        <is>
          <t>OCCUPIED</t>
        </is>
      </c>
      <c r="F786" s="37" t="inlineStr">
        <is>
          <t>WL-01365</t>
        </is>
      </c>
      <c r="G786" s="37" t="inlineStr">
        <is>
          <t>Andrew Griffith</t>
        </is>
      </c>
      <c r="H786" s="37" t="n">
        <v>29.9</v>
      </c>
    </row>
    <row r="787">
      <c r="A787" s="37" t="inlineStr">
        <is>
          <t>GW-0223</t>
        </is>
      </c>
      <c r="B787" s="37" t="inlineStr">
        <is>
          <t>Gullwing</t>
        </is>
      </c>
      <c r="C787" s="37" t="inlineStr">
        <is>
          <t>OPEN</t>
        </is>
      </c>
      <c r="D787" s="37" t="n">
        <v>28</v>
      </c>
      <c r="E787" s="37" t="inlineStr">
        <is>
          <t>OCCUPIED</t>
        </is>
      </c>
      <c r="F787" s="37" t="inlineStr">
        <is>
          <t>WL-01975</t>
        </is>
      </c>
      <c r="G787" s="37" t="inlineStr">
        <is>
          <t>Susan Wilson</t>
        </is>
      </c>
      <c r="H787" s="37" t="n">
        <v>45.5</v>
      </c>
    </row>
    <row r="788">
      <c r="A788" s="37" t="inlineStr">
        <is>
          <t>GW-0301</t>
        </is>
      </c>
      <c r="B788" s="37" t="inlineStr">
        <is>
          <t>Gullwing</t>
        </is>
      </c>
      <c r="C788" s="37" t="inlineStr">
        <is>
          <t>OPEN</t>
        </is>
      </c>
      <c r="D788" s="37" t="n">
        <v>24</v>
      </c>
      <c r="E788" s="37" t="inlineStr">
        <is>
          <t>OCCUPIED</t>
        </is>
      </c>
      <c r="F788" s="37" t="inlineStr">
        <is>
          <t>WL-01964</t>
        </is>
      </c>
      <c r="G788" s="37" t="inlineStr">
        <is>
          <t>Ryan Richardson</t>
        </is>
      </c>
      <c r="H788" s="37" t="n">
        <v>32.4</v>
      </c>
    </row>
    <row r="789">
      <c r="A789" s="37" t="inlineStr">
        <is>
          <t>GW-0302</t>
        </is>
      </c>
      <c r="B789" s="37" t="inlineStr">
        <is>
          <t>Gullwing</t>
        </is>
      </c>
      <c r="C789" s="37" t="inlineStr">
        <is>
          <t>OPEN</t>
        </is>
      </c>
      <c r="D789" s="37" t="n">
        <v>28</v>
      </c>
      <c r="E789" s="37" t="inlineStr">
        <is>
          <t>OCCUPIED</t>
        </is>
      </c>
      <c r="F789" s="37" t="inlineStr">
        <is>
          <t>WL-01735</t>
        </is>
      </c>
      <c r="G789" s="37" t="inlineStr">
        <is>
          <t>Jeffrey Brown</t>
        </is>
      </c>
      <c r="H789" s="37" t="n">
        <v>55.3</v>
      </c>
    </row>
    <row r="790">
      <c r="A790" s="37" t="inlineStr">
        <is>
          <t>GW-0303</t>
        </is>
      </c>
      <c r="B790" s="37" t="inlineStr">
        <is>
          <t>Gullwing</t>
        </is>
      </c>
      <c r="C790" s="37" t="inlineStr">
        <is>
          <t>OPEN</t>
        </is>
      </c>
      <c r="D790" s="37" t="n">
        <v>28</v>
      </c>
      <c r="E790" s="37" t="inlineStr">
        <is>
          <t>OCCUPIED</t>
        </is>
      </c>
      <c r="F790" s="37" t="inlineStr">
        <is>
          <t>WL-02091</t>
        </is>
      </c>
      <c r="G790" s="37" t="inlineStr">
        <is>
          <t>Timothy Herrera</t>
        </is>
      </c>
      <c r="H790" s="37" t="n">
        <v>29.9</v>
      </c>
    </row>
    <row r="791">
      <c r="A791" s="37" t="inlineStr">
        <is>
          <t>GW-0304</t>
        </is>
      </c>
      <c r="B791" s="37" t="inlineStr">
        <is>
          <t>Gullwing</t>
        </is>
      </c>
      <c r="C791" s="37" t="inlineStr">
        <is>
          <t>OPEN</t>
        </is>
      </c>
      <c r="D791" s="37" t="n">
        <v>32</v>
      </c>
      <c r="E791" s="37" t="inlineStr">
        <is>
          <t>OCCUPIED</t>
        </is>
      </c>
      <c r="F791" s="37" t="inlineStr">
        <is>
          <t>WL-01040</t>
        </is>
      </c>
      <c r="G791" s="37" t="inlineStr">
        <is>
          <t>Bradley Collins</t>
        </is>
      </c>
      <c r="H791" s="37" t="n">
        <v>35.3</v>
      </c>
    </row>
    <row r="792">
      <c r="A792" s="37" t="inlineStr">
        <is>
          <t>GW-0305</t>
        </is>
      </c>
      <c r="B792" s="37" t="inlineStr">
        <is>
          <t>Gullwing</t>
        </is>
      </c>
      <c r="C792" s="37" t="inlineStr">
        <is>
          <t>OPEN</t>
        </is>
      </c>
      <c r="D792" s="37" t="n">
        <v>80</v>
      </c>
      <c r="E792" s="37" t="inlineStr">
        <is>
          <t>OCCUPIED</t>
        </is>
      </c>
      <c r="F792" s="37" t="inlineStr">
        <is>
          <t>WL-02528</t>
        </is>
      </c>
      <c r="G792" s="37" t="inlineStr">
        <is>
          <t>Lisa Richards</t>
        </is>
      </c>
      <c r="H792" s="37" t="n">
        <v>60</v>
      </c>
    </row>
    <row r="793">
      <c r="A793" s="37" t="inlineStr">
        <is>
          <t>GW-0306</t>
        </is>
      </c>
      <c r="B793" s="37" t="inlineStr">
        <is>
          <t>Gullwing</t>
        </is>
      </c>
      <c r="C793" s="37" t="inlineStr">
        <is>
          <t>OPEN</t>
        </is>
      </c>
      <c r="D793" s="37" t="n">
        <v>32</v>
      </c>
      <c r="E793" s="37" t="inlineStr">
        <is>
          <t>OCCUPIED</t>
        </is>
      </c>
      <c r="F793" s="37" t="inlineStr">
        <is>
          <t>WL-02723</t>
        </is>
      </c>
      <c r="G793" s="37" t="inlineStr">
        <is>
          <t>Gregory Curtis</t>
        </is>
      </c>
      <c r="H793" s="37" t="n">
        <v>46.9</v>
      </c>
    </row>
    <row r="794">
      <c r="A794" s="37" t="inlineStr">
        <is>
          <t>GW-0307</t>
        </is>
      </c>
      <c r="B794" s="37" t="inlineStr">
        <is>
          <t>Gullwing</t>
        </is>
      </c>
      <c r="C794" s="37" t="inlineStr">
        <is>
          <t>OPEN</t>
        </is>
      </c>
      <c r="D794" s="37" t="n">
        <v>32</v>
      </c>
      <c r="E794" s="37" t="inlineStr">
        <is>
          <t>OCCUPIED</t>
        </is>
      </c>
      <c r="F794" s="37" t="inlineStr">
        <is>
          <t>WL-02437</t>
        </is>
      </c>
      <c r="G794" s="37" t="inlineStr">
        <is>
          <t>Jeremy Holmes</t>
        </is>
      </c>
      <c r="H794" s="37" t="n">
        <v>41.2</v>
      </c>
    </row>
    <row r="795">
      <c r="A795" s="37" t="inlineStr">
        <is>
          <t>GW-0308</t>
        </is>
      </c>
      <c r="B795" s="37" t="inlineStr">
        <is>
          <t>Gullwing</t>
        </is>
      </c>
      <c r="C795" s="37" t="inlineStr">
        <is>
          <t>OPEN</t>
        </is>
      </c>
      <c r="D795" s="37" t="n">
        <v>60</v>
      </c>
      <c r="E795" s="37" t="inlineStr">
        <is>
          <t>OCCUPIED</t>
        </is>
      </c>
      <c r="F795" s="37" t="inlineStr">
        <is>
          <t>WL-01165</t>
        </is>
      </c>
      <c r="G795" s="37" t="inlineStr">
        <is>
          <t>Rebecca Smith</t>
        </is>
      </c>
      <c r="H795" s="37" t="n">
        <v>51.5</v>
      </c>
    </row>
    <row r="796">
      <c r="A796" s="37" t="inlineStr">
        <is>
          <t>GW-0309</t>
        </is>
      </c>
      <c r="B796" s="37" t="inlineStr">
        <is>
          <t>Gullwing</t>
        </is>
      </c>
      <c r="C796" s="37" t="inlineStr">
        <is>
          <t>OPEN</t>
        </is>
      </c>
      <c r="D796" s="37" t="n">
        <v>40</v>
      </c>
      <c r="E796" s="37" t="inlineStr">
        <is>
          <t>OCCUPIED</t>
        </is>
      </c>
      <c r="F796" s="37" t="inlineStr">
        <is>
          <t>WL-03290</t>
        </is>
      </c>
      <c r="G796" s="37" t="inlineStr">
        <is>
          <t>Caitlin Chavez</t>
        </is>
      </c>
      <c r="H796" s="37" t="n">
        <v>48.5</v>
      </c>
    </row>
    <row r="797">
      <c r="A797" s="37" t="inlineStr">
        <is>
          <t>GW-0310</t>
        </is>
      </c>
      <c r="B797" s="37" t="inlineStr">
        <is>
          <t>Gullwing</t>
        </is>
      </c>
      <c r="C797" s="37" t="inlineStr">
        <is>
          <t>OPEN</t>
        </is>
      </c>
      <c r="D797" s="37" t="n">
        <v>36</v>
      </c>
      <c r="E797" s="37" t="inlineStr">
        <is>
          <t>OCCUPIED</t>
        </is>
      </c>
      <c r="F797" s="37" t="inlineStr">
        <is>
          <t>WL-03315</t>
        </is>
      </c>
      <c r="G797" s="37" t="inlineStr">
        <is>
          <t>Marvin Miranda</t>
        </is>
      </c>
      <c r="H797" s="37" t="n">
        <v>20.4</v>
      </c>
    </row>
    <row r="798">
      <c r="A798" s="37" t="inlineStr">
        <is>
          <t>GW-0311</t>
        </is>
      </c>
      <c r="B798" s="37" t="inlineStr">
        <is>
          <t>Gullwing</t>
        </is>
      </c>
      <c r="C798" s="37" t="inlineStr">
        <is>
          <t>OPEN</t>
        </is>
      </c>
      <c r="D798" s="37" t="n">
        <v>70</v>
      </c>
      <c r="E798" s="37" t="inlineStr">
        <is>
          <t>VACANT</t>
        </is>
      </c>
    </row>
    <row r="799">
      <c r="A799" s="37" t="inlineStr">
        <is>
          <t>GW-0312</t>
        </is>
      </c>
      <c r="B799" s="37" t="inlineStr">
        <is>
          <t>Gullwing</t>
        </is>
      </c>
      <c r="C799" s="37" t="inlineStr">
        <is>
          <t>OPEN</t>
        </is>
      </c>
      <c r="D799" s="37" t="n">
        <v>70</v>
      </c>
      <c r="E799" s="37" t="inlineStr">
        <is>
          <t>OCCUPIED</t>
        </is>
      </c>
      <c r="F799" s="37" t="inlineStr">
        <is>
          <t>WL-01955</t>
        </is>
      </c>
      <c r="G799" s="37" t="inlineStr">
        <is>
          <t>Nicole Davis</t>
        </is>
      </c>
      <c r="H799" s="37" t="n">
        <v>51.7</v>
      </c>
    </row>
    <row r="800">
      <c r="A800" s="37" t="inlineStr">
        <is>
          <t>GW-0313</t>
        </is>
      </c>
      <c r="B800" s="37" t="inlineStr">
        <is>
          <t>Gullwing</t>
        </is>
      </c>
      <c r="C800" s="37" t="inlineStr">
        <is>
          <t>OPEN</t>
        </is>
      </c>
      <c r="D800" s="37" t="n">
        <v>32</v>
      </c>
      <c r="E800" s="37" t="inlineStr">
        <is>
          <t>OCCUPIED</t>
        </is>
      </c>
      <c r="F800" s="37" t="inlineStr">
        <is>
          <t>WL-03455</t>
        </is>
      </c>
      <c r="G800" s="37" t="inlineStr">
        <is>
          <t>Taylor George</t>
        </is>
      </c>
      <c r="H800" s="37" t="n">
        <v>60.7</v>
      </c>
    </row>
    <row r="801">
      <c r="A801" s="37" t="inlineStr">
        <is>
          <t>GW-0314</t>
        </is>
      </c>
      <c r="B801" s="37" t="inlineStr">
        <is>
          <t>Gullwing</t>
        </is>
      </c>
      <c r="C801" s="37" t="inlineStr">
        <is>
          <t>OPEN</t>
        </is>
      </c>
      <c r="D801" s="37" t="n">
        <v>32</v>
      </c>
      <c r="E801" s="37" t="inlineStr">
        <is>
          <t>MAINTENANCE</t>
        </is>
      </c>
    </row>
    <row r="802">
      <c r="A802" s="37" t="inlineStr">
        <is>
          <t>GW-0315</t>
        </is>
      </c>
      <c r="B802" s="37" t="inlineStr">
        <is>
          <t>Gullwing</t>
        </is>
      </c>
      <c r="C802" s="37" t="inlineStr">
        <is>
          <t>OPEN</t>
        </is>
      </c>
      <c r="D802" s="37" t="n">
        <v>32</v>
      </c>
      <c r="E802" s="37" t="inlineStr">
        <is>
          <t>OCCUPIED</t>
        </is>
      </c>
      <c r="F802" s="37" t="inlineStr">
        <is>
          <t>WL-03306</t>
        </is>
      </c>
      <c r="G802" s="37" t="inlineStr">
        <is>
          <t>Rebecca Martin</t>
        </is>
      </c>
      <c r="H802" s="37" t="n">
        <v>58.4</v>
      </c>
    </row>
    <row r="803">
      <c r="A803" s="37" t="inlineStr">
        <is>
          <t>GW-0316</t>
        </is>
      </c>
      <c r="B803" s="37" t="inlineStr">
        <is>
          <t>Gullwing</t>
        </is>
      </c>
      <c r="C803" s="37" t="inlineStr">
        <is>
          <t>OPEN</t>
        </is>
      </c>
      <c r="D803" s="37" t="n">
        <v>32</v>
      </c>
      <c r="E803" s="37" t="inlineStr">
        <is>
          <t>OCCUPIED</t>
        </is>
      </c>
      <c r="F803" s="37" t="inlineStr">
        <is>
          <t>WL-01648</t>
        </is>
      </c>
      <c r="G803" s="37" t="inlineStr">
        <is>
          <t>Chelsea Matthews</t>
        </is>
      </c>
      <c r="H803" s="37" t="n">
        <v>25.6</v>
      </c>
    </row>
    <row r="804">
      <c r="A804" s="37" t="inlineStr">
        <is>
          <t>GW-0317</t>
        </is>
      </c>
      <c r="B804" s="37" t="inlineStr">
        <is>
          <t>Gullwing</t>
        </is>
      </c>
      <c r="C804" s="37" t="inlineStr">
        <is>
          <t>OPEN</t>
        </is>
      </c>
      <c r="D804" s="37" t="n">
        <v>32</v>
      </c>
      <c r="E804" s="37" t="inlineStr">
        <is>
          <t>OCCUPIED</t>
        </is>
      </c>
      <c r="F804" s="37" t="inlineStr">
        <is>
          <t>WL-02270</t>
        </is>
      </c>
      <c r="G804" s="37" t="inlineStr">
        <is>
          <t>Nathan Lewis</t>
        </is>
      </c>
      <c r="H804" s="37" t="n">
        <v>58.8</v>
      </c>
    </row>
    <row r="805">
      <c r="A805" s="37" t="inlineStr">
        <is>
          <t>GW-0318</t>
        </is>
      </c>
      <c r="B805" s="37" t="inlineStr">
        <is>
          <t>Gullwing</t>
        </is>
      </c>
      <c r="C805" s="37" t="inlineStr">
        <is>
          <t>OPEN</t>
        </is>
      </c>
      <c r="D805" s="37" t="n">
        <v>28</v>
      </c>
      <c r="E805" s="37" t="inlineStr">
        <is>
          <t>OCCUPIED</t>
        </is>
      </c>
      <c r="F805" s="37" t="inlineStr">
        <is>
          <t>WL-01122</t>
        </is>
      </c>
      <c r="G805" s="37" t="inlineStr">
        <is>
          <t>Rachel Carpenter</t>
        </is>
      </c>
      <c r="H805" s="37" t="n">
        <v>32.1</v>
      </c>
    </row>
    <row r="806">
      <c r="A806" s="37" t="inlineStr">
        <is>
          <t>GW-0319</t>
        </is>
      </c>
      <c r="B806" s="37" t="inlineStr">
        <is>
          <t>Gullwing</t>
        </is>
      </c>
      <c r="C806" s="37" t="inlineStr">
        <is>
          <t>OPEN</t>
        </is>
      </c>
      <c r="D806" s="37" t="n">
        <v>28</v>
      </c>
      <c r="E806" s="37" t="inlineStr">
        <is>
          <t>VACANT</t>
        </is>
      </c>
    </row>
    <row r="807">
      <c r="A807" s="37" t="inlineStr">
        <is>
          <t>GW-0320</t>
        </is>
      </c>
      <c r="B807" s="37" t="inlineStr">
        <is>
          <t>Gullwing</t>
        </is>
      </c>
      <c r="C807" s="37" t="inlineStr">
        <is>
          <t>OPEN</t>
        </is>
      </c>
      <c r="D807" s="37" t="n">
        <v>36</v>
      </c>
      <c r="E807" s="37" t="inlineStr">
        <is>
          <t>OCCUPIED</t>
        </is>
      </c>
      <c r="F807" s="37" t="inlineStr">
        <is>
          <t>WL-01487</t>
        </is>
      </c>
      <c r="G807" s="37" t="inlineStr">
        <is>
          <t>Thomas Palmer</t>
        </is>
      </c>
      <c r="H807" s="37" t="n">
        <v>42.3</v>
      </c>
    </row>
    <row r="808">
      <c r="A808" s="37" t="inlineStr">
        <is>
          <t>GW-0321</t>
        </is>
      </c>
      <c r="B808" s="37" t="inlineStr">
        <is>
          <t>Gullwing</t>
        </is>
      </c>
      <c r="C808" s="37" t="inlineStr">
        <is>
          <t>OPEN</t>
        </is>
      </c>
      <c r="D808" s="37" t="n">
        <v>45</v>
      </c>
      <c r="E808" s="37" t="inlineStr">
        <is>
          <t>OCCUPIED</t>
        </is>
      </c>
      <c r="F808" s="37" t="inlineStr">
        <is>
          <t>WL-02922</t>
        </is>
      </c>
      <c r="G808" s="37" t="inlineStr">
        <is>
          <t>Sandra Allen</t>
        </is>
      </c>
      <c r="H808" s="37" t="n">
        <v>58</v>
      </c>
    </row>
    <row r="809">
      <c r="A809" s="37" t="inlineStr">
        <is>
          <t>GW-0322</t>
        </is>
      </c>
      <c r="B809" s="37" t="inlineStr">
        <is>
          <t>Gullwing</t>
        </is>
      </c>
      <c r="C809" s="37" t="inlineStr">
        <is>
          <t>OPEN</t>
        </is>
      </c>
      <c r="D809" s="37" t="n">
        <v>45</v>
      </c>
      <c r="E809" s="37" t="inlineStr">
        <is>
          <t>OCCUPIED</t>
        </is>
      </c>
      <c r="F809" s="37" t="inlineStr">
        <is>
          <t>WL-01815</t>
        </is>
      </c>
      <c r="G809" s="37" t="inlineStr">
        <is>
          <t>Theresa Martinez</t>
        </is>
      </c>
      <c r="H809" s="37" t="n">
        <v>30.1</v>
      </c>
    </row>
    <row r="810">
      <c r="A810" s="37" t="inlineStr">
        <is>
          <t>GW-0323</t>
        </is>
      </c>
      <c r="B810" s="37" t="inlineStr">
        <is>
          <t>Gullwing</t>
        </is>
      </c>
      <c r="C810" s="37" t="inlineStr">
        <is>
          <t>OPEN</t>
        </is>
      </c>
      <c r="D810" s="37" t="n">
        <v>80</v>
      </c>
      <c r="E810" s="37" t="inlineStr">
        <is>
          <t>OCCUPIED</t>
        </is>
      </c>
      <c r="F810" s="37" t="inlineStr">
        <is>
          <t>WL-02735</t>
        </is>
      </c>
      <c r="G810" s="37" t="inlineStr">
        <is>
          <t>Kristen Orr</t>
        </is>
      </c>
      <c r="H810" s="37" t="n">
        <v>54.2</v>
      </c>
    </row>
    <row r="811">
      <c r="A811" s="37" t="inlineStr">
        <is>
          <t>GW-0401</t>
        </is>
      </c>
      <c r="B811" s="37" t="inlineStr">
        <is>
          <t>Gullwing</t>
        </is>
      </c>
      <c r="C811" s="37" t="inlineStr">
        <is>
          <t>OPEN</t>
        </is>
      </c>
      <c r="D811" s="37" t="n">
        <v>45</v>
      </c>
      <c r="E811" s="37" t="inlineStr">
        <is>
          <t>OCCUPIED</t>
        </is>
      </c>
      <c r="F811" s="37" t="inlineStr">
        <is>
          <t>WL-03064</t>
        </is>
      </c>
      <c r="G811" s="37" t="inlineStr">
        <is>
          <t>Megan Hendricks</t>
        </is>
      </c>
      <c r="H811" s="37" t="n">
        <v>40.3</v>
      </c>
    </row>
    <row r="812">
      <c r="A812" s="37" t="inlineStr">
        <is>
          <t>GW-0402</t>
        </is>
      </c>
      <c r="B812" s="37" t="inlineStr">
        <is>
          <t>Gullwing</t>
        </is>
      </c>
      <c r="C812" s="37" t="inlineStr">
        <is>
          <t>OPEN</t>
        </is>
      </c>
      <c r="D812" s="37" t="n">
        <v>24</v>
      </c>
      <c r="E812" s="37" t="inlineStr">
        <is>
          <t>OCCUPIED</t>
        </is>
      </c>
      <c r="F812" s="37" t="inlineStr">
        <is>
          <t>WL-02635</t>
        </is>
      </c>
      <c r="G812" s="37" t="inlineStr">
        <is>
          <t>Roger Bowers</t>
        </is>
      </c>
      <c r="H812" s="37" t="n">
        <v>33.6</v>
      </c>
    </row>
    <row r="813">
      <c r="A813" s="37" t="inlineStr">
        <is>
          <t>GW-0403</t>
        </is>
      </c>
      <c r="B813" s="37" t="inlineStr">
        <is>
          <t>Gullwing</t>
        </is>
      </c>
      <c r="C813" s="37" t="inlineStr">
        <is>
          <t>OPEN</t>
        </is>
      </c>
      <c r="D813" s="37" t="n">
        <v>32</v>
      </c>
      <c r="E813" s="37" t="inlineStr">
        <is>
          <t>OCCUPIED</t>
        </is>
      </c>
      <c r="F813" s="37" t="inlineStr">
        <is>
          <t>WL-02399</t>
        </is>
      </c>
      <c r="G813" s="37" t="inlineStr">
        <is>
          <t>Jennifer Mccullough</t>
        </is>
      </c>
      <c r="H813" s="37" t="n">
        <v>26.3</v>
      </c>
    </row>
    <row r="814">
      <c r="A814" s="37" t="inlineStr">
        <is>
          <t>GW-0404</t>
        </is>
      </c>
      <c r="B814" s="37" t="inlineStr">
        <is>
          <t>Gullwing</t>
        </is>
      </c>
      <c r="C814" s="37" t="inlineStr">
        <is>
          <t>OPEN</t>
        </is>
      </c>
      <c r="D814" s="37" t="n">
        <v>60</v>
      </c>
      <c r="E814" s="37" t="inlineStr">
        <is>
          <t>OCCUPIED</t>
        </is>
      </c>
      <c r="F814" s="37" t="inlineStr">
        <is>
          <t>WL-03671</t>
        </is>
      </c>
      <c r="G814" s="37" t="inlineStr">
        <is>
          <t>Thomas Martinez</t>
        </is>
      </c>
      <c r="H814" s="37" t="n">
        <v>38.1</v>
      </c>
    </row>
    <row r="815">
      <c r="A815" s="37" t="inlineStr">
        <is>
          <t>GW-0405</t>
        </is>
      </c>
      <c r="B815" s="37" t="inlineStr">
        <is>
          <t>Gullwing</t>
        </is>
      </c>
      <c r="C815" s="37" t="inlineStr">
        <is>
          <t>OPEN</t>
        </is>
      </c>
      <c r="D815" s="37" t="n">
        <v>45</v>
      </c>
      <c r="E815" s="37" t="inlineStr">
        <is>
          <t>OCCUPIED</t>
        </is>
      </c>
      <c r="F815" s="37" t="inlineStr">
        <is>
          <t>WL-01293</t>
        </is>
      </c>
      <c r="G815" s="37" t="inlineStr">
        <is>
          <t>Pamela Powell</t>
        </is>
      </c>
      <c r="H815" s="37" t="n">
        <v>31.8</v>
      </c>
    </row>
    <row r="816">
      <c r="A816" s="37" t="inlineStr">
        <is>
          <t>GW-0406</t>
        </is>
      </c>
      <c r="B816" s="37" t="inlineStr">
        <is>
          <t>Gullwing</t>
        </is>
      </c>
      <c r="C816" s="37" t="inlineStr">
        <is>
          <t>OPEN</t>
        </is>
      </c>
      <c r="D816" s="37" t="n">
        <v>28</v>
      </c>
      <c r="E816" s="37" t="inlineStr">
        <is>
          <t>OCCUPIED</t>
        </is>
      </c>
      <c r="F816" s="37" t="inlineStr">
        <is>
          <t>WL-02077</t>
        </is>
      </c>
      <c r="G816" s="37" t="inlineStr">
        <is>
          <t>William Price</t>
        </is>
      </c>
      <c r="H816" s="37" t="n">
        <v>61.4</v>
      </c>
    </row>
    <row r="817">
      <c r="A817" s="37" t="inlineStr">
        <is>
          <t>GW-0407</t>
        </is>
      </c>
      <c r="B817" s="37" t="inlineStr">
        <is>
          <t>Gullwing</t>
        </is>
      </c>
      <c r="C817" s="37" t="inlineStr">
        <is>
          <t>OPEN</t>
        </is>
      </c>
      <c r="D817" s="37" t="n">
        <v>45</v>
      </c>
      <c r="E817" s="37" t="inlineStr">
        <is>
          <t>OCCUPIED</t>
        </is>
      </c>
      <c r="F817" s="37" t="inlineStr">
        <is>
          <t>WL-03682</t>
        </is>
      </c>
      <c r="G817" s="37" t="inlineStr">
        <is>
          <t>Paul Anderson</t>
        </is>
      </c>
      <c r="H817" s="37" t="n">
        <v>23.5</v>
      </c>
    </row>
    <row r="818">
      <c r="A818" s="37" t="inlineStr">
        <is>
          <t>GW-0408</t>
        </is>
      </c>
      <c r="B818" s="37" t="inlineStr">
        <is>
          <t>Gullwing</t>
        </is>
      </c>
      <c r="C818" s="37" t="inlineStr">
        <is>
          <t>OPEN</t>
        </is>
      </c>
      <c r="D818" s="37" t="n">
        <v>28</v>
      </c>
      <c r="E818" s="37" t="inlineStr">
        <is>
          <t>OCCUPIED</t>
        </is>
      </c>
      <c r="F818" s="37" t="inlineStr">
        <is>
          <t>WL-01551</t>
        </is>
      </c>
      <c r="G818" s="37" t="inlineStr">
        <is>
          <t>Megan Santiago</t>
        </is>
      </c>
      <c r="H818" s="37" t="n">
        <v>21</v>
      </c>
    </row>
    <row r="819">
      <c r="A819" s="37" t="inlineStr">
        <is>
          <t>GW-0409</t>
        </is>
      </c>
      <c r="B819" s="37" t="inlineStr">
        <is>
          <t>Gullwing</t>
        </is>
      </c>
      <c r="C819" s="37" t="inlineStr">
        <is>
          <t>OPEN</t>
        </is>
      </c>
      <c r="D819" s="37" t="n">
        <v>45</v>
      </c>
      <c r="E819" s="37" t="inlineStr">
        <is>
          <t>OCCUPIED</t>
        </is>
      </c>
      <c r="F819" s="37" t="inlineStr">
        <is>
          <t>WL-02328</t>
        </is>
      </c>
      <c r="G819" s="37" t="inlineStr">
        <is>
          <t>Tony Mack</t>
        </is>
      </c>
      <c r="H819" s="37" t="n">
        <v>55.5</v>
      </c>
    </row>
    <row r="820">
      <c r="A820" s="37" t="inlineStr">
        <is>
          <t>GW-0410</t>
        </is>
      </c>
      <c r="B820" s="37" t="inlineStr">
        <is>
          <t>Gullwing</t>
        </is>
      </c>
      <c r="C820" s="37" t="inlineStr">
        <is>
          <t>OPEN</t>
        </is>
      </c>
      <c r="D820" s="37" t="n">
        <v>70</v>
      </c>
      <c r="E820" s="37" t="inlineStr">
        <is>
          <t>OCCUPIED</t>
        </is>
      </c>
      <c r="F820" s="37" t="inlineStr">
        <is>
          <t>WL-02074</t>
        </is>
      </c>
      <c r="G820" s="37" t="inlineStr">
        <is>
          <t>Erika Martin</t>
        </is>
      </c>
      <c r="H820" s="37" t="n">
        <v>40.2</v>
      </c>
    </row>
    <row r="821">
      <c r="A821" s="37" t="inlineStr">
        <is>
          <t>GW-0411</t>
        </is>
      </c>
      <c r="B821" s="37" t="inlineStr">
        <is>
          <t>Gullwing</t>
        </is>
      </c>
      <c r="C821" s="37" t="inlineStr">
        <is>
          <t>OPEN</t>
        </is>
      </c>
      <c r="D821" s="37" t="n">
        <v>32</v>
      </c>
      <c r="E821" s="37" t="inlineStr">
        <is>
          <t>OCCUPIED</t>
        </is>
      </c>
      <c r="F821" s="37" t="inlineStr">
        <is>
          <t>WL-01859</t>
        </is>
      </c>
      <c r="G821" s="37" t="inlineStr">
        <is>
          <t>Patricia Delgado</t>
        </is>
      </c>
      <c r="H821" s="37" t="n">
        <v>48.1</v>
      </c>
    </row>
    <row r="822">
      <c r="A822" s="37" t="inlineStr">
        <is>
          <t>GW-0412</t>
        </is>
      </c>
      <c r="B822" s="37" t="inlineStr">
        <is>
          <t>Gullwing</t>
        </is>
      </c>
      <c r="C822" s="37" t="inlineStr">
        <is>
          <t>OPEN</t>
        </is>
      </c>
      <c r="D822" s="37" t="n">
        <v>24</v>
      </c>
      <c r="E822" s="37" t="inlineStr">
        <is>
          <t>OCCUPIED</t>
        </is>
      </c>
      <c r="F822" s="37" t="inlineStr">
        <is>
          <t>WL-01282</t>
        </is>
      </c>
      <c r="G822" s="37" t="inlineStr">
        <is>
          <t>Nancy Miller</t>
        </is>
      </c>
      <c r="H822" s="37" t="n">
        <v>35.1</v>
      </c>
    </row>
    <row r="823">
      <c r="A823" s="37" t="inlineStr">
        <is>
          <t>GW-0413</t>
        </is>
      </c>
      <c r="B823" s="37" t="inlineStr">
        <is>
          <t>Gullwing</t>
        </is>
      </c>
      <c r="C823" s="37" t="inlineStr">
        <is>
          <t>OPEN</t>
        </is>
      </c>
      <c r="D823" s="37" t="n">
        <v>60</v>
      </c>
      <c r="E823" s="37" t="inlineStr">
        <is>
          <t>OCCUPIED</t>
        </is>
      </c>
      <c r="F823" s="37" t="inlineStr">
        <is>
          <t>WL-03767</t>
        </is>
      </c>
      <c r="G823" s="37" t="inlineStr">
        <is>
          <t>Chad David</t>
        </is>
      </c>
      <c r="H823" s="37" t="n">
        <v>24.7</v>
      </c>
    </row>
    <row r="824">
      <c r="A824" s="37" t="inlineStr">
        <is>
          <t>GW-0414</t>
        </is>
      </c>
      <c r="B824" s="37" t="inlineStr">
        <is>
          <t>Gullwing</t>
        </is>
      </c>
      <c r="C824" s="37" t="inlineStr">
        <is>
          <t>OPEN</t>
        </is>
      </c>
      <c r="D824" s="37" t="n">
        <v>45</v>
      </c>
      <c r="E824" s="37" t="inlineStr">
        <is>
          <t>OCCUPIED</t>
        </is>
      </c>
      <c r="F824" s="37" t="inlineStr">
        <is>
          <t>WL-01875</t>
        </is>
      </c>
      <c r="G824" s="37" t="inlineStr">
        <is>
          <t>Steven Harris</t>
        </is>
      </c>
      <c r="H824" s="37" t="n">
        <v>31.7</v>
      </c>
    </row>
    <row r="825">
      <c r="A825" s="37" t="inlineStr">
        <is>
          <t>GW-0415</t>
        </is>
      </c>
      <c r="B825" s="37" t="inlineStr">
        <is>
          <t>Gullwing</t>
        </is>
      </c>
      <c r="C825" s="37" t="inlineStr">
        <is>
          <t>OPEN</t>
        </is>
      </c>
      <c r="D825" s="37" t="n">
        <v>24</v>
      </c>
      <c r="E825" s="37" t="inlineStr">
        <is>
          <t>OCCUPIED</t>
        </is>
      </c>
      <c r="F825" s="37" t="inlineStr">
        <is>
          <t>WL-02969</t>
        </is>
      </c>
      <c r="G825" s="37" t="inlineStr">
        <is>
          <t>Anthony Davis</t>
        </is>
      </c>
      <c r="H825" s="37" t="n">
        <v>47.9</v>
      </c>
    </row>
    <row r="826">
      <c r="A826" s="37" t="inlineStr">
        <is>
          <t>GW-0416</t>
        </is>
      </c>
      <c r="B826" s="37" t="inlineStr">
        <is>
          <t>Gullwing</t>
        </is>
      </c>
      <c r="C826" s="37" t="inlineStr">
        <is>
          <t>OPEN</t>
        </is>
      </c>
      <c r="D826" s="37" t="n">
        <v>32</v>
      </c>
      <c r="E826" s="37" t="inlineStr">
        <is>
          <t>OCCUPIED</t>
        </is>
      </c>
      <c r="F826" s="37" t="inlineStr">
        <is>
          <t>WL-01714</t>
        </is>
      </c>
      <c r="G826" s="37" t="inlineStr">
        <is>
          <t>Ashley Smith</t>
        </is>
      </c>
      <c r="H826" s="37" t="n">
        <v>23.7</v>
      </c>
    </row>
    <row r="827">
      <c r="A827" s="37" t="inlineStr">
        <is>
          <t>GW-0417</t>
        </is>
      </c>
      <c r="B827" s="37" t="inlineStr">
        <is>
          <t>Gullwing</t>
        </is>
      </c>
      <c r="C827" s="37" t="inlineStr">
        <is>
          <t>OPEN</t>
        </is>
      </c>
      <c r="D827" s="37" t="n">
        <v>32</v>
      </c>
      <c r="E827" s="37" t="inlineStr">
        <is>
          <t>OCCUPIED</t>
        </is>
      </c>
      <c r="F827" s="37" t="inlineStr">
        <is>
          <t>WL-02423</t>
        </is>
      </c>
      <c r="G827" s="37" t="inlineStr">
        <is>
          <t>Melissa Johnson</t>
        </is>
      </c>
      <c r="H827" s="37" t="n">
        <v>52.8</v>
      </c>
    </row>
    <row r="828">
      <c r="A828" s="37" t="inlineStr">
        <is>
          <t>GW-0418</t>
        </is>
      </c>
      <c r="B828" s="37" t="inlineStr">
        <is>
          <t>Gullwing</t>
        </is>
      </c>
      <c r="C828" s="37" t="inlineStr">
        <is>
          <t>OPEN</t>
        </is>
      </c>
      <c r="D828" s="37" t="n">
        <v>24</v>
      </c>
      <c r="E828" s="37" t="inlineStr">
        <is>
          <t>OCCUPIED</t>
        </is>
      </c>
      <c r="F828" s="37" t="inlineStr">
        <is>
          <t>WL-03144</t>
        </is>
      </c>
      <c r="G828" s="37" t="inlineStr">
        <is>
          <t>Brandi Jackson</t>
        </is>
      </c>
      <c r="H828" s="37" t="n">
        <v>28.3</v>
      </c>
    </row>
    <row r="829">
      <c r="A829" s="37" t="inlineStr">
        <is>
          <t>GW-0419</t>
        </is>
      </c>
      <c r="B829" s="37" t="inlineStr">
        <is>
          <t>Gullwing</t>
        </is>
      </c>
      <c r="C829" s="37" t="inlineStr">
        <is>
          <t>OPEN</t>
        </is>
      </c>
      <c r="D829" s="37" t="n">
        <v>32</v>
      </c>
      <c r="E829" s="37" t="inlineStr">
        <is>
          <t>OCCUPIED</t>
        </is>
      </c>
      <c r="F829" s="37" t="inlineStr">
        <is>
          <t>WL-03795</t>
        </is>
      </c>
      <c r="G829" s="37" t="inlineStr">
        <is>
          <t>Brenda Norman</t>
        </is>
      </c>
      <c r="H829" s="37" t="n">
        <v>27</v>
      </c>
    </row>
    <row r="830">
      <c r="A830" s="37" t="inlineStr">
        <is>
          <t>GW-0420</t>
        </is>
      </c>
      <c r="B830" s="37" t="inlineStr">
        <is>
          <t>Gullwing</t>
        </is>
      </c>
      <c r="C830" s="37" t="inlineStr">
        <is>
          <t>OPEN</t>
        </is>
      </c>
      <c r="D830" s="37" t="n">
        <v>28</v>
      </c>
      <c r="E830" s="37" t="inlineStr">
        <is>
          <t>OCCUPIED</t>
        </is>
      </c>
      <c r="F830" s="37" t="inlineStr">
        <is>
          <t>WL-01133</t>
        </is>
      </c>
      <c r="G830" s="37" t="inlineStr">
        <is>
          <t>Shelia Lewis</t>
        </is>
      </c>
      <c r="H830" s="37" t="n">
        <v>18.5</v>
      </c>
    </row>
    <row r="831">
      <c r="A831" s="37" t="inlineStr">
        <is>
          <t>GW-0421</t>
        </is>
      </c>
      <c r="B831" s="37" t="inlineStr">
        <is>
          <t>Gullwing</t>
        </is>
      </c>
      <c r="C831" s="37" t="inlineStr">
        <is>
          <t>OPEN</t>
        </is>
      </c>
      <c r="D831" s="37" t="n">
        <v>80</v>
      </c>
      <c r="E831" s="37" t="inlineStr">
        <is>
          <t>OCCUPIED</t>
        </is>
      </c>
      <c r="F831" s="37" t="inlineStr">
        <is>
          <t>WL-01204</t>
        </is>
      </c>
      <c r="G831" s="37" t="inlineStr">
        <is>
          <t>David Williams</t>
        </is>
      </c>
      <c r="H831" s="37" t="n">
        <v>46.6</v>
      </c>
    </row>
    <row r="832">
      <c r="A832" s="37" t="inlineStr">
        <is>
          <t>GW-0422</t>
        </is>
      </c>
      <c r="B832" s="37" t="inlineStr">
        <is>
          <t>Gullwing</t>
        </is>
      </c>
      <c r="C832" s="37" t="inlineStr">
        <is>
          <t>OPEN</t>
        </is>
      </c>
      <c r="D832" s="37" t="n">
        <v>80</v>
      </c>
      <c r="E832" s="37" t="inlineStr">
        <is>
          <t>OCCUPIED</t>
        </is>
      </c>
      <c r="F832" s="37" t="inlineStr">
        <is>
          <t>WL-03799</t>
        </is>
      </c>
      <c r="G832" s="37" t="inlineStr">
        <is>
          <t>Ashley Duncan</t>
        </is>
      </c>
      <c r="H832" s="37" t="n">
        <v>40.9</v>
      </c>
    </row>
    <row r="833">
      <c r="A833" s="37" t="inlineStr">
        <is>
          <t>GW-0423</t>
        </is>
      </c>
      <c r="B833" s="37" t="inlineStr">
        <is>
          <t>Gullwing</t>
        </is>
      </c>
      <c r="C833" s="37" t="inlineStr">
        <is>
          <t>OPEN</t>
        </is>
      </c>
      <c r="D833" s="37" t="n">
        <v>32</v>
      </c>
      <c r="E833" s="37" t="inlineStr">
        <is>
          <t>OCCUPIED</t>
        </is>
      </c>
      <c r="F833" s="37" t="inlineStr">
        <is>
          <t>WL-02053</t>
        </is>
      </c>
      <c r="G833" s="37" t="inlineStr">
        <is>
          <t>Erika Smith</t>
        </is>
      </c>
      <c r="H833" s="37" t="n">
        <v>42</v>
      </c>
    </row>
    <row r="834">
      <c r="A834" s="37" t="inlineStr">
        <is>
          <t>GW-0501</t>
        </is>
      </c>
      <c r="B834" s="37" t="inlineStr">
        <is>
          <t>Gullwing</t>
        </is>
      </c>
      <c r="C834" s="37" t="inlineStr">
        <is>
          <t>OPEN</t>
        </is>
      </c>
      <c r="D834" s="37" t="n">
        <v>40</v>
      </c>
      <c r="E834" s="37" t="inlineStr">
        <is>
          <t>OCCUPIED</t>
        </is>
      </c>
      <c r="F834" s="37" t="inlineStr">
        <is>
          <t>WL-01450</t>
        </is>
      </c>
      <c r="G834" s="37" t="inlineStr">
        <is>
          <t>Joel Barnes</t>
        </is>
      </c>
      <c r="H834" s="37" t="n">
        <v>22.6</v>
      </c>
    </row>
    <row r="835">
      <c r="A835" s="37" t="inlineStr">
        <is>
          <t>GW-0502</t>
        </is>
      </c>
      <c r="B835" s="37" t="inlineStr">
        <is>
          <t>Gullwing</t>
        </is>
      </c>
      <c r="C835" s="37" t="inlineStr">
        <is>
          <t>OPEN</t>
        </is>
      </c>
      <c r="D835" s="37" t="n">
        <v>60</v>
      </c>
      <c r="E835" s="37" t="inlineStr">
        <is>
          <t>OCCUPIED</t>
        </is>
      </c>
      <c r="F835" s="37" t="inlineStr">
        <is>
          <t>WL-03559</t>
        </is>
      </c>
      <c r="G835" s="37" t="inlineStr">
        <is>
          <t>David Sanders</t>
        </is>
      </c>
      <c r="H835" s="37" t="n">
        <v>36.5</v>
      </c>
    </row>
    <row r="836">
      <c r="A836" s="37" t="inlineStr">
        <is>
          <t>GW-0503</t>
        </is>
      </c>
      <c r="B836" s="37" t="inlineStr">
        <is>
          <t>Gullwing</t>
        </is>
      </c>
      <c r="C836" s="37" t="inlineStr">
        <is>
          <t>OPEN</t>
        </is>
      </c>
      <c r="D836" s="37" t="n">
        <v>32</v>
      </c>
      <c r="E836" s="37" t="inlineStr">
        <is>
          <t>OCCUPIED</t>
        </is>
      </c>
      <c r="F836" s="37" t="inlineStr">
        <is>
          <t>WL-01494</t>
        </is>
      </c>
      <c r="G836" s="37" t="inlineStr">
        <is>
          <t>Ashley Park</t>
        </is>
      </c>
      <c r="H836" s="37" t="n">
        <v>43.9</v>
      </c>
    </row>
    <row r="837">
      <c r="A837" s="37" t="inlineStr">
        <is>
          <t>GW-0504</t>
        </is>
      </c>
      <c r="B837" s="37" t="inlineStr">
        <is>
          <t>Gullwing</t>
        </is>
      </c>
      <c r="C837" s="37" t="inlineStr">
        <is>
          <t>OPEN</t>
        </is>
      </c>
      <c r="D837" s="37" t="n">
        <v>50</v>
      </c>
      <c r="E837" s="37" t="inlineStr">
        <is>
          <t>OCCUPIED</t>
        </is>
      </c>
      <c r="F837" s="37" t="inlineStr">
        <is>
          <t>WL-01500</t>
        </is>
      </c>
      <c r="G837" s="37" t="inlineStr">
        <is>
          <t>Patricia Marquez</t>
        </is>
      </c>
      <c r="H837" s="37" t="n">
        <v>25.2</v>
      </c>
    </row>
    <row r="838">
      <c r="A838" s="37" t="inlineStr">
        <is>
          <t>GW-0505</t>
        </is>
      </c>
      <c r="B838" s="37" t="inlineStr">
        <is>
          <t>Gullwing</t>
        </is>
      </c>
      <c r="C838" s="37" t="inlineStr">
        <is>
          <t>OPEN</t>
        </is>
      </c>
      <c r="D838" s="37" t="n">
        <v>60</v>
      </c>
      <c r="E838" s="37" t="inlineStr">
        <is>
          <t>OCCUPIED</t>
        </is>
      </c>
      <c r="F838" s="37" t="inlineStr">
        <is>
          <t>WL-01089</t>
        </is>
      </c>
      <c r="G838" s="37" t="inlineStr">
        <is>
          <t>Erin Holmes</t>
        </is>
      </c>
      <c r="H838" s="37" t="n">
        <v>54.3</v>
      </c>
    </row>
    <row r="839">
      <c r="A839" s="37" t="inlineStr">
        <is>
          <t>GW-0506</t>
        </is>
      </c>
      <c r="B839" s="37" t="inlineStr">
        <is>
          <t>Gullwing</t>
        </is>
      </c>
      <c r="C839" s="37" t="inlineStr">
        <is>
          <t>OPEN</t>
        </is>
      </c>
      <c r="D839" s="37" t="n">
        <v>45</v>
      </c>
      <c r="E839" s="37" t="inlineStr">
        <is>
          <t>OCCUPIED</t>
        </is>
      </c>
      <c r="F839" s="37" t="inlineStr">
        <is>
          <t>WL-03615</t>
        </is>
      </c>
      <c r="G839" s="37" t="inlineStr">
        <is>
          <t>Kathryn Cook</t>
        </is>
      </c>
      <c r="H839" s="37" t="n">
        <v>25.2</v>
      </c>
    </row>
    <row r="840">
      <c r="A840" s="37" t="inlineStr">
        <is>
          <t>GW-0507</t>
        </is>
      </c>
      <c r="B840" s="37" t="inlineStr">
        <is>
          <t>Gullwing</t>
        </is>
      </c>
      <c r="C840" s="37" t="inlineStr">
        <is>
          <t>OPEN</t>
        </is>
      </c>
      <c r="D840" s="37" t="n">
        <v>24</v>
      </c>
      <c r="E840" s="37" t="inlineStr">
        <is>
          <t>OCCUPIED</t>
        </is>
      </c>
      <c r="F840" s="37" t="inlineStr">
        <is>
          <t>WL-03057</t>
        </is>
      </c>
      <c r="G840" s="37" t="inlineStr">
        <is>
          <t>Jennifer Stout</t>
        </is>
      </c>
      <c r="H840" s="37" t="n">
        <v>38.3</v>
      </c>
    </row>
    <row r="841">
      <c r="A841" s="37" t="inlineStr">
        <is>
          <t>GW-0508</t>
        </is>
      </c>
      <c r="B841" s="37" t="inlineStr">
        <is>
          <t>Gullwing</t>
        </is>
      </c>
      <c r="C841" s="37" t="inlineStr">
        <is>
          <t>OPEN</t>
        </is>
      </c>
      <c r="D841" s="37" t="n">
        <v>70</v>
      </c>
      <c r="E841" s="37" t="inlineStr">
        <is>
          <t>OCCUPIED</t>
        </is>
      </c>
      <c r="F841" s="37" t="inlineStr">
        <is>
          <t>WL-03692</t>
        </is>
      </c>
      <c r="G841" s="37" t="inlineStr">
        <is>
          <t>Warren Wilkins</t>
        </is>
      </c>
      <c r="H841" s="37" t="n">
        <v>25.9</v>
      </c>
    </row>
    <row r="842">
      <c r="A842" s="37" t="inlineStr">
        <is>
          <t>GW-0509</t>
        </is>
      </c>
      <c r="B842" s="37" t="inlineStr">
        <is>
          <t>Gullwing</t>
        </is>
      </c>
      <c r="C842" s="37" t="inlineStr">
        <is>
          <t>OPEN</t>
        </is>
      </c>
      <c r="D842" s="37" t="n">
        <v>45</v>
      </c>
      <c r="E842" s="37" t="inlineStr">
        <is>
          <t>OCCUPIED</t>
        </is>
      </c>
      <c r="F842" s="37" t="inlineStr">
        <is>
          <t>WL-03850</t>
        </is>
      </c>
      <c r="G842" s="37" t="inlineStr">
        <is>
          <t>Teresa Greer</t>
        </is>
      </c>
      <c r="H842" s="37" t="n">
        <v>35.6</v>
      </c>
    </row>
    <row r="843">
      <c r="A843" s="37" t="inlineStr">
        <is>
          <t>GW-0510</t>
        </is>
      </c>
      <c r="B843" s="37" t="inlineStr">
        <is>
          <t>Gullwing</t>
        </is>
      </c>
      <c r="C843" s="37" t="inlineStr">
        <is>
          <t>OPEN</t>
        </is>
      </c>
      <c r="D843" s="37" t="n">
        <v>24</v>
      </c>
      <c r="E843" s="37" t="inlineStr">
        <is>
          <t>MAINTENANCE</t>
        </is>
      </c>
    </row>
    <row r="844">
      <c r="A844" s="37" t="inlineStr">
        <is>
          <t>GW-0511</t>
        </is>
      </c>
      <c r="B844" s="37" t="inlineStr">
        <is>
          <t>Gullwing</t>
        </is>
      </c>
      <c r="C844" s="37" t="inlineStr">
        <is>
          <t>OPEN</t>
        </is>
      </c>
      <c r="D844" s="37" t="n">
        <v>70</v>
      </c>
      <c r="E844" s="37" t="inlineStr">
        <is>
          <t>OCCUPIED</t>
        </is>
      </c>
      <c r="F844" s="37" t="inlineStr">
        <is>
          <t>WL-02804</t>
        </is>
      </c>
      <c r="G844" s="37" t="inlineStr">
        <is>
          <t>Danny Jones</t>
        </is>
      </c>
      <c r="H844" s="37" t="n">
        <v>28.7</v>
      </c>
    </row>
    <row r="845">
      <c r="A845" s="37" t="inlineStr">
        <is>
          <t>GW-0512</t>
        </is>
      </c>
      <c r="B845" s="37" t="inlineStr">
        <is>
          <t>Gullwing</t>
        </is>
      </c>
      <c r="C845" s="37" t="inlineStr">
        <is>
          <t>OPEN</t>
        </is>
      </c>
      <c r="D845" s="37" t="n">
        <v>32</v>
      </c>
      <c r="E845" s="37" t="inlineStr">
        <is>
          <t>OCCUPIED</t>
        </is>
      </c>
      <c r="F845" s="37" t="inlineStr">
        <is>
          <t>WL-03869</t>
        </is>
      </c>
      <c r="G845" s="37" t="inlineStr">
        <is>
          <t>Seth Raymond</t>
        </is>
      </c>
      <c r="H845" s="37" t="n">
        <v>37</v>
      </c>
    </row>
    <row r="846">
      <c r="A846" s="37" t="inlineStr">
        <is>
          <t>GW-0513</t>
        </is>
      </c>
      <c r="B846" s="37" t="inlineStr">
        <is>
          <t>Gullwing</t>
        </is>
      </c>
      <c r="C846" s="37" t="inlineStr">
        <is>
          <t>OPEN</t>
        </is>
      </c>
      <c r="D846" s="37" t="n">
        <v>32</v>
      </c>
      <c r="E846" s="37" t="inlineStr">
        <is>
          <t>OCCUPIED</t>
        </is>
      </c>
      <c r="F846" s="37" t="inlineStr">
        <is>
          <t>WL-03045</t>
        </is>
      </c>
      <c r="G846" s="37" t="inlineStr">
        <is>
          <t>Karen Davis</t>
        </is>
      </c>
      <c r="H846" s="37" t="n">
        <v>51.6</v>
      </c>
    </row>
    <row r="847">
      <c r="A847" s="37" t="inlineStr">
        <is>
          <t>GW-0514</t>
        </is>
      </c>
      <c r="B847" s="37" t="inlineStr">
        <is>
          <t>Gullwing</t>
        </is>
      </c>
      <c r="C847" s="37" t="inlineStr">
        <is>
          <t>OPEN</t>
        </is>
      </c>
      <c r="D847" s="37" t="n">
        <v>40</v>
      </c>
      <c r="E847" s="37" t="inlineStr">
        <is>
          <t>OCCUPIED</t>
        </is>
      </c>
      <c r="F847" s="37" t="inlineStr">
        <is>
          <t>WL-03143</t>
        </is>
      </c>
      <c r="G847" s="37" t="inlineStr">
        <is>
          <t>Timothy Jennings</t>
        </is>
      </c>
      <c r="H847" s="37" t="n">
        <v>32.5</v>
      </c>
    </row>
    <row r="848">
      <c r="A848" s="37" t="inlineStr">
        <is>
          <t>GW-0515</t>
        </is>
      </c>
      <c r="B848" s="37" t="inlineStr">
        <is>
          <t>Gullwing</t>
        </is>
      </c>
      <c r="C848" s="37" t="inlineStr">
        <is>
          <t>OPEN</t>
        </is>
      </c>
      <c r="D848" s="37" t="n">
        <v>32</v>
      </c>
      <c r="E848" s="37" t="inlineStr">
        <is>
          <t>OCCUPIED</t>
        </is>
      </c>
      <c r="F848" s="37" t="inlineStr">
        <is>
          <t>WL-02025</t>
        </is>
      </c>
      <c r="G848" s="37" t="inlineStr">
        <is>
          <t>Haley Johnson</t>
        </is>
      </c>
      <c r="H848" s="37" t="n">
        <v>18.1</v>
      </c>
    </row>
    <row r="849">
      <c r="A849" s="37" t="inlineStr">
        <is>
          <t>GW-0516</t>
        </is>
      </c>
      <c r="B849" s="37" t="inlineStr">
        <is>
          <t>Gullwing</t>
        </is>
      </c>
      <c r="C849" s="37" t="inlineStr">
        <is>
          <t>OPEN</t>
        </is>
      </c>
      <c r="D849" s="37" t="n">
        <v>70</v>
      </c>
      <c r="E849" s="37" t="inlineStr">
        <is>
          <t>OCCUPIED</t>
        </is>
      </c>
      <c r="F849" s="37" t="inlineStr">
        <is>
          <t>WL-01072</t>
        </is>
      </c>
      <c r="G849" s="37" t="inlineStr">
        <is>
          <t>Sabrina Johnson</t>
        </is>
      </c>
      <c r="H849" s="37" t="n">
        <v>52.3</v>
      </c>
    </row>
    <row r="850">
      <c r="A850" s="37" t="inlineStr">
        <is>
          <t>GW-0517</t>
        </is>
      </c>
      <c r="B850" s="37" t="inlineStr">
        <is>
          <t>Gullwing</t>
        </is>
      </c>
      <c r="C850" s="37" t="inlineStr">
        <is>
          <t>OPEN</t>
        </is>
      </c>
      <c r="D850" s="37" t="n">
        <v>24</v>
      </c>
      <c r="E850" s="37" t="inlineStr">
        <is>
          <t>OCCUPIED</t>
        </is>
      </c>
      <c r="F850" s="37" t="inlineStr">
        <is>
          <t>WL-01986</t>
        </is>
      </c>
      <c r="G850" s="37" t="inlineStr">
        <is>
          <t>Leah Blake</t>
        </is>
      </c>
      <c r="H850" s="37" t="n">
        <v>46.9</v>
      </c>
    </row>
    <row r="851">
      <c r="A851" s="37" t="inlineStr">
        <is>
          <t>GW-0518</t>
        </is>
      </c>
      <c r="B851" s="37" t="inlineStr">
        <is>
          <t>Gullwing</t>
        </is>
      </c>
      <c r="C851" s="37" t="inlineStr">
        <is>
          <t>OPEN</t>
        </is>
      </c>
      <c r="D851" s="37" t="n">
        <v>80</v>
      </c>
      <c r="E851" s="37" t="inlineStr">
        <is>
          <t>OCCUPIED</t>
        </is>
      </c>
      <c r="F851" s="37" t="inlineStr">
        <is>
          <t>WL-02212</t>
        </is>
      </c>
      <c r="G851" s="37" t="inlineStr">
        <is>
          <t>Jeffery Delacruz</t>
        </is>
      </c>
      <c r="H851" s="37" t="n">
        <v>54.3</v>
      </c>
    </row>
    <row r="852">
      <c r="A852" s="37" t="inlineStr">
        <is>
          <t>GW-0519</t>
        </is>
      </c>
      <c r="B852" s="37" t="inlineStr">
        <is>
          <t>Gullwing</t>
        </is>
      </c>
      <c r="C852" s="37" t="inlineStr">
        <is>
          <t>OPEN</t>
        </is>
      </c>
      <c r="D852" s="37" t="n">
        <v>40</v>
      </c>
      <c r="E852" s="37" t="inlineStr">
        <is>
          <t>OCCUPIED</t>
        </is>
      </c>
      <c r="F852" s="37" t="inlineStr">
        <is>
          <t>WL-03269</t>
        </is>
      </c>
      <c r="G852" s="37" t="inlineStr">
        <is>
          <t>Maria Schultz</t>
        </is>
      </c>
      <c r="H852" s="37" t="n">
        <v>33.7</v>
      </c>
    </row>
    <row r="853">
      <c r="A853" s="37" t="inlineStr">
        <is>
          <t>GW-0520</t>
        </is>
      </c>
      <c r="B853" s="37" t="inlineStr">
        <is>
          <t>Gullwing</t>
        </is>
      </c>
      <c r="C853" s="37" t="inlineStr">
        <is>
          <t>OPEN</t>
        </is>
      </c>
      <c r="D853" s="37" t="n">
        <v>70</v>
      </c>
      <c r="E853" s="37" t="inlineStr">
        <is>
          <t>OCCUPIED</t>
        </is>
      </c>
      <c r="F853" s="37" t="inlineStr">
        <is>
          <t>WL-01266</t>
        </is>
      </c>
      <c r="G853" s="37" t="inlineStr">
        <is>
          <t>Derek Kirby</t>
        </is>
      </c>
      <c r="H853" s="37" t="n">
        <v>61.4</v>
      </c>
    </row>
    <row r="854">
      <c r="A854" s="37" t="inlineStr">
        <is>
          <t>GW-0521</t>
        </is>
      </c>
      <c r="B854" s="37" t="inlineStr">
        <is>
          <t>Gullwing</t>
        </is>
      </c>
      <c r="C854" s="37" t="inlineStr">
        <is>
          <t>OPEN</t>
        </is>
      </c>
      <c r="D854" s="37" t="n">
        <v>80</v>
      </c>
      <c r="E854" s="37" t="inlineStr">
        <is>
          <t>OCCUPIED</t>
        </is>
      </c>
      <c r="F854" s="37" t="inlineStr">
        <is>
          <t>WL-01548</t>
        </is>
      </c>
      <c r="G854" s="37" t="inlineStr">
        <is>
          <t>William Brown</t>
        </is>
      </c>
      <c r="H854" s="37" t="n">
        <v>19.9</v>
      </c>
    </row>
    <row r="855">
      <c r="A855" s="37" t="inlineStr">
        <is>
          <t>GW-0522</t>
        </is>
      </c>
      <c r="B855" s="37" t="inlineStr">
        <is>
          <t>Gullwing</t>
        </is>
      </c>
      <c r="C855" s="37" t="inlineStr">
        <is>
          <t>OPEN</t>
        </is>
      </c>
      <c r="D855" s="37" t="n">
        <v>28</v>
      </c>
      <c r="E855" s="37" t="inlineStr">
        <is>
          <t>OCCUPIED</t>
        </is>
      </c>
      <c r="F855" s="37" t="inlineStr">
        <is>
          <t>WL-03183</t>
        </is>
      </c>
      <c r="G855" s="37" t="inlineStr">
        <is>
          <t>Daniel Stevens</t>
        </is>
      </c>
      <c r="H855" s="37" t="n">
        <v>46.7</v>
      </c>
    </row>
    <row r="856">
      <c r="A856" s="37" t="inlineStr">
        <is>
          <t>GW-0523</t>
        </is>
      </c>
      <c r="B856" s="37" t="inlineStr">
        <is>
          <t>Gullwing</t>
        </is>
      </c>
      <c r="C856" s="37" t="inlineStr">
        <is>
          <t>OPEN</t>
        </is>
      </c>
      <c r="D856" s="37" t="n">
        <v>28</v>
      </c>
      <c r="E856" s="37" t="inlineStr">
        <is>
          <t>OCCUPIED</t>
        </is>
      </c>
      <c r="F856" s="37" t="inlineStr">
        <is>
          <t>WL-02124</t>
        </is>
      </c>
      <c r="G856" s="37" t="inlineStr">
        <is>
          <t>Laura French</t>
        </is>
      </c>
      <c r="H856" s="37" t="n">
        <v>41.9</v>
      </c>
    </row>
    <row r="857">
      <c r="A857" s="37" t="inlineStr">
        <is>
          <t>GW-0601</t>
        </is>
      </c>
      <c r="B857" s="37" t="inlineStr">
        <is>
          <t>Gullwing</t>
        </is>
      </c>
      <c r="C857" s="37" t="inlineStr">
        <is>
          <t>OPEN</t>
        </is>
      </c>
      <c r="D857" s="37" t="n">
        <v>32</v>
      </c>
      <c r="E857" s="37" t="inlineStr">
        <is>
          <t>OCCUPIED</t>
        </is>
      </c>
      <c r="F857" s="37" t="inlineStr">
        <is>
          <t>WL-01097</t>
        </is>
      </c>
      <c r="G857" s="37" t="inlineStr">
        <is>
          <t>Alexis Walters</t>
        </is>
      </c>
      <c r="H857" s="37" t="n">
        <v>19.1</v>
      </c>
    </row>
    <row r="858">
      <c r="A858" s="37" t="inlineStr">
        <is>
          <t>GW-0602</t>
        </is>
      </c>
      <c r="B858" s="37" t="inlineStr">
        <is>
          <t>Gullwing</t>
        </is>
      </c>
      <c r="C858" s="37" t="inlineStr">
        <is>
          <t>OPEN</t>
        </is>
      </c>
      <c r="D858" s="37" t="n">
        <v>50</v>
      </c>
      <c r="E858" s="37" t="inlineStr">
        <is>
          <t>GUEST</t>
        </is>
      </c>
    </row>
    <row r="859">
      <c r="A859" s="37" t="inlineStr">
        <is>
          <t>GW-0603</t>
        </is>
      </c>
      <c r="B859" s="37" t="inlineStr">
        <is>
          <t>Gullwing</t>
        </is>
      </c>
      <c r="C859" s="37" t="inlineStr">
        <is>
          <t>OPEN</t>
        </is>
      </c>
      <c r="D859" s="37" t="n">
        <v>70</v>
      </c>
      <c r="E859" s="37" t="inlineStr">
        <is>
          <t>OCCUPIED</t>
        </is>
      </c>
      <c r="F859" s="37" t="inlineStr">
        <is>
          <t>WL-02089</t>
        </is>
      </c>
      <c r="G859" s="37" t="inlineStr">
        <is>
          <t>Todd Butler</t>
        </is>
      </c>
      <c r="H859" s="37" t="n">
        <v>30.9</v>
      </c>
    </row>
    <row r="860">
      <c r="A860" s="37" t="inlineStr">
        <is>
          <t>GW-0604</t>
        </is>
      </c>
      <c r="B860" s="37" t="inlineStr">
        <is>
          <t>Gullwing</t>
        </is>
      </c>
      <c r="C860" s="37" t="inlineStr">
        <is>
          <t>OPEN</t>
        </is>
      </c>
      <c r="D860" s="37" t="n">
        <v>70</v>
      </c>
      <c r="E860" s="37" t="inlineStr">
        <is>
          <t>OCCUPIED</t>
        </is>
      </c>
      <c r="F860" s="37" t="inlineStr">
        <is>
          <t>WL-02770</t>
        </is>
      </c>
      <c r="G860" s="37" t="inlineStr">
        <is>
          <t>Henry Okafor</t>
        </is>
      </c>
      <c r="H860" s="37" t="n">
        <v>41.2</v>
      </c>
    </row>
    <row r="861">
      <c r="A861" s="37" t="inlineStr">
        <is>
          <t>GW-0605</t>
        </is>
      </c>
      <c r="B861" s="37" t="inlineStr">
        <is>
          <t>Gullwing</t>
        </is>
      </c>
      <c r="C861" s="37" t="inlineStr">
        <is>
          <t>OPEN</t>
        </is>
      </c>
      <c r="D861" s="37" t="n">
        <v>24</v>
      </c>
      <c r="E861" s="37" t="inlineStr">
        <is>
          <t>OCCUPIED</t>
        </is>
      </c>
      <c r="F861" s="37" t="inlineStr">
        <is>
          <t>WL-03366</t>
        </is>
      </c>
      <c r="G861" s="37" t="inlineStr">
        <is>
          <t>Jose Mckinney</t>
        </is>
      </c>
      <c r="H861" s="37" t="n">
        <v>60.9</v>
      </c>
    </row>
    <row r="862">
      <c r="A862" s="37" t="inlineStr">
        <is>
          <t>GW-0606</t>
        </is>
      </c>
      <c r="B862" s="37" t="inlineStr">
        <is>
          <t>Gullwing</t>
        </is>
      </c>
      <c r="C862" s="37" t="inlineStr">
        <is>
          <t>OPEN</t>
        </is>
      </c>
      <c r="D862" s="37" t="n">
        <v>60</v>
      </c>
      <c r="E862" s="37" t="inlineStr">
        <is>
          <t>OCCUPIED</t>
        </is>
      </c>
      <c r="F862" s="37" t="inlineStr">
        <is>
          <t>WL-01260</t>
        </is>
      </c>
      <c r="G862" s="37" t="inlineStr">
        <is>
          <t>Dale Thomas</t>
        </is>
      </c>
      <c r="H862" s="37" t="n">
        <v>31.3</v>
      </c>
    </row>
    <row r="863">
      <c r="A863" s="37" t="inlineStr">
        <is>
          <t>GW-0607</t>
        </is>
      </c>
      <c r="B863" s="37" t="inlineStr">
        <is>
          <t>Gullwing</t>
        </is>
      </c>
      <c r="C863" s="37" t="inlineStr">
        <is>
          <t>OPEN</t>
        </is>
      </c>
      <c r="D863" s="37" t="n">
        <v>60</v>
      </c>
      <c r="E863" s="37" t="inlineStr">
        <is>
          <t>OCCUPIED</t>
        </is>
      </c>
      <c r="F863" s="37" t="inlineStr">
        <is>
          <t>WL-01881</t>
        </is>
      </c>
      <c r="G863" s="37" t="inlineStr">
        <is>
          <t>William Bennett</t>
        </is>
      </c>
      <c r="H863" s="37" t="n">
        <v>29.8</v>
      </c>
    </row>
    <row r="864">
      <c r="A864" s="37" t="inlineStr">
        <is>
          <t>GW-0608</t>
        </is>
      </c>
      <c r="B864" s="37" t="inlineStr">
        <is>
          <t>Gullwing</t>
        </is>
      </c>
      <c r="C864" s="37" t="inlineStr">
        <is>
          <t>OPEN</t>
        </is>
      </c>
      <c r="D864" s="37" t="n">
        <v>70</v>
      </c>
      <c r="E864" s="37" t="inlineStr">
        <is>
          <t>OCCUPIED</t>
        </is>
      </c>
      <c r="F864" s="37" t="inlineStr">
        <is>
          <t>WL-02296</t>
        </is>
      </c>
      <c r="G864" s="37" t="inlineStr">
        <is>
          <t>Jason Miller</t>
        </is>
      </c>
      <c r="H864" s="37" t="n">
        <v>53.7</v>
      </c>
    </row>
    <row r="865">
      <c r="A865" s="37" t="inlineStr">
        <is>
          <t>GW-0609</t>
        </is>
      </c>
      <c r="B865" s="37" t="inlineStr">
        <is>
          <t>Gullwing</t>
        </is>
      </c>
      <c r="C865" s="37" t="inlineStr">
        <is>
          <t>OPEN</t>
        </is>
      </c>
      <c r="D865" s="37" t="n">
        <v>24</v>
      </c>
      <c r="E865" s="37" t="inlineStr">
        <is>
          <t>OCCUPIED</t>
        </is>
      </c>
      <c r="F865" s="37" t="inlineStr">
        <is>
          <t>WL-02915</t>
        </is>
      </c>
      <c r="G865" s="37" t="inlineStr">
        <is>
          <t>Lori Cook</t>
        </is>
      </c>
      <c r="H865" s="37" t="n">
        <v>28.3</v>
      </c>
    </row>
    <row r="866">
      <c r="A866" s="37" t="inlineStr">
        <is>
          <t>GW-0610</t>
        </is>
      </c>
      <c r="B866" s="37" t="inlineStr">
        <is>
          <t>Gullwing</t>
        </is>
      </c>
      <c r="C866" s="37" t="inlineStr">
        <is>
          <t>OPEN</t>
        </is>
      </c>
      <c r="D866" s="37" t="n">
        <v>32</v>
      </c>
      <c r="E866" s="37" t="inlineStr">
        <is>
          <t>OCCUPIED</t>
        </is>
      </c>
      <c r="F866" s="37" t="inlineStr">
        <is>
          <t>WL-01206</t>
        </is>
      </c>
      <c r="G866" s="37" t="inlineStr">
        <is>
          <t>Cynthia Taylor</t>
        </is>
      </c>
      <c r="H866" s="37" t="n">
        <v>41.9</v>
      </c>
    </row>
    <row r="867">
      <c r="A867" s="37" t="inlineStr">
        <is>
          <t>GW-0611</t>
        </is>
      </c>
      <c r="B867" s="37" t="inlineStr">
        <is>
          <t>Gullwing</t>
        </is>
      </c>
      <c r="C867" s="37" t="inlineStr">
        <is>
          <t>OPEN</t>
        </is>
      </c>
      <c r="D867" s="37" t="n">
        <v>24</v>
      </c>
      <c r="E867" s="37" t="inlineStr">
        <is>
          <t>VACANT</t>
        </is>
      </c>
    </row>
    <row r="868">
      <c r="A868" s="37" t="inlineStr">
        <is>
          <t>GW-0612</t>
        </is>
      </c>
      <c r="B868" s="37" t="inlineStr">
        <is>
          <t>Gullwing</t>
        </is>
      </c>
      <c r="C868" s="37" t="inlineStr">
        <is>
          <t>OPEN</t>
        </is>
      </c>
      <c r="D868" s="37" t="n">
        <v>32</v>
      </c>
      <c r="E868" s="37" t="inlineStr">
        <is>
          <t>OCCUPIED</t>
        </is>
      </c>
      <c r="F868" s="37" t="inlineStr">
        <is>
          <t>WL-02970</t>
        </is>
      </c>
      <c r="G868" s="37" t="inlineStr">
        <is>
          <t>William Robles</t>
        </is>
      </c>
      <c r="H868" s="37" t="n">
        <v>21</v>
      </c>
    </row>
    <row r="869">
      <c r="A869" s="37" t="inlineStr">
        <is>
          <t>GW-0613</t>
        </is>
      </c>
      <c r="B869" s="37" t="inlineStr">
        <is>
          <t>Gullwing</t>
        </is>
      </c>
      <c r="C869" s="37" t="inlineStr">
        <is>
          <t>OPEN</t>
        </is>
      </c>
      <c r="D869" s="37" t="n">
        <v>28</v>
      </c>
      <c r="E869" s="37" t="inlineStr">
        <is>
          <t>OCCUPIED</t>
        </is>
      </c>
      <c r="F869" s="37" t="inlineStr">
        <is>
          <t>WL-02426</t>
        </is>
      </c>
      <c r="G869" s="37" t="inlineStr">
        <is>
          <t>Joshua Cherry</t>
        </is>
      </c>
      <c r="H869" s="37" t="n">
        <v>30.7</v>
      </c>
    </row>
    <row r="870">
      <c r="A870" s="37" t="inlineStr">
        <is>
          <t>GW-0614</t>
        </is>
      </c>
      <c r="B870" s="37" t="inlineStr">
        <is>
          <t>Gullwing</t>
        </is>
      </c>
      <c r="C870" s="37" t="inlineStr">
        <is>
          <t>OPEN</t>
        </is>
      </c>
      <c r="D870" s="37" t="n">
        <v>32</v>
      </c>
      <c r="E870" s="37" t="inlineStr">
        <is>
          <t>OCCUPIED</t>
        </is>
      </c>
      <c r="F870" s="37" t="inlineStr">
        <is>
          <t>WL-01995</t>
        </is>
      </c>
      <c r="G870" s="37" t="inlineStr">
        <is>
          <t>Tiffany Russell</t>
        </is>
      </c>
      <c r="H870" s="37" t="n">
        <v>55.7</v>
      </c>
    </row>
    <row r="871">
      <c r="A871" s="37" t="inlineStr">
        <is>
          <t>GW-0615</t>
        </is>
      </c>
      <c r="B871" s="37" t="inlineStr">
        <is>
          <t>Gullwing</t>
        </is>
      </c>
      <c r="C871" s="37" t="inlineStr">
        <is>
          <t>OPEN</t>
        </is>
      </c>
      <c r="D871" s="37" t="n">
        <v>24</v>
      </c>
      <c r="E871" s="37" t="inlineStr">
        <is>
          <t>OCCUPIED</t>
        </is>
      </c>
      <c r="F871" s="37" t="inlineStr">
        <is>
          <t>WL-01702</t>
        </is>
      </c>
      <c r="G871" s="37" t="inlineStr">
        <is>
          <t>Larry Carr</t>
        </is>
      </c>
      <c r="H871" s="37" t="n">
        <v>58.3</v>
      </c>
    </row>
    <row r="872">
      <c r="A872" s="37" t="inlineStr">
        <is>
          <t>GW-0616</t>
        </is>
      </c>
      <c r="B872" s="37" t="inlineStr">
        <is>
          <t>Gullwing</t>
        </is>
      </c>
      <c r="C872" s="37" t="inlineStr">
        <is>
          <t>OPEN</t>
        </is>
      </c>
      <c r="D872" s="37" t="n">
        <v>45</v>
      </c>
      <c r="E872" s="37" t="inlineStr">
        <is>
          <t>MAINTENANCE</t>
        </is>
      </c>
    </row>
    <row r="873">
      <c r="A873" s="37" t="inlineStr">
        <is>
          <t>GW-0617</t>
        </is>
      </c>
      <c r="B873" s="37" t="inlineStr">
        <is>
          <t>Gullwing</t>
        </is>
      </c>
      <c r="C873" s="37" t="inlineStr">
        <is>
          <t>OPEN</t>
        </is>
      </c>
      <c r="D873" s="37" t="n">
        <v>32</v>
      </c>
      <c r="E873" s="37" t="inlineStr">
        <is>
          <t>OCCUPIED</t>
        </is>
      </c>
      <c r="F873" s="37" t="inlineStr">
        <is>
          <t>WL-02400</t>
        </is>
      </c>
      <c r="G873" s="37" t="inlineStr">
        <is>
          <t>Sierra Washington</t>
        </is>
      </c>
      <c r="H873" s="37" t="n">
        <v>50.2</v>
      </c>
    </row>
    <row r="874">
      <c r="A874" s="37" t="inlineStr">
        <is>
          <t>GW-0618</t>
        </is>
      </c>
      <c r="B874" s="37" t="inlineStr">
        <is>
          <t>Gullwing</t>
        </is>
      </c>
      <c r="C874" s="37" t="inlineStr">
        <is>
          <t>OPEN</t>
        </is>
      </c>
      <c r="D874" s="37" t="n">
        <v>24</v>
      </c>
      <c r="E874" s="37" t="inlineStr">
        <is>
          <t>OCCUPIED</t>
        </is>
      </c>
      <c r="F874" s="37" t="inlineStr">
        <is>
          <t>WL-03467</t>
        </is>
      </c>
      <c r="G874" s="37" t="inlineStr">
        <is>
          <t>Juan Ray</t>
        </is>
      </c>
      <c r="H874" s="37" t="n">
        <v>30.5</v>
      </c>
    </row>
    <row r="875">
      <c r="A875" s="37" t="inlineStr">
        <is>
          <t>GW-0619</t>
        </is>
      </c>
      <c r="B875" s="37" t="inlineStr">
        <is>
          <t>Gullwing</t>
        </is>
      </c>
      <c r="C875" s="37" t="inlineStr">
        <is>
          <t>OPEN</t>
        </is>
      </c>
      <c r="D875" s="37" t="n">
        <v>45</v>
      </c>
      <c r="E875" s="37" t="inlineStr">
        <is>
          <t>OCCUPIED</t>
        </is>
      </c>
      <c r="F875" s="37" t="inlineStr">
        <is>
          <t>WL-03110</t>
        </is>
      </c>
      <c r="G875" s="37" t="inlineStr">
        <is>
          <t>Randy Ramos</t>
        </is>
      </c>
      <c r="H875" s="37" t="n">
        <v>28.6</v>
      </c>
    </row>
    <row r="876">
      <c r="A876" s="37" t="inlineStr">
        <is>
          <t>GW-0620</t>
        </is>
      </c>
      <c r="B876" s="37" t="inlineStr">
        <is>
          <t>Gullwing</t>
        </is>
      </c>
      <c r="C876" s="37" t="inlineStr">
        <is>
          <t>OPEN</t>
        </is>
      </c>
      <c r="D876" s="37" t="n">
        <v>70</v>
      </c>
      <c r="E876" s="37" t="inlineStr">
        <is>
          <t>OCCUPIED</t>
        </is>
      </c>
      <c r="F876" s="37" t="inlineStr">
        <is>
          <t>WL-01357</t>
        </is>
      </c>
      <c r="G876" s="37" t="inlineStr">
        <is>
          <t>Cody Rose</t>
        </is>
      </c>
      <c r="H876" s="37" t="n">
        <v>39.9</v>
      </c>
    </row>
    <row r="877">
      <c r="A877" s="37" t="inlineStr">
        <is>
          <t>GW-0621</t>
        </is>
      </c>
      <c r="B877" s="37" t="inlineStr">
        <is>
          <t>Gullwing</t>
        </is>
      </c>
      <c r="C877" s="37" t="inlineStr">
        <is>
          <t>OPEN</t>
        </is>
      </c>
      <c r="D877" s="37" t="n">
        <v>28</v>
      </c>
      <c r="E877" s="37" t="inlineStr">
        <is>
          <t>OCCUPIED</t>
        </is>
      </c>
      <c r="F877" s="37" t="inlineStr">
        <is>
          <t>WL-03595</t>
        </is>
      </c>
      <c r="G877" s="37" t="inlineStr">
        <is>
          <t>Roger Johnson</t>
        </is>
      </c>
      <c r="H877" s="37" t="n">
        <v>36.1</v>
      </c>
    </row>
    <row r="878">
      <c r="A878" s="37" t="inlineStr">
        <is>
          <t>GW-0622</t>
        </is>
      </c>
      <c r="B878" s="37" t="inlineStr">
        <is>
          <t>Gullwing</t>
        </is>
      </c>
      <c r="C878" s="37" t="inlineStr">
        <is>
          <t>OPEN</t>
        </is>
      </c>
      <c r="D878" s="37" t="n">
        <v>60</v>
      </c>
      <c r="E878" s="37" t="inlineStr">
        <is>
          <t>OCCUPIED</t>
        </is>
      </c>
      <c r="F878" s="37" t="inlineStr">
        <is>
          <t>WL-01075</t>
        </is>
      </c>
      <c r="G878" s="37" t="inlineStr">
        <is>
          <t>Ryan Gilmore</t>
        </is>
      </c>
      <c r="H878" s="37" t="n">
        <v>53.2</v>
      </c>
    </row>
    <row r="879">
      <c r="A879" s="37" t="inlineStr">
        <is>
          <t>GW-0623</t>
        </is>
      </c>
      <c r="B879" s="37" t="inlineStr">
        <is>
          <t>Gullwing</t>
        </is>
      </c>
      <c r="C879" s="37" t="inlineStr">
        <is>
          <t>OPEN</t>
        </is>
      </c>
      <c r="D879" s="37" t="n">
        <v>70</v>
      </c>
      <c r="E879" s="37" t="inlineStr">
        <is>
          <t>OCCUPIED</t>
        </is>
      </c>
      <c r="F879" s="37" t="inlineStr">
        <is>
          <t>WL-03819</t>
        </is>
      </c>
      <c r="G879" s="37" t="inlineStr">
        <is>
          <t>Anna Wu</t>
        </is>
      </c>
      <c r="H879" s="37" t="n">
        <v>34.2</v>
      </c>
    </row>
    <row r="880">
      <c r="A880" s="37" t="inlineStr">
        <is>
          <t>GW-0701</t>
        </is>
      </c>
      <c r="B880" s="37" t="inlineStr">
        <is>
          <t>Gullwing</t>
        </is>
      </c>
      <c r="C880" s="37" t="inlineStr">
        <is>
          <t>OPEN</t>
        </is>
      </c>
      <c r="D880" s="37" t="n">
        <v>80</v>
      </c>
      <c r="E880" s="37" t="inlineStr">
        <is>
          <t>VACANT</t>
        </is>
      </c>
    </row>
    <row r="881">
      <c r="A881" s="37" t="inlineStr">
        <is>
          <t>GW-0702</t>
        </is>
      </c>
      <c r="B881" s="37" t="inlineStr">
        <is>
          <t>Gullwing</t>
        </is>
      </c>
      <c r="C881" s="37" t="inlineStr">
        <is>
          <t>OPEN</t>
        </is>
      </c>
      <c r="D881" s="37" t="n">
        <v>32</v>
      </c>
      <c r="E881" s="37" t="inlineStr">
        <is>
          <t>OCCUPIED</t>
        </is>
      </c>
      <c r="F881" s="37" t="inlineStr">
        <is>
          <t>WL-02050</t>
        </is>
      </c>
      <c r="G881" s="37" t="inlineStr">
        <is>
          <t>John Howard</t>
        </is>
      </c>
      <c r="H881" s="37" t="n">
        <v>36.4</v>
      </c>
    </row>
    <row r="882">
      <c r="A882" s="37" t="inlineStr">
        <is>
          <t>GW-0703</t>
        </is>
      </c>
      <c r="B882" s="37" t="inlineStr">
        <is>
          <t>Gullwing</t>
        </is>
      </c>
      <c r="C882" s="37" t="inlineStr">
        <is>
          <t>OPEN</t>
        </is>
      </c>
      <c r="D882" s="37" t="n">
        <v>32</v>
      </c>
      <c r="E882" s="37" t="inlineStr">
        <is>
          <t>OCCUPIED</t>
        </is>
      </c>
      <c r="F882" s="37" t="inlineStr">
        <is>
          <t>WL-02415</t>
        </is>
      </c>
      <c r="G882" s="37" t="inlineStr">
        <is>
          <t>Valerie Nelson</t>
        </is>
      </c>
      <c r="H882" s="37" t="n">
        <v>53.6</v>
      </c>
    </row>
    <row r="883">
      <c r="A883" s="37" t="inlineStr">
        <is>
          <t>GW-0704</t>
        </is>
      </c>
      <c r="B883" s="37" t="inlineStr">
        <is>
          <t>Gullwing</t>
        </is>
      </c>
      <c r="C883" s="37" t="inlineStr">
        <is>
          <t>OPEN</t>
        </is>
      </c>
      <c r="D883" s="37" t="n">
        <v>50</v>
      </c>
      <c r="E883" s="37" t="inlineStr">
        <is>
          <t>OCCUPIED</t>
        </is>
      </c>
      <c r="F883" s="37" t="inlineStr">
        <is>
          <t>WL-01016</t>
        </is>
      </c>
      <c r="G883" s="37" t="inlineStr">
        <is>
          <t>Jared Mosley</t>
        </is>
      </c>
      <c r="H883" s="37" t="n">
        <v>43.6</v>
      </c>
    </row>
    <row r="884">
      <c r="A884" s="37" t="inlineStr">
        <is>
          <t>GW-0705</t>
        </is>
      </c>
      <c r="B884" s="37" t="inlineStr">
        <is>
          <t>Gullwing</t>
        </is>
      </c>
      <c r="C884" s="37" t="inlineStr">
        <is>
          <t>OPEN</t>
        </is>
      </c>
      <c r="D884" s="37" t="n">
        <v>24</v>
      </c>
      <c r="E884" s="37" t="inlineStr">
        <is>
          <t>OCCUPIED</t>
        </is>
      </c>
      <c r="F884" s="37" t="inlineStr">
        <is>
          <t>WL-03168</t>
        </is>
      </c>
      <c r="G884" s="37" t="inlineStr">
        <is>
          <t>Danielle Mckinney</t>
        </is>
      </c>
      <c r="H884" s="37" t="n">
        <v>58.6</v>
      </c>
    </row>
    <row r="885">
      <c r="A885" s="37" t="inlineStr">
        <is>
          <t>GW-0706</t>
        </is>
      </c>
      <c r="B885" s="37" t="inlineStr">
        <is>
          <t>Gullwing</t>
        </is>
      </c>
      <c r="C885" s="37" t="inlineStr">
        <is>
          <t>OPEN</t>
        </is>
      </c>
      <c r="D885" s="37" t="n">
        <v>80</v>
      </c>
      <c r="E885" s="37" t="inlineStr">
        <is>
          <t>OCCUPIED</t>
        </is>
      </c>
      <c r="F885" s="37" t="inlineStr">
        <is>
          <t>WL-02503</t>
        </is>
      </c>
      <c r="G885" s="37" t="inlineStr">
        <is>
          <t>Molly Holland</t>
        </is>
      </c>
      <c r="H885" s="37" t="n">
        <v>33.4</v>
      </c>
    </row>
    <row r="886">
      <c r="A886" s="37" t="inlineStr">
        <is>
          <t>GW-0707</t>
        </is>
      </c>
      <c r="B886" s="37" t="inlineStr">
        <is>
          <t>Gullwing</t>
        </is>
      </c>
      <c r="C886" s="37" t="inlineStr">
        <is>
          <t>OPEN</t>
        </is>
      </c>
      <c r="D886" s="37" t="n">
        <v>24</v>
      </c>
      <c r="E886" s="37" t="inlineStr">
        <is>
          <t>OCCUPIED</t>
        </is>
      </c>
      <c r="F886" s="37" t="inlineStr">
        <is>
          <t>WL-01688</t>
        </is>
      </c>
      <c r="G886" s="37" t="inlineStr">
        <is>
          <t>Michael Gardner</t>
        </is>
      </c>
      <c r="H886" s="37" t="n">
        <v>39.3</v>
      </c>
    </row>
    <row r="887">
      <c r="A887" s="37" t="inlineStr">
        <is>
          <t>GW-0708</t>
        </is>
      </c>
      <c r="B887" s="37" t="inlineStr">
        <is>
          <t>Gullwing</t>
        </is>
      </c>
      <c r="C887" s="37" t="inlineStr">
        <is>
          <t>OPEN</t>
        </is>
      </c>
      <c r="D887" s="37" t="n">
        <v>70</v>
      </c>
      <c r="E887" s="37" t="inlineStr">
        <is>
          <t>OCCUPIED</t>
        </is>
      </c>
      <c r="F887" s="37" t="inlineStr">
        <is>
          <t>WL-01438</t>
        </is>
      </c>
      <c r="G887" s="37" t="inlineStr">
        <is>
          <t>Angela Whitehead</t>
        </is>
      </c>
      <c r="H887" s="37" t="n">
        <v>28.7</v>
      </c>
    </row>
    <row r="888">
      <c r="A888" s="37" t="inlineStr">
        <is>
          <t>GW-0709</t>
        </is>
      </c>
      <c r="B888" s="37" t="inlineStr">
        <is>
          <t>Gullwing</t>
        </is>
      </c>
      <c r="C888" s="37" t="inlineStr">
        <is>
          <t>OPEN</t>
        </is>
      </c>
      <c r="D888" s="37" t="n">
        <v>32</v>
      </c>
      <c r="E888" s="37" t="inlineStr">
        <is>
          <t>VACANT</t>
        </is>
      </c>
    </row>
    <row r="889">
      <c r="A889" s="37" t="inlineStr">
        <is>
          <t>GW-0710</t>
        </is>
      </c>
      <c r="B889" s="37" t="inlineStr">
        <is>
          <t>Gullwing</t>
        </is>
      </c>
      <c r="C889" s="37" t="inlineStr">
        <is>
          <t>OPEN</t>
        </is>
      </c>
      <c r="D889" s="37" t="n">
        <v>36</v>
      </c>
      <c r="E889" s="37" t="inlineStr">
        <is>
          <t>OCCUPIED</t>
        </is>
      </c>
      <c r="F889" s="37" t="inlineStr">
        <is>
          <t>WL-01445</t>
        </is>
      </c>
      <c r="G889" s="37" t="inlineStr">
        <is>
          <t>Kyle Estes</t>
        </is>
      </c>
      <c r="H889" s="37" t="n">
        <v>43.8</v>
      </c>
    </row>
    <row r="890">
      <c r="A890" s="37" t="inlineStr">
        <is>
          <t>GW-0711</t>
        </is>
      </c>
      <c r="B890" s="37" t="inlineStr">
        <is>
          <t>Gullwing</t>
        </is>
      </c>
      <c r="C890" s="37" t="inlineStr">
        <is>
          <t>OPEN</t>
        </is>
      </c>
      <c r="D890" s="37" t="n">
        <v>45</v>
      </c>
      <c r="E890" s="37" t="inlineStr">
        <is>
          <t>OCCUPIED</t>
        </is>
      </c>
      <c r="F890" s="37" t="inlineStr">
        <is>
          <t>WL-01119</t>
        </is>
      </c>
      <c r="G890" s="37" t="inlineStr">
        <is>
          <t>Holly Kennedy</t>
        </is>
      </c>
      <c r="H890" s="37" t="n">
        <v>40.5</v>
      </c>
    </row>
    <row r="891">
      <c r="A891" s="37" t="inlineStr">
        <is>
          <t>GW-0712</t>
        </is>
      </c>
      <c r="B891" s="37" t="inlineStr">
        <is>
          <t>Gullwing</t>
        </is>
      </c>
      <c r="C891" s="37" t="inlineStr">
        <is>
          <t>OPEN</t>
        </is>
      </c>
      <c r="D891" s="37" t="n">
        <v>45</v>
      </c>
      <c r="E891" s="37" t="inlineStr">
        <is>
          <t>OCCUPIED</t>
        </is>
      </c>
      <c r="F891" s="37" t="inlineStr">
        <is>
          <t>WL-01578</t>
        </is>
      </c>
      <c r="G891" s="37" t="inlineStr">
        <is>
          <t>Ashley Green</t>
        </is>
      </c>
      <c r="H891" s="37" t="n">
        <v>48.3</v>
      </c>
    </row>
    <row r="892">
      <c r="A892" s="37" t="inlineStr">
        <is>
          <t>GW-0713</t>
        </is>
      </c>
      <c r="B892" s="37" t="inlineStr">
        <is>
          <t>Gullwing</t>
        </is>
      </c>
      <c r="C892" s="37" t="inlineStr">
        <is>
          <t>OPEN</t>
        </is>
      </c>
      <c r="D892" s="37" t="n">
        <v>80</v>
      </c>
      <c r="E892" s="37" t="inlineStr">
        <is>
          <t>OCCUPIED</t>
        </is>
      </c>
      <c r="F892" s="37" t="inlineStr">
        <is>
          <t>WL-02476</t>
        </is>
      </c>
      <c r="G892" s="37" t="inlineStr">
        <is>
          <t>Dana Becker</t>
        </is>
      </c>
      <c r="H892" s="37" t="n">
        <v>45</v>
      </c>
    </row>
    <row r="893">
      <c r="A893" s="37" t="inlineStr">
        <is>
          <t>GW-0714</t>
        </is>
      </c>
      <c r="B893" s="37" t="inlineStr">
        <is>
          <t>Gullwing</t>
        </is>
      </c>
      <c r="C893" s="37" t="inlineStr">
        <is>
          <t>OPEN</t>
        </is>
      </c>
      <c r="D893" s="37" t="n">
        <v>28</v>
      </c>
      <c r="E893" s="37" t="inlineStr">
        <is>
          <t>OCCUPIED</t>
        </is>
      </c>
      <c r="F893" s="37" t="inlineStr">
        <is>
          <t>WL-01459</t>
        </is>
      </c>
      <c r="G893" s="37" t="inlineStr">
        <is>
          <t>Brian Green</t>
        </is>
      </c>
      <c r="H893" s="37" t="n">
        <v>40.5</v>
      </c>
    </row>
    <row r="894">
      <c r="A894" s="37" t="inlineStr">
        <is>
          <t>GW-0715</t>
        </is>
      </c>
      <c r="B894" s="37" t="inlineStr">
        <is>
          <t>Gullwing</t>
        </is>
      </c>
      <c r="C894" s="37" t="inlineStr">
        <is>
          <t>OPEN</t>
        </is>
      </c>
      <c r="D894" s="37" t="n">
        <v>24</v>
      </c>
      <c r="E894" s="37" t="inlineStr">
        <is>
          <t>OCCUPIED</t>
        </is>
      </c>
      <c r="F894" s="37" t="inlineStr">
        <is>
          <t>WL-03752</t>
        </is>
      </c>
      <c r="G894" s="37" t="inlineStr">
        <is>
          <t>Timothy Soto</t>
        </is>
      </c>
      <c r="H894" s="37" t="n">
        <v>34.6</v>
      </c>
    </row>
    <row r="895">
      <c r="A895" s="37" t="inlineStr">
        <is>
          <t>GW-0716</t>
        </is>
      </c>
      <c r="B895" s="37" t="inlineStr">
        <is>
          <t>Gullwing</t>
        </is>
      </c>
      <c r="C895" s="37" t="inlineStr">
        <is>
          <t>OPEN</t>
        </is>
      </c>
      <c r="D895" s="37" t="n">
        <v>24</v>
      </c>
      <c r="E895" s="37" t="inlineStr">
        <is>
          <t>OCCUPIED</t>
        </is>
      </c>
      <c r="F895" s="37" t="inlineStr">
        <is>
          <t>WL-02814</t>
        </is>
      </c>
      <c r="G895" s="37" t="inlineStr">
        <is>
          <t>John Hammond</t>
        </is>
      </c>
      <c r="H895" s="37" t="n">
        <v>27.9</v>
      </c>
    </row>
    <row r="896">
      <c r="A896" s="37" t="inlineStr">
        <is>
          <t>GW-0717</t>
        </is>
      </c>
      <c r="B896" s="37" t="inlineStr">
        <is>
          <t>Gullwing</t>
        </is>
      </c>
      <c r="C896" s="37" t="inlineStr">
        <is>
          <t>OPEN</t>
        </is>
      </c>
      <c r="D896" s="37" t="n">
        <v>60</v>
      </c>
      <c r="E896" s="37" t="inlineStr">
        <is>
          <t>OCCUPIED</t>
        </is>
      </c>
      <c r="F896" s="37" t="inlineStr">
        <is>
          <t>WL-01882</t>
        </is>
      </c>
      <c r="G896" s="37" t="inlineStr">
        <is>
          <t>Dennis Shepard</t>
        </is>
      </c>
      <c r="H896" s="37" t="n">
        <v>49.7</v>
      </c>
    </row>
    <row r="897">
      <c r="A897" s="37" t="inlineStr">
        <is>
          <t>GW-0718</t>
        </is>
      </c>
      <c r="B897" s="37" t="inlineStr">
        <is>
          <t>Gullwing</t>
        </is>
      </c>
      <c r="C897" s="37" t="inlineStr">
        <is>
          <t>OPEN</t>
        </is>
      </c>
      <c r="D897" s="37" t="n">
        <v>32</v>
      </c>
      <c r="E897" s="37" t="inlineStr">
        <is>
          <t>GUEST</t>
        </is>
      </c>
    </row>
    <row r="898">
      <c r="A898" s="37" t="inlineStr">
        <is>
          <t>GW-0719</t>
        </is>
      </c>
      <c r="B898" s="37" t="inlineStr">
        <is>
          <t>Gullwing</t>
        </is>
      </c>
      <c r="C898" s="37" t="inlineStr">
        <is>
          <t>OPEN</t>
        </is>
      </c>
      <c r="D898" s="37" t="n">
        <v>50</v>
      </c>
      <c r="E898" s="37" t="inlineStr">
        <is>
          <t>OCCUPIED</t>
        </is>
      </c>
      <c r="F898" s="37" t="inlineStr">
        <is>
          <t>WL-03504</t>
        </is>
      </c>
      <c r="G898" s="37" t="inlineStr">
        <is>
          <t>Paul Brady</t>
        </is>
      </c>
      <c r="H898" s="37" t="n">
        <v>42</v>
      </c>
    </row>
    <row r="899">
      <c r="A899" s="37" t="inlineStr">
        <is>
          <t>GW-0720</t>
        </is>
      </c>
      <c r="B899" s="37" t="inlineStr">
        <is>
          <t>Gullwing</t>
        </is>
      </c>
      <c r="C899" s="37" t="inlineStr">
        <is>
          <t>OPEN</t>
        </is>
      </c>
      <c r="D899" s="37" t="n">
        <v>50</v>
      </c>
      <c r="E899" s="37" t="inlineStr">
        <is>
          <t>OCCUPIED</t>
        </is>
      </c>
      <c r="F899" s="37" t="inlineStr">
        <is>
          <t>WL-03312</t>
        </is>
      </c>
      <c r="G899" s="37" t="inlineStr">
        <is>
          <t>Karla Thomas</t>
        </is>
      </c>
      <c r="H899" s="37" t="n">
        <v>37.4</v>
      </c>
    </row>
    <row r="900">
      <c r="A900" s="37" t="inlineStr">
        <is>
          <t>GW-0721</t>
        </is>
      </c>
      <c r="B900" s="37" t="inlineStr">
        <is>
          <t>Gullwing</t>
        </is>
      </c>
      <c r="C900" s="37" t="inlineStr">
        <is>
          <t>OPEN</t>
        </is>
      </c>
      <c r="D900" s="37" t="n">
        <v>50</v>
      </c>
      <c r="E900" s="37" t="inlineStr">
        <is>
          <t>OCCUPIED</t>
        </is>
      </c>
      <c r="F900" s="37" t="inlineStr">
        <is>
          <t>WL-03215</t>
        </is>
      </c>
      <c r="G900" s="37" t="inlineStr">
        <is>
          <t>Eric Simmons</t>
        </is>
      </c>
      <c r="H900" s="37" t="n">
        <v>59.7</v>
      </c>
    </row>
    <row r="901">
      <c r="A901" s="37" t="inlineStr">
        <is>
          <t>GW-0722</t>
        </is>
      </c>
      <c r="B901" s="37" t="inlineStr">
        <is>
          <t>Gullwing</t>
        </is>
      </c>
      <c r="C901" s="37" t="inlineStr">
        <is>
          <t>OPEN</t>
        </is>
      </c>
      <c r="D901" s="37" t="n">
        <v>32</v>
      </c>
      <c r="E901" s="37" t="inlineStr">
        <is>
          <t>OCCUPIED</t>
        </is>
      </c>
      <c r="F901" s="37" t="inlineStr">
        <is>
          <t>WL-01180</t>
        </is>
      </c>
      <c r="G901" s="37" t="inlineStr">
        <is>
          <t>Rachel Smith</t>
        </is>
      </c>
      <c r="H901" s="37" t="n">
        <v>39.4</v>
      </c>
    </row>
    <row r="902">
      <c r="A902" s="37" t="inlineStr">
        <is>
          <t>GW-0723</t>
        </is>
      </c>
      <c r="B902" s="37" t="inlineStr">
        <is>
          <t>Gullwing</t>
        </is>
      </c>
      <c r="C902" s="37" t="inlineStr">
        <is>
          <t>OPEN</t>
        </is>
      </c>
      <c r="D902" s="37" t="n">
        <v>45</v>
      </c>
      <c r="E902" s="37" t="inlineStr">
        <is>
          <t>OCCUPIED</t>
        </is>
      </c>
      <c r="F902" s="37" t="inlineStr">
        <is>
          <t>WL-01389</t>
        </is>
      </c>
      <c r="G902" s="37" t="inlineStr">
        <is>
          <t>Brian White</t>
        </is>
      </c>
      <c r="H902" s="37" t="n">
        <v>37</v>
      </c>
    </row>
    <row r="903">
      <c r="A903" s="37" t="inlineStr">
        <is>
          <t>GW-0801</t>
        </is>
      </c>
      <c r="B903" s="37" t="inlineStr">
        <is>
          <t>Gullwing</t>
        </is>
      </c>
      <c r="C903" s="37" t="inlineStr">
        <is>
          <t>OPEN</t>
        </is>
      </c>
      <c r="D903" s="37" t="n">
        <v>80</v>
      </c>
      <c r="E903" s="37" t="inlineStr">
        <is>
          <t>VACANT</t>
        </is>
      </c>
    </row>
    <row r="904">
      <c r="A904" s="37" t="inlineStr">
        <is>
          <t>GW-0802</t>
        </is>
      </c>
      <c r="B904" s="37" t="inlineStr">
        <is>
          <t>Gullwing</t>
        </is>
      </c>
      <c r="C904" s="37" t="inlineStr">
        <is>
          <t>OPEN</t>
        </is>
      </c>
      <c r="D904" s="37" t="n">
        <v>45</v>
      </c>
      <c r="E904" s="37" t="inlineStr">
        <is>
          <t>OCCUPIED</t>
        </is>
      </c>
      <c r="F904" s="37" t="inlineStr">
        <is>
          <t>WL-01314</t>
        </is>
      </c>
      <c r="G904" s="37" t="inlineStr">
        <is>
          <t>Bobby Peterson</t>
        </is>
      </c>
      <c r="H904" s="37" t="n">
        <v>46.2</v>
      </c>
    </row>
    <row r="905">
      <c r="A905" s="37" t="inlineStr">
        <is>
          <t>GW-0803</t>
        </is>
      </c>
      <c r="B905" s="37" t="inlineStr">
        <is>
          <t>Gullwing</t>
        </is>
      </c>
      <c r="C905" s="37" t="inlineStr">
        <is>
          <t>OPEN</t>
        </is>
      </c>
      <c r="D905" s="37" t="n">
        <v>45</v>
      </c>
      <c r="E905" s="37" t="inlineStr">
        <is>
          <t>OCCUPIED</t>
        </is>
      </c>
      <c r="F905" s="37" t="inlineStr">
        <is>
          <t>WL-01235</t>
        </is>
      </c>
      <c r="G905" s="37" t="inlineStr">
        <is>
          <t>Stacy Wilkins</t>
        </is>
      </c>
      <c r="H905" s="37" t="n">
        <v>59.8</v>
      </c>
    </row>
    <row r="906">
      <c r="A906" s="37" t="inlineStr">
        <is>
          <t>GW-0804</t>
        </is>
      </c>
      <c r="B906" s="37" t="inlineStr">
        <is>
          <t>Gullwing</t>
        </is>
      </c>
      <c r="C906" s="37" t="inlineStr">
        <is>
          <t>OPEN</t>
        </is>
      </c>
      <c r="D906" s="37" t="n">
        <v>40</v>
      </c>
      <c r="E906" s="37" t="inlineStr">
        <is>
          <t>OCCUPIED</t>
        </is>
      </c>
      <c r="F906" s="37" t="inlineStr">
        <is>
          <t>WL-01915</t>
        </is>
      </c>
      <c r="G906" s="37" t="inlineStr">
        <is>
          <t>Sara Fox</t>
        </is>
      </c>
      <c r="H906" s="37" t="n">
        <v>31.6</v>
      </c>
    </row>
    <row r="907">
      <c r="A907" s="37" t="inlineStr">
        <is>
          <t>GW-0805</t>
        </is>
      </c>
      <c r="B907" s="37" t="inlineStr">
        <is>
          <t>Gullwing</t>
        </is>
      </c>
      <c r="C907" s="37" t="inlineStr">
        <is>
          <t>OPEN</t>
        </is>
      </c>
      <c r="D907" s="37" t="n">
        <v>28</v>
      </c>
      <c r="E907" s="37" t="inlineStr">
        <is>
          <t>OCCUPIED</t>
        </is>
      </c>
      <c r="F907" s="37" t="inlineStr">
        <is>
          <t>WL-03828</t>
        </is>
      </c>
      <c r="G907" s="37" t="inlineStr">
        <is>
          <t>Kristen Pittman</t>
        </is>
      </c>
      <c r="H907" s="37" t="n">
        <v>38.3</v>
      </c>
    </row>
    <row r="908">
      <c r="A908" s="37" t="inlineStr">
        <is>
          <t>GW-0806</t>
        </is>
      </c>
      <c r="B908" s="37" t="inlineStr">
        <is>
          <t>Gullwing</t>
        </is>
      </c>
      <c r="C908" s="37" t="inlineStr">
        <is>
          <t>OPEN</t>
        </is>
      </c>
      <c r="D908" s="37" t="n">
        <v>36</v>
      </c>
      <c r="E908" s="37" t="inlineStr">
        <is>
          <t>OCCUPIED</t>
        </is>
      </c>
      <c r="F908" s="37" t="inlineStr">
        <is>
          <t>WL-03113</t>
        </is>
      </c>
      <c r="G908" s="37" t="inlineStr">
        <is>
          <t>Dale Martin</t>
        </is>
      </c>
      <c r="H908" s="37" t="n">
        <v>55.4</v>
      </c>
    </row>
    <row r="909">
      <c r="A909" s="37" t="inlineStr">
        <is>
          <t>GW-0807</t>
        </is>
      </c>
      <c r="B909" s="37" t="inlineStr">
        <is>
          <t>Gullwing</t>
        </is>
      </c>
      <c r="C909" s="37" t="inlineStr">
        <is>
          <t>OPEN</t>
        </is>
      </c>
      <c r="D909" s="37" t="n">
        <v>45</v>
      </c>
      <c r="E909" s="37" t="inlineStr">
        <is>
          <t>OCCUPIED</t>
        </is>
      </c>
      <c r="F909" s="37" t="inlineStr">
        <is>
          <t>WL-01110</t>
        </is>
      </c>
      <c r="G909" s="37" t="inlineStr">
        <is>
          <t>Ryan Jones</t>
        </is>
      </c>
      <c r="H909" s="37" t="n">
        <v>57.4</v>
      </c>
    </row>
    <row r="910">
      <c r="A910" s="37" t="inlineStr">
        <is>
          <t>GW-0808</t>
        </is>
      </c>
      <c r="B910" s="37" t="inlineStr">
        <is>
          <t>Gullwing</t>
        </is>
      </c>
      <c r="C910" s="37" t="inlineStr">
        <is>
          <t>OPEN</t>
        </is>
      </c>
      <c r="D910" s="37" t="n">
        <v>28</v>
      </c>
      <c r="E910" s="37" t="inlineStr">
        <is>
          <t>OCCUPIED</t>
        </is>
      </c>
      <c r="F910" s="37" t="inlineStr">
        <is>
          <t>WL-02125</t>
        </is>
      </c>
      <c r="G910" s="37" t="inlineStr">
        <is>
          <t>Fred Powell</t>
        </is>
      </c>
      <c r="H910" s="37" t="n">
        <v>43.1</v>
      </c>
    </row>
    <row r="911">
      <c r="A911" s="37" t="inlineStr">
        <is>
          <t>GW-0809</t>
        </is>
      </c>
      <c r="B911" s="37" t="inlineStr">
        <is>
          <t>Gullwing</t>
        </is>
      </c>
      <c r="C911" s="37" t="inlineStr">
        <is>
          <t>OPEN</t>
        </is>
      </c>
      <c r="D911" s="37" t="n">
        <v>70</v>
      </c>
      <c r="E911" s="37" t="inlineStr">
        <is>
          <t>OCCUPIED</t>
        </is>
      </c>
      <c r="F911" s="37" t="inlineStr">
        <is>
          <t>WL-02028</t>
        </is>
      </c>
      <c r="G911" s="37" t="inlineStr">
        <is>
          <t>Stephanie Shepard</t>
        </is>
      </c>
      <c r="H911" s="37" t="n">
        <v>29.2</v>
      </c>
    </row>
    <row r="912">
      <c r="A912" s="37" t="inlineStr">
        <is>
          <t>GW-0810</t>
        </is>
      </c>
      <c r="B912" s="37" t="inlineStr">
        <is>
          <t>Gullwing</t>
        </is>
      </c>
      <c r="C912" s="37" t="inlineStr">
        <is>
          <t>OPEN</t>
        </is>
      </c>
      <c r="D912" s="37" t="n">
        <v>70</v>
      </c>
      <c r="E912" s="37" t="inlineStr">
        <is>
          <t>OCCUPIED</t>
        </is>
      </c>
      <c r="F912" s="37" t="inlineStr">
        <is>
          <t>WL-03527</t>
        </is>
      </c>
      <c r="G912" s="37" t="inlineStr">
        <is>
          <t>Ashley Logan</t>
        </is>
      </c>
      <c r="H912" s="37" t="n">
        <v>30.5</v>
      </c>
    </row>
    <row r="913">
      <c r="A913" s="37" t="inlineStr">
        <is>
          <t>GW-0811</t>
        </is>
      </c>
      <c r="B913" s="37" t="inlineStr">
        <is>
          <t>Gullwing</t>
        </is>
      </c>
      <c r="C913" s="37" t="inlineStr">
        <is>
          <t>OPEN</t>
        </is>
      </c>
      <c r="D913" s="37" t="n">
        <v>45</v>
      </c>
      <c r="E913" s="37" t="inlineStr">
        <is>
          <t>OCCUPIED</t>
        </is>
      </c>
      <c r="F913" s="37" t="inlineStr">
        <is>
          <t>WL-02325</t>
        </is>
      </c>
      <c r="G913" s="37" t="inlineStr">
        <is>
          <t>Lisa Brown</t>
        </is>
      </c>
      <c r="H913" s="37" t="n">
        <v>34.6</v>
      </c>
    </row>
    <row r="914">
      <c r="A914" s="37" t="inlineStr">
        <is>
          <t>GW-0812</t>
        </is>
      </c>
      <c r="B914" s="37" t="inlineStr">
        <is>
          <t>Gullwing</t>
        </is>
      </c>
      <c r="C914" s="37" t="inlineStr">
        <is>
          <t>OPEN</t>
        </is>
      </c>
      <c r="D914" s="37" t="n">
        <v>28</v>
      </c>
      <c r="E914" s="37" t="inlineStr">
        <is>
          <t>OCCUPIED</t>
        </is>
      </c>
      <c r="F914" s="37" t="inlineStr">
        <is>
          <t>WL-02726</t>
        </is>
      </c>
      <c r="G914" s="37" t="inlineStr">
        <is>
          <t>Michelle Herman</t>
        </is>
      </c>
      <c r="H914" s="37" t="n">
        <v>48.3</v>
      </c>
    </row>
    <row r="915">
      <c r="A915" s="37" t="inlineStr">
        <is>
          <t>GW-0813</t>
        </is>
      </c>
      <c r="B915" s="37" t="inlineStr">
        <is>
          <t>Gullwing</t>
        </is>
      </c>
      <c r="C915" s="37" t="inlineStr">
        <is>
          <t>OPEN</t>
        </is>
      </c>
      <c r="D915" s="37" t="n">
        <v>28</v>
      </c>
      <c r="E915" s="37" t="inlineStr">
        <is>
          <t>OCCUPIED</t>
        </is>
      </c>
      <c r="F915" s="37" t="inlineStr">
        <is>
          <t>WL-01147</t>
        </is>
      </c>
      <c r="G915" s="37" t="inlineStr">
        <is>
          <t>Rachel Burnett</t>
        </is>
      </c>
      <c r="H915" s="37" t="n">
        <v>48.7</v>
      </c>
    </row>
    <row r="916">
      <c r="A916" s="37" t="inlineStr">
        <is>
          <t>GW-0814</t>
        </is>
      </c>
      <c r="B916" s="37" t="inlineStr">
        <is>
          <t>Gullwing</t>
        </is>
      </c>
      <c r="C916" s="37" t="inlineStr">
        <is>
          <t>OPEN</t>
        </is>
      </c>
      <c r="D916" s="37" t="n">
        <v>70</v>
      </c>
      <c r="E916" s="37" t="inlineStr">
        <is>
          <t>OCCUPIED</t>
        </is>
      </c>
      <c r="F916" s="37" t="inlineStr">
        <is>
          <t>WL-03573</t>
        </is>
      </c>
      <c r="G916" s="37" t="inlineStr">
        <is>
          <t>Kathy Sanchez</t>
        </is>
      </c>
      <c r="H916" s="37" t="n">
        <v>33.1</v>
      </c>
    </row>
    <row r="917">
      <c r="A917" s="37" t="inlineStr">
        <is>
          <t>GW-0815</t>
        </is>
      </c>
      <c r="B917" s="37" t="inlineStr">
        <is>
          <t>Gullwing</t>
        </is>
      </c>
      <c r="C917" s="37" t="inlineStr">
        <is>
          <t>OPEN</t>
        </is>
      </c>
      <c r="D917" s="37" t="n">
        <v>32</v>
      </c>
      <c r="E917" s="37" t="inlineStr">
        <is>
          <t>MAINTENANCE</t>
        </is>
      </c>
    </row>
    <row r="918">
      <c r="A918" s="37" t="inlineStr">
        <is>
          <t>GW-0816</t>
        </is>
      </c>
      <c r="B918" s="37" t="inlineStr">
        <is>
          <t>Gullwing</t>
        </is>
      </c>
      <c r="C918" s="37" t="inlineStr">
        <is>
          <t>OPEN</t>
        </is>
      </c>
      <c r="D918" s="37" t="n">
        <v>70</v>
      </c>
      <c r="E918" s="37" t="inlineStr">
        <is>
          <t>OCCUPIED</t>
        </is>
      </c>
      <c r="F918" s="37" t="inlineStr">
        <is>
          <t>WL-01044</t>
        </is>
      </c>
      <c r="G918" s="37" t="inlineStr">
        <is>
          <t>Craig Mason</t>
        </is>
      </c>
      <c r="H918" s="37" t="n">
        <v>55.9</v>
      </c>
    </row>
    <row r="919">
      <c r="A919" s="37" t="inlineStr">
        <is>
          <t>GW-0817</t>
        </is>
      </c>
      <c r="B919" s="37" t="inlineStr">
        <is>
          <t>Gullwing</t>
        </is>
      </c>
      <c r="C919" s="37" t="inlineStr">
        <is>
          <t>OPEN</t>
        </is>
      </c>
      <c r="D919" s="37" t="n">
        <v>60</v>
      </c>
      <c r="E919" s="37" t="inlineStr">
        <is>
          <t>OCCUPIED</t>
        </is>
      </c>
      <c r="F919" s="37" t="inlineStr">
        <is>
          <t>WL-03408</t>
        </is>
      </c>
      <c r="G919" s="37" t="inlineStr">
        <is>
          <t>Mark Phillips</t>
        </is>
      </c>
      <c r="H919" s="37" t="n">
        <v>56.6</v>
      </c>
    </row>
    <row r="920">
      <c r="A920" s="37" t="inlineStr">
        <is>
          <t>GW-0818</t>
        </is>
      </c>
      <c r="B920" s="37" t="inlineStr">
        <is>
          <t>Gullwing</t>
        </is>
      </c>
      <c r="C920" s="37" t="inlineStr">
        <is>
          <t>OPEN</t>
        </is>
      </c>
      <c r="D920" s="37" t="n">
        <v>70</v>
      </c>
      <c r="E920" s="37" t="inlineStr">
        <is>
          <t>OCCUPIED</t>
        </is>
      </c>
      <c r="F920" s="37" t="inlineStr">
        <is>
          <t>WL-03081</t>
        </is>
      </c>
      <c r="G920" s="37" t="inlineStr">
        <is>
          <t>Casey Ortiz</t>
        </is>
      </c>
      <c r="H920" s="37" t="n">
        <v>56</v>
      </c>
    </row>
    <row r="921">
      <c r="A921" s="37" t="inlineStr">
        <is>
          <t>GW-0819</t>
        </is>
      </c>
      <c r="B921" s="37" t="inlineStr">
        <is>
          <t>Gullwing</t>
        </is>
      </c>
      <c r="C921" s="37" t="inlineStr">
        <is>
          <t>OPEN</t>
        </is>
      </c>
      <c r="D921" s="37" t="n">
        <v>24</v>
      </c>
      <c r="E921" s="37" t="inlineStr">
        <is>
          <t>OCCUPIED</t>
        </is>
      </c>
      <c r="F921" s="37" t="inlineStr">
        <is>
          <t>WL-01022</t>
        </is>
      </c>
      <c r="G921" s="37" t="inlineStr">
        <is>
          <t>Brett Cooley</t>
        </is>
      </c>
      <c r="H921" s="37" t="n">
        <v>43.9</v>
      </c>
    </row>
    <row r="922">
      <c r="A922" s="37" t="inlineStr">
        <is>
          <t>GW-0820</t>
        </is>
      </c>
      <c r="B922" s="37" t="inlineStr">
        <is>
          <t>Gullwing</t>
        </is>
      </c>
      <c r="C922" s="37" t="inlineStr">
        <is>
          <t>OPEN</t>
        </is>
      </c>
      <c r="D922" s="37" t="n">
        <v>28</v>
      </c>
      <c r="E922" s="37" t="inlineStr">
        <is>
          <t>OCCUPIED</t>
        </is>
      </c>
      <c r="F922" s="37" t="inlineStr">
        <is>
          <t>WL-03760</t>
        </is>
      </c>
      <c r="G922" s="37" t="inlineStr">
        <is>
          <t>Samantha Herring</t>
        </is>
      </c>
      <c r="H922" s="37" t="n">
        <v>57.9</v>
      </c>
    </row>
    <row r="923">
      <c r="A923" s="37" t="inlineStr">
        <is>
          <t>GW-0821</t>
        </is>
      </c>
      <c r="B923" s="37" t="inlineStr">
        <is>
          <t>Gullwing</t>
        </is>
      </c>
      <c r="C923" s="37" t="inlineStr">
        <is>
          <t>OPEN</t>
        </is>
      </c>
      <c r="D923" s="37" t="n">
        <v>24</v>
      </c>
      <c r="E923" s="37" t="inlineStr">
        <is>
          <t>OCCUPIED</t>
        </is>
      </c>
      <c r="F923" s="37" t="inlineStr">
        <is>
          <t>WL-02465</t>
        </is>
      </c>
      <c r="G923" s="37" t="inlineStr">
        <is>
          <t>Clinton Cox</t>
        </is>
      </c>
      <c r="H923" s="37" t="n">
        <v>48.4</v>
      </c>
    </row>
    <row r="924">
      <c r="A924" s="37" t="inlineStr">
        <is>
          <t>GW-0822</t>
        </is>
      </c>
      <c r="B924" s="37" t="inlineStr">
        <is>
          <t>Gullwing</t>
        </is>
      </c>
      <c r="C924" s="37" t="inlineStr">
        <is>
          <t>OPEN</t>
        </is>
      </c>
      <c r="D924" s="37" t="n">
        <v>24</v>
      </c>
      <c r="E924" s="37" t="inlineStr">
        <is>
          <t>OCCUPIED</t>
        </is>
      </c>
      <c r="F924" s="37" t="inlineStr">
        <is>
          <t>WL-02630</t>
        </is>
      </c>
      <c r="G924" s="37" t="inlineStr">
        <is>
          <t>Susan Snow</t>
        </is>
      </c>
      <c r="H924" s="37" t="n">
        <v>27.3</v>
      </c>
    </row>
    <row r="925">
      <c r="A925" s="37" t="inlineStr">
        <is>
          <t>GW-0823</t>
        </is>
      </c>
      <c r="B925" s="37" t="inlineStr">
        <is>
          <t>Gullwing</t>
        </is>
      </c>
      <c r="C925" s="37" t="inlineStr">
        <is>
          <t>OPEN</t>
        </is>
      </c>
      <c r="D925" s="37" t="n">
        <v>60</v>
      </c>
      <c r="E925" s="37" t="inlineStr">
        <is>
          <t>OCCUPIED</t>
        </is>
      </c>
      <c r="F925" s="37" t="inlineStr">
        <is>
          <t>WL-01825</t>
        </is>
      </c>
      <c r="G925" s="37" t="inlineStr">
        <is>
          <t>Charles Krause</t>
        </is>
      </c>
      <c r="H925" s="37" t="n">
        <v>29.8</v>
      </c>
    </row>
    <row r="926">
      <c r="A926" s="37" t="inlineStr">
        <is>
          <t>GW-0901</t>
        </is>
      </c>
      <c r="B926" s="37" t="inlineStr">
        <is>
          <t>Gullwing</t>
        </is>
      </c>
      <c r="C926" s="37" t="inlineStr">
        <is>
          <t>OPEN</t>
        </is>
      </c>
      <c r="D926" s="37" t="n">
        <v>24</v>
      </c>
      <c r="E926" s="37" t="inlineStr">
        <is>
          <t>OCCUPIED</t>
        </is>
      </c>
      <c r="F926" s="37" t="inlineStr">
        <is>
          <t>WL-03757</t>
        </is>
      </c>
      <c r="G926" s="37" t="inlineStr">
        <is>
          <t>Stephanie Webb</t>
        </is>
      </c>
      <c r="H926" s="37" t="n">
        <v>45.8</v>
      </c>
    </row>
    <row r="927">
      <c r="A927" s="37" t="inlineStr">
        <is>
          <t>GW-0902</t>
        </is>
      </c>
      <c r="B927" s="37" t="inlineStr">
        <is>
          <t>Gullwing</t>
        </is>
      </c>
      <c r="C927" s="37" t="inlineStr">
        <is>
          <t>OPEN</t>
        </is>
      </c>
      <c r="D927" s="37" t="n">
        <v>36</v>
      </c>
      <c r="E927" s="37" t="inlineStr">
        <is>
          <t>OCCUPIED</t>
        </is>
      </c>
      <c r="F927" s="37" t="inlineStr">
        <is>
          <t>WL-02131</t>
        </is>
      </c>
      <c r="G927" s="37" t="inlineStr">
        <is>
          <t>Richard Thompson</t>
        </is>
      </c>
      <c r="H927" s="37" t="n">
        <v>59.7</v>
      </c>
    </row>
    <row r="928">
      <c r="A928" s="37" t="inlineStr">
        <is>
          <t>GW-0903</t>
        </is>
      </c>
      <c r="B928" s="37" t="inlineStr">
        <is>
          <t>Gullwing</t>
        </is>
      </c>
      <c r="C928" s="37" t="inlineStr">
        <is>
          <t>OPEN</t>
        </is>
      </c>
      <c r="D928" s="37" t="n">
        <v>36</v>
      </c>
      <c r="E928" s="37" t="inlineStr">
        <is>
          <t>OCCUPIED</t>
        </is>
      </c>
      <c r="F928" s="37" t="inlineStr">
        <is>
          <t>WL-03429</t>
        </is>
      </c>
      <c r="G928" s="37" t="inlineStr">
        <is>
          <t>Daniel Perez</t>
        </is>
      </c>
      <c r="H928" s="37" t="n">
        <v>59.9</v>
      </c>
    </row>
    <row r="929">
      <c r="A929" s="37" t="inlineStr">
        <is>
          <t>GW-0904</t>
        </is>
      </c>
      <c r="B929" s="37" t="inlineStr">
        <is>
          <t>Gullwing</t>
        </is>
      </c>
      <c r="C929" s="37" t="inlineStr">
        <is>
          <t>OPEN</t>
        </is>
      </c>
      <c r="D929" s="37" t="n">
        <v>32</v>
      </c>
      <c r="E929" s="37" t="inlineStr">
        <is>
          <t>OCCUPIED</t>
        </is>
      </c>
      <c r="F929" s="37" t="inlineStr">
        <is>
          <t>WL-02021</t>
        </is>
      </c>
      <c r="G929" s="37" t="inlineStr">
        <is>
          <t>Andrew Medina</t>
        </is>
      </c>
      <c r="H929" s="37" t="n">
        <v>49.7</v>
      </c>
    </row>
    <row r="930">
      <c r="A930" s="37" t="inlineStr">
        <is>
          <t>GW-0905</t>
        </is>
      </c>
      <c r="B930" s="37" t="inlineStr">
        <is>
          <t>Gullwing</t>
        </is>
      </c>
      <c r="C930" s="37" t="inlineStr">
        <is>
          <t>OPEN</t>
        </is>
      </c>
      <c r="D930" s="37" t="n">
        <v>50</v>
      </c>
      <c r="E930" s="37" t="inlineStr">
        <is>
          <t>OCCUPIED</t>
        </is>
      </c>
      <c r="F930" s="37" t="inlineStr">
        <is>
          <t>WL-02101</t>
        </is>
      </c>
      <c r="G930" s="37" t="inlineStr">
        <is>
          <t>David Green</t>
        </is>
      </c>
      <c r="H930" s="37" t="n">
        <v>38.9</v>
      </c>
    </row>
    <row r="931">
      <c r="A931" s="37" t="inlineStr">
        <is>
          <t>GW-0906</t>
        </is>
      </c>
      <c r="B931" s="37" t="inlineStr">
        <is>
          <t>Gullwing</t>
        </is>
      </c>
      <c r="C931" s="37" t="inlineStr">
        <is>
          <t>OPEN</t>
        </is>
      </c>
      <c r="D931" s="37" t="n">
        <v>45</v>
      </c>
      <c r="E931" s="37" t="inlineStr">
        <is>
          <t>OCCUPIED</t>
        </is>
      </c>
      <c r="F931" s="37" t="inlineStr">
        <is>
          <t>WL-01794</t>
        </is>
      </c>
      <c r="G931" s="37" t="inlineStr">
        <is>
          <t>Holly Thomas</t>
        </is>
      </c>
      <c r="H931" s="37" t="n">
        <v>53.3</v>
      </c>
    </row>
    <row r="932">
      <c r="A932" s="37" t="inlineStr">
        <is>
          <t>GW-0907</t>
        </is>
      </c>
      <c r="B932" s="37" t="inlineStr">
        <is>
          <t>Gullwing</t>
        </is>
      </c>
      <c r="C932" s="37" t="inlineStr">
        <is>
          <t>OPEN</t>
        </is>
      </c>
      <c r="D932" s="37" t="n">
        <v>45</v>
      </c>
      <c r="E932" s="37" t="inlineStr">
        <is>
          <t>OCCUPIED</t>
        </is>
      </c>
      <c r="F932" s="37" t="inlineStr">
        <is>
          <t>WL-02365</t>
        </is>
      </c>
      <c r="G932" s="37" t="inlineStr">
        <is>
          <t>Sophia Williams</t>
        </is>
      </c>
      <c r="H932" s="37" t="n">
        <v>25.5</v>
      </c>
    </row>
    <row r="933">
      <c r="A933" s="37" t="inlineStr">
        <is>
          <t>GW-0908</t>
        </is>
      </c>
      <c r="B933" s="37" t="inlineStr">
        <is>
          <t>Gullwing</t>
        </is>
      </c>
      <c r="C933" s="37" t="inlineStr">
        <is>
          <t>OPEN</t>
        </is>
      </c>
      <c r="D933" s="37" t="n">
        <v>24</v>
      </c>
      <c r="E933" s="37" t="inlineStr">
        <is>
          <t>OCCUPIED</t>
        </is>
      </c>
      <c r="F933" s="37" t="inlineStr">
        <is>
          <t>WL-01615</t>
        </is>
      </c>
      <c r="G933" s="37" t="inlineStr">
        <is>
          <t>Melissa Gaines</t>
        </is>
      </c>
      <c r="H933" s="37" t="n">
        <v>50.9</v>
      </c>
    </row>
    <row r="934">
      <c r="A934" s="37" t="inlineStr">
        <is>
          <t>GW-0909</t>
        </is>
      </c>
      <c r="B934" s="37" t="inlineStr">
        <is>
          <t>Gullwing</t>
        </is>
      </c>
      <c r="C934" s="37" t="inlineStr">
        <is>
          <t>OPEN</t>
        </is>
      </c>
      <c r="D934" s="37" t="n">
        <v>40</v>
      </c>
      <c r="E934" s="37" t="inlineStr">
        <is>
          <t>OCCUPIED</t>
        </is>
      </c>
      <c r="F934" s="37" t="inlineStr">
        <is>
          <t>WL-01033</t>
        </is>
      </c>
      <c r="G934" s="37" t="inlineStr">
        <is>
          <t>Jodi Gonzalez</t>
        </is>
      </c>
      <c r="H934" s="37" t="n">
        <v>29</v>
      </c>
    </row>
    <row r="935">
      <c r="A935" s="37" t="inlineStr">
        <is>
          <t>GW-0910</t>
        </is>
      </c>
      <c r="B935" s="37" t="inlineStr">
        <is>
          <t>Gullwing</t>
        </is>
      </c>
      <c r="C935" s="37" t="inlineStr">
        <is>
          <t>OPEN</t>
        </is>
      </c>
      <c r="D935" s="37" t="n">
        <v>50</v>
      </c>
      <c r="E935" s="37" t="inlineStr">
        <is>
          <t>OCCUPIED</t>
        </is>
      </c>
      <c r="F935" s="37" t="inlineStr">
        <is>
          <t>WL-01532</t>
        </is>
      </c>
      <c r="G935" s="37" t="inlineStr">
        <is>
          <t>Bradley Mejia</t>
        </is>
      </c>
      <c r="H935" s="37" t="n">
        <v>25.9</v>
      </c>
    </row>
    <row r="936">
      <c r="A936" s="37" t="inlineStr">
        <is>
          <t>GW-0911</t>
        </is>
      </c>
      <c r="B936" s="37" t="inlineStr">
        <is>
          <t>Gullwing</t>
        </is>
      </c>
      <c r="C936" s="37" t="inlineStr">
        <is>
          <t>OPEN</t>
        </is>
      </c>
      <c r="D936" s="37" t="n">
        <v>32</v>
      </c>
      <c r="E936" s="37" t="inlineStr">
        <is>
          <t>OCCUPIED</t>
        </is>
      </c>
      <c r="F936" s="37" t="inlineStr">
        <is>
          <t>WL-03632</t>
        </is>
      </c>
      <c r="G936" s="37" t="inlineStr">
        <is>
          <t>Melissa Wallace</t>
        </is>
      </c>
      <c r="H936" s="37" t="n">
        <v>36.5</v>
      </c>
    </row>
    <row r="937">
      <c r="A937" s="37" t="inlineStr">
        <is>
          <t>GW-0912</t>
        </is>
      </c>
      <c r="B937" s="37" t="inlineStr">
        <is>
          <t>Gullwing</t>
        </is>
      </c>
      <c r="C937" s="37" t="inlineStr">
        <is>
          <t>OPEN</t>
        </is>
      </c>
      <c r="D937" s="37" t="n">
        <v>32</v>
      </c>
      <c r="E937" s="37" t="inlineStr">
        <is>
          <t>OCCUPIED</t>
        </is>
      </c>
      <c r="F937" s="37" t="inlineStr">
        <is>
          <t>WL-02341</t>
        </is>
      </c>
      <c r="G937" s="37" t="inlineStr">
        <is>
          <t>David Stewart</t>
        </is>
      </c>
      <c r="H937" s="37" t="n">
        <v>59</v>
      </c>
    </row>
    <row r="938">
      <c r="A938" s="37" t="inlineStr">
        <is>
          <t>GW-0913</t>
        </is>
      </c>
      <c r="B938" s="37" t="inlineStr">
        <is>
          <t>Gullwing</t>
        </is>
      </c>
      <c r="C938" s="37" t="inlineStr">
        <is>
          <t>OPEN</t>
        </is>
      </c>
      <c r="D938" s="37" t="n">
        <v>28</v>
      </c>
      <c r="E938" s="37" t="inlineStr">
        <is>
          <t>OCCUPIED</t>
        </is>
      </c>
      <c r="F938" s="37" t="inlineStr">
        <is>
          <t>WL-03523</t>
        </is>
      </c>
      <c r="G938" s="37" t="inlineStr">
        <is>
          <t>Darlene Glover</t>
        </is>
      </c>
      <c r="H938" s="37" t="n">
        <v>53.1</v>
      </c>
    </row>
    <row r="939">
      <c r="A939" s="37" t="inlineStr">
        <is>
          <t>GW-0914</t>
        </is>
      </c>
      <c r="B939" s="37" t="inlineStr">
        <is>
          <t>Gullwing</t>
        </is>
      </c>
      <c r="C939" s="37" t="inlineStr">
        <is>
          <t>OPEN</t>
        </is>
      </c>
      <c r="D939" s="37" t="n">
        <v>24</v>
      </c>
      <c r="E939" s="37" t="inlineStr">
        <is>
          <t>OCCUPIED</t>
        </is>
      </c>
      <c r="F939" s="37" t="inlineStr">
        <is>
          <t>WL-01460</t>
        </is>
      </c>
      <c r="G939" s="37" t="inlineStr">
        <is>
          <t>Lori Maldonado</t>
        </is>
      </c>
      <c r="H939" s="37" t="n">
        <v>45.4</v>
      </c>
    </row>
    <row r="940">
      <c r="A940" s="37" t="inlineStr">
        <is>
          <t>GW-0915</t>
        </is>
      </c>
      <c r="B940" s="37" t="inlineStr">
        <is>
          <t>Gullwing</t>
        </is>
      </c>
      <c r="C940" s="37" t="inlineStr">
        <is>
          <t>OPEN</t>
        </is>
      </c>
      <c r="D940" s="37" t="n">
        <v>32</v>
      </c>
      <c r="E940" s="37" t="inlineStr">
        <is>
          <t>OCCUPIED</t>
        </is>
      </c>
      <c r="F940" s="37" t="inlineStr">
        <is>
          <t>WL-03866</t>
        </is>
      </c>
      <c r="G940" s="37" t="inlineStr">
        <is>
          <t>Jacqueline Anderson</t>
        </is>
      </c>
      <c r="H940" s="37" t="n">
        <v>55.2</v>
      </c>
    </row>
    <row r="941">
      <c r="A941" s="37" t="inlineStr">
        <is>
          <t>GW-0916</t>
        </is>
      </c>
      <c r="B941" s="37" t="inlineStr">
        <is>
          <t>Gullwing</t>
        </is>
      </c>
      <c r="C941" s="37" t="inlineStr">
        <is>
          <t>OPEN</t>
        </is>
      </c>
      <c r="D941" s="37" t="n">
        <v>24</v>
      </c>
      <c r="E941" s="37" t="inlineStr">
        <is>
          <t>OCCUPIED</t>
        </is>
      </c>
      <c r="F941" s="37" t="inlineStr">
        <is>
          <t>WL-01914</t>
        </is>
      </c>
      <c r="G941" s="37" t="inlineStr">
        <is>
          <t>Danny Flores</t>
        </is>
      </c>
      <c r="H941" s="37" t="n">
        <v>61.5</v>
      </c>
    </row>
    <row r="942">
      <c r="A942" s="37" t="inlineStr">
        <is>
          <t>GW-0917</t>
        </is>
      </c>
      <c r="B942" s="37" t="inlineStr">
        <is>
          <t>Gullwing</t>
        </is>
      </c>
      <c r="C942" s="37" t="inlineStr">
        <is>
          <t>OPEN</t>
        </is>
      </c>
      <c r="D942" s="37" t="n">
        <v>24</v>
      </c>
      <c r="E942" s="37" t="inlineStr">
        <is>
          <t>OCCUPIED</t>
        </is>
      </c>
      <c r="F942" s="37" t="inlineStr">
        <is>
          <t>WL-02603</t>
        </is>
      </c>
      <c r="G942" s="37" t="inlineStr">
        <is>
          <t>Sharon Lopez</t>
        </is>
      </c>
      <c r="H942" s="37" t="n">
        <v>56.4</v>
      </c>
    </row>
    <row r="943">
      <c r="A943" s="37" t="inlineStr">
        <is>
          <t>GW-0918</t>
        </is>
      </c>
      <c r="B943" s="37" t="inlineStr">
        <is>
          <t>Gullwing</t>
        </is>
      </c>
      <c r="C943" s="37" t="inlineStr">
        <is>
          <t>OPEN</t>
        </is>
      </c>
      <c r="D943" s="37" t="n">
        <v>50</v>
      </c>
      <c r="E943" s="37" t="inlineStr">
        <is>
          <t>OCCUPIED</t>
        </is>
      </c>
      <c r="F943" s="37" t="inlineStr">
        <is>
          <t>WL-03172</t>
        </is>
      </c>
      <c r="G943" s="37" t="inlineStr">
        <is>
          <t>Jessica Sanford</t>
        </is>
      </c>
      <c r="H943" s="37" t="n">
        <v>61.6</v>
      </c>
    </row>
    <row r="944">
      <c r="A944" s="37" t="inlineStr">
        <is>
          <t>GW-0919</t>
        </is>
      </c>
      <c r="B944" s="37" t="inlineStr">
        <is>
          <t>Gullwing</t>
        </is>
      </c>
      <c r="C944" s="37" t="inlineStr">
        <is>
          <t>OPEN</t>
        </is>
      </c>
      <c r="D944" s="37" t="n">
        <v>36</v>
      </c>
      <c r="E944" s="37" t="inlineStr">
        <is>
          <t>OCCUPIED</t>
        </is>
      </c>
      <c r="F944" s="37" t="inlineStr">
        <is>
          <t>WL-01940</t>
        </is>
      </c>
      <c r="G944" s="37" t="inlineStr">
        <is>
          <t>Kelly Howell</t>
        </is>
      </c>
      <c r="H944" s="37" t="n">
        <v>53.5</v>
      </c>
    </row>
    <row r="945">
      <c r="A945" s="37" t="inlineStr">
        <is>
          <t>GW-0920</t>
        </is>
      </c>
      <c r="B945" s="37" t="inlineStr">
        <is>
          <t>Gullwing</t>
        </is>
      </c>
      <c r="C945" s="37" t="inlineStr">
        <is>
          <t>OPEN</t>
        </is>
      </c>
      <c r="D945" s="37" t="n">
        <v>28</v>
      </c>
      <c r="E945" s="37" t="inlineStr">
        <is>
          <t>OCCUPIED</t>
        </is>
      </c>
      <c r="F945" s="37" t="inlineStr">
        <is>
          <t>WL-01338</t>
        </is>
      </c>
      <c r="G945" s="37" t="inlineStr">
        <is>
          <t>Philip Simpson</t>
        </is>
      </c>
      <c r="H945" s="37" t="n">
        <v>35.7</v>
      </c>
    </row>
    <row r="946">
      <c r="A946" s="37" t="inlineStr">
        <is>
          <t>GW-0921</t>
        </is>
      </c>
      <c r="B946" s="37" t="inlineStr">
        <is>
          <t>Gullwing</t>
        </is>
      </c>
      <c r="C946" s="37" t="inlineStr">
        <is>
          <t>OPEN</t>
        </is>
      </c>
      <c r="D946" s="37" t="n">
        <v>32</v>
      </c>
      <c r="E946" s="37" t="inlineStr">
        <is>
          <t>OCCUPIED</t>
        </is>
      </c>
      <c r="F946" s="37" t="inlineStr">
        <is>
          <t>WL-02657</t>
        </is>
      </c>
      <c r="G946" s="37" t="inlineStr">
        <is>
          <t>Keith Barr</t>
        </is>
      </c>
      <c r="H946" s="37" t="n">
        <v>46.7</v>
      </c>
    </row>
    <row r="947">
      <c r="A947" s="37" t="inlineStr">
        <is>
          <t>GW-0922</t>
        </is>
      </c>
      <c r="B947" s="37" t="inlineStr">
        <is>
          <t>Gullwing</t>
        </is>
      </c>
      <c r="C947" s="37" t="inlineStr">
        <is>
          <t>OPEN</t>
        </is>
      </c>
      <c r="D947" s="37" t="n">
        <v>70</v>
      </c>
      <c r="E947" s="37" t="inlineStr">
        <is>
          <t>OCCUPIED</t>
        </is>
      </c>
      <c r="F947" s="37" t="inlineStr">
        <is>
          <t>WL-03531</t>
        </is>
      </c>
      <c r="G947" s="37" t="inlineStr">
        <is>
          <t>Nicole Golden</t>
        </is>
      </c>
      <c r="H947" s="37" t="n">
        <v>47.4</v>
      </c>
    </row>
    <row r="948">
      <c r="A948" s="37" t="inlineStr">
        <is>
          <t>GW-0923</t>
        </is>
      </c>
      <c r="B948" s="37" t="inlineStr">
        <is>
          <t>Gullwing</t>
        </is>
      </c>
      <c r="C948" s="37" t="inlineStr">
        <is>
          <t>OPEN</t>
        </is>
      </c>
      <c r="D948" s="37" t="n">
        <v>70</v>
      </c>
      <c r="E948" s="37" t="inlineStr">
        <is>
          <t>OCCUPIED</t>
        </is>
      </c>
      <c r="F948" s="37" t="inlineStr">
        <is>
          <t>WL-02574</t>
        </is>
      </c>
      <c r="G948" s="37" t="inlineStr">
        <is>
          <t>Elizabeth Larsen</t>
        </is>
      </c>
      <c r="H948" s="37" t="n">
        <v>26.3</v>
      </c>
    </row>
    <row r="949">
      <c r="A949" s="37" t="inlineStr">
        <is>
          <t>GW-1001</t>
        </is>
      </c>
      <c r="B949" s="37" t="inlineStr">
        <is>
          <t>Gullwing</t>
        </is>
      </c>
      <c r="C949" s="37" t="inlineStr">
        <is>
          <t>OPEN</t>
        </is>
      </c>
      <c r="D949" s="37" t="n">
        <v>32</v>
      </c>
      <c r="E949" s="37" t="inlineStr">
        <is>
          <t>OCCUPIED</t>
        </is>
      </c>
      <c r="F949" s="37" t="inlineStr">
        <is>
          <t>WL-02083</t>
        </is>
      </c>
      <c r="G949" s="37" t="inlineStr">
        <is>
          <t>Brandon Choi</t>
        </is>
      </c>
      <c r="H949" s="37" t="n">
        <v>47.2</v>
      </c>
    </row>
    <row r="950">
      <c r="A950" s="37" t="inlineStr">
        <is>
          <t>GW-1002</t>
        </is>
      </c>
      <c r="B950" s="37" t="inlineStr">
        <is>
          <t>Gullwing</t>
        </is>
      </c>
      <c r="C950" s="37" t="inlineStr">
        <is>
          <t>OPEN</t>
        </is>
      </c>
      <c r="D950" s="37" t="n">
        <v>60</v>
      </c>
      <c r="E950" s="37" t="inlineStr">
        <is>
          <t>OCCUPIED</t>
        </is>
      </c>
      <c r="F950" s="37" t="inlineStr">
        <is>
          <t>WL-01108</t>
        </is>
      </c>
      <c r="G950" s="37" t="inlineStr">
        <is>
          <t>Evelyn Thomas</t>
        </is>
      </c>
      <c r="H950" s="37" t="n">
        <v>36.7</v>
      </c>
    </row>
    <row r="951">
      <c r="A951" s="37" t="inlineStr">
        <is>
          <t>GW-1003</t>
        </is>
      </c>
      <c r="B951" s="37" t="inlineStr">
        <is>
          <t>Gullwing</t>
        </is>
      </c>
      <c r="C951" s="37" t="inlineStr">
        <is>
          <t>OPEN</t>
        </is>
      </c>
      <c r="D951" s="37" t="n">
        <v>24</v>
      </c>
      <c r="E951" s="37" t="inlineStr">
        <is>
          <t>OCCUPIED</t>
        </is>
      </c>
      <c r="F951" s="37" t="inlineStr">
        <is>
          <t>WL-03052</t>
        </is>
      </c>
      <c r="G951" s="37" t="inlineStr">
        <is>
          <t>Jenna Marsh</t>
        </is>
      </c>
      <c r="H951" s="37" t="n">
        <v>19</v>
      </c>
    </row>
    <row r="952">
      <c r="A952" s="37" t="inlineStr">
        <is>
          <t>GW-1004</t>
        </is>
      </c>
      <c r="B952" s="37" t="inlineStr">
        <is>
          <t>Gullwing</t>
        </is>
      </c>
      <c r="C952" s="37" t="inlineStr">
        <is>
          <t>OPEN</t>
        </is>
      </c>
      <c r="D952" s="37" t="n">
        <v>36</v>
      </c>
      <c r="E952" s="37" t="inlineStr">
        <is>
          <t>OCCUPIED</t>
        </is>
      </c>
      <c r="F952" s="37" t="inlineStr">
        <is>
          <t>WL-03149</t>
        </is>
      </c>
      <c r="G952" s="37" t="inlineStr">
        <is>
          <t>Todd Williams</t>
        </is>
      </c>
      <c r="H952" s="37" t="n">
        <v>25.8</v>
      </c>
    </row>
    <row r="953">
      <c r="A953" s="37" t="inlineStr">
        <is>
          <t>GW-1005</t>
        </is>
      </c>
      <c r="B953" s="37" t="inlineStr">
        <is>
          <t>Gullwing</t>
        </is>
      </c>
      <c r="C953" s="37" t="inlineStr">
        <is>
          <t>OPEN</t>
        </is>
      </c>
      <c r="D953" s="37" t="n">
        <v>32</v>
      </c>
      <c r="E953" s="37" t="inlineStr">
        <is>
          <t>OCCUPIED</t>
        </is>
      </c>
      <c r="F953" s="37" t="inlineStr">
        <is>
          <t>WL-03191</t>
        </is>
      </c>
      <c r="G953" s="37" t="inlineStr">
        <is>
          <t>William Lam</t>
        </is>
      </c>
      <c r="H953" s="37" t="n">
        <v>58.4</v>
      </c>
    </row>
    <row r="954">
      <c r="A954" s="37" t="inlineStr">
        <is>
          <t>GW-1006</t>
        </is>
      </c>
      <c r="B954" s="37" t="inlineStr">
        <is>
          <t>Gullwing</t>
        </is>
      </c>
      <c r="C954" s="37" t="inlineStr">
        <is>
          <t>OPEN</t>
        </is>
      </c>
      <c r="D954" s="37" t="n">
        <v>32</v>
      </c>
      <c r="E954" s="37" t="inlineStr">
        <is>
          <t>OCCUPIED</t>
        </is>
      </c>
      <c r="F954" s="37" t="inlineStr">
        <is>
          <t>WL-02170</t>
        </is>
      </c>
      <c r="G954" s="37" t="inlineStr">
        <is>
          <t>Robin Duke</t>
        </is>
      </c>
      <c r="H954" s="37" t="n">
        <v>31.4</v>
      </c>
    </row>
    <row r="955">
      <c r="A955" s="37" t="inlineStr">
        <is>
          <t>GW-1007</t>
        </is>
      </c>
      <c r="B955" s="37" t="inlineStr">
        <is>
          <t>Gullwing</t>
        </is>
      </c>
      <c r="C955" s="37" t="inlineStr">
        <is>
          <t>OPEN</t>
        </is>
      </c>
      <c r="D955" s="37" t="n">
        <v>60</v>
      </c>
      <c r="E955" s="37" t="inlineStr">
        <is>
          <t>OCCUPIED</t>
        </is>
      </c>
      <c r="F955" s="37" t="inlineStr">
        <is>
          <t>WL-01742</t>
        </is>
      </c>
      <c r="G955" s="37" t="inlineStr">
        <is>
          <t>Robert Smith</t>
        </is>
      </c>
      <c r="H955" s="37" t="n">
        <v>29.1</v>
      </c>
    </row>
    <row r="956">
      <c r="A956" s="37" t="inlineStr">
        <is>
          <t>GW-1008</t>
        </is>
      </c>
      <c r="B956" s="37" t="inlineStr">
        <is>
          <t>Gullwing</t>
        </is>
      </c>
      <c r="C956" s="37" t="inlineStr">
        <is>
          <t>OPEN</t>
        </is>
      </c>
      <c r="D956" s="37" t="n">
        <v>60</v>
      </c>
      <c r="E956" s="37" t="inlineStr">
        <is>
          <t>OCCUPIED</t>
        </is>
      </c>
      <c r="F956" s="37" t="inlineStr">
        <is>
          <t>WL-03216</t>
        </is>
      </c>
      <c r="G956" s="37" t="inlineStr">
        <is>
          <t>Nancy Branch</t>
        </is>
      </c>
      <c r="H956" s="37" t="n">
        <v>58.3</v>
      </c>
    </row>
    <row r="957">
      <c r="A957" s="37" t="inlineStr">
        <is>
          <t>GW-1009</t>
        </is>
      </c>
      <c r="B957" s="37" t="inlineStr">
        <is>
          <t>Gullwing</t>
        </is>
      </c>
      <c r="C957" s="37" t="inlineStr">
        <is>
          <t>OPEN</t>
        </is>
      </c>
      <c r="D957" s="37" t="n">
        <v>45</v>
      </c>
      <c r="E957" s="37" t="inlineStr">
        <is>
          <t>OCCUPIED</t>
        </is>
      </c>
      <c r="F957" s="37" t="inlineStr">
        <is>
          <t>WL-03228</t>
        </is>
      </c>
      <c r="G957" s="37" t="inlineStr">
        <is>
          <t>Roy Stuart</t>
        </is>
      </c>
      <c r="H957" s="37" t="n">
        <v>47.5</v>
      </c>
    </row>
    <row r="958">
      <c r="A958" s="37" t="inlineStr">
        <is>
          <t>GW-1010</t>
        </is>
      </c>
      <c r="B958" s="37" t="inlineStr">
        <is>
          <t>Gullwing</t>
        </is>
      </c>
      <c r="C958" s="37" t="inlineStr">
        <is>
          <t>OPEN</t>
        </is>
      </c>
      <c r="D958" s="37" t="n">
        <v>45</v>
      </c>
      <c r="E958" s="37" t="inlineStr">
        <is>
          <t>OCCUPIED</t>
        </is>
      </c>
      <c r="F958" s="37" t="inlineStr">
        <is>
          <t>WL-01543</t>
        </is>
      </c>
      <c r="G958" s="37" t="inlineStr">
        <is>
          <t>Charles Gomez</t>
        </is>
      </c>
      <c r="H958" s="37" t="n">
        <v>27.2</v>
      </c>
    </row>
    <row r="959">
      <c r="A959" s="37" t="inlineStr">
        <is>
          <t>GW-1011</t>
        </is>
      </c>
      <c r="B959" s="37" t="inlineStr">
        <is>
          <t>Gullwing</t>
        </is>
      </c>
      <c r="C959" s="37" t="inlineStr">
        <is>
          <t>OPEN</t>
        </is>
      </c>
      <c r="D959" s="37" t="n">
        <v>80</v>
      </c>
      <c r="E959" s="37" t="inlineStr">
        <is>
          <t>OCCUPIED</t>
        </is>
      </c>
      <c r="F959" s="37" t="inlineStr">
        <is>
          <t>WL-02258</t>
        </is>
      </c>
      <c r="G959" s="37" t="inlineStr">
        <is>
          <t>Katrina Griffin</t>
        </is>
      </c>
      <c r="H959" s="37" t="n">
        <v>51.7</v>
      </c>
    </row>
    <row r="960">
      <c r="A960" s="37" t="inlineStr">
        <is>
          <t>GW-1012</t>
        </is>
      </c>
      <c r="B960" s="37" t="inlineStr">
        <is>
          <t>Gullwing</t>
        </is>
      </c>
      <c r="C960" s="37" t="inlineStr">
        <is>
          <t>OPEN</t>
        </is>
      </c>
      <c r="D960" s="37" t="n">
        <v>80</v>
      </c>
      <c r="E960" s="37" t="inlineStr">
        <is>
          <t>OCCUPIED</t>
        </is>
      </c>
      <c r="F960" s="37" t="inlineStr">
        <is>
          <t>WL-01480</t>
        </is>
      </c>
      <c r="G960" s="37" t="inlineStr">
        <is>
          <t>Kaitlin Meyer</t>
        </is>
      </c>
      <c r="H960" s="37" t="n">
        <v>48</v>
      </c>
    </row>
    <row r="961">
      <c r="A961" s="37" t="inlineStr">
        <is>
          <t>GW-1013</t>
        </is>
      </c>
      <c r="B961" s="37" t="inlineStr">
        <is>
          <t>Gullwing</t>
        </is>
      </c>
      <c r="C961" s="37" t="inlineStr">
        <is>
          <t>OPEN</t>
        </is>
      </c>
      <c r="D961" s="37" t="n">
        <v>60</v>
      </c>
      <c r="E961" s="37" t="inlineStr">
        <is>
          <t>OCCUPIED</t>
        </is>
      </c>
      <c r="F961" s="37" t="inlineStr">
        <is>
          <t>WL-02038</t>
        </is>
      </c>
      <c r="G961" s="37" t="inlineStr">
        <is>
          <t>Patricia Thomas</t>
        </is>
      </c>
      <c r="H961" s="37" t="n">
        <v>27.1</v>
      </c>
    </row>
    <row r="962">
      <c r="A962" s="37" t="inlineStr">
        <is>
          <t>GW-1014</t>
        </is>
      </c>
      <c r="B962" s="37" t="inlineStr">
        <is>
          <t>Gullwing</t>
        </is>
      </c>
      <c r="C962" s="37" t="inlineStr">
        <is>
          <t>OPEN</t>
        </is>
      </c>
      <c r="D962" s="37" t="n">
        <v>32</v>
      </c>
      <c r="E962" s="37" t="inlineStr">
        <is>
          <t>OCCUPIED</t>
        </is>
      </c>
      <c r="F962" s="37" t="inlineStr">
        <is>
          <t>WL-03067</t>
        </is>
      </c>
      <c r="G962" s="37" t="inlineStr">
        <is>
          <t>Eric Thomas</t>
        </is>
      </c>
      <c r="H962" s="37" t="n">
        <v>30.6</v>
      </c>
    </row>
    <row r="963">
      <c r="A963" s="37" t="inlineStr">
        <is>
          <t>GW-1015</t>
        </is>
      </c>
      <c r="B963" s="37" t="inlineStr">
        <is>
          <t>Gullwing</t>
        </is>
      </c>
      <c r="C963" s="37" t="inlineStr">
        <is>
          <t>OPEN</t>
        </is>
      </c>
      <c r="D963" s="37" t="n">
        <v>70</v>
      </c>
      <c r="E963" s="37" t="inlineStr">
        <is>
          <t>OCCUPIED</t>
        </is>
      </c>
      <c r="F963" s="37" t="inlineStr">
        <is>
          <t>WL-02143</t>
        </is>
      </c>
      <c r="G963" s="37" t="inlineStr">
        <is>
          <t>Lisa Wright</t>
        </is>
      </c>
      <c r="H963" s="37" t="n">
        <v>50.8</v>
      </c>
    </row>
    <row r="964">
      <c r="A964" s="37" t="inlineStr">
        <is>
          <t>GW-1016</t>
        </is>
      </c>
      <c r="B964" s="37" t="inlineStr">
        <is>
          <t>Gullwing</t>
        </is>
      </c>
      <c r="C964" s="37" t="inlineStr">
        <is>
          <t>OPEN</t>
        </is>
      </c>
      <c r="D964" s="37" t="n">
        <v>24</v>
      </c>
      <c r="E964" s="37" t="inlineStr">
        <is>
          <t>OCCUPIED</t>
        </is>
      </c>
      <c r="F964" s="37" t="inlineStr">
        <is>
          <t>WL-02443</t>
        </is>
      </c>
      <c r="G964" s="37" t="inlineStr">
        <is>
          <t>Seth Neal</t>
        </is>
      </c>
      <c r="H964" s="37" t="n">
        <v>31.6</v>
      </c>
    </row>
    <row r="965">
      <c r="A965" s="37" t="inlineStr">
        <is>
          <t>GW-1017</t>
        </is>
      </c>
      <c r="B965" s="37" t="inlineStr">
        <is>
          <t>Gullwing</t>
        </is>
      </c>
      <c r="C965" s="37" t="inlineStr">
        <is>
          <t>OPEN</t>
        </is>
      </c>
      <c r="D965" s="37" t="n">
        <v>32</v>
      </c>
      <c r="E965" s="37" t="inlineStr">
        <is>
          <t>OCCUPIED</t>
        </is>
      </c>
      <c r="F965" s="37" t="inlineStr">
        <is>
          <t>WL-01350</t>
        </is>
      </c>
      <c r="G965" s="37" t="inlineStr">
        <is>
          <t>John George</t>
        </is>
      </c>
      <c r="H965" s="37" t="n">
        <v>22.5</v>
      </c>
    </row>
    <row r="966">
      <c r="A966" s="37" t="inlineStr">
        <is>
          <t>GW-1018</t>
        </is>
      </c>
      <c r="B966" s="37" t="inlineStr">
        <is>
          <t>Gullwing</t>
        </is>
      </c>
      <c r="C966" s="37" t="inlineStr">
        <is>
          <t>OPEN</t>
        </is>
      </c>
      <c r="D966" s="37" t="n">
        <v>24</v>
      </c>
      <c r="E966" s="37" t="inlineStr">
        <is>
          <t>OCCUPIED</t>
        </is>
      </c>
      <c r="F966" s="37" t="inlineStr">
        <is>
          <t>WL-02941</t>
        </is>
      </c>
      <c r="G966" s="37" t="inlineStr">
        <is>
          <t>Jose Benson</t>
        </is>
      </c>
      <c r="H966" s="37" t="n">
        <v>51</v>
      </c>
    </row>
    <row r="967">
      <c r="A967" s="37" t="inlineStr">
        <is>
          <t>GW-1019</t>
        </is>
      </c>
      <c r="B967" s="37" t="inlineStr">
        <is>
          <t>Gullwing</t>
        </is>
      </c>
      <c r="C967" s="37" t="inlineStr">
        <is>
          <t>OPEN</t>
        </is>
      </c>
      <c r="D967" s="37" t="n">
        <v>45</v>
      </c>
      <c r="E967" s="37" t="inlineStr">
        <is>
          <t>OCCUPIED</t>
        </is>
      </c>
      <c r="F967" s="37" t="inlineStr">
        <is>
          <t>WL-02234</t>
        </is>
      </c>
      <c r="G967" s="37" t="inlineStr">
        <is>
          <t>Chelsea Chandler</t>
        </is>
      </c>
      <c r="H967" s="37" t="n">
        <v>42.1</v>
      </c>
    </row>
    <row r="968">
      <c r="A968" s="37" t="inlineStr">
        <is>
          <t>GW-1020</t>
        </is>
      </c>
      <c r="B968" s="37" t="inlineStr">
        <is>
          <t>Gullwing</t>
        </is>
      </c>
      <c r="C968" s="37" t="inlineStr">
        <is>
          <t>OPEN</t>
        </is>
      </c>
      <c r="D968" s="37" t="n">
        <v>32</v>
      </c>
      <c r="E968" s="37" t="inlineStr">
        <is>
          <t>OCCUPIED</t>
        </is>
      </c>
      <c r="F968" s="37" t="inlineStr">
        <is>
          <t>WL-03776</t>
        </is>
      </c>
      <c r="G968" s="37" t="inlineStr">
        <is>
          <t>Michael Beard</t>
        </is>
      </c>
      <c r="H968" s="37" t="n">
        <v>19.8</v>
      </c>
    </row>
    <row r="969">
      <c r="A969" s="37" t="inlineStr">
        <is>
          <t>GW-1021</t>
        </is>
      </c>
      <c r="B969" s="37" t="inlineStr">
        <is>
          <t>Gullwing</t>
        </is>
      </c>
      <c r="C969" s="37" t="inlineStr">
        <is>
          <t>OPEN</t>
        </is>
      </c>
      <c r="D969" s="37" t="n">
        <v>45</v>
      </c>
      <c r="E969" s="37" t="inlineStr">
        <is>
          <t>OCCUPIED</t>
        </is>
      </c>
      <c r="F969" s="37" t="inlineStr">
        <is>
          <t>WL-03394</t>
        </is>
      </c>
      <c r="G969" s="37" t="inlineStr">
        <is>
          <t>Alyssa Robinson</t>
        </is>
      </c>
      <c r="H969" s="37" t="n">
        <v>28.5</v>
      </c>
    </row>
    <row r="970">
      <c r="A970" s="37" t="inlineStr">
        <is>
          <t>GW-1022</t>
        </is>
      </c>
      <c r="B970" s="37" t="inlineStr">
        <is>
          <t>Gullwing</t>
        </is>
      </c>
      <c r="C970" s="37" t="inlineStr">
        <is>
          <t>OPEN</t>
        </is>
      </c>
      <c r="D970" s="37" t="n">
        <v>36</v>
      </c>
      <c r="E970" s="37" t="inlineStr">
        <is>
          <t>VACANT</t>
        </is>
      </c>
    </row>
    <row r="971">
      <c r="A971" s="37" t="inlineStr">
        <is>
          <t>GW-1023</t>
        </is>
      </c>
      <c r="B971" s="37" t="inlineStr">
        <is>
          <t>Gullwing</t>
        </is>
      </c>
      <c r="C971" s="37" t="inlineStr">
        <is>
          <t>OPEN</t>
        </is>
      </c>
      <c r="D971" s="37" t="n">
        <v>28</v>
      </c>
      <c r="E971" s="37" t="inlineStr">
        <is>
          <t>OCCUPIED</t>
        </is>
      </c>
      <c r="F971" s="37" t="inlineStr">
        <is>
          <t>WL-02832</t>
        </is>
      </c>
      <c r="G971" s="37" t="inlineStr">
        <is>
          <t>Mia Schwartz</t>
        </is>
      </c>
      <c r="H971" s="37" t="n">
        <v>35</v>
      </c>
    </row>
    <row r="972">
      <c r="A972" s="37" t="inlineStr">
        <is>
          <t>SB-0101</t>
        </is>
      </c>
      <c r="B972" s="37" t="inlineStr">
        <is>
          <t>Salmonberry</t>
        </is>
      </c>
      <c r="C972" s="37" t="inlineStr">
        <is>
          <t>OPEN</t>
        </is>
      </c>
      <c r="D972" s="37" t="n">
        <v>70</v>
      </c>
      <c r="E972" s="37" t="inlineStr">
        <is>
          <t>OCCUPIED</t>
        </is>
      </c>
      <c r="F972" s="37" t="inlineStr">
        <is>
          <t>WL-03060</t>
        </is>
      </c>
      <c r="G972" s="37" t="inlineStr">
        <is>
          <t>Lisa Johnson</t>
        </is>
      </c>
      <c r="H972" s="37" t="n">
        <v>27.6</v>
      </c>
    </row>
    <row r="973">
      <c r="A973" s="37" t="inlineStr">
        <is>
          <t>SB-0102</t>
        </is>
      </c>
      <c r="B973" s="37" t="inlineStr">
        <is>
          <t>Salmonberry</t>
        </is>
      </c>
      <c r="C973" s="37" t="inlineStr">
        <is>
          <t>OPEN</t>
        </is>
      </c>
      <c r="D973" s="37" t="n">
        <v>32</v>
      </c>
      <c r="E973" s="37" t="inlineStr">
        <is>
          <t>OCCUPIED</t>
        </is>
      </c>
      <c r="F973" s="37" t="inlineStr">
        <is>
          <t>WL-02851</t>
        </is>
      </c>
      <c r="G973" s="37" t="inlineStr">
        <is>
          <t>Andrew Rivera</t>
        </is>
      </c>
      <c r="H973" s="37" t="n">
        <v>44.3</v>
      </c>
    </row>
    <row r="974">
      <c r="A974" s="37" t="inlineStr">
        <is>
          <t>SB-0103</t>
        </is>
      </c>
      <c r="B974" s="37" t="inlineStr">
        <is>
          <t>Salmonberry</t>
        </is>
      </c>
      <c r="C974" s="37" t="inlineStr">
        <is>
          <t>OPEN</t>
        </is>
      </c>
      <c r="D974" s="37" t="n">
        <v>36</v>
      </c>
      <c r="E974" s="37" t="inlineStr">
        <is>
          <t>OCCUPIED</t>
        </is>
      </c>
      <c r="F974" s="37" t="inlineStr">
        <is>
          <t>WL-03155</t>
        </is>
      </c>
      <c r="G974" s="37" t="inlineStr">
        <is>
          <t>Mark Harvey</t>
        </is>
      </c>
      <c r="H974" s="37" t="n">
        <v>55.5</v>
      </c>
    </row>
    <row r="975">
      <c r="A975" s="37" t="inlineStr">
        <is>
          <t>SB-0104</t>
        </is>
      </c>
      <c r="B975" s="37" t="inlineStr">
        <is>
          <t>Salmonberry</t>
        </is>
      </c>
      <c r="C975" s="37" t="inlineStr">
        <is>
          <t>OPEN</t>
        </is>
      </c>
      <c r="D975" s="37" t="n">
        <v>50</v>
      </c>
      <c r="E975" s="37" t="inlineStr">
        <is>
          <t>OCCUPIED</t>
        </is>
      </c>
      <c r="F975" s="37" t="inlineStr">
        <is>
          <t>WL-02079</t>
        </is>
      </c>
      <c r="G975" s="37" t="inlineStr">
        <is>
          <t>Vicki Wright</t>
        </is>
      </c>
      <c r="H975" s="37" t="n">
        <v>52.4</v>
      </c>
    </row>
    <row r="976">
      <c r="A976" s="37" t="inlineStr">
        <is>
          <t>SB-0105</t>
        </is>
      </c>
      <c r="B976" s="37" t="inlineStr">
        <is>
          <t>Salmonberry</t>
        </is>
      </c>
      <c r="C976" s="37" t="inlineStr">
        <is>
          <t>OPEN</t>
        </is>
      </c>
      <c r="D976" s="37" t="n">
        <v>60</v>
      </c>
      <c r="E976" s="37" t="inlineStr">
        <is>
          <t>VACANT</t>
        </is>
      </c>
    </row>
    <row r="977">
      <c r="A977" s="37" t="inlineStr">
        <is>
          <t>SB-0106</t>
        </is>
      </c>
      <c r="B977" s="37" t="inlineStr">
        <is>
          <t>Salmonberry</t>
        </is>
      </c>
      <c r="C977" s="37" t="inlineStr">
        <is>
          <t>OPEN</t>
        </is>
      </c>
      <c r="D977" s="37" t="n">
        <v>28</v>
      </c>
      <c r="E977" s="37" t="inlineStr">
        <is>
          <t>OCCUPIED</t>
        </is>
      </c>
      <c r="F977" s="37" t="inlineStr">
        <is>
          <t>WL-03736</t>
        </is>
      </c>
      <c r="G977" s="37" t="inlineStr">
        <is>
          <t>Nicole Martinez</t>
        </is>
      </c>
      <c r="H977" s="37" t="n">
        <v>36.9</v>
      </c>
    </row>
    <row r="978">
      <c r="A978" s="37" t="inlineStr">
        <is>
          <t>SB-0107</t>
        </is>
      </c>
      <c r="B978" s="37" t="inlineStr">
        <is>
          <t>Salmonberry</t>
        </is>
      </c>
      <c r="C978" s="37" t="inlineStr">
        <is>
          <t>OPEN</t>
        </is>
      </c>
      <c r="D978" s="37" t="n">
        <v>40</v>
      </c>
      <c r="E978" s="37" t="inlineStr">
        <is>
          <t>OCCUPIED</t>
        </is>
      </c>
      <c r="F978" s="37" t="inlineStr">
        <is>
          <t>WL-02071</t>
        </is>
      </c>
      <c r="G978" s="37" t="inlineStr">
        <is>
          <t>Cameron Perry</t>
        </is>
      </c>
      <c r="H978" s="37" t="n">
        <v>47.8</v>
      </c>
    </row>
    <row r="979">
      <c r="A979" s="37" t="inlineStr">
        <is>
          <t>SB-0108</t>
        </is>
      </c>
      <c r="B979" s="37" t="inlineStr">
        <is>
          <t>Salmonberry</t>
        </is>
      </c>
      <c r="C979" s="37" t="inlineStr">
        <is>
          <t>OPEN</t>
        </is>
      </c>
      <c r="D979" s="37" t="n">
        <v>28</v>
      </c>
      <c r="E979" s="37" t="inlineStr">
        <is>
          <t>OCCUPIED</t>
        </is>
      </c>
      <c r="F979" s="37" t="inlineStr">
        <is>
          <t>WL-03452</t>
        </is>
      </c>
      <c r="G979" s="37" t="inlineStr">
        <is>
          <t>Nicole Wood</t>
        </is>
      </c>
      <c r="H979" s="37" t="n">
        <v>34</v>
      </c>
    </row>
    <row r="980">
      <c r="A980" s="37" t="inlineStr">
        <is>
          <t>SB-0109</t>
        </is>
      </c>
      <c r="B980" s="37" t="inlineStr">
        <is>
          <t>Salmonberry</t>
        </is>
      </c>
      <c r="C980" s="37" t="inlineStr">
        <is>
          <t>OPEN</t>
        </is>
      </c>
      <c r="D980" s="37" t="n">
        <v>32</v>
      </c>
      <c r="E980" s="37" t="inlineStr">
        <is>
          <t>OCCUPIED</t>
        </is>
      </c>
      <c r="F980" s="37" t="inlineStr">
        <is>
          <t>WL-03007</t>
        </is>
      </c>
      <c r="G980" s="37" t="inlineStr">
        <is>
          <t>Brandy Hart</t>
        </is>
      </c>
      <c r="H980" s="37" t="n">
        <v>24.7</v>
      </c>
    </row>
    <row r="981">
      <c r="A981" s="37" t="inlineStr">
        <is>
          <t>SB-0110</t>
        </is>
      </c>
      <c r="B981" s="37" t="inlineStr">
        <is>
          <t>Salmonberry</t>
        </is>
      </c>
      <c r="C981" s="37" t="inlineStr">
        <is>
          <t>OPEN</t>
        </is>
      </c>
      <c r="D981" s="37" t="n">
        <v>28</v>
      </c>
      <c r="E981" s="37" t="inlineStr">
        <is>
          <t>OCCUPIED</t>
        </is>
      </c>
      <c r="F981" s="37" t="inlineStr">
        <is>
          <t>WL-02641</t>
        </is>
      </c>
      <c r="G981" s="37" t="inlineStr">
        <is>
          <t>Denise Miles</t>
        </is>
      </c>
      <c r="H981" s="37" t="n">
        <v>34.6</v>
      </c>
    </row>
    <row r="982">
      <c r="A982" s="37" t="inlineStr">
        <is>
          <t>SB-0111</t>
        </is>
      </c>
      <c r="B982" s="37" t="inlineStr">
        <is>
          <t>Salmonberry</t>
        </is>
      </c>
      <c r="C982" s="37" t="inlineStr">
        <is>
          <t>OPEN</t>
        </is>
      </c>
      <c r="D982" s="37" t="n">
        <v>45</v>
      </c>
      <c r="E982" s="37" t="inlineStr">
        <is>
          <t>OCCUPIED</t>
        </is>
      </c>
      <c r="F982" s="37" t="inlineStr">
        <is>
          <t>WL-03610</t>
        </is>
      </c>
      <c r="G982" s="37" t="inlineStr">
        <is>
          <t>David Austin</t>
        </is>
      </c>
      <c r="H982" s="37" t="n">
        <v>30.5</v>
      </c>
    </row>
    <row r="983">
      <c r="A983" s="37" t="inlineStr">
        <is>
          <t>SB-0112</t>
        </is>
      </c>
      <c r="B983" s="37" t="inlineStr">
        <is>
          <t>Salmonberry</t>
        </is>
      </c>
      <c r="C983" s="37" t="inlineStr">
        <is>
          <t>OPEN</t>
        </is>
      </c>
      <c r="D983" s="37" t="n">
        <v>32</v>
      </c>
      <c r="E983" s="37" t="inlineStr">
        <is>
          <t>OCCUPIED</t>
        </is>
      </c>
      <c r="F983" s="37" t="inlineStr">
        <is>
          <t>WL-03043</t>
        </is>
      </c>
      <c r="G983" s="37" t="inlineStr">
        <is>
          <t>Donald Jones</t>
        </is>
      </c>
      <c r="H983" s="37" t="n">
        <v>49.9</v>
      </c>
    </row>
    <row r="984">
      <c r="A984" s="37" t="inlineStr">
        <is>
          <t>SB-0113</t>
        </is>
      </c>
      <c r="B984" s="37" t="inlineStr">
        <is>
          <t>Salmonberry</t>
        </is>
      </c>
      <c r="C984" s="37" t="inlineStr">
        <is>
          <t>OPEN</t>
        </is>
      </c>
      <c r="D984" s="37" t="n">
        <v>36</v>
      </c>
      <c r="E984" s="37" t="inlineStr">
        <is>
          <t>OCCUPIED</t>
        </is>
      </c>
      <c r="F984" s="37" t="inlineStr">
        <is>
          <t>WL-03490</t>
        </is>
      </c>
      <c r="G984" s="37" t="inlineStr">
        <is>
          <t>Julian Browning</t>
        </is>
      </c>
      <c r="H984" s="37" t="n">
        <v>50.7</v>
      </c>
    </row>
    <row r="985">
      <c r="A985" s="37" t="inlineStr">
        <is>
          <t>SB-0114</t>
        </is>
      </c>
      <c r="B985" s="37" t="inlineStr">
        <is>
          <t>Salmonberry</t>
        </is>
      </c>
      <c r="C985" s="37" t="inlineStr">
        <is>
          <t>OPEN</t>
        </is>
      </c>
      <c r="D985" s="37" t="n">
        <v>32</v>
      </c>
      <c r="E985" s="37" t="inlineStr">
        <is>
          <t>OCCUPIED</t>
        </is>
      </c>
      <c r="F985" s="37" t="inlineStr">
        <is>
          <t>WL-03362</t>
        </is>
      </c>
      <c r="G985" s="37" t="inlineStr">
        <is>
          <t>Crystal Porter</t>
        </is>
      </c>
      <c r="H985" s="37" t="n">
        <v>21</v>
      </c>
    </row>
    <row r="986">
      <c r="A986" s="37" t="inlineStr">
        <is>
          <t>SB-0115</t>
        </is>
      </c>
      <c r="B986" s="37" t="inlineStr">
        <is>
          <t>Salmonberry</t>
        </is>
      </c>
      <c r="C986" s="37" t="inlineStr">
        <is>
          <t>OPEN</t>
        </is>
      </c>
      <c r="D986" s="37" t="n">
        <v>24</v>
      </c>
      <c r="E986" s="37" t="inlineStr">
        <is>
          <t>OCCUPIED</t>
        </is>
      </c>
      <c r="F986" s="37" t="inlineStr">
        <is>
          <t>WL-03018</t>
        </is>
      </c>
      <c r="G986" s="37" t="inlineStr">
        <is>
          <t>Jessica Duffy</t>
        </is>
      </c>
      <c r="H986" s="37" t="n">
        <v>19.8</v>
      </c>
    </row>
    <row r="987">
      <c r="A987" s="37" t="inlineStr">
        <is>
          <t>SB-0116</t>
        </is>
      </c>
      <c r="B987" s="37" t="inlineStr">
        <is>
          <t>Salmonberry</t>
        </is>
      </c>
      <c r="C987" s="37" t="inlineStr">
        <is>
          <t>OPEN</t>
        </is>
      </c>
      <c r="D987" s="37" t="n">
        <v>70</v>
      </c>
      <c r="E987" s="37" t="inlineStr">
        <is>
          <t>OCCUPIED</t>
        </is>
      </c>
      <c r="F987" s="37" t="inlineStr">
        <is>
          <t>WL-03839</t>
        </is>
      </c>
      <c r="G987" s="37" t="inlineStr">
        <is>
          <t>Sonya May</t>
        </is>
      </c>
      <c r="H987" s="37" t="n">
        <v>43.2</v>
      </c>
    </row>
    <row r="988">
      <c r="A988" s="37" t="inlineStr">
        <is>
          <t>SB-0117</t>
        </is>
      </c>
      <c r="B988" s="37" t="inlineStr">
        <is>
          <t>Salmonberry</t>
        </is>
      </c>
      <c r="C988" s="37" t="inlineStr">
        <is>
          <t>OPEN</t>
        </is>
      </c>
      <c r="D988" s="37" t="n">
        <v>24</v>
      </c>
      <c r="E988" s="37" t="inlineStr">
        <is>
          <t>OCCUPIED</t>
        </is>
      </c>
      <c r="F988" s="37" t="inlineStr">
        <is>
          <t>WL-02959</t>
        </is>
      </c>
      <c r="G988" s="37" t="inlineStr">
        <is>
          <t>Diamond Zavala</t>
        </is>
      </c>
      <c r="H988" s="37" t="n">
        <v>31.6</v>
      </c>
    </row>
    <row r="989">
      <c r="A989" s="37" t="inlineStr">
        <is>
          <t>SB-0118</t>
        </is>
      </c>
      <c r="B989" s="37" t="inlineStr">
        <is>
          <t>Salmonberry</t>
        </is>
      </c>
      <c r="C989" s="37" t="inlineStr">
        <is>
          <t>OPEN</t>
        </is>
      </c>
      <c r="D989" s="37" t="n">
        <v>60</v>
      </c>
      <c r="E989" s="37" t="inlineStr">
        <is>
          <t>OCCUPIED</t>
        </is>
      </c>
      <c r="F989" s="37" t="inlineStr">
        <is>
          <t>WL-02380</t>
        </is>
      </c>
      <c r="G989" s="37" t="inlineStr">
        <is>
          <t>John Escobar</t>
        </is>
      </c>
      <c r="H989" s="37" t="n">
        <v>52.3</v>
      </c>
    </row>
    <row r="990">
      <c r="A990" s="37" t="inlineStr">
        <is>
          <t>SB-0119</t>
        </is>
      </c>
      <c r="B990" s="37" t="inlineStr">
        <is>
          <t>Salmonberry</t>
        </is>
      </c>
      <c r="C990" s="37" t="inlineStr">
        <is>
          <t>OPEN</t>
        </is>
      </c>
      <c r="D990" s="37" t="n">
        <v>32</v>
      </c>
      <c r="E990" s="37" t="inlineStr">
        <is>
          <t>OCCUPIED</t>
        </is>
      </c>
      <c r="F990" s="37" t="inlineStr">
        <is>
          <t>WL-02414</t>
        </is>
      </c>
      <c r="G990" s="37" t="inlineStr">
        <is>
          <t>Ashley Martinez</t>
        </is>
      </c>
      <c r="H990" s="37" t="n">
        <v>27.8</v>
      </c>
    </row>
    <row r="991">
      <c r="A991" s="37" t="inlineStr">
        <is>
          <t>SB-0120</t>
        </is>
      </c>
      <c r="B991" s="37" t="inlineStr">
        <is>
          <t>Salmonberry</t>
        </is>
      </c>
      <c r="C991" s="37" t="inlineStr">
        <is>
          <t>OPEN</t>
        </is>
      </c>
      <c r="D991" s="37" t="n">
        <v>40</v>
      </c>
      <c r="E991" s="37" t="inlineStr">
        <is>
          <t>OCCUPIED</t>
        </is>
      </c>
      <c r="F991" s="37" t="inlineStr">
        <is>
          <t>WL-03833</t>
        </is>
      </c>
      <c r="G991" s="37" t="inlineStr">
        <is>
          <t>Jenny Miller</t>
        </is>
      </c>
      <c r="H991" s="37" t="n">
        <v>57.3</v>
      </c>
    </row>
    <row r="992">
      <c r="A992" s="37" t="inlineStr">
        <is>
          <t>SB-0121</t>
        </is>
      </c>
      <c r="B992" s="37" t="inlineStr">
        <is>
          <t>Salmonberry</t>
        </is>
      </c>
      <c r="C992" s="37" t="inlineStr">
        <is>
          <t>OPEN</t>
        </is>
      </c>
      <c r="D992" s="37" t="n">
        <v>80</v>
      </c>
      <c r="E992" s="37" t="inlineStr">
        <is>
          <t>OCCUPIED</t>
        </is>
      </c>
      <c r="F992" s="37" t="inlineStr">
        <is>
          <t>WL-02392</t>
        </is>
      </c>
      <c r="G992" s="37" t="inlineStr">
        <is>
          <t>Michael Jones</t>
        </is>
      </c>
      <c r="H992" s="37" t="n">
        <v>53.4</v>
      </c>
    </row>
    <row r="993">
      <c r="A993" s="37" t="inlineStr">
        <is>
          <t>SB-0122</t>
        </is>
      </c>
      <c r="B993" s="37" t="inlineStr">
        <is>
          <t>Salmonberry</t>
        </is>
      </c>
      <c r="C993" s="37" t="inlineStr">
        <is>
          <t>OPEN</t>
        </is>
      </c>
      <c r="D993" s="37" t="n">
        <v>24</v>
      </c>
      <c r="E993" s="37" t="inlineStr">
        <is>
          <t>OCCUPIED</t>
        </is>
      </c>
      <c r="F993" s="37" t="inlineStr">
        <is>
          <t>WL-03856</t>
        </is>
      </c>
      <c r="G993" s="37" t="inlineStr">
        <is>
          <t>Taylor Ross</t>
        </is>
      </c>
      <c r="H993" s="37" t="n">
        <v>23.5</v>
      </c>
    </row>
    <row r="994">
      <c r="A994" s="37" t="inlineStr">
        <is>
          <t>SB-0123</t>
        </is>
      </c>
      <c r="B994" s="37" t="inlineStr">
        <is>
          <t>Salmonberry</t>
        </is>
      </c>
      <c r="C994" s="37" t="inlineStr">
        <is>
          <t>OPEN</t>
        </is>
      </c>
      <c r="D994" s="37" t="n">
        <v>45</v>
      </c>
      <c r="E994" s="37" t="inlineStr">
        <is>
          <t>VACANT</t>
        </is>
      </c>
    </row>
    <row r="995">
      <c r="A995" s="37" t="inlineStr">
        <is>
          <t>SB-0124</t>
        </is>
      </c>
      <c r="B995" s="37" t="inlineStr">
        <is>
          <t>Salmonberry</t>
        </is>
      </c>
      <c r="C995" s="37" t="inlineStr">
        <is>
          <t>OPEN</t>
        </is>
      </c>
      <c r="D995" s="37" t="n">
        <v>80</v>
      </c>
      <c r="E995" s="37" t="inlineStr">
        <is>
          <t>MAINTENANCE</t>
        </is>
      </c>
    </row>
    <row r="996">
      <c r="A996" s="37" t="inlineStr">
        <is>
          <t>SB-0201</t>
        </is>
      </c>
      <c r="B996" s="37" t="inlineStr">
        <is>
          <t>Salmonberry</t>
        </is>
      </c>
      <c r="C996" s="37" t="inlineStr">
        <is>
          <t>OPEN</t>
        </is>
      </c>
      <c r="D996" s="37" t="n">
        <v>32</v>
      </c>
      <c r="E996" s="37" t="inlineStr">
        <is>
          <t>OCCUPIED</t>
        </is>
      </c>
      <c r="F996" s="37" t="inlineStr">
        <is>
          <t>WL-01401</t>
        </is>
      </c>
      <c r="G996" s="37" t="inlineStr">
        <is>
          <t>Douglas Thompson</t>
        </is>
      </c>
      <c r="H996" s="37" t="n">
        <v>39.8</v>
      </c>
    </row>
    <row r="997">
      <c r="A997" s="37" t="inlineStr">
        <is>
          <t>SB-0202</t>
        </is>
      </c>
      <c r="B997" s="37" t="inlineStr">
        <is>
          <t>Salmonberry</t>
        </is>
      </c>
      <c r="C997" s="37" t="inlineStr">
        <is>
          <t>OPEN</t>
        </is>
      </c>
      <c r="D997" s="37" t="n">
        <v>80</v>
      </c>
      <c r="E997" s="37" t="inlineStr">
        <is>
          <t>OCCUPIED</t>
        </is>
      </c>
      <c r="F997" s="37" t="inlineStr">
        <is>
          <t>WL-03158</t>
        </is>
      </c>
      <c r="G997" s="37" t="inlineStr">
        <is>
          <t>Andrea Lopez</t>
        </is>
      </c>
      <c r="H997" s="37" t="n">
        <v>57.9</v>
      </c>
    </row>
    <row r="998">
      <c r="A998" s="37" t="inlineStr">
        <is>
          <t>SB-0203</t>
        </is>
      </c>
      <c r="B998" s="37" t="inlineStr">
        <is>
          <t>Salmonberry</t>
        </is>
      </c>
      <c r="C998" s="37" t="inlineStr">
        <is>
          <t>OPEN</t>
        </is>
      </c>
      <c r="D998" s="37" t="n">
        <v>36</v>
      </c>
      <c r="E998" s="37" t="inlineStr">
        <is>
          <t>VACANT</t>
        </is>
      </c>
    </row>
    <row r="999">
      <c r="A999" s="37" t="inlineStr">
        <is>
          <t>SB-0204</t>
        </is>
      </c>
      <c r="B999" s="37" t="inlineStr">
        <is>
          <t>Salmonberry</t>
        </is>
      </c>
      <c r="C999" s="37" t="inlineStr">
        <is>
          <t>OPEN</t>
        </is>
      </c>
      <c r="D999" s="37" t="n">
        <v>32</v>
      </c>
      <c r="E999" s="37" t="inlineStr">
        <is>
          <t>OCCUPIED</t>
        </is>
      </c>
      <c r="F999" s="37" t="inlineStr">
        <is>
          <t>WL-01704</t>
        </is>
      </c>
      <c r="G999" s="37" t="inlineStr">
        <is>
          <t>Justin Horn</t>
        </is>
      </c>
      <c r="H999" s="37" t="n">
        <v>24.6</v>
      </c>
    </row>
    <row r="1000">
      <c r="A1000" s="37" t="inlineStr">
        <is>
          <t>SB-0205</t>
        </is>
      </c>
      <c r="B1000" s="37" t="inlineStr">
        <is>
          <t>Salmonberry</t>
        </is>
      </c>
      <c r="C1000" s="37" t="inlineStr">
        <is>
          <t>OPEN</t>
        </is>
      </c>
      <c r="D1000" s="37" t="n">
        <v>45</v>
      </c>
      <c r="E1000" s="37" t="inlineStr">
        <is>
          <t>OCCUPIED</t>
        </is>
      </c>
      <c r="F1000" s="37" t="inlineStr">
        <is>
          <t>WL-03840</t>
        </is>
      </c>
      <c r="G1000" s="37" t="inlineStr">
        <is>
          <t>David Davis</t>
        </is>
      </c>
      <c r="H1000" s="37" t="n">
        <v>48.4</v>
      </c>
    </row>
    <row r="1001">
      <c r="A1001" s="37" t="inlineStr">
        <is>
          <t>SB-0206</t>
        </is>
      </c>
      <c r="B1001" s="37" t="inlineStr">
        <is>
          <t>Salmonberry</t>
        </is>
      </c>
      <c r="C1001" s="37" t="inlineStr">
        <is>
          <t>OPEN</t>
        </is>
      </c>
      <c r="D1001" s="37" t="n">
        <v>32</v>
      </c>
      <c r="E1001" s="37" t="inlineStr">
        <is>
          <t>OCCUPIED</t>
        </is>
      </c>
      <c r="F1001" s="37" t="inlineStr">
        <is>
          <t>WL-02300</t>
        </is>
      </c>
      <c r="G1001" s="37" t="inlineStr">
        <is>
          <t>Carolyn Murray</t>
        </is>
      </c>
      <c r="H1001" s="37" t="n">
        <v>27.3</v>
      </c>
    </row>
    <row r="1002">
      <c r="A1002" s="37" t="inlineStr">
        <is>
          <t>SB-0207</t>
        </is>
      </c>
      <c r="B1002" s="37" t="inlineStr">
        <is>
          <t>Salmonberry</t>
        </is>
      </c>
      <c r="C1002" s="37" t="inlineStr">
        <is>
          <t>OPEN</t>
        </is>
      </c>
      <c r="D1002" s="37" t="n">
        <v>24</v>
      </c>
      <c r="E1002" s="37" t="inlineStr">
        <is>
          <t>OCCUPIED</t>
        </is>
      </c>
      <c r="F1002" s="37" t="inlineStr">
        <is>
          <t>WL-02285</t>
        </is>
      </c>
      <c r="G1002" s="37" t="inlineStr">
        <is>
          <t>Brian Scott</t>
        </is>
      </c>
      <c r="H1002" s="37" t="n">
        <v>46</v>
      </c>
    </row>
    <row r="1003">
      <c r="A1003" s="37" t="inlineStr">
        <is>
          <t>SB-0208</t>
        </is>
      </c>
      <c r="B1003" s="37" t="inlineStr">
        <is>
          <t>Salmonberry</t>
        </is>
      </c>
      <c r="C1003" s="37" t="inlineStr">
        <is>
          <t>OPEN</t>
        </is>
      </c>
      <c r="D1003" s="37" t="n">
        <v>24</v>
      </c>
      <c r="E1003" s="37" t="inlineStr">
        <is>
          <t>OCCUPIED</t>
        </is>
      </c>
      <c r="F1003" s="37" t="inlineStr">
        <is>
          <t>WL-01383</t>
        </is>
      </c>
      <c r="G1003" s="37" t="inlineStr">
        <is>
          <t>Donna Henderson</t>
        </is>
      </c>
      <c r="H1003" s="37" t="n">
        <v>27.6</v>
      </c>
    </row>
    <row r="1004">
      <c r="A1004" s="37" t="inlineStr">
        <is>
          <t>SB-0209</t>
        </is>
      </c>
      <c r="B1004" s="37" t="inlineStr">
        <is>
          <t>Salmonberry</t>
        </is>
      </c>
      <c r="C1004" s="37" t="inlineStr">
        <is>
          <t>OPEN</t>
        </is>
      </c>
      <c r="D1004" s="37" t="n">
        <v>24</v>
      </c>
      <c r="E1004" s="37" t="inlineStr">
        <is>
          <t>OCCUPIED</t>
        </is>
      </c>
      <c r="F1004" s="37" t="inlineStr">
        <is>
          <t>WL-01114</t>
        </is>
      </c>
      <c r="G1004" s="37" t="inlineStr">
        <is>
          <t>Dustin Lambert</t>
        </is>
      </c>
      <c r="H1004" s="37" t="n">
        <v>46.5</v>
      </c>
    </row>
    <row r="1005">
      <c r="A1005" s="37" t="inlineStr">
        <is>
          <t>SB-0210</t>
        </is>
      </c>
      <c r="B1005" s="37" t="inlineStr">
        <is>
          <t>Salmonberry</t>
        </is>
      </c>
      <c r="C1005" s="37" t="inlineStr">
        <is>
          <t>OPEN</t>
        </is>
      </c>
      <c r="D1005" s="37" t="n">
        <v>24</v>
      </c>
      <c r="E1005" s="37" t="inlineStr">
        <is>
          <t>OCCUPIED</t>
        </is>
      </c>
      <c r="F1005" s="37" t="inlineStr">
        <is>
          <t>WL-03463</t>
        </is>
      </c>
      <c r="G1005" s="37" t="inlineStr">
        <is>
          <t>Chris Dixon</t>
        </is>
      </c>
      <c r="H1005" s="37" t="n">
        <v>39.1</v>
      </c>
    </row>
    <row r="1006">
      <c r="A1006" s="37" t="inlineStr">
        <is>
          <t>SB-0211</t>
        </is>
      </c>
      <c r="B1006" s="37" t="inlineStr">
        <is>
          <t>Salmonberry</t>
        </is>
      </c>
      <c r="C1006" s="37" t="inlineStr">
        <is>
          <t>OPEN</t>
        </is>
      </c>
      <c r="D1006" s="37" t="n">
        <v>45</v>
      </c>
      <c r="E1006" s="37" t="inlineStr">
        <is>
          <t>OCCUPIED</t>
        </is>
      </c>
      <c r="F1006" s="37" t="inlineStr">
        <is>
          <t>WL-01011</t>
        </is>
      </c>
      <c r="G1006" s="37" t="inlineStr">
        <is>
          <t>Kristen Hughes</t>
        </is>
      </c>
      <c r="H1006" s="37" t="n">
        <v>60.3</v>
      </c>
    </row>
    <row r="1007">
      <c r="A1007" s="37" t="inlineStr">
        <is>
          <t>SB-0212</t>
        </is>
      </c>
      <c r="B1007" s="37" t="inlineStr">
        <is>
          <t>Salmonberry</t>
        </is>
      </c>
      <c r="C1007" s="37" t="inlineStr">
        <is>
          <t>OPEN</t>
        </is>
      </c>
      <c r="D1007" s="37" t="n">
        <v>32</v>
      </c>
      <c r="E1007" s="37" t="inlineStr">
        <is>
          <t>OCCUPIED</t>
        </is>
      </c>
      <c r="F1007" s="37" t="inlineStr">
        <is>
          <t>WL-02204</t>
        </is>
      </c>
      <c r="G1007" s="37" t="inlineStr">
        <is>
          <t>Julia Hansen</t>
        </is>
      </c>
      <c r="H1007" s="37" t="n">
        <v>58.9</v>
      </c>
    </row>
    <row r="1008">
      <c r="A1008" s="37" t="inlineStr">
        <is>
          <t>SB-0213</t>
        </is>
      </c>
      <c r="B1008" s="37" t="inlineStr">
        <is>
          <t>Salmonberry</t>
        </is>
      </c>
      <c r="C1008" s="37" t="inlineStr">
        <is>
          <t>OPEN</t>
        </is>
      </c>
      <c r="D1008" s="37" t="n">
        <v>40</v>
      </c>
      <c r="E1008" s="37" t="inlineStr">
        <is>
          <t>OCCUPIED</t>
        </is>
      </c>
      <c r="F1008" s="37" t="inlineStr">
        <is>
          <t>WL-01573</t>
        </is>
      </c>
      <c r="G1008" s="37" t="inlineStr">
        <is>
          <t>Benjamin Jimenez</t>
        </is>
      </c>
      <c r="H1008" s="37" t="n">
        <v>22.7</v>
      </c>
    </row>
    <row r="1009">
      <c r="A1009" s="37" t="inlineStr">
        <is>
          <t>SB-0214</t>
        </is>
      </c>
      <c r="B1009" s="37" t="inlineStr">
        <is>
          <t>Salmonberry</t>
        </is>
      </c>
      <c r="C1009" s="37" t="inlineStr">
        <is>
          <t>OPEN</t>
        </is>
      </c>
      <c r="D1009" s="37" t="n">
        <v>28</v>
      </c>
      <c r="E1009" s="37" t="inlineStr">
        <is>
          <t>OCCUPIED</t>
        </is>
      </c>
      <c r="F1009" s="37" t="inlineStr">
        <is>
          <t>WL-01611</t>
        </is>
      </c>
      <c r="G1009" s="37" t="inlineStr">
        <is>
          <t>Joshua Diaz</t>
        </is>
      </c>
      <c r="H1009" s="37" t="n">
        <v>58.1</v>
      </c>
    </row>
    <row r="1010">
      <c r="A1010" s="37" t="inlineStr">
        <is>
          <t>SB-0215</t>
        </is>
      </c>
      <c r="B1010" s="37" t="inlineStr">
        <is>
          <t>Salmonberry</t>
        </is>
      </c>
      <c r="C1010" s="37" t="inlineStr">
        <is>
          <t>OPEN</t>
        </is>
      </c>
      <c r="D1010" s="37" t="n">
        <v>70</v>
      </c>
      <c r="E1010" s="37" t="inlineStr">
        <is>
          <t>OCCUPIED</t>
        </is>
      </c>
      <c r="F1010" s="37" t="inlineStr">
        <is>
          <t>WL-03513</t>
        </is>
      </c>
      <c r="G1010" s="37" t="inlineStr">
        <is>
          <t>Rose Lee</t>
        </is>
      </c>
      <c r="H1010" s="37" t="n">
        <v>47.1</v>
      </c>
    </row>
    <row r="1011">
      <c r="A1011" s="37" t="inlineStr">
        <is>
          <t>SB-0216</t>
        </is>
      </c>
      <c r="B1011" s="37" t="inlineStr">
        <is>
          <t>Salmonberry</t>
        </is>
      </c>
      <c r="C1011" s="37" t="inlineStr">
        <is>
          <t>OPEN</t>
        </is>
      </c>
      <c r="D1011" s="37" t="n">
        <v>28</v>
      </c>
      <c r="E1011" s="37" t="inlineStr">
        <is>
          <t>OCCUPIED</t>
        </is>
      </c>
      <c r="F1011" s="37" t="inlineStr">
        <is>
          <t>WL-01900</t>
        </is>
      </c>
      <c r="G1011" s="37" t="inlineStr">
        <is>
          <t>Nancy Guerrero</t>
        </is>
      </c>
      <c r="H1011" s="37" t="n">
        <v>37.5</v>
      </c>
    </row>
    <row r="1012">
      <c r="A1012" s="37" t="inlineStr">
        <is>
          <t>SB-0217</t>
        </is>
      </c>
      <c r="B1012" s="37" t="inlineStr">
        <is>
          <t>Salmonberry</t>
        </is>
      </c>
      <c r="C1012" s="37" t="inlineStr">
        <is>
          <t>OPEN</t>
        </is>
      </c>
      <c r="D1012" s="37" t="n">
        <v>50</v>
      </c>
      <c r="E1012" s="37" t="inlineStr">
        <is>
          <t>OCCUPIED</t>
        </is>
      </c>
      <c r="F1012" s="37" t="inlineStr">
        <is>
          <t>WL-03724</t>
        </is>
      </c>
      <c r="G1012" s="37" t="inlineStr">
        <is>
          <t>Ryan Garza</t>
        </is>
      </c>
      <c r="H1012" s="37" t="n">
        <v>44.2</v>
      </c>
    </row>
    <row r="1013">
      <c r="A1013" s="37" t="inlineStr">
        <is>
          <t>SB-0218</t>
        </is>
      </c>
      <c r="B1013" s="37" t="inlineStr">
        <is>
          <t>Salmonberry</t>
        </is>
      </c>
      <c r="C1013" s="37" t="inlineStr">
        <is>
          <t>OPEN</t>
        </is>
      </c>
      <c r="D1013" s="37" t="n">
        <v>50</v>
      </c>
      <c r="E1013" s="37" t="inlineStr">
        <is>
          <t>OCCUPIED</t>
        </is>
      </c>
      <c r="F1013" s="37" t="inlineStr">
        <is>
          <t>WL-03103</t>
        </is>
      </c>
      <c r="G1013" s="37" t="inlineStr">
        <is>
          <t>Thomas Roman</t>
        </is>
      </c>
      <c r="H1013" s="37" t="n">
        <v>48.8</v>
      </c>
    </row>
    <row r="1014">
      <c r="A1014" s="37" t="inlineStr">
        <is>
          <t>SB-0219</t>
        </is>
      </c>
      <c r="B1014" s="37" t="inlineStr">
        <is>
          <t>Salmonberry</t>
        </is>
      </c>
      <c r="C1014" s="37" t="inlineStr">
        <is>
          <t>OPEN</t>
        </is>
      </c>
      <c r="D1014" s="37" t="n">
        <v>28</v>
      </c>
      <c r="E1014" s="37" t="inlineStr">
        <is>
          <t>OCCUPIED</t>
        </is>
      </c>
      <c r="F1014" s="37" t="inlineStr">
        <is>
          <t>WL-03588</t>
        </is>
      </c>
      <c r="G1014" s="37" t="inlineStr">
        <is>
          <t>Angela Olson</t>
        </is>
      </c>
      <c r="H1014" s="37" t="n">
        <v>51.5</v>
      </c>
    </row>
    <row r="1015">
      <c r="A1015" s="37" t="inlineStr">
        <is>
          <t>SB-0220</t>
        </is>
      </c>
      <c r="B1015" s="37" t="inlineStr">
        <is>
          <t>Salmonberry</t>
        </is>
      </c>
      <c r="C1015" s="37" t="inlineStr">
        <is>
          <t>OPEN</t>
        </is>
      </c>
      <c r="D1015" s="37" t="n">
        <v>40</v>
      </c>
      <c r="E1015" s="37" t="inlineStr">
        <is>
          <t>OCCUPIED</t>
        </is>
      </c>
      <c r="F1015" s="37" t="inlineStr">
        <is>
          <t>WL-02617</t>
        </is>
      </c>
      <c r="G1015" s="37" t="inlineStr">
        <is>
          <t>Shane Lozano</t>
        </is>
      </c>
      <c r="H1015" s="37" t="n">
        <v>26.4</v>
      </c>
    </row>
    <row r="1016">
      <c r="A1016" s="37" t="inlineStr">
        <is>
          <t>SB-0221</t>
        </is>
      </c>
      <c r="B1016" s="37" t="inlineStr">
        <is>
          <t>Salmonberry</t>
        </is>
      </c>
      <c r="C1016" s="37" t="inlineStr">
        <is>
          <t>OPEN</t>
        </is>
      </c>
      <c r="D1016" s="37" t="n">
        <v>50</v>
      </c>
      <c r="E1016" s="37" t="inlineStr">
        <is>
          <t>RESERVED</t>
        </is>
      </c>
    </row>
    <row r="1017">
      <c r="A1017" s="37" t="inlineStr">
        <is>
          <t>SB-0222</t>
        </is>
      </c>
      <c r="B1017" s="37" t="inlineStr">
        <is>
          <t>Salmonberry</t>
        </is>
      </c>
      <c r="C1017" s="37" t="inlineStr">
        <is>
          <t>OPEN</t>
        </is>
      </c>
      <c r="D1017" s="37" t="n">
        <v>32</v>
      </c>
      <c r="E1017" s="37" t="inlineStr">
        <is>
          <t>OCCUPIED</t>
        </is>
      </c>
      <c r="F1017" s="37" t="inlineStr">
        <is>
          <t>WL-02483</t>
        </is>
      </c>
      <c r="G1017" s="37" t="inlineStr">
        <is>
          <t>Benjamin Gomez</t>
        </is>
      </c>
      <c r="H1017" s="37" t="n">
        <v>23.2</v>
      </c>
    </row>
    <row r="1018">
      <c r="A1018" s="37" t="inlineStr">
        <is>
          <t>SB-0223</t>
        </is>
      </c>
      <c r="B1018" s="37" t="inlineStr">
        <is>
          <t>Salmonberry</t>
        </is>
      </c>
      <c r="C1018" s="37" t="inlineStr">
        <is>
          <t>OPEN</t>
        </is>
      </c>
      <c r="D1018" s="37" t="n">
        <v>80</v>
      </c>
      <c r="E1018" s="37" t="inlineStr">
        <is>
          <t>OCCUPIED</t>
        </is>
      </c>
      <c r="F1018" s="37" t="inlineStr">
        <is>
          <t>WL-03116</t>
        </is>
      </c>
      <c r="G1018" s="37" t="inlineStr">
        <is>
          <t>Anthony Kennedy</t>
        </is>
      </c>
      <c r="H1018" s="37" t="n">
        <v>48.6</v>
      </c>
    </row>
    <row r="1019">
      <c r="A1019" s="37" t="inlineStr">
        <is>
          <t>SB-0224</t>
        </is>
      </c>
      <c r="B1019" s="37" t="inlineStr">
        <is>
          <t>Salmonberry</t>
        </is>
      </c>
      <c r="C1019" s="37" t="inlineStr">
        <is>
          <t>OPEN</t>
        </is>
      </c>
      <c r="D1019" s="37" t="n">
        <v>32</v>
      </c>
      <c r="E1019" s="37" t="inlineStr">
        <is>
          <t>OCCUPIED</t>
        </is>
      </c>
      <c r="F1019" s="37" t="inlineStr">
        <is>
          <t>WL-01960</t>
        </is>
      </c>
      <c r="G1019" s="37" t="inlineStr">
        <is>
          <t>Sean Smith</t>
        </is>
      </c>
      <c r="H1019" s="37" t="n">
        <v>30.9</v>
      </c>
    </row>
    <row r="1020">
      <c r="A1020" s="37" t="inlineStr">
        <is>
          <t>SB-0301</t>
        </is>
      </c>
      <c r="B1020" s="37" t="inlineStr">
        <is>
          <t>Salmonberry</t>
        </is>
      </c>
      <c r="C1020" s="37" t="inlineStr">
        <is>
          <t>OPEN</t>
        </is>
      </c>
      <c r="D1020" s="37" t="n">
        <v>70</v>
      </c>
      <c r="E1020" s="37" t="inlineStr">
        <is>
          <t>OCCUPIED</t>
        </is>
      </c>
      <c r="F1020" s="37" t="inlineStr">
        <is>
          <t>WL-03355</t>
        </is>
      </c>
      <c r="G1020" s="37" t="inlineStr">
        <is>
          <t>Sarah King</t>
        </is>
      </c>
      <c r="H1020" s="37" t="n">
        <v>57.4</v>
      </c>
    </row>
    <row r="1021">
      <c r="A1021" s="37" t="inlineStr">
        <is>
          <t>SB-0302</t>
        </is>
      </c>
      <c r="B1021" s="37" t="inlineStr">
        <is>
          <t>Salmonberry</t>
        </is>
      </c>
      <c r="C1021" s="37" t="inlineStr">
        <is>
          <t>OPEN</t>
        </is>
      </c>
      <c r="D1021" s="37" t="n">
        <v>28</v>
      </c>
      <c r="E1021" s="37" t="inlineStr">
        <is>
          <t>OCCUPIED</t>
        </is>
      </c>
      <c r="F1021" s="37" t="inlineStr">
        <is>
          <t>WL-01068</t>
        </is>
      </c>
      <c r="G1021" s="37" t="inlineStr">
        <is>
          <t>Charles Thomas</t>
        </is>
      </c>
      <c r="H1021" s="37" t="n">
        <v>20.7</v>
      </c>
    </row>
    <row r="1022">
      <c r="A1022" s="37" t="inlineStr">
        <is>
          <t>SB-0303</t>
        </is>
      </c>
      <c r="B1022" s="37" t="inlineStr">
        <is>
          <t>Salmonberry</t>
        </is>
      </c>
      <c r="C1022" s="37" t="inlineStr">
        <is>
          <t>OPEN</t>
        </is>
      </c>
      <c r="D1022" s="37" t="n">
        <v>24</v>
      </c>
      <c r="E1022" s="37" t="inlineStr">
        <is>
          <t>OCCUPIED</t>
        </is>
      </c>
      <c r="F1022" s="37" t="inlineStr">
        <is>
          <t>WL-03829</t>
        </is>
      </c>
      <c r="G1022" s="37" t="inlineStr">
        <is>
          <t>Ana Christian</t>
        </is>
      </c>
      <c r="H1022" s="37" t="n">
        <v>30</v>
      </c>
    </row>
    <row r="1023">
      <c r="A1023" s="37" t="inlineStr">
        <is>
          <t>SB-0304</t>
        </is>
      </c>
      <c r="B1023" s="37" t="inlineStr">
        <is>
          <t>Salmonberry</t>
        </is>
      </c>
      <c r="C1023" s="37" t="inlineStr">
        <is>
          <t>OPEN</t>
        </is>
      </c>
      <c r="D1023" s="37" t="n">
        <v>24</v>
      </c>
      <c r="E1023" s="37" t="inlineStr">
        <is>
          <t>OCCUPIED</t>
        </is>
      </c>
      <c r="F1023" s="37" t="inlineStr">
        <is>
          <t>WL-03729</t>
        </is>
      </c>
      <c r="G1023" s="37" t="inlineStr">
        <is>
          <t>Sara Jackson</t>
        </is>
      </c>
      <c r="H1023" s="37" t="n">
        <v>58.1</v>
      </c>
    </row>
    <row r="1024">
      <c r="A1024" s="37" t="inlineStr">
        <is>
          <t>SB-0305</t>
        </is>
      </c>
      <c r="B1024" s="37" t="inlineStr">
        <is>
          <t>Salmonberry</t>
        </is>
      </c>
      <c r="C1024" s="37" t="inlineStr">
        <is>
          <t>OPEN</t>
        </is>
      </c>
      <c r="D1024" s="37" t="n">
        <v>70</v>
      </c>
      <c r="E1024" s="37" t="inlineStr">
        <is>
          <t>OCCUPIED</t>
        </is>
      </c>
      <c r="F1024" s="37" t="inlineStr">
        <is>
          <t>WL-03660</t>
        </is>
      </c>
      <c r="G1024" s="37" t="inlineStr">
        <is>
          <t>David Sutton</t>
        </is>
      </c>
      <c r="H1024" s="37" t="n">
        <v>58.3</v>
      </c>
    </row>
    <row r="1025">
      <c r="A1025" s="37" t="inlineStr">
        <is>
          <t>SB-0306</t>
        </is>
      </c>
      <c r="B1025" s="37" t="inlineStr">
        <is>
          <t>Salmonberry</t>
        </is>
      </c>
      <c r="C1025" s="37" t="inlineStr">
        <is>
          <t>OPEN</t>
        </is>
      </c>
      <c r="D1025" s="37" t="n">
        <v>70</v>
      </c>
      <c r="E1025" s="37" t="inlineStr">
        <is>
          <t>OCCUPIED</t>
        </is>
      </c>
      <c r="F1025" s="37" t="inlineStr">
        <is>
          <t>WL-03658</t>
        </is>
      </c>
      <c r="G1025" s="37" t="inlineStr">
        <is>
          <t>William Washington</t>
        </is>
      </c>
      <c r="H1025" s="37" t="n">
        <v>35.4</v>
      </c>
    </row>
    <row r="1026">
      <c r="A1026" s="37" t="inlineStr">
        <is>
          <t>SB-0307</t>
        </is>
      </c>
      <c r="B1026" s="37" t="inlineStr">
        <is>
          <t>Salmonberry</t>
        </is>
      </c>
      <c r="C1026" s="37" t="inlineStr">
        <is>
          <t>OPEN</t>
        </is>
      </c>
      <c r="D1026" s="37" t="n">
        <v>32</v>
      </c>
      <c r="E1026" s="37" t="inlineStr">
        <is>
          <t>OCCUPIED</t>
        </is>
      </c>
      <c r="F1026" s="37" t="inlineStr">
        <is>
          <t>WL-02216</t>
        </is>
      </c>
      <c r="G1026" s="37" t="inlineStr">
        <is>
          <t>Michael Diaz</t>
        </is>
      </c>
      <c r="H1026" s="37" t="n">
        <v>60.3</v>
      </c>
    </row>
    <row r="1027">
      <c r="A1027" s="37" t="inlineStr">
        <is>
          <t>SB-0308</t>
        </is>
      </c>
      <c r="B1027" s="37" t="inlineStr">
        <is>
          <t>Salmonberry</t>
        </is>
      </c>
      <c r="C1027" s="37" t="inlineStr">
        <is>
          <t>OPEN</t>
        </is>
      </c>
      <c r="D1027" s="37" t="n">
        <v>50</v>
      </c>
      <c r="E1027" s="37" t="inlineStr">
        <is>
          <t>OCCUPIED</t>
        </is>
      </c>
      <c r="F1027" s="37" t="inlineStr">
        <is>
          <t>WL-02849</t>
        </is>
      </c>
      <c r="G1027" s="37" t="inlineStr">
        <is>
          <t>Peter Johnson</t>
        </is>
      </c>
      <c r="H1027" s="37" t="n">
        <v>20.9</v>
      </c>
    </row>
    <row r="1028">
      <c r="A1028" s="37" t="inlineStr">
        <is>
          <t>SB-0309</t>
        </is>
      </c>
      <c r="B1028" s="37" t="inlineStr">
        <is>
          <t>Salmonberry</t>
        </is>
      </c>
      <c r="C1028" s="37" t="inlineStr">
        <is>
          <t>OPEN</t>
        </is>
      </c>
      <c r="D1028" s="37" t="n">
        <v>40</v>
      </c>
      <c r="E1028" s="37" t="inlineStr">
        <is>
          <t>OCCUPIED</t>
        </is>
      </c>
      <c r="F1028" s="37" t="inlineStr">
        <is>
          <t>WL-03557</t>
        </is>
      </c>
      <c r="G1028" s="37" t="inlineStr">
        <is>
          <t>Tiffany Smith</t>
        </is>
      </c>
      <c r="H1028" s="37" t="n">
        <v>26.6</v>
      </c>
    </row>
    <row r="1029">
      <c r="A1029" s="37" t="inlineStr">
        <is>
          <t>SB-0310</t>
        </is>
      </c>
      <c r="B1029" s="37" t="inlineStr">
        <is>
          <t>Salmonberry</t>
        </is>
      </c>
      <c r="C1029" s="37" t="inlineStr">
        <is>
          <t>OPEN</t>
        </is>
      </c>
      <c r="D1029" s="37" t="n">
        <v>70</v>
      </c>
      <c r="E1029" s="37" t="inlineStr">
        <is>
          <t>RESERVED</t>
        </is>
      </c>
    </row>
    <row r="1030">
      <c r="A1030" s="37" t="inlineStr">
        <is>
          <t>SB-0311</t>
        </is>
      </c>
      <c r="B1030" s="37" t="inlineStr">
        <is>
          <t>Salmonberry</t>
        </is>
      </c>
      <c r="C1030" s="37" t="inlineStr">
        <is>
          <t>OPEN</t>
        </is>
      </c>
      <c r="D1030" s="37" t="n">
        <v>28</v>
      </c>
      <c r="E1030" s="37" t="inlineStr">
        <is>
          <t>OCCUPIED</t>
        </is>
      </c>
      <c r="F1030" s="37" t="inlineStr">
        <is>
          <t>WL-03282</t>
        </is>
      </c>
      <c r="G1030" s="37" t="inlineStr">
        <is>
          <t>Jillian Curry</t>
        </is>
      </c>
      <c r="H1030" s="37" t="n">
        <v>43.8</v>
      </c>
    </row>
    <row r="1031">
      <c r="A1031" s="37" t="inlineStr">
        <is>
          <t>SB-0312</t>
        </is>
      </c>
      <c r="B1031" s="37" t="inlineStr">
        <is>
          <t>Salmonberry</t>
        </is>
      </c>
      <c r="C1031" s="37" t="inlineStr">
        <is>
          <t>OPEN</t>
        </is>
      </c>
      <c r="D1031" s="37" t="n">
        <v>50</v>
      </c>
      <c r="E1031" s="37" t="inlineStr">
        <is>
          <t>OCCUPIED</t>
        </is>
      </c>
      <c r="F1031" s="37" t="inlineStr">
        <is>
          <t>WL-02507</t>
        </is>
      </c>
      <c r="G1031" s="37" t="inlineStr">
        <is>
          <t>Erin Morris</t>
        </is>
      </c>
      <c r="H1031" s="37" t="n">
        <v>37.7</v>
      </c>
    </row>
    <row r="1032">
      <c r="A1032" s="37" t="inlineStr">
        <is>
          <t>SB-0313</t>
        </is>
      </c>
      <c r="B1032" s="37" t="inlineStr">
        <is>
          <t>Salmonberry</t>
        </is>
      </c>
      <c r="C1032" s="37" t="inlineStr">
        <is>
          <t>OPEN</t>
        </is>
      </c>
      <c r="D1032" s="37" t="n">
        <v>24</v>
      </c>
      <c r="E1032" s="37" t="inlineStr">
        <is>
          <t>OCCUPIED</t>
        </is>
      </c>
      <c r="F1032" s="37" t="inlineStr">
        <is>
          <t>WL-02129</t>
        </is>
      </c>
      <c r="G1032" s="37" t="inlineStr">
        <is>
          <t>Lisa Palmer</t>
        </is>
      </c>
      <c r="H1032" s="37" t="n">
        <v>52.1</v>
      </c>
    </row>
    <row r="1033">
      <c r="A1033" s="37" t="inlineStr">
        <is>
          <t>SB-0314</t>
        </is>
      </c>
      <c r="B1033" s="37" t="inlineStr">
        <is>
          <t>Salmonberry</t>
        </is>
      </c>
      <c r="C1033" s="37" t="inlineStr">
        <is>
          <t>OPEN</t>
        </is>
      </c>
      <c r="D1033" s="37" t="n">
        <v>70</v>
      </c>
      <c r="E1033" s="37" t="inlineStr">
        <is>
          <t>OCCUPIED</t>
        </is>
      </c>
      <c r="F1033" s="37" t="inlineStr">
        <is>
          <t>WL-03303</t>
        </is>
      </c>
      <c r="G1033" s="37" t="inlineStr">
        <is>
          <t>Eileen Norris</t>
        </is>
      </c>
      <c r="H1033" s="37" t="n">
        <v>59.9</v>
      </c>
    </row>
    <row r="1034">
      <c r="A1034" s="37" t="inlineStr">
        <is>
          <t>SB-0315</t>
        </is>
      </c>
      <c r="B1034" s="37" t="inlineStr">
        <is>
          <t>Salmonberry</t>
        </is>
      </c>
      <c r="C1034" s="37" t="inlineStr">
        <is>
          <t>OPEN</t>
        </is>
      </c>
      <c r="D1034" s="37" t="n">
        <v>24</v>
      </c>
      <c r="E1034" s="37" t="inlineStr">
        <is>
          <t>OCCUPIED</t>
        </is>
      </c>
      <c r="F1034" s="37" t="inlineStr">
        <is>
          <t>WL-02337</t>
        </is>
      </c>
      <c r="G1034" s="37" t="inlineStr">
        <is>
          <t>Brian Taylor</t>
        </is>
      </c>
      <c r="H1034" s="37" t="n">
        <v>55.5</v>
      </c>
    </row>
    <row r="1035">
      <c r="A1035" s="37" t="inlineStr">
        <is>
          <t>SB-0316</t>
        </is>
      </c>
      <c r="B1035" s="37" t="inlineStr">
        <is>
          <t>Salmonberry</t>
        </is>
      </c>
      <c r="C1035" s="37" t="inlineStr">
        <is>
          <t>OPEN</t>
        </is>
      </c>
      <c r="D1035" s="37" t="n">
        <v>24</v>
      </c>
      <c r="E1035" s="37" t="inlineStr">
        <is>
          <t>OCCUPIED</t>
        </is>
      </c>
      <c r="F1035" s="37" t="inlineStr">
        <is>
          <t>WL-02020</t>
        </is>
      </c>
      <c r="G1035" s="37" t="inlineStr">
        <is>
          <t>Jacqueline Daniels</t>
        </is>
      </c>
      <c r="H1035" s="37" t="n">
        <v>32.9</v>
      </c>
    </row>
    <row r="1036">
      <c r="A1036" s="37" t="inlineStr">
        <is>
          <t>SB-0317</t>
        </is>
      </c>
      <c r="B1036" s="37" t="inlineStr">
        <is>
          <t>Salmonberry</t>
        </is>
      </c>
      <c r="C1036" s="37" t="inlineStr">
        <is>
          <t>OPEN</t>
        </is>
      </c>
      <c r="D1036" s="37" t="n">
        <v>28</v>
      </c>
      <c r="E1036" s="37" t="inlineStr">
        <is>
          <t>OCCUPIED</t>
        </is>
      </c>
      <c r="F1036" s="37" t="inlineStr">
        <is>
          <t>WL-01571</t>
        </is>
      </c>
      <c r="G1036" s="37" t="inlineStr">
        <is>
          <t>Blake Webb</t>
        </is>
      </c>
      <c r="H1036" s="37" t="n">
        <v>45.8</v>
      </c>
    </row>
    <row r="1037">
      <c r="A1037" s="37" t="inlineStr">
        <is>
          <t>SB-0318</t>
        </is>
      </c>
      <c r="B1037" s="37" t="inlineStr">
        <is>
          <t>Salmonberry</t>
        </is>
      </c>
      <c r="C1037" s="37" t="inlineStr">
        <is>
          <t>OPEN</t>
        </is>
      </c>
      <c r="D1037" s="37" t="n">
        <v>28</v>
      </c>
      <c r="E1037" s="37" t="inlineStr">
        <is>
          <t>OCCUPIED</t>
        </is>
      </c>
      <c r="F1037" s="37" t="inlineStr">
        <is>
          <t>WL-03173</t>
        </is>
      </c>
      <c r="G1037" s="37" t="inlineStr">
        <is>
          <t>Timothy Wood</t>
        </is>
      </c>
      <c r="H1037" s="37" t="n">
        <v>27.1</v>
      </c>
    </row>
    <row r="1038">
      <c r="A1038" s="37" t="inlineStr">
        <is>
          <t>SB-0319</t>
        </is>
      </c>
      <c r="B1038" s="37" t="inlineStr">
        <is>
          <t>Salmonberry</t>
        </is>
      </c>
      <c r="C1038" s="37" t="inlineStr">
        <is>
          <t>OPEN</t>
        </is>
      </c>
      <c r="D1038" s="37" t="n">
        <v>32</v>
      </c>
      <c r="E1038" s="37" t="inlineStr">
        <is>
          <t>OCCUPIED</t>
        </is>
      </c>
      <c r="F1038" s="37" t="inlineStr">
        <is>
          <t>WL-02172</t>
        </is>
      </c>
      <c r="G1038" s="37" t="inlineStr">
        <is>
          <t>Anna Bishop</t>
        </is>
      </c>
      <c r="H1038" s="37" t="n">
        <v>53.4</v>
      </c>
    </row>
    <row r="1039">
      <c r="A1039" s="37" t="inlineStr">
        <is>
          <t>SB-0320</t>
        </is>
      </c>
      <c r="B1039" s="37" t="inlineStr">
        <is>
          <t>Salmonberry</t>
        </is>
      </c>
      <c r="C1039" s="37" t="inlineStr">
        <is>
          <t>OPEN</t>
        </is>
      </c>
      <c r="D1039" s="37" t="n">
        <v>36</v>
      </c>
      <c r="E1039" s="37" t="inlineStr">
        <is>
          <t>OCCUPIED</t>
        </is>
      </c>
      <c r="F1039" s="37" t="inlineStr">
        <is>
          <t>WL-01830</t>
        </is>
      </c>
      <c r="G1039" s="37" t="inlineStr">
        <is>
          <t>Robert Patel</t>
        </is>
      </c>
      <c r="H1039" s="37" t="n">
        <v>28.9</v>
      </c>
    </row>
    <row r="1040">
      <c r="A1040" s="37" t="inlineStr">
        <is>
          <t>SB-0321</t>
        </is>
      </c>
      <c r="B1040" s="37" t="inlineStr">
        <is>
          <t>Salmonberry</t>
        </is>
      </c>
      <c r="C1040" s="37" t="inlineStr">
        <is>
          <t>OPEN</t>
        </is>
      </c>
      <c r="D1040" s="37" t="n">
        <v>45</v>
      </c>
      <c r="E1040" s="37" t="inlineStr">
        <is>
          <t>OCCUPIED</t>
        </is>
      </c>
      <c r="F1040" s="37" t="inlineStr">
        <is>
          <t>WL-02472</t>
        </is>
      </c>
      <c r="G1040" s="37" t="inlineStr">
        <is>
          <t>William Martinez</t>
        </is>
      </c>
      <c r="H1040" s="37" t="n">
        <v>24</v>
      </c>
    </row>
    <row r="1041">
      <c r="A1041" s="37" t="inlineStr">
        <is>
          <t>SB-0322</t>
        </is>
      </c>
      <c r="B1041" s="37" t="inlineStr">
        <is>
          <t>Salmonberry</t>
        </is>
      </c>
      <c r="C1041" s="37" t="inlineStr">
        <is>
          <t>OPEN</t>
        </is>
      </c>
      <c r="D1041" s="37" t="n">
        <v>24</v>
      </c>
      <c r="E1041" s="37" t="inlineStr">
        <is>
          <t>OCCUPIED</t>
        </is>
      </c>
      <c r="F1041" s="37" t="inlineStr">
        <is>
          <t>WL-02376</t>
        </is>
      </c>
      <c r="G1041" s="37" t="inlineStr">
        <is>
          <t>Steven Robinson</t>
        </is>
      </c>
      <c r="H1041" s="37" t="n">
        <v>35.5</v>
      </c>
    </row>
    <row r="1042">
      <c r="A1042" s="37" t="inlineStr">
        <is>
          <t>SB-0323</t>
        </is>
      </c>
      <c r="B1042" s="37" t="inlineStr">
        <is>
          <t>Salmonberry</t>
        </is>
      </c>
      <c r="C1042" s="37" t="inlineStr">
        <is>
          <t>OPEN</t>
        </is>
      </c>
      <c r="D1042" s="37" t="n">
        <v>70</v>
      </c>
      <c r="E1042" s="37" t="inlineStr">
        <is>
          <t>OCCUPIED</t>
        </is>
      </c>
      <c r="F1042" s="37" t="inlineStr">
        <is>
          <t>WL-03820</t>
        </is>
      </c>
      <c r="G1042" s="37" t="inlineStr">
        <is>
          <t>Thomas Robinson</t>
        </is>
      </c>
      <c r="H1042" s="37" t="n">
        <v>47.1</v>
      </c>
    </row>
    <row r="1043">
      <c r="A1043" s="37" t="inlineStr">
        <is>
          <t>SB-0324</t>
        </is>
      </c>
      <c r="B1043" s="37" t="inlineStr">
        <is>
          <t>Salmonberry</t>
        </is>
      </c>
      <c r="C1043" s="37" t="inlineStr">
        <is>
          <t>OPEN</t>
        </is>
      </c>
      <c r="D1043" s="37" t="n">
        <v>32</v>
      </c>
      <c r="E1043" s="37" t="inlineStr">
        <is>
          <t>OCCUPIED</t>
        </is>
      </c>
      <c r="F1043" s="37" t="inlineStr">
        <is>
          <t>WL-01917</t>
        </is>
      </c>
      <c r="G1043" s="37" t="inlineStr">
        <is>
          <t>Matthew May</t>
        </is>
      </c>
      <c r="H1043" s="37" t="n">
        <v>48.1</v>
      </c>
    </row>
    <row r="1044">
      <c r="A1044" s="37" t="inlineStr">
        <is>
          <t>SB-0401</t>
        </is>
      </c>
      <c r="B1044" s="37" t="inlineStr">
        <is>
          <t>Salmonberry</t>
        </is>
      </c>
      <c r="C1044" s="37" t="inlineStr">
        <is>
          <t>OPEN</t>
        </is>
      </c>
      <c r="D1044" s="37" t="n">
        <v>60</v>
      </c>
      <c r="E1044" s="37" t="inlineStr">
        <is>
          <t>OCCUPIED</t>
        </is>
      </c>
      <c r="F1044" s="37" t="inlineStr">
        <is>
          <t>WL-01395</t>
        </is>
      </c>
      <c r="G1044" s="37" t="inlineStr">
        <is>
          <t>Denise Mitchell</t>
        </is>
      </c>
      <c r="H1044" s="37" t="n">
        <v>23.8</v>
      </c>
    </row>
    <row r="1045">
      <c r="A1045" s="37" t="inlineStr">
        <is>
          <t>SB-0402</t>
        </is>
      </c>
      <c r="B1045" s="37" t="inlineStr">
        <is>
          <t>Salmonberry</t>
        </is>
      </c>
      <c r="C1045" s="37" t="inlineStr">
        <is>
          <t>OPEN</t>
        </is>
      </c>
      <c r="D1045" s="37" t="n">
        <v>32</v>
      </c>
      <c r="E1045" s="37" t="inlineStr">
        <is>
          <t>OCCUPIED</t>
        </is>
      </c>
      <c r="F1045" s="37" t="inlineStr">
        <is>
          <t>WL-03565</t>
        </is>
      </c>
      <c r="G1045" s="37" t="inlineStr">
        <is>
          <t>Brian Rosario</t>
        </is>
      </c>
      <c r="H1045" s="37" t="n">
        <v>53.9</v>
      </c>
    </row>
    <row r="1046">
      <c r="A1046" s="37" t="inlineStr">
        <is>
          <t>SB-0403</t>
        </is>
      </c>
      <c r="B1046" s="37" t="inlineStr">
        <is>
          <t>Salmonberry</t>
        </is>
      </c>
      <c r="C1046" s="37" t="inlineStr">
        <is>
          <t>OPEN</t>
        </is>
      </c>
      <c r="D1046" s="37" t="n">
        <v>24</v>
      </c>
      <c r="E1046" s="37" t="inlineStr">
        <is>
          <t>OCCUPIED</t>
        </is>
      </c>
      <c r="F1046" s="37" t="inlineStr">
        <is>
          <t>WL-02892</t>
        </is>
      </c>
      <c r="G1046" s="37" t="inlineStr">
        <is>
          <t>Martha Cook</t>
        </is>
      </c>
      <c r="H1046" s="37" t="n">
        <v>47.7</v>
      </c>
    </row>
    <row r="1047">
      <c r="A1047" s="37" t="inlineStr">
        <is>
          <t>SB-0404</t>
        </is>
      </c>
      <c r="B1047" s="37" t="inlineStr">
        <is>
          <t>Salmonberry</t>
        </is>
      </c>
      <c r="C1047" s="37" t="inlineStr">
        <is>
          <t>OPEN</t>
        </is>
      </c>
      <c r="D1047" s="37" t="n">
        <v>40</v>
      </c>
      <c r="E1047" s="37" t="inlineStr">
        <is>
          <t>OCCUPIED</t>
        </is>
      </c>
      <c r="F1047" s="37" t="inlineStr">
        <is>
          <t>WL-02160</t>
        </is>
      </c>
      <c r="G1047" s="37" t="inlineStr">
        <is>
          <t>Alexander Lawrence</t>
        </is>
      </c>
      <c r="H1047" s="37" t="n">
        <v>54.9</v>
      </c>
    </row>
    <row r="1048">
      <c r="A1048" s="37" t="inlineStr">
        <is>
          <t>SB-0405</t>
        </is>
      </c>
      <c r="B1048" s="37" t="inlineStr">
        <is>
          <t>Salmonberry</t>
        </is>
      </c>
      <c r="C1048" s="37" t="inlineStr">
        <is>
          <t>OPEN</t>
        </is>
      </c>
      <c r="D1048" s="37" t="n">
        <v>45</v>
      </c>
      <c r="E1048" s="37" t="inlineStr">
        <is>
          <t>OCCUPIED</t>
        </is>
      </c>
      <c r="F1048" s="37" t="inlineStr">
        <is>
          <t>WL-02223</t>
        </is>
      </c>
      <c r="G1048" s="37" t="inlineStr">
        <is>
          <t>Ashley Wilson</t>
        </is>
      </c>
      <c r="H1048" s="37" t="n">
        <v>57.3</v>
      </c>
    </row>
    <row r="1049">
      <c r="A1049" s="37" t="inlineStr">
        <is>
          <t>SB-0406</t>
        </is>
      </c>
      <c r="B1049" s="37" t="inlineStr">
        <is>
          <t>Salmonberry</t>
        </is>
      </c>
      <c r="C1049" s="37" t="inlineStr">
        <is>
          <t>OPEN</t>
        </is>
      </c>
      <c r="D1049" s="37" t="n">
        <v>40</v>
      </c>
      <c r="E1049" s="37" t="inlineStr">
        <is>
          <t>OCCUPIED</t>
        </is>
      </c>
      <c r="F1049" s="37" t="inlineStr">
        <is>
          <t>WL-02891</t>
        </is>
      </c>
      <c r="G1049" s="37" t="inlineStr">
        <is>
          <t>Jon Suarez</t>
        </is>
      </c>
      <c r="H1049" s="37" t="n">
        <v>55.3</v>
      </c>
    </row>
    <row r="1050">
      <c r="A1050" s="37" t="inlineStr">
        <is>
          <t>SB-0407</t>
        </is>
      </c>
      <c r="B1050" s="37" t="inlineStr">
        <is>
          <t>Salmonberry</t>
        </is>
      </c>
      <c r="C1050" s="37" t="inlineStr">
        <is>
          <t>OPEN</t>
        </is>
      </c>
      <c r="D1050" s="37" t="n">
        <v>24</v>
      </c>
      <c r="E1050" s="37" t="inlineStr">
        <is>
          <t>OCCUPIED</t>
        </is>
      </c>
      <c r="F1050" s="37" t="inlineStr">
        <is>
          <t>WL-02876</t>
        </is>
      </c>
      <c r="G1050" s="37" t="inlineStr">
        <is>
          <t>Janice Collins</t>
        </is>
      </c>
      <c r="H1050" s="37" t="n">
        <v>32.7</v>
      </c>
    </row>
    <row r="1051">
      <c r="A1051" s="37" t="inlineStr">
        <is>
          <t>SB-0408</t>
        </is>
      </c>
      <c r="B1051" s="37" t="inlineStr">
        <is>
          <t>Salmonberry</t>
        </is>
      </c>
      <c r="C1051" s="37" t="inlineStr">
        <is>
          <t>OPEN</t>
        </is>
      </c>
      <c r="D1051" s="37" t="n">
        <v>28</v>
      </c>
      <c r="E1051" s="37" t="inlineStr">
        <is>
          <t>OCCUPIED</t>
        </is>
      </c>
      <c r="F1051" s="37" t="inlineStr">
        <is>
          <t>WL-01281</t>
        </is>
      </c>
      <c r="G1051" s="37" t="inlineStr">
        <is>
          <t>Alexander Ferguson</t>
        </is>
      </c>
      <c r="H1051" s="37" t="n">
        <v>50.7</v>
      </c>
    </row>
    <row r="1052">
      <c r="A1052" s="37" t="inlineStr">
        <is>
          <t>SB-0409</t>
        </is>
      </c>
      <c r="B1052" s="37" t="inlineStr">
        <is>
          <t>Salmonberry</t>
        </is>
      </c>
      <c r="C1052" s="37" t="inlineStr">
        <is>
          <t>OPEN</t>
        </is>
      </c>
      <c r="D1052" s="37" t="n">
        <v>40</v>
      </c>
      <c r="E1052" s="37" t="inlineStr">
        <is>
          <t>OCCUPIED</t>
        </is>
      </c>
      <c r="F1052" s="37" t="inlineStr">
        <is>
          <t>WL-01762</t>
        </is>
      </c>
      <c r="G1052" s="37" t="inlineStr">
        <is>
          <t>John Powell</t>
        </is>
      </c>
      <c r="H1052" s="37" t="n">
        <v>28.6</v>
      </c>
    </row>
    <row r="1053">
      <c r="A1053" s="37" t="inlineStr">
        <is>
          <t>SB-0410</t>
        </is>
      </c>
      <c r="B1053" s="37" t="inlineStr">
        <is>
          <t>Salmonberry</t>
        </is>
      </c>
      <c r="C1053" s="37" t="inlineStr">
        <is>
          <t>OPEN</t>
        </is>
      </c>
      <c r="D1053" s="37" t="n">
        <v>24</v>
      </c>
      <c r="E1053" s="37" t="inlineStr">
        <is>
          <t>OCCUPIED</t>
        </is>
      </c>
      <c r="F1053" s="37" t="inlineStr">
        <is>
          <t>WL-01770</t>
        </is>
      </c>
      <c r="G1053" s="37" t="inlineStr">
        <is>
          <t>Billy Cummings</t>
        </is>
      </c>
      <c r="H1053" s="37" t="n">
        <v>31.4</v>
      </c>
    </row>
    <row r="1054">
      <c r="A1054" s="37" t="inlineStr">
        <is>
          <t>SB-0411</t>
        </is>
      </c>
      <c r="B1054" s="37" t="inlineStr">
        <is>
          <t>Salmonberry</t>
        </is>
      </c>
      <c r="C1054" s="37" t="inlineStr">
        <is>
          <t>OPEN</t>
        </is>
      </c>
      <c r="D1054" s="37" t="n">
        <v>24</v>
      </c>
      <c r="E1054" s="37" t="inlineStr">
        <is>
          <t>OCCUPIED</t>
        </is>
      </c>
      <c r="F1054" s="37" t="inlineStr">
        <is>
          <t>WL-02542</t>
        </is>
      </c>
      <c r="G1054" s="37" t="inlineStr">
        <is>
          <t>Susan Decker</t>
        </is>
      </c>
      <c r="H1054" s="37" t="n">
        <v>28.3</v>
      </c>
    </row>
    <row r="1055">
      <c r="A1055" s="37" t="inlineStr">
        <is>
          <t>SB-0412</t>
        </is>
      </c>
      <c r="B1055" s="37" t="inlineStr">
        <is>
          <t>Salmonberry</t>
        </is>
      </c>
      <c r="C1055" s="37" t="inlineStr">
        <is>
          <t>OPEN</t>
        </is>
      </c>
      <c r="D1055" s="37" t="n">
        <v>70</v>
      </c>
      <c r="E1055" s="37" t="inlineStr">
        <is>
          <t>OCCUPIED</t>
        </is>
      </c>
      <c r="F1055" s="37" t="inlineStr">
        <is>
          <t>WL-03345</t>
        </is>
      </c>
      <c r="G1055" s="37" t="inlineStr">
        <is>
          <t>Cody Jackson</t>
        </is>
      </c>
      <c r="H1055" s="37" t="n">
        <v>53.3</v>
      </c>
    </row>
    <row r="1056">
      <c r="A1056" s="37" t="inlineStr">
        <is>
          <t>SB-0413</t>
        </is>
      </c>
      <c r="B1056" s="37" t="inlineStr">
        <is>
          <t>Salmonberry</t>
        </is>
      </c>
      <c r="C1056" s="37" t="inlineStr">
        <is>
          <t>OPEN</t>
        </is>
      </c>
      <c r="D1056" s="37" t="n">
        <v>45</v>
      </c>
      <c r="E1056" s="37" t="inlineStr">
        <is>
          <t>OCCUPIED</t>
        </is>
      </c>
      <c r="F1056" s="37" t="inlineStr">
        <is>
          <t>WL-01247</t>
        </is>
      </c>
      <c r="G1056" s="37" t="inlineStr">
        <is>
          <t>Daniel Wallace</t>
        </is>
      </c>
      <c r="H1056" s="37" t="n">
        <v>27.8</v>
      </c>
    </row>
    <row r="1057">
      <c r="A1057" s="37" t="inlineStr">
        <is>
          <t>SB-0414</t>
        </is>
      </c>
      <c r="B1057" s="37" t="inlineStr">
        <is>
          <t>Salmonberry</t>
        </is>
      </c>
      <c r="C1057" s="37" t="inlineStr">
        <is>
          <t>OPEN</t>
        </is>
      </c>
      <c r="D1057" s="37" t="n">
        <v>32</v>
      </c>
      <c r="E1057" s="37" t="inlineStr">
        <is>
          <t>OCCUPIED</t>
        </is>
      </c>
      <c r="F1057" s="37" t="inlineStr">
        <is>
          <t>WL-01769</t>
        </is>
      </c>
      <c r="G1057" s="37" t="inlineStr">
        <is>
          <t>Brenda Cruz</t>
        </is>
      </c>
      <c r="H1057" s="37" t="n">
        <v>59.1</v>
      </c>
    </row>
    <row r="1058">
      <c r="A1058" s="37" t="inlineStr">
        <is>
          <t>SB-0415</t>
        </is>
      </c>
      <c r="B1058" s="37" t="inlineStr">
        <is>
          <t>Salmonberry</t>
        </is>
      </c>
      <c r="C1058" s="37" t="inlineStr">
        <is>
          <t>OPEN</t>
        </is>
      </c>
      <c r="D1058" s="37" t="n">
        <v>28</v>
      </c>
      <c r="E1058" s="37" t="inlineStr">
        <is>
          <t>OCCUPIED</t>
        </is>
      </c>
      <c r="F1058" s="37" t="inlineStr">
        <is>
          <t>WL-03540</t>
        </is>
      </c>
      <c r="G1058" s="37" t="inlineStr">
        <is>
          <t>Julie Crane</t>
        </is>
      </c>
      <c r="H1058" s="37" t="n">
        <v>41.5</v>
      </c>
    </row>
    <row r="1059">
      <c r="A1059" s="37" t="inlineStr">
        <is>
          <t>SB-0416</t>
        </is>
      </c>
      <c r="B1059" s="37" t="inlineStr">
        <is>
          <t>Salmonberry</t>
        </is>
      </c>
      <c r="C1059" s="37" t="inlineStr">
        <is>
          <t>OPEN</t>
        </is>
      </c>
      <c r="D1059" s="37" t="n">
        <v>28</v>
      </c>
      <c r="E1059" s="37" t="inlineStr">
        <is>
          <t>OCCUPIED</t>
        </is>
      </c>
      <c r="F1059" s="37" t="inlineStr">
        <is>
          <t>WL-03324</t>
        </is>
      </c>
      <c r="G1059" s="37" t="inlineStr">
        <is>
          <t>Jacob Hanna</t>
        </is>
      </c>
      <c r="H1059" s="37" t="n">
        <v>41.9</v>
      </c>
    </row>
    <row r="1060">
      <c r="A1060" s="37" t="inlineStr">
        <is>
          <t>SB-0417</t>
        </is>
      </c>
      <c r="B1060" s="37" t="inlineStr">
        <is>
          <t>Salmonberry</t>
        </is>
      </c>
      <c r="C1060" s="37" t="inlineStr">
        <is>
          <t>OPEN</t>
        </is>
      </c>
      <c r="D1060" s="37" t="n">
        <v>70</v>
      </c>
      <c r="E1060" s="37" t="inlineStr">
        <is>
          <t>VACANT</t>
        </is>
      </c>
    </row>
    <row r="1061">
      <c r="A1061" s="37" t="inlineStr">
        <is>
          <t>SB-0418</t>
        </is>
      </c>
      <c r="B1061" s="37" t="inlineStr">
        <is>
          <t>Salmonberry</t>
        </is>
      </c>
      <c r="C1061" s="37" t="inlineStr">
        <is>
          <t>OPEN</t>
        </is>
      </c>
      <c r="D1061" s="37" t="n">
        <v>45</v>
      </c>
      <c r="E1061" s="37" t="inlineStr">
        <is>
          <t>OCCUPIED</t>
        </is>
      </c>
      <c r="F1061" s="37" t="inlineStr">
        <is>
          <t>WL-03571</t>
        </is>
      </c>
      <c r="G1061" s="37" t="inlineStr">
        <is>
          <t>Rebecca Merritt</t>
        </is>
      </c>
      <c r="H1061" s="37" t="n">
        <v>38.2</v>
      </c>
    </row>
    <row r="1062">
      <c r="A1062" s="37" t="inlineStr">
        <is>
          <t>SB-0419</t>
        </is>
      </c>
      <c r="B1062" s="37" t="inlineStr">
        <is>
          <t>Salmonberry</t>
        </is>
      </c>
      <c r="C1062" s="37" t="inlineStr">
        <is>
          <t>OPEN</t>
        </is>
      </c>
      <c r="D1062" s="37" t="n">
        <v>32</v>
      </c>
      <c r="E1062" s="37" t="inlineStr">
        <is>
          <t>OCCUPIED</t>
        </is>
      </c>
      <c r="F1062" s="37" t="inlineStr">
        <is>
          <t>WL-03076</t>
        </is>
      </c>
      <c r="G1062" s="37" t="inlineStr">
        <is>
          <t>Jennifer Davis</t>
        </is>
      </c>
      <c r="H1062" s="37" t="n">
        <v>48.2</v>
      </c>
    </row>
    <row r="1063">
      <c r="A1063" s="37" t="inlineStr">
        <is>
          <t>SB-0420</t>
        </is>
      </c>
      <c r="B1063" s="37" t="inlineStr">
        <is>
          <t>Salmonberry</t>
        </is>
      </c>
      <c r="C1063" s="37" t="inlineStr">
        <is>
          <t>OPEN</t>
        </is>
      </c>
      <c r="D1063" s="37" t="n">
        <v>32</v>
      </c>
      <c r="E1063" s="37" t="inlineStr">
        <is>
          <t>OCCUPIED</t>
        </is>
      </c>
      <c r="F1063" s="37" t="inlineStr">
        <is>
          <t>WL-03473</t>
        </is>
      </c>
      <c r="G1063" s="37" t="inlineStr">
        <is>
          <t>Brian Miller</t>
        </is>
      </c>
      <c r="H1063" s="37" t="n">
        <v>61.2</v>
      </c>
    </row>
    <row r="1064">
      <c r="A1064" s="37" t="inlineStr">
        <is>
          <t>SB-0421</t>
        </is>
      </c>
      <c r="B1064" s="37" t="inlineStr">
        <is>
          <t>Salmonberry</t>
        </is>
      </c>
      <c r="C1064" s="37" t="inlineStr">
        <is>
          <t>OPEN</t>
        </is>
      </c>
      <c r="D1064" s="37" t="n">
        <v>60</v>
      </c>
      <c r="E1064" s="37" t="inlineStr">
        <is>
          <t>OCCUPIED</t>
        </is>
      </c>
      <c r="F1064" s="37" t="inlineStr">
        <is>
          <t>WL-02552</t>
        </is>
      </c>
      <c r="G1064" s="37" t="inlineStr">
        <is>
          <t>Brian Shea</t>
        </is>
      </c>
      <c r="H1064" s="37" t="n">
        <v>48.4</v>
      </c>
    </row>
    <row r="1065">
      <c r="A1065" s="37" t="inlineStr">
        <is>
          <t>SB-0422</t>
        </is>
      </c>
      <c r="B1065" s="37" t="inlineStr">
        <is>
          <t>Salmonberry</t>
        </is>
      </c>
      <c r="C1065" s="37" t="inlineStr">
        <is>
          <t>OPEN</t>
        </is>
      </c>
      <c r="D1065" s="37" t="n">
        <v>24</v>
      </c>
      <c r="E1065" s="37" t="inlineStr">
        <is>
          <t>OCCUPIED</t>
        </is>
      </c>
      <c r="F1065" s="37" t="inlineStr">
        <is>
          <t>WL-02351</t>
        </is>
      </c>
      <c r="G1065" s="37" t="inlineStr">
        <is>
          <t>Kenneth Bradford</t>
        </is>
      </c>
      <c r="H1065" s="37" t="n">
        <v>26.5</v>
      </c>
    </row>
    <row r="1066">
      <c r="A1066" s="37" t="inlineStr">
        <is>
          <t>SB-0423</t>
        </is>
      </c>
      <c r="B1066" s="37" t="inlineStr">
        <is>
          <t>Salmonberry</t>
        </is>
      </c>
      <c r="C1066" s="37" t="inlineStr">
        <is>
          <t>OPEN</t>
        </is>
      </c>
      <c r="D1066" s="37" t="n">
        <v>80</v>
      </c>
      <c r="E1066" s="37" t="inlineStr">
        <is>
          <t>OCCUPIED</t>
        </is>
      </c>
      <c r="F1066" s="37" t="inlineStr">
        <is>
          <t>WL-03606</t>
        </is>
      </c>
      <c r="G1066" s="37" t="inlineStr">
        <is>
          <t>Jared Garcia</t>
        </is>
      </c>
      <c r="H1066" s="37" t="n">
        <v>53.2</v>
      </c>
    </row>
    <row r="1067">
      <c r="A1067" s="37" t="inlineStr">
        <is>
          <t>SB-0424</t>
        </is>
      </c>
      <c r="B1067" s="37" t="inlineStr">
        <is>
          <t>Salmonberry</t>
        </is>
      </c>
      <c r="C1067" s="37" t="inlineStr">
        <is>
          <t>OPEN</t>
        </is>
      </c>
      <c r="D1067" s="37" t="n">
        <v>24</v>
      </c>
      <c r="E1067" s="37" t="inlineStr">
        <is>
          <t>OCCUPIED</t>
        </is>
      </c>
      <c r="F1067" s="37" t="inlineStr">
        <is>
          <t>WL-02295</t>
        </is>
      </c>
      <c r="G1067" s="37" t="inlineStr">
        <is>
          <t>Katie Hall</t>
        </is>
      </c>
      <c r="H1067" s="37" t="n">
        <v>52.5</v>
      </c>
    </row>
    <row r="1068">
      <c r="A1068" s="37" t="inlineStr">
        <is>
          <t>SB-0501</t>
        </is>
      </c>
      <c r="B1068" s="37" t="inlineStr">
        <is>
          <t>Salmonberry</t>
        </is>
      </c>
      <c r="C1068" s="37" t="inlineStr">
        <is>
          <t>OPEN</t>
        </is>
      </c>
      <c r="D1068" s="37" t="n">
        <v>36</v>
      </c>
      <c r="E1068" s="37" t="inlineStr">
        <is>
          <t>VACANT</t>
        </is>
      </c>
    </row>
    <row r="1069">
      <c r="A1069" s="37" t="inlineStr">
        <is>
          <t>SB-0502</t>
        </is>
      </c>
      <c r="B1069" s="37" t="inlineStr">
        <is>
          <t>Salmonberry</t>
        </is>
      </c>
      <c r="C1069" s="37" t="inlineStr">
        <is>
          <t>OPEN</t>
        </is>
      </c>
      <c r="D1069" s="37" t="n">
        <v>80</v>
      </c>
      <c r="E1069" s="37" t="inlineStr">
        <is>
          <t>OCCUPIED</t>
        </is>
      </c>
      <c r="F1069" s="37" t="inlineStr">
        <is>
          <t>WL-01453</t>
        </is>
      </c>
      <c r="G1069" s="37" t="inlineStr">
        <is>
          <t>Kelly Lee</t>
        </is>
      </c>
      <c r="H1069" s="37" t="n">
        <v>40.6</v>
      </c>
    </row>
    <row r="1070">
      <c r="A1070" s="37" t="inlineStr">
        <is>
          <t>SB-0503</t>
        </is>
      </c>
      <c r="B1070" s="37" t="inlineStr">
        <is>
          <t>Salmonberry</t>
        </is>
      </c>
      <c r="C1070" s="37" t="inlineStr">
        <is>
          <t>OPEN</t>
        </is>
      </c>
      <c r="D1070" s="37" t="n">
        <v>45</v>
      </c>
      <c r="E1070" s="37" t="inlineStr">
        <is>
          <t>OCCUPIED</t>
        </is>
      </c>
      <c r="F1070" s="37" t="inlineStr">
        <is>
          <t>WL-02805</t>
        </is>
      </c>
      <c r="G1070" s="37" t="inlineStr">
        <is>
          <t>Sheila Fuentes</t>
        </is>
      </c>
      <c r="H1070" s="37" t="n">
        <v>37.5</v>
      </c>
    </row>
    <row r="1071">
      <c r="A1071" s="37" t="inlineStr">
        <is>
          <t>SB-0504</t>
        </is>
      </c>
      <c r="B1071" s="37" t="inlineStr">
        <is>
          <t>Salmonberry</t>
        </is>
      </c>
      <c r="C1071" s="37" t="inlineStr">
        <is>
          <t>OPEN</t>
        </is>
      </c>
      <c r="D1071" s="37" t="n">
        <v>70</v>
      </c>
      <c r="E1071" s="37" t="inlineStr">
        <is>
          <t>OCCUPIED</t>
        </is>
      </c>
      <c r="F1071" s="37" t="inlineStr">
        <is>
          <t>WL-03009</t>
        </is>
      </c>
      <c r="G1071" s="37" t="inlineStr">
        <is>
          <t>Dennis Taylor</t>
        </is>
      </c>
      <c r="H1071" s="37" t="n">
        <v>54.6</v>
      </c>
    </row>
    <row r="1072">
      <c r="A1072" s="37" t="inlineStr">
        <is>
          <t>SB-0505</t>
        </is>
      </c>
      <c r="B1072" s="37" t="inlineStr">
        <is>
          <t>Salmonberry</t>
        </is>
      </c>
      <c r="C1072" s="37" t="inlineStr">
        <is>
          <t>OPEN</t>
        </is>
      </c>
      <c r="D1072" s="37" t="n">
        <v>80</v>
      </c>
      <c r="E1072" s="37" t="inlineStr">
        <is>
          <t>OCCUPIED</t>
        </is>
      </c>
      <c r="F1072" s="37" t="inlineStr">
        <is>
          <t>WL-03522</t>
        </is>
      </c>
      <c r="G1072" s="37" t="inlineStr">
        <is>
          <t>Austin Sanchez</t>
        </is>
      </c>
      <c r="H1072" s="37" t="n">
        <v>46.1</v>
      </c>
    </row>
    <row r="1073">
      <c r="A1073" s="37" t="inlineStr">
        <is>
          <t>SB-0506</t>
        </is>
      </c>
      <c r="B1073" s="37" t="inlineStr">
        <is>
          <t>Salmonberry</t>
        </is>
      </c>
      <c r="C1073" s="37" t="inlineStr">
        <is>
          <t>OPEN</t>
        </is>
      </c>
      <c r="D1073" s="37" t="n">
        <v>32</v>
      </c>
      <c r="E1073" s="37" t="inlineStr">
        <is>
          <t>OCCUPIED</t>
        </is>
      </c>
      <c r="F1073" s="37" t="inlineStr">
        <is>
          <t>WL-02067</t>
        </is>
      </c>
      <c r="G1073" s="37" t="inlineStr">
        <is>
          <t>Craig Simon</t>
        </is>
      </c>
      <c r="H1073" s="37" t="n">
        <v>47.8</v>
      </c>
    </row>
    <row r="1074">
      <c r="A1074" s="37" t="inlineStr">
        <is>
          <t>SB-0507</t>
        </is>
      </c>
      <c r="B1074" s="37" t="inlineStr">
        <is>
          <t>Salmonberry</t>
        </is>
      </c>
      <c r="C1074" s="37" t="inlineStr">
        <is>
          <t>OPEN</t>
        </is>
      </c>
      <c r="D1074" s="37" t="n">
        <v>24</v>
      </c>
      <c r="E1074" s="37" t="inlineStr">
        <is>
          <t>OCCUPIED</t>
        </is>
      </c>
      <c r="F1074" s="37" t="inlineStr">
        <is>
          <t>WL-03590</t>
        </is>
      </c>
      <c r="G1074" s="37" t="inlineStr">
        <is>
          <t>Dawn Johnson</t>
        </is>
      </c>
      <c r="H1074" s="37" t="n">
        <v>27.5</v>
      </c>
    </row>
    <row r="1075">
      <c r="A1075" s="37" t="inlineStr">
        <is>
          <t>SB-0508</t>
        </is>
      </c>
      <c r="B1075" s="37" t="inlineStr">
        <is>
          <t>Salmonberry</t>
        </is>
      </c>
      <c r="C1075" s="37" t="inlineStr">
        <is>
          <t>OPEN</t>
        </is>
      </c>
      <c r="D1075" s="37" t="n">
        <v>24</v>
      </c>
      <c r="E1075" s="37" t="inlineStr">
        <is>
          <t>MAINTENANCE</t>
        </is>
      </c>
    </row>
    <row r="1076">
      <c r="A1076" s="37" t="inlineStr">
        <is>
          <t>SB-0509</t>
        </is>
      </c>
      <c r="B1076" s="37" t="inlineStr">
        <is>
          <t>Salmonberry</t>
        </is>
      </c>
      <c r="C1076" s="37" t="inlineStr">
        <is>
          <t>OPEN</t>
        </is>
      </c>
      <c r="D1076" s="37" t="n">
        <v>32</v>
      </c>
      <c r="E1076" s="37" t="inlineStr">
        <is>
          <t>OCCUPIED</t>
        </is>
      </c>
      <c r="F1076" s="37" t="inlineStr">
        <is>
          <t>WL-02521</t>
        </is>
      </c>
      <c r="G1076" s="37" t="inlineStr">
        <is>
          <t>Ashley Vance</t>
        </is>
      </c>
      <c r="H1076" s="37" t="n">
        <v>35.6</v>
      </c>
    </row>
    <row r="1077">
      <c r="A1077" s="37" t="inlineStr">
        <is>
          <t>SB-0510</t>
        </is>
      </c>
      <c r="B1077" s="37" t="inlineStr">
        <is>
          <t>Salmonberry</t>
        </is>
      </c>
      <c r="C1077" s="37" t="inlineStr">
        <is>
          <t>OPEN</t>
        </is>
      </c>
      <c r="D1077" s="37" t="n">
        <v>32</v>
      </c>
      <c r="E1077" s="37" t="inlineStr">
        <is>
          <t>OCCUPIED</t>
        </is>
      </c>
      <c r="F1077" s="37" t="inlineStr">
        <is>
          <t>WL-02318</t>
        </is>
      </c>
      <c r="G1077" s="37" t="inlineStr">
        <is>
          <t>Brittany Harris</t>
        </is>
      </c>
      <c r="H1077" s="37" t="n">
        <v>19.9</v>
      </c>
    </row>
    <row r="1078">
      <c r="A1078" s="37" t="inlineStr">
        <is>
          <t>SB-0511</t>
        </is>
      </c>
      <c r="B1078" s="37" t="inlineStr">
        <is>
          <t>Salmonberry</t>
        </is>
      </c>
      <c r="C1078" s="37" t="inlineStr">
        <is>
          <t>OPEN</t>
        </is>
      </c>
      <c r="D1078" s="37" t="n">
        <v>36</v>
      </c>
      <c r="E1078" s="37" t="inlineStr">
        <is>
          <t>OCCUPIED</t>
        </is>
      </c>
      <c r="F1078" s="37" t="inlineStr">
        <is>
          <t>WL-01844</t>
        </is>
      </c>
      <c r="G1078" s="37" t="inlineStr">
        <is>
          <t>Jeffrey Pearson</t>
        </is>
      </c>
      <c r="H1078" s="37" t="n">
        <v>55.4</v>
      </c>
    </row>
    <row r="1079">
      <c r="A1079" s="37" t="inlineStr">
        <is>
          <t>SB-0512</t>
        </is>
      </c>
      <c r="B1079" s="37" t="inlineStr">
        <is>
          <t>Salmonberry</t>
        </is>
      </c>
      <c r="C1079" s="37" t="inlineStr">
        <is>
          <t>OPEN</t>
        </is>
      </c>
      <c r="D1079" s="37" t="n">
        <v>45</v>
      </c>
      <c r="E1079" s="37" t="inlineStr">
        <is>
          <t>OCCUPIED</t>
        </is>
      </c>
      <c r="F1079" s="37" t="inlineStr">
        <is>
          <t>WL-01253</t>
        </is>
      </c>
      <c r="G1079" s="37" t="inlineStr">
        <is>
          <t>Brandon Sawyer</t>
        </is>
      </c>
      <c r="H1079" s="37" t="n">
        <v>52.6</v>
      </c>
    </row>
    <row r="1080">
      <c r="A1080" s="37" t="inlineStr">
        <is>
          <t>SB-0513</t>
        </is>
      </c>
      <c r="B1080" s="37" t="inlineStr">
        <is>
          <t>Salmonberry</t>
        </is>
      </c>
      <c r="C1080" s="37" t="inlineStr">
        <is>
          <t>OPEN</t>
        </is>
      </c>
      <c r="D1080" s="37" t="n">
        <v>28</v>
      </c>
      <c r="E1080" s="37" t="inlineStr">
        <is>
          <t>GUEST</t>
        </is>
      </c>
    </row>
    <row r="1081">
      <c r="A1081" s="37" t="inlineStr">
        <is>
          <t>SB-0514</t>
        </is>
      </c>
      <c r="B1081" s="37" t="inlineStr">
        <is>
          <t>Salmonberry</t>
        </is>
      </c>
      <c r="C1081" s="37" t="inlineStr">
        <is>
          <t>OPEN</t>
        </is>
      </c>
      <c r="D1081" s="37" t="n">
        <v>45</v>
      </c>
      <c r="E1081" s="37" t="inlineStr">
        <is>
          <t>OCCUPIED</t>
        </is>
      </c>
      <c r="F1081" s="37" t="inlineStr">
        <is>
          <t>WL-01190</t>
        </is>
      </c>
      <c r="G1081" s="37" t="inlineStr">
        <is>
          <t>James Cortez</t>
        </is>
      </c>
      <c r="H1081" s="37" t="n">
        <v>20.1</v>
      </c>
    </row>
    <row r="1082">
      <c r="A1082" s="37" t="inlineStr">
        <is>
          <t>SB-0515</t>
        </is>
      </c>
      <c r="B1082" s="37" t="inlineStr">
        <is>
          <t>Salmonberry</t>
        </is>
      </c>
      <c r="C1082" s="37" t="inlineStr">
        <is>
          <t>OPEN</t>
        </is>
      </c>
      <c r="D1082" s="37" t="n">
        <v>40</v>
      </c>
      <c r="E1082" s="37" t="inlineStr">
        <is>
          <t>OCCUPIED</t>
        </is>
      </c>
      <c r="F1082" s="37" t="inlineStr">
        <is>
          <t>WL-01458</t>
        </is>
      </c>
      <c r="G1082" s="37" t="inlineStr">
        <is>
          <t>Sean Ruiz</t>
        </is>
      </c>
      <c r="H1082" s="37" t="n">
        <v>22.8</v>
      </c>
    </row>
    <row r="1083">
      <c r="A1083" s="37" t="inlineStr">
        <is>
          <t>SB-0516</t>
        </is>
      </c>
      <c r="B1083" s="37" t="inlineStr">
        <is>
          <t>Salmonberry</t>
        </is>
      </c>
      <c r="C1083" s="37" t="inlineStr">
        <is>
          <t>OPEN</t>
        </is>
      </c>
      <c r="D1083" s="37" t="n">
        <v>60</v>
      </c>
      <c r="E1083" s="37" t="inlineStr">
        <is>
          <t>OCCUPIED</t>
        </is>
      </c>
      <c r="F1083" s="37" t="inlineStr">
        <is>
          <t>WL-02648</t>
        </is>
      </c>
      <c r="G1083" s="37" t="inlineStr">
        <is>
          <t>William Russell</t>
        </is>
      </c>
      <c r="H1083" s="37" t="n">
        <v>36.4</v>
      </c>
    </row>
    <row r="1084">
      <c r="A1084" s="37" t="inlineStr">
        <is>
          <t>SB-0517</t>
        </is>
      </c>
      <c r="B1084" s="37" t="inlineStr">
        <is>
          <t>Salmonberry</t>
        </is>
      </c>
      <c r="C1084" s="37" t="inlineStr">
        <is>
          <t>OPEN</t>
        </is>
      </c>
      <c r="D1084" s="37" t="n">
        <v>32</v>
      </c>
      <c r="E1084" s="37" t="inlineStr">
        <is>
          <t>GUEST</t>
        </is>
      </c>
    </row>
    <row r="1085">
      <c r="A1085" s="37" t="inlineStr">
        <is>
          <t>SB-0518</t>
        </is>
      </c>
      <c r="B1085" s="37" t="inlineStr">
        <is>
          <t>Salmonberry</t>
        </is>
      </c>
      <c r="C1085" s="37" t="inlineStr">
        <is>
          <t>OPEN</t>
        </is>
      </c>
      <c r="D1085" s="37" t="n">
        <v>45</v>
      </c>
      <c r="E1085" s="37" t="inlineStr">
        <is>
          <t>OCCUPIED</t>
        </is>
      </c>
      <c r="F1085" s="37" t="inlineStr">
        <is>
          <t>WL-02395</t>
        </is>
      </c>
      <c r="G1085" s="37" t="inlineStr">
        <is>
          <t>Scott Ramos</t>
        </is>
      </c>
      <c r="H1085" s="37" t="n">
        <v>24.9</v>
      </c>
    </row>
    <row r="1086">
      <c r="A1086" s="37" t="inlineStr">
        <is>
          <t>SB-0519</t>
        </is>
      </c>
      <c r="B1086" s="37" t="inlineStr">
        <is>
          <t>Salmonberry</t>
        </is>
      </c>
      <c r="C1086" s="37" t="inlineStr">
        <is>
          <t>OPEN</t>
        </is>
      </c>
      <c r="D1086" s="37" t="n">
        <v>32</v>
      </c>
      <c r="E1086" s="37" t="inlineStr">
        <is>
          <t>GUEST</t>
        </is>
      </c>
    </row>
    <row r="1087">
      <c r="A1087" s="37" t="inlineStr">
        <is>
          <t>SB-0520</t>
        </is>
      </c>
      <c r="B1087" s="37" t="inlineStr">
        <is>
          <t>Salmonberry</t>
        </is>
      </c>
      <c r="C1087" s="37" t="inlineStr">
        <is>
          <t>OPEN</t>
        </is>
      </c>
      <c r="D1087" s="37" t="n">
        <v>45</v>
      </c>
      <c r="E1087" s="37" t="inlineStr">
        <is>
          <t>OCCUPIED</t>
        </is>
      </c>
      <c r="F1087" s="37" t="inlineStr">
        <is>
          <t>WL-02847</t>
        </is>
      </c>
      <c r="G1087" s="37" t="inlineStr">
        <is>
          <t>Julie Johnston</t>
        </is>
      </c>
      <c r="H1087" s="37" t="n">
        <v>25.7</v>
      </c>
    </row>
    <row r="1088">
      <c r="A1088" s="37" t="inlineStr">
        <is>
          <t>SB-0521</t>
        </is>
      </c>
      <c r="B1088" s="37" t="inlineStr">
        <is>
          <t>Salmonberry</t>
        </is>
      </c>
      <c r="C1088" s="37" t="inlineStr">
        <is>
          <t>OPEN</t>
        </is>
      </c>
      <c r="D1088" s="37" t="n">
        <v>28</v>
      </c>
      <c r="E1088" s="37" t="inlineStr">
        <is>
          <t>OCCUPIED</t>
        </is>
      </c>
      <c r="F1088" s="37" t="inlineStr">
        <is>
          <t>WL-03663</t>
        </is>
      </c>
      <c r="G1088" s="37" t="inlineStr">
        <is>
          <t>Jasmine Page</t>
        </is>
      </c>
      <c r="H1088" s="37" t="n">
        <v>54.6</v>
      </c>
    </row>
    <row r="1089">
      <c r="A1089" s="37" t="inlineStr">
        <is>
          <t>SB-0522</t>
        </is>
      </c>
      <c r="B1089" s="37" t="inlineStr">
        <is>
          <t>Salmonberry</t>
        </is>
      </c>
      <c r="C1089" s="37" t="inlineStr">
        <is>
          <t>OPEN</t>
        </is>
      </c>
      <c r="D1089" s="37" t="n">
        <v>40</v>
      </c>
      <c r="E1089" s="37" t="inlineStr">
        <is>
          <t>OCCUPIED</t>
        </is>
      </c>
      <c r="F1089" s="37" t="inlineStr">
        <is>
          <t>WL-03063</t>
        </is>
      </c>
      <c r="G1089" s="37" t="inlineStr">
        <is>
          <t>Natalie Stout</t>
        </is>
      </c>
      <c r="H1089" s="37" t="n">
        <v>31.6</v>
      </c>
    </row>
    <row r="1090">
      <c r="A1090" s="37" t="inlineStr">
        <is>
          <t>SB-0523</t>
        </is>
      </c>
      <c r="B1090" s="37" t="inlineStr">
        <is>
          <t>Salmonberry</t>
        </is>
      </c>
      <c r="C1090" s="37" t="inlineStr">
        <is>
          <t>OPEN</t>
        </is>
      </c>
      <c r="D1090" s="37" t="n">
        <v>32</v>
      </c>
      <c r="E1090" s="37" t="inlineStr">
        <is>
          <t>OCCUPIED</t>
        </is>
      </c>
      <c r="F1090" s="37" t="inlineStr">
        <is>
          <t>WL-03436</t>
        </is>
      </c>
      <c r="G1090" s="37" t="inlineStr">
        <is>
          <t>Katherine Hunter</t>
        </is>
      </c>
      <c r="H1090" s="37" t="n">
        <v>47.2</v>
      </c>
    </row>
    <row r="1091">
      <c r="A1091" s="37" t="inlineStr">
        <is>
          <t>SB-0524</t>
        </is>
      </c>
      <c r="B1091" s="37" t="inlineStr">
        <is>
          <t>Salmonberry</t>
        </is>
      </c>
      <c r="C1091" s="37" t="inlineStr">
        <is>
          <t>OPEN</t>
        </is>
      </c>
      <c r="D1091" s="37" t="n">
        <v>24</v>
      </c>
      <c r="E1091" s="37" t="inlineStr">
        <is>
          <t>OCCUPIED</t>
        </is>
      </c>
      <c r="F1091" s="37" t="inlineStr">
        <is>
          <t>WL-03511</t>
        </is>
      </c>
      <c r="G1091" s="37" t="inlineStr">
        <is>
          <t>Kristen Turner</t>
        </is>
      </c>
      <c r="H1091" s="37" t="n">
        <v>40.4</v>
      </c>
    </row>
    <row r="1092">
      <c r="A1092" s="37" t="inlineStr">
        <is>
          <t>SB-0601</t>
        </is>
      </c>
      <c r="B1092" s="37" t="inlineStr">
        <is>
          <t>Salmonberry</t>
        </is>
      </c>
      <c r="C1092" s="37" t="inlineStr">
        <is>
          <t>OPEN</t>
        </is>
      </c>
      <c r="D1092" s="37" t="n">
        <v>24</v>
      </c>
      <c r="E1092" s="37" t="inlineStr">
        <is>
          <t>OCCUPIED</t>
        </is>
      </c>
      <c r="F1092" s="37" t="inlineStr">
        <is>
          <t>WL-02855</t>
        </is>
      </c>
      <c r="G1092" s="37" t="inlineStr">
        <is>
          <t>Kristy Bernard</t>
        </is>
      </c>
      <c r="H1092" s="37" t="n">
        <v>34.5</v>
      </c>
    </row>
    <row r="1093">
      <c r="A1093" s="37" t="inlineStr">
        <is>
          <t>SB-0602</t>
        </is>
      </c>
      <c r="B1093" s="37" t="inlineStr">
        <is>
          <t>Salmonberry</t>
        </is>
      </c>
      <c r="C1093" s="37" t="inlineStr">
        <is>
          <t>OPEN</t>
        </is>
      </c>
      <c r="D1093" s="37" t="n">
        <v>40</v>
      </c>
      <c r="E1093" s="37" t="inlineStr">
        <is>
          <t>OCCUPIED</t>
        </is>
      </c>
      <c r="F1093" s="37" t="inlineStr">
        <is>
          <t>WL-03696</t>
        </is>
      </c>
      <c r="G1093" s="37" t="inlineStr">
        <is>
          <t>Natalie Duncan</t>
        </is>
      </c>
      <c r="H1093" s="37" t="n">
        <v>52.7</v>
      </c>
    </row>
    <row r="1094">
      <c r="A1094" s="37" t="inlineStr">
        <is>
          <t>SB-0603</t>
        </is>
      </c>
      <c r="B1094" s="37" t="inlineStr">
        <is>
          <t>Salmonberry</t>
        </is>
      </c>
      <c r="C1094" s="37" t="inlineStr">
        <is>
          <t>OPEN</t>
        </is>
      </c>
      <c r="D1094" s="37" t="n">
        <v>32</v>
      </c>
      <c r="E1094" s="37" t="inlineStr">
        <is>
          <t>OCCUPIED</t>
        </is>
      </c>
      <c r="F1094" s="37" t="inlineStr">
        <is>
          <t>WL-01326</t>
        </is>
      </c>
      <c r="G1094" s="37" t="inlineStr">
        <is>
          <t>Kristin Smith</t>
        </is>
      </c>
      <c r="H1094" s="37" t="n">
        <v>33.2</v>
      </c>
    </row>
    <row r="1095">
      <c r="A1095" s="37" t="inlineStr">
        <is>
          <t>SB-0604</t>
        </is>
      </c>
      <c r="B1095" s="37" t="inlineStr">
        <is>
          <t>Salmonberry</t>
        </is>
      </c>
      <c r="C1095" s="37" t="inlineStr">
        <is>
          <t>OPEN</t>
        </is>
      </c>
      <c r="D1095" s="37" t="n">
        <v>80</v>
      </c>
      <c r="E1095" s="37" t="inlineStr">
        <is>
          <t>OCCUPIED</t>
        </is>
      </c>
      <c r="F1095" s="37" t="inlineStr">
        <is>
          <t>WL-03071</t>
        </is>
      </c>
      <c r="G1095" s="37" t="inlineStr">
        <is>
          <t>Kenneth Jones</t>
        </is>
      </c>
      <c r="H1095" s="37" t="n">
        <v>21</v>
      </c>
    </row>
    <row r="1096">
      <c r="A1096" s="37" t="inlineStr">
        <is>
          <t>SB-0605</t>
        </is>
      </c>
      <c r="B1096" s="37" t="inlineStr">
        <is>
          <t>Salmonberry</t>
        </is>
      </c>
      <c r="C1096" s="37" t="inlineStr">
        <is>
          <t>OPEN</t>
        </is>
      </c>
      <c r="D1096" s="37" t="n">
        <v>24</v>
      </c>
      <c r="E1096" s="37" t="inlineStr">
        <is>
          <t>OCCUPIED</t>
        </is>
      </c>
      <c r="F1096" s="37" t="inlineStr">
        <is>
          <t>WL-02387</t>
        </is>
      </c>
      <c r="G1096" s="37" t="inlineStr">
        <is>
          <t>Scott Roberts</t>
        </is>
      </c>
      <c r="H1096" s="37" t="n">
        <v>41.9</v>
      </c>
    </row>
    <row r="1097">
      <c r="A1097" s="37" t="inlineStr">
        <is>
          <t>SB-0606</t>
        </is>
      </c>
      <c r="B1097" s="37" t="inlineStr">
        <is>
          <t>Salmonberry</t>
        </is>
      </c>
      <c r="C1097" s="37" t="inlineStr">
        <is>
          <t>OPEN</t>
        </is>
      </c>
      <c r="D1097" s="37" t="n">
        <v>80</v>
      </c>
      <c r="E1097" s="37" t="inlineStr">
        <is>
          <t>OCCUPIED</t>
        </is>
      </c>
      <c r="F1097" s="37" t="inlineStr">
        <is>
          <t>WL-02385</t>
        </is>
      </c>
      <c r="G1097" s="37" t="inlineStr">
        <is>
          <t>John Lopez</t>
        </is>
      </c>
      <c r="H1097" s="37" t="n">
        <v>47.1</v>
      </c>
    </row>
    <row r="1098">
      <c r="A1098" s="37" t="inlineStr">
        <is>
          <t>SB-0607</t>
        </is>
      </c>
      <c r="B1098" s="37" t="inlineStr">
        <is>
          <t>Salmonberry</t>
        </is>
      </c>
      <c r="C1098" s="37" t="inlineStr">
        <is>
          <t>OPEN</t>
        </is>
      </c>
      <c r="D1098" s="37" t="n">
        <v>40</v>
      </c>
      <c r="E1098" s="37" t="inlineStr">
        <is>
          <t>OCCUPIED</t>
        </is>
      </c>
      <c r="F1098" s="37" t="inlineStr">
        <is>
          <t>WL-03601</t>
        </is>
      </c>
      <c r="G1098" s="37" t="inlineStr">
        <is>
          <t>Jenny Perez</t>
        </is>
      </c>
      <c r="H1098" s="37" t="n">
        <v>30.9</v>
      </c>
    </row>
    <row r="1099">
      <c r="A1099" s="37" t="inlineStr">
        <is>
          <t>SB-0608</t>
        </is>
      </c>
      <c r="B1099" s="37" t="inlineStr">
        <is>
          <t>Salmonberry</t>
        </is>
      </c>
      <c r="C1099" s="37" t="inlineStr">
        <is>
          <t>OPEN</t>
        </is>
      </c>
      <c r="D1099" s="37" t="n">
        <v>50</v>
      </c>
      <c r="E1099" s="37" t="inlineStr">
        <is>
          <t>VACANT</t>
        </is>
      </c>
    </row>
    <row r="1100">
      <c r="A1100" s="37" t="inlineStr">
        <is>
          <t>SB-0609</t>
        </is>
      </c>
      <c r="B1100" s="37" t="inlineStr">
        <is>
          <t>Salmonberry</t>
        </is>
      </c>
      <c r="C1100" s="37" t="inlineStr">
        <is>
          <t>OPEN</t>
        </is>
      </c>
      <c r="D1100" s="37" t="n">
        <v>36</v>
      </c>
      <c r="E1100" s="37" t="inlineStr">
        <is>
          <t>OCCUPIED</t>
        </is>
      </c>
      <c r="F1100" s="37" t="inlineStr">
        <is>
          <t>WL-01633</t>
        </is>
      </c>
      <c r="G1100" s="37" t="inlineStr">
        <is>
          <t>Michael Gonzalez</t>
        </is>
      </c>
      <c r="H1100" s="37" t="n">
        <v>37</v>
      </c>
    </row>
    <row r="1101">
      <c r="A1101" s="37" t="inlineStr">
        <is>
          <t>SB-0610</t>
        </is>
      </c>
      <c r="B1101" s="37" t="inlineStr">
        <is>
          <t>Salmonberry</t>
        </is>
      </c>
      <c r="C1101" s="37" t="inlineStr">
        <is>
          <t>OPEN</t>
        </is>
      </c>
      <c r="D1101" s="37" t="n">
        <v>60</v>
      </c>
      <c r="E1101" s="37" t="inlineStr">
        <is>
          <t>OCCUPIED</t>
        </is>
      </c>
      <c r="F1101" s="37" t="inlineStr">
        <is>
          <t>WL-02854</t>
        </is>
      </c>
      <c r="G1101" s="37" t="inlineStr">
        <is>
          <t>Michael Martinez</t>
        </is>
      </c>
      <c r="H1101" s="37" t="n">
        <v>31.7</v>
      </c>
    </row>
    <row r="1102">
      <c r="A1102" s="37" t="inlineStr">
        <is>
          <t>SB-0611</t>
        </is>
      </c>
      <c r="B1102" s="37" t="inlineStr">
        <is>
          <t>Salmonberry</t>
        </is>
      </c>
      <c r="C1102" s="37" t="inlineStr">
        <is>
          <t>OPEN</t>
        </is>
      </c>
      <c r="D1102" s="37" t="n">
        <v>36</v>
      </c>
      <c r="E1102" s="37" t="inlineStr">
        <is>
          <t>OCCUPIED</t>
        </is>
      </c>
      <c r="F1102" s="37" t="inlineStr">
        <is>
          <t>WL-02381</t>
        </is>
      </c>
      <c r="G1102" s="37" t="inlineStr">
        <is>
          <t>Gary Waters</t>
        </is>
      </c>
      <c r="H1102" s="37" t="n">
        <v>24.7</v>
      </c>
    </row>
    <row r="1103">
      <c r="A1103" s="37" t="inlineStr">
        <is>
          <t>SB-0612</t>
        </is>
      </c>
      <c r="B1103" s="37" t="inlineStr">
        <is>
          <t>Salmonberry</t>
        </is>
      </c>
      <c r="C1103" s="37" t="inlineStr">
        <is>
          <t>OPEN</t>
        </is>
      </c>
      <c r="D1103" s="37" t="n">
        <v>24</v>
      </c>
      <c r="E1103" s="37" t="inlineStr">
        <is>
          <t>OCCUPIED</t>
        </is>
      </c>
      <c r="F1103" s="37" t="inlineStr">
        <is>
          <t>WL-03514</t>
        </is>
      </c>
      <c r="G1103" s="37" t="inlineStr">
        <is>
          <t>Marvin Davila</t>
        </is>
      </c>
      <c r="H1103" s="37" t="n">
        <v>45</v>
      </c>
    </row>
    <row r="1104">
      <c r="A1104" s="37" t="inlineStr">
        <is>
          <t>SB-0613</t>
        </is>
      </c>
      <c r="B1104" s="37" t="inlineStr">
        <is>
          <t>Salmonberry</t>
        </is>
      </c>
      <c r="C1104" s="37" t="inlineStr">
        <is>
          <t>OPEN</t>
        </is>
      </c>
      <c r="D1104" s="37" t="n">
        <v>28</v>
      </c>
      <c r="E1104" s="37" t="inlineStr">
        <is>
          <t>OCCUPIED</t>
        </is>
      </c>
      <c r="F1104" s="37" t="inlineStr">
        <is>
          <t>WL-03616</t>
        </is>
      </c>
      <c r="G1104" s="37" t="inlineStr">
        <is>
          <t>Martin King</t>
        </is>
      </c>
      <c r="H1104" s="37" t="n">
        <v>53.6</v>
      </c>
    </row>
    <row r="1105">
      <c r="A1105" s="37" t="inlineStr">
        <is>
          <t>SB-0614</t>
        </is>
      </c>
      <c r="B1105" s="37" t="inlineStr">
        <is>
          <t>Salmonberry</t>
        </is>
      </c>
      <c r="C1105" s="37" t="inlineStr">
        <is>
          <t>OPEN</t>
        </is>
      </c>
      <c r="D1105" s="37" t="n">
        <v>80</v>
      </c>
      <c r="E1105" s="37" t="inlineStr">
        <is>
          <t>OCCUPIED</t>
        </is>
      </c>
      <c r="F1105" s="37" t="inlineStr">
        <is>
          <t>WL-01755</t>
        </is>
      </c>
      <c r="G1105" s="37" t="inlineStr">
        <is>
          <t>Joshua Walton</t>
        </is>
      </c>
      <c r="H1105" s="37" t="n">
        <v>49.5</v>
      </c>
    </row>
    <row r="1106">
      <c r="A1106" s="37" t="inlineStr">
        <is>
          <t>SB-0615</t>
        </is>
      </c>
      <c r="B1106" s="37" t="inlineStr">
        <is>
          <t>Salmonberry</t>
        </is>
      </c>
      <c r="C1106" s="37" t="inlineStr">
        <is>
          <t>OPEN</t>
        </is>
      </c>
      <c r="D1106" s="37" t="n">
        <v>45</v>
      </c>
      <c r="E1106" s="37" t="inlineStr">
        <is>
          <t>OCCUPIED</t>
        </is>
      </c>
      <c r="F1106" s="37" t="inlineStr">
        <is>
          <t>WL-01424</t>
        </is>
      </c>
      <c r="G1106" s="37" t="inlineStr">
        <is>
          <t>Kristen Miller</t>
        </is>
      </c>
      <c r="H1106" s="37" t="n">
        <v>27.7</v>
      </c>
    </row>
    <row r="1107">
      <c r="A1107" s="37" t="inlineStr">
        <is>
          <t>SB-0616</t>
        </is>
      </c>
      <c r="B1107" s="37" t="inlineStr">
        <is>
          <t>Salmonberry</t>
        </is>
      </c>
      <c r="C1107" s="37" t="inlineStr">
        <is>
          <t>OPEN</t>
        </is>
      </c>
      <c r="D1107" s="37" t="n">
        <v>24</v>
      </c>
      <c r="E1107" s="37" t="inlineStr">
        <is>
          <t>OCCUPIED</t>
        </is>
      </c>
      <c r="F1107" s="37" t="inlineStr">
        <is>
          <t>WL-03789</t>
        </is>
      </c>
      <c r="G1107" s="37" t="inlineStr">
        <is>
          <t>Christopher Dorsey</t>
        </is>
      </c>
      <c r="H1107" s="37" t="n">
        <v>41.8</v>
      </c>
    </row>
    <row r="1108">
      <c r="A1108" s="37" t="inlineStr">
        <is>
          <t>SB-0617</t>
        </is>
      </c>
      <c r="B1108" s="37" t="inlineStr">
        <is>
          <t>Salmonberry</t>
        </is>
      </c>
      <c r="C1108" s="37" t="inlineStr">
        <is>
          <t>OPEN</t>
        </is>
      </c>
      <c r="D1108" s="37" t="n">
        <v>36</v>
      </c>
      <c r="E1108" s="37" t="inlineStr">
        <is>
          <t>OCCUPIED</t>
        </is>
      </c>
      <c r="F1108" s="37" t="inlineStr">
        <is>
          <t>WL-01894</t>
        </is>
      </c>
      <c r="G1108" s="37" t="inlineStr">
        <is>
          <t>Linda Taylor</t>
        </is>
      </c>
      <c r="H1108" s="37" t="n">
        <v>26.3</v>
      </c>
    </row>
    <row r="1109">
      <c r="A1109" s="37" t="inlineStr">
        <is>
          <t>SB-0618</t>
        </is>
      </c>
      <c r="B1109" s="37" t="inlineStr">
        <is>
          <t>Salmonberry</t>
        </is>
      </c>
      <c r="C1109" s="37" t="inlineStr">
        <is>
          <t>OPEN</t>
        </is>
      </c>
      <c r="D1109" s="37" t="n">
        <v>32</v>
      </c>
      <c r="E1109" s="37" t="inlineStr">
        <is>
          <t>MAINTENANCE</t>
        </is>
      </c>
    </row>
    <row r="1110">
      <c r="A1110" s="37" t="inlineStr">
        <is>
          <t>SB-0619</t>
        </is>
      </c>
      <c r="B1110" s="37" t="inlineStr">
        <is>
          <t>Salmonberry</t>
        </is>
      </c>
      <c r="C1110" s="37" t="inlineStr">
        <is>
          <t>OPEN</t>
        </is>
      </c>
      <c r="D1110" s="37" t="n">
        <v>24</v>
      </c>
      <c r="E1110" s="37" t="inlineStr">
        <is>
          <t>OCCUPIED</t>
        </is>
      </c>
      <c r="F1110" s="37" t="inlineStr">
        <is>
          <t>WL-01977</t>
        </is>
      </c>
      <c r="G1110" s="37" t="inlineStr">
        <is>
          <t>Adam Warner</t>
        </is>
      </c>
      <c r="H1110" s="37" t="n">
        <v>26.3</v>
      </c>
    </row>
    <row r="1111">
      <c r="A1111" s="37" t="inlineStr">
        <is>
          <t>SB-0620</t>
        </is>
      </c>
      <c r="B1111" s="37" t="inlineStr">
        <is>
          <t>Salmonberry</t>
        </is>
      </c>
      <c r="C1111" s="37" t="inlineStr">
        <is>
          <t>OPEN</t>
        </is>
      </c>
      <c r="D1111" s="37" t="n">
        <v>60</v>
      </c>
      <c r="E1111" s="37" t="inlineStr">
        <is>
          <t>OCCUPIED</t>
        </is>
      </c>
      <c r="F1111" s="37" t="inlineStr">
        <is>
          <t>WL-01426</t>
        </is>
      </c>
      <c r="G1111" s="37" t="inlineStr">
        <is>
          <t>Glen Owen</t>
        </is>
      </c>
      <c r="H1111" s="37" t="n">
        <v>61.4</v>
      </c>
    </row>
    <row r="1112">
      <c r="A1112" s="37" t="inlineStr">
        <is>
          <t>SB-0621</t>
        </is>
      </c>
      <c r="B1112" s="37" t="inlineStr">
        <is>
          <t>Salmonberry</t>
        </is>
      </c>
      <c r="C1112" s="37" t="inlineStr">
        <is>
          <t>OPEN</t>
        </is>
      </c>
      <c r="D1112" s="37" t="n">
        <v>32</v>
      </c>
      <c r="E1112" s="37" t="inlineStr">
        <is>
          <t>OCCUPIED</t>
        </is>
      </c>
      <c r="F1112" s="37" t="inlineStr">
        <is>
          <t>WL-01415</t>
        </is>
      </c>
      <c r="G1112" s="37" t="inlineStr">
        <is>
          <t>Jeremy Stevens</t>
        </is>
      </c>
      <c r="H1112" s="37" t="n">
        <v>25.8</v>
      </c>
    </row>
    <row r="1113">
      <c r="A1113" s="37" t="inlineStr">
        <is>
          <t>SB-0622</t>
        </is>
      </c>
      <c r="B1113" s="37" t="inlineStr">
        <is>
          <t>Salmonberry</t>
        </is>
      </c>
      <c r="C1113" s="37" t="inlineStr">
        <is>
          <t>OPEN</t>
        </is>
      </c>
      <c r="D1113" s="37" t="n">
        <v>32</v>
      </c>
      <c r="E1113" s="37" t="inlineStr">
        <is>
          <t>OCCUPIED</t>
        </is>
      </c>
      <c r="F1113" s="37" t="inlineStr">
        <is>
          <t>WL-03668</t>
        </is>
      </c>
      <c r="G1113" s="37" t="inlineStr">
        <is>
          <t>Anthony Morris</t>
        </is>
      </c>
      <c r="H1113" s="37" t="n">
        <v>34.1</v>
      </c>
    </row>
    <row r="1114">
      <c r="A1114" s="37" t="inlineStr">
        <is>
          <t>SB-0623</t>
        </is>
      </c>
      <c r="B1114" s="37" t="inlineStr">
        <is>
          <t>Salmonberry</t>
        </is>
      </c>
      <c r="C1114" s="37" t="inlineStr">
        <is>
          <t>OPEN</t>
        </is>
      </c>
      <c r="D1114" s="37" t="n">
        <v>28</v>
      </c>
      <c r="E1114" s="37" t="inlineStr">
        <is>
          <t>OCCUPIED</t>
        </is>
      </c>
      <c r="F1114" s="37" t="inlineStr">
        <is>
          <t>WL-01938</t>
        </is>
      </c>
      <c r="G1114" s="37" t="inlineStr">
        <is>
          <t>Ian Webb</t>
        </is>
      </c>
      <c r="H1114" s="37" t="n">
        <v>41.8</v>
      </c>
    </row>
    <row r="1115">
      <c r="A1115" s="37" t="inlineStr">
        <is>
          <t>SB-0624</t>
        </is>
      </c>
      <c r="B1115" s="37" t="inlineStr">
        <is>
          <t>Salmonberry</t>
        </is>
      </c>
      <c r="C1115" s="37" t="inlineStr">
        <is>
          <t>OPEN</t>
        </is>
      </c>
      <c r="D1115" s="37" t="n">
        <v>24</v>
      </c>
      <c r="E1115" s="37" t="inlineStr">
        <is>
          <t>OCCUPIED</t>
        </is>
      </c>
      <c r="F1115" s="37" t="inlineStr">
        <is>
          <t>WL-01530</t>
        </is>
      </c>
      <c r="G1115" s="37" t="inlineStr">
        <is>
          <t>Sean Huber</t>
        </is>
      </c>
      <c r="H1115" s="37" t="n">
        <v>32.4</v>
      </c>
    </row>
    <row r="1116">
      <c r="A1116" s="37" t="inlineStr">
        <is>
          <t>SB-0701</t>
        </is>
      </c>
      <c r="B1116" s="37" t="inlineStr">
        <is>
          <t>Salmonberry</t>
        </is>
      </c>
      <c r="C1116" s="37" t="inlineStr">
        <is>
          <t>OPEN</t>
        </is>
      </c>
      <c r="D1116" s="37" t="n">
        <v>28</v>
      </c>
      <c r="E1116" s="37" t="inlineStr">
        <is>
          <t>OCCUPIED</t>
        </is>
      </c>
      <c r="F1116" s="37" t="inlineStr">
        <is>
          <t>WL-02761</t>
        </is>
      </c>
      <c r="G1116" s="37" t="inlineStr">
        <is>
          <t>Timothy Coleman</t>
        </is>
      </c>
      <c r="H1116" s="37" t="n">
        <v>37.3</v>
      </c>
    </row>
    <row r="1117">
      <c r="A1117" s="37" t="inlineStr">
        <is>
          <t>SB-0702</t>
        </is>
      </c>
      <c r="B1117" s="37" t="inlineStr">
        <is>
          <t>Salmonberry</t>
        </is>
      </c>
      <c r="C1117" s="37" t="inlineStr">
        <is>
          <t>OPEN</t>
        </is>
      </c>
      <c r="D1117" s="37" t="n">
        <v>50</v>
      </c>
      <c r="E1117" s="37" t="inlineStr">
        <is>
          <t>OCCUPIED</t>
        </is>
      </c>
      <c r="F1117" s="37" t="inlineStr">
        <is>
          <t>WL-03233</t>
        </is>
      </c>
      <c r="G1117" s="37" t="inlineStr">
        <is>
          <t>Erin Williams</t>
        </is>
      </c>
      <c r="H1117" s="37" t="n">
        <v>19.2</v>
      </c>
    </row>
    <row r="1118">
      <c r="A1118" s="37" t="inlineStr">
        <is>
          <t>SB-0703</t>
        </is>
      </c>
      <c r="B1118" s="37" t="inlineStr">
        <is>
          <t>Salmonberry</t>
        </is>
      </c>
      <c r="C1118" s="37" t="inlineStr">
        <is>
          <t>OPEN</t>
        </is>
      </c>
      <c r="D1118" s="37" t="n">
        <v>32</v>
      </c>
      <c r="E1118" s="37" t="inlineStr">
        <is>
          <t>OCCUPIED</t>
        </is>
      </c>
      <c r="F1118" s="37" t="inlineStr">
        <is>
          <t>WL-03044</t>
        </is>
      </c>
      <c r="G1118" s="37" t="inlineStr">
        <is>
          <t>Iris Quan</t>
        </is>
      </c>
      <c r="H1118" s="37" t="n">
        <v>23.6</v>
      </c>
    </row>
    <row r="1119">
      <c r="A1119" s="37" t="inlineStr">
        <is>
          <t>SB-0704</t>
        </is>
      </c>
      <c r="B1119" s="37" t="inlineStr">
        <is>
          <t>Salmonberry</t>
        </is>
      </c>
      <c r="C1119" s="37" t="inlineStr">
        <is>
          <t>OPEN</t>
        </is>
      </c>
      <c r="D1119" s="37" t="n">
        <v>70</v>
      </c>
      <c r="E1119" s="37" t="inlineStr">
        <is>
          <t>OCCUPIED</t>
        </is>
      </c>
      <c r="F1119" s="37" t="inlineStr">
        <is>
          <t>WL-02338</t>
        </is>
      </c>
      <c r="G1119" s="37" t="inlineStr">
        <is>
          <t>Deborah Estrada</t>
        </is>
      </c>
      <c r="H1119" s="37" t="n">
        <v>25.3</v>
      </c>
    </row>
    <row r="1120">
      <c r="A1120" s="37" t="inlineStr">
        <is>
          <t>SB-0705</t>
        </is>
      </c>
      <c r="B1120" s="37" t="inlineStr">
        <is>
          <t>Salmonberry</t>
        </is>
      </c>
      <c r="C1120" s="37" t="inlineStr">
        <is>
          <t>OPEN</t>
        </is>
      </c>
      <c r="D1120" s="37" t="n">
        <v>28</v>
      </c>
      <c r="E1120" s="37" t="inlineStr">
        <is>
          <t>OCCUPIED</t>
        </is>
      </c>
      <c r="F1120" s="37" t="inlineStr">
        <is>
          <t>WL-01922</t>
        </is>
      </c>
      <c r="G1120" s="37" t="inlineStr">
        <is>
          <t>Jodi Holland</t>
        </is>
      </c>
      <c r="H1120" s="37" t="n">
        <v>48.9</v>
      </c>
    </row>
    <row r="1121">
      <c r="A1121" s="37" t="inlineStr">
        <is>
          <t>SB-0706</t>
        </is>
      </c>
      <c r="B1121" s="37" t="inlineStr">
        <is>
          <t>Salmonberry</t>
        </is>
      </c>
      <c r="C1121" s="37" t="inlineStr">
        <is>
          <t>OPEN</t>
        </is>
      </c>
      <c r="D1121" s="37" t="n">
        <v>28</v>
      </c>
      <c r="E1121" s="37" t="inlineStr">
        <is>
          <t>OCCUPIED</t>
        </is>
      </c>
      <c r="F1121" s="37" t="inlineStr">
        <is>
          <t>WL-02346</t>
        </is>
      </c>
      <c r="G1121" s="37" t="inlineStr">
        <is>
          <t>Tammy Thomas</t>
        </is>
      </c>
      <c r="H1121" s="37" t="n">
        <v>44.5</v>
      </c>
    </row>
    <row r="1122">
      <c r="A1122" s="37" t="inlineStr">
        <is>
          <t>SB-0707</t>
        </is>
      </c>
      <c r="B1122" s="37" t="inlineStr">
        <is>
          <t>Salmonberry</t>
        </is>
      </c>
      <c r="C1122" s="37" t="inlineStr">
        <is>
          <t>OPEN</t>
        </is>
      </c>
      <c r="D1122" s="37" t="n">
        <v>45</v>
      </c>
      <c r="E1122" s="37" t="inlineStr">
        <is>
          <t>OCCUPIED</t>
        </is>
      </c>
      <c r="F1122" s="37" t="inlineStr">
        <is>
          <t>WL-01946</t>
        </is>
      </c>
      <c r="G1122" s="37" t="inlineStr">
        <is>
          <t>David Sweeney</t>
        </is>
      </c>
      <c r="H1122" s="37" t="n">
        <v>38.7</v>
      </c>
    </row>
    <row r="1123">
      <c r="A1123" s="37" t="inlineStr">
        <is>
          <t>SB-0708</t>
        </is>
      </c>
      <c r="B1123" s="37" t="inlineStr">
        <is>
          <t>Salmonberry</t>
        </is>
      </c>
      <c r="C1123" s="37" t="inlineStr">
        <is>
          <t>OPEN</t>
        </is>
      </c>
      <c r="D1123" s="37" t="n">
        <v>24</v>
      </c>
      <c r="E1123" s="37" t="inlineStr">
        <is>
          <t>OCCUPIED</t>
        </is>
      </c>
      <c r="F1123" s="37" t="inlineStr">
        <is>
          <t>WL-02065</t>
        </is>
      </c>
      <c r="G1123" s="37" t="inlineStr">
        <is>
          <t>Christopher Torres</t>
        </is>
      </c>
      <c r="H1123" s="37" t="n">
        <v>25.7</v>
      </c>
    </row>
    <row r="1124">
      <c r="A1124" s="37" t="inlineStr">
        <is>
          <t>SB-0709</t>
        </is>
      </c>
      <c r="B1124" s="37" t="inlineStr">
        <is>
          <t>Salmonberry</t>
        </is>
      </c>
      <c r="C1124" s="37" t="inlineStr">
        <is>
          <t>OPEN</t>
        </is>
      </c>
      <c r="D1124" s="37" t="n">
        <v>28</v>
      </c>
      <c r="E1124" s="37" t="inlineStr">
        <is>
          <t>OCCUPIED</t>
        </is>
      </c>
      <c r="F1124" s="37" t="inlineStr">
        <is>
          <t>WL-03577</t>
        </is>
      </c>
      <c r="G1124" s="37" t="inlineStr">
        <is>
          <t>Charles Bell</t>
        </is>
      </c>
      <c r="H1124" s="37" t="n">
        <v>27.1</v>
      </c>
    </row>
    <row r="1125">
      <c r="A1125" s="37" t="inlineStr">
        <is>
          <t>SB-0710</t>
        </is>
      </c>
      <c r="B1125" s="37" t="inlineStr">
        <is>
          <t>Salmonberry</t>
        </is>
      </c>
      <c r="C1125" s="37" t="inlineStr">
        <is>
          <t>OPEN</t>
        </is>
      </c>
      <c r="D1125" s="37" t="n">
        <v>50</v>
      </c>
      <c r="E1125" s="37" t="inlineStr">
        <is>
          <t>OCCUPIED</t>
        </is>
      </c>
      <c r="F1125" s="37" t="inlineStr">
        <is>
          <t>WL-01525</t>
        </is>
      </c>
      <c r="G1125" s="37" t="inlineStr">
        <is>
          <t>Holly Myers</t>
        </is>
      </c>
      <c r="H1125" s="37" t="n">
        <v>36.7</v>
      </c>
    </row>
    <row r="1126">
      <c r="A1126" s="37" t="inlineStr">
        <is>
          <t>SB-0711</t>
        </is>
      </c>
      <c r="B1126" s="37" t="inlineStr">
        <is>
          <t>Salmonberry</t>
        </is>
      </c>
      <c r="C1126" s="37" t="inlineStr">
        <is>
          <t>OPEN</t>
        </is>
      </c>
      <c r="D1126" s="37" t="n">
        <v>24</v>
      </c>
      <c r="E1126" s="37" t="inlineStr">
        <is>
          <t>OCCUPIED</t>
        </is>
      </c>
      <c r="F1126" s="37" t="inlineStr">
        <is>
          <t>WL-03861</t>
        </is>
      </c>
      <c r="G1126" s="37" t="inlineStr">
        <is>
          <t>Joseph Koch</t>
        </is>
      </c>
      <c r="H1126" s="37" t="n">
        <v>49.2</v>
      </c>
    </row>
    <row r="1127">
      <c r="A1127" s="37" t="inlineStr">
        <is>
          <t>SB-0712</t>
        </is>
      </c>
      <c r="B1127" s="37" t="inlineStr">
        <is>
          <t>Salmonberry</t>
        </is>
      </c>
      <c r="C1127" s="37" t="inlineStr">
        <is>
          <t>OPEN</t>
        </is>
      </c>
      <c r="D1127" s="37" t="n">
        <v>70</v>
      </c>
      <c r="E1127" s="37" t="inlineStr">
        <is>
          <t>OCCUPIED</t>
        </is>
      </c>
      <c r="F1127" s="37" t="inlineStr">
        <is>
          <t>WL-03248</t>
        </is>
      </c>
      <c r="G1127" s="37" t="inlineStr">
        <is>
          <t>Theresa Grant</t>
        </is>
      </c>
      <c r="H1127" s="37" t="n">
        <v>20.5</v>
      </c>
    </row>
    <row r="1128">
      <c r="A1128" s="37" t="inlineStr">
        <is>
          <t>SB-0713</t>
        </is>
      </c>
      <c r="B1128" s="37" t="inlineStr">
        <is>
          <t>Salmonberry</t>
        </is>
      </c>
      <c r="C1128" s="37" t="inlineStr">
        <is>
          <t>OPEN</t>
        </is>
      </c>
      <c r="D1128" s="37" t="n">
        <v>60</v>
      </c>
      <c r="E1128" s="37" t="inlineStr">
        <is>
          <t>OCCUPIED</t>
        </is>
      </c>
      <c r="F1128" s="37" t="inlineStr">
        <is>
          <t>WL-03510</t>
        </is>
      </c>
      <c r="G1128" s="37" t="inlineStr">
        <is>
          <t>Kimberly Pearson</t>
        </is>
      </c>
      <c r="H1128" s="37" t="n">
        <v>42</v>
      </c>
    </row>
    <row r="1129">
      <c r="A1129" s="37" t="inlineStr">
        <is>
          <t>SB-0714</t>
        </is>
      </c>
      <c r="B1129" s="37" t="inlineStr">
        <is>
          <t>Salmonberry</t>
        </is>
      </c>
      <c r="C1129" s="37" t="inlineStr">
        <is>
          <t>OPEN</t>
        </is>
      </c>
      <c r="D1129" s="37" t="n">
        <v>70</v>
      </c>
      <c r="E1129" s="37" t="inlineStr">
        <is>
          <t>OCCUPIED</t>
        </is>
      </c>
      <c r="F1129" s="37" t="inlineStr">
        <is>
          <t>WL-03165</t>
        </is>
      </c>
      <c r="G1129" s="37" t="inlineStr">
        <is>
          <t>Brendan Durham</t>
        </is>
      </c>
      <c r="H1129" s="37" t="n">
        <v>24.4</v>
      </c>
    </row>
    <row r="1130">
      <c r="A1130" s="37" t="inlineStr">
        <is>
          <t>SB-0715</t>
        </is>
      </c>
      <c r="B1130" s="37" t="inlineStr">
        <is>
          <t>Salmonberry</t>
        </is>
      </c>
      <c r="C1130" s="37" t="inlineStr">
        <is>
          <t>OPEN</t>
        </is>
      </c>
      <c r="D1130" s="37" t="n">
        <v>28</v>
      </c>
      <c r="E1130" s="37" t="inlineStr">
        <is>
          <t>OCCUPIED</t>
        </is>
      </c>
      <c r="F1130" s="37" t="inlineStr">
        <is>
          <t>WL-03330</t>
        </is>
      </c>
      <c r="G1130" s="37" t="inlineStr">
        <is>
          <t>Lori Bauer</t>
        </is>
      </c>
      <c r="H1130" s="37" t="n">
        <v>56.7</v>
      </c>
    </row>
    <row r="1131">
      <c r="A1131" s="37" t="inlineStr">
        <is>
          <t>SB-0716</t>
        </is>
      </c>
      <c r="B1131" s="37" t="inlineStr">
        <is>
          <t>Salmonberry</t>
        </is>
      </c>
      <c r="C1131" s="37" t="inlineStr">
        <is>
          <t>OPEN</t>
        </is>
      </c>
      <c r="D1131" s="37" t="n">
        <v>24</v>
      </c>
      <c r="E1131" s="37" t="inlineStr">
        <is>
          <t>OCCUPIED</t>
        </is>
      </c>
      <c r="F1131" s="37" t="inlineStr">
        <is>
          <t>WL-02899</t>
        </is>
      </c>
      <c r="G1131" s="37" t="inlineStr">
        <is>
          <t>Tricia Dixon</t>
        </is>
      </c>
      <c r="H1131" s="37" t="n">
        <v>61.6</v>
      </c>
    </row>
    <row r="1132">
      <c r="A1132" s="37" t="inlineStr">
        <is>
          <t>SB-0717</t>
        </is>
      </c>
      <c r="B1132" s="37" t="inlineStr">
        <is>
          <t>Salmonberry</t>
        </is>
      </c>
      <c r="C1132" s="37" t="inlineStr">
        <is>
          <t>OPEN</t>
        </is>
      </c>
      <c r="D1132" s="37" t="n">
        <v>60</v>
      </c>
      <c r="E1132" s="37" t="inlineStr">
        <is>
          <t>OCCUPIED</t>
        </is>
      </c>
      <c r="F1132" s="37" t="inlineStr">
        <is>
          <t>WL-03661</t>
        </is>
      </c>
      <c r="G1132" s="37" t="inlineStr">
        <is>
          <t>Kenneth Williams</t>
        </is>
      </c>
      <c r="H1132" s="37" t="n">
        <v>54.8</v>
      </c>
    </row>
    <row r="1133">
      <c r="A1133" s="37" t="inlineStr">
        <is>
          <t>SB-0718</t>
        </is>
      </c>
      <c r="B1133" s="37" t="inlineStr">
        <is>
          <t>Salmonberry</t>
        </is>
      </c>
      <c r="C1133" s="37" t="inlineStr">
        <is>
          <t>OPEN</t>
        </is>
      </c>
      <c r="D1133" s="37" t="n">
        <v>80</v>
      </c>
      <c r="E1133" s="37" t="inlineStr">
        <is>
          <t>OCCUPIED</t>
        </is>
      </c>
      <c r="F1133" s="37" t="inlineStr">
        <is>
          <t>WL-01111</t>
        </is>
      </c>
      <c r="G1133" s="37" t="inlineStr">
        <is>
          <t>Monique Carey</t>
        </is>
      </c>
      <c r="H1133" s="37" t="n">
        <v>20.2</v>
      </c>
    </row>
    <row r="1134">
      <c r="A1134" s="37" t="inlineStr">
        <is>
          <t>SB-0719</t>
        </is>
      </c>
      <c r="B1134" s="37" t="inlineStr">
        <is>
          <t>Salmonberry</t>
        </is>
      </c>
      <c r="C1134" s="37" t="inlineStr">
        <is>
          <t>OPEN</t>
        </is>
      </c>
      <c r="D1134" s="37" t="n">
        <v>28</v>
      </c>
      <c r="E1134" s="37" t="inlineStr">
        <is>
          <t>OCCUPIED</t>
        </is>
      </c>
      <c r="F1134" s="37" t="inlineStr">
        <is>
          <t>WL-03199</t>
        </is>
      </c>
      <c r="G1134" s="37" t="inlineStr">
        <is>
          <t>Miguel Tucker</t>
        </is>
      </c>
      <c r="H1134" s="37" t="n">
        <v>59</v>
      </c>
    </row>
    <row r="1135">
      <c r="A1135" s="37" t="inlineStr">
        <is>
          <t>SB-0720</t>
        </is>
      </c>
      <c r="B1135" s="37" t="inlineStr">
        <is>
          <t>Salmonberry</t>
        </is>
      </c>
      <c r="C1135" s="37" t="inlineStr">
        <is>
          <t>OPEN</t>
        </is>
      </c>
      <c r="D1135" s="37" t="n">
        <v>28</v>
      </c>
      <c r="E1135" s="37" t="inlineStr">
        <is>
          <t>OCCUPIED</t>
        </is>
      </c>
      <c r="F1135" s="37" t="inlineStr">
        <is>
          <t>WL-02654</t>
        </is>
      </c>
      <c r="G1135" s="37" t="inlineStr">
        <is>
          <t>Christopher Evans</t>
        </is>
      </c>
      <c r="H1135" s="37" t="n">
        <v>31.5</v>
      </c>
    </row>
    <row r="1136">
      <c r="A1136" s="37" t="inlineStr">
        <is>
          <t>SB-0721</t>
        </is>
      </c>
      <c r="B1136" s="37" t="inlineStr">
        <is>
          <t>Salmonberry</t>
        </is>
      </c>
      <c r="C1136" s="37" t="inlineStr">
        <is>
          <t>OPEN</t>
        </is>
      </c>
      <c r="D1136" s="37" t="n">
        <v>28</v>
      </c>
      <c r="E1136" s="37" t="inlineStr">
        <is>
          <t>OCCUPIED</t>
        </is>
      </c>
      <c r="F1136" s="37" t="inlineStr">
        <is>
          <t>WL-02272</t>
        </is>
      </c>
      <c r="G1136" s="37" t="inlineStr">
        <is>
          <t>Scott Mendoza</t>
        </is>
      </c>
      <c r="H1136" s="37" t="n">
        <v>29.7</v>
      </c>
    </row>
    <row r="1137">
      <c r="A1137" s="37" t="inlineStr">
        <is>
          <t>SB-0722</t>
        </is>
      </c>
      <c r="B1137" s="37" t="inlineStr">
        <is>
          <t>Salmonberry</t>
        </is>
      </c>
      <c r="C1137" s="37" t="inlineStr">
        <is>
          <t>OPEN</t>
        </is>
      </c>
      <c r="D1137" s="37" t="n">
        <v>24</v>
      </c>
      <c r="E1137" s="37" t="inlineStr">
        <is>
          <t>OCCUPIED</t>
        </is>
      </c>
      <c r="F1137" s="37" t="inlineStr">
        <is>
          <t>WL-03331</t>
        </is>
      </c>
      <c r="G1137" s="37" t="inlineStr">
        <is>
          <t>Samuel Lane</t>
        </is>
      </c>
      <c r="H1137" s="37" t="n">
        <v>54</v>
      </c>
    </row>
    <row r="1138">
      <c r="A1138" s="37" t="inlineStr">
        <is>
          <t>SB-0723</t>
        </is>
      </c>
      <c r="B1138" s="37" t="inlineStr">
        <is>
          <t>Salmonberry</t>
        </is>
      </c>
      <c r="C1138" s="37" t="inlineStr">
        <is>
          <t>OPEN</t>
        </is>
      </c>
      <c r="D1138" s="37" t="n">
        <v>24</v>
      </c>
      <c r="E1138" s="37" t="inlineStr">
        <is>
          <t>OCCUPIED</t>
        </is>
      </c>
      <c r="F1138" s="37" t="inlineStr">
        <is>
          <t>WL-02427</t>
        </is>
      </c>
      <c r="G1138" s="37" t="inlineStr">
        <is>
          <t>Joseph Crosby</t>
        </is>
      </c>
      <c r="H1138" s="37" t="n">
        <v>40.1</v>
      </c>
    </row>
    <row r="1139">
      <c r="A1139" s="37" t="inlineStr">
        <is>
          <t>SB-0724</t>
        </is>
      </c>
      <c r="B1139" s="37" t="inlineStr">
        <is>
          <t>Salmonberry</t>
        </is>
      </c>
      <c r="C1139" s="37" t="inlineStr">
        <is>
          <t>OPEN</t>
        </is>
      </c>
      <c r="D1139" s="37" t="n">
        <v>40</v>
      </c>
      <c r="E1139" s="37" t="inlineStr">
        <is>
          <t>OCCUPIED</t>
        </is>
      </c>
      <c r="F1139" s="37" t="inlineStr">
        <is>
          <t>WL-03552</t>
        </is>
      </c>
      <c r="G1139" s="37" t="inlineStr">
        <is>
          <t>Dawn Hammond</t>
        </is>
      </c>
      <c r="H1139" s="37" t="n">
        <v>58.8</v>
      </c>
    </row>
    <row r="1140">
      <c r="A1140" s="37" t="inlineStr">
        <is>
          <t>SB-0801</t>
        </is>
      </c>
      <c r="B1140" s="37" t="inlineStr">
        <is>
          <t>Salmonberry</t>
        </is>
      </c>
      <c r="C1140" s="37" t="inlineStr">
        <is>
          <t>OPEN</t>
        </is>
      </c>
      <c r="D1140" s="37" t="n">
        <v>32</v>
      </c>
      <c r="E1140" s="37" t="inlineStr">
        <is>
          <t>OCCUPIED</t>
        </is>
      </c>
      <c r="F1140" s="37" t="inlineStr">
        <is>
          <t>WL-01126</t>
        </is>
      </c>
      <c r="G1140" s="37" t="inlineStr">
        <is>
          <t>Jo Hernandez</t>
        </is>
      </c>
      <c r="H1140" s="37" t="n">
        <v>44.8</v>
      </c>
    </row>
    <row r="1141">
      <c r="A1141" s="37" t="inlineStr">
        <is>
          <t>SB-0802</t>
        </is>
      </c>
      <c r="B1141" s="37" t="inlineStr">
        <is>
          <t>Salmonberry</t>
        </is>
      </c>
      <c r="C1141" s="37" t="inlineStr">
        <is>
          <t>OPEN</t>
        </is>
      </c>
      <c r="D1141" s="37" t="n">
        <v>45</v>
      </c>
      <c r="E1141" s="37" t="inlineStr">
        <is>
          <t>OCCUPIED</t>
        </is>
      </c>
      <c r="F1141" s="37" t="inlineStr">
        <is>
          <t>WL-03773</t>
        </is>
      </c>
      <c r="G1141" s="37" t="inlineStr">
        <is>
          <t>David Giles</t>
        </is>
      </c>
      <c r="H1141" s="37" t="n">
        <v>34.3</v>
      </c>
    </row>
    <row r="1142">
      <c r="A1142" s="37" t="inlineStr">
        <is>
          <t>SB-0803</t>
        </is>
      </c>
      <c r="B1142" s="37" t="inlineStr">
        <is>
          <t>Salmonberry</t>
        </is>
      </c>
      <c r="C1142" s="37" t="inlineStr">
        <is>
          <t>OPEN</t>
        </is>
      </c>
      <c r="D1142" s="37" t="n">
        <v>32</v>
      </c>
      <c r="E1142" s="37" t="inlineStr">
        <is>
          <t>OCCUPIED</t>
        </is>
      </c>
      <c r="F1142" s="37" t="inlineStr">
        <is>
          <t>WL-03314</t>
        </is>
      </c>
      <c r="G1142" s="37" t="inlineStr">
        <is>
          <t>Hannah Orozco</t>
        </is>
      </c>
      <c r="H1142" s="37" t="n">
        <v>57</v>
      </c>
    </row>
    <row r="1143">
      <c r="A1143" s="37" t="inlineStr">
        <is>
          <t>SB-0804</t>
        </is>
      </c>
      <c r="B1143" s="37" t="inlineStr">
        <is>
          <t>Salmonberry</t>
        </is>
      </c>
      <c r="C1143" s="37" t="inlineStr">
        <is>
          <t>OPEN</t>
        </is>
      </c>
      <c r="D1143" s="37" t="n">
        <v>24</v>
      </c>
      <c r="E1143" s="37" t="inlineStr">
        <is>
          <t>OCCUPIED</t>
        </is>
      </c>
      <c r="F1143" s="37" t="inlineStr">
        <is>
          <t>WL-01349</t>
        </is>
      </c>
      <c r="G1143" s="37" t="inlineStr">
        <is>
          <t>Justin Johnson</t>
        </is>
      </c>
      <c r="H1143" s="37" t="n">
        <v>44.8</v>
      </c>
    </row>
    <row r="1144">
      <c r="A1144" s="37" t="inlineStr">
        <is>
          <t>SB-0805</t>
        </is>
      </c>
      <c r="B1144" s="37" t="inlineStr">
        <is>
          <t>Salmonberry</t>
        </is>
      </c>
      <c r="C1144" s="37" t="inlineStr">
        <is>
          <t>OPEN</t>
        </is>
      </c>
      <c r="D1144" s="37" t="n">
        <v>24</v>
      </c>
      <c r="E1144" s="37" t="inlineStr">
        <is>
          <t>OCCUPIED</t>
        </is>
      </c>
      <c r="F1144" s="37" t="inlineStr">
        <is>
          <t>WL-02163</t>
        </is>
      </c>
      <c r="G1144" s="37" t="inlineStr">
        <is>
          <t>Kimberly Brown</t>
        </is>
      </c>
      <c r="H1144" s="37" t="n">
        <v>21.9</v>
      </c>
    </row>
    <row r="1145">
      <c r="A1145" s="37" t="inlineStr">
        <is>
          <t>SB-0806</t>
        </is>
      </c>
      <c r="B1145" s="37" t="inlineStr">
        <is>
          <t>Salmonberry</t>
        </is>
      </c>
      <c r="C1145" s="37" t="inlineStr">
        <is>
          <t>OPEN</t>
        </is>
      </c>
      <c r="D1145" s="37" t="n">
        <v>28</v>
      </c>
      <c r="E1145" s="37" t="inlineStr">
        <is>
          <t>OCCUPIED</t>
        </is>
      </c>
      <c r="F1145" s="37" t="inlineStr">
        <is>
          <t>WL-03521</t>
        </is>
      </c>
      <c r="G1145" s="37" t="inlineStr">
        <is>
          <t>Penny Nelson</t>
        </is>
      </c>
      <c r="H1145" s="37" t="n">
        <v>61.1</v>
      </c>
    </row>
    <row r="1146">
      <c r="A1146" s="37" t="inlineStr">
        <is>
          <t>SB-0807</t>
        </is>
      </c>
      <c r="B1146" s="37" t="inlineStr">
        <is>
          <t>Salmonberry</t>
        </is>
      </c>
      <c r="C1146" s="37" t="inlineStr">
        <is>
          <t>OPEN</t>
        </is>
      </c>
      <c r="D1146" s="37" t="n">
        <v>50</v>
      </c>
      <c r="E1146" s="37" t="inlineStr">
        <is>
          <t>GUEST</t>
        </is>
      </c>
    </row>
    <row r="1147">
      <c r="A1147" s="37" t="inlineStr">
        <is>
          <t>SB-0808</t>
        </is>
      </c>
      <c r="B1147" s="37" t="inlineStr">
        <is>
          <t>Salmonberry</t>
        </is>
      </c>
      <c r="C1147" s="37" t="inlineStr">
        <is>
          <t>OPEN</t>
        </is>
      </c>
      <c r="D1147" s="37" t="n">
        <v>28</v>
      </c>
      <c r="E1147" s="37" t="inlineStr">
        <is>
          <t>OCCUPIED</t>
        </is>
      </c>
      <c r="F1147" s="37" t="inlineStr">
        <is>
          <t>WL-02924</t>
        </is>
      </c>
      <c r="G1147" s="37" t="inlineStr">
        <is>
          <t>Heather Hall</t>
        </is>
      </c>
      <c r="H1147" s="37" t="n">
        <v>22.2</v>
      </c>
    </row>
    <row r="1148">
      <c r="A1148" s="37" t="inlineStr">
        <is>
          <t>SB-0809</t>
        </is>
      </c>
      <c r="B1148" s="37" t="inlineStr">
        <is>
          <t>Salmonberry</t>
        </is>
      </c>
      <c r="C1148" s="37" t="inlineStr">
        <is>
          <t>OPEN</t>
        </is>
      </c>
      <c r="D1148" s="37" t="n">
        <v>45</v>
      </c>
      <c r="E1148" s="37" t="inlineStr">
        <is>
          <t>OCCUPIED</t>
        </is>
      </c>
      <c r="F1148" s="37" t="inlineStr">
        <is>
          <t>WL-03219</t>
        </is>
      </c>
      <c r="G1148" s="37" t="inlineStr">
        <is>
          <t>Tara Sanders</t>
        </is>
      </c>
      <c r="H1148" s="37" t="n">
        <v>21.2</v>
      </c>
    </row>
    <row r="1149">
      <c r="A1149" s="37" t="inlineStr">
        <is>
          <t>SB-0810</t>
        </is>
      </c>
      <c r="B1149" s="37" t="inlineStr">
        <is>
          <t>Salmonberry</t>
        </is>
      </c>
      <c r="C1149" s="37" t="inlineStr">
        <is>
          <t>OPEN</t>
        </is>
      </c>
      <c r="D1149" s="37" t="n">
        <v>40</v>
      </c>
      <c r="E1149" s="37" t="inlineStr">
        <is>
          <t>OCCUPIED</t>
        </is>
      </c>
      <c r="F1149" s="37" t="inlineStr">
        <is>
          <t>WL-02815</t>
        </is>
      </c>
      <c r="G1149" s="37" t="inlineStr">
        <is>
          <t>Mark Myers</t>
        </is>
      </c>
      <c r="H1149" s="37" t="n">
        <v>34.1</v>
      </c>
    </row>
    <row r="1150">
      <c r="A1150" s="37" t="inlineStr">
        <is>
          <t>SB-0811</t>
        </is>
      </c>
      <c r="B1150" s="37" t="inlineStr">
        <is>
          <t>Salmonberry</t>
        </is>
      </c>
      <c r="C1150" s="37" t="inlineStr">
        <is>
          <t>OPEN</t>
        </is>
      </c>
      <c r="D1150" s="37" t="n">
        <v>24</v>
      </c>
      <c r="E1150" s="37" t="inlineStr">
        <is>
          <t>VACANT</t>
        </is>
      </c>
    </row>
    <row r="1151">
      <c r="A1151" s="37" t="inlineStr">
        <is>
          <t>SB-0812</t>
        </is>
      </c>
      <c r="B1151" s="37" t="inlineStr">
        <is>
          <t>Salmonberry</t>
        </is>
      </c>
      <c r="C1151" s="37" t="inlineStr">
        <is>
          <t>OPEN</t>
        </is>
      </c>
      <c r="D1151" s="37" t="n">
        <v>32</v>
      </c>
      <c r="E1151" s="37" t="inlineStr">
        <is>
          <t>OCCUPIED</t>
        </is>
      </c>
      <c r="F1151" s="37" t="inlineStr">
        <is>
          <t>WL-02153</t>
        </is>
      </c>
      <c r="G1151" s="37" t="inlineStr">
        <is>
          <t>Amy Murray</t>
        </is>
      </c>
      <c r="H1151" s="37" t="n">
        <v>22.1</v>
      </c>
    </row>
    <row r="1152">
      <c r="A1152" s="37" t="inlineStr">
        <is>
          <t>SB-0813</t>
        </is>
      </c>
      <c r="B1152" s="37" t="inlineStr">
        <is>
          <t>Salmonberry</t>
        </is>
      </c>
      <c r="C1152" s="37" t="inlineStr">
        <is>
          <t>OPEN</t>
        </is>
      </c>
      <c r="D1152" s="37" t="n">
        <v>24</v>
      </c>
      <c r="E1152" s="37" t="inlineStr">
        <is>
          <t>OCCUPIED</t>
        </is>
      </c>
      <c r="F1152" s="37" t="inlineStr">
        <is>
          <t>WL-01647</t>
        </is>
      </c>
      <c r="G1152" s="37" t="inlineStr">
        <is>
          <t>Robert Shannon</t>
        </is>
      </c>
      <c r="H1152" s="37" t="n">
        <v>24.6</v>
      </c>
    </row>
    <row r="1153">
      <c r="A1153" s="37" t="inlineStr">
        <is>
          <t>SB-0814</t>
        </is>
      </c>
      <c r="B1153" s="37" t="inlineStr">
        <is>
          <t>Salmonberry</t>
        </is>
      </c>
      <c r="C1153" s="37" t="inlineStr">
        <is>
          <t>OPEN</t>
        </is>
      </c>
      <c r="D1153" s="37" t="n">
        <v>28</v>
      </c>
      <c r="E1153" s="37" t="inlineStr">
        <is>
          <t>OCCUPIED</t>
        </is>
      </c>
      <c r="F1153" s="37" t="inlineStr">
        <is>
          <t>WL-01607</t>
        </is>
      </c>
      <c r="G1153" s="37" t="inlineStr">
        <is>
          <t>John Williams</t>
        </is>
      </c>
      <c r="H1153" s="37" t="n">
        <v>52.3</v>
      </c>
    </row>
    <row r="1154">
      <c r="A1154" s="37" t="inlineStr">
        <is>
          <t>SB-0815</t>
        </is>
      </c>
      <c r="B1154" s="37" t="inlineStr">
        <is>
          <t>Salmonberry</t>
        </is>
      </c>
      <c r="C1154" s="37" t="inlineStr">
        <is>
          <t>OPEN</t>
        </is>
      </c>
      <c r="D1154" s="37" t="n">
        <v>70</v>
      </c>
      <c r="E1154" s="37" t="inlineStr">
        <is>
          <t>OCCUPIED</t>
        </is>
      </c>
      <c r="F1154" s="37" t="inlineStr">
        <is>
          <t>WL-01237</t>
        </is>
      </c>
      <c r="G1154" s="37" t="inlineStr">
        <is>
          <t>April Nguyen</t>
        </is>
      </c>
      <c r="H1154" s="37" t="n">
        <v>25.9</v>
      </c>
    </row>
    <row r="1155">
      <c r="A1155" s="37" t="inlineStr">
        <is>
          <t>SB-0816</t>
        </is>
      </c>
      <c r="B1155" s="37" t="inlineStr">
        <is>
          <t>Salmonberry</t>
        </is>
      </c>
      <c r="C1155" s="37" t="inlineStr">
        <is>
          <t>OPEN</t>
        </is>
      </c>
      <c r="D1155" s="37" t="n">
        <v>28</v>
      </c>
      <c r="E1155" s="37" t="inlineStr">
        <is>
          <t>OCCUPIED</t>
        </is>
      </c>
      <c r="F1155" s="37" t="inlineStr">
        <is>
          <t>WL-03446</t>
        </is>
      </c>
      <c r="G1155" s="37" t="inlineStr">
        <is>
          <t>Joshua Weaver</t>
        </is>
      </c>
      <c r="H1155" s="37" t="n">
        <v>46.5</v>
      </c>
    </row>
    <row r="1156">
      <c r="A1156" s="37" t="inlineStr">
        <is>
          <t>SB-0817</t>
        </is>
      </c>
      <c r="B1156" s="37" t="inlineStr">
        <is>
          <t>Salmonberry</t>
        </is>
      </c>
      <c r="C1156" s="37" t="inlineStr">
        <is>
          <t>OPEN</t>
        </is>
      </c>
      <c r="D1156" s="37" t="n">
        <v>36</v>
      </c>
      <c r="E1156" s="37" t="inlineStr">
        <is>
          <t>VACANT</t>
        </is>
      </c>
    </row>
    <row r="1157">
      <c r="A1157" s="37" t="inlineStr">
        <is>
          <t>SB-0818</t>
        </is>
      </c>
      <c r="B1157" s="37" t="inlineStr">
        <is>
          <t>Salmonberry</t>
        </is>
      </c>
      <c r="C1157" s="37" t="inlineStr">
        <is>
          <t>OPEN</t>
        </is>
      </c>
      <c r="D1157" s="37" t="n">
        <v>70</v>
      </c>
      <c r="E1157" s="37" t="inlineStr">
        <is>
          <t>OCCUPIED</t>
        </is>
      </c>
      <c r="F1157" s="37" t="inlineStr">
        <is>
          <t>WL-03486</t>
        </is>
      </c>
      <c r="G1157" s="37" t="inlineStr">
        <is>
          <t>Mary Murillo</t>
        </is>
      </c>
      <c r="H1157" s="37" t="n">
        <v>28</v>
      </c>
    </row>
    <row r="1158">
      <c r="A1158" s="37" t="inlineStr">
        <is>
          <t>SB-0819</t>
        </is>
      </c>
      <c r="B1158" s="37" t="inlineStr">
        <is>
          <t>Salmonberry</t>
        </is>
      </c>
      <c r="C1158" s="37" t="inlineStr">
        <is>
          <t>OPEN</t>
        </is>
      </c>
      <c r="D1158" s="37" t="n">
        <v>24</v>
      </c>
      <c r="E1158" s="37" t="inlineStr">
        <is>
          <t>OCCUPIED</t>
        </is>
      </c>
      <c r="F1158" s="37" t="inlineStr">
        <is>
          <t>WL-02764</t>
        </is>
      </c>
      <c r="G1158" s="37" t="inlineStr">
        <is>
          <t>Jason Bradley</t>
        </is>
      </c>
      <c r="H1158" s="37" t="n">
        <v>25.9</v>
      </c>
    </row>
    <row r="1159">
      <c r="A1159" s="37" t="inlineStr">
        <is>
          <t>SB-0820</t>
        </is>
      </c>
      <c r="B1159" s="37" t="inlineStr">
        <is>
          <t>Salmonberry</t>
        </is>
      </c>
      <c r="C1159" s="37" t="inlineStr">
        <is>
          <t>OPEN</t>
        </is>
      </c>
      <c r="D1159" s="37" t="n">
        <v>40</v>
      </c>
      <c r="E1159" s="37" t="inlineStr">
        <is>
          <t>OCCUPIED</t>
        </is>
      </c>
      <c r="F1159" s="37" t="inlineStr">
        <is>
          <t>WL-02114</t>
        </is>
      </c>
      <c r="G1159" s="37" t="inlineStr">
        <is>
          <t>Walter Adams</t>
        </is>
      </c>
      <c r="H1159" s="37" t="n">
        <v>47.3</v>
      </c>
    </row>
    <row r="1160">
      <c r="A1160" s="37" t="inlineStr">
        <is>
          <t>SB-0821</t>
        </is>
      </c>
      <c r="B1160" s="37" t="inlineStr">
        <is>
          <t>Salmonberry</t>
        </is>
      </c>
      <c r="C1160" s="37" t="inlineStr">
        <is>
          <t>OPEN</t>
        </is>
      </c>
      <c r="D1160" s="37" t="n">
        <v>36</v>
      </c>
      <c r="E1160" s="37" t="inlineStr">
        <is>
          <t>OCCUPIED</t>
        </is>
      </c>
      <c r="F1160" s="37" t="inlineStr">
        <is>
          <t>WL-01693</t>
        </is>
      </c>
      <c r="G1160" s="37" t="inlineStr">
        <is>
          <t>Michael Price</t>
        </is>
      </c>
      <c r="H1160" s="37" t="n">
        <v>26.8</v>
      </c>
    </row>
    <row r="1161">
      <c r="A1161" s="37" t="inlineStr">
        <is>
          <t>SB-0822</t>
        </is>
      </c>
      <c r="B1161" s="37" t="inlineStr">
        <is>
          <t>Salmonberry</t>
        </is>
      </c>
      <c r="C1161" s="37" t="inlineStr">
        <is>
          <t>OPEN</t>
        </is>
      </c>
      <c r="D1161" s="37" t="n">
        <v>32</v>
      </c>
      <c r="E1161" s="37" t="inlineStr">
        <is>
          <t>OCCUPIED</t>
        </is>
      </c>
      <c r="F1161" s="37" t="inlineStr">
        <is>
          <t>WL-03341</t>
        </is>
      </c>
      <c r="G1161" s="37" t="inlineStr">
        <is>
          <t>Terri Johnston</t>
        </is>
      </c>
      <c r="H1161" s="37" t="n">
        <v>34.6</v>
      </c>
    </row>
    <row r="1162">
      <c r="A1162" s="37" t="inlineStr">
        <is>
          <t>SB-0823</t>
        </is>
      </c>
      <c r="B1162" s="37" t="inlineStr">
        <is>
          <t>Salmonberry</t>
        </is>
      </c>
      <c r="C1162" s="37" t="inlineStr">
        <is>
          <t>OPEN</t>
        </is>
      </c>
      <c r="D1162" s="37" t="n">
        <v>80</v>
      </c>
      <c r="E1162" s="37" t="inlineStr">
        <is>
          <t>VACANT</t>
        </is>
      </c>
    </row>
    <row r="1163">
      <c r="A1163" s="37" t="inlineStr">
        <is>
          <t>SB-0824</t>
        </is>
      </c>
      <c r="B1163" s="37" t="inlineStr">
        <is>
          <t>Salmonberry</t>
        </is>
      </c>
      <c r="C1163" s="37" t="inlineStr">
        <is>
          <t>OPEN</t>
        </is>
      </c>
      <c r="D1163" s="37" t="n">
        <v>24</v>
      </c>
      <c r="E1163" s="37" t="inlineStr">
        <is>
          <t>OCCUPIED</t>
        </is>
      </c>
      <c r="F1163" s="37" t="inlineStr">
        <is>
          <t>WL-01971</t>
        </is>
      </c>
      <c r="G1163" s="37" t="inlineStr">
        <is>
          <t>Paul Smith</t>
        </is>
      </c>
      <c r="H1163" s="37" t="n">
        <v>43.8</v>
      </c>
    </row>
    <row r="1164">
      <c r="A1164" s="37" t="inlineStr">
        <is>
          <t>SB-0901</t>
        </is>
      </c>
      <c r="B1164" s="37" t="inlineStr">
        <is>
          <t>Salmonberry</t>
        </is>
      </c>
      <c r="C1164" s="37" t="inlineStr">
        <is>
          <t>OPEN</t>
        </is>
      </c>
      <c r="D1164" s="37" t="n">
        <v>45</v>
      </c>
      <c r="E1164" s="37" t="inlineStr">
        <is>
          <t>OCCUPIED</t>
        </is>
      </c>
      <c r="F1164" s="37" t="inlineStr">
        <is>
          <t>WL-03688</t>
        </is>
      </c>
      <c r="G1164" s="37" t="inlineStr">
        <is>
          <t>Gilbert Rodriguez</t>
        </is>
      </c>
      <c r="H1164" s="37" t="n">
        <v>44.7</v>
      </c>
    </row>
    <row r="1165">
      <c r="A1165" s="37" t="inlineStr">
        <is>
          <t>SB-0902</t>
        </is>
      </c>
      <c r="B1165" s="37" t="inlineStr">
        <is>
          <t>Salmonberry</t>
        </is>
      </c>
      <c r="C1165" s="37" t="inlineStr">
        <is>
          <t>OPEN</t>
        </is>
      </c>
      <c r="D1165" s="37" t="n">
        <v>24</v>
      </c>
      <c r="E1165" s="37" t="inlineStr">
        <is>
          <t>RESERVED</t>
        </is>
      </c>
    </row>
    <row r="1166">
      <c r="A1166" s="37" t="inlineStr">
        <is>
          <t>SB-0903</t>
        </is>
      </c>
      <c r="B1166" s="37" t="inlineStr">
        <is>
          <t>Salmonberry</t>
        </is>
      </c>
      <c r="C1166" s="37" t="inlineStr">
        <is>
          <t>OPEN</t>
        </is>
      </c>
      <c r="D1166" s="37" t="n">
        <v>80</v>
      </c>
      <c r="E1166" s="37" t="inlineStr">
        <is>
          <t>OCCUPIED</t>
        </is>
      </c>
      <c r="F1166" s="37" t="inlineStr">
        <is>
          <t>WL-03519</t>
        </is>
      </c>
      <c r="G1166" s="37" t="inlineStr">
        <is>
          <t>Crystal Moore</t>
        </is>
      </c>
      <c r="H1166" s="37" t="n">
        <v>31.9</v>
      </c>
    </row>
    <row r="1167">
      <c r="A1167" s="37" t="inlineStr">
        <is>
          <t>SB-0904</t>
        </is>
      </c>
      <c r="B1167" s="37" t="inlineStr">
        <is>
          <t>Salmonberry</t>
        </is>
      </c>
      <c r="C1167" s="37" t="inlineStr">
        <is>
          <t>OPEN</t>
        </is>
      </c>
      <c r="D1167" s="37" t="n">
        <v>80</v>
      </c>
      <c r="E1167" s="37" t="inlineStr">
        <is>
          <t>OCCUPIED</t>
        </is>
      </c>
      <c r="F1167" s="37" t="inlineStr">
        <is>
          <t>WL-02180</t>
        </is>
      </c>
      <c r="G1167" s="37" t="inlineStr">
        <is>
          <t>Michele Jones</t>
        </is>
      </c>
      <c r="H1167" s="37" t="n">
        <v>59.4</v>
      </c>
    </row>
    <row r="1168">
      <c r="A1168" s="37" t="inlineStr">
        <is>
          <t>SB-0905</t>
        </is>
      </c>
      <c r="B1168" s="37" t="inlineStr">
        <is>
          <t>Salmonberry</t>
        </is>
      </c>
      <c r="C1168" s="37" t="inlineStr">
        <is>
          <t>OPEN</t>
        </is>
      </c>
      <c r="D1168" s="37" t="n">
        <v>32</v>
      </c>
      <c r="E1168" s="37" t="inlineStr">
        <is>
          <t>OCCUPIED</t>
        </is>
      </c>
      <c r="F1168" s="37" t="inlineStr">
        <is>
          <t>WL-03714</t>
        </is>
      </c>
      <c r="G1168" s="37" t="inlineStr">
        <is>
          <t>Christopher Mitchell</t>
        </is>
      </c>
      <c r="H1168" s="37" t="n">
        <v>42.9</v>
      </c>
    </row>
    <row r="1169">
      <c r="A1169" s="37" t="inlineStr">
        <is>
          <t>SB-0906</t>
        </is>
      </c>
      <c r="B1169" s="37" t="inlineStr">
        <is>
          <t>Salmonberry</t>
        </is>
      </c>
      <c r="C1169" s="37" t="inlineStr">
        <is>
          <t>OPEN</t>
        </is>
      </c>
      <c r="D1169" s="37" t="n">
        <v>36</v>
      </c>
      <c r="E1169" s="37" t="inlineStr">
        <is>
          <t>OCCUPIED</t>
        </is>
      </c>
      <c r="F1169" s="37" t="inlineStr">
        <is>
          <t>WL-01202</t>
        </is>
      </c>
      <c r="G1169" s="37" t="inlineStr">
        <is>
          <t>Kevin Benson</t>
        </is>
      </c>
      <c r="H1169" s="37" t="n">
        <v>44</v>
      </c>
    </row>
    <row r="1170">
      <c r="A1170" s="37" t="inlineStr">
        <is>
          <t>SB-0907</t>
        </is>
      </c>
      <c r="B1170" s="37" t="inlineStr">
        <is>
          <t>Salmonberry</t>
        </is>
      </c>
      <c r="C1170" s="37" t="inlineStr">
        <is>
          <t>OPEN</t>
        </is>
      </c>
      <c r="D1170" s="37" t="n">
        <v>32</v>
      </c>
      <c r="E1170" s="37" t="inlineStr">
        <is>
          <t>GUEST</t>
        </is>
      </c>
    </row>
    <row r="1171">
      <c r="A1171" s="37" t="inlineStr">
        <is>
          <t>SB-0908</t>
        </is>
      </c>
      <c r="B1171" s="37" t="inlineStr">
        <is>
          <t>Salmonberry</t>
        </is>
      </c>
      <c r="C1171" s="37" t="inlineStr">
        <is>
          <t>OPEN</t>
        </is>
      </c>
      <c r="D1171" s="37" t="n">
        <v>36</v>
      </c>
      <c r="E1171" s="37" t="inlineStr">
        <is>
          <t>OCCUPIED</t>
        </is>
      </c>
      <c r="F1171" s="37" t="inlineStr">
        <is>
          <t>WL-03796</t>
        </is>
      </c>
      <c r="G1171" s="37" t="inlineStr">
        <is>
          <t>Christine Johnson</t>
        </is>
      </c>
      <c r="H1171" s="37" t="n">
        <v>53.6</v>
      </c>
    </row>
    <row r="1172">
      <c r="A1172" s="37" t="inlineStr">
        <is>
          <t>SB-0909</t>
        </is>
      </c>
      <c r="B1172" s="37" t="inlineStr">
        <is>
          <t>Salmonberry</t>
        </is>
      </c>
      <c r="C1172" s="37" t="inlineStr">
        <is>
          <t>OPEN</t>
        </is>
      </c>
      <c r="D1172" s="37" t="n">
        <v>24</v>
      </c>
      <c r="E1172" s="37" t="inlineStr">
        <is>
          <t>OCCUPIED</t>
        </is>
      </c>
      <c r="F1172" s="37" t="inlineStr">
        <is>
          <t>WL-01919</t>
        </is>
      </c>
      <c r="G1172" s="37" t="inlineStr">
        <is>
          <t>Glenda Perkins</t>
        </is>
      </c>
      <c r="H1172" s="37" t="n">
        <v>52.9</v>
      </c>
    </row>
    <row r="1173">
      <c r="A1173" s="37" t="inlineStr">
        <is>
          <t>SB-0910</t>
        </is>
      </c>
      <c r="B1173" s="37" t="inlineStr">
        <is>
          <t>Salmonberry</t>
        </is>
      </c>
      <c r="C1173" s="37" t="inlineStr">
        <is>
          <t>OPEN</t>
        </is>
      </c>
      <c r="D1173" s="37" t="n">
        <v>28</v>
      </c>
      <c r="E1173" s="37" t="inlineStr">
        <is>
          <t>OCCUPIED</t>
        </is>
      </c>
      <c r="F1173" s="37" t="inlineStr">
        <is>
          <t>WL-01503</t>
        </is>
      </c>
      <c r="G1173" s="37" t="inlineStr">
        <is>
          <t>Kayla Moore</t>
        </is>
      </c>
      <c r="H1173" s="37" t="n">
        <v>61.1</v>
      </c>
    </row>
    <row r="1174">
      <c r="A1174" s="37" t="inlineStr">
        <is>
          <t>SB-0911</t>
        </is>
      </c>
      <c r="B1174" s="37" t="inlineStr">
        <is>
          <t>Salmonberry</t>
        </is>
      </c>
      <c r="C1174" s="37" t="inlineStr">
        <is>
          <t>OPEN</t>
        </is>
      </c>
      <c r="D1174" s="37" t="n">
        <v>28</v>
      </c>
      <c r="E1174" s="37" t="inlineStr">
        <is>
          <t>OCCUPIED</t>
        </is>
      </c>
      <c r="F1174" s="37" t="inlineStr">
        <is>
          <t>WL-02912</t>
        </is>
      </c>
      <c r="G1174" s="37" t="inlineStr">
        <is>
          <t>Alan Ortiz</t>
        </is>
      </c>
      <c r="H1174" s="37" t="n">
        <v>52.6</v>
      </c>
    </row>
    <row r="1175">
      <c r="A1175" s="37" t="inlineStr">
        <is>
          <t>SB-0912</t>
        </is>
      </c>
      <c r="B1175" s="37" t="inlineStr">
        <is>
          <t>Salmonberry</t>
        </is>
      </c>
      <c r="C1175" s="37" t="inlineStr">
        <is>
          <t>OPEN</t>
        </is>
      </c>
      <c r="D1175" s="37" t="n">
        <v>32</v>
      </c>
      <c r="E1175" s="37" t="inlineStr">
        <is>
          <t>OCCUPIED</t>
        </is>
      </c>
      <c r="F1175" s="37" t="inlineStr">
        <is>
          <t>WL-02350</t>
        </is>
      </c>
      <c r="G1175" s="37" t="inlineStr">
        <is>
          <t>Christy Chambers</t>
        </is>
      </c>
      <c r="H1175" s="37" t="n">
        <v>58.2</v>
      </c>
    </row>
    <row r="1176">
      <c r="A1176" s="37" t="inlineStr">
        <is>
          <t>SB-0913</t>
        </is>
      </c>
      <c r="B1176" s="37" t="inlineStr">
        <is>
          <t>Salmonberry</t>
        </is>
      </c>
      <c r="C1176" s="37" t="inlineStr">
        <is>
          <t>OPEN</t>
        </is>
      </c>
      <c r="D1176" s="37" t="n">
        <v>28</v>
      </c>
      <c r="E1176" s="37" t="inlineStr">
        <is>
          <t>OCCUPIED</t>
        </is>
      </c>
      <c r="F1176" s="37" t="inlineStr">
        <is>
          <t>WL-02119</t>
        </is>
      </c>
      <c r="G1176" s="37" t="inlineStr">
        <is>
          <t>Eric Forbes</t>
        </is>
      </c>
      <c r="H1176" s="37" t="n">
        <v>57.3</v>
      </c>
    </row>
    <row r="1177">
      <c r="A1177" s="37" t="inlineStr">
        <is>
          <t>SB-0914</t>
        </is>
      </c>
      <c r="B1177" s="37" t="inlineStr">
        <is>
          <t>Salmonberry</t>
        </is>
      </c>
      <c r="C1177" s="37" t="inlineStr">
        <is>
          <t>OPEN</t>
        </is>
      </c>
      <c r="D1177" s="37" t="n">
        <v>50</v>
      </c>
      <c r="E1177" s="37" t="inlineStr">
        <is>
          <t>OCCUPIED</t>
        </is>
      </c>
      <c r="F1177" s="37" t="inlineStr">
        <is>
          <t>WL-02602</t>
        </is>
      </c>
      <c r="G1177" s="37" t="inlineStr">
        <is>
          <t>John Shah</t>
        </is>
      </c>
      <c r="H1177" s="37" t="n">
        <v>27.7</v>
      </c>
    </row>
    <row r="1178">
      <c r="A1178" s="37" t="inlineStr">
        <is>
          <t>SB-0915</t>
        </is>
      </c>
      <c r="B1178" s="37" t="inlineStr">
        <is>
          <t>Salmonberry</t>
        </is>
      </c>
      <c r="C1178" s="37" t="inlineStr">
        <is>
          <t>OPEN</t>
        </is>
      </c>
      <c r="D1178" s="37" t="n">
        <v>32</v>
      </c>
      <c r="E1178" s="37" t="inlineStr">
        <is>
          <t>OCCUPIED</t>
        </is>
      </c>
      <c r="F1178" s="37" t="inlineStr">
        <is>
          <t>WL-03084</t>
        </is>
      </c>
      <c r="G1178" s="37" t="inlineStr">
        <is>
          <t>Timothy Johnson</t>
        </is>
      </c>
      <c r="H1178" s="37" t="n">
        <v>58.9</v>
      </c>
    </row>
    <row r="1179">
      <c r="A1179" s="37" t="inlineStr">
        <is>
          <t>SB-0916</t>
        </is>
      </c>
      <c r="B1179" s="37" t="inlineStr">
        <is>
          <t>Salmonberry</t>
        </is>
      </c>
      <c r="C1179" s="37" t="inlineStr">
        <is>
          <t>OPEN</t>
        </is>
      </c>
      <c r="D1179" s="37" t="n">
        <v>60</v>
      </c>
      <c r="E1179" s="37" t="inlineStr">
        <is>
          <t>OCCUPIED</t>
        </is>
      </c>
      <c r="F1179" s="37" t="inlineStr">
        <is>
          <t>WL-03528</t>
        </is>
      </c>
      <c r="G1179" s="37" t="inlineStr">
        <is>
          <t>Gina Hudson</t>
        </is>
      </c>
      <c r="H1179" s="37" t="n">
        <v>43.1</v>
      </c>
    </row>
    <row r="1180">
      <c r="A1180" s="37" t="inlineStr">
        <is>
          <t>SB-0917</t>
        </is>
      </c>
      <c r="B1180" s="37" t="inlineStr">
        <is>
          <t>Salmonberry</t>
        </is>
      </c>
      <c r="C1180" s="37" t="inlineStr">
        <is>
          <t>OPEN</t>
        </is>
      </c>
      <c r="D1180" s="37" t="n">
        <v>45</v>
      </c>
      <c r="E1180" s="37" t="inlineStr">
        <is>
          <t>OCCUPIED</t>
        </is>
      </c>
      <c r="F1180" s="37" t="inlineStr">
        <is>
          <t>WL-01294</t>
        </is>
      </c>
      <c r="G1180" s="37" t="inlineStr">
        <is>
          <t>Peter Jenkins</t>
        </is>
      </c>
      <c r="H1180" s="37" t="n">
        <v>48.2</v>
      </c>
    </row>
    <row r="1181">
      <c r="A1181" s="37" t="inlineStr">
        <is>
          <t>SB-0918</t>
        </is>
      </c>
      <c r="B1181" s="37" t="inlineStr">
        <is>
          <t>Salmonberry</t>
        </is>
      </c>
      <c r="C1181" s="37" t="inlineStr">
        <is>
          <t>OPEN</t>
        </is>
      </c>
      <c r="D1181" s="37" t="n">
        <v>80</v>
      </c>
      <c r="E1181" s="37" t="inlineStr">
        <is>
          <t>OCCUPIED</t>
        </is>
      </c>
      <c r="F1181" s="37" t="inlineStr">
        <is>
          <t>WL-03420</t>
        </is>
      </c>
      <c r="G1181" s="37" t="inlineStr">
        <is>
          <t>Laura Franklin</t>
        </is>
      </c>
      <c r="H1181" s="37" t="n">
        <v>56.6</v>
      </c>
    </row>
  </sheetData>
  <autoFilter ref="A1:H1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36" t="inlineStr">
        <is>
          <t>txn_id</t>
        </is>
      </c>
      <c r="B1" s="36" t="inlineStr">
        <is>
          <t>account_id</t>
        </is>
      </c>
      <c r="C1" s="36" t="inlineStr">
        <is>
          <t>applicant_id</t>
        </is>
      </c>
      <c r="D1" s="36" t="inlineStr">
        <is>
          <t>slip_id</t>
        </is>
      </c>
      <c r="E1" s="36" t="inlineStr">
        <is>
          <t>basin</t>
        </is>
      </c>
      <c r="F1" s="36" t="inlineStr">
        <is>
          <t>length_ft_billed</t>
        </is>
      </c>
      <c r="G1" s="36" t="inlineStr">
        <is>
          <t>months_billed</t>
        </is>
      </c>
      <c r="H1" s="36" t="inlineStr">
        <is>
          <t>foot_months</t>
        </is>
      </c>
      <c r="I1" s="36" t="inlineStr">
        <is>
          <t>rate_per_foot_month</t>
        </is>
      </c>
      <c r="J1" s="36" t="inlineStr">
        <is>
          <t>amount</t>
        </is>
      </c>
    </row>
    <row r="2">
      <c r="A2" s="37" t="inlineStr">
        <is>
          <t>TXN-202608-000064</t>
        </is>
      </c>
      <c r="B2" s="37" t="inlineStr">
        <is>
          <t>AC-LP-0101</t>
        </is>
      </c>
      <c r="C2" s="37" t="inlineStr">
        <is>
          <t>WL-02442</t>
        </is>
      </c>
      <c r="D2" s="37" t="inlineStr">
        <is>
          <t>LP-0101</t>
        </is>
      </c>
      <c r="E2" s="37" t="inlineStr">
        <is>
          <t>Ledgport</t>
        </is>
      </c>
      <c r="F2" s="37" t="n">
        <v>51</v>
      </c>
      <c r="G2" s="37" t="n">
        <v>1</v>
      </c>
      <c r="H2" s="37" t="n">
        <v>51</v>
      </c>
      <c r="I2" s="37" t="n">
        <v>10.4</v>
      </c>
      <c r="J2" s="37" t="n">
        <v>530.4</v>
      </c>
    </row>
    <row r="3">
      <c r="A3" s="37" t="inlineStr">
        <is>
          <t>TXN-202608-000108</t>
        </is>
      </c>
      <c r="B3" s="37" t="inlineStr">
        <is>
          <t>AC-LP-0102</t>
        </is>
      </c>
      <c r="C3" s="37" t="inlineStr">
        <is>
          <t>WL-02413</t>
        </is>
      </c>
      <c r="D3" s="37" t="inlineStr">
        <is>
          <t>LP-0102</t>
        </is>
      </c>
      <c r="E3" s="37" t="inlineStr">
        <is>
          <t>Ledgport</t>
        </is>
      </c>
      <c r="F3" s="37" t="n">
        <v>40</v>
      </c>
      <c r="G3" s="37" t="n">
        <v>1</v>
      </c>
      <c r="H3" s="37" t="n">
        <v>40</v>
      </c>
      <c r="I3" s="37" t="n">
        <v>10.4</v>
      </c>
      <c r="J3" s="37" t="n">
        <v>416</v>
      </c>
    </row>
    <row r="4">
      <c r="A4" s="37" t="inlineStr">
        <is>
          <t>TXN-202608-000171</t>
        </is>
      </c>
      <c r="B4" s="37" t="inlineStr">
        <is>
          <t>AC-LP-0103</t>
        </is>
      </c>
      <c r="C4" s="37" t="inlineStr">
        <is>
          <t>WL-01449</t>
        </is>
      </c>
      <c r="D4" s="37" t="inlineStr">
        <is>
          <t>LP-0103</t>
        </is>
      </c>
      <c r="E4" s="37" t="inlineStr">
        <is>
          <t>Ledgport</t>
        </is>
      </c>
      <c r="F4" s="37" t="n">
        <v>33</v>
      </c>
      <c r="G4" s="37" t="n">
        <v>1</v>
      </c>
      <c r="H4" s="37" t="n">
        <v>33</v>
      </c>
      <c r="I4" s="37" t="n">
        <v>10.4</v>
      </c>
      <c r="J4" s="37" t="n">
        <v>343.2</v>
      </c>
    </row>
    <row r="5">
      <c r="A5" s="37" t="inlineStr">
        <is>
          <t>TXN-202608-000239</t>
        </is>
      </c>
      <c r="B5" s="37" t="inlineStr">
        <is>
          <t>AC-LP-0104</t>
        </is>
      </c>
      <c r="C5" s="37" t="inlineStr">
        <is>
          <t>WL-03625</t>
        </is>
      </c>
      <c r="D5" s="37" t="inlineStr">
        <is>
          <t>LP-0104</t>
        </is>
      </c>
      <c r="E5" s="37" t="inlineStr">
        <is>
          <t>Ledgport</t>
        </is>
      </c>
      <c r="F5" s="37" t="n">
        <v>43</v>
      </c>
      <c r="G5" s="37" t="n">
        <v>1</v>
      </c>
      <c r="H5" s="37" t="n">
        <v>43</v>
      </c>
      <c r="I5" s="37" t="n">
        <v>10.4</v>
      </c>
      <c r="J5" s="37" t="n">
        <v>447.2</v>
      </c>
    </row>
    <row r="6">
      <c r="A6" s="37" t="inlineStr">
        <is>
          <t>TXN-202608-000299</t>
        </is>
      </c>
      <c r="B6" s="37" t="inlineStr">
        <is>
          <t>AC-LP-0105</t>
        </is>
      </c>
      <c r="C6" s="37" t="inlineStr">
        <is>
          <t>WL-03876</t>
        </is>
      </c>
      <c r="D6" s="37" t="inlineStr">
        <is>
          <t>LP-0105</t>
        </is>
      </c>
      <c r="E6" s="37" t="inlineStr">
        <is>
          <t>Ledgport</t>
        </is>
      </c>
      <c r="F6" s="37" t="n">
        <v>39</v>
      </c>
      <c r="G6" s="37" t="n">
        <v>1</v>
      </c>
      <c r="H6" s="37" t="n">
        <v>39</v>
      </c>
      <c r="I6" s="37" t="n">
        <v>10.4</v>
      </c>
      <c r="J6" s="37" t="n">
        <v>405.6</v>
      </c>
    </row>
    <row r="7">
      <c r="A7" s="37" t="inlineStr">
        <is>
          <t>TXN-202608-000338</t>
        </is>
      </c>
      <c r="B7" s="37" t="inlineStr">
        <is>
          <t>AC-LP-0106</t>
        </is>
      </c>
      <c r="C7" s="37" t="inlineStr">
        <is>
          <t>WL-02316</t>
        </is>
      </c>
      <c r="D7" s="37" t="inlineStr">
        <is>
          <t>LP-0106</t>
        </is>
      </c>
      <c r="E7" s="37" t="inlineStr">
        <is>
          <t>Ledgport</t>
        </is>
      </c>
      <c r="F7" s="37" t="n">
        <v>39</v>
      </c>
      <c r="G7" s="37" t="n">
        <v>1</v>
      </c>
      <c r="H7" s="37" t="n">
        <v>39</v>
      </c>
      <c r="I7" s="37" t="n">
        <v>10.4</v>
      </c>
      <c r="J7" s="37" t="n">
        <v>405.6</v>
      </c>
    </row>
    <row r="8">
      <c r="A8" s="37" t="inlineStr">
        <is>
          <t>TXN-202608-000413</t>
        </is>
      </c>
      <c r="B8" s="37" t="inlineStr">
        <is>
          <t>AC-LP-0107</t>
        </is>
      </c>
      <c r="C8" s="37" t="inlineStr">
        <is>
          <t>WL-02607</t>
        </is>
      </c>
      <c r="D8" s="37" t="inlineStr">
        <is>
          <t>LP-0107</t>
        </is>
      </c>
      <c r="E8" s="37" t="inlineStr">
        <is>
          <t>Ledgport</t>
        </is>
      </c>
      <c r="F8" s="37" t="n">
        <v>31</v>
      </c>
      <c r="G8" s="37" t="n">
        <v>1</v>
      </c>
      <c r="H8" s="37" t="n">
        <v>31</v>
      </c>
      <c r="I8" s="37" t="n">
        <v>10.4</v>
      </c>
      <c r="J8" s="37" t="n">
        <v>322.4</v>
      </c>
    </row>
    <row r="9">
      <c r="A9" s="37" t="inlineStr">
        <is>
          <t>TXN-202608-000483</t>
        </is>
      </c>
      <c r="B9" s="37" t="inlineStr">
        <is>
          <t>AC-LP-0108</t>
        </is>
      </c>
      <c r="C9" s="37" t="inlineStr">
        <is>
          <t>WL-01567</t>
        </is>
      </c>
      <c r="D9" s="37" t="inlineStr">
        <is>
          <t>LP-0108</t>
        </is>
      </c>
      <c r="E9" s="37" t="inlineStr">
        <is>
          <t>Ledgport</t>
        </is>
      </c>
      <c r="F9" s="37" t="n">
        <v>32</v>
      </c>
      <c r="G9" s="37" t="n">
        <v>1</v>
      </c>
      <c r="H9" s="37" t="n">
        <v>32</v>
      </c>
      <c r="I9" s="37" t="n">
        <v>10.4</v>
      </c>
      <c r="J9" s="37" t="n">
        <v>332.8</v>
      </c>
    </row>
    <row r="10">
      <c r="A10" s="37" t="inlineStr">
        <is>
          <t>TXN-202608-000533</t>
        </is>
      </c>
      <c r="B10" s="37" t="inlineStr">
        <is>
          <t>AC-LP-0109</t>
        </is>
      </c>
      <c r="C10" s="37" t="inlineStr">
        <is>
          <t>WL-02768</t>
        </is>
      </c>
      <c r="D10" s="37" t="inlineStr">
        <is>
          <t>LP-0109</t>
        </is>
      </c>
      <c r="E10" s="37" t="inlineStr">
        <is>
          <t>Ledgport</t>
        </is>
      </c>
      <c r="F10" s="37" t="n">
        <v>32</v>
      </c>
      <c r="G10" s="37" t="n">
        <v>1</v>
      </c>
      <c r="H10" s="37" t="n">
        <v>32</v>
      </c>
      <c r="I10" s="37" t="n">
        <v>10.4</v>
      </c>
      <c r="J10" s="37" t="n">
        <v>332.8</v>
      </c>
    </row>
    <row r="11">
      <c r="A11" s="37" t="inlineStr">
        <is>
          <t>TXN-202608-000581</t>
        </is>
      </c>
      <c r="B11" s="37" t="inlineStr">
        <is>
          <t>AC-LP-0110</t>
        </is>
      </c>
      <c r="C11" s="37" t="inlineStr">
        <is>
          <t>WL-03140</t>
        </is>
      </c>
      <c r="D11" s="37" t="inlineStr">
        <is>
          <t>LP-0110</t>
        </is>
      </c>
      <c r="E11" s="37" t="inlineStr">
        <is>
          <t>Ledgport</t>
        </is>
      </c>
      <c r="F11" s="37" t="n">
        <v>28</v>
      </c>
      <c r="G11" s="37" t="n">
        <v>1</v>
      </c>
      <c r="H11" s="37" t="n">
        <v>28</v>
      </c>
      <c r="I11" s="37" t="n">
        <v>10.4</v>
      </c>
      <c r="J11" s="37" t="n">
        <v>291.2</v>
      </c>
    </row>
    <row r="12">
      <c r="A12" s="37" t="inlineStr">
        <is>
          <t>TXN-202608-000628</t>
        </is>
      </c>
      <c r="B12" s="37" t="inlineStr">
        <is>
          <t>AC-LP-0111</t>
        </is>
      </c>
      <c r="C12" s="37" t="inlineStr">
        <is>
          <t>WL-03621</t>
        </is>
      </c>
      <c r="D12" s="37" t="inlineStr">
        <is>
          <t>LP-0111</t>
        </is>
      </c>
      <c r="E12" s="37" t="inlineStr">
        <is>
          <t>Ledgport</t>
        </is>
      </c>
      <c r="F12" s="37" t="n">
        <v>54</v>
      </c>
      <c r="G12" s="37" t="n">
        <v>1</v>
      </c>
      <c r="H12" s="37" t="n">
        <v>54</v>
      </c>
      <c r="I12" s="37" t="n">
        <v>10.4</v>
      </c>
      <c r="J12" s="37" t="n">
        <v>561.6</v>
      </c>
    </row>
    <row r="13">
      <c r="A13" s="37" t="inlineStr">
        <is>
          <t>TXN-202608-000674</t>
        </is>
      </c>
      <c r="B13" s="37" t="inlineStr">
        <is>
          <t>AC-LP-0113</t>
        </is>
      </c>
      <c r="C13" s="37" t="inlineStr">
        <is>
          <t>WL-02762</t>
        </is>
      </c>
      <c r="D13" s="37" t="inlineStr">
        <is>
          <t>LP-0113</t>
        </is>
      </c>
      <c r="E13" s="37" t="inlineStr">
        <is>
          <t>Ledgport</t>
        </is>
      </c>
      <c r="F13" s="37" t="n">
        <v>36</v>
      </c>
      <c r="G13" s="37" t="n">
        <v>1</v>
      </c>
      <c r="H13" s="37" t="n">
        <v>36</v>
      </c>
      <c r="I13" s="37" t="n">
        <v>10.4</v>
      </c>
      <c r="J13" s="37" t="n">
        <v>374.4</v>
      </c>
    </row>
    <row r="14">
      <c r="A14" s="37" t="inlineStr">
        <is>
          <t>TXN-202608-000728</t>
        </is>
      </c>
      <c r="B14" s="37" t="inlineStr">
        <is>
          <t>AC-LP-0114</t>
        </is>
      </c>
      <c r="C14" s="37" t="inlineStr">
        <is>
          <t>WL-02237</t>
        </is>
      </c>
      <c r="D14" s="37" t="inlineStr">
        <is>
          <t>LP-0114</t>
        </is>
      </c>
      <c r="E14" s="37" t="inlineStr">
        <is>
          <t>Ledgport</t>
        </is>
      </c>
      <c r="F14" s="37" t="n">
        <v>29</v>
      </c>
      <c r="G14" s="37" t="n">
        <v>1</v>
      </c>
      <c r="H14" s="37" t="n">
        <v>29</v>
      </c>
      <c r="I14" s="37" t="n">
        <v>10.4</v>
      </c>
      <c r="J14" s="37" t="n">
        <v>301.6</v>
      </c>
    </row>
    <row r="15">
      <c r="A15" s="37" t="inlineStr">
        <is>
          <t>TXN-202608-000802</t>
        </is>
      </c>
      <c r="B15" s="37" t="inlineStr">
        <is>
          <t>AC-LP-0115</t>
        </is>
      </c>
      <c r="C15" s="37" t="inlineStr">
        <is>
          <t>WL-02943</t>
        </is>
      </c>
      <c r="D15" s="37" t="inlineStr">
        <is>
          <t>LP-0115</t>
        </is>
      </c>
      <c r="E15" s="37" t="inlineStr">
        <is>
          <t>Ledgport</t>
        </is>
      </c>
      <c r="F15" s="37" t="n">
        <v>28</v>
      </c>
      <c r="G15" s="37" t="n">
        <v>1</v>
      </c>
      <c r="H15" s="37" t="n">
        <v>28</v>
      </c>
      <c r="I15" s="37" t="n">
        <v>10.4</v>
      </c>
      <c r="J15" s="37" t="n">
        <v>291.2</v>
      </c>
    </row>
    <row r="16">
      <c r="A16" s="37" t="inlineStr">
        <is>
          <t>TXN-202608-000869</t>
        </is>
      </c>
      <c r="B16" s="37" t="inlineStr">
        <is>
          <t>AC-LP-0116</t>
        </is>
      </c>
      <c r="C16" s="37" t="inlineStr">
        <is>
          <t>WL-02031</t>
        </is>
      </c>
      <c r="D16" s="37" t="inlineStr">
        <is>
          <t>LP-0116</t>
        </is>
      </c>
      <c r="E16" s="37" t="inlineStr">
        <is>
          <t>Ledgport</t>
        </is>
      </c>
      <c r="F16" s="37" t="n">
        <v>28</v>
      </c>
      <c r="G16" s="37" t="n">
        <v>1</v>
      </c>
      <c r="H16" s="37" t="n">
        <v>28</v>
      </c>
      <c r="I16" s="37" t="n">
        <v>10.4</v>
      </c>
      <c r="J16" s="37" t="n">
        <v>291.2</v>
      </c>
    </row>
    <row r="17">
      <c r="A17" s="37" t="inlineStr">
        <is>
          <t>TXN-202608-000938</t>
        </is>
      </c>
      <c r="B17" s="37" t="inlineStr">
        <is>
          <t>AC-LP-0117</t>
        </is>
      </c>
      <c r="C17" s="37" t="inlineStr">
        <is>
          <t>WL-01361</t>
        </is>
      </c>
      <c r="D17" s="37" t="inlineStr">
        <is>
          <t>LP-0117</t>
        </is>
      </c>
      <c r="E17" s="37" t="inlineStr">
        <is>
          <t>Ledgport</t>
        </is>
      </c>
      <c r="F17" s="37" t="n">
        <v>32</v>
      </c>
      <c r="G17" s="37" t="n">
        <v>1</v>
      </c>
      <c r="H17" s="37" t="n">
        <v>32</v>
      </c>
      <c r="I17" s="37" t="n">
        <v>10.4</v>
      </c>
      <c r="J17" s="37" t="n">
        <v>332.8</v>
      </c>
    </row>
    <row r="18">
      <c r="A18" s="37" t="inlineStr">
        <is>
          <t>TXN-202608-000989</t>
        </is>
      </c>
      <c r="B18" s="37" t="inlineStr">
        <is>
          <t>AC-LP-0118</t>
        </is>
      </c>
      <c r="C18" s="37" t="inlineStr">
        <is>
          <t>WL-03633</t>
        </is>
      </c>
      <c r="D18" s="37" t="inlineStr">
        <is>
          <t>LP-0118</t>
        </is>
      </c>
      <c r="E18" s="37" t="inlineStr">
        <is>
          <t>Ledgport</t>
        </is>
      </c>
      <c r="F18" s="37" t="n">
        <v>24</v>
      </c>
      <c r="G18" s="37" t="n">
        <v>1</v>
      </c>
      <c r="H18" s="37" t="n">
        <v>24</v>
      </c>
      <c r="I18" s="37" t="n">
        <v>10.4</v>
      </c>
      <c r="J18" s="37" t="n">
        <v>249.6</v>
      </c>
    </row>
    <row r="19">
      <c r="A19" s="37" t="inlineStr">
        <is>
          <t>TXN-202608-001067</t>
        </is>
      </c>
      <c r="B19" s="37" t="inlineStr">
        <is>
          <t>AC-LP-0119</t>
        </is>
      </c>
      <c r="C19" s="37" t="inlineStr">
        <is>
          <t>WL-01880</t>
        </is>
      </c>
      <c r="D19" s="37" t="inlineStr">
        <is>
          <t>LP-0119</t>
        </is>
      </c>
      <c r="E19" s="37" t="inlineStr">
        <is>
          <t>Ledgport</t>
        </is>
      </c>
      <c r="F19" s="37" t="n">
        <v>44</v>
      </c>
      <c r="G19" s="37" t="n">
        <v>1</v>
      </c>
      <c r="H19" s="37" t="n">
        <v>44</v>
      </c>
      <c r="I19" s="37" t="n">
        <v>10.4</v>
      </c>
      <c r="J19" s="37" t="n">
        <v>457.6</v>
      </c>
    </row>
    <row r="20">
      <c r="A20" s="37" t="inlineStr">
        <is>
          <t>TXN-202608-001137</t>
        </is>
      </c>
      <c r="B20" s="37" t="inlineStr">
        <is>
          <t>AC-LP-0120</t>
        </is>
      </c>
      <c r="C20" s="37" t="inlineStr">
        <is>
          <t>WL-03128</t>
        </is>
      </c>
      <c r="D20" s="37" t="inlineStr">
        <is>
          <t>LP-0120</t>
        </is>
      </c>
      <c r="E20" s="37" t="inlineStr">
        <is>
          <t>Ledgport</t>
        </is>
      </c>
      <c r="F20" s="37" t="n">
        <v>32</v>
      </c>
      <c r="G20" s="37" t="n">
        <v>1</v>
      </c>
      <c r="H20" s="37" t="n">
        <v>32</v>
      </c>
      <c r="I20" s="37" t="n">
        <v>10.4</v>
      </c>
      <c r="J20" s="37" t="n">
        <v>332.8</v>
      </c>
    </row>
    <row r="21">
      <c r="A21" s="37" t="inlineStr">
        <is>
          <t>TXN-202608-001182</t>
        </is>
      </c>
      <c r="B21" s="37" t="inlineStr">
        <is>
          <t>AC-LP-0121</t>
        </is>
      </c>
      <c r="C21" s="37" t="inlineStr">
        <is>
          <t>WL-03477</t>
        </is>
      </c>
      <c r="D21" s="37" t="inlineStr">
        <is>
          <t>LP-0121</t>
        </is>
      </c>
      <c r="E21" s="37" t="inlineStr">
        <is>
          <t>Ledgport</t>
        </is>
      </c>
      <c r="F21" s="37" t="n">
        <v>52</v>
      </c>
      <c r="G21" s="37" t="n">
        <v>1</v>
      </c>
      <c r="H21" s="37" t="n">
        <v>52</v>
      </c>
      <c r="I21" s="37" t="n">
        <v>10.4</v>
      </c>
      <c r="J21" s="37" t="n">
        <v>540.8</v>
      </c>
    </row>
    <row r="22">
      <c r="A22" s="37" t="inlineStr">
        <is>
          <t>TXN-202608-001251</t>
        </is>
      </c>
      <c r="B22" s="37" t="inlineStr">
        <is>
          <t>AC-LP-0122</t>
        </is>
      </c>
      <c r="C22" s="37" t="inlineStr">
        <is>
          <t>WL-01974</t>
        </is>
      </c>
      <c r="D22" s="37" t="inlineStr">
        <is>
          <t>LP-0122</t>
        </is>
      </c>
      <c r="E22" s="37" t="inlineStr">
        <is>
          <t>Ledgport</t>
        </is>
      </c>
      <c r="F22" s="37" t="n">
        <v>49</v>
      </c>
      <c r="G22" s="37" t="n">
        <v>1</v>
      </c>
      <c r="H22" s="37" t="n">
        <v>49</v>
      </c>
      <c r="I22" s="37" t="n">
        <v>10.4</v>
      </c>
      <c r="J22" s="37" t="n">
        <v>509.6</v>
      </c>
    </row>
    <row r="23">
      <c r="A23" s="37" t="inlineStr">
        <is>
          <t>TXN-202608-001319</t>
        </is>
      </c>
      <c r="B23" s="37" t="inlineStr">
        <is>
          <t>AC-LP-0123</t>
        </is>
      </c>
      <c r="C23" s="37" t="inlineStr">
        <is>
          <t>WL-03479</t>
        </is>
      </c>
      <c r="D23" s="37" t="inlineStr">
        <is>
          <t>LP-0123</t>
        </is>
      </c>
      <c r="E23" s="37" t="inlineStr">
        <is>
          <t>Ledgport</t>
        </is>
      </c>
      <c r="F23" s="37" t="n">
        <v>32</v>
      </c>
      <c r="G23" s="37" t="n">
        <v>1</v>
      </c>
      <c r="H23" s="37" t="n">
        <v>32</v>
      </c>
      <c r="I23" s="37" t="n">
        <v>10.4</v>
      </c>
      <c r="J23" s="37" t="n">
        <v>332.8</v>
      </c>
    </row>
    <row r="24">
      <c r="A24" s="37" t="inlineStr">
        <is>
          <t>TXN-202608-001394</t>
        </is>
      </c>
      <c r="B24" s="37" t="inlineStr">
        <is>
          <t>AC-LP-0124</t>
        </is>
      </c>
      <c r="C24" s="37" t="inlineStr">
        <is>
          <t>WL-02080</t>
        </is>
      </c>
      <c r="D24" s="37" t="inlineStr">
        <is>
          <t>LP-0124</t>
        </is>
      </c>
      <c r="E24" s="37" t="inlineStr">
        <is>
          <t>Ledgport</t>
        </is>
      </c>
      <c r="F24" s="37" t="n">
        <v>39</v>
      </c>
      <c r="G24" s="37" t="n">
        <v>1</v>
      </c>
      <c r="H24" s="37" t="n">
        <v>39</v>
      </c>
      <c r="I24" s="37" t="n">
        <v>10.4</v>
      </c>
      <c r="J24" s="37" t="n">
        <v>405.6</v>
      </c>
    </row>
    <row r="25">
      <c r="A25" s="37" t="inlineStr">
        <is>
          <t>TXN-202608-001459</t>
        </is>
      </c>
      <c r="B25" s="37" t="inlineStr">
        <is>
          <t>AC-LP-0201</t>
        </is>
      </c>
      <c r="C25" s="37" t="inlineStr">
        <is>
          <t>WL-03657</t>
        </is>
      </c>
      <c r="D25" s="37" t="inlineStr">
        <is>
          <t>LP-0201</t>
        </is>
      </c>
      <c r="E25" s="37" t="inlineStr">
        <is>
          <t>Ledgport</t>
        </is>
      </c>
      <c r="F25" s="37" t="n">
        <v>52</v>
      </c>
      <c r="G25" s="37" t="n">
        <v>1</v>
      </c>
      <c r="H25" s="37" t="n">
        <v>52</v>
      </c>
      <c r="I25" s="37" t="n">
        <v>10.4</v>
      </c>
      <c r="J25" s="37" t="n">
        <v>540.8</v>
      </c>
    </row>
    <row r="26">
      <c r="A26" s="37" t="inlineStr">
        <is>
          <t>TXN-202608-001533</t>
        </is>
      </c>
      <c r="B26" s="37" t="inlineStr">
        <is>
          <t>AC-LP-0202</t>
        </is>
      </c>
      <c r="C26" s="37" t="inlineStr">
        <is>
          <t>WL-02964</t>
        </is>
      </c>
      <c r="D26" s="37" t="inlineStr">
        <is>
          <t>LP-0202</t>
        </is>
      </c>
      <c r="E26" s="37" t="inlineStr">
        <is>
          <t>Ledgport</t>
        </is>
      </c>
      <c r="F26" s="37" t="n">
        <v>38</v>
      </c>
      <c r="G26" s="37" t="n">
        <v>1</v>
      </c>
      <c r="H26" s="37" t="n">
        <v>38</v>
      </c>
      <c r="I26" s="37" t="n">
        <v>10.4</v>
      </c>
      <c r="J26" s="37" t="n">
        <v>395.2</v>
      </c>
    </row>
    <row r="27">
      <c r="A27" s="37" t="inlineStr">
        <is>
          <t>TXN-202608-001590</t>
        </is>
      </c>
      <c r="B27" s="37" t="inlineStr">
        <is>
          <t>AC-LP-0203</t>
        </is>
      </c>
      <c r="C27" s="37" t="inlineStr">
        <is>
          <t>WL-01820</t>
        </is>
      </c>
      <c r="D27" s="37" t="inlineStr">
        <is>
          <t>LP-0203</t>
        </is>
      </c>
      <c r="E27" s="37" t="inlineStr">
        <is>
          <t>Ledgport</t>
        </is>
      </c>
      <c r="F27" s="37" t="n">
        <v>29</v>
      </c>
      <c r="G27" s="37" t="n">
        <v>1</v>
      </c>
      <c r="H27" s="37" t="n">
        <v>29</v>
      </c>
      <c r="I27" s="37" t="n">
        <v>10.4</v>
      </c>
      <c r="J27" s="37" t="n">
        <v>301.6</v>
      </c>
    </row>
    <row r="28">
      <c r="A28" s="37" t="inlineStr">
        <is>
          <t>TXN-202608-001651</t>
        </is>
      </c>
      <c r="B28" s="37" t="inlineStr">
        <is>
          <t>AC-LP-0204</t>
        </is>
      </c>
      <c r="C28" s="37" t="inlineStr">
        <is>
          <t>WL-01587</t>
        </is>
      </c>
      <c r="D28" s="37" t="inlineStr">
        <is>
          <t>LP-0204</t>
        </is>
      </c>
      <c r="E28" s="37" t="inlineStr">
        <is>
          <t>Ledgport</t>
        </is>
      </c>
      <c r="F28" s="37" t="n">
        <v>36</v>
      </c>
      <c r="G28" s="37" t="n">
        <v>1</v>
      </c>
      <c r="H28" s="37" t="n">
        <v>36</v>
      </c>
      <c r="I28" s="37" t="n">
        <v>10.4</v>
      </c>
      <c r="J28" s="37" t="n">
        <v>374.4</v>
      </c>
    </row>
    <row r="29">
      <c r="A29" s="37" t="inlineStr">
        <is>
          <t>TXN-202608-001727</t>
        </is>
      </c>
      <c r="B29" s="37" t="inlineStr">
        <is>
          <t>AC-LP-0205</t>
        </is>
      </c>
      <c r="C29" s="37" t="inlineStr">
        <is>
          <t>WL-01514</t>
        </is>
      </c>
      <c r="D29" s="37" t="inlineStr">
        <is>
          <t>LP-0205</t>
        </is>
      </c>
      <c r="E29" s="37" t="inlineStr">
        <is>
          <t>Ledgport</t>
        </is>
      </c>
      <c r="F29" s="37" t="n">
        <v>40</v>
      </c>
      <c r="G29" s="37" t="n">
        <v>1</v>
      </c>
      <c r="H29" s="37" t="n">
        <v>40</v>
      </c>
      <c r="I29" s="37" t="n">
        <v>10.4</v>
      </c>
      <c r="J29" s="37" t="n">
        <v>416</v>
      </c>
    </row>
    <row r="30">
      <c r="A30" s="37" t="inlineStr">
        <is>
          <t>TXN-202608-001771</t>
        </is>
      </c>
      <c r="B30" s="37" t="inlineStr">
        <is>
          <t>AC-LP-0206</t>
        </is>
      </c>
      <c r="C30" s="37" t="inlineStr">
        <is>
          <t>WL-03079</t>
        </is>
      </c>
      <c r="D30" s="37" t="inlineStr">
        <is>
          <t>LP-0206</t>
        </is>
      </c>
      <c r="E30" s="37" t="inlineStr">
        <is>
          <t>Ledgport</t>
        </is>
      </c>
      <c r="F30" s="37" t="n">
        <v>42</v>
      </c>
      <c r="G30" s="37" t="n">
        <v>1</v>
      </c>
      <c r="H30" s="37" t="n">
        <v>42</v>
      </c>
      <c r="I30" s="37" t="n">
        <v>10.4</v>
      </c>
      <c r="J30" s="37" t="n">
        <v>436.8</v>
      </c>
    </row>
    <row r="31">
      <c r="A31" s="37" t="inlineStr">
        <is>
          <t>TXN-202608-001837</t>
        </is>
      </c>
      <c r="B31" s="37" t="inlineStr">
        <is>
          <t>AC-LP-0208</t>
        </is>
      </c>
      <c r="C31" s="37" t="inlineStr">
        <is>
          <t>WL-02432</t>
        </is>
      </c>
      <c r="D31" s="37" t="inlineStr">
        <is>
          <t>LP-0208</t>
        </is>
      </c>
      <c r="E31" s="37" t="inlineStr">
        <is>
          <t>Ledgport</t>
        </is>
      </c>
      <c r="F31" s="37" t="n">
        <v>36</v>
      </c>
      <c r="G31" s="37" t="n">
        <v>1</v>
      </c>
      <c r="H31" s="37" t="n">
        <v>36</v>
      </c>
      <c r="I31" s="37" t="n">
        <v>10.4</v>
      </c>
      <c r="J31" s="37" t="n">
        <v>374.4</v>
      </c>
    </row>
    <row r="32">
      <c r="A32" s="37" t="inlineStr">
        <is>
          <t>TXN-202608-001909</t>
        </is>
      </c>
      <c r="B32" s="37" t="inlineStr">
        <is>
          <t>AC-LP-0209</t>
        </is>
      </c>
      <c r="C32" s="37" t="inlineStr">
        <is>
          <t>WL-01517</t>
        </is>
      </c>
      <c r="D32" s="37" t="inlineStr">
        <is>
          <t>LP-0209</t>
        </is>
      </c>
      <c r="E32" s="37" t="inlineStr">
        <is>
          <t>Ledgport</t>
        </is>
      </c>
      <c r="F32" s="37" t="n">
        <v>32</v>
      </c>
      <c r="G32" s="37" t="n">
        <v>1</v>
      </c>
      <c r="H32" s="37" t="n">
        <v>32</v>
      </c>
      <c r="I32" s="37" t="n">
        <v>10.4</v>
      </c>
      <c r="J32" s="37" t="n">
        <v>332.8</v>
      </c>
    </row>
    <row r="33">
      <c r="A33" s="37" t="inlineStr">
        <is>
          <t>TXN-202608-001956</t>
        </is>
      </c>
      <c r="B33" s="37" t="inlineStr">
        <is>
          <t>AC-LP-0210</t>
        </is>
      </c>
      <c r="C33" s="37" t="inlineStr">
        <is>
          <t>WL-02178</t>
        </is>
      </c>
      <c r="D33" s="37" t="inlineStr">
        <is>
          <t>LP-0210</t>
        </is>
      </c>
      <c r="E33" s="37" t="inlineStr">
        <is>
          <t>Ledgport</t>
        </is>
      </c>
      <c r="F33" s="37" t="n">
        <v>40</v>
      </c>
      <c r="G33" s="37" t="n">
        <v>1</v>
      </c>
      <c r="H33" s="37" t="n">
        <v>40</v>
      </c>
      <c r="I33" s="37" t="n">
        <v>10.4</v>
      </c>
      <c r="J33" s="37" t="n">
        <v>416</v>
      </c>
    </row>
    <row r="34">
      <c r="A34" s="37" t="inlineStr">
        <is>
          <t>TXN-202608-002030</t>
        </is>
      </c>
      <c r="B34" s="37" t="inlineStr">
        <is>
          <t>AC-LP-0212</t>
        </is>
      </c>
      <c r="C34" s="37" t="inlineStr">
        <is>
          <t>WL-03348</t>
        </is>
      </c>
      <c r="D34" s="37" t="inlineStr">
        <is>
          <t>LP-0212</t>
        </is>
      </c>
      <c r="E34" s="37" t="inlineStr">
        <is>
          <t>Ledgport</t>
        </is>
      </c>
      <c r="F34" s="37" t="n">
        <v>58</v>
      </c>
      <c r="G34" s="37" t="n">
        <v>1</v>
      </c>
      <c r="H34" s="37" t="n">
        <v>58</v>
      </c>
      <c r="I34" s="37" t="n">
        <v>10.4</v>
      </c>
      <c r="J34" s="37" t="n">
        <v>603.2</v>
      </c>
    </row>
    <row r="35">
      <c r="A35" s="37" t="inlineStr">
        <is>
          <t>TXN-202608-002082</t>
        </is>
      </c>
      <c r="B35" s="37" t="inlineStr">
        <is>
          <t>AC-LP-0213</t>
        </is>
      </c>
      <c r="C35" s="37" t="inlineStr">
        <is>
          <t>WL-02388</t>
        </is>
      </c>
      <c r="D35" s="37" t="inlineStr">
        <is>
          <t>LP-0213</t>
        </is>
      </c>
      <c r="E35" s="37" t="inlineStr">
        <is>
          <t>Ledgport</t>
        </is>
      </c>
      <c r="F35" s="37" t="n">
        <v>50</v>
      </c>
      <c r="G35" s="37" t="n">
        <v>1</v>
      </c>
      <c r="H35" s="37" t="n">
        <v>50</v>
      </c>
      <c r="I35" s="37" t="n">
        <v>10.4</v>
      </c>
      <c r="J35" s="37" t="n">
        <v>520</v>
      </c>
    </row>
    <row r="36">
      <c r="A36" s="37" t="inlineStr">
        <is>
          <t>TXN-202608-002126</t>
        </is>
      </c>
      <c r="B36" s="37" t="inlineStr">
        <is>
          <t>AC-LP-0214</t>
        </is>
      </c>
      <c r="C36" s="37" t="inlineStr">
        <is>
          <t>WL-01816</t>
        </is>
      </c>
      <c r="D36" s="37" t="inlineStr">
        <is>
          <t>LP-0214</t>
        </is>
      </c>
      <c r="E36" s="37" t="inlineStr">
        <is>
          <t>Ledgport</t>
        </is>
      </c>
      <c r="F36" s="37" t="n">
        <v>31</v>
      </c>
      <c r="G36" s="37" t="n">
        <v>1</v>
      </c>
      <c r="H36" s="37" t="n">
        <v>31</v>
      </c>
      <c r="I36" s="37" t="n">
        <v>10.4</v>
      </c>
      <c r="J36" s="37" t="n">
        <v>322.4</v>
      </c>
    </row>
    <row r="37">
      <c r="A37" s="37" t="inlineStr">
        <is>
          <t>TXN-202608-002202</t>
        </is>
      </c>
      <c r="B37" s="37" t="inlineStr">
        <is>
          <t>AC-LP-0215</t>
        </is>
      </c>
      <c r="C37" s="37" t="inlineStr">
        <is>
          <t>WL-01337</t>
        </is>
      </c>
      <c r="D37" s="37" t="inlineStr">
        <is>
          <t>LP-0215</t>
        </is>
      </c>
      <c r="E37" s="37" t="inlineStr">
        <is>
          <t>Ledgport</t>
        </is>
      </c>
      <c r="F37" s="37" t="n">
        <v>28</v>
      </c>
      <c r="G37" s="37" t="n">
        <v>1</v>
      </c>
      <c r="H37" s="37" t="n">
        <v>28</v>
      </c>
      <c r="I37" s="37" t="n">
        <v>10.4</v>
      </c>
      <c r="J37" s="37" t="n">
        <v>291.2</v>
      </c>
    </row>
    <row r="38">
      <c r="A38" s="37" t="inlineStr">
        <is>
          <t>TXN-202608-002273</t>
        </is>
      </c>
      <c r="B38" s="37" t="inlineStr">
        <is>
          <t>AC-LP-0216</t>
        </is>
      </c>
      <c r="C38" s="37" t="inlineStr">
        <is>
          <t>WL-01428</t>
        </is>
      </c>
      <c r="D38" s="37" t="inlineStr">
        <is>
          <t>LP-0216</t>
        </is>
      </c>
      <c r="E38" s="37" t="inlineStr">
        <is>
          <t>Ledgport</t>
        </is>
      </c>
      <c r="F38" s="37" t="n">
        <v>57</v>
      </c>
      <c r="G38" s="37" t="n">
        <v>1</v>
      </c>
      <c r="H38" s="37" t="n">
        <v>57</v>
      </c>
      <c r="I38" s="37" t="n">
        <v>10.4</v>
      </c>
      <c r="J38" s="37" t="n">
        <v>592.8</v>
      </c>
    </row>
    <row r="39">
      <c r="A39" s="37" t="inlineStr">
        <is>
          <t>TXN-202608-002314</t>
        </is>
      </c>
      <c r="B39" s="37" t="inlineStr">
        <is>
          <t>AC-LP-0217</t>
        </is>
      </c>
      <c r="C39" s="37" t="inlineStr">
        <is>
          <t>WL-01497</t>
        </is>
      </c>
      <c r="D39" s="37" t="inlineStr">
        <is>
          <t>LP-0217</t>
        </is>
      </c>
      <c r="E39" s="37" t="inlineStr">
        <is>
          <t>Ledgport</t>
        </is>
      </c>
      <c r="F39" s="37" t="n">
        <v>59</v>
      </c>
      <c r="G39" s="37" t="n">
        <v>1</v>
      </c>
      <c r="H39" s="37" t="n">
        <v>59</v>
      </c>
      <c r="I39" s="37" t="n">
        <v>10.4</v>
      </c>
      <c r="J39" s="37" t="n">
        <v>613.6</v>
      </c>
    </row>
    <row r="40">
      <c r="A40" s="37" t="inlineStr">
        <is>
          <t>TXN-202608-002387</t>
        </is>
      </c>
      <c r="B40" s="37" t="inlineStr">
        <is>
          <t>AC-LP-0218</t>
        </is>
      </c>
      <c r="C40" s="37" t="inlineStr">
        <is>
          <t>WL-01177</t>
        </is>
      </c>
      <c r="D40" s="37" t="inlineStr">
        <is>
          <t>LP-0218</t>
        </is>
      </c>
      <c r="E40" s="37" t="inlineStr">
        <is>
          <t>Ledgport</t>
        </is>
      </c>
      <c r="F40" s="37" t="n">
        <v>42</v>
      </c>
      <c r="G40" s="37" t="n">
        <v>1</v>
      </c>
      <c r="H40" s="37" t="n">
        <v>42</v>
      </c>
      <c r="I40" s="37" t="n">
        <v>10.4</v>
      </c>
      <c r="J40" s="37" t="n">
        <v>436.8</v>
      </c>
    </row>
    <row r="41">
      <c r="A41" s="37" t="inlineStr">
        <is>
          <t>TXN-202608-002429</t>
        </is>
      </c>
      <c r="B41" s="37" t="inlineStr">
        <is>
          <t>AC-LP-0219</t>
        </is>
      </c>
      <c r="C41" s="37" t="inlineStr">
        <is>
          <t>WL-01324</t>
        </is>
      </c>
      <c r="D41" s="37" t="inlineStr">
        <is>
          <t>LP-0219</t>
        </is>
      </c>
      <c r="E41" s="37" t="inlineStr">
        <is>
          <t>Ledgport</t>
        </is>
      </c>
      <c r="F41" s="37" t="n">
        <v>47</v>
      </c>
      <c r="G41" s="37" t="n">
        <v>1</v>
      </c>
      <c r="H41" s="37" t="n">
        <v>47</v>
      </c>
      <c r="I41" s="37" t="n">
        <v>10.4</v>
      </c>
      <c r="J41" s="37" t="n">
        <v>488.8</v>
      </c>
    </row>
    <row r="42">
      <c r="A42" s="37" t="inlineStr">
        <is>
          <t>TXN-202608-002497</t>
        </is>
      </c>
      <c r="B42" s="37" t="inlineStr">
        <is>
          <t>AC-LP-0220</t>
        </is>
      </c>
      <c r="C42" s="37" t="inlineStr">
        <is>
          <t>WL-02659</t>
        </is>
      </c>
      <c r="D42" s="37" t="inlineStr">
        <is>
          <t>LP-0220</t>
        </is>
      </c>
      <c r="E42" s="37" t="inlineStr">
        <is>
          <t>Ledgport</t>
        </is>
      </c>
      <c r="F42" s="37" t="n">
        <v>46</v>
      </c>
      <c r="G42" s="37" t="n">
        <v>1</v>
      </c>
      <c r="H42" s="37" t="n">
        <v>46</v>
      </c>
      <c r="I42" s="37" t="n">
        <v>10.4</v>
      </c>
      <c r="J42" s="37" t="n">
        <v>478.4</v>
      </c>
    </row>
    <row r="43">
      <c r="A43" s="37" t="inlineStr">
        <is>
          <t>TXN-202608-002568</t>
        </is>
      </c>
      <c r="B43" s="37" t="inlineStr">
        <is>
          <t>AC-LP-0221</t>
        </is>
      </c>
      <c r="C43" s="37" t="inlineStr">
        <is>
          <t>WL-03407</t>
        </is>
      </c>
      <c r="D43" s="37" t="inlineStr">
        <is>
          <t>LP-0221</t>
        </is>
      </c>
      <c r="E43" s="37" t="inlineStr">
        <is>
          <t>Ledgport</t>
        </is>
      </c>
      <c r="F43" s="37" t="n">
        <v>58</v>
      </c>
      <c r="G43" s="37" t="n">
        <v>1</v>
      </c>
      <c r="H43" s="37" t="n">
        <v>58</v>
      </c>
      <c r="I43" s="37" t="n">
        <v>10.4</v>
      </c>
      <c r="J43" s="37" t="n">
        <v>603.2</v>
      </c>
    </row>
    <row r="44">
      <c r="A44" s="37" t="inlineStr">
        <is>
          <t>TXN-202608-002641</t>
        </is>
      </c>
      <c r="B44" s="37" t="inlineStr">
        <is>
          <t>AC-LP-0222</t>
        </is>
      </c>
      <c r="C44" s="37" t="inlineStr">
        <is>
          <t>WL-01185</t>
        </is>
      </c>
      <c r="D44" s="37" t="inlineStr">
        <is>
          <t>LP-0222</t>
        </is>
      </c>
      <c r="E44" s="37" t="inlineStr">
        <is>
          <t>Ledgport</t>
        </is>
      </c>
      <c r="F44" s="37" t="n">
        <v>36</v>
      </c>
      <c r="G44" s="37" t="n">
        <v>1</v>
      </c>
      <c r="H44" s="37" t="n">
        <v>36</v>
      </c>
      <c r="I44" s="37" t="n">
        <v>10.4</v>
      </c>
      <c r="J44" s="37" t="n">
        <v>374.4</v>
      </c>
    </row>
    <row r="45">
      <c r="A45" s="37" t="inlineStr">
        <is>
          <t>TXN-202608-002719</t>
        </is>
      </c>
      <c r="B45" s="37" t="inlineStr">
        <is>
          <t>AC-LP-0223</t>
        </is>
      </c>
      <c r="C45" s="37" t="inlineStr">
        <is>
          <t>WL-02494</t>
        </is>
      </c>
      <c r="D45" s="37" t="inlineStr">
        <is>
          <t>LP-0223</t>
        </is>
      </c>
      <c r="E45" s="37" t="inlineStr">
        <is>
          <t>Ledgport</t>
        </is>
      </c>
      <c r="F45" s="37" t="n">
        <v>50</v>
      </c>
      <c r="G45" s="37" t="n">
        <v>1</v>
      </c>
      <c r="H45" s="37" t="n">
        <v>50</v>
      </c>
      <c r="I45" s="37" t="n">
        <v>10.4</v>
      </c>
      <c r="J45" s="37" t="n">
        <v>520</v>
      </c>
    </row>
    <row r="46">
      <c r="A46" s="37" t="inlineStr">
        <is>
          <t>TXN-202608-002772</t>
        </is>
      </c>
      <c r="B46" s="37" t="inlineStr">
        <is>
          <t>AC-LP-0224</t>
        </is>
      </c>
      <c r="C46" s="37" t="inlineStr">
        <is>
          <t>WL-01261</t>
        </is>
      </c>
      <c r="D46" s="37" t="inlineStr">
        <is>
          <t>LP-0224</t>
        </is>
      </c>
      <c r="E46" s="37" t="inlineStr">
        <is>
          <t>Ledgport</t>
        </is>
      </c>
      <c r="F46" s="37" t="n">
        <v>40</v>
      </c>
      <c r="G46" s="37" t="n">
        <v>1</v>
      </c>
      <c r="H46" s="37" t="n">
        <v>40</v>
      </c>
      <c r="I46" s="37" t="n">
        <v>10.4</v>
      </c>
      <c r="J46" s="37" t="n">
        <v>416</v>
      </c>
    </row>
    <row r="47">
      <c r="A47" s="37" t="inlineStr">
        <is>
          <t>TXN-202608-002814</t>
        </is>
      </c>
      <c r="B47" s="37" t="inlineStr">
        <is>
          <t>AC-LP-0301</t>
        </is>
      </c>
      <c r="C47" s="37" t="inlineStr">
        <is>
          <t>WL-03425</t>
        </is>
      </c>
      <c r="D47" s="37" t="inlineStr">
        <is>
          <t>LP-0301</t>
        </is>
      </c>
      <c r="E47" s="37" t="inlineStr">
        <is>
          <t>Ledgport</t>
        </is>
      </c>
      <c r="F47" s="37" t="n">
        <v>28</v>
      </c>
      <c r="G47" s="37" t="n">
        <v>1</v>
      </c>
      <c r="H47" s="37" t="n">
        <v>28</v>
      </c>
      <c r="I47" s="37" t="n">
        <v>10.4</v>
      </c>
      <c r="J47" s="37" t="n">
        <v>291.2</v>
      </c>
    </row>
    <row r="48">
      <c r="A48" s="37" t="inlineStr">
        <is>
          <t>TXN-202608-002864</t>
        </is>
      </c>
      <c r="B48" s="37" t="inlineStr">
        <is>
          <t>AC-LP-0302</t>
        </is>
      </c>
      <c r="C48" s="37" t="inlineStr">
        <is>
          <t>WL-03048</t>
        </is>
      </c>
      <c r="D48" s="37" t="inlineStr">
        <is>
          <t>LP-0302</t>
        </is>
      </c>
      <c r="E48" s="37" t="inlineStr">
        <is>
          <t>Ledgport</t>
        </is>
      </c>
      <c r="F48" s="37" t="n">
        <v>38</v>
      </c>
      <c r="G48" s="37" t="n">
        <v>1</v>
      </c>
      <c r="H48" s="37" t="n">
        <v>38</v>
      </c>
      <c r="I48" s="37" t="n">
        <v>10.4</v>
      </c>
      <c r="J48" s="37" t="n">
        <v>395.2</v>
      </c>
    </row>
    <row r="49">
      <c r="A49" s="37" t="inlineStr">
        <is>
          <t>TXN-202608-002923</t>
        </is>
      </c>
      <c r="B49" s="37" t="inlineStr">
        <is>
          <t>AC-LP-0303</t>
        </is>
      </c>
      <c r="C49" s="37" t="inlineStr">
        <is>
          <t>WL-02853</t>
        </is>
      </c>
      <c r="D49" s="37" t="inlineStr">
        <is>
          <t>LP-0303</t>
        </is>
      </c>
      <c r="E49" s="37" t="inlineStr">
        <is>
          <t>Ledgport</t>
        </is>
      </c>
      <c r="F49" s="37" t="n">
        <v>54</v>
      </c>
      <c r="G49" s="37" t="n">
        <v>1</v>
      </c>
      <c r="H49" s="37" t="n">
        <v>54</v>
      </c>
      <c r="I49" s="37" t="n">
        <v>10.4</v>
      </c>
      <c r="J49" s="37" t="n">
        <v>561.6</v>
      </c>
    </row>
    <row r="50">
      <c r="A50" s="37" t="inlineStr">
        <is>
          <t>TXN-202608-002983</t>
        </is>
      </c>
      <c r="B50" s="37" t="inlineStr">
        <is>
          <t>AC-LP-0305</t>
        </is>
      </c>
      <c r="C50" s="37" t="inlineStr">
        <is>
          <t>WL-03470</t>
        </is>
      </c>
      <c r="D50" s="37" t="inlineStr">
        <is>
          <t>LP-0305</t>
        </is>
      </c>
      <c r="E50" s="37" t="inlineStr">
        <is>
          <t>Ledgport</t>
        </is>
      </c>
      <c r="F50" s="37" t="n">
        <v>32</v>
      </c>
      <c r="G50" s="37" t="n">
        <v>1</v>
      </c>
      <c r="H50" s="37" t="n">
        <v>32</v>
      </c>
      <c r="I50" s="37" t="n">
        <v>10.4</v>
      </c>
      <c r="J50" s="37" t="n">
        <v>332.8</v>
      </c>
    </row>
    <row r="51">
      <c r="A51" s="37" t="inlineStr">
        <is>
          <t>TXN-202608-003038</t>
        </is>
      </c>
      <c r="B51" s="37" t="inlineStr">
        <is>
          <t>AC-LP-0306</t>
        </is>
      </c>
      <c r="C51" s="37" t="inlineStr">
        <is>
          <t>WL-02345</t>
        </is>
      </c>
      <c r="D51" s="37" t="inlineStr">
        <is>
          <t>LP-0306</t>
        </is>
      </c>
      <c r="E51" s="37" t="inlineStr">
        <is>
          <t>Ledgport</t>
        </is>
      </c>
      <c r="F51" s="37" t="n">
        <v>55</v>
      </c>
      <c r="G51" s="37" t="n">
        <v>1</v>
      </c>
      <c r="H51" s="37" t="n">
        <v>55</v>
      </c>
      <c r="I51" s="37" t="n">
        <v>10.4</v>
      </c>
      <c r="J51" s="37" t="n">
        <v>572</v>
      </c>
    </row>
    <row r="52">
      <c r="A52" s="37" t="inlineStr">
        <is>
          <t>TXN-202608-003083</t>
        </is>
      </c>
      <c r="B52" s="37" t="inlineStr">
        <is>
          <t>AC-LP-0307</t>
        </is>
      </c>
      <c r="C52" s="37" t="inlineStr">
        <is>
          <t>WL-03230</t>
        </is>
      </c>
      <c r="D52" s="37" t="inlineStr">
        <is>
          <t>LP-0307</t>
        </is>
      </c>
      <c r="E52" s="37" t="inlineStr">
        <is>
          <t>Ledgport</t>
        </is>
      </c>
      <c r="F52" s="37" t="n">
        <v>61</v>
      </c>
      <c r="G52" s="37" t="n">
        <v>1</v>
      </c>
      <c r="H52" s="37" t="n">
        <v>61</v>
      </c>
      <c r="I52" s="37" t="n">
        <v>10.4</v>
      </c>
      <c r="J52" s="37" t="n">
        <v>634.4</v>
      </c>
    </row>
    <row r="53">
      <c r="A53" s="37" t="inlineStr">
        <is>
          <t>TXN-202608-003124</t>
        </is>
      </c>
      <c r="B53" s="37" t="inlineStr">
        <is>
          <t>AC-LP-0309</t>
        </is>
      </c>
      <c r="C53" s="37" t="inlineStr">
        <is>
          <t>WL-02885</t>
        </is>
      </c>
      <c r="D53" s="37" t="inlineStr">
        <is>
          <t>LP-0309</t>
        </is>
      </c>
      <c r="E53" s="37" t="inlineStr">
        <is>
          <t>Ledgport</t>
        </is>
      </c>
      <c r="F53" s="37" t="n">
        <v>43</v>
      </c>
      <c r="G53" s="37" t="n">
        <v>1</v>
      </c>
      <c r="H53" s="37" t="n">
        <v>43</v>
      </c>
      <c r="I53" s="37" t="n">
        <v>10.4</v>
      </c>
      <c r="J53" s="37" t="n">
        <v>447.2</v>
      </c>
    </row>
    <row r="54">
      <c r="A54" s="37" t="inlineStr">
        <is>
          <t>TXN-202608-003180</t>
        </is>
      </c>
      <c r="B54" s="37" t="inlineStr">
        <is>
          <t>AC-LP-0311</t>
        </is>
      </c>
      <c r="C54" s="37" t="inlineStr">
        <is>
          <t>WL-01606</t>
        </is>
      </c>
      <c r="D54" s="37" t="inlineStr">
        <is>
          <t>LP-0311</t>
        </is>
      </c>
      <c r="E54" s="37" t="inlineStr">
        <is>
          <t>Ledgport</t>
        </is>
      </c>
      <c r="F54" s="37" t="n">
        <v>24</v>
      </c>
      <c r="G54" s="37" t="n">
        <v>1</v>
      </c>
      <c r="H54" s="37" t="n">
        <v>24</v>
      </c>
      <c r="I54" s="37" t="n">
        <v>10.4</v>
      </c>
      <c r="J54" s="37" t="n">
        <v>249.6</v>
      </c>
    </row>
    <row r="55">
      <c r="A55" s="37" t="inlineStr">
        <is>
          <t>TXN-202608-003234</t>
        </is>
      </c>
      <c r="B55" s="37" t="inlineStr">
        <is>
          <t>AC-LP-0312</t>
        </is>
      </c>
      <c r="C55" s="37" t="inlineStr">
        <is>
          <t>WL-03333</t>
        </is>
      </c>
      <c r="D55" s="37" t="inlineStr">
        <is>
          <t>LP-0312</t>
        </is>
      </c>
      <c r="E55" s="37" t="inlineStr">
        <is>
          <t>Ledgport</t>
        </is>
      </c>
      <c r="F55" s="37" t="n">
        <v>32</v>
      </c>
      <c r="G55" s="37" t="n">
        <v>1</v>
      </c>
      <c r="H55" s="37" t="n">
        <v>32</v>
      </c>
      <c r="I55" s="37" t="n">
        <v>10.4</v>
      </c>
      <c r="J55" s="37" t="n">
        <v>332.8</v>
      </c>
    </row>
    <row r="56">
      <c r="A56" s="37" t="inlineStr">
        <is>
          <t>TXN-202608-003279</t>
        </is>
      </c>
      <c r="B56" s="37" t="inlineStr">
        <is>
          <t>AC-LP-0313</t>
        </is>
      </c>
      <c r="C56" s="37" t="inlineStr">
        <is>
          <t>WL-02675</t>
        </is>
      </c>
      <c r="D56" s="37" t="inlineStr">
        <is>
          <t>LP-0313</t>
        </is>
      </c>
      <c r="E56" s="37" t="inlineStr">
        <is>
          <t>Ledgport</t>
        </is>
      </c>
      <c r="F56" s="37" t="n">
        <v>32</v>
      </c>
      <c r="G56" s="37" t="n">
        <v>1</v>
      </c>
      <c r="H56" s="37" t="n">
        <v>32</v>
      </c>
      <c r="I56" s="37" t="n">
        <v>10.4</v>
      </c>
      <c r="J56" s="37" t="n">
        <v>332.8</v>
      </c>
    </row>
    <row r="57">
      <c r="A57" s="37" t="inlineStr">
        <is>
          <t>TXN-202608-003345</t>
        </is>
      </c>
      <c r="B57" s="37" t="inlineStr">
        <is>
          <t>AC-LP-0314</t>
        </is>
      </c>
      <c r="C57" s="37" t="inlineStr">
        <is>
          <t>WL-03274</t>
        </is>
      </c>
      <c r="D57" s="37" t="inlineStr">
        <is>
          <t>LP-0314</t>
        </is>
      </c>
      <c r="E57" s="37" t="inlineStr">
        <is>
          <t>Ledgport</t>
        </is>
      </c>
      <c r="F57" s="37" t="n">
        <v>32</v>
      </c>
      <c r="G57" s="37" t="n">
        <v>1</v>
      </c>
      <c r="H57" s="37" t="n">
        <v>32</v>
      </c>
      <c r="I57" s="37" t="n">
        <v>10.4</v>
      </c>
      <c r="J57" s="37" t="n">
        <v>332.8</v>
      </c>
    </row>
    <row r="58">
      <c r="A58" s="37" t="inlineStr">
        <is>
          <t>TXN-202608-003397</t>
        </is>
      </c>
      <c r="B58" s="37" t="inlineStr">
        <is>
          <t>AC-LP-0315</t>
        </is>
      </c>
      <c r="C58" s="37" t="inlineStr">
        <is>
          <t>WL-02756</t>
        </is>
      </c>
      <c r="D58" s="37" t="inlineStr">
        <is>
          <t>LP-0315</t>
        </is>
      </c>
      <c r="E58" s="37" t="inlineStr">
        <is>
          <t>Ledgport</t>
        </is>
      </c>
      <c r="F58" s="37" t="n">
        <v>32</v>
      </c>
      <c r="G58" s="37" t="n">
        <v>1</v>
      </c>
      <c r="H58" s="37" t="n">
        <v>32</v>
      </c>
      <c r="I58" s="37" t="n">
        <v>10.4</v>
      </c>
      <c r="J58" s="37" t="n">
        <v>332.8</v>
      </c>
    </row>
    <row r="59">
      <c r="A59" s="37" t="inlineStr">
        <is>
          <t>TXN-202608-003440</t>
        </is>
      </c>
      <c r="B59" s="37" t="inlineStr">
        <is>
          <t>AC-LP-0316</t>
        </is>
      </c>
      <c r="C59" s="37" t="inlineStr">
        <is>
          <t>WL-03711</t>
        </is>
      </c>
      <c r="D59" s="37" t="inlineStr">
        <is>
          <t>LP-0316</t>
        </is>
      </c>
      <c r="E59" s="37" t="inlineStr">
        <is>
          <t>Ledgport</t>
        </is>
      </c>
      <c r="F59" s="37" t="n">
        <v>54</v>
      </c>
      <c r="G59" s="37" t="n">
        <v>1</v>
      </c>
      <c r="H59" s="37" t="n">
        <v>54</v>
      </c>
      <c r="I59" s="37" t="n">
        <v>10.4</v>
      </c>
      <c r="J59" s="37" t="n">
        <v>561.6</v>
      </c>
    </row>
    <row r="60">
      <c r="A60" s="37" t="inlineStr">
        <is>
          <t>TXN-202608-003495</t>
        </is>
      </c>
      <c r="B60" s="37" t="inlineStr">
        <is>
          <t>AC-LP-0317</t>
        </is>
      </c>
      <c r="C60" s="37" t="inlineStr">
        <is>
          <t>WL-02923</t>
        </is>
      </c>
      <c r="D60" s="37" t="inlineStr">
        <is>
          <t>LP-0317</t>
        </is>
      </c>
      <c r="E60" s="37" t="inlineStr">
        <is>
          <t>Ledgport</t>
        </is>
      </c>
      <c r="F60" s="37" t="n">
        <v>40</v>
      </c>
      <c r="G60" s="37" t="n">
        <v>1</v>
      </c>
      <c r="H60" s="37" t="n">
        <v>40</v>
      </c>
      <c r="I60" s="37" t="n">
        <v>10.4</v>
      </c>
      <c r="J60" s="37" t="n">
        <v>416</v>
      </c>
    </row>
    <row r="61">
      <c r="A61" s="37" t="inlineStr">
        <is>
          <t>TXN-202608-003557</t>
        </is>
      </c>
      <c r="B61" s="37" t="inlineStr">
        <is>
          <t>AC-LP-0318</t>
        </is>
      </c>
      <c r="C61" s="37" t="inlineStr">
        <is>
          <t>WL-03488</t>
        </is>
      </c>
      <c r="D61" s="37" t="inlineStr">
        <is>
          <t>LP-0318</t>
        </is>
      </c>
      <c r="E61" s="37" t="inlineStr">
        <is>
          <t>Ledgport</t>
        </is>
      </c>
      <c r="F61" s="37" t="n">
        <v>35</v>
      </c>
      <c r="G61" s="37" t="n">
        <v>1</v>
      </c>
      <c r="H61" s="37" t="n">
        <v>35</v>
      </c>
      <c r="I61" s="37" t="n">
        <v>10.4</v>
      </c>
      <c r="J61" s="37" t="n">
        <v>364</v>
      </c>
    </row>
    <row r="62">
      <c r="A62" s="37" t="inlineStr">
        <is>
          <t>TXN-202608-003599</t>
        </is>
      </c>
      <c r="B62" s="37" t="inlineStr">
        <is>
          <t>AC-LP-0320</t>
        </is>
      </c>
      <c r="C62" s="37" t="inlineStr">
        <is>
          <t>WL-02524</t>
        </is>
      </c>
      <c r="D62" s="37" t="inlineStr">
        <is>
          <t>LP-0320</t>
        </is>
      </c>
      <c r="E62" s="37" t="inlineStr">
        <is>
          <t>Ledgport</t>
        </is>
      </c>
      <c r="F62" s="37" t="n">
        <v>54</v>
      </c>
      <c r="G62" s="37" t="n">
        <v>1</v>
      </c>
      <c r="H62" s="37" t="n">
        <v>54</v>
      </c>
      <c r="I62" s="37" t="n">
        <v>10.4</v>
      </c>
      <c r="J62" s="37" t="n">
        <v>561.6</v>
      </c>
    </row>
    <row r="63">
      <c r="A63" s="37" t="inlineStr">
        <is>
          <t>TXN-202608-003665</t>
        </is>
      </c>
      <c r="B63" s="37" t="inlineStr">
        <is>
          <t>AC-LP-0321</t>
        </is>
      </c>
      <c r="C63" s="37" t="inlineStr">
        <is>
          <t>WL-03415</t>
        </is>
      </c>
      <c r="D63" s="37" t="inlineStr">
        <is>
          <t>LP-0321</t>
        </is>
      </c>
      <c r="E63" s="37" t="inlineStr">
        <is>
          <t>Ledgport</t>
        </is>
      </c>
      <c r="F63" s="37" t="n">
        <v>35</v>
      </c>
      <c r="G63" s="37" t="n">
        <v>1</v>
      </c>
      <c r="H63" s="37" t="n">
        <v>35</v>
      </c>
      <c r="I63" s="37" t="n">
        <v>10.4</v>
      </c>
      <c r="J63" s="37" t="n">
        <v>364</v>
      </c>
    </row>
    <row r="64">
      <c r="A64" s="37" t="inlineStr">
        <is>
          <t>TXN-202608-003745</t>
        </is>
      </c>
      <c r="B64" s="37" t="inlineStr">
        <is>
          <t>AC-LP-0322</t>
        </is>
      </c>
      <c r="C64" s="37" t="inlineStr">
        <is>
          <t>WL-01554</t>
        </is>
      </c>
      <c r="D64" s="37" t="inlineStr">
        <is>
          <t>LP-0322</t>
        </is>
      </c>
      <c r="E64" s="37" t="inlineStr">
        <is>
          <t>Ledgport</t>
        </is>
      </c>
      <c r="F64" s="37" t="n">
        <v>58</v>
      </c>
      <c r="G64" s="37" t="n">
        <v>1</v>
      </c>
      <c r="H64" s="37" t="n">
        <v>58</v>
      </c>
      <c r="I64" s="37" t="n">
        <v>10.4</v>
      </c>
      <c r="J64" s="37" t="n">
        <v>603.2</v>
      </c>
    </row>
    <row r="65">
      <c r="A65" s="37" t="inlineStr">
        <is>
          <t>TXN-202608-003807</t>
        </is>
      </c>
      <c r="B65" s="37" t="inlineStr">
        <is>
          <t>AC-LP-0323</t>
        </is>
      </c>
      <c r="C65" s="37" t="inlineStr">
        <is>
          <t>WL-02461</t>
        </is>
      </c>
      <c r="D65" s="37" t="inlineStr">
        <is>
          <t>LP-0323</t>
        </is>
      </c>
      <c r="E65" s="37" t="inlineStr">
        <is>
          <t>Ledgport</t>
        </is>
      </c>
      <c r="F65" s="37" t="n">
        <v>49</v>
      </c>
      <c r="G65" s="37" t="n">
        <v>1</v>
      </c>
      <c r="H65" s="37" t="n">
        <v>49</v>
      </c>
      <c r="I65" s="37" t="n">
        <v>10.4</v>
      </c>
      <c r="J65" s="37" t="n">
        <v>509.6</v>
      </c>
    </row>
    <row r="66">
      <c r="A66" s="37" t="inlineStr">
        <is>
          <t>TXN-202608-003859</t>
        </is>
      </c>
      <c r="B66" s="37" t="inlineStr">
        <is>
          <t>AC-LP-0324</t>
        </is>
      </c>
      <c r="C66" s="37" t="inlineStr">
        <is>
          <t>WL-01462</t>
        </is>
      </c>
      <c r="D66" s="37" t="inlineStr">
        <is>
          <t>LP-0324</t>
        </is>
      </c>
      <c r="E66" s="37" t="inlineStr">
        <is>
          <t>Ledgport</t>
        </is>
      </c>
      <c r="F66" s="37" t="n">
        <v>45</v>
      </c>
      <c r="G66" s="37" t="n">
        <v>1</v>
      </c>
      <c r="H66" s="37" t="n">
        <v>45</v>
      </c>
      <c r="I66" s="37" t="n">
        <v>10.4</v>
      </c>
      <c r="J66" s="37" t="n">
        <v>468</v>
      </c>
    </row>
    <row r="67">
      <c r="A67" s="37" t="inlineStr">
        <is>
          <t>TXN-202608-003928</t>
        </is>
      </c>
      <c r="B67" s="37" t="inlineStr">
        <is>
          <t>AC-LP-0402</t>
        </is>
      </c>
      <c r="C67" s="37" t="inlineStr">
        <is>
          <t>WL-01188</t>
        </is>
      </c>
      <c r="D67" s="37" t="inlineStr">
        <is>
          <t>LP-0402</t>
        </is>
      </c>
      <c r="E67" s="37" t="inlineStr">
        <is>
          <t>Ledgport</t>
        </is>
      </c>
      <c r="F67" s="37" t="n">
        <v>37</v>
      </c>
      <c r="G67" s="37" t="n">
        <v>1</v>
      </c>
      <c r="H67" s="37" t="n">
        <v>37</v>
      </c>
      <c r="I67" s="37" t="n">
        <v>10.4</v>
      </c>
      <c r="J67" s="37" t="n">
        <v>384.8</v>
      </c>
    </row>
    <row r="68">
      <c r="A68" s="37" t="inlineStr">
        <is>
          <t>TXN-202608-003987</t>
        </is>
      </c>
      <c r="B68" s="37" t="inlineStr">
        <is>
          <t>AC-LP-0403</t>
        </is>
      </c>
      <c r="C68" s="37" t="inlineStr">
        <is>
          <t>WL-01063</t>
        </is>
      </c>
      <c r="D68" s="37" t="inlineStr">
        <is>
          <t>LP-0403</t>
        </is>
      </c>
      <c r="E68" s="37" t="inlineStr">
        <is>
          <t>Ledgport</t>
        </is>
      </c>
      <c r="F68" s="37" t="n">
        <v>47</v>
      </c>
      <c r="G68" s="37" t="n">
        <v>1</v>
      </c>
      <c r="H68" s="37" t="n">
        <v>47</v>
      </c>
      <c r="I68" s="37" t="n">
        <v>10.4</v>
      </c>
      <c r="J68" s="37" t="n">
        <v>488.8</v>
      </c>
    </row>
    <row r="69">
      <c r="A69" s="37" t="inlineStr">
        <is>
          <t>TXN-202608-004052</t>
        </is>
      </c>
      <c r="B69" s="37" t="inlineStr">
        <is>
          <t>AC-LP-0404</t>
        </is>
      </c>
      <c r="C69" s="37" t="inlineStr">
        <is>
          <t>WL-02961</t>
        </is>
      </c>
      <c r="D69" s="37" t="inlineStr">
        <is>
          <t>LP-0404</t>
        </is>
      </c>
      <c r="E69" s="37" t="inlineStr">
        <is>
          <t>Ledgport</t>
        </is>
      </c>
      <c r="F69" s="37" t="n">
        <v>28</v>
      </c>
      <c r="G69" s="37" t="n">
        <v>1</v>
      </c>
      <c r="H69" s="37" t="n">
        <v>28</v>
      </c>
      <c r="I69" s="37" t="n">
        <v>10.4</v>
      </c>
      <c r="J69" s="37" t="n">
        <v>291.2</v>
      </c>
    </row>
    <row r="70">
      <c r="A70" s="37" t="inlineStr">
        <is>
          <t>TXN-202608-004087</t>
        </is>
      </c>
      <c r="B70" s="37" t="inlineStr">
        <is>
          <t>AC-LP-0405</t>
        </is>
      </c>
      <c r="C70" s="37" t="inlineStr">
        <is>
          <t>WL-02530</t>
        </is>
      </c>
      <c r="D70" s="37" t="inlineStr">
        <is>
          <t>LP-0405</t>
        </is>
      </c>
      <c r="E70" s="37" t="inlineStr">
        <is>
          <t>Ledgport</t>
        </is>
      </c>
      <c r="F70" s="37" t="n">
        <v>35</v>
      </c>
      <c r="G70" s="37" t="n">
        <v>1</v>
      </c>
      <c r="H70" s="37" t="n">
        <v>35</v>
      </c>
      <c r="I70" s="37" t="n">
        <v>10.4</v>
      </c>
      <c r="J70" s="37" t="n">
        <v>364</v>
      </c>
    </row>
    <row r="71">
      <c r="A71" s="37" t="inlineStr">
        <is>
          <t>TXN-202608-004132</t>
        </is>
      </c>
      <c r="B71" s="37" t="inlineStr">
        <is>
          <t>AC-LP-0406</t>
        </is>
      </c>
      <c r="C71" s="37" t="inlineStr">
        <is>
          <t>WL-02260</t>
        </is>
      </c>
      <c r="D71" s="37" t="inlineStr">
        <is>
          <t>LP-0406</t>
        </is>
      </c>
      <c r="E71" s="37" t="inlineStr">
        <is>
          <t>Ledgport</t>
        </is>
      </c>
      <c r="F71" s="37" t="n">
        <v>60</v>
      </c>
      <c r="G71" s="37" t="n">
        <v>1</v>
      </c>
      <c r="H71" s="37" t="n">
        <v>60</v>
      </c>
      <c r="I71" s="37" t="n">
        <v>10.4</v>
      </c>
      <c r="J71" s="37" t="n">
        <v>624</v>
      </c>
    </row>
    <row r="72">
      <c r="A72" s="37" t="inlineStr">
        <is>
          <t>TXN-202608-004184</t>
        </is>
      </c>
      <c r="B72" s="37" t="inlineStr">
        <is>
          <t>AC-LP-0407</t>
        </is>
      </c>
      <c r="C72" s="37" t="inlineStr">
        <is>
          <t>WL-02332</t>
        </is>
      </c>
      <c r="D72" s="37" t="inlineStr">
        <is>
          <t>LP-0407</t>
        </is>
      </c>
      <c r="E72" s="37" t="inlineStr">
        <is>
          <t>Ledgport</t>
        </is>
      </c>
      <c r="F72" s="37" t="n">
        <v>39</v>
      </c>
      <c r="G72" s="37" t="n">
        <v>1</v>
      </c>
      <c r="H72" s="37" t="n">
        <v>39</v>
      </c>
      <c r="I72" s="37" t="n">
        <v>10.4</v>
      </c>
      <c r="J72" s="37" t="n">
        <v>405.6</v>
      </c>
    </row>
    <row r="73">
      <c r="A73" s="37" t="inlineStr">
        <is>
          <t>TXN-202608-004246</t>
        </is>
      </c>
      <c r="B73" s="37" t="inlineStr">
        <is>
          <t>AC-LP-0408</t>
        </is>
      </c>
      <c r="C73" s="37" t="inlineStr">
        <is>
          <t>WL-03226</t>
        </is>
      </c>
      <c r="D73" s="37" t="inlineStr">
        <is>
          <t>LP-0408</t>
        </is>
      </c>
      <c r="E73" s="37" t="inlineStr">
        <is>
          <t>Ledgport</t>
        </is>
      </c>
      <c r="F73" s="37" t="n">
        <v>40</v>
      </c>
      <c r="G73" s="37" t="n">
        <v>1</v>
      </c>
      <c r="H73" s="37" t="n">
        <v>40</v>
      </c>
      <c r="I73" s="37" t="n">
        <v>10.4</v>
      </c>
      <c r="J73" s="37" t="n">
        <v>416</v>
      </c>
    </row>
    <row r="74">
      <c r="A74" s="37" t="inlineStr">
        <is>
          <t>TXN-202608-004290</t>
        </is>
      </c>
      <c r="B74" s="37" t="inlineStr">
        <is>
          <t>AC-LP-0409</t>
        </is>
      </c>
      <c r="C74" s="37" t="inlineStr">
        <is>
          <t>WL-02688</t>
        </is>
      </c>
      <c r="D74" s="37" t="inlineStr">
        <is>
          <t>LP-0409</t>
        </is>
      </c>
      <c r="E74" s="37" t="inlineStr">
        <is>
          <t>Ledgport</t>
        </is>
      </c>
      <c r="F74" s="37" t="n">
        <v>49</v>
      </c>
      <c r="G74" s="37" t="n">
        <v>1</v>
      </c>
      <c r="H74" s="37" t="n">
        <v>49</v>
      </c>
      <c r="I74" s="37" t="n">
        <v>10.4</v>
      </c>
      <c r="J74" s="37" t="n">
        <v>509.6</v>
      </c>
    </row>
    <row r="75">
      <c r="A75" s="37" t="inlineStr">
        <is>
          <t>TXN-202608-004352</t>
        </is>
      </c>
      <c r="B75" s="37" t="inlineStr">
        <is>
          <t>AC-LP-0410</t>
        </is>
      </c>
      <c r="C75" s="37" t="inlineStr">
        <is>
          <t>WL-02453</t>
        </is>
      </c>
      <c r="D75" s="37" t="inlineStr">
        <is>
          <t>LP-0410</t>
        </is>
      </c>
      <c r="E75" s="37" t="inlineStr">
        <is>
          <t>Ledgport</t>
        </is>
      </c>
      <c r="F75" s="37" t="n">
        <v>40</v>
      </c>
      <c r="G75" s="37" t="n">
        <v>1</v>
      </c>
      <c r="H75" s="37" t="n">
        <v>40</v>
      </c>
      <c r="I75" s="37" t="n">
        <v>10.4</v>
      </c>
      <c r="J75" s="37" t="n">
        <v>416</v>
      </c>
    </row>
    <row r="76">
      <c r="A76" s="37" t="inlineStr">
        <is>
          <t>TXN-202608-004408</t>
        </is>
      </c>
      <c r="B76" s="37" t="inlineStr">
        <is>
          <t>AC-LP-0411</t>
        </is>
      </c>
      <c r="C76" s="37" t="inlineStr">
        <is>
          <t>WL-01932</t>
        </is>
      </c>
      <c r="D76" s="37" t="inlineStr">
        <is>
          <t>LP-0411</t>
        </is>
      </c>
      <c r="E76" s="37" t="inlineStr">
        <is>
          <t>Ledgport</t>
        </is>
      </c>
      <c r="F76" s="37" t="n">
        <v>25</v>
      </c>
      <c r="G76" s="37" t="n">
        <v>1</v>
      </c>
      <c r="H76" s="37" t="n">
        <v>25</v>
      </c>
      <c r="I76" s="37" t="n">
        <v>10.4</v>
      </c>
      <c r="J76" s="37" t="n">
        <v>260</v>
      </c>
    </row>
    <row r="77">
      <c r="A77" s="37" t="inlineStr">
        <is>
          <t>TXN-202608-004480</t>
        </is>
      </c>
      <c r="B77" s="37" t="inlineStr">
        <is>
          <t>AC-LP-0412</t>
        </is>
      </c>
      <c r="C77" s="37" t="inlineStr">
        <is>
          <t>WL-01239</t>
        </is>
      </c>
      <c r="D77" s="37" t="inlineStr">
        <is>
          <t>LP-0412</t>
        </is>
      </c>
      <c r="E77" s="37" t="inlineStr">
        <is>
          <t>Ledgport</t>
        </is>
      </c>
      <c r="F77" s="37" t="n">
        <v>42</v>
      </c>
      <c r="G77" s="37" t="n">
        <v>1</v>
      </c>
      <c r="H77" s="37" t="n">
        <v>42</v>
      </c>
      <c r="I77" s="37" t="n">
        <v>10.4</v>
      </c>
      <c r="J77" s="37" t="n">
        <v>436.8</v>
      </c>
    </row>
    <row r="78">
      <c r="A78" s="37" t="inlineStr">
        <is>
          <t>TXN-202608-004524</t>
        </is>
      </c>
      <c r="B78" s="37" t="inlineStr">
        <is>
          <t>AC-LP-0413</t>
        </is>
      </c>
      <c r="C78" s="37" t="inlineStr">
        <is>
          <t>WL-02589</t>
        </is>
      </c>
      <c r="D78" s="37" t="inlineStr">
        <is>
          <t>LP-0413</t>
        </is>
      </c>
      <c r="E78" s="37" t="inlineStr">
        <is>
          <t>Ledgport</t>
        </is>
      </c>
      <c r="F78" s="37" t="n">
        <v>28</v>
      </c>
      <c r="G78" s="37" t="n">
        <v>1</v>
      </c>
      <c r="H78" s="37" t="n">
        <v>28</v>
      </c>
      <c r="I78" s="37" t="n">
        <v>10.4</v>
      </c>
      <c r="J78" s="37" t="n">
        <v>291.2</v>
      </c>
    </row>
    <row r="79">
      <c r="A79" s="37" t="inlineStr">
        <is>
          <t>TXN-202608-004586</t>
        </is>
      </c>
      <c r="B79" s="37" t="inlineStr">
        <is>
          <t>AC-LP-0415</t>
        </is>
      </c>
      <c r="C79" s="37" t="inlineStr">
        <is>
          <t>WL-03907</t>
        </is>
      </c>
      <c r="D79" s="37" t="inlineStr">
        <is>
          <t>LP-0415</t>
        </is>
      </c>
      <c r="E79" s="37" t="inlineStr">
        <is>
          <t>Ledgport</t>
        </is>
      </c>
      <c r="F79" s="37" t="n">
        <v>36</v>
      </c>
      <c r="G79" s="37" t="n">
        <v>1</v>
      </c>
      <c r="H79" s="37" t="n">
        <v>36</v>
      </c>
      <c r="I79" s="37" t="n">
        <v>10.4</v>
      </c>
      <c r="J79" s="37" t="n">
        <v>374.4</v>
      </c>
    </row>
    <row r="80">
      <c r="A80" s="37" t="inlineStr">
        <is>
          <t>TXN-202608-004668</t>
        </is>
      </c>
      <c r="B80" s="37" t="inlineStr">
        <is>
          <t>AC-LP-0416</t>
        </is>
      </c>
      <c r="C80" s="37" t="inlineStr">
        <is>
          <t>WL-01699</t>
        </is>
      </c>
      <c r="D80" s="37" t="inlineStr">
        <is>
          <t>LP-0416</t>
        </is>
      </c>
      <c r="E80" s="37" t="inlineStr">
        <is>
          <t>Ledgport</t>
        </is>
      </c>
      <c r="F80" s="37" t="n">
        <v>48</v>
      </c>
      <c r="G80" s="37" t="n">
        <v>1</v>
      </c>
      <c r="H80" s="37" t="n">
        <v>48</v>
      </c>
      <c r="I80" s="37" t="n">
        <v>10.4</v>
      </c>
      <c r="J80" s="37" t="n">
        <v>499.2</v>
      </c>
    </row>
    <row r="81">
      <c r="A81" s="37" t="inlineStr">
        <is>
          <t>TXN-202608-004708</t>
        </is>
      </c>
      <c r="B81" s="37" t="inlineStr">
        <is>
          <t>AC-LP-0417</t>
        </is>
      </c>
      <c r="C81" s="37" t="inlineStr">
        <is>
          <t>WL-02689</t>
        </is>
      </c>
      <c r="D81" s="37" t="inlineStr">
        <is>
          <t>LP-0417</t>
        </is>
      </c>
      <c r="E81" s="37" t="inlineStr">
        <is>
          <t>Ledgport</t>
        </is>
      </c>
      <c r="F81" s="37" t="n">
        <v>61</v>
      </c>
      <c r="G81" s="37" t="n">
        <v>1</v>
      </c>
      <c r="H81" s="37" t="n">
        <v>61</v>
      </c>
      <c r="I81" s="37" t="n">
        <v>10.4</v>
      </c>
      <c r="J81" s="37" t="n">
        <v>634.4</v>
      </c>
    </row>
    <row r="82">
      <c r="A82" s="37" t="inlineStr">
        <is>
          <t>TXN-202608-004770</t>
        </is>
      </c>
      <c r="B82" s="37" t="inlineStr">
        <is>
          <t>AC-LP-0418</t>
        </is>
      </c>
      <c r="C82" s="37" t="inlineStr">
        <is>
          <t>WL-01703</t>
        </is>
      </c>
      <c r="D82" s="37" t="inlineStr">
        <is>
          <t>LP-0418</t>
        </is>
      </c>
      <c r="E82" s="37" t="inlineStr">
        <is>
          <t>Ledgport</t>
        </is>
      </c>
      <c r="F82" s="37" t="n">
        <v>44</v>
      </c>
      <c r="G82" s="37" t="n">
        <v>1</v>
      </c>
      <c r="H82" s="37" t="n">
        <v>44</v>
      </c>
      <c r="I82" s="37" t="n">
        <v>10.4</v>
      </c>
      <c r="J82" s="37" t="n">
        <v>457.6</v>
      </c>
    </row>
    <row r="83">
      <c r="A83" s="37" t="inlineStr">
        <is>
          <t>TXN-202608-004856</t>
        </is>
      </c>
      <c r="B83" s="37" t="inlineStr">
        <is>
          <t>AC-LP-0419</t>
        </is>
      </c>
      <c r="C83" s="37" t="inlineStr">
        <is>
          <t>WL-02926</t>
        </is>
      </c>
      <c r="D83" s="37" t="inlineStr">
        <is>
          <t>LP-0419</t>
        </is>
      </c>
      <c r="E83" s="37" t="inlineStr">
        <is>
          <t>Ledgport</t>
        </is>
      </c>
      <c r="F83" s="37" t="n">
        <v>45</v>
      </c>
      <c r="G83" s="37" t="n">
        <v>1</v>
      </c>
      <c r="H83" s="37" t="n">
        <v>45</v>
      </c>
      <c r="I83" s="37" t="n">
        <v>10.4</v>
      </c>
      <c r="J83" s="37" t="n">
        <v>468</v>
      </c>
    </row>
    <row r="84">
      <c r="A84" s="37" t="inlineStr">
        <is>
          <t>TXN-202608-004931</t>
        </is>
      </c>
      <c r="B84" s="37" t="inlineStr">
        <is>
          <t>AC-LP-0420</t>
        </is>
      </c>
      <c r="C84" s="37" t="inlineStr">
        <is>
          <t>WL-03294</t>
        </is>
      </c>
      <c r="D84" s="37" t="inlineStr">
        <is>
          <t>LP-0420</t>
        </is>
      </c>
      <c r="E84" s="37" t="inlineStr">
        <is>
          <t>Ledgport</t>
        </is>
      </c>
      <c r="F84" s="37" t="n">
        <v>36</v>
      </c>
      <c r="G84" s="37" t="n">
        <v>1</v>
      </c>
      <c r="H84" s="37" t="n">
        <v>36</v>
      </c>
      <c r="I84" s="37" t="n">
        <v>10.4</v>
      </c>
      <c r="J84" s="37" t="n">
        <v>374.4</v>
      </c>
    </row>
    <row r="85">
      <c r="A85" s="37" t="inlineStr">
        <is>
          <t>TXN-202608-004985</t>
        </is>
      </c>
      <c r="B85" s="37" t="inlineStr">
        <is>
          <t>AC-LP-0421</t>
        </is>
      </c>
      <c r="C85" s="37" t="inlineStr">
        <is>
          <t>WL-03569</t>
        </is>
      </c>
      <c r="D85" s="37" t="inlineStr">
        <is>
          <t>LP-0421</t>
        </is>
      </c>
      <c r="E85" s="37" t="inlineStr">
        <is>
          <t>Ledgport</t>
        </is>
      </c>
      <c r="F85" s="37" t="n">
        <v>28</v>
      </c>
      <c r="G85" s="37" t="n">
        <v>1</v>
      </c>
      <c r="H85" s="37" t="n">
        <v>28</v>
      </c>
      <c r="I85" s="37" t="n">
        <v>10.4</v>
      </c>
      <c r="J85" s="37" t="n">
        <v>291.2</v>
      </c>
    </row>
    <row r="86">
      <c r="A86" s="37" t="inlineStr">
        <is>
          <t>TXN-202608-005036</t>
        </is>
      </c>
      <c r="B86" s="37" t="inlineStr">
        <is>
          <t>AC-LP-0422</t>
        </is>
      </c>
      <c r="C86" s="37" t="inlineStr">
        <is>
          <t>WL-02875</t>
        </is>
      </c>
      <c r="D86" s="37" t="inlineStr">
        <is>
          <t>LP-0422</t>
        </is>
      </c>
      <c r="E86" s="37" t="inlineStr">
        <is>
          <t>Ledgport</t>
        </is>
      </c>
      <c r="F86" s="37" t="n">
        <v>34</v>
      </c>
      <c r="G86" s="37" t="n">
        <v>1</v>
      </c>
      <c r="H86" s="37" t="n">
        <v>34</v>
      </c>
      <c r="I86" s="37" t="n">
        <v>10.4</v>
      </c>
      <c r="J86" s="37" t="n">
        <v>353.6</v>
      </c>
    </row>
    <row r="87">
      <c r="A87" s="37" t="inlineStr">
        <is>
          <t>TXN-202608-005106</t>
        </is>
      </c>
      <c r="B87" s="37" t="inlineStr">
        <is>
          <t>AC-LP-0423</t>
        </is>
      </c>
      <c r="C87" s="37" t="inlineStr">
        <is>
          <t>WL-01778</t>
        </is>
      </c>
      <c r="D87" s="37" t="inlineStr">
        <is>
          <t>LP-0423</t>
        </is>
      </c>
      <c r="E87" s="37" t="inlineStr">
        <is>
          <t>Ledgport</t>
        </is>
      </c>
      <c r="F87" s="37" t="n">
        <v>40</v>
      </c>
      <c r="G87" s="37" t="n">
        <v>1</v>
      </c>
      <c r="H87" s="37" t="n">
        <v>40</v>
      </c>
      <c r="I87" s="37" t="n">
        <v>10.4</v>
      </c>
      <c r="J87" s="37" t="n">
        <v>416</v>
      </c>
    </row>
    <row r="88">
      <c r="A88" s="37" t="inlineStr">
        <is>
          <t>TXN-202608-005152</t>
        </is>
      </c>
      <c r="B88" s="37" t="inlineStr">
        <is>
          <t>AC-LP-0424</t>
        </is>
      </c>
      <c r="C88" s="37" t="inlineStr">
        <is>
          <t>WL-02954</t>
        </is>
      </c>
      <c r="D88" s="37" t="inlineStr">
        <is>
          <t>LP-0424</t>
        </is>
      </c>
      <c r="E88" s="37" t="inlineStr">
        <is>
          <t>Ledgport</t>
        </is>
      </c>
      <c r="F88" s="37" t="n">
        <v>29</v>
      </c>
      <c r="G88" s="37" t="n">
        <v>1</v>
      </c>
      <c r="H88" s="37" t="n">
        <v>29</v>
      </c>
      <c r="I88" s="37" t="n">
        <v>10.4</v>
      </c>
      <c r="J88" s="37" t="n">
        <v>301.6</v>
      </c>
    </row>
    <row r="89">
      <c r="A89" s="37" t="inlineStr">
        <is>
          <t>TXN-202608-005212</t>
        </is>
      </c>
      <c r="B89" s="37" t="inlineStr">
        <is>
          <t>AC-LP-0502</t>
        </is>
      </c>
      <c r="C89" s="37" t="inlineStr">
        <is>
          <t>WL-02634</t>
        </is>
      </c>
      <c r="D89" s="37" t="inlineStr">
        <is>
          <t>LP-0502</t>
        </is>
      </c>
      <c r="E89" s="37" t="inlineStr">
        <is>
          <t>Ledgport</t>
        </is>
      </c>
      <c r="F89" s="37" t="n">
        <v>54</v>
      </c>
      <c r="G89" s="37" t="n">
        <v>1</v>
      </c>
      <c r="H89" s="37" t="n">
        <v>54</v>
      </c>
      <c r="I89" s="37" t="n">
        <v>10.4</v>
      </c>
      <c r="J89" s="37" t="n">
        <v>561.6</v>
      </c>
    </row>
    <row r="90">
      <c r="A90" s="37" t="inlineStr">
        <is>
          <t>TXN-202608-005253</t>
        </is>
      </c>
      <c r="B90" s="37" t="inlineStr">
        <is>
          <t>AC-LP-0503</t>
        </is>
      </c>
      <c r="C90" s="37" t="inlineStr">
        <is>
          <t>WL-03603</t>
        </is>
      </c>
      <c r="D90" s="37" t="inlineStr">
        <is>
          <t>LP-0503</t>
        </is>
      </c>
      <c r="E90" s="37" t="inlineStr">
        <is>
          <t>Ledgport</t>
        </is>
      </c>
      <c r="F90" s="37" t="n">
        <v>34</v>
      </c>
      <c r="G90" s="37" t="n">
        <v>1</v>
      </c>
      <c r="H90" s="37" t="n">
        <v>34</v>
      </c>
      <c r="I90" s="37" t="n">
        <v>10.4</v>
      </c>
      <c r="J90" s="37" t="n">
        <v>353.6</v>
      </c>
    </row>
    <row r="91">
      <c r="A91" s="37" t="inlineStr">
        <is>
          <t>TXN-202608-005298</t>
        </is>
      </c>
      <c r="B91" s="37" t="inlineStr">
        <is>
          <t>AC-LP-0504</t>
        </is>
      </c>
      <c r="C91" s="37" t="inlineStr">
        <is>
          <t>WL-02974</t>
        </is>
      </c>
      <c r="D91" s="37" t="inlineStr">
        <is>
          <t>LP-0504</t>
        </is>
      </c>
      <c r="E91" s="37" t="inlineStr">
        <is>
          <t>Ledgport</t>
        </is>
      </c>
      <c r="F91" s="37" t="n">
        <v>58</v>
      </c>
      <c r="G91" s="37" t="n">
        <v>1</v>
      </c>
      <c r="H91" s="37" t="n">
        <v>58</v>
      </c>
      <c r="I91" s="37" t="n">
        <v>10.4</v>
      </c>
      <c r="J91" s="37" t="n">
        <v>603.2</v>
      </c>
    </row>
    <row r="92">
      <c r="A92" s="37" t="inlineStr">
        <is>
          <t>TXN-202608-005363</t>
        </is>
      </c>
      <c r="B92" s="37" t="inlineStr">
        <is>
          <t>AC-LP-0505</t>
        </is>
      </c>
      <c r="C92" s="37" t="inlineStr">
        <is>
          <t>WL-02433</t>
        </is>
      </c>
      <c r="D92" s="37" t="inlineStr">
        <is>
          <t>LP-0505</t>
        </is>
      </c>
      <c r="E92" s="37" t="inlineStr">
        <is>
          <t>Ledgport</t>
        </is>
      </c>
      <c r="F92" s="37" t="n">
        <v>58</v>
      </c>
      <c r="G92" s="37" t="n">
        <v>1</v>
      </c>
      <c r="H92" s="37" t="n">
        <v>58</v>
      </c>
      <c r="I92" s="37" t="n">
        <v>10.4</v>
      </c>
      <c r="J92" s="37" t="n">
        <v>603.2</v>
      </c>
    </row>
    <row r="93">
      <c r="A93" s="37" t="inlineStr">
        <is>
          <t>TXN-202608-005422</t>
        </is>
      </c>
      <c r="B93" s="37" t="inlineStr">
        <is>
          <t>AC-LP-0506</t>
        </is>
      </c>
      <c r="C93" s="37" t="inlineStr">
        <is>
          <t>WL-01135</t>
        </is>
      </c>
      <c r="D93" s="37" t="inlineStr">
        <is>
          <t>LP-0506</t>
        </is>
      </c>
      <c r="E93" s="37" t="inlineStr">
        <is>
          <t>Ledgport</t>
        </is>
      </c>
      <c r="F93" s="37" t="n">
        <v>47</v>
      </c>
      <c r="G93" s="37" t="n">
        <v>1</v>
      </c>
      <c r="H93" s="37" t="n">
        <v>47</v>
      </c>
      <c r="I93" s="37" t="n">
        <v>10.4</v>
      </c>
      <c r="J93" s="37" t="n">
        <v>488.8</v>
      </c>
    </row>
    <row r="94">
      <c r="A94" s="37" t="inlineStr">
        <is>
          <t>TXN-202608-005475</t>
        </is>
      </c>
      <c r="B94" s="37" t="inlineStr">
        <is>
          <t>AC-LP-0507</t>
        </is>
      </c>
      <c r="C94" s="37" t="inlineStr">
        <is>
          <t>WL-03311</t>
        </is>
      </c>
      <c r="D94" s="37" t="inlineStr">
        <is>
          <t>LP-0507</t>
        </is>
      </c>
      <c r="E94" s="37" t="inlineStr">
        <is>
          <t>Ledgport</t>
        </is>
      </c>
      <c r="F94" s="37" t="n">
        <v>41</v>
      </c>
      <c r="G94" s="37" t="n">
        <v>1</v>
      </c>
      <c r="H94" s="37" t="n">
        <v>41</v>
      </c>
      <c r="I94" s="37" t="n">
        <v>10.4</v>
      </c>
      <c r="J94" s="37" t="n">
        <v>426.4</v>
      </c>
    </row>
    <row r="95">
      <c r="A95" s="37" t="inlineStr">
        <is>
          <t>TXN-202608-005521</t>
        </is>
      </c>
      <c r="B95" s="37" t="inlineStr">
        <is>
          <t>AC-LP-0508</t>
        </is>
      </c>
      <c r="C95" s="37" t="inlineStr">
        <is>
          <t>WL-01855</t>
        </is>
      </c>
      <c r="D95" s="37" t="inlineStr">
        <is>
          <t>LP-0508</t>
        </is>
      </c>
      <c r="E95" s="37" t="inlineStr">
        <is>
          <t>Ledgport</t>
        </is>
      </c>
      <c r="F95" s="37" t="n">
        <v>57</v>
      </c>
      <c r="G95" s="37" t="n">
        <v>1</v>
      </c>
      <c r="H95" s="37" t="n">
        <v>57</v>
      </c>
      <c r="I95" s="37" t="n">
        <v>10.4</v>
      </c>
      <c r="J95" s="37" t="n">
        <v>592.8</v>
      </c>
    </row>
    <row r="96">
      <c r="A96" s="37" t="inlineStr">
        <is>
          <t>TXN-202608-005573</t>
        </is>
      </c>
      <c r="B96" s="37" t="inlineStr">
        <is>
          <t>AC-LP-0509</t>
        </is>
      </c>
      <c r="C96" s="37" t="inlineStr">
        <is>
          <t>WL-01968</t>
        </is>
      </c>
      <c r="D96" s="37" t="inlineStr">
        <is>
          <t>LP-0509</t>
        </is>
      </c>
      <c r="E96" s="37" t="inlineStr">
        <is>
          <t>Ledgport</t>
        </is>
      </c>
      <c r="F96" s="37" t="n">
        <v>50</v>
      </c>
      <c r="G96" s="37" t="n">
        <v>1</v>
      </c>
      <c r="H96" s="37" t="n">
        <v>50</v>
      </c>
      <c r="I96" s="37" t="n">
        <v>10.4</v>
      </c>
      <c r="J96" s="37" t="n">
        <v>520</v>
      </c>
    </row>
    <row r="97">
      <c r="A97" s="37" t="inlineStr">
        <is>
          <t>TXN-202608-005641</t>
        </is>
      </c>
      <c r="B97" s="37" t="inlineStr">
        <is>
          <t>AC-LP-0510</t>
        </is>
      </c>
      <c r="C97" s="37" t="inlineStr">
        <is>
          <t>WL-03288</t>
        </is>
      </c>
      <c r="D97" s="37" t="inlineStr">
        <is>
          <t>LP-0510</t>
        </is>
      </c>
      <c r="E97" s="37" t="inlineStr">
        <is>
          <t>Ledgport</t>
        </is>
      </c>
      <c r="F97" s="37" t="n">
        <v>59</v>
      </c>
      <c r="G97" s="37" t="n">
        <v>1</v>
      </c>
      <c r="H97" s="37" t="n">
        <v>59</v>
      </c>
      <c r="I97" s="37" t="n">
        <v>10.4</v>
      </c>
      <c r="J97" s="37" t="n">
        <v>613.6</v>
      </c>
    </row>
    <row r="98">
      <c r="A98" s="37" t="inlineStr">
        <is>
          <t>TXN-202608-005705</t>
        </is>
      </c>
      <c r="B98" s="37" t="inlineStr">
        <is>
          <t>AC-LP-0511</t>
        </is>
      </c>
      <c r="C98" s="37" t="inlineStr">
        <is>
          <t>WL-01060</t>
        </is>
      </c>
      <c r="D98" s="37" t="inlineStr">
        <is>
          <t>LP-0511</t>
        </is>
      </c>
      <c r="E98" s="37" t="inlineStr">
        <is>
          <t>Ledgport</t>
        </is>
      </c>
      <c r="F98" s="37" t="n">
        <v>40</v>
      </c>
      <c r="G98" s="37" t="n">
        <v>1</v>
      </c>
      <c r="H98" s="37" t="n">
        <v>40</v>
      </c>
      <c r="I98" s="37" t="n">
        <v>10.4</v>
      </c>
      <c r="J98" s="37" t="n">
        <v>416</v>
      </c>
    </row>
    <row r="99">
      <c r="A99" s="37" t="inlineStr">
        <is>
          <t>TXN-202608-005752</t>
        </is>
      </c>
      <c r="B99" s="37" t="inlineStr">
        <is>
          <t>AC-LP-0512</t>
        </is>
      </c>
      <c r="C99" s="37" t="inlineStr">
        <is>
          <t>WL-02938</t>
        </is>
      </c>
      <c r="D99" s="37" t="inlineStr">
        <is>
          <t>LP-0512</t>
        </is>
      </c>
      <c r="E99" s="37" t="inlineStr">
        <is>
          <t>Ledgport</t>
        </is>
      </c>
      <c r="F99" s="37" t="n">
        <v>40</v>
      </c>
      <c r="G99" s="37" t="n">
        <v>1</v>
      </c>
      <c r="H99" s="37" t="n">
        <v>40</v>
      </c>
      <c r="I99" s="37" t="n">
        <v>10.4</v>
      </c>
      <c r="J99" s="37" t="n">
        <v>416</v>
      </c>
    </row>
    <row r="100">
      <c r="A100" s="37" t="inlineStr">
        <is>
          <t>TXN-202608-005804</t>
        </is>
      </c>
      <c r="B100" s="37" t="inlineStr">
        <is>
          <t>AC-LP-0513</t>
        </is>
      </c>
      <c r="C100" s="37" t="inlineStr">
        <is>
          <t>WL-01509</t>
        </is>
      </c>
      <c r="D100" s="37" t="inlineStr">
        <is>
          <t>LP-0513</t>
        </is>
      </c>
      <c r="E100" s="37" t="inlineStr">
        <is>
          <t>Ledgport</t>
        </is>
      </c>
      <c r="F100" s="37" t="n">
        <v>41</v>
      </c>
      <c r="G100" s="37" t="n">
        <v>1</v>
      </c>
      <c r="H100" s="37" t="n">
        <v>41</v>
      </c>
      <c r="I100" s="37" t="n">
        <v>10.4</v>
      </c>
      <c r="J100" s="37" t="n">
        <v>426.4</v>
      </c>
    </row>
    <row r="101">
      <c r="A101" s="37" t="inlineStr">
        <is>
          <t>TXN-202608-005860</t>
        </is>
      </c>
      <c r="B101" s="37" t="inlineStr">
        <is>
          <t>AC-LP-0514</t>
        </is>
      </c>
      <c r="C101" s="37" t="inlineStr">
        <is>
          <t>WL-01036</t>
        </is>
      </c>
      <c r="D101" s="37" t="inlineStr">
        <is>
          <t>LP-0514</t>
        </is>
      </c>
      <c r="E101" s="37" t="inlineStr">
        <is>
          <t>Ledgport</t>
        </is>
      </c>
      <c r="F101" s="37" t="n">
        <v>28</v>
      </c>
      <c r="G101" s="37" t="n">
        <v>1</v>
      </c>
      <c r="H101" s="37" t="n">
        <v>28</v>
      </c>
      <c r="I101" s="37" t="n">
        <v>10.4</v>
      </c>
      <c r="J101" s="37" t="n">
        <v>291.2</v>
      </c>
    </row>
    <row r="102">
      <c r="A102" s="37" t="inlineStr">
        <is>
          <t>TXN-202608-005932</t>
        </is>
      </c>
      <c r="B102" s="37" t="inlineStr">
        <is>
          <t>AC-LP-0516</t>
        </is>
      </c>
      <c r="C102" s="37" t="inlineStr">
        <is>
          <t>WL-03135</t>
        </is>
      </c>
      <c r="D102" s="37" t="inlineStr">
        <is>
          <t>LP-0516</t>
        </is>
      </c>
      <c r="E102" s="37" t="inlineStr">
        <is>
          <t>Ledgport</t>
        </is>
      </c>
      <c r="F102" s="37" t="n">
        <v>40</v>
      </c>
      <c r="G102" s="37" t="n">
        <v>1</v>
      </c>
      <c r="H102" s="37" t="n">
        <v>40</v>
      </c>
      <c r="I102" s="37" t="n">
        <v>10.4</v>
      </c>
      <c r="J102" s="37" t="n">
        <v>416</v>
      </c>
    </row>
    <row r="103">
      <c r="A103" s="37" t="inlineStr">
        <is>
          <t>TXN-202608-005973</t>
        </is>
      </c>
      <c r="B103" s="37" t="inlineStr">
        <is>
          <t>AC-LP-0517</t>
        </is>
      </c>
      <c r="C103" s="37" t="inlineStr">
        <is>
          <t>WL-02716</t>
        </is>
      </c>
      <c r="D103" s="37" t="inlineStr">
        <is>
          <t>LP-0517</t>
        </is>
      </c>
      <c r="E103" s="37" t="inlineStr">
        <is>
          <t>Ledgport</t>
        </is>
      </c>
      <c r="F103" s="37" t="n">
        <v>55</v>
      </c>
      <c r="G103" s="37" t="n">
        <v>1</v>
      </c>
      <c r="H103" s="37" t="n">
        <v>55</v>
      </c>
      <c r="I103" s="37" t="n">
        <v>10.4</v>
      </c>
      <c r="J103" s="37" t="n">
        <v>572</v>
      </c>
    </row>
    <row r="104">
      <c r="A104" s="37" t="inlineStr">
        <is>
          <t>TXN-202608-006017</t>
        </is>
      </c>
      <c r="B104" s="37" t="inlineStr">
        <is>
          <t>AC-LP-0518</t>
        </is>
      </c>
      <c r="C104" s="37" t="inlineStr">
        <is>
          <t>WL-02963</t>
        </is>
      </c>
      <c r="D104" s="37" t="inlineStr">
        <is>
          <t>LP-0518</t>
        </is>
      </c>
      <c r="E104" s="37" t="inlineStr">
        <is>
          <t>Ledgport</t>
        </is>
      </c>
      <c r="F104" s="37" t="n">
        <v>36</v>
      </c>
      <c r="G104" s="37" t="n">
        <v>1</v>
      </c>
      <c r="H104" s="37" t="n">
        <v>36</v>
      </c>
      <c r="I104" s="37" t="n">
        <v>10.4</v>
      </c>
      <c r="J104" s="37" t="n">
        <v>374.4</v>
      </c>
    </row>
    <row r="105">
      <c r="A105" s="37" t="inlineStr">
        <is>
          <t>TXN-202608-006076</t>
        </is>
      </c>
      <c r="B105" s="37" t="inlineStr">
        <is>
          <t>AC-LP-0519</t>
        </is>
      </c>
      <c r="C105" s="37" t="inlineStr">
        <is>
          <t>WL-03181</t>
        </is>
      </c>
      <c r="D105" s="37" t="inlineStr">
        <is>
          <t>LP-0519</t>
        </is>
      </c>
      <c r="E105" s="37" t="inlineStr">
        <is>
          <t>Ledgport</t>
        </is>
      </c>
      <c r="F105" s="37" t="n">
        <v>37</v>
      </c>
      <c r="G105" s="37" t="n">
        <v>1</v>
      </c>
      <c r="H105" s="37" t="n">
        <v>37</v>
      </c>
      <c r="I105" s="37" t="n">
        <v>10.4</v>
      </c>
      <c r="J105" s="37" t="n">
        <v>384.8</v>
      </c>
    </row>
    <row r="106">
      <c r="A106" s="37" t="inlineStr">
        <is>
          <t>TXN-202608-006145</t>
        </is>
      </c>
      <c r="B106" s="37" t="inlineStr">
        <is>
          <t>AC-LP-0520</t>
        </is>
      </c>
      <c r="C106" s="37" t="inlineStr">
        <is>
          <t>WL-01896</t>
        </is>
      </c>
      <c r="D106" s="37" t="inlineStr">
        <is>
          <t>LP-0520</t>
        </is>
      </c>
      <c r="E106" s="37" t="inlineStr">
        <is>
          <t>Ledgport</t>
        </is>
      </c>
      <c r="F106" s="37" t="n">
        <v>39</v>
      </c>
      <c r="G106" s="37" t="n">
        <v>1</v>
      </c>
      <c r="H106" s="37" t="n">
        <v>39</v>
      </c>
      <c r="I106" s="37" t="n">
        <v>10.4</v>
      </c>
      <c r="J106" s="37" t="n">
        <v>405.6</v>
      </c>
    </row>
    <row r="107">
      <c r="A107" s="37" t="inlineStr">
        <is>
          <t>TXN-202608-006211</t>
        </is>
      </c>
      <c r="B107" s="37" t="inlineStr">
        <is>
          <t>AC-LP-0521</t>
        </is>
      </c>
      <c r="C107" s="37" t="inlineStr">
        <is>
          <t>WL-03161</t>
        </is>
      </c>
      <c r="D107" s="37" t="inlineStr">
        <is>
          <t>LP-0521</t>
        </is>
      </c>
      <c r="E107" s="37" t="inlineStr">
        <is>
          <t>Ledgport</t>
        </is>
      </c>
      <c r="F107" s="37" t="n">
        <v>40</v>
      </c>
      <c r="G107" s="37" t="n">
        <v>1</v>
      </c>
      <c r="H107" s="37" t="n">
        <v>40</v>
      </c>
      <c r="I107" s="37" t="n">
        <v>10.4</v>
      </c>
      <c r="J107" s="37" t="n">
        <v>416</v>
      </c>
    </row>
    <row r="108">
      <c r="A108" s="37" t="inlineStr">
        <is>
          <t>TXN-202608-006273</t>
        </is>
      </c>
      <c r="B108" s="37" t="inlineStr">
        <is>
          <t>AC-LP-0522</t>
        </is>
      </c>
      <c r="C108" s="37" t="inlineStr">
        <is>
          <t>WL-01604</t>
        </is>
      </c>
      <c r="D108" s="37" t="inlineStr">
        <is>
          <t>LP-0522</t>
        </is>
      </c>
      <c r="E108" s="37" t="inlineStr">
        <is>
          <t>Ledgport</t>
        </is>
      </c>
      <c r="F108" s="37" t="n">
        <v>61</v>
      </c>
      <c r="G108" s="37" t="n">
        <v>1</v>
      </c>
      <c r="H108" s="37" t="n">
        <v>61</v>
      </c>
      <c r="I108" s="37" t="n">
        <v>10.4</v>
      </c>
      <c r="J108" s="37" t="n">
        <v>634.4</v>
      </c>
    </row>
    <row r="109">
      <c r="A109" s="37" t="inlineStr">
        <is>
          <t>TXN-202608-006349</t>
        </is>
      </c>
      <c r="B109" s="37" t="inlineStr">
        <is>
          <t>AC-LP-0523</t>
        </is>
      </c>
      <c r="C109" s="37" t="inlineStr">
        <is>
          <t>WL-03212</t>
        </is>
      </c>
      <c r="D109" s="37" t="inlineStr">
        <is>
          <t>LP-0523</t>
        </is>
      </c>
      <c r="E109" s="37" t="inlineStr">
        <is>
          <t>Ledgport</t>
        </is>
      </c>
      <c r="F109" s="37" t="n">
        <v>25</v>
      </c>
      <c r="G109" s="37" t="n">
        <v>1</v>
      </c>
      <c r="H109" s="37" t="n">
        <v>25</v>
      </c>
      <c r="I109" s="37" t="n">
        <v>10.4</v>
      </c>
      <c r="J109" s="37" t="n">
        <v>260</v>
      </c>
    </row>
    <row r="110">
      <c r="A110" s="37" t="inlineStr">
        <is>
          <t>TXN-202608-006427</t>
        </is>
      </c>
      <c r="B110" s="37" t="inlineStr">
        <is>
          <t>AC-LP-0524</t>
        </is>
      </c>
      <c r="C110" s="37" t="inlineStr">
        <is>
          <t>WL-02695</t>
        </is>
      </c>
      <c r="D110" s="37" t="inlineStr">
        <is>
          <t>LP-0524</t>
        </is>
      </c>
      <c r="E110" s="37" t="inlineStr">
        <is>
          <t>Ledgport</t>
        </is>
      </c>
      <c r="F110" s="37" t="n">
        <v>28</v>
      </c>
      <c r="G110" s="37" t="n">
        <v>1</v>
      </c>
      <c r="H110" s="37" t="n">
        <v>28</v>
      </c>
      <c r="I110" s="37" t="n">
        <v>10.4</v>
      </c>
      <c r="J110" s="37" t="n">
        <v>291.2</v>
      </c>
    </row>
    <row r="111">
      <c r="A111" s="37" t="inlineStr">
        <is>
          <t>TXN-202608-006491</t>
        </is>
      </c>
      <c r="B111" s="37" t="inlineStr">
        <is>
          <t>AC-LP-0601</t>
        </is>
      </c>
      <c r="C111" s="37" t="inlineStr">
        <is>
          <t>WL-02639</t>
        </is>
      </c>
      <c r="D111" s="37" t="inlineStr">
        <is>
          <t>LP-0601</t>
        </is>
      </c>
      <c r="E111" s="37" t="inlineStr">
        <is>
          <t>Ledgport</t>
        </is>
      </c>
      <c r="F111" s="37" t="n">
        <v>30</v>
      </c>
      <c r="G111" s="37" t="n">
        <v>1</v>
      </c>
      <c r="H111" s="37" t="n">
        <v>30</v>
      </c>
      <c r="I111" s="37" t="n">
        <v>10.4</v>
      </c>
      <c r="J111" s="37" t="n">
        <v>312</v>
      </c>
    </row>
    <row r="112">
      <c r="A112" s="37" t="inlineStr">
        <is>
          <t>TXN-202608-006543</t>
        </is>
      </c>
      <c r="B112" s="37" t="inlineStr">
        <is>
          <t>AC-LP-0602</t>
        </is>
      </c>
      <c r="C112" s="37" t="inlineStr">
        <is>
          <t>WL-01342</t>
        </is>
      </c>
      <c r="D112" s="37" t="inlineStr">
        <is>
          <t>LP-0602</t>
        </is>
      </c>
      <c r="E112" s="37" t="inlineStr">
        <is>
          <t>Ledgport</t>
        </is>
      </c>
      <c r="F112" s="37" t="n">
        <v>58</v>
      </c>
      <c r="G112" s="37" t="n">
        <v>1</v>
      </c>
      <c r="H112" s="37" t="n">
        <v>58</v>
      </c>
      <c r="I112" s="37" t="n">
        <v>10.4</v>
      </c>
      <c r="J112" s="37" t="n">
        <v>603.2</v>
      </c>
    </row>
    <row r="113">
      <c r="A113" s="37" t="inlineStr">
        <is>
          <t>TXN-202608-006610</t>
        </is>
      </c>
      <c r="B113" s="37" t="inlineStr">
        <is>
          <t>AC-LP-0603</t>
        </is>
      </c>
      <c r="C113" s="37" t="inlineStr">
        <is>
          <t>WL-02921</t>
        </is>
      </c>
      <c r="D113" s="37" t="inlineStr">
        <is>
          <t>LP-0603</t>
        </is>
      </c>
      <c r="E113" s="37" t="inlineStr">
        <is>
          <t>Ledgport</t>
        </is>
      </c>
      <c r="F113" s="37" t="n">
        <v>33</v>
      </c>
      <c r="G113" s="37" t="n">
        <v>1</v>
      </c>
      <c r="H113" s="37" t="n">
        <v>33</v>
      </c>
      <c r="I113" s="37" t="n">
        <v>10.4</v>
      </c>
      <c r="J113" s="37" t="n">
        <v>343.2</v>
      </c>
    </row>
    <row r="114">
      <c r="A114" s="37" t="inlineStr">
        <is>
          <t>TXN-202608-006671</t>
        </is>
      </c>
      <c r="B114" s="37" t="inlineStr">
        <is>
          <t>AC-LP-0604</t>
        </is>
      </c>
      <c r="C114" s="37" t="inlineStr">
        <is>
          <t>WL-02608</t>
        </is>
      </c>
      <c r="D114" s="37" t="inlineStr">
        <is>
          <t>LP-0604</t>
        </is>
      </c>
      <c r="E114" s="37" t="inlineStr">
        <is>
          <t>Ledgport</t>
        </is>
      </c>
      <c r="F114" s="37" t="n">
        <v>51</v>
      </c>
      <c r="G114" s="37" t="n">
        <v>1</v>
      </c>
      <c r="H114" s="37" t="n">
        <v>51</v>
      </c>
      <c r="I114" s="37" t="n">
        <v>10.4</v>
      </c>
      <c r="J114" s="37" t="n">
        <v>530.4</v>
      </c>
    </row>
    <row r="115">
      <c r="A115" s="37" t="inlineStr">
        <is>
          <t>TXN-202608-006755</t>
        </is>
      </c>
      <c r="B115" s="37" t="inlineStr">
        <is>
          <t>AC-LP-0605</t>
        </is>
      </c>
      <c r="C115" s="37" t="inlineStr">
        <is>
          <t>WL-01747</t>
        </is>
      </c>
      <c r="D115" s="37" t="inlineStr">
        <is>
          <t>LP-0605</t>
        </is>
      </c>
      <c r="E115" s="37" t="inlineStr">
        <is>
          <t>Ledgport</t>
        </is>
      </c>
      <c r="F115" s="37" t="n">
        <v>51</v>
      </c>
      <c r="G115" s="37" t="n">
        <v>1</v>
      </c>
      <c r="H115" s="37" t="n">
        <v>51</v>
      </c>
      <c r="I115" s="37" t="n">
        <v>10.4</v>
      </c>
      <c r="J115" s="37" t="n">
        <v>530.4</v>
      </c>
    </row>
    <row r="116">
      <c r="A116" s="37" t="inlineStr">
        <is>
          <t>TXN-202608-006821</t>
        </is>
      </c>
      <c r="B116" s="37" t="inlineStr">
        <is>
          <t>AC-LP-0606</t>
        </is>
      </c>
      <c r="C116" s="37" t="inlineStr">
        <is>
          <t>WL-03735</t>
        </is>
      </c>
      <c r="D116" s="37" t="inlineStr">
        <is>
          <t>LP-0606</t>
        </is>
      </c>
      <c r="E116" s="37" t="inlineStr">
        <is>
          <t>Ledgport</t>
        </is>
      </c>
      <c r="F116" s="37" t="n">
        <v>62</v>
      </c>
      <c r="G116" s="37" t="n">
        <v>1</v>
      </c>
      <c r="H116" s="37" t="n">
        <v>62</v>
      </c>
      <c r="I116" s="37" t="n">
        <v>10.4</v>
      </c>
      <c r="J116" s="37" t="n">
        <v>644.8</v>
      </c>
    </row>
    <row r="117">
      <c r="A117" s="37" t="inlineStr">
        <is>
          <t>TXN-202608-006901</t>
        </is>
      </c>
      <c r="B117" s="37" t="inlineStr">
        <is>
          <t>AC-LP-0607</t>
        </is>
      </c>
      <c r="C117" s="37" t="inlineStr">
        <is>
          <t>WL-01378</t>
        </is>
      </c>
      <c r="D117" s="37" t="inlineStr">
        <is>
          <t>LP-0607</t>
        </is>
      </c>
      <c r="E117" s="37" t="inlineStr">
        <is>
          <t>Ledgport</t>
        </is>
      </c>
      <c r="F117" s="37" t="n">
        <v>40</v>
      </c>
      <c r="G117" s="37" t="n">
        <v>1</v>
      </c>
      <c r="H117" s="37" t="n">
        <v>40</v>
      </c>
      <c r="I117" s="37" t="n">
        <v>10.4</v>
      </c>
      <c r="J117" s="37" t="n">
        <v>416</v>
      </c>
    </row>
    <row r="118">
      <c r="A118" s="37" t="inlineStr">
        <is>
          <t>TXN-202608-006979</t>
        </is>
      </c>
      <c r="B118" s="37" t="inlineStr">
        <is>
          <t>AC-LP-0608</t>
        </is>
      </c>
      <c r="C118" s="37" t="inlineStr">
        <is>
          <t>WL-03905</t>
        </is>
      </c>
      <c r="D118" s="37" t="inlineStr">
        <is>
          <t>LP-0608</t>
        </is>
      </c>
      <c r="E118" s="37" t="inlineStr">
        <is>
          <t>Ledgport</t>
        </is>
      </c>
      <c r="F118" s="37" t="n">
        <v>28</v>
      </c>
      <c r="G118" s="37" t="n">
        <v>1</v>
      </c>
      <c r="H118" s="37" t="n">
        <v>28</v>
      </c>
      <c r="I118" s="37" t="n">
        <v>10.4</v>
      </c>
      <c r="J118" s="37" t="n">
        <v>291.2</v>
      </c>
    </row>
    <row r="119">
      <c r="A119" s="37" t="inlineStr">
        <is>
          <t>TXN-202608-007046</t>
        </is>
      </c>
      <c r="B119" s="37" t="inlineStr">
        <is>
          <t>AC-LP-0609</t>
        </is>
      </c>
      <c r="C119" s="37" t="inlineStr">
        <is>
          <t>WL-01602</t>
        </is>
      </c>
      <c r="D119" s="37" t="inlineStr">
        <is>
          <t>LP-0609</t>
        </is>
      </c>
      <c r="E119" s="37" t="inlineStr">
        <is>
          <t>Ledgport</t>
        </is>
      </c>
      <c r="F119" s="37" t="n">
        <v>38</v>
      </c>
      <c r="G119" s="37" t="n">
        <v>1</v>
      </c>
      <c r="H119" s="37" t="n">
        <v>38</v>
      </c>
      <c r="I119" s="37" t="n">
        <v>10.4</v>
      </c>
      <c r="J119" s="37" t="n">
        <v>395.2</v>
      </c>
    </row>
    <row r="120">
      <c r="A120" s="37" t="inlineStr">
        <is>
          <t>TXN-202608-007099</t>
        </is>
      </c>
      <c r="B120" s="37" t="inlineStr">
        <is>
          <t>AC-LP-0610</t>
        </is>
      </c>
      <c r="C120" s="37" t="inlineStr">
        <is>
          <t>WL-02905</t>
        </is>
      </c>
      <c r="D120" s="37" t="inlineStr">
        <is>
          <t>LP-0610</t>
        </is>
      </c>
      <c r="E120" s="37" t="inlineStr">
        <is>
          <t>Ledgport</t>
        </is>
      </c>
      <c r="F120" s="37" t="n">
        <v>35</v>
      </c>
      <c r="G120" s="37" t="n">
        <v>1</v>
      </c>
      <c r="H120" s="37" t="n">
        <v>35</v>
      </c>
      <c r="I120" s="37" t="n">
        <v>10.4</v>
      </c>
      <c r="J120" s="37" t="n">
        <v>364</v>
      </c>
    </row>
    <row r="121">
      <c r="A121" s="37" t="inlineStr">
        <is>
          <t>TXN-202608-007176</t>
        </is>
      </c>
      <c r="B121" s="37" t="inlineStr">
        <is>
          <t>AC-LP-0611</t>
        </is>
      </c>
      <c r="C121" s="37" t="inlineStr">
        <is>
          <t>WL-03556</t>
        </is>
      </c>
      <c r="D121" s="37" t="inlineStr">
        <is>
          <t>LP-0611</t>
        </is>
      </c>
      <c r="E121" s="37" t="inlineStr">
        <is>
          <t>Ledgport</t>
        </is>
      </c>
      <c r="F121" s="37" t="n">
        <v>61</v>
      </c>
      <c r="G121" s="37" t="n">
        <v>1</v>
      </c>
      <c r="H121" s="37" t="n">
        <v>61</v>
      </c>
      <c r="I121" s="37" t="n">
        <v>10.4</v>
      </c>
      <c r="J121" s="37" t="n">
        <v>634.4</v>
      </c>
    </row>
    <row r="122">
      <c r="A122" s="37" t="inlineStr">
        <is>
          <t>TXN-202608-007262</t>
        </is>
      </c>
      <c r="B122" s="37" t="inlineStr">
        <is>
          <t>AC-LP-0612</t>
        </is>
      </c>
      <c r="C122" s="37" t="inlineStr">
        <is>
          <t>WL-01625</t>
        </is>
      </c>
      <c r="D122" s="37" t="inlineStr">
        <is>
          <t>LP-0612</t>
        </is>
      </c>
      <c r="E122" s="37" t="inlineStr">
        <is>
          <t>Ledgport</t>
        </is>
      </c>
      <c r="F122" s="37" t="n">
        <v>32</v>
      </c>
      <c r="G122" s="37" t="n">
        <v>1</v>
      </c>
      <c r="H122" s="37" t="n">
        <v>32</v>
      </c>
      <c r="I122" s="37" t="n">
        <v>10.4</v>
      </c>
      <c r="J122" s="37" t="n">
        <v>332.8</v>
      </c>
    </row>
    <row r="123">
      <c r="A123" s="37" t="inlineStr">
        <is>
          <t>TXN-202608-007316</t>
        </is>
      </c>
      <c r="B123" s="37" t="inlineStr">
        <is>
          <t>AC-LP-0613</t>
        </is>
      </c>
      <c r="C123" s="37" t="inlineStr">
        <is>
          <t>WL-03447</t>
        </is>
      </c>
      <c r="D123" s="37" t="inlineStr">
        <is>
          <t>LP-0613</t>
        </is>
      </c>
      <c r="E123" s="37" t="inlineStr">
        <is>
          <t>Ledgport</t>
        </is>
      </c>
      <c r="F123" s="37" t="n">
        <v>53</v>
      </c>
      <c r="G123" s="37" t="n">
        <v>1</v>
      </c>
      <c r="H123" s="37" t="n">
        <v>53</v>
      </c>
      <c r="I123" s="37" t="n">
        <v>10.4</v>
      </c>
      <c r="J123" s="37" t="n">
        <v>551.2</v>
      </c>
    </row>
    <row r="124">
      <c r="A124" s="37" t="inlineStr">
        <is>
          <t>TXN-202608-007382</t>
        </is>
      </c>
      <c r="B124" s="37" t="inlineStr">
        <is>
          <t>AC-LP-0614</t>
        </is>
      </c>
      <c r="C124" s="37" t="inlineStr">
        <is>
          <t>WL-01107</t>
        </is>
      </c>
      <c r="D124" s="37" t="inlineStr">
        <is>
          <t>LP-0614</t>
        </is>
      </c>
      <c r="E124" s="37" t="inlineStr">
        <is>
          <t>Ledgport</t>
        </is>
      </c>
      <c r="F124" s="37" t="n">
        <v>28</v>
      </c>
      <c r="G124" s="37" t="n">
        <v>1</v>
      </c>
      <c r="H124" s="37" t="n">
        <v>28</v>
      </c>
      <c r="I124" s="37" t="n">
        <v>10.4</v>
      </c>
      <c r="J124" s="37" t="n">
        <v>291.2</v>
      </c>
    </row>
    <row r="125">
      <c r="A125" s="37" t="inlineStr">
        <is>
          <t>TXN-202608-007438</t>
        </is>
      </c>
      <c r="B125" s="37" t="inlineStr">
        <is>
          <t>AC-LP-0615</t>
        </is>
      </c>
      <c r="C125" s="37" t="inlineStr">
        <is>
          <t>WL-03818</t>
        </is>
      </c>
      <c r="D125" s="37" t="inlineStr">
        <is>
          <t>LP-0615</t>
        </is>
      </c>
      <c r="E125" s="37" t="inlineStr">
        <is>
          <t>Ledgport</t>
        </is>
      </c>
      <c r="F125" s="37" t="n">
        <v>38</v>
      </c>
      <c r="G125" s="37" t="n">
        <v>1</v>
      </c>
      <c r="H125" s="37" t="n">
        <v>38</v>
      </c>
      <c r="I125" s="37" t="n">
        <v>10.4</v>
      </c>
      <c r="J125" s="37" t="n">
        <v>395.2</v>
      </c>
    </row>
    <row r="126">
      <c r="A126" s="37" t="inlineStr">
        <is>
          <t>TXN-202608-007500</t>
        </is>
      </c>
      <c r="B126" s="37" t="inlineStr">
        <is>
          <t>AC-LP-0616</t>
        </is>
      </c>
      <c r="C126" s="37" t="inlineStr">
        <is>
          <t>WL-03854</t>
        </is>
      </c>
      <c r="D126" s="37" t="inlineStr">
        <is>
          <t>LP-0616</t>
        </is>
      </c>
      <c r="E126" s="37" t="inlineStr">
        <is>
          <t>Ledgport</t>
        </is>
      </c>
      <c r="F126" s="37" t="n">
        <v>52</v>
      </c>
      <c r="G126" s="37" t="n">
        <v>1</v>
      </c>
      <c r="H126" s="37" t="n">
        <v>52</v>
      </c>
      <c r="I126" s="37" t="n">
        <v>10.4</v>
      </c>
      <c r="J126" s="37" t="n">
        <v>540.8</v>
      </c>
    </row>
    <row r="127">
      <c r="A127" s="37" t="inlineStr">
        <is>
          <t>TXN-202608-007544</t>
        </is>
      </c>
      <c r="B127" s="37" t="inlineStr">
        <is>
          <t>AC-LP-0617</t>
        </is>
      </c>
      <c r="C127" s="37" t="inlineStr">
        <is>
          <t>WL-02073</t>
        </is>
      </c>
      <c r="D127" s="37" t="inlineStr">
        <is>
          <t>LP-0617</t>
        </is>
      </c>
      <c r="E127" s="37" t="inlineStr">
        <is>
          <t>Ledgport</t>
        </is>
      </c>
      <c r="F127" s="37" t="n">
        <v>36</v>
      </c>
      <c r="G127" s="37" t="n">
        <v>1</v>
      </c>
      <c r="H127" s="37" t="n">
        <v>36</v>
      </c>
      <c r="I127" s="37" t="n">
        <v>10.4</v>
      </c>
      <c r="J127" s="37" t="n">
        <v>374.4</v>
      </c>
    </row>
    <row r="128">
      <c r="A128" s="37" t="inlineStr">
        <is>
          <t>TXN-202608-007614</t>
        </is>
      </c>
      <c r="B128" s="37" t="inlineStr">
        <is>
          <t>AC-LP-0618</t>
        </is>
      </c>
      <c r="C128" s="37" t="inlineStr">
        <is>
          <t>WL-01962</t>
        </is>
      </c>
      <c r="D128" s="37" t="inlineStr">
        <is>
          <t>LP-0618</t>
        </is>
      </c>
      <c r="E128" s="37" t="inlineStr">
        <is>
          <t>Ledgport</t>
        </is>
      </c>
      <c r="F128" s="37" t="n">
        <v>32</v>
      </c>
      <c r="G128" s="37" t="n">
        <v>1</v>
      </c>
      <c r="H128" s="37" t="n">
        <v>32</v>
      </c>
      <c r="I128" s="37" t="n">
        <v>10.4</v>
      </c>
      <c r="J128" s="37" t="n">
        <v>332.8</v>
      </c>
    </row>
    <row r="129">
      <c r="A129" s="37" t="inlineStr">
        <is>
          <t>TXN-202608-007671</t>
        </is>
      </c>
      <c r="B129" s="37" t="inlineStr">
        <is>
          <t>AC-LP-0620</t>
        </is>
      </c>
      <c r="C129" s="37" t="inlineStr">
        <is>
          <t>WL-02410</t>
        </is>
      </c>
      <c r="D129" s="37" t="inlineStr">
        <is>
          <t>LP-0620</t>
        </is>
      </c>
      <c r="E129" s="37" t="inlineStr">
        <is>
          <t>Ledgport</t>
        </is>
      </c>
      <c r="F129" s="37" t="n">
        <v>41</v>
      </c>
      <c r="G129" s="37" t="n">
        <v>1</v>
      </c>
      <c r="H129" s="37" t="n">
        <v>41</v>
      </c>
      <c r="I129" s="37" t="n">
        <v>10.4</v>
      </c>
      <c r="J129" s="37" t="n">
        <v>426.4</v>
      </c>
    </row>
    <row r="130">
      <c r="A130" s="37" t="inlineStr">
        <is>
          <t>TXN-202608-007743</t>
        </is>
      </c>
      <c r="B130" s="37" t="inlineStr">
        <is>
          <t>AC-LP-0621</t>
        </is>
      </c>
      <c r="C130" s="37" t="inlineStr">
        <is>
          <t>WL-02194</t>
        </is>
      </c>
      <c r="D130" s="37" t="inlineStr">
        <is>
          <t>LP-0621</t>
        </is>
      </c>
      <c r="E130" s="37" t="inlineStr">
        <is>
          <t>Ledgport</t>
        </is>
      </c>
      <c r="F130" s="37" t="n">
        <v>40</v>
      </c>
      <c r="G130" s="37" t="n">
        <v>1</v>
      </c>
      <c r="H130" s="37" t="n">
        <v>40</v>
      </c>
      <c r="I130" s="37" t="n">
        <v>10.4</v>
      </c>
      <c r="J130" s="37" t="n">
        <v>416</v>
      </c>
    </row>
    <row r="131">
      <c r="A131" s="37" t="inlineStr">
        <is>
          <t>TXN-202608-007793</t>
        </is>
      </c>
      <c r="B131" s="37" t="inlineStr">
        <is>
          <t>AC-LP-0622</t>
        </is>
      </c>
      <c r="C131" s="37" t="inlineStr">
        <is>
          <t>WL-03607</t>
        </is>
      </c>
      <c r="D131" s="37" t="inlineStr">
        <is>
          <t>LP-0622</t>
        </is>
      </c>
      <c r="E131" s="37" t="inlineStr">
        <is>
          <t>Ledgport</t>
        </is>
      </c>
      <c r="F131" s="37" t="n">
        <v>40</v>
      </c>
      <c r="G131" s="37" t="n">
        <v>1</v>
      </c>
      <c r="H131" s="37" t="n">
        <v>40</v>
      </c>
      <c r="I131" s="37" t="n">
        <v>10.4</v>
      </c>
      <c r="J131" s="37" t="n">
        <v>416</v>
      </c>
    </row>
    <row r="132">
      <c r="A132" s="37" t="inlineStr">
        <is>
          <t>TXN-202608-007847</t>
        </is>
      </c>
      <c r="B132" s="37" t="inlineStr">
        <is>
          <t>AC-LP-0623</t>
        </is>
      </c>
      <c r="C132" s="37" t="inlineStr">
        <is>
          <t>WL-03096</t>
        </is>
      </c>
      <c r="D132" s="37" t="inlineStr">
        <is>
          <t>LP-0623</t>
        </is>
      </c>
      <c r="E132" s="37" t="inlineStr">
        <is>
          <t>Ledgport</t>
        </is>
      </c>
      <c r="F132" s="37" t="n">
        <v>54</v>
      </c>
      <c r="G132" s="37" t="n">
        <v>1</v>
      </c>
      <c r="H132" s="37" t="n">
        <v>54</v>
      </c>
      <c r="I132" s="37" t="n">
        <v>10.4</v>
      </c>
      <c r="J132" s="37" t="n">
        <v>561.6</v>
      </c>
    </row>
    <row r="133">
      <c r="A133" s="37" t="inlineStr">
        <is>
          <t>TXN-202608-007933</t>
        </is>
      </c>
      <c r="B133" s="37" t="inlineStr">
        <is>
          <t>AC-LP-0624</t>
        </is>
      </c>
      <c r="C133" s="37" t="inlineStr">
        <is>
          <t>WL-02951</t>
        </is>
      </c>
      <c r="D133" s="37" t="inlineStr">
        <is>
          <t>LP-0624</t>
        </is>
      </c>
      <c r="E133" s="37" t="inlineStr">
        <is>
          <t>Ledgport</t>
        </is>
      </c>
      <c r="F133" s="37" t="n">
        <v>50</v>
      </c>
      <c r="G133" s="37" t="n">
        <v>1</v>
      </c>
      <c r="H133" s="37" t="n">
        <v>50</v>
      </c>
      <c r="I133" s="37" t="n">
        <v>10.4</v>
      </c>
      <c r="J133" s="37" t="n">
        <v>520</v>
      </c>
    </row>
    <row r="134">
      <c r="A134" s="37" t="inlineStr">
        <is>
          <t>TXN-202608-008015</t>
        </is>
      </c>
      <c r="B134" s="37" t="inlineStr">
        <is>
          <t>AC-LP-0701</t>
        </is>
      </c>
      <c r="C134" s="37" t="inlineStr">
        <is>
          <t>WL-02344</t>
        </is>
      </c>
      <c r="D134" s="37" t="inlineStr">
        <is>
          <t>LP-0701</t>
        </is>
      </c>
      <c r="E134" s="37" t="inlineStr">
        <is>
          <t>Ledgport</t>
        </is>
      </c>
      <c r="F134" s="37" t="n">
        <v>44</v>
      </c>
      <c r="G134" s="37" t="n">
        <v>1</v>
      </c>
      <c r="H134" s="37" t="n">
        <v>44</v>
      </c>
      <c r="I134" s="37" t="n">
        <v>10.4</v>
      </c>
      <c r="J134" s="37" t="n">
        <v>457.6</v>
      </c>
    </row>
    <row r="135">
      <c r="A135" s="37" t="inlineStr">
        <is>
          <t>TXN-202608-008093</t>
        </is>
      </c>
      <c r="B135" s="37" t="inlineStr">
        <is>
          <t>AC-LP-0702</t>
        </is>
      </c>
      <c r="C135" s="37" t="inlineStr">
        <is>
          <t>WL-01711</t>
        </is>
      </c>
      <c r="D135" s="37" t="inlineStr">
        <is>
          <t>LP-0702</t>
        </is>
      </c>
      <c r="E135" s="37" t="inlineStr">
        <is>
          <t>Ledgport</t>
        </is>
      </c>
      <c r="F135" s="37" t="n">
        <v>52</v>
      </c>
      <c r="G135" s="37" t="n">
        <v>1</v>
      </c>
      <c r="H135" s="37" t="n">
        <v>52</v>
      </c>
      <c r="I135" s="37" t="n">
        <v>10.4</v>
      </c>
      <c r="J135" s="37" t="n">
        <v>540.8</v>
      </c>
    </row>
    <row r="136">
      <c r="A136" s="37" t="inlineStr">
        <is>
          <t>TXN-202608-008150</t>
        </is>
      </c>
      <c r="B136" s="37" t="inlineStr">
        <is>
          <t>AC-LP-0703</t>
        </is>
      </c>
      <c r="C136" s="37" t="inlineStr">
        <is>
          <t>WL-03517</t>
        </is>
      </c>
      <c r="D136" s="37" t="inlineStr">
        <is>
          <t>LP-0703</t>
        </is>
      </c>
      <c r="E136" s="37" t="inlineStr">
        <is>
          <t>Ledgport</t>
        </is>
      </c>
      <c r="F136" s="37" t="n">
        <v>59</v>
      </c>
      <c r="G136" s="37" t="n">
        <v>1</v>
      </c>
      <c r="H136" s="37" t="n">
        <v>59</v>
      </c>
      <c r="I136" s="37" t="n">
        <v>10.4</v>
      </c>
      <c r="J136" s="37" t="n">
        <v>613.6</v>
      </c>
    </row>
    <row r="137">
      <c r="A137" s="37" t="inlineStr">
        <is>
          <t>TXN-202608-008231</t>
        </is>
      </c>
      <c r="B137" s="37" t="inlineStr">
        <is>
          <t>AC-LP-0704</t>
        </is>
      </c>
      <c r="C137" s="37" t="inlineStr">
        <is>
          <t>WL-02092</t>
        </is>
      </c>
      <c r="D137" s="37" t="inlineStr">
        <is>
          <t>LP-0704</t>
        </is>
      </c>
      <c r="E137" s="37" t="inlineStr">
        <is>
          <t>Ledgport</t>
        </is>
      </c>
      <c r="F137" s="37" t="n">
        <v>53</v>
      </c>
      <c r="G137" s="37" t="n">
        <v>1</v>
      </c>
      <c r="H137" s="37" t="n">
        <v>53</v>
      </c>
      <c r="I137" s="37" t="n">
        <v>10.4</v>
      </c>
      <c r="J137" s="37" t="n">
        <v>551.2</v>
      </c>
    </row>
    <row r="138">
      <c r="A138" s="37" t="inlineStr">
        <is>
          <t>TXN-202608-008302</t>
        </is>
      </c>
      <c r="B138" s="37" t="inlineStr">
        <is>
          <t>AC-LP-0705</t>
        </is>
      </c>
      <c r="C138" s="37" t="inlineStr">
        <is>
          <t>WL-02327</t>
        </is>
      </c>
      <c r="D138" s="37" t="inlineStr">
        <is>
          <t>LP-0705</t>
        </is>
      </c>
      <c r="E138" s="37" t="inlineStr">
        <is>
          <t>Ledgport</t>
        </is>
      </c>
      <c r="F138" s="37" t="n">
        <v>44</v>
      </c>
      <c r="G138" s="37" t="n">
        <v>1</v>
      </c>
      <c r="H138" s="37" t="n">
        <v>44</v>
      </c>
      <c r="I138" s="37" t="n">
        <v>10.4</v>
      </c>
      <c r="J138" s="37" t="n">
        <v>457.6</v>
      </c>
    </row>
    <row r="139">
      <c r="A139" s="37" t="inlineStr">
        <is>
          <t>TXN-202608-008377</t>
        </is>
      </c>
      <c r="B139" s="37" t="inlineStr">
        <is>
          <t>AC-LP-0706</t>
        </is>
      </c>
      <c r="C139" s="37" t="inlineStr">
        <is>
          <t>WL-01857</t>
        </is>
      </c>
      <c r="D139" s="37" t="inlineStr">
        <is>
          <t>LP-0706</t>
        </is>
      </c>
      <c r="E139" s="37" t="inlineStr">
        <is>
          <t>Ledgport</t>
        </is>
      </c>
      <c r="F139" s="37" t="n">
        <v>44</v>
      </c>
      <c r="G139" s="37" t="n">
        <v>1</v>
      </c>
      <c r="H139" s="37" t="n">
        <v>44</v>
      </c>
      <c r="I139" s="37" t="n">
        <v>10.4</v>
      </c>
      <c r="J139" s="37" t="n">
        <v>457.6</v>
      </c>
    </row>
    <row r="140">
      <c r="A140" s="37" t="inlineStr">
        <is>
          <t>TXN-202608-008427</t>
        </is>
      </c>
      <c r="B140" s="37" t="inlineStr">
        <is>
          <t>AC-LP-0707</t>
        </is>
      </c>
      <c r="C140" s="37" t="inlineStr">
        <is>
          <t>WL-02544</t>
        </is>
      </c>
      <c r="D140" s="37" t="inlineStr">
        <is>
          <t>LP-0707</t>
        </is>
      </c>
      <c r="E140" s="37" t="inlineStr">
        <is>
          <t>Ledgport</t>
        </is>
      </c>
      <c r="F140" s="37" t="n">
        <v>46</v>
      </c>
      <c r="G140" s="37" t="n">
        <v>1</v>
      </c>
      <c r="H140" s="37" t="n">
        <v>46</v>
      </c>
      <c r="I140" s="37" t="n">
        <v>10.4</v>
      </c>
      <c r="J140" s="37" t="n">
        <v>478.4</v>
      </c>
    </row>
    <row r="141">
      <c r="A141" s="37" t="inlineStr">
        <is>
          <t>TXN-202608-008507</t>
        </is>
      </c>
      <c r="B141" s="37" t="inlineStr">
        <is>
          <t>AC-LP-0708</t>
        </is>
      </c>
      <c r="C141" s="37" t="inlineStr">
        <is>
          <t>WL-03803</t>
        </is>
      </c>
      <c r="D141" s="37" t="inlineStr">
        <is>
          <t>LP-0708</t>
        </is>
      </c>
      <c r="E141" s="37" t="inlineStr">
        <is>
          <t>Ledgport</t>
        </is>
      </c>
      <c r="F141" s="37" t="n">
        <v>44</v>
      </c>
      <c r="G141" s="37" t="n">
        <v>1</v>
      </c>
      <c r="H141" s="37" t="n">
        <v>44</v>
      </c>
      <c r="I141" s="37" t="n">
        <v>10.4</v>
      </c>
      <c r="J141" s="37" t="n">
        <v>457.6</v>
      </c>
    </row>
    <row r="142">
      <c r="A142" s="37" t="inlineStr">
        <is>
          <t>TXN-202608-008563</t>
        </is>
      </c>
      <c r="B142" s="37" t="inlineStr">
        <is>
          <t>AC-LP-0709</t>
        </is>
      </c>
      <c r="C142" s="37" t="inlineStr">
        <is>
          <t>WL-02693</t>
        </is>
      </c>
      <c r="D142" s="37" t="inlineStr">
        <is>
          <t>LP-0709</t>
        </is>
      </c>
      <c r="E142" s="37" t="inlineStr">
        <is>
          <t>Ledgport</t>
        </is>
      </c>
      <c r="F142" s="37" t="n">
        <v>46</v>
      </c>
      <c r="G142" s="37" t="n">
        <v>1</v>
      </c>
      <c r="H142" s="37" t="n">
        <v>46</v>
      </c>
      <c r="I142" s="37" t="n">
        <v>10.4</v>
      </c>
      <c r="J142" s="37" t="n">
        <v>478.4</v>
      </c>
    </row>
    <row r="143">
      <c r="A143" s="37" t="inlineStr">
        <is>
          <t>TXN-202608-008628</t>
        </is>
      </c>
      <c r="B143" s="37" t="inlineStr">
        <is>
          <t>AC-LP-0710</t>
        </is>
      </c>
      <c r="C143" s="37" t="inlineStr">
        <is>
          <t>WL-03904</t>
        </is>
      </c>
      <c r="D143" s="37" t="inlineStr">
        <is>
          <t>LP-0710</t>
        </is>
      </c>
      <c r="E143" s="37" t="inlineStr">
        <is>
          <t>Ledgport</t>
        </is>
      </c>
      <c r="F143" s="37" t="n">
        <v>34</v>
      </c>
      <c r="G143" s="37" t="n">
        <v>1</v>
      </c>
      <c r="H143" s="37" t="n">
        <v>34</v>
      </c>
      <c r="I143" s="37" t="n">
        <v>10.4</v>
      </c>
      <c r="J143" s="37" t="n">
        <v>353.6</v>
      </c>
    </row>
    <row r="144">
      <c r="A144" s="37" t="inlineStr">
        <is>
          <t>TXN-202608-008674</t>
        </is>
      </c>
      <c r="B144" s="37" t="inlineStr">
        <is>
          <t>AC-LP-0711</t>
        </is>
      </c>
      <c r="C144" s="37" t="inlineStr">
        <is>
          <t>WL-01740</t>
        </is>
      </c>
      <c r="D144" s="37" t="inlineStr">
        <is>
          <t>LP-0711</t>
        </is>
      </c>
      <c r="E144" s="37" t="inlineStr">
        <is>
          <t>Ledgport</t>
        </is>
      </c>
      <c r="F144" s="37" t="n">
        <v>44</v>
      </c>
      <c r="G144" s="37" t="n">
        <v>1</v>
      </c>
      <c r="H144" s="37" t="n">
        <v>44</v>
      </c>
      <c r="I144" s="37" t="n">
        <v>10.4</v>
      </c>
      <c r="J144" s="37" t="n">
        <v>457.6</v>
      </c>
    </row>
    <row r="145">
      <c r="A145" s="37" t="inlineStr">
        <is>
          <t>TXN-202608-008710</t>
        </is>
      </c>
      <c r="B145" s="37" t="inlineStr">
        <is>
          <t>AC-LP-0712</t>
        </is>
      </c>
      <c r="C145" s="37" t="inlineStr">
        <is>
          <t>WL-02936</t>
        </is>
      </c>
      <c r="D145" s="37" t="inlineStr">
        <is>
          <t>LP-0712</t>
        </is>
      </c>
      <c r="E145" s="37" t="inlineStr">
        <is>
          <t>Ledgport</t>
        </is>
      </c>
      <c r="F145" s="37" t="n">
        <v>37</v>
      </c>
      <c r="G145" s="37" t="n">
        <v>1</v>
      </c>
      <c r="H145" s="37" t="n">
        <v>37</v>
      </c>
      <c r="I145" s="37" t="n">
        <v>10.4</v>
      </c>
      <c r="J145" s="37" t="n">
        <v>384.8</v>
      </c>
    </row>
    <row r="146">
      <c r="A146" s="37" t="inlineStr">
        <is>
          <t>TXN-202608-008763</t>
        </is>
      </c>
      <c r="B146" s="37" t="inlineStr">
        <is>
          <t>AC-LP-0713</t>
        </is>
      </c>
      <c r="C146" s="37" t="inlineStr">
        <is>
          <t>WL-03438</t>
        </is>
      </c>
      <c r="D146" s="37" t="inlineStr">
        <is>
          <t>LP-0713</t>
        </is>
      </c>
      <c r="E146" s="37" t="inlineStr">
        <is>
          <t>Ledgport</t>
        </is>
      </c>
      <c r="F146" s="37" t="n">
        <v>40</v>
      </c>
      <c r="G146" s="37" t="n">
        <v>1</v>
      </c>
      <c r="H146" s="37" t="n">
        <v>40</v>
      </c>
      <c r="I146" s="37" t="n">
        <v>10.4</v>
      </c>
      <c r="J146" s="37" t="n">
        <v>416</v>
      </c>
    </row>
    <row r="147">
      <c r="A147" s="37" t="inlineStr">
        <is>
          <t>TXN-202608-008838</t>
        </is>
      </c>
      <c r="B147" s="37" t="inlineStr">
        <is>
          <t>AC-LP-0714</t>
        </is>
      </c>
      <c r="C147" s="37" t="inlineStr">
        <is>
          <t>WL-01437</t>
        </is>
      </c>
      <c r="D147" s="37" t="inlineStr">
        <is>
          <t>LP-0714</t>
        </is>
      </c>
      <c r="E147" s="37" t="inlineStr">
        <is>
          <t>Ledgport</t>
        </is>
      </c>
      <c r="F147" s="37" t="n">
        <v>32</v>
      </c>
      <c r="G147" s="37" t="n">
        <v>1</v>
      </c>
      <c r="H147" s="37" t="n">
        <v>32</v>
      </c>
      <c r="I147" s="37" t="n">
        <v>10.4</v>
      </c>
      <c r="J147" s="37" t="n">
        <v>332.8</v>
      </c>
    </row>
    <row r="148">
      <c r="A148" s="37" t="inlineStr">
        <is>
          <t>TXN-202608-008888</t>
        </is>
      </c>
      <c r="B148" s="37" t="inlineStr">
        <is>
          <t>AC-LP-0715</t>
        </is>
      </c>
      <c r="C148" s="37" t="inlineStr">
        <is>
          <t>WL-03454</t>
        </is>
      </c>
      <c r="D148" s="37" t="inlineStr">
        <is>
          <t>LP-0715</t>
        </is>
      </c>
      <c r="E148" s="37" t="inlineStr">
        <is>
          <t>Ledgport</t>
        </is>
      </c>
      <c r="F148" s="37" t="n">
        <v>56</v>
      </c>
      <c r="G148" s="37" t="n">
        <v>1</v>
      </c>
      <c r="H148" s="37" t="n">
        <v>56</v>
      </c>
      <c r="I148" s="37" t="n">
        <v>10.4</v>
      </c>
      <c r="J148" s="37" t="n">
        <v>582.4</v>
      </c>
    </row>
    <row r="149">
      <c r="A149" s="37" t="inlineStr">
        <is>
          <t>TXN-202608-008941</t>
        </is>
      </c>
      <c r="B149" s="37" t="inlineStr">
        <is>
          <t>AC-LP-0716</t>
        </is>
      </c>
      <c r="C149" s="37" t="inlineStr">
        <is>
          <t>WL-03594</t>
        </is>
      </c>
      <c r="D149" s="37" t="inlineStr">
        <is>
          <t>LP-0716</t>
        </is>
      </c>
      <c r="E149" s="37" t="inlineStr">
        <is>
          <t>Ledgport</t>
        </is>
      </c>
      <c r="F149" s="37" t="n">
        <v>41</v>
      </c>
      <c r="G149" s="37" t="n">
        <v>1</v>
      </c>
      <c r="H149" s="37" t="n">
        <v>41</v>
      </c>
      <c r="I149" s="37" t="n">
        <v>10.4</v>
      </c>
      <c r="J149" s="37" t="n">
        <v>426.4</v>
      </c>
    </row>
    <row r="150">
      <c r="A150" s="37" t="inlineStr">
        <is>
          <t>TXN-202608-008997</t>
        </is>
      </c>
      <c r="B150" s="37" t="inlineStr">
        <is>
          <t>AC-LP-0717</t>
        </is>
      </c>
      <c r="C150" s="37" t="inlineStr">
        <is>
          <t>WL-01315</t>
        </is>
      </c>
      <c r="D150" s="37" t="inlineStr">
        <is>
          <t>LP-0717</t>
        </is>
      </c>
      <c r="E150" s="37" t="inlineStr">
        <is>
          <t>Ledgport</t>
        </is>
      </c>
      <c r="F150" s="37" t="n">
        <v>56</v>
      </c>
      <c r="G150" s="37" t="n">
        <v>1</v>
      </c>
      <c r="H150" s="37" t="n">
        <v>56</v>
      </c>
      <c r="I150" s="37" t="n">
        <v>10.4</v>
      </c>
      <c r="J150" s="37" t="n">
        <v>582.4</v>
      </c>
    </row>
    <row r="151">
      <c r="A151" s="37" t="inlineStr">
        <is>
          <t>TXN-202608-009047</t>
        </is>
      </c>
      <c r="B151" s="37" t="inlineStr">
        <is>
          <t>AC-LP-0718</t>
        </is>
      </c>
      <c r="C151" s="37" t="inlineStr">
        <is>
          <t>WL-03399</t>
        </is>
      </c>
      <c r="D151" s="37" t="inlineStr">
        <is>
          <t>LP-0718</t>
        </is>
      </c>
      <c r="E151" s="37" t="inlineStr">
        <is>
          <t>Ledgport</t>
        </is>
      </c>
      <c r="F151" s="37" t="n">
        <v>32</v>
      </c>
      <c r="G151" s="37" t="n">
        <v>1</v>
      </c>
      <c r="H151" s="37" t="n">
        <v>32</v>
      </c>
      <c r="I151" s="37" t="n">
        <v>10.4</v>
      </c>
      <c r="J151" s="37" t="n">
        <v>332.8</v>
      </c>
    </row>
    <row r="152">
      <c r="A152" s="37" t="inlineStr">
        <is>
          <t>TXN-202608-009113</t>
        </is>
      </c>
      <c r="B152" s="37" t="inlineStr">
        <is>
          <t>AC-LP-0719</t>
        </is>
      </c>
      <c r="C152" s="37" t="inlineStr">
        <is>
          <t>WL-02512</t>
        </is>
      </c>
      <c r="D152" s="37" t="inlineStr">
        <is>
          <t>LP-0719</t>
        </is>
      </c>
      <c r="E152" s="37" t="inlineStr">
        <is>
          <t>Ledgport</t>
        </is>
      </c>
      <c r="F152" s="37" t="n">
        <v>33</v>
      </c>
      <c r="G152" s="37" t="n">
        <v>1</v>
      </c>
      <c r="H152" s="37" t="n">
        <v>33</v>
      </c>
      <c r="I152" s="37" t="n">
        <v>10.4</v>
      </c>
      <c r="J152" s="37" t="n">
        <v>343.2</v>
      </c>
    </row>
    <row r="153">
      <c r="A153" s="37" t="inlineStr">
        <is>
          <t>TXN-202608-009164</t>
        </is>
      </c>
      <c r="B153" s="37" t="inlineStr">
        <is>
          <t>AC-LP-0720</t>
        </is>
      </c>
      <c r="C153" s="37" t="inlineStr">
        <is>
          <t>WL-01709</t>
        </is>
      </c>
      <c r="D153" s="37" t="inlineStr">
        <is>
          <t>LP-0720</t>
        </is>
      </c>
      <c r="E153" s="37" t="inlineStr">
        <is>
          <t>Ledgport</t>
        </is>
      </c>
      <c r="F153" s="37" t="n">
        <v>54</v>
      </c>
      <c r="G153" s="37" t="n">
        <v>1</v>
      </c>
      <c r="H153" s="37" t="n">
        <v>54</v>
      </c>
      <c r="I153" s="37" t="n">
        <v>10.4</v>
      </c>
      <c r="J153" s="37" t="n">
        <v>561.6</v>
      </c>
    </row>
    <row r="154">
      <c r="A154" s="37" t="inlineStr">
        <is>
          <t>TXN-202608-009235</t>
        </is>
      </c>
      <c r="B154" s="37" t="inlineStr">
        <is>
          <t>AC-LP-0722</t>
        </is>
      </c>
      <c r="C154" s="37" t="inlineStr">
        <is>
          <t>WL-02525</t>
        </is>
      </c>
      <c r="D154" s="37" t="inlineStr">
        <is>
          <t>LP-0722</t>
        </is>
      </c>
      <c r="E154" s="37" t="inlineStr">
        <is>
          <t>Ledgport</t>
        </is>
      </c>
      <c r="F154" s="37" t="n">
        <v>60</v>
      </c>
      <c r="G154" s="37" t="n">
        <v>1</v>
      </c>
      <c r="H154" s="37" t="n">
        <v>60</v>
      </c>
      <c r="I154" s="37" t="n">
        <v>10.4</v>
      </c>
      <c r="J154" s="37" t="n">
        <v>624</v>
      </c>
    </row>
    <row r="155">
      <c r="A155" s="37" t="inlineStr">
        <is>
          <t>TXN-202608-009277</t>
        </is>
      </c>
      <c r="B155" s="37" t="inlineStr">
        <is>
          <t>AC-LP-0723</t>
        </is>
      </c>
      <c r="C155" s="37" t="inlineStr">
        <is>
          <t>WL-01106</t>
        </is>
      </c>
      <c r="D155" s="37" t="inlineStr">
        <is>
          <t>LP-0723</t>
        </is>
      </c>
      <c r="E155" s="37" t="inlineStr">
        <is>
          <t>Ledgport</t>
        </is>
      </c>
      <c r="F155" s="37" t="n">
        <v>38</v>
      </c>
      <c r="G155" s="37" t="n">
        <v>1</v>
      </c>
      <c r="H155" s="37" t="n">
        <v>38</v>
      </c>
      <c r="I155" s="37" t="n">
        <v>10.4</v>
      </c>
      <c r="J155" s="37" t="n">
        <v>395.2</v>
      </c>
    </row>
    <row r="156">
      <c r="A156" s="37" t="inlineStr">
        <is>
          <t>TXN-202608-009317</t>
        </is>
      </c>
      <c r="B156" s="37" t="inlineStr">
        <is>
          <t>AC-LP-0724</t>
        </is>
      </c>
      <c r="C156" s="37" t="inlineStr">
        <is>
          <t>WL-01738</t>
        </is>
      </c>
      <c r="D156" s="37" t="inlineStr">
        <is>
          <t>LP-0724</t>
        </is>
      </c>
      <c r="E156" s="37" t="inlineStr">
        <is>
          <t>Ledgport</t>
        </is>
      </c>
      <c r="F156" s="37" t="n">
        <v>57</v>
      </c>
      <c r="G156" s="37" t="n">
        <v>1</v>
      </c>
      <c r="H156" s="37" t="n">
        <v>57</v>
      </c>
      <c r="I156" s="37" t="n">
        <v>10.4</v>
      </c>
      <c r="J156" s="37" t="n">
        <v>592.8</v>
      </c>
    </row>
    <row r="157">
      <c r="A157" s="37" t="inlineStr">
        <is>
          <t>TXN-202608-009358</t>
        </is>
      </c>
      <c r="B157" s="37" t="inlineStr">
        <is>
          <t>AC-LP-0801</t>
        </is>
      </c>
      <c r="C157" s="37" t="inlineStr">
        <is>
          <t>WL-02322</t>
        </is>
      </c>
      <c r="D157" s="37" t="inlineStr">
        <is>
          <t>LP-0801</t>
        </is>
      </c>
      <c r="E157" s="37" t="inlineStr">
        <is>
          <t>Ledgport</t>
        </is>
      </c>
      <c r="F157" s="37" t="n">
        <v>47</v>
      </c>
      <c r="G157" s="37" t="n">
        <v>1</v>
      </c>
      <c r="H157" s="37" t="n">
        <v>47</v>
      </c>
      <c r="I157" s="37" t="n">
        <v>10.4</v>
      </c>
      <c r="J157" s="37" t="n">
        <v>488.8</v>
      </c>
    </row>
    <row r="158">
      <c r="A158" s="37" t="inlineStr">
        <is>
          <t>TXN-202608-009428</t>
        </is>
      </c>
      <c r="B158" s="37" t="inlineStr">
        <is>
          <t>AC-LP-0802</t>
        </is>
      </c>
      <c r="C158" s="37" t="inlineStr">
        <is>
          <t>WL-03526</t>
        </is>
      </c>
      <c r="D158" s="37" t="inlineStr">
        <is>
          <t>LP-0802</t>
        </is>
      </c>
      <c r="E158" s="37" t="inlineStr">
        <is>
          <t>Ledgport</t>
        </is>
      </c>
      <c r="F158" s="37" t="n">
        <v>40</v>
      </c>
      <c r="G158" s="37" t="n">
        <v>1</v>
      </c>
      <c r="H158" s="37" t="n">
        <v>40</v>
      </c>
      <c r="I158" s="37" t="n">
        <v>10.4</v>
      </c>
      <c r="J158" s="37" t="n">
        <v>416</v>
      </c>
    </row>
    <row r="159">
      <c r="A159" s="37" t="inlineStr">
        <is>
          <t>TXN-202608-009493</t>
        </is>
      </c>
      <c r="B159" s="37" t="inlineStr">
        <is>
          <t>AC-LP-0803</t>
        </is>
      </c>
      <c r="C159" s="37" t="inlineStr">
        <is>
          <t>WL-03367</t>
        </is>
      </c>
      <c r="D159" s="37" t="inlineStr">
        <is>
          <t>LP-0803</t>
        </is>
      </c>
      <c r="E159" s="37" t="inlineStr">
        <is>
          <t>Ledgport</t>
        </is>
      </c>
      <c r="F159" s="37" t="n">
        <v>48</v>
      </c>
      <c r="G159" s="37" t="n">
        <v>1</v>
      </c>
      <c r="H159" s="37" t="n">
        <v>48</v>
      </c>
      <c r="I159" s="37" t="n">
        <v>10.4</v>
      </c>
      <c r="J159" s="37" t="n">
        <v>499.2</v>
      </c>
    </row>
    <row r="160">
      <c r="A160" s="37" t="inlineStr">
        <is>
          <t>TXN-202608-009566</t>
        </is>
      </c>
      <c r="B160" s="37" t="inlineStr">
        <is>
          <t>AC-LP-0805</t>
        </is>
      </c>
      <c r="C160" s="37" t="inlineStr">
        <is>
          <t>WL-02244</t>
        </is>
      </c>
      <c r="D160" s="37" t="inlineStr">
        <is>
          <t>LP-0805</t>
        </is>
      </c>
      <c r="E160" s="37" t="inlineStr">
        <is>
          <t>Ledgport</t>
        </is>
      </c>
      <c r="F160" s="37" t="n">
        <v>40</v>
      </c>
      <c r="G160" s="37" t="n">
        <v>1</v>
      </c>
      <c r="H160" s="37" t="n">
        <v>40</v>
      </c>
      <c r="I160" s="37" t="n">
        <v>10.4</v>
      </c>
      <c r="J160" s="37" t="n">
        <v>416</v>
      </c>
    </row>
    <row r="161">
      <c r="A161" s="37" t="inlineStr">
        <is>
          <t>TXN-202608-009636</t>
        </is>
      </c>
      <c r="B161" s="37" t="inlineStr">
        <is>
          <t>AC-LP-0806</t>
        </is>
      </c>
      <c r="C161" s="37" t="inlineStr">
        <is>
          <t>WL-02771</t>
        </is>
      </c>
      <c r="D161" s="37" t="inlineStr">
        <is>
          <t>LP-0806</t>
        </is>
      </c>
      <c r="E161" s="37" t="inlineStr">
        <is>
          <t>Ledgport</t>
        </is>
      </c>
      <c r="F161" s="37" t="n">
        <v>56</v>
      </c>
      <c r="G161" s="37" t="n">
        <v>1</v>
      </c>
      <c r="H161" s="37" t="n">
        <v>56</v>
      </c>
      <c r="I161" s="37" t="n">
        <v>10.4</v>
      </c>
      <c r="J161" s="37" t="n">
        <v>582.4</v>
      </c>
    </row>
    <row r="162">
      <c r="A162" s="37" t="inlineStr">
        <is>
          <t>TXN-202608-009719</t>
        </is>
      </c>
      <c r="B162" s="37" t="inlineStr">
        <is>
          <t>AC-LP-0807</t>
        </is>
      </c>
      <c r="C162" s="37" t="inlineStr">
        <is>
          <t>WL-02647</t>
        </is>
      </c>
      <c r="D162" s="37" t="inlineStr">
        <is>
          <t>LP-0807</t>
        </is>
      </c>
      <c r="E162" s="37" t="inlineStr">
        <is>
          <t>Ledgport</t>
        </is>
      </c>
      <c r="F162" s="37" t="n">
        <v>41</v>
      </c>
      <c r="G162" s="37" t="n">
        <v>1</v>
      </c>
      <c r="H162" s="37" t="n">
        <v>41</v>
      </c>
      <c r="I162" s="37" t="n">
        <v>10.4</v>
      </c>
      <c r="J162" s="37" t="n">
        <v>426.4</v>
      </c>
    </row>
    <row r="163">
      <c r="A163" s="37" t="inlineStr">
        <is>
          <t>TXN-202608-009770</t>
        </is>
      </c>
      <c r="B163" s="37" t="inlineStr">
        <is>
          <t>AC-LP-0808</t>
        </is>
      </c>
      <c r="C163" s="37" t="inlineStr">
        <is>
          <t>WL-03318</t>
        </is>
      </c>
      <c r="D163" s="37" t="inlineStr">
        <is>
          <t>LP-0808</t>
        </is>
      </c>
      <c r="E163" s="37" t="inlineStr">
        <is>
          <t>Ledgport</t>
        </is>
      </c>
      <c r="F163" s="37" t="n">
        <v>43</v>
      </c>
      <c r="G163" s="37" t="n">
        <v>1</v>
      </c>
      <c r="H163" s="37" t="n">
        <v>43</v>
      </c>
      <c r="I163" s="37" t="n">
        <v>10.4</v>
      </c>
      <c r="J163" s="37" t="n">
        <v>447.2</v>
      </c>
    </row>
    <row r="164">
      <c r="A164" s="37" t="inlineStr">
        <is>
          <t>TXN-202608-009852</t>
        </is>
      </c>
      <c r="B164" s="37" t="inlineStr">
        <is>
          <t>AC-LP-0809</t>
        </is>
      </c>
      <c r="C164" s="37" t="inlineStr">
        <is>
          <t>WL-02205</t>
        </is>
      </c>
      <c r="D164" s="37" t="inlineStr">
        <is>
          <t>LP-0809</t>
        </is>
      </c>
      <c r="E164" s="37" t="inlineStr">
        <is>
          <t>Ledgport</t>
        </is>
      </c>
      <c r="F164" s="37" t="n">
        <v>35</v>
      </c>
      <c r="G164" s="37" t="n">
        <v>1</v>
      </c>
      <c r="H164" s="37" t="n">
        <v>35</v>
      </c>
      <c r="I164" s="37" t="n">
        <v>10.4</v>
      </c>
      <c r="J164" s="37" t="n">
        <v>364</v>
      </c>
    </row>
    <row r="165">
      <c r="A165" s="37" t="inlineStr">
        <is>
          <t>TXN-202608-009916</t>
        </is>
      </c>
      <c r="B165" s="37" t="inlineStr">
        <is>
          <t>AC-LP-0811</t>
        </is>
      </c>
      <c r="C165" s="37" t="inlineStr">
        <is>
          <t>WL-02097</t>
        </is>
      </c>
      <c r="D165" s="37" t="inlineStr">
        <is>
          <t>LP-0811</t>
        </is>
      </c>
      <c r="E165" s="37" t="inlineStr">
        <is>
          <t>Ledgport</t>
        </is>
      </c>
      <c r="F165" s="37" t="n">
        <v>52</v>
      </c>
      <c r="G165" s="37" t="n">
        <v>1</v>
      </c>
      <c r="H165" s="37" t="n">
        <v>52</v>
      </c>
      <c r="I165" s="37" t="n">
        <v>10.4</v>
      </c>
      <c r="J165" s="37" t="n">
        <v>540.8</v>
      </c>
    </row>
    <row r="166">
      <c r="A166" s="37" t="inlineStr">
        <is>
          <t>TXN-202608-009999</t>
        </is>
      </c>
      <c r="B166" s="37" t="inlineStr">
        <is>
          <t>AC-LP-0812</t>
        </is>
      </c>
      <c r="C166" s="37" t="inlineStr">
        <is>
          <t>WL-02511</t>
        </is>
      </c>
      <c r="D166" s="37" t="inlineStr">
        <is>
          <t>LP-0812</t>
        </is>
      </c>
      <c r="E166" s="37" t="inlineStr">
        <is>
          <t>Ledgport</t>
        </is>
      </c>
      <c r="F166" s="37" t="n">
        <v>28</v>
      </c>
      <c r="G166" s="37" t="n">
        <v>1</v>
      </c>
      <c r="H166" s="37" t="n">
        <v>28</v>
      </c>
      <c r="I166" s="37" t="n">
        <v>10.4</v>
      </c>
      <c r="J166" s="37" t="n">
        <v>291.2</v>
      </c>
    </row>
    <row r="167">
      <c r="A167" s="37" t="inlineStr">
        <is>
          <t>TXN-202608-010077</t>
        </is>
      </c>
      <c r="B167" s="37" t="inlineStr">
        <is>
          <t>AC-LP-0813</t>
        </is>
      </c>
      <c r="C167" s="37" t="inlineStr">
        <is>
          <t>WL-02446</t>
        </is>
      </c>
      <c r="D167" s="37" t="inlineStr">
        <is>
          <t>LP-0813</t>
        </is>
      </c>
      <c r="E167" s="37" t="inlineStr">
        <is>
          <t>Ledgport</t>
        </is>
      </c>
      <c r="F167" s="37" t="n">
        <v>38</v>
      </c>
      <c r="G167" s="37" t="n">
        <v>1</v>
      </c>
      <c r="H167" s="37" t="n">
        <v>38</v>
      </c>
      <c r="I167" s="37" t="n">
        <v>10.4</v>
      </c>
      <c r="J167" s="37" t="n">
        <v>395.2</v>
      </c>
    </row>
    <row r="168">
      <c r="A168" s="37" t="inlineStr">
        <is>
          <t>TXN-202608-010153</t>
        </is>
      </c>
      <c r="B168" s="37" t="inlineStr">
        <is>
          <t>AC-LP-0814</t>
        </is>
      </c>
      <c r="C168" s="37" t="inlineStr">
        <is>
          <t>WL-02409</t>
        </is>
      </c>
      <c r="D168" s="37" t="inlineStr">
        <is>
          <t>LP-0814</t>
        </is>
      </c>
      <c r="E168" s="37" t="inlineStr">
        <is>
          <t>Ledgport</t>
        </is>
      </c>
      <c r="F168" s="37" t="n">
        <v>35</v>
      </c>
      <c r="G168" s="37" t="n">
        <v>1</v>
      </c>
      <c r="H168" s="37" t="n">
        <v>35</v>
      </c>
      <c r="I168" s="37" t="n">
        <v>10.4</v>
      </c>
      <c r="J168" s="37" t="n">
        <v>364</v>
      </c>
    </row>
    <row r="169">
      <c r="A169" s="37" t="inlineStr">
        <is>
          <t>TXN-202608-010227</t>
        </is>
      </c>
      <c r="B169" s="37" t="inlineStr">
        <is>
          <t>AC-LP-0815</t>
        </is>
      </c>
      <c r="C169" s="37" t="inlineStr">
        <is>
          <t>WL-01947</t>
        </is>
      </c>
      <c r="D169" s="37" t="inlineStr">
        <is>
          <t>LP-0815</t>
        </is>
      </c>
      <c r="E169" s="37" t="inlineStr">
        <is>
          <t>Ledgport</t>
        </is>
      </c>
      <c r="F169" s="37" t="n">
        <v>50</v>
      </c>
      <c r="G169" s="37" t="n">
        <v>1</v>
      </c>
      <c r="H169" s="37" t="n">
        <v>50</v>
      </c>
      <c r="I169" s="37" t="n">
        <v>10.4</v>
      </c>
      <c r="J169" s="37" t="n">
        <v>520</v>
      </c>
    </row>
    <row r="170">
      <c r="A170" s="37" t="inlineStr">
        <is>
          <t>TXN-202608-010292</t>
        </is>
      </c>
      <c r="B170" s="37" t="inlineStr">
        <is>
          <t>AC-LP-0816</t>
        </is>
      </c>
      <c r="C170" s="37" t="inlineStr">
        <is>
          <t>WL-03243</t>
        </is>
      </c>
      <c r="D170" s="37" t="inlineStr">
        <is>
          <t>LP-0816</t>
        </is>
      </c>
      <c r="E170" s="37" t="inlineStr">
        <is>
          <t>Ledgport</t>
        </is>
      </c>
      <c r="F170" s="37" t="n">
        <v>48</v>
      </c>
      <c r="G170" s="37" t="n">
        <v>1</v>
      </c>
      <c r="H170" s="37" t="n">
        <v>48</v>
      </c>
      <c r="I170" s="37" t="n">
        <v>10.4</v>
      </c>
      <c r="J170" s="37" t="n">
        <v>499.2</v>
      </c>
    </row>
    <row r="171">
      <c r="A171" s="37" t="inlineStr">
        <is>
          <t>TXN-202608-010354</t>
        </is>
      </c>
      <c r="B171" s="37" t="inlineStr">
        <is>
          <t>AC-LP-0817</t>
        </is>
      </c>
      <c r="C171" s="37" t="inlineStr">
        <is>
          <t>WL-03630</t>
        </is>
      </c>
      <c r="D171" s="37" t="inlineStr">
        <is>
          <t>LP-0817</t>
        </is>
      </c>
      <c r="E171" s="37" t="inlineStr">
        <is>
          <t>Ledgport</t>
        </is>
      </c>
      <c r="F171" s="37" t="n">
        <v>32</v>
      </c>
      <c r="G171" s="37" t="n">
        <v>1</v>
      </c>
      <c r="H171" s="37" t="n">
        <v>32</v>
      </c>
      <c r="I171" s="37" t="n">
        <v>10.4</v>
      </c>
      <c r="J171" s="37" t="n">
        <v>332.8</v>
      </c>
    </row>
    <row r="172">
      <c r="A172" s="37" t="inlineStr">
        <is>
          <t>TXN-202608-010428</t>
        </is>
      </c>
      <c r="B172" s="37" t="inlineStr">
        <is>
          <t>AC-LP-0818</t>
        </is>
      </c>
      <c r="C172" s="37" t="inlineStr">
        <is>
          <t>WL-02906</t>
        </is>
      </c>
      <c r="D172" s="37" t="inlineStr">
        <is>
          <t>LP-0818</t>
        </is>
      </c>
      <c r="E172" s="37" t="inlineStr">
        <is>
          <t>Ledgport</t>
        </is>
      </c>
      <c r="F172" s="37" t="n">
        <v>61</v>
      </c>
      <c r="G172" s="37" t="n">
        <v>1</v>
      </c>
      <c r="H172" s="37" t="n">
        <v>61</v>
      </c>
      <c r="I172" s="37" t="n">
        <v>10.4</v>
      </c>
      <c r="J172" s="37" t="n">
        <v>634.4</v>
      </c>
    </row>
    <row r="173">
      <c r="A173" s="37" t="inlineStr">
        <is>
          <t>TXN-202608-010483</t>
        </is>
      </c>
      <c r="B173" s="37" t="inlineStr">
        <is>
          <t>AC-LP-0819</t>
        </is>
      </c>
      <c r="C173" s="37" t="inlineStr">
        <is>
          <t>WL-02164</t>
        </is>
      </c>
      <c r="D173" s="37" t="inlineStr">
        <is>
          <t>LP-0819</t>
        </is>
      </c>
      <c r="E173" s="37" t="inlineStr">
        <is>
          <t>Ledgport</t>
        </is>
      </c>
      <c r="F173" s="37" t="n">
        <v>32</v>
      </c>
      <c r="G173" s="37" t="n">
        <v>1</v>
      </c>
      <c r="H173" s="37" t="n">
        <v>32</v>
      </c>
      <c r="I173" s="37" t="n">
        <v>10.4</v>
      </c>
      <c r="J173" s="37" t="n">
        <v>332.8</v>
      </c>
    </row>
    <row r="174">
      <c r="A174" s="37" t="inlineStr">
        <is>
          <t>TXN-202608-010563</t>
        </is>
      </c>
      <c r="B174" s="37" t="inlineStr">
        <is>
          <t>AC-LP-0820</t>
        </is>
      </c>
      <c r="C174" s="37" t="inlineStr">
        <is>
          <t>WL-01109</t>
        </is>
      </c>
      <c r="D174" s="37" t="inlineStr">
        <is>
          <t>LP-0820</t>
        </is>
      </c>
      <c r="E174" s="37" t="inlineStr">
        <is>
          <t>Ledgport</t>
        </is>
      </c>
      <c r="F174" s="37" t="n">
        <v>44</v>
      </c>
      <c r="G174" s="37" t="n">
        <v>1</v>
      </c>
      <c r="H174" s="37" t="n">
        <v>44</v>
      </c>
      <c r="I174" s="37" t="n">
        <v>10.4</v>
      </c>
      <c r="J174" s="37" t="n">
        <v>457.6</v>
      </c>
    </row>
    <row r="175">
      <c r="A175" s="37" t="inlineStr">
        <is>
          <t>TXN-202608-010626</t>
        </is>
      </c>
      <c r="B175" s="37" t="inlineStr">
        <is>
          <t>AC-LP-0821</t>
        </is>
      </c>
      <c r="C175" s="37" t="inlineStr">
        <is>
          <t>WL-03375</t>
        </is>
      </c>
      <c r="D175" s="37" t="inlineStr">
        <is>
          <t>LP-0821</t>
        </is>
      </c>
      <c r="E175" s="37" t="inlineStr">
        <is>
          <t>Ledgport</t>
        </is>
      </c>
      <c r="F175" s="37" t="n">
        <v>54</v>
      </c>
      <c r="G175" s="37" t="n">
        <v>1</v>
      </c>
      <c r="H175" s="37" t="n">
        <v>54</v>
      </c>
      <c r="I175" s="37" t="n">
        <v>10.4</v>
      </c>
      <c r="J175" s="37" t="n">
        <v>561.6</v>
      </c>
    </row>
    <row r="176">
      <c r="A176" s="37" t="inlineStr">
        <is>
          <t>TXN-202608-010690</t>
        </is>
      </c>
      <c r="B176" s="37" t="inlineStr">
        <is>
          <t>AC-LP-0822</t>
        </is>
      </c>
      <c r="C176" s="37" t="inlineStr">
        <is>
          <t>WL-02728</t>
        </is>
      </c>
      <c r="D176" s="37" t="inlineStr">
        <is>
          <t>LP-0822</t>
        </is>
      </c>
      <c r="E176" s="37" t="inlineStr">
        <is>
          <t>Ledgport</t>
        </is>
      </c>
      <c r="F176" s="37" t="n">
        <v>61</v>
      </c>
      <c r="G176" s="37" t="n">
        <v>1</v>
      </c>
      <c r="H176" s="37" t="n">
        <v>61</v>
      </c>
      <c r="I176" s="37" t="n">
        <v>10.4</v>
      </c>
      <c r="J176" s="37" t="n">
        <v>634.4</v>
      </c>
    </row>
    <row r="177">
      <c r="A177" s="37" t="inlineStr">
        <is>
          <t>TXN-202608-010741</t>
        </is>
      </c>
      <c r="B177" s="37" t="inlineStr">
        <is>
          <t>AC-LP-0823</t>
        </is>
      </c>
      <c r="C177" s="37" t="inlineStr">
        <is>
          <t>WL-03320</t>
        </is>
      </c>
      <c r="D177" s="37" t="inlineStr">
        <is>
          <t>LP-0823</t>
        </is>
      </c>
      <c r="E177" s="37" t="inlineStr">
        <is>
          <t>Ledgport</t>
        </is>
      </c>
      <c r="F177" s="37" t="n">
        <v>43</v>
      </c>
      <c r="G177" s="37" t="n">
        <v>1</v>
      </c>
      <c r="H177" s="37" t="n">
        <v>43</v>
      </c>
      <c r="I177" s="37" t="n">
        <v>10.4</v>
      </c>
      <c r="J177" s="37" t="n">
        <v>447.2</v>
      </c>
    </row>
    <row r="178">
      <c r="A178" s="37" t="inlineStr">
        <is>
          <t>TXN-202608-010787</t>
        </is>
      </c>
      <c r="B178" s="37" t="inlineStr">
        <is>
          <t>AC-LP-0824</t>
        </is>
      </c>
      <c r="C178" s="37" t="inlineStr">
        <is>
          <t>WL-01024</t>
        </is>
      </c>
      <c r="D178" s="37" t="inlineStr">
        <is>
          <t>LP-0824</t>
        </is>
      </c>
      <c r="E178" s="37" t="inlineStr">
        <is>
          <t>Ledgport</t>
        </is>
      </c>
      <c r="F178" s="37" t="n">
        <v>49</v>
      </c>
      <c r="G178" s="37" t="n">
        <v>1</v>
      </c>
      <c r="H178" s="37" t="n">
        <v>49</v>
      </c>
      <c r="I178" s="37" t="n">
        <v>10.4</v>
      </c>
      <c r="J178" s="37" t="n">
        <v>509.6</v>
      </c>
    </row>
    <row r="179">
      <c r="A179" s="37" t="inlineStr">
        <is>
          <t>TXN-202608-010867</t>
        </is>
      </c>
      <c r="B179" s="37" t="inlineStr">
        <is>
          <t>AC-LP-0901</t>
        </is>
      </c>
      <c r="C179" s="37" t="inlineStr">
        <is>
          <t>WL-02661</t>
        </is>
      </c>
      <c r="D179" s="37" t="inlineStr">
        <is>
          <t>LP-0901</t>
        </is>
      </c>
      <c r="E179" s="37" t="inlineStr">
        <is>
          <t>Ledgport</t>
        </is>
      </c>
      <c r="F179" s="37" t="n">
        <v>40</v>
      </c>
      <c r="G179" s="37" t="n">
        <v>1</v>
      </c>
      <c r="H179" s="37" t="n">
        <v>40</v>
      </c>
      <c r="I179" s="37" t="n">
        <v>10.4</v>
      </c>
      <c r="J179" s="37" t="n">
        <v>416</v>
      </c>
    </row>
    <row r="180">
      <c r="A180" s="37" t="inlineStr">
        <is>
          <t>TXN-202608-010915</t>
        </is>
      </c>
      <c r="B180" s="37" t="inlineStr">
        <is>
          <t>AC-LP-0902</t>
        </is>
      </c>
      <c r="C180" s="37" t="inlineStr">
        <is>
          <t>WL-01872</t>
        </is>
      </c>
      <c r="D180" s="37" t="inlineStr">
        <is>
          <t>LP-0902</t>
        </is>
      </c>
      <c r="E180" s="37" t="inlineStr">
        <is>
          <t>Ledgport</t>
        </is>
      </c>
      <c r="F180" s="37" t="n">
        <v>58</v>
      </c>
      <c r="G180" s="37" t="n">
        <v>1</v>
      </c>
      <c r="H180" s="37" t="n">
        <v>58</v>
      </c>
      <c r="I180" s="37" t="n">
        <v>10.4</v>
      </c>
      <c r="J180" s="37" t="n">
        <v>603.2</v>
      </c>
    </row>
    <row r="181">
      <c r="A181" s="37" t="inlineStr">
        <is>
          <t>TXN-202608-010994</t>
        </is>
      </c>
      <c r="B181" s="37" t="inlineStr">
        <is>
          <t>AC-LP-0903</t>
        </is>
      </c>
      <c r="C181" s="37" t="inlineStr">
        <is>
          <t>WL-01193</t>
        </is>
      </c>
      <c r="D181" s="37" t="inlineStr">
        <is>
          <t>LP-0903</t>
        </is>
      </c>
      <c r="E181" s="37" t="inlineStr">
        <is>
          <t>Ledgport</t>
        </is>
      </c>
      <c r="F181" s="37" t="n">
        <v>36</v>
      </c>
      <c r="G181" s="37" t="n">
        <v>1</v>
      </c>
      <c r="H181" s="37" t="n">
        <v>36</v>
      </c>
      <c r="I181" s="37" t="n">
        <v>10.4</v>
      </c>
      <c r="J181" s="37" t="n">
        <v>374.4</v>
      </c>
    </row>
    <row r="182">
      <c r="A182" s="37" t="inlineStr">
        <is>
          <t>TXN-202608-011040</t>
        </is>
      </c>
      <c r="B182" s="37" t="inlineStr">
        <is>
          <t>AC-LP-0904</t>
        </is>
      </c>
      <c r="C182" s="37" t="inlineStr">
        <is>
          <t>WL-03771</t>
        </is>
      </c>
      <c r="D182" s="37" t="inlineStr">
        <is>
          <t>LP-0904</t>
        </is>
      </c>
      <c r="E182" s="37" t="inlineStr">
        <is>
          <t>Ledgport</t>
        </is>
      </c>
      <c r="F182" s="37" t="n">
        <v>62</v>
      </c>
      <c r="G182" s="37" t="n">
        <v>1</v>
      </c>
      <c r="H182" s="37" t="n">
        <v>62</v>
      </c>
      <c r="I182" s="37" t="n">
        <v>10.4</v>
      </c>
      <c r="J182" s="37" t="n">
        <v>644.8</v>
      </c>
    </row>
    <row r="183">
      <c r="A183" s="37" t="inlineStr">
        <is>
          <t>TXN-202608-011113</t>
        </is>
      </c>
      <c r="B183" s="37" t="inlineStr">
        <is>
          <t>AC-LP-0905</t>
        </is>
      </c>
      <c r="C183" s="37" t="inlineStr">
        <is>
          <t>WL-01795</t>
        </is>
      </c>
      <c r="D183" s="37" t="inlineStr">
        <is>
          <t>LP-0905</t>
        </is>
      </c>
      <c r="E183" s="37" t="inlineStr">
        <is>
          <t>Ledgport</t>
        </is>
      </c>
      <c r="F183" s="37" t="n">
        <v>54</v>
      </c>
      <c r="G183" s="37" t="n">
        <v>1</v>
      </c>
      <c r="H183" s="37" t="n">
        <v>54</v>
      </c>
      <c r="I183" s="37" t="n">
        <v>10.4</v>
      </c>
      <c r="J183" s="37" t="n">
        <v>561.6</v>
      </c>
    </row>
    <row r="184">
      <c r="A184" s="37" t="inlineStr">
        <is>
          <t>TXN-202608-011186</t>
        </is>
      </c>
      <c r="B184" s="37" t="inlineStr">
        <is>
          <t>AC-LP-0906</t>
        </is>
      </c>
      <c r="C184" s="37" t="inlineStr">
        <is>
          <t>WL-03019</t>
        </is>
      </c>
      <c r="D184" s="37" t="inlineStr">
        <is>
          <t>LP-0906</t>
        </is>
      </c>
      <c r="E184" s="37" t="inlineStr">
        <is>
          <t>Ledgport</t>
        </is>
      </c>
      <c r="F184" s="37" t="n">
        <v>58</v>
      </c>
      <c r="G184" s="37" t="n">
        <v>1</v>
      </c>
      <c r="H184" s="37" t="n">
        <v>58</v>
      </c>
      <c r="I184" s="37" t="n">
        <v>10.4</v>
      </c>
      <c r="J184" s="37" t="n">
        <v>603.2</v>
      </c>
    </row>
    <row r="185">
      <c r="A185" s="37" t="inlineStr">
        <is>
          <t>TXN-202608-011262</t>
        </is>
      </c>
      <c r="B185" s="37" t="inlineStr">
        <is>
          <t>AC-LP-0907</t>
        </is>
      </c>
      <c r="C185" s="37" t="inlineStr">
        <is>
          <t>WL-02873</t>
        </is>
      </c>
      <c r="D185" s="37" t="inlineStr">
        <is>
          <t>LP-0907</t>
        </is>
      </c>
      <c r="E185" s="37" t="inlineStr">
        <is>
          <t>Ledgport</t>
        </is>
      </c>
      <c r="F185" s="37" t="n">
        <v>46</v>
      </c>
      <c r="G185" s="37" t="n">
        <v>1</v>
      </c>
      <c r="H185" s="37" t="n">
        <v>46</v>
      </c>
      <c r="I185" s="37" t="n">
        <v>10.4</v>
      </c>
      <c r="J185" s="37" t="n">
        <v>478.4</v>
      </c>
    </row>
    <row r="186">
      <c r="A186" s="37" t="inlineStr">
        <is>
          <t>TXN-202608-011328</t>
        </is>
      </c>
      <c r="B186" s="37" t="inlineStr">
        <is>
          <t>AC-LP-0908</t>
        </is>
      </c>
      <c r="C186" s="37" t="inlineStr">
        <is>
          <t>WL-01005</t>
        </is>
      </c>
      <c r="D186" s="37" t="inlineStr">
        <is>
          <t>LP-0908</t>
        </is>
      </c>
      <c r="E186" s="37" t="inlineStr">
        <is>
          <t>Ledgport</t>
        </is>
      </c>
      <c r="F186" s="37" t="n">
        <v>50</v>
      </c>
      <c r="G186" s="37" t="n">
        <v>1</v>
      </c>
      <c r="H186" s="37" t="n">
        <v>50</v>
      </c>
      <c r="I186" s="37" t="n">
        <v>10.4</v>
      </c>
      <c r="J186" s="37" t="n">
        <v>520</v>
      </c>
    </row>
    <row r="187">
      <c r="A187" s="37" t="inlineStr">
        <is>
          <t>TXN-202608-011387</t>
        </is>
      </c>
      <c r="B187" s="37" t="inlineStr">
        <is>
          <t>AC-LP-0909</t>
        </is>
      </c>
      <c r="C187" s="37" t="inlineStr">
        <is>
          <t>WL-01808</t>
        </is>
      </c>
      <c r="D187" s="37" t="inlineStr">
        <is>
          <t>LP-0909</t>
        </is>
      </c>
      <c r="E187" s="37" t="inlineStr">
        <is>
          <t>Ledgport</t>
        </is>
      </c>
      <c r="F187" s="37" t="n">
        <v>47</v>
      </c>
      <c r="G187" s="37" t="n">
        <v>1</v>
      </c>
      <c r="H187" s="37" t="n">
        <v>47</v>
      </c>
      <c r="I187" s="37" t="n">
        <v>10.4</v>
      </c>
      <c r="J187" s="37" t="n">
        <v>488.8</v>
      </c>
    </row>
    <row r="188">
      <c r="A188" s="37" t="inlineStr">
        <is>
          <t>TXN-202608-011449</t>
        </is>
      </c>
      <c r="B188" s="37" t="inlineStr">
        <is>
          <t>AC-LP-0910</t>
        </is>
      </c>
      <c r="C188" s="37" t="inlineStr">
        <is>
          <t>WL-01992</t>
        </is>
      </c>
      <c r="D188" s="37" t="inlineStr">
        <is>
          <t>LP-0910</t>
        </is>
      </c>
      <c r="E188" s="37" t="inlineStr">
        <is>
          <t>Ledgport</t>
        </is>
      </c>
      <c r="F188" s="37" t="n">
        <v>38</v>
      </c>
      <c r="G188" s="37" t="n">
        <v>1</v>
      </c>
      <c r="H188" s="37" t="n">
        <v>38</v>
      </c>
      <c r="I188" s="37" t="n">
        <v>10.4</v>
      </c>
      <c r="J188" s="37" t="n">
        <v>395.2</v>
      </c>
    </row>
    <row r="189">
      <c r="A189" s="37" t="inlineStr">
        <is>
          <t>TXN-202608-011512</t>
        </is>
      </c>
      <c r="B189" s="37" t="inlineStr">
        <is>
          <t>AC-LP-0911</t>
        </is>
      </c>
      <c r="C189" s="37" t="inlineStr">
        <is>
          <t>WL-01998</t>
        </is>
      </c>
      <c r="D189" s="37" t="inlineStr">
        <is>
          <t>LP-0911</t>
        </is>
      </c>
      <c r="E189" s="37" t="inlineStr">
        <is>
          <t>Ledgport</t>
        </is>
      </c>
      <c r="F189" s="37" t="n">
        <v>44</v>
      </c>
      <c r="G189" s="37" t="n">
        <v>1</v>
      </c>
      <c r="H189" s="37" t="n">
        <v>44</v>
      </c>
      <c r="I189" s="37" t="n">
        <v>10.4</v>
      </c>
      <c r="J189" s="37" t="n">
        <v>457.6</v>
      </c>
    </row>
    <row r="190">
      <c r="A190" s="37" t="inlineStr">
        <is>
          <t>TXN-202608-011585</t>
        </is>
      </c>
      <c r="B190" s="37" t="inlineStr">
        <is>
          <t>AC-LP-0912</t>
        </is>
      </c>
      <c r="C190" s="37" t="inlineStr">
        <is>
          <t>WL-02965</t>
        </is>
      </c>
      <c r="D190" s="37" t="inlineStr">
        <is>
          <t>LP-0912</t>
        </is>
      </c>
      <c r="E190" s="37" t="inlineStr">
        <is>
          <t>Ledgport</t>
        </is>
      </c>
      <c r="F190" s="37" t="n">
        <v>33</v>
      </c>
      <c r="G190" s="37" t="n">
        <v>1</v>
      </c>
      <c r="H190" s="37" t="n">
        <v>33</v>
      </c>
      <c r="I190" s="37" t="n">
        <v>10.4</v>
      </c>
      <c r="J190" s="37" t="n">
        <v>343.2</v>
      </c>
    </row>
    <row r="191">
      <c r="A191" s="37" t="inlineStr">
        <is>
          <t>TXN-202608-011646</t>
        </is>
      </c>
      <c r="B191" s="37" t="inlineStr">
        <is>
          <t>AC-LP-0913</t>
        </is>
      </c>
      <c r="C191" s="37" t="inlineStr">
        <is>
          <t>WL-02303</t>
        </is>
      </c>
      <c r="D191" s="37" t="inlineStr">
        <is>
          <t>LP-0913</t>
        </is>
      </c>
      <c r="E191" s="37" t="inlineStr">
        <is>
          <t>Ledgport</t>
        </is>
      </c>
      <c r="F191" s="37" t="n">
        <v>44</v>
      </c>
      <c r="G191" s="37" t="n">
        <v>1</v>
      </c>
      <c r="H191" s="37" t="n">
        <v>44</v>
      </c>
      <c r="I191" s="37" t="n">
        <v>10.4</v>
      </c>
      <c r="J191" s="37" t="n">
        <v>457.6</v>
      </c>
    </row>
    <row r="192">
      <c r="A192" s="37" t="inlineStr">
        <is>
          <t>TXN-202608-011702</t>
        </is>
      </c>
      <c r="B192" s="37" t="inlineStr">
        <is>
          <t>AC-LP-0914</t>
        </is>
      </c>
      <c r="C192" s="37" t="inlineStr">
        <is>
          <t>WL-01697</t>
        </is>
      </c>
      <c r="D192" s="37" t="inlineStr">
        <is>
          <t>LP-0914</t>
        </is>
      </c>
      <c r="E192" s="37" t="inlineStr">
        <is>
          <t>Ledgport</t>
        </is>
      </c>
      <c r="F192" s="37" t="n">
        <v>40</v>
      </c>
      <c r="G192" s="37" t="n">
        <v>1</v>
      </c>
      <c r="H192" s="37" t="n">
        <v>40</v>
      </c>
      <c r="I192" s="37" t="n">
        <v>10.4</v>
      </c>
      <c r="J192" s="37" t="n">
        <v>416</v>
      </c>
    </row>
    <row r="193">
      <c r="A193" s="37" t="inlineStr">
        <is>
          <t>TXN-202608-011766</t>
        </is>
      </c>
      <c r="B193" s="37" t="inlineStr">
        <is>
          <t>AC-LP-0915</t>
        </is>
      </c>
      <c r="C193" s="37" t="inlineStr">
        <is>
          <t>WL-01416</t>
        </is>
      </c>
      <c r="D193" s="37" t="inlineStr">
        <is>
          <t>LP-0915</t>
        </is>
      </c>
      <c r="E193" s="37" t="inlineStr">
        <is>
          <t>Ledgport</t>
        </is>
      </c>
      <c r="F193" s="37" t="n">
        <v>36</v>
      </c>
      <c r="G193" s="37" t="n">
        <v>1</v>
      </c>
      <c r="H193" s="37" t="n">
        <v>36</v>
      </c>
      <c r="I193" s="37" t="n">
        <v>10.4</v>
      </c>
      <c r="J193" s="37" t="n">
        <v>374.4</v>
      </c>
    </row>
    <row r="194">
      <c r="A194" s="37" t="inlineStr">
        <is>
          <t>TXN-202608-011847</t>
        </is>
      </c>
      <c r="B194" s="37" t="inlineStr">
        <is>
          <t>AC-LP-0917</t>
        </is>
      </c>
      <c r="C194" s="37" t="inlineStr">
        <is>
          <t>WL-01392</t>
        </is>
      </c>
      <c r="D194" s="37" t="inlineStr">
        <is>
          <t>LP-0917</t>
        </is>
      </c>
      <c r="E194" s="37" t="inlineStr">
        <is>
          <t>Ledgport</t>
        </is>
      </c>
      <c r="F194" s="37" t="n">
        <v>36</v>
      </c>
      <c r="G194" s="37" t="n">
        <v>1</v>
      </c>
      <c r="H194" s="37" t="n">
        <v>36</v>
      </c>
      <c r="I194" s="37" t="n">
        <v>10.4</v>
      </c>
      <c r="J194" s="37" t="n">
        <v>374.4</v>
      </c>
    </row>
    <row r="195">
      <c r="A195" s="37" t="inlineStr">
        <is>
          <t>TXN-202608-011919</t>
        </is>
      </c>
      <c r="B195" s="37" t="inlineStr">
        <is>
          <t>AC-LP-0918</t>
        </is>
      </c>
      <c r="C195" s="37" t="inlineStr">
        <is>
          <t>WL-03842</t>
        </is>
      </c>
      <c r="D195" s="37" t="inlineStr">
        <is>
          <t>LP-0918</t>
        </is>
      </c>
      <c r="E195" s="37" t="inlineStr">
        <is>
          <t>Ledgport</t>
        </is>
      </c>
      <c r="F195" s="37" t="n">
        <v>59</v>
      </c>
      <c r="G195" s="37" t="n">
        <v>1</v>
      </c>
      <c r="H195" s="37" t="n">
        <v>59</v>
      </c>
      <c r="I195" s="37" t="n">
        <v>10.4</v>
      </c>
      <c r="J195" s="37" t="n">
        <v>613.6</v>
      </c>
    </row>
    <row r="196">
      <c r="A196" s="37" t="inlineStr">
        <is>
          <t>TXN-202608-011956</t>
        </is>
      </c>
      <c r="B196" s="37" t="inlineStr">
        <is>
          <t>AC-LP-0919</t>
        </is>
      </c>
      <c r="C196" s="37" t="inlineStr">
        <is>
          <t>WL-02994</t>
        </is>
      </c>
      <c r="D196" s="37" t="inlineStr">
        <is>
          <t>LP-0919</t>
        </is>
      </c>
      <c r="E196" s="37" t="inlineStr">
        <is>
          <t>Ledgport</t>
        </is>
      </c>
      <c r="F196" s="37" t="n">
        <v>32</v>
      </c>
      <c r="G196" s="37" t="n">
        <v>1</v>
      </c>
      <c r="H196" s="37" t="n">
        <v>32</v>
      </c>
      <c r="I196" s="37" t="n">
        <v>10.4</v>
      </c>
      <c r="J196" s="37" t="n">
        <v>332.8</v>
      </c>
    </row>
    <row r="197">
      <c r="A197" s="37" t="inlineStr">
        <is>
          <t>TXN-202608-012022</t>
        </is>
      </c>
      <c r="B197" s="37" t="inlineStr">
        <is>
          <t>AC-LP-0920</t>
        </is>
      </c>
      <c r="C197" s="37" t="inlineStr">
        <is>
          <t>WL-01174</t>
        </is>
      </c>
      <c r="D197" s="37" t="inlineStr">
        <is>
          <t>LP-0920</t>
        </is>
      </c>
      <c r="E197" s="37" t="inlineStr">
        <is>
          <t>Ledgport</t>
        </is>
      </c>
      <c r="F197" s="37" t="n">
        <v>39</v>
      </c>
      <c r="G197" s="37" t="n">
        <v>1</v>
      </c>
      <c r="H197" s="37" t="n">
        <v>39</v>
      </c>
      <c r="I197" s="37" t="n">
        <v>10.4</v>
      </c>
      <c r="J197" s="37" t="n">
        <v>405.6</v>
      </c>
    </row>
    <row r="198">
      <c r="A198" s="37" t="inlineStr">
        <is>
          <t>TXN-202608-012059</t>
        </is>
      </c>
      <c r="B198" s="37" t="inlineStr">
        <is>
          <t>AC-LP-0921</t>
        </is>
      </c>
      <c r="C198" s="37" t="inlineStr">
        <is>
          <t>WL-02368</t>
        </is>
      </c>
      <c r="D198" s="37" t="inlineStr">
        <is>
          <t>LP-0921</t>
        </is>
      </c>
      <c r="E198" s="37" t="inlineStr">
        <is>
          <t>Ledgport</t>
        </is>
      </c>
      <c r="F198" s="37" t="n">
        <v>28</v>
      </c>
      <c r="G198" s="37" t="n">
        <v>1</v>
      </c>
      <c r="H198" s="37" t="n">
        <v>28</v>
      </c>
      <c r="I198" s="37" t="n">
        <v>10.4</v>
      </c>
      <c r="J198" s="37" t="n">
        <v>291.2</v>
      </c>
    </row>
    <row r="199">
      <c r="A199" s="37" t="inlineStr">
        <is>
          <t>TXN-202608-012124</t>
        </is>
      </c>
      <c r="B199" s="37" t="inlineStr">
        <is>
          <t>AC-LP-0922</t>
        </is>
      </c>
      <c r="C199" s="37" t="inlineStr">
        <is>
          <t>WL-03260</t>
        </is>
      </c>
      <c r="D199" s="37" t="inlineStr">
        <is>
          <t>LP-0922</t>
        </is>
      </c>
      <c r="E199" s="37" t="inlineStr">
        <is>
          <t>Ledgport</t>
        </is>
      </c>
      <c r="F199" s="37" t="n">
        <v>58</v>
      </c>
      <c r="G199" s="37" t="n">
        <v>1</v>
      </c>
      <c r="H199" s="37" t="n">
        <v>58</v>
      </c>
      <c r="I199" s="37" t="n">
        <v>10.4</v>
      </c>
      <c r="J199" s="37" t="n">
        <v>603.2</v>
      </c>
    </row>
    <row r="200">
      <c r="A200" s="37" t="inlineStr">
        <is>
          <t>TXN-202608-012196</t>
        </is>
      </c>
      <c r="B200" s="37" t="inlineStr">
        <is>
          <t>AC-LP-0923</t>
        </is>
      </c>
      <c r="C200" s="37" t="inlineStr">
        <is>
          <t>WL-02672</t>
        </is>
      </c>
      <c r="D200" s="37" t="inlineStr">
        <is>
          <t>LP-0923</t>
        </is>
      </c>
      <c r="E200" s="37" t="inlineStr">
        <is>
          <t>Ledgport</t>
        </is>
      </c>
      <c r="F200" s="37" t="n">
        <v>24</v>
      </c>
      <c r="G200" s="37" t="n">
        <v>1</v>
      </c>
      <c r="H200" s="37" t="n">
        <v>24</v>
      </c>
      <c r="I200" s="37" t="n">
        <v>10.4</v>
      </c>
      <c r="J200" s="37" t="n">
        <v>249.6</v>
      </c>
    </row>
    <row r="201">
      <c r="A201" s="37" t="inlineStr">
        <is>
          <t>TXN-202608-012242</t>
        </is>
      </c>
      <c r="B201" s="37" t="inlineStr">
        <is>
          <t>AC-LP-0924</t>
        </is>
      </c>
      <c r="C201" s="37" t="inlineStr">
        <is>
          <t>WL-01312</t>
        </is>
      </c>
      <c r="D201" s="37" t="inlineStr">
        <is>
          <t>LP-0924</t>
        </is>
      </c>
      <c r="E201" s="37" t="inlineStr">
        <is>
          <t>Ledgport</t>
        </is>
      </c>
      <c r="F201" s="37" t="n">
        <v>60</v>
      </c>
      <c r="G201" s="37" t="n">
        <v>1</v>
      </c>
      <c r="H201" s="37" t="n">
        <v>60</v>
      </c>
      <c r="I201" s="37" t="n">
        <v>10.4</v>
      </c>
      <c r="J201" s="37" t="n">
        <v>624</v>
      </c>
    </row>
    <row r="202">
      <c r="A202" s="37" t="inlineStr">
        <is>
          <t>TXN-202608-012320</t>
        </is>
      </c>
      <c r="B202" s="37" t="inlineStr">
        <is>
          <t>AC-LP-1001</t>
        </is>
      </c>
      <c r="C202" s="37" t="inlineStr">
        <is>
          <t>WL-03184</t>
        </is>
      </c>
      <c r="D202" s="37" t="inlineStr">
        <is>
          <t>LP-1001</t>
        </is>
      </c>
      <c r="E202" s="37" t="inlineStr">
        <is>
          <t>Ledgport</t>
        </is>
      </c>
      <c r="F202" s="37" t="n">
        <v>55</v>
      </c>
      <c r="G202" s="37" t="n">
        <v>1</v>
      </c>
      <c r="H202" s="37" t="n">
        <v>55</v>
      </c>
      <c r="I202" s="37" t="n">
        <v>10.4</v>
      </c>
      <c r="J202" s="37" t="n">
        <v>572</v>
      </c>
    </row>
    <row r="203">
      <c r="A203" s="37" t="inlineStr">
        <is>
          <t>TXN-202608-012378</t>
        </is>
      </c>
      <c r="B203" s="37" t="inlineStr">
        <is>
          <t>AC-LP-1002</t>
        </is>
      </c>
      <c r="C203" s="37" t="inlineStr">
        <is>
          <t>WL-03393</t>
        </is>
      </c>
      <c r="D203" s="37" t="inlineStr">
        <is>
          <t>LP-1002</t>
        </is>
      </c>
      <c r="E203" s="37" t="inlineStr">
        <is>
          <t>Ledgport</t>
        </is>
      </c>
      <c r="F203" s="37" t="n">
        <v>62</v>
      </c>
      <c r="G203" s="37" t="n">
        <v>1</v>
      </c>
      <c r="H203" s="37" t="n">
        <v>62</v>
      </c>
      <c r="I203" s="37" t="n">
        <v>10.4</v>
      </c>
      <c r="J203" s="37" t="n">
        <v>644.8</v>
      </c>
    </row>
    <row r="204">
      <c r="A204" s="37" t="inlineStr">
        <is>
          <t>TXN-202608-012439</t>
        </is>
      </c>
      <c r="B204" s="37" t="inlineStr">
        <is>
          <t>AC-LP-1003</t>
        </is>
      </c>
      <c r="C204" s="37" t="inlineStr">
        <is>
          <t>WL-01310</t>
        </is>
      </c>
      <c r="D204" s="37" t="inlineStr">
        <is>
          <t>LP-1003</t>
        </is>
      </c>
      <c r="E204" s="37" t="inlineStr">
        <is>
          <t>Ledgport</t>
        </is>
      </c>
      <c r="F204" s="37" t="n">
        <v>57</v>
      </c>
      <c r="G204" s="37" t="n">
        <v>1</v>
      </c>
      <c r="H204" s="37" t="n">
        <v>57</v>
      </c>
      <c r="I204" s="37" t="n">
        <v>10.4</v>
      </c>
      <c r="J204" s="37" t="n">
        <v>592.8</v>
      </c>
    </row>
    <row r="205">
      <c r="A205" s="37" t="inlineStr">
        <is>
          <t>TXN-202608-012506</t>
        </is>
      </c>
      <c r="B205" s="37" t="inlineStr">
        <is>
          <t>AC-LP-1004</t>
        </is>
      </c>
      <c r="C205" s="37" t="inlineStr">
        <is>
          <t>WL-03418</t>
        </is>
      </c>
      <c r="D205" s="37" t="inlineStr">
        <is>
          <t>LP-1004</t>
        </is>
      </c>
      <c r="E205" s="37" t="inlineStr">
        <is>
          <t>Ledgport</t>
        </is>
      </c>
      <c r="F205" s="37" t="n">
        <v>34</v>
      </c>
      <c r="G205" s="37" t="n">
        <v>1</v>
      </c>
      <c r="H205" s="37" t="n">
        <v>34</v>
      </c>
      <c r="I205" s="37" t="n">
        <v>10.4</v>
      </c>
      <c r="J205" s="37" t="n">
        <v>353.6</v>
      </c>
    </row>
    <row r="206">
      <c r="A206" s="37" t="inlineStr">
        <is>
          <t>TXN-202608-012563</t>
        </is>
      </c>
      <c r="B206" s="37" t="inlineStr">
        <is>
          <t>AC-LP-1005</t>
        </is>
      </c>
      <c r="C206" s="37" t="inlineStr">
        <is>
          <t>WL-03728</t>
        </is>
      </c>
      <c r="D206" s="37" t="inlineStr">
        <is>
          <t>LP-1005</t>
        </is>
      </c>
      <c r="E206" s="37" t="inlineStr">
        <is>
          <t>Ledgport</t>
        </is>
      </c>
      <c r="F206" s="37" t="n">
        <v>38</v>
      </c>
      <c r="G206" s="37" t="n">
        <v>1</v>
      </c>
      <c r="H206" s="37" t="n">
        <v>38</v>
      </c>
      <c r="I206" s="37" t="n">
        <v>10.4</v>
      </c>
      <c r="J206" s="37" t="n">
        <v>395.2</v>
      </c>
    </row>
    <row r="207">
      <c r="A207" s="37" t="inlineStr">
        <is>
          <t>TXN-202608-012635</t>
        </is>
      </c>
      <c r="B207" s="37" t="inlineStr">
        <is>
          <t>AC-LP-1006</t>
        </is>
      </c>
      <c r="C207" s="37" t="inlineStr">
        <is>
          <t>WL-02721</t>
        </is>
      </c>
      <c r="D207" s="37" t="inlineStr">
        <is>
          <t>LP-1006</t>
        </is>
      </c>
      <c r="E207" s="37" t="inlineStr">
        <is>
          <t>Ledgport</t>
        </is>
      </c>
      <c r="F207" s="37" t="n">
        <v>36</v>
      </c>
      <c r="G207" s="37" t="n">
        <v>1</v>
      </c>
      <c r="H207" s="37" t="n">
        <v>36</v>
      </c>
      <c r="I207" s="37" t="n">
        <v>10.4</v>
      </c>
      <c r="J207" s="37" t="n">
        <v>374.4</v>
      </c>
    </row>
    <row r="208">
      <c r="A208" s="37" t="inlineStr">
        <is>
          <t>TXN-202608-012709</t>
        </is>
      </c>
      <c r="B208" s="37" t="inlineStr">
        <is>
          <t>AC-LP-1007</t>
        </is>
      </c>
      <c r="C208" s="37" t="inlineStr">
        <is>
          <t>WL-03683</t>
        </is>
      </c>
      <c r="D208" s="37" t="inlineStr">
        <is>
          <t>LP-1007</t>
        </is>
      </c>
      <c r="E208" s="37" t="inlineStr">
        <is>
          <t>Ledgport</t>
        </is>
      </c>
      <c r="F208" s="37" t="n">
        <v>58</v>
      </c>
      <c r="G208" s="37" t="n">
        <v>1</v>
      </c>
      <c r="H208" s="37" t="n">
        <v>58</v>
      </c>
      <c r="I208" s="37" t="n">
        <v>10.4</v>
      </c>
      <c r="J208" s="37" t="n">
        <v>603.2</v>
      </c>
    </row>
    <row r="209">
      <c r="A209" s="37" t="inlineStr">
        <is>
          <t>TXN-202608-012767</t>
        </is>
      </c>
      <c r="B209" s="37" t="inlineStr">
        <is>
          <t>AC-LP-1008</t>
        </is>
      </c>
      <c r="C209" s="37" t="inlineStr">
        <is>
          <t>WL-02719</t>
        </is>
      </c>
      <c r="D209" s="37" t="inlineStr">
        <is>
          <t>LP-1008</t>
        </is>
      </c>
      <c r="E209" s="37" t="inlineStr">
        <is>
          <t>Ledgport</t>
        </is>
      </c>
      <c r="F209" s="37" t="n">
        <v>59</v>
      </c>
      <c r="G209" s="37" t="n">
        <v>1</v>
      </c>
      <c r="H209" s="37" t="n">
        <v>59</v>
      </c>
      <c r="I209" s="37" t="n">
        <v>10.4</v>
      </c>
      <c r="J209" s="37" t="n">
        <v>613.6</v>
      </c>
    </row>
    <row r="210">
      <c r="A210" s="37" t="inlineStr">
        <is>
          <t>TXN-202608-012832</t>
        </is>
      </c>
      <c r="B210" s="37" t="inlineStr">
        <is>
          <t>AC-LP-1009</t>
        </is>
      </c>
      <c r="C210" s="37" t="inlineStr">
        <is>
          <t>WL-01829</t>
        </is>
      </c>
      <c r="D210" s="37" t="inlineStr">
        <is>
          <t>LP-1009</t>
        </is>
      </c>
      <c r="E210" s="37" t="inlineStr">
        <is>
          <t>Ledgport</t>
        </is>
      </c>
      <c r="F210" s="37" t="n">
        <v>32</v>
      </c>
      <c r="G210" s="37" t="n">
        <v>1</v>
      </c>
      <c r="H210" s="37" t="n">
        <v>32</v>
      </c>
      <c r="I210" s="37" t="n">
        <v>10.4</v>
      </c>
      <c r="J210" s="37" t="n">
        <v>332.8</v>
      </c>
    </row>
    <row r="211">
      <c r="A211" s="37" t="inlineStr">
        <is>
          <t>TXN-202608-012877</t>
        </is>
      </c>
      <c r="B211" s="37" t="inlineStr">
        <is>
          <t>AC-LP-1010</t>
        </is>
      </c>
      <c r="C211" s="37" t="inlineStr">
        <is>
          <t>WL-01700</t>
        </is>
      </c>
      <c r="D211" s="37" t="inlineStr">
        <is>
          <t>LP-1010</t>
        </is>
      </c>
      <c r="E211" s="37" t="inlineStr">
        <is>
          <t>Ledgport</t>
        </is>
      </c>
      <c r="F211" s="37" t="n">
        <v>62</v>
      </c>
      <c r="G211" s="37" t="n">
        <v>1</v>
      </c>
      <c r="H211" s="37" t="n">
        <v>62</v>
      </c>
      <c r="I211" s="37" t="n">
        <v>10.4</v>
      </c>
      <c r="J211" s="37" t="n">
        <v>644.8</v>
      </c>
    </row>
    <row r="212">
      <c r="A212" s="37" t="inlineStr">
        <is>
          <t>TXN-202608-012944</t>
        </is>
      </c>
      <c r="B212" s="37" t="inlineStr">
        <is>
          <t>AC-LP-1011</t>
        </is>
      </c>
      <c r="C212" s="37" t="inlineStr">
        <is>
          <t>WL-02925</t>
        </is>
      </c>
      <c r="D212" s="37" t="inlineStr">
        <is>
          <t>LP-1011</t>
        </is>
      </c>
      <c r="E212" s="37" t="inlineStr">
        <is>
          <t>Ledgport</t>
        </is>
      </c>
      <c r="F212" s="37" t="n">
        <v>41</v>
      </c>
      <c r="G212" s="37" t="n">
        <v>1</v>
      </c>
      <c r="H212" s="37" t="n">
        <v>41</v>
      </c>
      <c r="I212" s="37" t="n">
        <v>10.4</v>
      </c>
      <c r="J212" s="37" t="n">
        <v>426.4</v>
      </c>
    </row>
    <row r="213">
      <c r="A213" s="37" t="inlineStr">
        <is>
          <t>TXN-202608-012991</t>
        </is>
      </c>
      <c r="B213" s="37" t="inlineStr">
        <is>
          <t>AC-LP-1012</t>
        </is>
      </c>
      <c r="C213" s="37" t="inlineStr">
        <is>
          <t>WL-02088</t>
        </is>
      </c>
      <c r="D213" s="37" t="inlineStr">
        <is>
          <t>LP-1012</t>
        </is>
      </c>
      <c r="E213" s="37" t="inlineStr">
        <is>
          <t>Ledgport</t>
        </is>
      </c>
      <c r="F213" s="37" t="n">
        <v>29</v>
      </c>
      <c r="G213" s="37" t="n">
        <v>1</v>
      </c>
      <c r="H213" s="37" t="n">
        <v>29</v>
      </c>
      <c r="I213" s="37" t="n">
        <v>10.4</v>
      </c>
      <c r="J213" s="37" t="n">
        <v>301.6</v>
      </c>
    </row>
    <row r="214">
      <c r="A214" s="37" t="inlineStr">
        <is>
          <t>TXN-202608-013039</t>
        </is>
      </c>
      <c r="B214" s="37" t="inlineStr">
        <is>
          <t>AC-LP-1013</t>
        </is>
      </c>
      <c r="C214" s="37" t="inlineStr">
        <is>
          <t>WL-01242</t>
        </is>
      </c>
      <c r="D214" s="37" t="inlineStr">
        <is>
          <t>LP-1013</t>
        </is>
      </c>
      <c r="E214" s="37" t="inlineStr">
        <is>
          <t>Ledgport</t>
        </is>
      </c>
      <c r="F214" s="37" t="n">
        <v>28</v>
      </c>
      <c r="G214" s="37" t="n">
        <v>1</v>
      </c>
      <c r="H214" s="37" t="n">
        <v>28</v>
      </c>
      <c r="I214" s="37" t="n">
        <v>10.4</v>
      </c>
      <c r="J214" s="37" t="n">
        <v>291.2</v>
      </c>
    </row>
    <row r="215">
      <c r="A215" s="37" t="inlineStr">
        <is>
          <t>TXN-202608-013099</t>
        </is>
      </c>
      <c r="B215" s="37" t="inlineStr">
        <is>
          <t>AC-LP-1014</t>
        </is>
      </c>
      <c r="C215" s="37" t="inlineStr">
        <is>
          <t>WL-02535</t>
        </is>
      </c>
      <c r="D215" s="37" t="inlineStr">
        <is>
          <t>LP-1014</t>
        </is>
      </c>
      <c r="E215" s="37" t="inlineStr">
        <is>
          <t>Ledgport</t>
        </is>
      </c>
      <c r="F215" s="37" t="n">
        <v>24</v>
      </c>
      <c r="G215" s="37" t="n">
        <v>1</v>
      </c>
      <c r="H215" s="37" t="n">
        <v>24</v>
      </c>
      <c r="I215" s="37" t="n">
        <v>10.4</v>
      </c>
      <c r="J215" s="37" t="n">
        <v>249.6</v>
      </c>
    </row>
    <row r="216">
      <c r="A216" s="37" t="inlineStr">
        <is>
          <t>TXN-202608-013163</t>
        </is>
      </c>
      <c r="B216" s="37" t="inlineStr">
        <is>
          <t>AC-LP-1016</t>
        </is>
      </c>
      <c r="C216" s="37" t="inlineStr">
        <is>
          <t>WL-03089</t>
        </is>
      </c>
      <c r="D216" s="37" t="inlineStr">
        <is>
          <t>LP-1016</t>
        </is>
      </c>
      <c r="E216" s="37" t="inlineStr">
        <is>
          <t>Ledgport</t>
        </is>
      </c>
      <c r="F216" s="37" t="n">
        <v>28</v>
      </c>
      <c r="G216" s="37" t="n">
        <v>1</v>
      </c>
      <c r="H216" s="37" t="n">
        <v>28</v>
      </c>
      <c r="I216" s="37" t="n">
        <v>10.4</v>
      </c>
      <c r="J216" s="37" t="n">
        <v>291.2</v>
      </c>
    </row>
    <row r="217">
      <c r="A217" s="37" t="inlineStr">
        <is>
          <t>TXN-202608-013209</t>
        </is>
      </c>
      <c r="B217" s="37" t="inlineStr">
        <is>
          <t>AC-LP-1017</t>
        </is>
      </c>
      <c r="C217" s="37" t="inlineStr">
        <is>
          <t>WL-01838</t>
        </is>
      </c>
      <c r="D217" s="37" t="inlineStr">
        <is>
          <t>LP-1017</t>
        </is>
      </c>
      <c r="E217" s="37" t="inlineStr">
        <is>
          <t>Ledgport</t>
        </is>
      </c>
      <c r="F217" s="37" t="n">
        <v>56</v>
      </c>
      <c r="G217" s="37" t="n">
        <v>1</v>
      </c>
      <c r="H217" s="37" t="n">
        <v>56</v>
      </c>
      <c r="I217" s="37" t="n">
        <v>10.4</v>
      </c>
      <c r="J217" s="37" t="n">
        <v>582.4</v>
      </c>
    </row>
    <row r="218">
      <c r="A218" s="37" t="inlineStr">
        <is>
          <t>TXN-202608-013255</t>
        </is>
      </c>
      <c r="B218" s="37" t="inlineStr">
        <is>
          <t>AC-LP-1018</t>
        </is>
      </c>
      <c r="C218" s="37" t="inlineStr">
        <is>
          <t>WL-01243</t>
        </is>
      </c>
      <c r="D218" s="37" t="inlineStr">
        <is>
          <t>LP-1018</t>
        </is>
      </c>
      <c r="E218" s="37" t="inlineStr">
        <is>
          <t>Ledgport</t>
        </is>
      </c>
      <c r="F218" s="37" t="n">
        <v>54</v>
      </c>
      <c r="G218" s="37" t="n">
        <v>1</v>
      </c>
      <c r="H218" s="37" t="n">
        <v>54</v>
      </c>
      <c r="I218" s="37" t="n">
        <v>10.4</v>
      </c>
      <c r="J218" s="37" t="n">
        <v>561.6</v>
      </c>
    </row>
    <row r="219">
      <c r="A219" s="37" t="inlineStr">
        <is>
          <t>TXN-202608-013320</t>
        </is>
      </c>
      <c r="B219" s="37" t="inlineStr">
        <is>
          <t>AC-LP-1020</t>
        </is>
      </c>
      <c r="C219" s="37" t="inlineStr">
        <is>
          <t>WL-01990</t>
        </is>
      </c>
      <c r="D219" s="37" t="inlineStr">
        <is>
          <t>LP-1020</t>
        </is>
      </c>
      <c r="E219" s="37" t="inlineStr">
        <is>
          <t>Ledgport</t>
        </is>
      </c>
      <c r="F219" s="37" t="n">
        <v>32</v>
      </c>
      <c r="G219" s="37" t="n">
        <v>1</v>
      </c>
      <c r="H219" s="37" t="n">
        <v>32</v>
      </c>
      <c r="I219" s="37" t="n">
        <v>10.4</v>
      </c>
      <c r="J219" s="37" t="n">
        <v>332.8</v>
      </c>
    </row>
    <row r="220">
      <c r="A220" s="37" t="inlineStr">
        <is>
          <t>TXN-202608-013399</t>
        </is>
      </c>
      <c r="B220" s="37" t="inlineStr">
        <is>
          <t>AC-LP-1021</t>
        </is>
      </c>
      <c r="C220" s="37" t="inlineStr">
        <is>
          <t>WL-02827</t>
        </is>
      </c>
      <c r="D220" s="37" t="inlineStr">
        <is>
          <t>LP-1021</t>
        </is>
      </c>
      <c r="E220" s="37" t="inlineStr">
        <is>
          <t>Ledgport</t>
        </is>
      </c>
      <c r="F220" s="37" t="n">
        <v>37</v>
      </c>
      <c r="G220" s="37" t="n">
        <v>1</v>
      </c>
      <c r="H220" s="37" t="n">
        <v>37</v>
      </c>
      <c r="I220" s="37" t="n">
        <v>10.4</v>
      </c>
      <c r="J220" s="37" t="n">
        <v>384.8</v>
      </c>
    </row>
    <row r="221">
      <c r="A221" s="37" t="inlineStr">
        <is>
          <t>TXN-202608-013452</t>
        </is>
      </c>
      <c r="B221" s="37" t="inlineStr">
        <is>
          <t>AC-LP-1022</t>
        </is>
      </c>
      <c r="C221" s="37" t="inlineStr">
        <is>
          <t>WL-01807</t>
        </is>
      </c>
      <c r="D221" s="37" t="inlineStr">
        <is>
          <t>LP-1022</t>
        </is>
      </c>
      <c r="E221" s="37" t="inlineStr">
        <is>
          <t>Ledgport</t>
        </is>
      </c>
      <c r="F221" s="37" t="n">
        <v>29</v>
      </c>
      <c r="G221" s="37" t="n">
        <v>1</v>
      </c>
      <c r="H221" s="37" t="n">
        <v>29</v>
      </c>
      <c r="I221" s="37" t="n">
        <v>10.4</v>
      </c>
      <c r="J221" s="37" t="n">
        <v>301.6</v>
      </c>
    </row>
    <row r="222">
      <c r="A222" s="37" t="inlineStr">
        <is>
          <t>TXN-202608-013502</t>
        </is>
      </c>
      <c r="B222" s="37" t="inlineStr">
        <is>
          <t>AC-LP-1023</t>
        </is>
      </c>
      <c r="C222" s="37" t="inlineStr">
        <is>
          <t>WL-01364</t>
        </is>
      </c>
      <c r="D222" s="37" t="inlineStr">
        <is>
          <t>LP-1023</t>
        </is>
      </c>
      <c r="E222" s="37" t="inlineStr">
        <is>
          <t>Ledgport</t>
        </is>
      </c>
      <c r="F222" s="37" t="n">
        <v>24</v>
      </c>
      <c r="G222" s="37" t="n">
        <v>1</v>
      </c>
      <c r="H222" s="37" t="n">
        <v>24</v>
      </c>
      <c r="I222" s="37" t="n">
        <v>10.4</v>
      </c>
      <c r="J222" s="37" t="n">
        <v>249.6</v>
      </c>
    </row>
    <row r="223">
      <c r="A223" s="37" t="inlineStr">
        <is>
          <t>TXN-202608-013548</t>
        </is>
      </c>
      <c r="B223" s="37" t="inlineStr">
        <is>
          <t>AC-LP-1024</t>
        </is>
      </c>
      <c r="C223" s="37" t="inlineStr">
        <is>
          <t>WL-01028</t>
        </is>
      </c>
      <c r="D223" s="37" t="inlineStr">
        <is>
          <t>LP-1024</t>
        </is>
      </c>
      <c r="E223" s="37" t="inlineStr">
        <is>
          <t>Ledgport</t>
        </is>
      </c>
      <c r="F223" s="37" t="n">
        <v>54</v>
      </c>
      <c r="G223" s="37" t="n">
        <v>1</v>
      </c>
      <c r="H223" s="37" t="n">
        <v>54</v>
      </c>
      <c r="I223" s="37" t="n">
        <v>10.4</v>
      </c>
      <c r="J223" s="37" t="n">
        <v>561.6</v>
      </c>
    </row>
    <row r="224">
      <c r="A224" s="37" t="inlineStr">
        <is>
          <t>TXN-202608-013588</t>
        </is>
      </c>
      <c r="B224" s="37" t="inlineStr">
        <is>
          <t>AC-LP-1102</t>
        </is>
      </c>
      <c r="C224" s="37" t="inlineStr">
        <is>
          <t>WL-03792</t>
        </is>
      </c>
      <c r="D224" s="37" t="inlineStr">
        <is>
          <t>LP-1102</t>
        </is>
      </c>
      <c r="E224" s="37" t="inlineStr">
        <is>
          <t>Ledgport</t>
        </is>
      </c>
      <c r="F224" s="37" t="n">
        <v>55</v>
      </c>
      <c r="G224" s="37" t="n">
        <v>1</v>
      </c>
      <c r="H224" s="37" t="n">
        <v>55</v>
      </c>
      <c r="I224" s="37" t="n">
        <v>10.4</v>
      </c>
      <c r="J224" s="37" t="n">
        <v>572</v>
      </c>
    </row>
    <row r="225">
      <c r="A225" s="37" t="inlineStr">
        <is>
          <t>TXN-202608-013657</t>
        </is>
      </c>
      <c r="B225" s="37" t="inlineStr">
        <is>
          <t>AC-LP-1103</t>
        </is>
      </c>
      <c r="C225" s="37" t="inlineStr">
        <is>
          <t>WL-03118</t>
        </is>
      </c>
      <c r="D225" s="37" t="inlineStr">
        <is>
          <t>LP-1103</t>
        </is>
      </c>
      <c r="E225" s="37" t="inlineStr">
        <is>
          <t>Ledgport</t>
        </is>
      </c>
      <c r="F225" s="37" t="n">
        <v>32</v>
      </c>
      <c r="G225" s="37" t="n">
        <v>1</v>
      </c>
      <c r="H225" s="37" t="n">
        <v>32</v>
      </c>
      <c r="I225" s="37" t="n">
        <v>10.4</v>
      </c>
      <c r="J225" s="37" t="n">
        <v>332.8</v>
      </c>
    </row>
    <row r="226">
      <c r="A226" s="37" t="inlineStr">
        <is>
          <t>TXN-202608-013719</t>
        </is>
      </c>
      <c r="B226" s="37" t="inlineStr">
        <is>
          <t>AC-LP-1104</t>
        </is>
      </c>
      <c r="C226" s="37" t="inlineStr">
        <is>
          <t>WL-03003</t>
        </is>
      </c>
      <c r="D226" s="37" t="inlineStr">
        <is>
          <t>LP-1104</t>
        </is>
      </c>
      <c r="E226" s="37" t="inlineStr">
        <is>
          <t>Ledgport</t>
        </is>
      </c>
      <c r="F226" s="37" t="n">
        <v>54</v>
      </c>
      <c r="G226" s="37" t="n">
        <v>1</v>
      </c>
      <c r="H226" s="37" t="n">
        <v>54</v>
      </c>
      <c r="I226" s="37" t="n">
        <v>10.4</v>
      </c>
      <c r="J226" s="37" t="n">
        <v>561.6</v>
      </c>
    </row>
    <row r="227">
      <c r="A227" s="37" t="inlineStr">
        <is>
          <t>TXN-202608-013761</t>
        </is>
      </c>
      <c r="B227" s="37" t="inlineStr">
        <is>
          <t>AC-LP-1105</t>
        </is>
      </c>
      <c r="C227" s="37" t="inlineStr">
        <is>
          <t>WL-02015</t>
        </is>
      </c>
      <c r="D227" s="37" t="inlineStr">
        <is>
          <t>LP-1105</t>
        </is>
      </c>
      <c r="E227" s="37" t="inlineStr">
        <is>
          <t>Ledgport</t>
        </is>
      </c>
      <c r="F227" s="37" t="n">
        <v>49</v>
      </c>
      <c r="G227" s="37" t="n">
        <v>1</v>
      </c>
      <c r="H227" s="37" t="n">
        <v>49</v>
      </c>
      <c r="I227" s="37" t="n">
        <v>10.4</v>
      </c>
      <c r="J227" s="37" t="n">
        <v>509.6</v>
      </c>
    </row>
    <row r="228">
      <c r="A228" s="37" t="inlineStr">
        <is>
          <t>TXN-202608-013807</t>
        </is>
      </c>
      <c r="B228" s="37" t="inlineStr">
        <is>
          <t>AC-LP-1106</t>
        </is>
      </c>
      <c r="C228" s="37" t="inlineStr">
        <is>
          <t>WL-01668</t>
        </is>
      </c>
      <c r="D228" s="37" t="inlineStr">
        <is>
          <t>LP-1106</t>
        </is>
      </c>
      <c r="E228" s="37" t="inlineStr">
        <is>
          <t>Ledgport</t>
        </is>
      </c>
      <c r="F228" s="37" t="n">
        <v>24</v>
      </c>
      <c r="G228" s="37" t="n">
        <v>1</v>
      </c>
      <c r="H228" s="37" t="n">
        <v>24</v>
      </c>
      <c r="I228" s="37" t="n">
        <v>10.4</v>
      </c>
      <c r="J228" s="37" t="n">
        <v>249.6</v>
      </c>
    </row>
    <row r="229">
      <c r="A229" s="37" t="inlineStr">
        <is>
          <t>TXN-202608-013873</t>
        </is>
      </c>
      <c r="B229" s="37" t="inlineStr">
        <is>
          <t>AC-LP-1107</t>
        </is>
      </c>
      <c r="C229" s="37" t="inlineStr">
        <is>
          <t>WL-03768</t>
        </is>
      </c>
      <c r="D229" s="37" t="inlineStr">
        <is>
          <t>LP-1107</t>
        </is>
      </c>
      <c r="E229" s="37" t="inlineStr">
        <is>
          <t>Ledgport</t>
        </is>
      </c>
      <c r="F229" s="37" t="n">
        <v>48</v>
      </c>
      <c r="G229" s="37" t="n">
        <v>1</v>
      </c>
      <c r="H229" s="37" t="n">
        <v>48</v>
      </c>
      <c r="I229" s="37" t="n">
        <v>10.4</v>
      </c>
      <c r="J229" s="37" t="n">
        <v>499.2</v>
      </c>
    </row>
    <row r="230">
      <c r="A230" s="37" t="inlineStr">
        <is>
          <t>TXN-202608-013934</t>
        </is>
      </c>
      <c r="B230" s="37" t="inlineStr">
        <is>
          <t>AC-LP-1108</t>
        </is>
      </c>
      <c r="C230" s="37" t="inlineStr">
        <is>
          <t>WL-02575</t>
        </is>
      </c>
      <c r="D230" s="37" t="inlineStr">
        <is>
          <t>LP-1108</t>
        </is>
      </c>
      <c r="E230" s="37" t="inlineStr">
        <is>
          <t>Ledgport</t>
        </is>
      </c>
      <c r="F230" s="37" t="n">
        <v>32</v>
      </c>
      <c r="G230" s="37" t="n">
        <v>1</v>
      </c>
      <c r="H230" s="37" t="n">
        <v>32</v>
      </c>
      <c r="I230" s="37" t="n">
        <v>10.4</v>
      </c>
      <c r="J230" s="37" t="n">
        <v>332.8</v>
      </c>
    </row>
    <row r="231">
      <c r="A231" s="37" t="inlineStr">
        <is>
          <t>TXN-202608-014015</t>
        </is>
      </c>
      <c r="B231" s="37" t="inlineStr">
        <is>
          <t>AC-LP-1109</t>
        </is>
      </c>
      <c r="C231" s="37" t="inlineStr">
        <is>
          <t>WL-02691</t>
        </is>
      </c>
      <c r="D231" s="37" t="inlineStr">
        <is>
          <t>LP-1109</t>
        </is>
      </c>
      <c r="E231" s="37" t="inlineStr">
        <is>
          <t>Ledgport</t>
        </is>
      </c>
      <c r="F231" s="37" t="n">
        <v>30</v>
      </c>
      <c r="G231" s="37" t="n">
        <v>1</v>
      </c>
      <c r="H231" s="37" t="n">
        <v>30</v>
      </c>
      <c r="I231" s="37" t="n">
        <v>10.4</v>
      </c>
      <c r="J231" s="37" t="n">
        <v>312</v>
      </c>
    </row>
    <row r="232">
      <c r="A232" s="37" t="inlineStr">
        <is>
          <t>TXN-202608-014077</t>
        </is>
      </c>
      <c r="B232" s="37" t="inlineStr">
        <is>
          <t>AC-LP-1110</t>
        </is>
      </c>
      <c r="C232" s="37" t="inlineStr">
        <is>
          <t>WL-01093</t>
        </is>
      </c>
      <c r="D232" s="37" t="inlineStr">
        <is>
          <t>LP-1110</t>
        </is>
      </c>
      <c r="E232" s="37" t="inlineStr">
        <is>
          <t>Ledgport</t>
        </is>
      </c>
      <c r="F232" s="37" t="n">
        <v>35</v>
      </c>
      <c r="G232" s="37" t="n">
        <v>1</v>
      </c>
      <c r="H232" s="37" t="n">
        <v>35</v>
      </c>
      <c r="I232" s="37" t="n">
        <v>10.4</v>
      </c>
      <c r="J232" s="37" t="n">
        <v>364</v>
      </c>
    </row>
    <row r="233">
      <c r="A233" s="37" t="inlineStr">
        <is>
          <t>TXN-202608-014138</t>
        </is>
      </c>
      <c r="B233" s="37" t="inlineStr">
        <is>
          <t>AC-LP-1111</t>
        </is>
      </c>
      <c r="C233" s="37" t="inlineStr">
        <is>
          <t>WL-02766</t>
        </is>
      </c>
      <c r="D233" s="37" t="inlineStr">
        <is>
          <t>LP-1111</t>
        </is>
      </c>
      <c r="E233" s="37" t="inlineStr">
        <is>
          <t>Ledgport</t>
        </is>
      </c>
      <c r="F233" s="37" t="n">
        <v>55</v>
      </c>
      <c r="G233" s="37" t="n">
        <v>1</v>
      </c>
      <c r="H233" s="37" t="n">
        <v>55</v>
      </c>
      <c r="I233" s="37" t="n">
        <v>10.4</v>
      </c>
      <c r="J233" s="37" t="n">
        <v>572</v>
      </c>
    </row>
    <row r="234">
      <c r="A234" s="37" t="inlineStr">
        <is>
          <t>TXN-202608-014207</t>
        </is>
      </c>
      <c r="B234" s="37" t="inlineStr">
        <is>
          <t>AC-LP-1112</t>
        </is>
      </c>
      <c r="C234" s="37" t="inlineStr">
        <is>
          <t>WL-03706</t>
        </is>
      </c>
      <c r="D234" s="37" t="inlineStr">
        <is>
          <t>LP-1112</t>
        </is>
      </c>
      <c r="E234" s="37" t="inlineStr">
        <is>
          <t>Ledgport</t>
        </is>
      </c>
      <c r="F234" s="37" t="n">
        <v>40</v>
      </c>
      <c r="G234" s="37" t="n">
        <v>1</v>
      </c>
      <c r="H234" s="37" t="n">
        <v>40</v>
      </c>
      <c r="I234" s="37" t="n">
        <v>10.4</v>
      </c>
      <c r="J234" s="37" t="n">
        <v>416</v>
      </c>
    </row>
    <row r="235">
      <c r="A235" s="37" t="inlineStr">
        <is>
          <t>TXN-202608-014275</t>
        </is>
      </c>
      <c r="B235" s="37" t="inlineStr">
        <is>
          <t>AC-LP-1113</t>
        </is>
      </c>
      <c r="C235" s="37" t="inlineStr">
        <is>
          <t>WL-02029</t>
        </is>
      </c>
      <c r="D235" s="37" t="inlineStr">
        <is>
          <t>LP-1113</t>
        </is>
      </c>
      <c r="E235" s="37" t="inlineStr">
        <is>
          <t>Ledgport</t>
        </is>
      </c>
      <c r="F235" s="37" t="n">
        <v>24</v>
      </c>
      <c r="G235" s="37" t="n">
        <v>1</v>
      </c>
      <c r="H235" s="37" t="n">
        <v>24</v>
      </c>
      <c r="I235" s="37" t="n">
        <v>10.4</v>
      </c>
      <c r="J235" s="37" t="n">
        <v>249.6</v>
      </c>
    </row>
    <row r="236">
      <c r="A236" s="37" t="inlineStr">
        <is>
          <t>TXN-202608-014329</t>
        </is>
      </c>
      <c r="B236" s="37" t="inlineStr">
        <is>
          <t>AC-LP-1114</t>
        </is>
      </c>
      <c r="C236" s="37" t="inlineStr">
        <is>
          <t>WL-01680</t>
        </is>
      </c>
      <c r="D236" s="37" t="inlineStr">
        <is>
          <t>LP-1114</t>
        </is>
      </c>
      <c r="E236" s="37" t="inlineStr">
        <is>
          <t>Ledgport</t>
        </is>
      </c>
      <c r="F236" s="37" t="n">
        <v>32</v>
      </c>
      <c r="G236" s="37" t="n">
        <v>1</v>
      </c>
      <c r="H236" s="37" t="n">
        <v>32</v>
      </c>
      <c r="I236" s="37" t="n">
        <v>10.4</v>
      </c>
      <c r="J236" s="37" t="n">
        <v>332.8</v>
      </c>
    </row>
    <row r="237">
      <c r="A237" s="37" t="inlineStr">
        <is>
          <t>TXN-202608-014384</t>
        </is>
      </c>
      <c r="B237" s="37" t="inlineStr">
        <is>
          <t>AC-LP-1115</t>
        </is>
      </c>
      <c r="C237" s="37" t="inlineStr">
        <is>
          <t>WL-02792</t>
        </is>
      </c>
      <c r="D237" s="37" t="inlineStr">
        <is>
          <t>LP-1115</t>
        </is>
      </c>
      <c r="E237" s="37" t="inlineStr">
        <is>
          <t>Ledgport</t>
        </is>
      </c>
      <c r="F237" s="37" t="n">
        <v>59</v>
      </c>
      <c r="G237" s="37" t="n">
        <v>1</v>
      </c>
      <c r="H237" s="37" t="n">
        <v>59</v>
      </c>
      <c r="I237" s="37" t="n">
        <v>10.4</v>
      </c>
      <c r="J237" s="37" t="n">
        <v>613.6</v>
      </c>
    </row>
    <row r="238">
      <c r="A238" s="37" t="inlineStr">
        <is>
          <t>TXN-202608-014423</t>
        </is>
      </c>
      <c r="B238" s="37" t="inlineStr">
        <is>
          <t>AC-LP-1116</t>
        </is>
      </c>
      <c r="C238" s="37" t="inlineStr">
        <is>
          <t>WL-03453</t>
        </is>
      </c>
      <c r="D238" s="37" t="inlineStr">
        <is>
          <t>LP-1116</t>
        </is>
      </c>
      <c r="E238" s="37" t="inlineStr">
        <is>
          <t>Ledgport</t>
        </is>
      </c>
      <c r="F238" s="37" t="n">
        <v>37</v>
      </c>
      <c r="G238" s="37" t="n">
        <v>1</v>
      </c>
      <c r="H238" s="37" t="n">
        <v>37</v>
      </c>
      <c r="I238" s="37" t="n">
        <v>10.4</v>
      </c>
      <c r="J238" s="37" t="n">
        <v>384.8</v>
      </c>
    </row>
    <row r="239">
      <c r="A239" s="37" t="inlineStr">
        <is>
          <t>TXN-202608-014478</t>
        </is>
      </c>
      <c r="B239" s="37" t="inlineStr">
        <is>
          <t>AC-LP-1117</t>
        </is>
      </c>
      <c r="C239" s="37" t="inlineStr">
        <is>
          <t>WL-01944</t>
        </is>
      </c>
      <c r="D239" s="37" t="inlineStr">
        <is>
          <t>LP-1117</t>
        </is>
      </c>
      <c r="E239" s="37" t="inlineStr">
        <is>
          <t>Ledgport</t>
        </is>
      </c>
      <c r="F239" s="37" t="n">
        <v>62</v>
      </c>
      <c r="G239" s="37" t="n">
        <v>1</v>
      </c>
      <c r="H239" s="37" t="n">
        <v>62</v>
      </c>
      <c r="I239" s="37" t="n">
        <v>10.4</v>
      </c>
      <c r="J239" s="37" t="n">
        <v>644.8</v>
      </c>
    </row>
    <row r="240">
      <c r="A240" s="37" t="inlineStr">
        <is>
          <t>TXN-202608-014536</t>
        </is>
      </c>
      <c r="B240" s="37" t="inlineStr">
        <is>
          <t>AC-LP-1118</t>
        </is>
      </c>
      <c r="C240" s="37" t="inlineStr">
        <is>
          <t>WL-02489</t>
        </is>
      </c>
      <c r="D240" s="37" t="inlineStr">
        <is>
          <t>LP-1118</t>
        </is>
      </c>
      <c r="E240" s="37" t="inlineStr">
        <is>
          <t>Ledgport</t>
        </is>
      </c>
      <c r="F240" s="37" t="n">
        <v>60</v>
      </c>
      <c r="G240" s="37" t="n">
        <v>1</v>
      </c>
      <c r="H240" s="37" t="n">
        <v>60</v>
      </c>
      <c r="I240" s="37" t="n">
        <v>10.4</v>
      </c>
      <c r="J240" s="37" t="n">
        <v>624</v>
      </c>
    </row>
    <row r="241">
      <c r="A241" s="37" t="inlineStr">
        <is>
          <t>TXN-202608-014593</t>
        </is>
      </c>
      <c r="B241" s="37" t="inlineStr">
        <is>
          <t>AC-LP-1119</t>
        </is>
      </c>
      <c r="C241" s="37" t="inlineStr">
        <is>
          <t>WL-03252</t>
        </is>
      </c>
      <c r="D241" s="37" t="inlineStr">
        <is>
          <t>LP-1119</t>
        </is>
      </c>
      <c r="E241" s="37" t="inlineStr">
        <is>
          <t>Ledgport</t>
        </is>
      </c>
      <c r="F241" s="37" t="n">
        <v>42</v>
      </c>
      <c r="G241" s="37" t="n">
        <v>1</v>
      </c>
      <c r="H241" s="37" t="n">
        <v>42</v>
      </c>
      <c r="I241" s="37" t="n">
        <v>10.4</v>
      </c>
      <c r="J241" s="37" t="n">
        <v>436.8</v>
      </c>
    </row>
    <row r="242">
      <c r="A242" s="37" t="inlineStr">
        <is>
          <t>TXN-202608-014636</t>
        </is>
      </c>
      <c r="B242" s="37" t="inlineStr">
        <is>
          <t>AC-LP-1120</t>
        </is>
      </c>
      <c r="C242" s="37" t="inlineStr">
        <is>
          <t>WL-01021</t>
        </is>
      </c>
      <c r="D242" s="37" t="inlineStr">
        <is>
          <t>LP-1120</t>
        </is>
      </c>
      <c r="E242" s="37" t="inlineStr">
        <is>
          <t>Ledgport</t>
        </is>
      </c>
      <c r="F242" s="37" t="n">
        <v>32</v>
      </c>
      <c r="G242" s="37" t="n">
        <v>1</v>
      </c>
      <c r="H242" s="37" t="n">
        <v>32</v>
      </c>
      <c r="I242" s="37" t="n">
        <v>10.4</v>
      </c>
      <c r="J242" s="37" t="n">
        <v>332.8</v>
      </c>
    </row>
    <row r="243">
      <c r="A243" s="37" t="inlineStr">
        <is>
          <t>TXN-202608-014676</t>
        </is>
      </c>
      <c r="B243" s="37" t="inlineStr">
        <is>
          <t>AC-VB-0101</t>
        </is>
      </c>
      <c r="C243" s="37" t="inlineStr">
        <is>
          <t>WL-03423</t>
        </is>
      </c>
      <c r="D243" s="37" t="inlineStr">
        <is>
          <t>VB-0101</t>
        </is>
      </c>
      <c r="E243" s="37" t="inlineStr">
        <is>
          <t>Vessbank</t>
        </is>
      </c>
      <c r="F243" s="37" t="n">
        <v>61</v>
      </c>
      <c r="G243" s="37" t="n">
        <v>1</v>
      </c>
      <c r="H243" s="37" t="n">
        <v>61</v>
      </c>
      <c r="I243" s="37" t="n">
        <v>10.4</v>
      </c>
      <c r="J243" s="37" t="n">
        <v>634.4</v>
      </c>
    </row>
    <row r="244">
      <c r="A244" s="37" t="inlineStr">
        <is>
          <t>TXN-202608-014731</t>
        </is>
      </c>
      <c r="B244" s="37" t="inlineStr">
        <is>
          <t>AC-VB-0102</t>
        </is>
      </c>
      <c r="C244" s="37" t="inlineStr">
        <is>
          <t>WL-03356</t>
        </is>
      </c>
      <c r="D244" s="37" t="inlineStr">
        <is>
          <t>VB-0102</t>
        </is>
      </c>
      <c r="E244" s="37" t="inlineStr">
        <is>
          <t>Vessbank</t>
        </is>
      </c>
      <c r="F244" s="37" t="n">
        <v>34</v>
      </c>
      <c r="G244" s="37" t="n">
        <v>1</v>
      </c>
      <c r="H244" s="37" t="n">
        <v>34</v>
      </c>
      <c r="I244" s="37" t="n">
        <v>10.4</v>
      </c>
      <c r="J244" s="37" t="n">
        <v>353.6</v>
      </c>
    </row>
    <row r="245">
      <c r="A245" s="37" t="inlineStr">
        <is>
          <t>TXN-202608-014787</t>
        </is>
      </c>
      <c r="B245" s="37" t="inlineStr">
        <is>
          <t>AC-VB-0103</t>
        </is>
      </c>
      <c r="C245" s="37" t="inlineStr">
        <is>
          <t>WL-03152</t>
        </is>
      </c>
      <c r="D245" s="37" t="inlineStr">
        <is>
          <t>VB-0103</t>
        </is>
      </c>
      <c r="E245" s="37" t="inlineStr">
        <is>
          <t>Vessbank</t>
        </is>
      </c>
      <c r="F245" s="37" t="n">
        <v>39</v>
      </c>
      <c r="G245" s="37" t="n">
        <v>1</v>
      </c>
      <c r="H245" s="37" t="n">
        <v>39</v>
      </c>
      <c r="I245" s="37" t="n">
        <v>10.4</v>
      </c>
      <c r="J245" s="37" t="n">
        <v>405.6</v>
      </c>
    </row>
    <row r="246">
      <c r="A246" s="37" t="inlineStr">
        <is>
          <t>TXN-202608-014870</t>
        </is>
      </c>
      <c r="B246" s="37" t="inlineStr">
        <is>
          <t>AC-VB-0105</t>
        </is>
      </c>
      <c r="C246" s="37" t="inlineStr">
        <is>
          <t>WL-03843</t>
        </is>
      </c>
      <c r="D246" s="37" t="inlineStr">
        <is>
          <t>VB-0105</t>
        </is>
      </c>
      <c r="E246" s="37" t="inlineStr">
        <is>
          <t>Vessbank</t>
        </is>
      </c>
      <c r="F246" s="37" t="n">
        <v>54</v>
      </c>
      <c r="G246" s="37" t="n">
        <v>1</v>
      </c>
      <c r="H246" s="37" t="n">
        <v>54</v>
      </c>
      <c r="I246" s="37" t="n">
        <v>10.4</v>
      </c>
      <c r="J246" s="37" t="n">
        <v>561.6</v>
      </c>
    </row>
    <row r="247">
      <c r="A247" s="37" t="inlineStr">
        <is>
          <t>TXN-202608-014949</t>
        </is>
      </c>
      <c r="B247" s="37" t="inlineStr">
        <is>
          <t>AC-VB-0106</t>
        </is>
      </c>
      <c r="C247" s="37" t="inlineStr">
        <is>
          <t>WL-01252</t>
        </is>
      </c>
      <c r="D247" s="37" t="inlineStr">
        <is>
          <t>VB-0106</t>
        </is>
      </c>
      <c r="E247" s="37" t="inlineStr">
        <is>
          <t>Vessbank</t>
        </is>
      </c>
      <c r="F247" s="37" t="n">
        <v>49</v>
      </c>
      <c r="G247" s="37" t="n">
        <v>1</v>
      </c>
      <c r="H247" s="37" t="n">
        <v>49</v>
      </c>
      <c r="I247" s="37" t="n">
        <v>10.4</v>
      </c>
      <c r="J247" s="37" t="n">
        <v>509.6</v>
      </c>
    </row>
    <row r="248">
      <c r="A248" s="37" t="inlineStr">
        <is>
          <t>TXN-202608-015000</t>
        </is>
      </c>
      <c r="B248" s="37" t="inlineStr">
        <is>
          <t>AC-VB-0107</t>
        </is>
      </c>
      <c r="C248" s="37" t="inlineStr">
        <is>
          <t>WL-02845</t>
        </is>
      </c>
      <c r="D248" s="37" t="inlineStr">
        <is>
          <t>VB-0107</t>
        </is>
      </c>
      <c r="E248" s="37" t="inlineStr">
        <is>
          <t>Vessbank</t>
        </is>
      </c>
      <c r="F248" s="37" t="n">
        <v>36</v>
      </c>
      <c r="G248" s="37" t="n">
        <v>1</v>
      </c>
      <c r="H248" s="37" t="n">
        <v>36</v>
      </c>
      <c r="I248" s="37" t="n">
        <v>10.4</v>
      </c>
      <c r="J248" s="37" t="n">
        <v>374.4</v>
      </c>
    </row>
    <row r="249">
      <c r="A249" s="37" t="inlineStr">
        <is>
          <t>TXN-202608-015080</t>
        </is>
      </c>
      <c r="B249" s="37" t="inlineStr">
        <is>
          <t>AC-VB-0108</t>
        </is>
      </c>
      <c r="C249" s="37" t="inlineStr">
        <is>
          <t>WL-03877</t>
        </is>
      </c>
      <c r="D249" s="37" t="inlineStr">
        <is>
          <t>VB-0108</t>
        </is>
      </c>
      <c r="E249" s="37" t="inlineStr">
        <is>
          <t>Vessbank</t>
        </is>
      </c>
      <c r="F249" s="37" t="n">
        <v>32</v>
      </c>
      <c r="G249" s="37" t="n">
        <v>1</v>
      </c>
      <c r="H249" s="37" t="n">
        <v>32</v>
      </c>
      <c r="I249" s="37" t="n">
        <v>10.4</v>
      </c>
      <c r="J249" s="37" t="n">
        <v>332.8</v>
      </c>
    </row>
    <row r="250">
      <c r="A250" s="37" t="inlineStr">
        <is>
          <t>TXN-202608-015133</t>
        </is>
      </c>
      <c r="B250" s="37" t="inlineStr">
        <is>
          <t>AC-VB-0109</t>
        </is>
      </c>
      <c r="C250" s="37" t="inlineStr">
        <is>
          <t>WL-02551</t>
        </is>
      </c>
      <c r="D250" s="37" t="inlineStr">
        <is>
          <t>VB-0109</t>
        </is>
      </c>
      <c r="E250" s="37" t="inlineStr">
        <is>
          <t>Vessbank</t>
        </is>
      </c>
      <c r="F250" s="37" t="n">
        <v>31</v>
      </c>
      <c r="G250" s="37" t="n">
        <v>1</v>
      </c>
      <c r="H250" s="37" t="n">
        <v>31</v>
      </c>
      <c r="I250" s="37" t="n">
        <v>10.4</v>
      </c>
      <c r="J250" s="37" t="n">
        <v>322.4</v>
      </c>
    </row>
    <row r="251">
      <c r="A251" s="37" t="inlineStr">
        <is>
          <t>TXN-202608-015181</t>
        </is>
      </c>
      <c r="B251" s="37" t="inlineStr">
        <is>
          <t>AC-VB-0110</t>
        </is>
      </c>
      <c r="C251" s="37" t="inlineStr">
        <is>
          <t>WL-01895</t>
        </is>
      </c>
      <c r="D251" s="37" t="inlineStr">
        <is>
          <t>VB-0110</t>
        </is>
      </c>
      <c r="E251" s="37" t="inlineStr">
        <is>
          <t>Vessbank</t>
        </is>
      </c>
      <c r="F251" s="37" t="n">
        <v>52</v>
      </c>
      <c r="G251" s="37" t="n">
        <v>1</v>
      </c>
      <c r="H251" s="37" t="n">
        <v>52</v>
      </c>
      <c r="I251" s="37" t="n">
        <v>10.4</v>
      </c>
      <c r="J251" s="37" t="n">
        <v>540.8</v>
      </c>
    </row>
    <row r="252">
      <c r="A252" s="37" t="inlineStr">
        <is>
          <t>TXN-202608-015251</t>
        </is>
      </c>
      <c r="B252" s="37" t="inlineStr">
        <is>
          <t>AC-VB-0111</t>
        </is>
      </c>
      <c r="C252" s="37" t="inlineStr">
        <is>
          <t>WL-03639</t>
        </is>
      </c>
      <c r="D252" s="37" t="inlineStr">
        <is>
          <t>VB-0111</t>
        </is>
      </c>
      <c r="E252" s="37" t="inlineStr">
        <is>
          <t>Vessbank</t>
        </is>
      </c>
      <c r="F252" s="37" t="n">
        <v>39</v>
      </c>
      <c r="G252" s="37" t="n">
        <v>1</v>
      </c>
      <c r="H252" s="37" t="n">
        <v>39</v>
      </c>
      <c r="I252" s="37" t="n">
        <v>10.4</v>
      </c>
      <c r="J252" s="37" t="n">
        <v>405.6</v>
      </c>
    </row>
    <row r="253">
      <c r="A253" s="37" t="inlineStr">
        <is>
          <t>TXN-202608-015323</t>
        </is>
      </c>
      <c r="B253" s="37" t="inlineStr">
        <is>
          <t>AC-VB-0112</t>
        </is>
      </c>
      <c r="C253" s="37" t="inlineStr">
        <is>
          <t>WL-01196</t>
        </is>
      </c>
      <c r="D253" s="37" t="inlineStr">
        <is>
          <t>VB-0112</t>
        </is>
      </c>
      <c r="E253" s="37" t="inlineStr">
        <is>
          <t>Vessbank</t>
        </is>
      </c>
      <c r="F253" s="37" t="n">
        <v>53</v>
      </c>
      <c r="G253" s="37" t="n">
        <v>1</v>
      </c>
      <c r="H253" s="37" t="n">
        <v>53</v>
      </c>
      <c r="I253" s="37" t="n">
        <v>10.4</v>
      </c>
      <c r="J253" s="37" t="n">
        <v>551.2</v>
      </c>
    </row>
    <row r="254">
      <c r="A254" s="37" t="inlineStr">
        <is>
          <t>TXN-202608-015365</t>
        </is>
      </c>
      <c r="B254" s="37" t="inlineStr">
        <is>
          <t>AC-VB-0113</t>
        </is>
      </c>
      <c r="C254" s="37" t="inlineStr">
        <is>
          <t>WL-01600</t>
        </is>
      </c>
      <c r="D254" s="37" t="inlineStr">
        <is>
          <t>VB-0113</t>
        </is>
      </c>
      <c r="E254" s="37" t="inlineStr">
        <is>
          <t>Vessbank</t>
        </is>
      </c>
      <c r="F254" s="37" t="n">
        <v>28</v>
      </c>
      <c r="G254" s="37" t="n">
        <v>1</v>
      </c>
      <c r="H254" s="37" t="n">
        <v>28</v>
      </c>
      <c r="I254" s="37" t="n">
        <v>10.4</v>
      </c>
      <c r="J254" s="37" t="n">
        <v>291.2</v>
      </c>
    </row>
    <row r="255">
      <c r="A255" s="37" t="inlineStr">
        <is>
          <t>TXN-202608-015430</t>
        </is>
      </c>
      <c r="B255" s="37" t="inlineStr">
        <is>
          <t>AC-VB-0114</t>
        </is>
      </c>
      <c r="C255" s="37" t="inlineStr">
        <is>
          <t>WL-02156</t>
        </is>
      </c>
      <c r="D255" s="37" t="inlineStr">
        <is>
          <t>VB-0114</t>
        </is>
      </c>
      <c r="E255" s="37" t="inlineStr">
        <is>
          <t>Vessbank</t>
        </is>
      </c>
      <c r="F255" s="37" t="n">
        <v>41</v>
      </c>
      <c r="G255" s="37" t="n">
        <v>1</v>
      </c>
      <c r="H255" s="37" t="n">
        <v>41</v>
      </c>
      <c r="I255" s="37" t="n">
        <v>10.4</v>
      </c>
      <c r="J255" s="37" t="n">
        <v>426.4</v>
      </c>
    </row>
    <row r="256">
      <c r="A256" s="37" t="inlineStr">
        <is>
          <t>TXN-202608-015500</t>
        </is>
      </c>
      <c r="B256" s="37" t="inlineStr">
        <is>
          <t>AC-VB-0115</t>
        </is>
      </c>
      <c r="C256" s="37" t="inlineStr">
        <is>
          <t>WL-03848</t>
        </is>
      </c>
      <c r="D256" s="37" t="inlineStr">
        <is>
          <t>VB-0115</t>
        </is>
      </c>
      <c r="E256" s="37" t="inlineStr">
        <is>
          <t>Vessbank</t>
        </is>
      </c>
      <c r="F256" s="37" t="n">
        <v>32</v>
      </c>
      <c r="G256" s="37" t="n">
        <v>1</v>
      </c>
      <c r="H256" s="37" t="n">
        <v>32</v>
      </c>
      <c r="I256" s="37" t="n">
        <v>10.4</v>
      </c>
      <c r="J256" s="37" t="n">
        <v>332.8</v>
      </c>
    </row>
    <row r="257">
      <c r="A257" s="37" t="inlineStr">
        <is>
          <t>TXN-202608-015581</t>
        </is>
      </c>
      <c r="B257" s="37" t="inlineStr">
        <is>
          <t>AC-VB-0116</t>
        </is>
      </c>
      <c r="C257" s="37" t="inlineStr">
        <is>
          <t>WL-03426</t>
        </is>
      </c>
      <c r="D257" s="37" t="inlineStr">
        <is>
          <t>VB-0116</t>
        </is>
      </c>
      <c r="E257" s="37" t="inlineStr">
        <is>
          <t>Vessbank</t>
        </is>
      </c>
      <c r="F257" s="37" t="n">
        <v>55</v>
      </c>
      <c r="G257" s="37" t="n">
        <v>1</v>
      </c>
      <c r="H257" s="37" t="n">
        <v>55</v>
      </c>
      <c r="I257" s="37" t="n">
        <v>10.4</v>
      </c>
      <c r="J257" s="37" t="n">
        <v>572</v>
      </c>
    </row>
    <row r="258">
      <c r="A258" s="37" t="inlineStr">
        <is>
          <t>TXN-202608-015658</t>
        </is>
      </c>
      <c r="B258" s="37" t="inlineStr">
        <is>
          <t>AC-VB-0117</t>
        </is>
      </c>
      <c r="C258" s="37" t="inlineStr">
        <is>
          <t>WL-01706</t>
        </is>
      </c>
      <c r="D258" s="37" t="inlineStr">
        <is>
          <t>VB-0117</t>
        </is>
      </c>
      <c r="E258" s="37" t="inlineStr">
        <is>
          <t>Vessbank</t>
        </is>
      </c>
      <c r="F258" s="37" t="n">
        <v>54</v>
      </c>
      <c r="G258" s="37" t="n">
        <v>1</v>
      </c>
      <c r="H258" s="37" t="n">
        <v>54</v>
      </c>
      <c r="I258" s="37" t="n">
        <v>10.4</v>
      </c>
      <c r="J258" s="37" t="n">
        <v>561.6</v>
      </c>
    </row>
    <row r="259">
      <c r="A259" s="37" t="inlineStr">
        <is>
          <t>TXN-202608-015719</t>
        </is>
      </c>
      <c r="B259" s="37" t="inlineStr">
        <is>
          <t>AC-VB-0118</t>
        </is>
      </c>
      <c r="C259" s="37" t="inlineStr">
        <is>
          <t>WL-01297</t>
        </is>
      </c>
      <c r="D259" s="37" t="inlineStr">
        <is>
          <t>VB-0118</t>
        </is>
      </c>
      <c r="E259" s="37" t="inlineStr">
        <is>
          <t>Vessbank</t>
        </is>
      </c>
      <c r="F259" s="37" t="n">
        <v>44</v>
      </c>
      <c r="G259" s="37" t="n">
        <v>1</v>
      </c>
      <c r="H259" s="37" t="n">
        <v>44</v>
      </c>
      <c r="I259" s="37" t="n">
        <v>10.4</v>
      </c>
      <c r="J259" s="37" t="n">
        <v>457.6</v>
      </c>
    </row>
    <row r="260">
      <c r="A260" s="37" t="inlineStr">
        <is>
          <t>TXN-202608-015773</t>
        </is>
      </c>
      <c r="B260" s="37" t="inlineStr">
        <is>
          <t>AC-VB-0119</t>
        </is>
      </c>
      <c r="C260" s="37" t="inlineStr">
        <is>
          <t>WL-01640</t>
        </is>
      </c>
      <c r="D260" s="37" t="inlineStr">
        <is>
          <t>VB-0119</t>
        </is>
      </c>
      <c r="E260" s="37" t="inlineStr">
        <is>
          <t>Vessbank</t>
        </is>
      </c>
      <c r="F260" s="37" t="n">
        <v>62</v>
      </c>
      <c r="G260" s="37" t="n">
        <v>1</v>
      </c>
      <c r="H260" s="37" t="n">
        <v>62</v>
      </c>
      <c r="I260" s="37" t="n">
        <v>10.4</v>
      </c>
      <c r="J260" s="37" t="n">
        <v>644.8</v>
      </c>
    </row>
    <row r="261">
      <c r="A261" s="37" t="inlineStr">
        <is>
          <t>TXN-202608-015849</t>
        </is>
      </c>
      <c r="B261" s="37" t="inlineStr">
        <is>
          <t>AC-VB-0120</t>
        </is>
      </c>
      <c r="C261" s="37" t="inlineStr">
        <is>
          <t>WL-02030</t>
        </is>
      </c>
      <c r="D261" s="37" t="inlineStr">
        <is>
          <t>VB-0120</t>
        </is>
      </c>
      <c r="E261" s="37" t="inlineStr">
        <is>
          <t>Vessbank</t>
        </is>
      </c>
      <c r="F261" s="37" t="n">
        <v>48</v>
      </c>
      <c r="G261" s="37" t="n">
        <v>1</v>
      </c>
      <c r="H261" s="37" t="n">
        <v>48</v>
      </c>
      <c r="I261" s="37" t="n">
        <v>10.4</v>
      </c>
      <c r="J261" s="37" t="n">
        <v>499.2</v>
      </c>
    </row>
    <row r="262">
      <c r="A262" s="37" t="inlineStr">
        <is>
          <t>TXN-202608-015892</t>
        </is>
      </c>
      <c r="B262" s="37" t="inlineStr">
        <is>
          <t>AC-VB-0121</t>
        </is>
      </c>
      <c r="C262" s="37" t="inlineStr">
        <is>
          <t>WL-02857</t>
        </is>
      </c>
      <c r="D262" s="37" t="inlineStr">
        <is>
          <t>VB-0121</t>
        </is>
      </c>
      <c r="E262" s="37" t="inlineStr">
        <is>
          <t>Vessbank</t>
        </is>
      </c>
      <c r="F262" s="37" t="n">
        <v>57</v>
      </c>
      <c r="G262" s="37" t="n">
        <v>1</v>
      </c>
      <c r="H262" s="37" t="n">
        <v>57</v>
      </c>
      <c r="I262" s="37" t="n">
        <v>10.4</v>
      </c>
      <c r="J262" s="37" t="n">
        <v>592.8</v>
      </c>
    </row>
    <row r="263">
      <c r="A263" s="37" t="inlineStr">
        <is>
          <t>TXN-202608-015963</t>
        </is>
      </c>
      <c r="B263" s="37" t="inlineStr">
        <is>
          <t>AC-VB-0122</t>
        </is>
      </c>
      <c r="C263" s="37" t="inlineStr">
        <is>
          <t>WL-01705</t>
        </is>
      </c>
      <c r="D263" s="37" t="inlineStr">
        <is>
          <t>VB-0122</t>
        </is>
      </c>
      <c r="E263" s="37" t="inlineStr">
        <is>
          <t>Vessbank</t>
        </is>
      </c>
      <c r="F263" s="37" t="n">
        <v>40</v>
      </c>
      <c r="G263" s="37" t="n">
        <v>1</v>
      </c>
      <c r="H263" s="37" t="n">
        <v>40</v>
      </c>
      <c r="I263" s="37" t="n">
        <v>10.4</v>
      </c>
      <c r="J263" s="37" t="n">
        <v>416</v>
      </c>
    </row>
    <row r="264">
      <c r="A264" s="37" t="inlineStr">
        <is>
          <t>TXN-202608-016006</t>
        </is>
      </c>
      <c r="B264" s="37" t="inlineStr">
        <is>
          <t>AC-VB-0123</t>
        </is>
      </c>
      <c r="C264" s="37" t="inlineStr">
        <is>
          <t>WL-03171</t>
        </is>
      </c>
      <c r="D264" s="37" t="inlineStr">
        <is>
          <t>VB-0123</t>
        </is>
      </c>
      <c r="E264" s="37" t="inlineStr">
        <is>
          <t>Vessbank</t>
        </is>
      </c>
      <c r="F264" s="37" t="n">
        <v>59</v>
      </c>
      <c r="G264" s="37" t="n">
        <v>1</v>
      </c>
      <c r="H264" s="37" t="n">
        <v>59</v>
      </c>
      <c r="I264" s="37" t="n">
        <v>10.4</v>
      </c>
      <c r="J264" s="37" t="n">
        <v>613.6</v>
      </c>
    </row>
    <row r="265">
      <c r="A265" s="37" t="inlineStr">
        <is>
          <t>TXN-202608-016050</t>
        </is>
      </c>
      <c r="B265" s="37" t="inlineStr">
        <is>
          <t>AC-VB-0124</t>
        </is>
      </c>
      <c r="C265" s="37" t="inlineStr">
        <is>
          <t>WL-03145</t>
        </is>
      </c>
      <c r="D265" s="37" t="inlineStr">
        <is>
          <t>VB-0124</t>
        </is>
      </c>
      <c r="E265" s="37" t="inlineStr">
        <is>
          <t>Vessbank</t>
        </is>
      </c>
      <c r="F265" s="37" t="n">
        <v>47</v>
      </c>
      <c r="G265" s="37" t="n">
        <v>1</v>
      </c>
      <c r="H265" s="37" t="n">
        <v>47</v>
      </c>
      <c r="I265" s="37" t="n">
        <v>10.4</v>
      </c>
      <c r="J265" s="37" t="n">
        <v>488.8</v>
      </c>
    </row>
    <row r="266">
      <c r="A266" s="37" t="inlineStr">
        <is>
          <t>TXN-202608-016112</t>
        </is>
      </c>
      <c r="B266" s="37" t="inlineStr">
        <is>
          <t>AC-VB-0201</t>
        </is>
      </c>
      <c r="C266" s="37" t="inlineStr">
        <is>
          <t>WL-01629</t>
        </is>
      </c>
      <c r="D266" s="37" t="inlineStr">
        <is>
          <t>VB-0201</t>
        </is>
      </c>
      <c r="E266" s="37" t="inlineStr">
        <is>
          <t>Vessbank</t>
        </is>
      </c>
      <c r="F266" s="37" t="n">
        <v>43</v>
      </c>
      <c r="G266" s="37" t="n">
        <v>1</v>
      </c>
      <c r="H266" s="37" t="n">
        <v>43</v>
      </c>
      <c r="I266" s="37" t="n">
        <v>10.4</v>
      </c>
      <c r="J266" s="37" t="n">
        <v>447.2</v>
      </c>
    </row>
    <row r="267">
      <c r="A267" s="37" t="inlineStr">
        <is>
          <t>TXN-202608-016174</t>
        </is>
      </c>
      <c r="B267" s="37" t="inlineStr">
        <is>
          <t>AC-VB-0202</t>
        </is>
      </c>
      <c r="C267" s="37" t="inlineStr">
        <is>
          <t>WL-02677</t>
        </is>
      </c>
      <c r="D267" s="37" t="inlineStr">
        <is>
          <t>VB-0202</t>
        </is>
      </c>
      <c r="E267" s="37" t="inlineStr">
        <is>
          <t>Vessbank</t>
        </is>
      </c>
      <c r="F267" s="37" t="n">
        <v>40</v>
      </c>
      <c r="G267" s="37" t="n">
        <v>1</v>
      </c>
      <c r="H267" s="37" t="n">
        <v>40</v>
      </c>
      <c r="I267" s="37" t="n">
        <v>10.4</v>
      </c>
      <c r="J267" s="37" t="n">
        <v>416</v>
      </c>
    </row>
    <row r="268">
      <c r="A268" s="37" t="inlineStr">
        <is>
          <t>TXN-202608-016222</t>
        </is>
      </c>
      <c r="B268" s="37" t="inlineStr">
        <is>
          <t>AC-VB-0203</t>
        </is>
      </c>
      <c r="C268" s="37" t="inlineStr">
        <is>
          <t>WL-03705</t>
        </is>
      </c>
      <c r="D268" s="37" t="inlineStr">
        <is>
          <t>VB-0203</t>
        </is>
      </c>
      <c r="E268" s="37" t="inlineStr">
        <is>
          <t>Vessbank</t>
        </is>
      </c>
      <c r="F268" s="37" t="n">
        <v>36</v>
      </c>
      <c r="G268" s="37" t="n">
        <v>1</v>
      </c>
      <c r="H268" s="37" t="n">
        <v>36</v>
      </c>
      <c r="I268" s="37" t="n">
        <v>10.4</v>
      </c>
      <c r="J268" s="37" t="n">
        <v>374.4</v>
      </c>
    </row>
    <row r="269">
      <c r="A269" s="37" t="inlineStr">
        <is>
          <t>TXN-202608-016304</t>
        </is>
      </c>
      <c r="B269" s="37" t="inlineStr">
        <is>
          <t>AC-VB-0204</t>
        </is>
      </c>
      <c r="C269" s="37" t="inlineStr">
        <is>
          <t>WL-03015</t>
        </is>
      </c>
      <c r="D269" s="37" t="inlineStr">
        <is>
          <t>VB-0204</t>
        </is>
      </c>
      <c r="E269" s="37" t="inlineStr">
        <is>
          <t>Vessbank</t>
        </is>
      </c>
      <c r="F269" s="37" t="n">
        <v>42</v>
      </c>
      <c r="G269" s="37" t="n">
        <v>1</v>
      </c>
      <c r="H269" s="37" t="n">
        <v>42</v>
      </c>
      <c r="I269" s="37" t="n">
        <v>10.4</v>
      </c>
      <c r="J269" s="37" t="n">
        <v>436.8</v>
      </c>
    </row>
    <row r="270">
      <c r="A270" s="37" t="inlineStr">
        <is>
          <t>TXN-202608-016360</t>
        </is>
      </c>
      <c r="B270" s="37" t="inlineStr">
        <is>
          <t>AC-VB-0205</t>
        </is>
      </c>
      <c r="C270" s="37" t="inlineStr">
        <is>
          <t>WL-02622</t>
        </is>
      </c>
      <c r="D270" s="37" t="inlineStr">
        <is>
          <t>VB-0205</t>
        </is>
      </c>
      <c r="E270" s="37" t="inlineStr">
        <is>
          <t>Vessbank</t>
        </is>
      </c>
      <c r="F270" s="37" t="n">
        <v>35</v>
      </c>
      <c r="G270" s="37" t="n">
        <v>1</v>
      </c>
      <c r="H270" s="37" t="n">
        <v>35</v>
      </c>
      <c r="I270" s="37" t="n">
        <v>10.4</v>
      </c>
      <c r="J270" s="37" t="n">
        <v>364</v>
      </c>
    </row>
    <row r="271">
      <c r="A271" s="37" t="inlineStr">
        <is>
          <t>TXN-202608-016410</t>
        </is>
      </c>
      <c r="B271" s="37" t="inlineStr">
        <is>
          <t>AC-VB-0206</t>
        </is>
      </c>
      <c r="C271" s="37" t="inlineStr">
        <is>
          <t>WL-01377</t>
        </is>
      </c>
      <c r="D271" s="37" t="inlineStr">
        <is>
          <t>VB-0206</t>
        </is>
      </c>
      <c r="E271" s="37" t="inlineStr">
        <is>
          <t>Vessbank</t>
        </is>
      </c>
      <c r="F271" s="37" t="n">
        <v>28</v>
      </c>
      <c r="G271" s="37" t="n">
        <v>1</v>
      </c>
      <c r="H271" s="37" t="n">
        <v>28</v>
      </c>
      <c r="I271" s="37" t="n">
        <v>10.4</v>
      </c>
      <c r="J271" s="37" t="n">
        <v>291.2</v>
      </c>
    </row>
    <row r="272">
      <c r="A272" s="37" t="inlineStr">
        <is>
          <t>TXN-202608-016464</t>
        </is>
      </c>
      <c r="B272" s="37" t="inlineStr">
        <is>
          <t>AC-VB-0207</t>
        </is>
      </c>
      <c r="C272" s="37" t="inlineStr">
        <is>
          <t>WL-03580</t>
        </is>
      </c>
      <c r="D272" s="37" t="inlineStr">
        <is>
          <t>VB-0207</t>
        </is>
      </c>
      <c r="E272" s="37" t="inlineStr">
        <is>
          <t>Vessbank</t>
        </is>
      </c>
      <c r="F272" s="37" t="n">
        <v>50</v>
      </c>
      <c r="G272" s="37" t="n">
        <v>1</v>
      </c>
      <c r="H272" s="37" t="n">
        <v>50</v>
      </c>
      <c r="I272" s="37" t="n">
        <v>10.4</v>
      </c>
      <c r="J272" s="37" t="n">
        <v>520</v>
      </c>
    </row>
    <row r="273">
      <c r="A273" s="37" t="inlineStr">
        <is>
          <t>TXN-202608-016515</t>
        </is>
      </c>
      <c r="B273" s="37" t="inlineStr">
        <is>
          <t>AC-VB-0208</t>
        </is>
      </c>
      <c r="C273" s="37" t="inlineStr">
        <is>
          <t>WL-03499</t>
        </is>
      </c>
      <c r="D273" s="37" t="inlineStr">
        <is>
          <t>VB-0208</t>
        </is>
      </c>
      <c r="E273" s="37" t="inlineStr">
        <is>
          <t>Vessbank</t>
        </is>
      </c>
      <c r="F273" s="37" t="n">
        <v>40</v>
      </c>
      <c r="G273" s="37" t="n">
        <v>1</v>
      </c>
      <c r="H273" s="37" t="n">
        <v>40</v>
      </c>
      <c r="I273" s="37" t="n">
        <v>10.4</v>
      </c>
      <c r="J273" s="37" t="n">
        <v>416</v>
      </c>
    </row>
    <row r="274">
      <c r="A274" s="37" t="inlineStr">
        <is>
          <t>TXN-202608-016568</t>
        </is>
      </c>
      <c r="B274" s="37" t="inlineStr">
        <is>
          <t>AC-VB-0209</t>
        </is>
      </c>
      <c r="C274" s="37" t="inlineStr">
        <is>
          <t>WL-02734</t>
        </is>
      </c>
      <c r="D274" s="37" t="inlineStr">
        <is>
          <t>VB-0209</t>
        </is>
      </c>
      <c r="E274" s="37" t="inlineStr">
        <is>
          <t>Vessbank</t>
        </is>
      </c>
      <c r="F274" s="37" t="n">
        <v>39</v>
      </c>
      <c r="G274" s="37" t="n">
        <v>1</v>
      </c>
      <c r="H274" s="37" t="n">
        <v>39</v>
      </c>
      <c r="I274" s="37" t="n">
        <v>10.4</v>
      </c>
      <c r="J274" s="37" t="n">
        <v>405.6</v>
      </c>
    </row>
    <row r="275">
      <c r="A275" s="37" t="inlineStr">
        <is>
          <t>TXN-202608-016611</t>
        </is>
      </c>
      <c r="B275" s="37" t="inlineStr">
        <is>
          <t>AC-VB-0210</t>
        </is>
      </c>
      <c r="C275" s="37" t="inlineStr">
        <is>
          <t>WL-02868</t>
        </is>
      </c>
      <c r="D275" s="37" t="inlineStr">
        <is>
          <t>VB-0210</t>
        </is>
      </c>
      <c r="E275" s="37" t="inlineStr">
        <is>
          <t>Vessbank</t>
        </is>
      </c>
      <c r="F275" s="37" t="n">
        <v>28</v>
      </c>
      <c r="G275" s="37" t="n">
        <v>1</v>
      </c>
      <c r="H275" s="37" t="n">
        <v>28</v>
      </c>
      <c r="I275" s="37" t="n">
        <v>10.4</v>
      </c>
      <c r="J275" s="37" t="n">
        <v>291.2</v>
      </c>
    </row>
    <row r="276">
      <c r="A276" s="37" t="inlineStr">
        <is>
          <t>TXN-202608-016682</t>
        </is>
      </c>
      <c r="B276" s="37" t="inlineStr">
        <is>
          <t>AC-VB-0211</t>
        </is>
      </c>
      <c r="C276" s="37" t="inlineStr">
        <is>
          <t>WL-02206</t>
        </is>
      </c>
      <c r="D276" s="37" t="inlineStr">
        <is>
          <t>VB-0211</t>
        </is>
      </c>
      <c r="E276" s="37" t="inlineStr">
        <is>
          <t>Vessbank</t>
        </is>
      </c>
      <c r="F276" s="37" t="n">
        <v>40</v>
      </c>
      <c r="G276" s="37" t="n">
        <v>1</v>
      </c>
      <c r="H276" s="37" t="n">
        <v>40</v>
      </c>
      <c r="I276" s="37" t="n">
        <v>10.4</v>
      </c>
      <c r="J276" s="37" t="n">
        <v>416</v>
      </c>
    </row>
    <row r="277">
      <c r="A277" s="37" t="inlineStr">
        <is>
          <t>TXN-202608-016761</t>
        </is>
      </c>
      <c r="B277" s="37" t="inlineStr">
        <is>
          <t>AC-VB-0212</t>
        </is>
      </c>
      <c r="C277" s="37" t="inlineStr">
        <is>
          <t>WL-02983</t>
        </is>
      </c>
      <c r="D277" s="37" t="inlineStr">
        <is>
          <t>VB-0212</t>
        </is>
      </c>
      <c r="E277" s="37" t="inlineStr">
        <is>
          <t>Vessbank</t>
        </is>
      </c>
      <c r="F277" s="37" t="n">
        <v>58</v>
      </c>
      <c r="G277" s="37" t="n">
        <v>1</v>
      </c>
      <c r="H277" s="37" t="n">
        <v>58</v>
      </c>
      <c r="I277" s="37" t="n">
        <v>10.4</v>
      </c>
      <c r="J277" s="37" t="n">
        <v>603.2</v>
      </c>
    </row>
    <row r="278">
      <c r="A278" s="37" t="inlineStr">
        <is>
          <t>TXN-202608-016822</t>
        </is>
      </c>
      <c r="B278" s="37" t="inlineStr">
        <is>
          <t>AC-VB-0213</t>
        </is>
      </c>
      <c r="C278" s="37" t="inlineStr">
        <is>
          <t>WL-01002</t>
        </is>
      </c>
      <c r="D278" s="37" t="inlineStr">
        <is>
          <t>VB-0213</t>
        </is>
      </c>
      <c r="E278" s="37" t="inlineStr">
        <is>
          <t>Vessbank</t>
        </is>
      </c>
      <c r="F278" s="37" t="n">
        <v>39</v>
      </c>
      <c r="G278" s="37" t="n">
        <v>1</v>
      </c>
      <c r="H278" s="37" t="n">
        <v>39</v>
      </c>
      <c r="I278" s="37" t="n">
        <v>10.4</v>
      </c>
      <c r="J278" s="37" t="n">
        <v>405.6</v>
      </c>
    </row>
    <row r="279">
      <c r="A279" s="37" t="inlineStr">
        <is>
          <t>TXN-202608-016902</t>
        </is>
      </c>
      <c r="B279" s="37" t="inlineStr">
        <is>
          <t>AC-VB-0214</t>
        </is>
      </c>
      <c r="C279" s="37" t="inlineStr">
        <is>
          <t>WL-01871</t>
        </is>
      </c>
      <c r="D279" s="37" t="inlineStr">
        <is>
          <t>VB-0214</t>
        </is>
      </c>
      <c r="E279" s="37" t="inlineStr">
        <is>
          <t>Vessbank</t>
        </is>
      </c>
      <c r="F279" s="37" t="n">
        <v>61</v>
      </c>
      <c r="G279" s="37" t="n">
        <v>1</v>
      </c>
      <c r="H279" s="37" t="n">
        <v>61</v>
      </c>
      <c r="I279" s="37" t="n">
        <v>10.4</v>
      </c>
      <c r="J279" s="37" t="n">
        <v>634.4</v>
      </c>
    </row>
    <row r="280">
      <c r="A280" s="37" t="inlineStr">
        <is>
          <t>TXN-202608-016986</t>
        </is>
      </c>
      <c r="B280" s="37" t="inlineStr">
        <is>
          <t>AC-VB-0215</t>
        </is>
      </c>
      <c r="C280" s="37" t="inlineStr">
        <is>
          <t>WL-03364</t>
        </is>
      </c>
      <c r="D280" s="37" t="inlineStr">
        <is>
          <t>VB-0215</t>
        </is>
      </c>
      <c r="E280" s="37" t="inlineStr">
        <is>
          <t>Vessbank</t>
        </is>
      </c>
      <c r="F280" s="37" t="n">
        <v>28</v>
      </c>
      <c r="G280" s="37" t="n">
        <v>1</v>
      </c>
      <c r="H280" s="37" t="n">
        <v>28</v>
      </c>
      <c r="I280" s="37" t="n">
        <v>10.4</v>
      </c>
      <c r="J280" s="37" t="n">
        <v>291.2</v>
      </c>
    </row>
    <row r="281">
      <c r="A281" s="37" t="inlineStr">
        <is>
          <t>TXN-202608-017048</t>
        </is>
      </c>
      <c r="B281" s="37" t="inlineStr">
        <is>
          <t>AC-VB-0216</t>
        </is>
      </c>
      <c r="C281" s="37" t="inlineStr">
        <is>
          <t>WL-02253</t>
        </is>
      </c>
      <c r="D281" s="37" t="inlineStr">
        <is>
          <t>VB-0216</t>
        </is>
      </c>
      <c r="E281" s="37" t="inlineStr">
        <is>
          <t>Vessbank</t>
        </is>
      </c>
      <c r="F281" s="37" t="n">
        <v>40</v>
      </c>
      <c r="G281" s="37" t="n">
        <v>1</v>
      </c>
      <c r="H281" s="37" t="n">
        <v>40</v>
      </c>
      <c r="I281" s="37" t="n">
        <v>10.4</v>
      </c>
      <c r="J281" s="37" t="n">
        <v>416</v>
      </c>
    </row>
    <row r="282">
      <c r="A282" s="37" t="inlineStr">
        <is>
          <t>TXN-202608-017085</t>
        </is>
      </c>
      <c r="B282" s="37" t="inlineStr">
        <is>
          <t>AC-VB-0217</t>
        </is>
      </c>
      <c r="C282" s="37" t="inlineStr">
        <is>
          <t>WL-03383</t>
        </is>
      </c>
      <c r="D282" s="37" t="inlineStr">
        <is>
          <t>VB-0217</t>
        </is>
      </c>
      <c r="E282" s="37" t="inlineStr">
        <is>
          <t>Vessbank</t>
        </is>
      </c>
      <c r="F282" s="37" t="n">
        <v>39</v>
      </c>
      <c r="G282" s="37" t="n">
        <v>1</v>
      </c>
      <c r="H282" s="37" t="n">
        <v>39</v>
      </c>
      <c r="I282" s="37" t="n">
        <v>10.4</v>
      </c>
      <c r="J282" s="37" t="n">
        <v>405.6</v>
      </c>
    </row>
    <row r="283">
      <c r="A283" s="37" t="inlineStr">
        <is>
          <t>TXN-202608-017128</t>
        </is>
      </c>
      <c r="B283" s="37" t="inlineStr">
        <is>
          <t>AC-VB-0218</t>
        </is>
      </c>
      <c r="C283" s="37" t="inlineStr">
        <is>
          <t>WL-02534</t>
        </is>
      </c>
      <c r="D283" s="37" t="inlineStr">
        <is>
          <t>VB-0218</t>
        </is>
      </c>
      <c r="E283" s="37" t="inlineStr">
        <is>
          <t>Vessbank</t>
        </is>
      </c>
      <c r="F283" s="37" t="n">
        <v>27</v>
      </c>
      <c r="G283" s="37" t="n">
        <v>1</v>
      </c>
      <c r="H283" s="37" t="n">
        <v>27</v>
      </c>
      <c r="I283" s="37" t="n">
        <v>10.4</v>
      </c>
      <c r="J283" s="37" t="n">
        <v>280.8</v>
      </c>
    </row>
    <row r="284">
      <c r="A284" s="37" t="inlineStr">
        <is>
          <t>TXN-202608-017192</t>
        </is>
      </c>
      <c r="B284" s="37" t="inlineStr">
        <is>
          <t>AC-VB-0219</t>
        </is>
      </c>
      <c r="C284" s="37" t="inlineStr">
        <is>
          <t>WL-02980</t>
        </is>
      </c>
      <c r="D284" s="37" t="inlineStr">
        <is>
          <t>VB-0219</t>
        </is>
      </c>
      <c r="E284" s="37" t="inlineStr">
        <is>
          <t>Vessbank</t>
        </is>
      </c>
      <c r="F284" s="37" t="n">
        <v>48</v>
      </c>
      <c r="G284" s="37" t="n">
        <v>1</v>
      </c>
      <c r="H284" s="37" t="n">
        <v>48</v>
      </c>
      <c r="I284" s="37" t="n">
        <v>10.4</v>
      </c>
      <c r="J284" s="37" t="n">
        <v>499.2</v>
      </c>
    </row>
    <row r="285">
      <c r="A285" s="37" t="inlineStr">
        <is>
          <t>TXN-202608-017235</t>
        </is>
      </c>
      <c r="B285" s="37" t="inlineStr">
        <is>
          <t>AC-VB-0220</t>
        </is>
      </c>
      <c r="C285" s="37" t="inlineStr">
        <is>
          <t>WL-02537</t>
        </is>
      </c>
      <c r="D285" s="37" t="inlineStr">
        <is>
          <t>VB-0220</t>
        </is>
      </c>
      <c r="E285" s="37" t="inlineStr">
        <is>
          <t>Vessbank</t>
        </is>
      </c>
      <c r="F285" s="37" t="n">
        <v>28</v>
      </c>
      <c r="G285" s="37" t="n">
        <v>1</v>
      </c>
      <c r="H285" s="37" t="n">
        <v>28</v>
      </c>
      <c r="I285" s="37" t="n">
        <v>10.4</v>
      </c>
      <c r="J285" s="37" t="n">
        <v>291.2</v>
      </c>
    </row>
    <row r="286">
      <c r="A286" s="37" t="inlineStr">
        <is>
          <t>TXN-202608-017306</t>
        </is>
      </c>
      <c r="B286" s="37" t="inlineStr">
        <is>
          <t>AC-VB-0221</t>
        </is>
      </c>
      <c r="C286" s="37" t="inlineStr">
        <is>
          <t>WL-01130</t>
        </is>
      </c>
      <c r="D286" s="37" t="inlineStr">
        <is>
          <t>VB-0221</t>
        </is>
      </c>
      <c r="E286" s="37" t="inlineStr">
        <is>
          <t>Vessbank</t>
        </is>
      </c>
      <c r="F286" s="37" t="n">
        <v>32</v>
      </c>
      <c r="G286" s="37" t="n">
        <v>1</v>
      </c>
      <c r="H286" s="37" t="n">
        <v>32</v>
      </c>
      <c r="I286" s="37" t="n">
        <v>10.4</v>
      </c>
      <c r="J286" s="37" t="n">
        <v>332.8</v>
      </c>
    </row>
    <row r="287">
      <c r="A287" s="37" t="inlineStr">
        <is>
          <t>TXN-202608-017366</t>
        </is>
      </c>
      <c r="B287" s="37" t="inlineStr">
        <is>
          <t>AC-VB-0222</t>
        </is>
      </c>
      <c r="C287" s="37" t="inlineStr">
        <is>
          <t>WL-02331</t>
        </is>
      </c>
      <c r="D287" s="37" t="inlineStr">
        <is>
          <t>VB-0222</t>
        </is>
      </c>
      <c r="E287" s="37" t="inlineStr">
        <is>
          <t>Vessbank</t>
        </is>
      </c>
      <c r="F287" s="37" t="n">
        <v>62</v>
      </c>
      <c r="G287" s="37" t="n">
        <v>1</v>
      </c>
      <c r="H287" s="37" t="n">
        <v>62</v>
      </c>
      <c r="I287" s="37" t="n">
        <v>10.4</v>
      </c>
      <c r="J287" s="37" t="n">
        <v>644.8</v>
      </c>
    </row>
    <row r="288">
      <c r="A288" s="37" t="inlineStr">
        <is>
          <t>TXN-202608-017445</t>
        </is>
      </c>
      <c r="B288" s="37" t="inlineStr">
        <is>
          <t>AC-VB-0223</t>
        </is>
      </c>
      <c r="C288" s="37" t="inlineStr">
        <is>
          <t>WL-02078</t>
        </is>
      </c>
      <c r="D288" s="37" t="inlineStr">
        <is>
          <t>VB-0223</t>
        </is>
      </c>
      <c r="E288" s="37" t="inlineStr">
        <is>
          <t>Vessbank</t>
        </is>
      </c>
      <c r="F288" s="37" t="n">
        <v>32</v>
      </c>
      <c r="G288" s="37" t="n">
        <v>1</v>
      </c>
      <c r="H288" s="37" t="n">
        <v>32</v>
      </c>
      <c r="I288" s="37" t="n">
        <v>10.4</v>
      </c>
      <c r="J288" s="37" t="n">
        <v>332.8</v>
      </c>
    </row>
    <row r="289">
      <c r="A289" s="37" t="inlineStr">
        <is>
          <t>TXN-202608-017488</t>
        </is>
      </c>
      <c r="B289" s="37" t="inlineStr">
        <is>
          <t>AC-VB-0224</t>
        </is>
      </c>
      <c r="C289" s="37" t="inlineStr">
        <is>
          <t>WL-01263</t>
        </is>
      </c>
      <c r="D289" s="37" t="inlineStr">
        <is>
          <t>VB-0224</t>
        </is>
      </c>
      <c r="E289" s="37" t="inlineStr">
        <is>
          <t>Vessbank</t>
        </is>
      </c>
      <c r="F289" s="37" t="n">
        <v>28</v>
      </c>
      <c r="G289" s="37" t="n">
        <v>1</v>
      </c>
      <c r="H289" s="37" t="n">
        <v>28</v>
      </c>
      <c r="I289" s="37" t="n">
        <v>10.4</v>
      </c>
      <c r="J289" s="37" t="n">
        <v>291.2</v>
      </c>
    </row>
    <row r="290">
      <c r="A290" s="37" t="inlineStr">
        <is>
          <t>TXN-202608-017533</t>
        </is>
      </c>
      <c r="B290" s="37" t="inlineStr">
        <is>
          <t>AC-VB-0302</t>
        </is>
      </c>
      <c r="C290" s="37" t="inlineStr">
        <is>
          <t>WL-01447</t>
        </is>
      </c>
      <c r="D290" s="37" t="inlineStr">
        <is>
          <t>VB-0302</t>
        </is>
      </c>
      <c r="E290" s="37" t="inlineStr">
        <is>
          <t>Vessbank</t>
        </is>
      </c>
      <c r="F290" s="37" t="n">
        <v>42</v>
      </c>
      <c r="G290" s="37" t="n">
        <v>1</v>
      </c>
      <c r="H290" s="37" t="n">
        <v>42</v>
      </c>
      <c r="I290" s="37" t="n">
        <v>10.4</v>
      </c>
      <c r="J290" s="37" t="n">
        <v>436.8</v>
      </c>
    </row>
    <row r="291">
      <c r="A291" s="37" t="inlineStr">
        <is>
          <t>TXN-202608-017584</t>
        </is>
      </c>
      <c r="B291" s="37" t="inlineStr">
        <is>
          <t>AC-VB-0303</t>
        </is>
      </c>
      <c r="C291" s="37" t="inlineStr">
        <is>
          <t>WL-01339</t>
        </is>
      </c>
      <c r="D291" s="37" t="inlineStr">
        <is>
          <t>VB-0303</t>
        </is>
      </c>
      <c r="E291" s="37" t="inlineStr">
        <is>
          <t>Vessbank</t>
        </is>
      </c>
      <c r="F291" s="37" t="n">
        <v>32</v>
      </c>
      <c r="G291" s="37" t="n">
        <v>1</v>
      </c>
      <c r="H291" s="37" t="n">
        <v>32</v>
      </c>
      <c r="I291" s="37" t="n">
        <v>10.4</v>
      </c>
      <c r="J291" s="37" t="n">
        <v>332.8</v>
      </c>
    </row>
    <row r="292">
      <c r="A292" s="37" t="inlineStr">
        <is>
          <t>TXN-202608-017650</t>
        </is>
      </c>
      <c r="B292" s="37" t="inlineStr">
        <is>
          <t>AC-VB-0304</t>
        </is>
      </c>
      <c r="C292" s="37" t="inlineStr">
        <is>
          <t>WL-01303</t>
        </is>
      </c>
      <c r="D292" s="37" t="inlineStr">
        <is>
          <t>VB-0304</t>
        </is>
      </c>
      <c r="E292" s="37" t="inlineStr">
        <is>
          <t>Vessbank</t>
        </is>
      </c>
      <c r="F292" s="37" t="n">
        <v>33</v>
      </c>
      <c r="G292" s="37" t="n">
        <v>1</v>
      </c>
      <c r="H292" s="37" t="n">
        <v>33</v>
      </c>
      <c r="I292" s="37" t="n">
        <v>10.4</v>
      </c>
      <c r="J292" s="37" t="n">
        <v>343.2</v>
      </c>
    </row>
    <row r="293">
      <c r="A293" s="37" t="inlineStr">
        <is>
          <t>TXN-202608-017703</t>
        </is>
      </c>
      <c r="B293" s="37" t="inlineStr">
        <is>
          <t>AC-VB-0305</t>
        </is>
      </c>
      <c r="C293" s="37" t="inlineStr">
        <is>
          <t>WL-02130</t>
        </is>
      </c>
      <c r="D293" s="37" t="inlineStr">
        <is>
          <t>VB-0305</t>
        </is>
      </c>
      <c r="E293" s="37" t="inlineStr">
        <is>
          <t>Vessbank</t>
        </is>
      </c>
      <c r="F293" s="37" t="n">
        <v>46</v>
      </c>
      <c r="G293" s="37" t="n">
        <v>1</v>
      </c>
      <c r="H293" s="37" t="n">
        <v>46</v>
      </c>
      <c r="I293" s="37" t="n">
        <v>10.4</v>
      </c>
      <c r="J293" s="37" t="n">
        <v>478.4</v>
      </c>
    </row>
    <row r="294">
      <c r="A294" s="37" t="inlineStr">
        <is>
          <t>TXN-202608-017754</t>
        </is>
      </c>
      <c r="B294" s="37" t="inlineStr">
        <is>
          <t>AC-VB-0306</t>
        </is>
      </c>
      <c r="C294" s="37" t="inlineStr">
        <is>
          <t>WL-03397</t>
        </is>
      </c>
      <c r="D294" s="37" t="inlineStr">
        <is>
          <t>VB-0306</t>
        </is>
      </c>
      <c r="E294" s="37" t="inlineStr">
        <is>
          <t>Vessbank</t>
        </is>
      </c>
      <c r="F294" s="37" t="n">
        <v>28</v>
      </c>
      <c r="G294" s="37" t="n">
        <v>1</v>
      </c>
      <c r="H294" s="37" t="n">
        <v>28</v>
      </c>
      <c r="I294" s="37" t="n">
        <v>10.4</v>
      </c>
      <c r="J294" s="37" t="n">
        <v>291.2</v>
      </c>
    </row>
    <row r="295">
      <c r="A295" s="37" t="inlineStr">
        <is>
          <t>TXN-202608-017806</t>
        </is>
      </c>
      <c r="B295" s="37" t="inlineStr">
        <is>
          <t>AC-VB-0307</t>
        </is>
      </c>
      <c r="C295" s="37" t="inlineStr">
        <is>
          <t>WL-01379</t>
        </is>
      </c>
      <c r="D295" s="37" t="inlineStr">
        <is>
          <t>VB-0307</t>
        </is>
      </c>
      <c r="E295" s="37" t="inlineStr">
        <is>
          <t>Vessbank</t>
        </is>
      </c>
      <c r="F295" s="37" t="n">
        <v>32</v>
      </c>
      <c r="G295" s="37" t="n">
        <v>1</v>
      </c>
      <c r="H295" s="37" t="n">
        <v>32</v>
      </c>
      <c r="I295" s="37" t="n">
        <v>10.4</v>
      </c>
      <c r="J295" s="37" t="n">
        <v>332.8</v>
      </c>
    </row>
    <row r="296">
      <c r="A296" s="37" t="inlineStr">
        <is>
          <t>TXN-202608-017857</t>
        </is>
      </c>
      <c r="B296" s="37" t="inlineStr">
        <is>
          <t>AC-VB-0308</t>
        </is>
      </c>
      <c r="C296" s="37" t="inlineStr">
        <is>
          <t>WL-03564</t>
        </is>
      </c>
      <c r="D296" s="37" t="inlineStr">
        <is>
          <t>VB-0308</t>
        </is>
      </c>
      <c r="E296" s="37" t="inlineStr">
        <is>
          <t>Vessbank</t>
        </is>
      </c>
      <c r="F296" s="37" t="n">
        <v>42</v>
      </c>
      <c r="G296" s="37" t="n">
        <v>1</v>
      </c>
      <c r="H296" s="37" t="n">
        <v>42</v>
      </c>
      <c r="I296" s="37" t="n">
        <v>10.4</v>
      </c>
      <c r="J296" s="37" t="n">
        <v>436.8</v>
      </c>
    </row>
    <row r="297">
      <c r="A297" s="37" t="inlineStr">
        <is>
          <t>TXN-202608-017903</t>
        </is>
      </c>
      <c r="B297" s="37" t="inlineStr">
        <is>
          <t>AC-VB-0309</t>
        </is>
      </c>
      <c r="C297" s="37" t="inlineStr">
        <is>
          <t>WL-02656</t>
        </is>
      </c>
      <c r="D297" s="37" t="inlineStr">
        <is>
          <t>VB-0309</t>
        </is>
      </c>
      <c r="E297" s="37" t="inlineStr">
        <is>
          <t>Vessbank</t>
        </is>
      </c>
      <c r="F297" s="37" t="n">
        <v>36</v>
      </c>
      <c r="G297" s="37" t="n">
        <v>1</v>
      </c>
      <c r="H297" s="37" t="n">
        <v>36</v>
      </c>
      <c r="I297" s="37" t="n">
        <v>10.4</v>
      </c>
      <c r="J297" s="37" t="n">
        <v>374.4</v>
      </c>
    </row>
    <row r="298">
      <c r="A298" s="37" t="inlineStr">
        <is>
          <t>TXN-202608-017965</t>
        </is>
      </c>
      <c r="B298" s="37" t="inlineStr">
        <is>
          <t>AC-VB-0310</t>
        </is>
      </c>
      <c r="C298" s="37" t="inlineStr">
        <is>
          <t>WL-03313</t>
        </is>
      </c>
      <c r="D298" s="37" t="inlineStr">
        <is>
          <t>VB-0310</t>
        </is>
      </c>
      <c r="E298" s="37" t="inlineStr">
        <is>
          <t>Vessbank</t>
        </is>
      </c>
      <c r="F298" s="37" t="n">
        <v>39</v>
      </c>
      <c r="G298" s="37" t="n">
        <v>1</v>
      </c>
      <c r="H298" s="37" t="n">
        <v>39</v>
      </c>
      <c r="I298" s="37" t="n">
        <v>10.4</v>
      </c>
      <c r="J298" s="37" t="n">
        <v>405.6</v>
      </c>
    </row>
    <row r="299">
      <c r="A299" s="37" t="inlineStr">
        <is>
          <t>TXN-202608-018019</t>
        </is>
      </c>
      <c r="B299" s="37" t="inlineStr">
        <is>
          <t>AC-VB-0311</t>
        </is>
      </c>
      <c r="C299" s="37" t="inlineStr">
        <is>
          <t>WL-01760</t>
        </is>
      </c>
      <c r="D299" s="37" t="inlineStr">
        <is>
          <t>VB-0311</t>
        </is>
      </c>
      <c r="E299" s="37" t="inlineStr">
        <is>
          <t>Vessbank</t>
        </is>
      </c>
      <c r="F299" s="37" t="n">
        <v>47</v>
      </c>
      <c r="G299" s="37" t="n">
        <v>1</v>
      </c>
      <c r="H299" s="37" t="n">
        <v>47</v>
      </c>
      <c r="I299" s="37" t="n">
        <v>10.4</v>
      </c>
      <c r="J299" s="37" t="n">
        <v>488.8</v>
      </c>
    </row>
    <row r="300">
      <c r="A300" s="37" t="inlineStr">
        <is>
          <t>TXN-202608-018068</t>
        </is>
      </c>
      <c r="B300" s="37" t="inlineStr">
        <is>
          <t>AC-VB-0312</t>
        </is>
      </c>
      <c r="C300" s="37" t="inlineStr">
        <is>
          <t>WL-03224</t>
        </is>
      </c>
      <c r="D300" s="37" t="inlineStr">
        <is>
          <t>VB-0312</t>
        </is>
      </c>
      <c r="E300" s="37" t="inlineStr">
        <is>
          <t>Vessbank</t>
        </is>
      </c>
      <c r="F300" s="37" t="n">
        <v>57</v>
      </c>
      <c r="G300" s="37" t="n">
        <v>1</v>
      </c>
      <c r="H300" s="37" t="n">
        <v>57</v>
      </c>
      <c r="I300" s="37" t="n">
        <v>10.4</v>
      </c>
      <c r="J300" s="37" t="n">
        <v>592.8</v>
      </c>
    </row>
    <row r="301">
      <c r="A301" s="37" t="inlineStr">
        <is>
          <t>TXN-202608-018138</t>
        </is>
      </c>
      <c r="B301" s="37" t="inlineStr">
        <is>
          <t>AC-VB-0314</t>
        </is>
      </c>
      <c r="C301" s="37" t="inlineStr">
        <is>
          <t>WL-02315</t>
        </is>
      </c>
      <c r="D301" s="37" t="inlineStr">
        <is>
          <t>VB-0314</t>
        </is>
      </c>
      <c r="E301" s="37" t="inlineStr">
        <is>
          <t>Vessbank</t>
        </is>
      </c>
      <c r="F301" s="37" t="n">
        <v>62</v>
      </c>
      <c r="G301" s="37" t="n">
        <v>1</v>
      </c>
      <c r="H301" s="37" t="n">
        <v>62</v>
      </c>
      <c r="I301" s="37" t="n">
        <v>10.4</v>
      </c>
      <c r="J301" s="37" t="n">
        <v>644.8</v>
      </c>
    </row>
    <row r="302">
      <c r="A302" s="37" t="inlineStr">
        <is>
          <t>TXN-202608-018198</t>
        </is>
      </c>
      <c r="B302" s="37" t="inlineStr">
        <is>
          <t>AC-VB-0315</t>
        </is>
      </c>
      <c r="C302" s="37" t="inlineStr">
        <is>
          <t>WL-03326</t>
        </is>
      </c>
      <c r="D302" s="37" t="inlineStr">
        <is>
          <t>VB-0315</t>
        </is>
      </c>
      <c r="E302" s="37" t="inlineStr">
        <is>
          <t>Vessbank</t>
        </is>
      </c>
      <c r="F302" s="37" t="n">
        <v>40</v>
      </c>
      <c r="G302" s="37" t="n">
        <v>1</v>
      </c>
      <c r="H302" s="37" t="n">
        <v>40</v>
      </c>
      <c r="I302" s="37" t="n">
        <v>10.4</v>
      </c>
      <c r="J302" s="37" t="n">
        <v>416</v>
      </c>
    </row>
    <row r="303">
      <c r="A303" s="37" t="inlineStr">
        <is>
          <t>TXN-202608-018262</t>
        </is>
      </c>
      <c r="B303" s="37" t="inlineStr">
        <is>
          <t>AC-VB-0316</t>
        </is>
      </c>
      <c r="C303" s="37" t="inlineStr">
        <is>
          <t>WL-03492</t>
        </is>
      </c>
      <c r="D303" s="37" t="inlineStr">
        <is>
          <t>VB-0316</t>
        </is>
      </c>
      <c r="E303" s="37" t="inlineStr">
        <is>
          <t>Vessbank</t>
        </is>
      </c>
      <c r="F303" s="37" t="n">
        <v>36</v>
      </c>
      <c r="G303" s="37" t="n">
        <v>1</v>
      </c>
      <c r="H303" s="37" t="n">
        <v>36</v>
      </c>
      <c r="I303" s="37" t="n">
        <v>10.4</v>
      </c>
      <c r="J303" s="37" t="n">
        <v>374.4</v>
      </c>
    </row>
    <row r="304">
      <c r="A304" s="37" t="inlineStr">
        <is>
          <t>TXN-202608-018320</t>
        </is>
      </c>
      <c r="B304" s="37" t="inlineStr">
        <is>
          <t>AC-VB-0317</t>
        </is>
      </c>
      <c r="C304" s="37" t="inlineStr">
        <is>
          <t>WL-02173</t>
        </is>
      </c>
      <c r="D304" s="37" t="inlineStr">
        <is>
          <t>VB-0317</t>
        </is>
      </c>
      <c r="E304" s="37" t="inlineStr">
        <is>
          <t>Vessbank</t>
        </is>
      </c>
      <c r="F304" s="37" t="n">
        <v>39</v>
      </c>
      <c r="G304" s="37" t="n">
        <v>1</v>
      </c>
      <c r="H304" s="37" t="n">
        <v>39</v>
      </c>
      <c r="I304" s="37" t="n">
        <v>10.4</v>
      </c>
      <c r="J304" s="37" t="n">
        <v>405.6</v>
      </c>
    </row>
    <row r="305">
      <c r="A305" s="37" t="inlineStr">
        <is>
          <t>TXN-202608-018400</t>
        </is>
      </c>
      <c r="B305" s="37" t="inlineStr">
        <is>
          <t>AC-VB-0318</t>
        </is>
      </c>
      <c r="C305" s="37" t="inlineStr">
        <is>
          <t>WL-02255</t>
        </is>
      </c>
      <c r="D305" s="37" t="inlineStr">
        <is>
          <t>VB-0318</t>
        </is>
      </c>
      <c r="E305" s="37" t="inlineStr">
        <is>
          <t>Vessbank</t>
        </is>
      </c>
      <c r="F305" s="37" t="n">
        <v>32</v>
      </c>
      <c r="G305" s="37" t="n">
        <v>1</v>
      </c>
      <c r="H305" s="37" t="n">
        <v>32</v>
      </c>
      <c r="I305" s="37" t="n">
        <v>10.4</v>
      </c>
      <c r="J305" s="37" t="n">
        <v>332.8</v>
      </c>
    </row>
    <row r="306">
      <c r="A306" s="37" t="inlineStr">
        <is>
          <t>TXN-202608-018455</t>
        </is>
      </c>
      <c r="B306" s="37" t="inlineStr">
        <is>
          <t>AC-VB-0319</t>
        </is>
      </c>
      <c r="C306" s="37" t="inlineStr">
        <is>
          <t>WL-01381</t>
        </is>
      </c>
      <c r="D306" s="37" t="inlineStr">
        <is>
          <t>VB-0319</t>
        </is>
      </c>
      <c r="E306" s="37" t="inlineStr">
        <is>
          <t>Vessbank</t>
        </is>
      </c>
      <c r="F306" s="37" t="n">
        <v>28</v>
      </c>
      <c r="G306" s="37" t="n">
        <v>1</v>
      </c>
      <c r="H306" s="37" t="n">
        <v>28</v>
      </c>
      <c r="I306" s="37" t="n">
        <v>10.4</v>
      </c>
      <c r="J306" s="37" t="n">
        <v>291.2</v>
      </c>
    </row>
    <row r="307">
      <c r="A307" s="37" t="inlineStr">
        <is>
          <t>TXN-202608-018508</t>
        </is>
      </c>
      <c r="B307" s="37" t="inlineStr">
        <is>
          <t>AC-VB-0320</t>
        </is>
      </c>
      <c r="C307" s="37" t="inlineStr">
        <is>
          <t>WL-01254</t>
        </is>
      </c>
      <c r="D307" s="37" t="inlineStr">
        <is>
          <t>VB-0320</t>
        </is>
      </c>
      <c r="E307" s="37" t="inlineStr">
        <is>
          <t>Vessbank</t>
        </is>
      </c>
      <c r="F307" s="37" t="n">
        <v>50</v>
      </c>
      <c r="G307" s="37" t="n">
        <v>1</v>
      </c>
      <c r="H307" s="37" t="n">
        <v>50</v>
      </c>
      <c r="I307" s="37" t="n">
        <v>10.4</v>
      </c>
      <c r="J307" s="37" t="n">
        <v>520</v>
      </c>
    </row>
    <row r="308">
      <c r="A308" s="37" t="inlineStr">
        <is>
          <t>TXN-202608-018557</t>
        </is>
      </c>
      <c r="B308" s="37" t="inlineStr">
        <is>
          <t>AC-VB-0321</t>
        </is>
      </c>
      <c r="C308" s="37" t="inlineStr">
        <is>
          <t>WL-03094</t>
        </is>
      </c>
      <c r="D308" s="37" t="inlineStr">
        <is>
          <t>VB-0321</t>
        </is>
      </c>
      <c r="E308" s="37" t="inlineStr">
        <is>
          <t>Vessbank</t>
        </is>
      </c>
      <c r="F308" s="37" t="n">
        <v>28</v>
      </c>
      <c r="G308" s="37" t="n">
        <v>1</v>
      </c>
      <c r="H308" s="37" t="n">
        <v>28</v>
      </c>
      <c r="I308" s="37" t="n">
        <v>10.4</v>
      </c>
      <c r="J308" s="37" t="n">
        <v>291.2</v>
      </c>
    </row>
    <row r="309">
      <c r="A309" s="37" t="inlineStr">
        <is>
          <t>TXN-202608-018617</t>
        </is>
      </c>
      <c r="B309" s="37" t="inlineStr">
        <is>
          <t>AC-VB-0322</t>
        </is>
      </c>
      <c r="C309" s="37" t="inlineStr">
        <is>
          <t>WL-02256</t>
        </is>
      </c>
      <c r="D309" s="37" t="inlineStr">
        <is>
          <t>VB-0322</t>
        </is>
      </c>
      <c r="E309" s="37" t="inlineStr">
        <is>
          <t>Vessbank</t>
        </is>
      </c>
      <c r="F309" s="37" t="n">
        <v>40</v>
      </c>
      <c r="G309" s="37" t="n">
        <v>1</v>
      </c>
      <c r="H309" s="37" t="n">
        <v>40</v>
      </c>
      <c r="I309" s="37" t="n">
        <v>10.4</v>
      </c>
      <c r="J309" s="37" t="n">
        <v>416</v>
      </c>
    </row>
    <row r="310">
      <c r="A310" s="37" t="inlineStr">
        <is>
          <t>TXN-202608-018669</t>
        </is>
      </c>
      <c r="B310" s="37" t="inlineStr">
        <is>
          <t>AC-VB-0323</t>
        </is>
      </c>
      <c r="C310" s="37" t="inlineStr">
        <is>
          <t>WL-01488</t>
        </is>
      </c>
      <c r="D310" s="37" t="inlineStr">
        <is>
          <t>VB-0323</t>
        </is>
      </c>
      <c r="E310" s="37" t="inlineStr">
        <is>
          <t>Vessbank</t>
        </is>
      </c>
      <c r="F310" s="37" t="n">
        <v>44</v>
      </c>
      <c r="G310" s="37" t="n">
        <v>1</v>
      </c>
      <c r="H310" s="37" t="n">
        <v>44</v>
      </c>
      <c r="I310" s="37" t="n">
        <v>10.4</v>
      </c>
      <c r="J310" s="37" t="n">
        <v>457.6</v>
      </c>
    </row>
    <row r="311">
      <c r="A311" s="37" t="inlineStr">
        <is>
          <t>TXN-202608-018725</t>
        </is>
      </c>
      <c r="B311" s="37" t="inlineStr">
        <is>
          <t>AC-VB-0324</t>
        </is>
      </c>
      <c r="C311" s="37" t="inlineStr">
        <is>
          <t>WL-01311</t>
        </is>
      </c>
      <c r="D311" s="37" t="inlineStr">
        <is>
          <t>VB-0324</t>
        </is>
      </c>
      <c r="E311" s="37" t="inlineStr">
        <is>
          <t>Vessbank</t>
        </is>
      </c>
      <c r="F311" s="37" t="n">
        <v>37</v>
      </c>
      <c r="G311" s="37" t="n">
        <v>1</v>
      </c>
      <c r="H311" s="37" t="n">
        <v>37</v>
      </c>
      <c r="I311" s="37" t="n">
        <v>10.4</v>
      </c>
      <c r="J311" s="37" t="n">
        <v>384.8</v>
      </c>
    </row>
    <row r="312">
      <c r="A312" s="37" t="inlineStr">
        <is>
          <t>TXN-202608-018802</t>
        </is>
      </c>
      <c r="B312" s="37" t="inlineStr">
        <is>
          <t>AC-VB-0401</t>
        </is>
      </c>
      <c r="C312" s="37" t="inlineStr">
        <is>
          <t>WL-01799</t>
        </is>
      </c>
      <c r="D312" s="37" t="inlineStr">
        <is>
          <t>VB-0401</t>
        </is>
      </c>
      <c r="E312" s="37" t="inlineStr">
        <is>
          <t>Vessbank</t>
        </is>
      </c>
      <c r="F312" s="37" t="n">
        <v>42</v>
      </c>
      <c r="G312" s="37" t="n">
        <v>1</v>
      </c>
      <c r="H312" s="37" t="n">
        <v>42</v>
      </c>
      <c r="I312" s="37" t="n">
        <v>10.4</v>
      </c>
      <c r="J312" s="37" t="n">
        <v>436.8</v>
      </c>
    </row>
    <row r="313">
      <c r="A313" s="37" t="inlineStr">
        <is>
          <t>TXN-202608-018865</t>
        </is>
      </c>
      <c r="B313" s="37" t="inlineStr">
        <is>
          <t>AC-VB-0402</t>
        </is>
      </c>
      <c r="C313" s="37" t="inlineStr">
        <is>
          <t>WL-01959</t>
        </is>
      </c>
      <c r="D313" s="37" t="inlineStr">
        <is>
          <t>VB-0402</t>
        </is>
      </c>
      <c r="E313" s="37" t="inlineStr">
        <is>
          <t>Vessbank</t>
        </is>
      </c>
      <c r="F313" s="37" t="n">
        <v>47</v>
      </c>
      <c r="G313" s="37" t="n">
        <v>1</v>
      </c>
      <c r="H313" s="37" t="n">
        <v>47</v>
      </c>
      <c r="I313" s="37" t="n">
        <v>10.4</v>
      </c>
      <c r="J313" s="37" t="n">
        <v>488.8</v>
      </c>
    </row>
    <row r="314">
      <c r="A314" s="37" t="inlineStr">
        <is>
          <t>TXN-202608-018940</t>
        </is>
      </c>
      <c r="B314" s="37" t="inlineStr">
        <is>
          <t>AC-VB-0403</t>
        </is>
      </c>
      <c r="C314" s="37" t="inlineStr">
        <is>
          <t>WL-03548</t>
        </is>
      </c>
      <c r="D314" s="37" t="inlineStr">
        <is>
          <t>VB-0403</t>
        </is>
      </c>
      <c r="E314" s="37" t="inlineStr">
        <is>
          <t>Vessbank</t>
        </is>
      </c>
      <c r="F314" s="37" t="n">
        <v>38</v>
      </c>
      <c r="G314" s="37" t="n">
        <v>1</v>
      </c>
      <c r="H314" s="37" t="n">
        <v>38</v>
      </c>
      <c r="I314" s="37" t="n">
        <v>10.4</v>
      </c>
      <c r="J314" s="37" t="n">
        <v>395.2</v>
      </c>
    </row>
    <row r="315">
      <c r="A315" s="37" t="inlineStr">
        <is>
          <t>TXN-202608-018983</t>
        </is>
      </c>
      <c r="B315" s="37" t="inlineStr">
        <is>
          <t>AC-VB-0405</t>
        </is>
      </c>
      <c r="C315" s="37" t="inlineStr">
        <is>
          <t>WL-02118</t>
        </is>
      </c>
      <c r="D315" s="37" t="inlineStr">
        <is>
          <t>VB-0405</t>
        </is>
      </c>
      <c r="E315" s="37" t="inlineStr">
        <is>
          <t>Vessbank</t>
        </is>
      </c>
      <c r="F315" s="37" t="n">
        <v>56</v>
      </c>
      <c r="G315" s="37" t="n">
        <v>1</v>
      </c>
      <c r="H315" s="37" t="n">
        <v>56</v>
      </c>
      <c r="I315" s="37" t="n">
        <v>10.4</v>
      </c>
      <c r="J315" s="37" t="n">
        <v>582.4</v>
      </c>
    </row>
    <row r="316">
      <c r="A316" s="37" t="inlineStr">
        <is>
          <t>TXN-202608-019062</t>
        </is>
      </c>
      <c r="B316" s="37" t="inlineStr">
        <is>
          <t>AC-VB-0406</t>
        </is>
      </c>
      <c r="C316" s="37" t="inlineStr">
        <is>
          <t>WL-01591</t>
        </is>
      </c>
      <c r="D316" s="37" t="inlineStr">
        <is>
          <t>VB-0406</t>
        </is>
      </c>
      <c r="E316" s="37" t="inlineStr">
        <is>
          <t>Vessbank</t>
        </is>
      </c>
      <c r="F316" s="37" t="n">
        <v>57</v>
      </c>
      <c r="G316" s="37" t="n">
        <v>1</v>
      </c>
      <c r="H316" s="37" t="n">
        <v>57</v>
      </c>
      <c r="I316" s="37" t="n">
        <v>10.4</v>
      </c>
      <c r="J316" s="37" t="n">
        <v>592.8</v>
      </c>
    </row>
    <row r="317">
      <c r="A317" s="37" t="inlineStr">
        <is>
          <t>TXN-202608-019137</t>
        </is>
      </c>
      <c r="B317" s="37" t="inlineStr">
        <is>
          <t>AC-VB-0407</t>
        </is>
      </c>
      <c r="C317" s="37" t="inlineStr">
        <is>
          <t>WL-02731</t>
        </is>
      </c>
      <c r="D317" s="37" t="inlineStr">
        <is>
          <t>VB-0407</t>
        </is>
      </c>
      <c r="E317" s="37" t="inlineStr">
        <is>
          <t>Vessbank</t>
        </is>
      </c>
      <c r="F317" s="37" t="n">
        <v>31</v>
      </c>
      <c r="G317" s="37" t="n">
        <v>1</v>
      </c>
      <c r="H317" s="37" t="n">
        <v>31</v>
      </c>
      <c r="I317" s="37" t="n">
        <v>10.4</v>
      </c>
      <c r="J317" s="37" t="n">
        <v>322.4</v>
      </c>
    </row>
    <row r="318">
      <c r="A318" s="37" t="inlineStr">
        <is>
          <t>TXN-202608-019207</t>
        </is>
      </c>
      <c r="B318" s="37" t="inlineStr">
        <is>
          <t>AC-VB-0408</t>
        </is>
      </c>
      <c r="C318" s="37" t="inlineStr">
        <is>
          <t>WL-01061</t>
        </is>
      </c>
      <c r="D318" s="37" t="inlineStr">
        <is>
          <t>VB-0408</t>
        </is>
      </c>
      <c r="E318" s="37" t="inlineStr">
        <is>
          <t>Vessbank</t>
        </is>
      </c>
      <c r="F318" s="37" t="n">
        <v>53</v>
      </c>
      <c r="G318" s="37" t="n">
        <v>1</v>
      </c>
      <c r="H318" s="37" t="n">
        <v>53</v>
      </c>
      <c r="I318" s="37" t="n">
        <v>10.4</v>
      </c>
      <c r="J318" s="37" t="n">
        <v>551.2</v>
      </c>
    </row>
    <row r="319">
      <c r="A319" s="37" t="inlineStr">
        <is>
          <t>TXN-202608-019276</t>
        </is>
      </c>
      <c r="B319" s="37" t="inlineStr">
        <is>
          <t>AC-VB-0409</t>
        </is>
      </c>
      <c r="C319" s="37" t="inlineStr">
        <is>
          <t>WL-01832</t>
        </is>
      </c>
      <c r="D319" s="37" t="inlineStr">
        <is>
          <t>VB-0409</t>
        </is>
      </c>
      <c r="E319" s="37" t="inlineStr">
        <is>
          <t>Vessbank</t>
        </is>
      </c>
      <c r="F319" s="37" t="n">
        <v>57</v>
      </c>
      <c r="G319" s="37" t="n">
        <v>1</v>
      </c>
      <c r="H319" s="37" t="n">
        <v>57</v>
      </c>
      <c r="I319" s="37" t="n">
        <v>10.4</v>
      </c>
      <c r="J319" s="37" t="n">
        <v>592.8</v>
      </c>
    </row>
    <row r="320">
      <c r="A320" s="37" t="inlineStr">
        <is>
          <t>TXN-202608-019357</t>
        </is>
      </c>
      <c r="B320" s="37" t="inlineStr">
        <is>
          <t>AC-VB-0410</t>
        </is>
      </c>
      <c r="C320" s="37" t="inlineStr">
        <is>
          <t>WL-02745</t>
        </is>
      </c>
      <c r="D320" s="37" t="inlineStr">
        <is>
          <t>VB-0410</t>
        </is>
      </c>
      <c r="E320" s="37" t="inlineStr">
        <is>
          <t>Vessbank</t>
        </is>
      </c>
      <c r="F320" s="37" t="n">
        <v>32</v>
      </c>
      <c r="G320" s="37" t="n">
        <v>1</v>
      </c>
      <c r="H320" s="37" t="n">
        <v>32</v>
      </c>
      <c r="I320" s="37" t="n">
        <v>10.4</v>
      </c>
      <c r="J320" s="37" t="n">
        <v>332.8</v>
      </c>
    </row>
    <row r="321">
      <c r="A321" s="37" t="inlineStr">
        <is>
          <t>TXN-202608-019425</t>
        </is>
      </c>
      <c r="B321" s="37" t="inlineStr">
        <is>
          <t>AC-VB-0411</t>
        </is>
      </c>
      <c r="C321" s="37" t="inlineStr">
        <is>
          <t>WL-02986</t>
        </is>
      </c>
      <c r="D321" s="37" t="inlineStr">
        <is>
          <t>VB-0411</t>
        </is>
      </c>
      <c r="E321" s="37" t="inlineStr">
        <is>
          <t>Vessbank</t>
        </is>
      </c>
      <c r="F321" s="37" t="n">
        <v>37</v>
      </c>
      <c r="G321" s="37" t="n">
        <v>1</v>
      </c>
      <c r="H321" s="37" t="n">
        <v>37</v>
      </c>
      <c r="I321" s="37" t="n">
        <v>10.4</v>
      </c>
      <c r="J321" s="37" t="n">
        <v>384.8</v>
      </c>
    </row>
    <row r="322">
      <c r="A322" s="37" t="inlineStr">
        <is>
          <t>TXN-202608-019500</t>
        </is>
      </c>
      <c r="B322" s="37" t="inlineStr">
        <is>
          <t>AC-VB-0412</t>
        </is>
      </c>
      <c r="C322" s="37" t="inlineStr">
        <is>
          <t>WL-02252</t>
        </is>
      </c>
      <c r="D322" s="37" t="inlineStr">
        <is>
          <t>VB-0412</t>
        </is>
      </c>
      <c r="E322" s="37" t="inlineStr">
        <is>
          <t>Vessbank</t>
        </is>
      </c>
      <c r="F322" s="37" t="n">
        <v>56</v>
      </c>
      <c r="G322" s="37" t="n">
        <v>1</v>
      </c>
      <c r="H322" s="37" t="n">
        <v>56</v>
      </c>
      <c r="I322" s="37" t="n">
        <v>10.4</v>
      </c>
      <c r="J322" s="37" t="n">
        <v>582.4</v>
      </c>
    </row>
    <row r="323">
      <c r="A323" s="37" t="inlineStr">
        <is>
          <t>TXN-202608-019561</t>
        </is>
      </c>
      <c r="B323" s="37" t="inlineStr">
        <is>
          <t>AC-VB-0413</t>
        </is>
      </c>
      <c r="C323" s="37" t="inlineStr">
        <is>
          <t>WL-01014</t>
        </is>
      </c>
      <c r="D323" s="37" t="inlineStr">
        <is>
          <t>VB-0413</t>
        </is>
      </c>
      <c r="E323" s="37" t="inlineStr">
        <is>
          <t>Vessbank</t>
        </is>
      </c>
      <c r="F323" s="37" t="n">
        <v>44</v>
      </c>
      <c r="G323" s="37" t="n">
        <v>1</v>
      </c>
      <c r="H323" s="37" t="n">
        <v>44</v>
      </c>
      <c r="I323" s="37" t="n">
        <v>10.4</v>
      </c>
      <c r="J323" s="37" t="n">
        <v>457.6</v>
      </c>
    </row>
    <row r="324">
      <c r="A324" s="37" t="inlineStr">
        <is>
          <t>TXN-202608-019598</t>
        </is>
      </c>
      <c r="B324" s="37" t="inlineStr">
        <is>
          <t>AC-VB-0414</t>
        </is>
      </c>
      <c r="C324" s="37" t="inlineStr">
        <is>
          <t>WL-03699</t>
        </is>
      </c>
      <c r="D324" s="37" t="inlineStr">
        <is>
          <t>VB-0414</t>
        </is>
      </c>
      <c r="E324" s="37" t="inlineStr">
        <is>
          <t>Vessbank</t>
        </is>
      </c>
      <c r="F324" s="37" t="n">
        <v>56</v>
      </c>
      <c r="G324" s="37" t="n">
        <v>1</v>
      </c>
      <c r="H324" s="37" t="n">
        <v>56</v>
      </c>
      <c r="I324" s="37" t="n">
        <v>10.4</v>
      </c>
      <c r="J324" s="37" t="n">
        <v>582.4</v>
      </c>
    </row>
    <row r="325">
      <c r="A325" s="37" t="inlineStr">
        <is>
          <t>TXN-202608-019663</t>
        </is>
      </c>
      <c r="B325" s="37" t="inlineStr">
        <is>
          <t>AC-VB-0415</t>
        </is>
      </c>
      <c r="C325" s="37" t="inlineStr">
        <is>
          <t>WL-03507</t>
        </is>
      </c>
      <c r="D325" s="37" t="inlineStr">
        <is>
          <t>VB-0415</t>
        </is>
      </c>
      <c r="E325" s="37" t="inlineStr">
        <is>
          <t>Vessbank</t>
        </is>
      </c>
      <c r="F325" s="37" t="n">
        <v>24</v>
      </c>
      <c r="G325" s="37" t="n">
        <v>1</v>
      </c>
      <c r="H325" s="37" t="n">
        <v>24</v>
      </c>
      <c r="I325" s="37" t="n">
        <v>10.4</v>
      </c>
      <c r="J325" s="37" t="n">
        <v>249.6</v>
      </c>
    </row>
    <row r="326">
      <c r="A326" s="37" t="inlineStr">
        <is>
          <t>TXN-202608-019720</t>
        </is>
      </c>
      <c r="B326" s="37" t="inlineStr">
        <is>
          <t>AC-VB-0416</t>
        </is>
      </c>
      <c r="C326" s="37" t="inlineStr">
        <is>
          <t>WL-03602</t>
        </is>
      </c>
      <c r="D326" s="37" t="inlineStr">
        <is>
          <t>VB-0416</t>
        </is>
      </c>
      <c r="E326" s="37" t="inlineStr">
        <is>
          <t>Vessbank</t>
        </is>
      </c>
      <c r="F326" s="37" t="n">
        <v>36</v>
      </c>
      <c r="G326" s="37" t="n">
        <v>1</v>
      </c>
      <c r="H326" s="37" t="n">
        <v>36</v>
      </c>
      <c r="I326" s="37" t="n">
        <v>10.4</v>
      </c>
      <c r="J326" s="37" t="n">
        <v>374.4</v>
      </c>
    </row>
    <row r="327">
      <c r="A327" s="37" t="inlineStr">
        <is>
          <t>TXN-202608-019788</t>
        </is>
      </c>
      <c r="B327" s="37" t="inlineStr">
        <is>
          <t>AC-VB-0417</t>
        </is>
      </c>
      <c r="C327" s="37" t="inlineStr">
        <is>
          <t>WL-03358</t>
        </is>
      </c>
      <c r="D327" s="37" t="inlineStr">
        <is>
          <t>VB-0417</t>
        </is>
      </c>
      <c r="E327" s="37" t="inlineStr">
        <is>
          <t>Vessbank</t>
        </is>
      </c>
      <c r="F327" s="37" t="n">
        <v>32</v>
      </c>
      <c r="G327" s="37" t="n">
        <v>1</v>
      </c>
      <c r="H327" s="37" t="n">
        <v>32</v>
      </c>
      <c r="I327" s="37" t="n">
        <v>10.4</v>
      </c>
      <c r="J327" s="37" t="n">
        <v>332.8</v>
      </c>
    </row>
    <row r="328">
      <c r="A328" s="37" t="inlineStr">
        <is>
          <t>TXN-202608-019868</t>
        </is>
      </c>
      <c r="B328" s="37" t="inlineStr">
        <is>
          <t>AC-VB-0418</t>
        </is>
      </c>
      <c r="C328" s="37" t="inlineStr">
        <is>
          <t>WL-03210</t>
        </is>
      </c>
      <c r="D328" s="37" t="inlineStr">
        <is>
          <t>VB-0418</t>
        </is>
      </c>
      <c r="E328" s="37" t="inlineStr">
        <is>
          <t>Vessbank</t>
        </is>
      </c>
      <c r="F328" s="37" t="n">
        <v>34</v>
      </c>
      <c r="G328" s="37" t="n">
        <v>1</v>
      </c>
      <c r="H328" s="37" t="n">
        <v>34</v>
      </c>
      <c r="I328" s="37" t="n">
        <v>10.4</v>
      </c>
      <c r="J328" s="37" t="n">
        <v>353.6</v>
      </c>
    </row>
    <row r="329">
      <c r="A329" s="37" t="inlineStr">
        <is>
          <t>TXN-202608-019949</t>
        </is>
      </c>
      <c r="B329" s="37" t="inlineStr">
        <is>
          <t>AC-VB-0419</t>
        </is>
      </c>
      <c r="C329" s="37" t="inlineStr">
        <is>
          <t>WL-03884</t>
        </is>
      </c>
      <c r="D329" s="37" t="inlineStr">
        <is>
          <t>VB-0419</t>
        </is>
      </c>
      <c r="E329" s="37" t="inlineStr">
        <is>
          <t>Vessbank</t>
        </is>
      </c>
      <c r="F329" s="37" t="n">
        <v>33</v>
      </c>
      <c r="G329" s="37" t="n">
        <v>1</v>
      </c>
      <c r="H329" s="37" t="n">
        <v>33</v>
      </c>
      <c r="I329" s="37" t="n">
        <v>10.4</v>
      </c>
      <c r="J329" s="37" t="n">
        <v>343.2</v>
      </c>
    </row>
    <row r="330">
      <c r="A330" s="37" t="inlineStr">
        <is>
          <t>TXN-202608-020031</t>
        </is>
      </c>
      <c r="B330" s="37" t="inlineStr">
        <is>
          <t>AC-VB-0420</t>
        </is>
      </c>
      <c r="C330" s="37" t="inlineStr">
        <is>
          <t>WL-01215</t>
        </is>
      </c>
      <c r="D330" s="37" t="inlineStr">
        <is>
          <t>VB-0420</t>
        </is>
      </c>
      <c r="E330" s="37" t="inlineStr">
        <is>
          <t>Vessbank</t>
        </is>
      </c>
      <c r="F330" s="37" t="n">
        <v>28</v>
      </c>
      <c r="G330" s="37" t="n">
        <v>1</v>
      </c>
      <c r="H330" s="37" t="n">
        <v>28</v>
      </c>
      <c r="I330" s="37" t="n">
        <v>10.4</v>
      </c>
      <c r="J330" s="37" t="n">
        <v>291.2</v>
      </c>
    </row>
    <row r="331">
      <c r="A331" s="37" t="inlineStr">
        <is>
          <t>TXN-202608-020087</t>
        </is>
      </c>
      <c r="B331" s="37" t="inlineStr">
        <is>
          <t>AC-VB-0422</t>
        </is>
      </c>
      <c r="C331" s="37" t="inlineStr">
        <is>
          <t>WL-03830</t>
        </is>
      </c>
      <c r="D331" s="37" t="inlineStr">
        <is>
          <t>VB-0422</t>
        </is>
      </c>
      <c r="E331" s="37" t="inlineStr">
        <is>
          <t>Vessbank</t>
        </is>
      </c>
      <c r="F331" s="37" t="n">
        <v>36</v>
      </c>
      <c r="G331" s="37" t="n">
        <v>1</v>
      </c>
      <c r="H331" s="37" t="n">
        <v>36</v>
      </c>
      <c r="I331" s="37" t="n">
        <v>10.4</v>
      </c>
      <c r="J331" s="37" t="n">
        <v>374.4</v>
      </c>
    </row>
    <row r="332">
      <c r="A332" s="37" t="inlineStr">
        <is>
          <t>TXN-202608-020126</t>
        </is>
      </c>
      <c r="B332" s="37" t="inlineStr">
        <is>
          <t>AC-VB-0423</t>
        </is>
      </c>
      <c r="C332" s="37" t="inlineStr">
        <is>
          <t>WL-03054</t>
        </is>
      </c>
      <c r="D332" s="37" t="inlineStr">
        <is>
          <t>VB-0423</t>
        </is>
      </c>
      <c r="E332" s="37" t="inlineStr">
        <is>
          <t>Vessbank</t>
        </is>
      </c>
      <c r="F332" s="37" t="n">
        <v>31</v>
      </c>
      <c r="G332" s="37" t="n">
        <v>1</v>
      </c>
      <c r="H332" s="37" t="n">
        <v>31</v>
      </c>
      <c r="I332" s="37" t="n">
        <v>10.4</v>
      </c>
      <c r="J332" s="37" t="n">
        <v>322.4</v>
      </c>
    </row>
    <row r="333">
      <c r="A333" s="37" t="inlineStr">
        <is>
          <t>TXN-202608-020181</t>
        </is>
      </c>
      <c r="B333" s="37" t="inlineStr">
        <is>
          <t>AC-VB-0424</t>
        </is>
      </c>
      <c r="C333" s="37" t="inlineStr">
        <is>
          <t>WL-02816</t>
        </is>
      </c>
      <c r="D333" s="37" t="inlineStr">
        <is>
          <t>VB-0424</t>
        </is>
      </c>
      <c r="E333" s="37" t="inlineStr">
        <is>
          <t>Vessbank</t>
        </is>
      </c>
      <c r="F333" s="37" t="n">
        <v>49</v>
      </c>
      <c r="G333" s="37" t="n">
        <v>1</v>
      </c>
      <c r="H333" s="37" t="n">
        <v>49</v>
      </c>
      <c r="I333" s="37" t="n">
        <v>10.4</v>
      </c>
      <c r="J333" s="37" t="n">
        <v>509.6</v>
      </c>
    </row>
    <row r="334">
      <c r="A334" s="37" t="inlineStr">
        <is>
          <t>TXN-202608-020253</t>
        </is>
      </c>
      <c r="B334" s="37" t="inlineStr">
        <is>
          <t>AC-VB-0501</t>
        </is>
      </c>
      <c r="C334" s="37" t="inlineStr">
        <is>
          <t>WL-03576</t>
        </is>
      </c>
      <c r="D334" s="37" t="inlineStr">
        <is>
          <t>VB-0501</t>
        </is>
      </c>
      <c r="E334" s="37" t="inlineStr">
        <is>
          <t>Vessbank</t>
        </is>
      </c>
      <c r="F334" s="37" t="n">
        <v>37</v>
      </c>
      <c r="G334" s="37" t="n">
        <v>1</v>
      </c>
      <c r="H334" s="37" t="n">
        <v>37</v>
      </c>
      <c r="I334" s="37" t="n">
        <v>10.4</v>
      </c>
      <c r="J334" s="37" t="n">
        <v>384.8</v>
      </c>
    </row>
    <row r="335">
      <c r="A335" s="37" t="inlineStr">
        <is>
          <t>TXN-202608-020310</t>
        </is>
      </c>
      <c r="B335" s="37" t="inlineStr">
        <is>
          <t>AC-VB-0502</t>
        </is>
      </c>
      <c r="C335" s="37" t="inlineStr">
        <is>
          <t>WL-02127</t>
        </is>
      </c>
      <c r="D335" s="37" t="inlineStr">
        <is>
          <t>VB-0502</t>
        </is>
      </c>
      <c r="E335" s="37" t="inlineStr">
        <is>
          <t>Vessbank</t>
        </is>
      </c>
      <c r="F335" s="37" t="n">
        <v>41</v>
      </c>
      <c r="G335" s="37" t="n">
        <v>1</v>
      </c>
      <c r="H335" s="37" t="n">
        <v>41</v>
      </c>
      <c r="I335" s="37" t="n">
        <v>10.4</v>
      </c>
      <c r="J335" s="37" t="n">
        <v>426.4</v>
      </c>
    </row>
    <row r="336">
      <c r="A336" s="37" t="inlineStr">
        <is>
          <t>TXN-202608-020377</t>
        </is>
      </c>
      <c r="B336" s="37" t="inlineStr">
        <is>
          <t>AC-VB-0504</t>
        </is>
      </c>
      <c r="C336" s="37" t="inlineStr">
        <is>
          <t>WL-03734</t>
        </is>
      </c>
      <c r="D336" s="37" t="inlineStr">
        <is>
          <t>VB-0504</t>
        </is>
      </c>
      <c r="E336" s="37" t="inlineStr">
        <is>
          <t>Vessbank</t>
        </is>
      </c>
      <c r="F336" s="37" t="n">
        <v>52</v>
      </c>
      <c r="G336" s="37" t="n">
        <v>1</v>
      </c>
      <c r="H336" s="37" t="n">
        <v>52</v>
      </c>
      <c r="I336" s="37" t="n">
        <v>10.4</v>
      </c>
      <c r="J336" s="37" t="n">
        <v>540.8</v>
      </c>
    </row>
    <row r="337">
      <c r="A337" s="37" t="inlineStr">
        <is>
          <t>TXN-202608-020417</t>
        </is>
      </c>
      <c r="B337" s="37" t="inlineStr">
        <is>
          <t>AC-VB-0505</t>
        </is>
      </c>
      <c r="C337" s="37" t="inlineStr">
        <is>
          <t>WL-03343</t>
        </is>
      </c>
      <c r="D337" s="37" t="inlineStr">
        <is>
          <t>VB-0505</t>
        </is>
      </c>
      <c r="E337" s="37" t="inlineStr">
        <is>
          <t>Vessbank</t>
        </is>
      </c>
      <c r="F337" s="37" t="n">
        <v>55</v>
      </c>
      <c r="G337" s="37" t="n">
        <v>1</v>
      </c>
      <c r="H337" s="37" t="n">
        <v>55</v>
      </c>
      <c r="I337" s="37" t="n">
        <v>10.4</v>
      </c>
      <c r="J337" s="37" t="n">
        <v>572</v>
      </c>
    </row>
    <row r="338">
      <c r="A338" s="37" t="inlineStr">
        <is>
          <t>TXN-202608-020480</t>
        </is>
      </c>
      <c r="B338" s="37" t="inlineStr">
        <is>
          <t>AC-VB-0506</t>
        </is>
      </c>
      <c r="C338" s="37" t="inlineStr">
        <is>
          <t>WL-03154</t>
        </is>
      </c>
      <c r="D338" s="37" t="inlineStr">
        <is>
          <t>VB-0506</t>
        </is>
      </c>
      <c r="E338" s="37" t="inlineStr">
        <is>
          <t>Vessbank</t>
        </is>
      </c>
      <c r="F338" s="37" t="n">
        <v>40</v>
      </c>
      <c r="G338" s="37" t="n">
        <v>1</v>
      </c>
      <c r="H338" s="37" t="n">
        <v>40</v>
      </c>
      <c r="I338" s="37" t="n">
        <v>10.4</v>
      </c>
      <c r="J338" s="37" t="n">
        <v>416</v>
      </c>
    </row>
    <row r="339">
      <c r="A339" s="37" t="inlineStr">
        <is>
          <t>TXN-202608-020550</t>
        </is>
      </c>
      <c r="B339" s="37" t="inlineStr">
        <is>
          <t>AC-VB-0507</t>
        </is>
      </c>
      <c r="C339" s="37" t="inlineStr">
        <is>
          <t>WL-01541</t>
        </is>
      </c>
      <c r="D339" s="37" t="inlineStr">
        <is>
          <t>VB-0507</t>
        </is>
      </c>
      <c r="E339" s="37" t="inlineStr">
        <is>
          <t>Vessbank</t>
        </is>
      </c>
      <c r="F339" s="37" t="n">
        <v>40</v>
      </c>
      <c r="G339" s="37" t="n">
        <v>1</v>
      </c>
      <c r="H339" s="37" t="n">
        <v>40</v>
      </c>
      <c r="I339" s="37" t="n">
        <v>10.4</v>
      </c>
      <c r="J339" s="37" t="n">
        <v>416</v>
      </c>
    </row>
    <row r="340">
      <c r="A340" s="37" t="inlineStr">
        <is>
          <t>TXN-202608-020609</t>
        </is>
      </c>
      <c r="B340" s="37" t="inlineStr">
        <is>
          <t>AC-VB-0508</t>
        </is>
      </c>
      <c r="C340" s="37" t="inlineStr">
        <is>
          <t>WL-01834</t>
        </is>
      </c>
      <c r="D340" s="37" t="inlineStr">
        <is>
          <t>VB-0508</t>
        </is>
      </c>
      <c r="E340" s="37" t="inlineStr">
        <is>
          <t>Vessbank</t>
        </is>
      </c>
      <c r="F340" s="37" t="n">
        <v>54</v>
      </c>
      <c r="G340" s="37" t="n">
        <v>1</v>
      </c>
      <c r="H340" s="37" t="n">
        <v>54</v>
      </c>
      <c r="I340" s="37" t="n">
        <v>10.4</v>
      </c>
      <c r="J340" s="37" t="n">
        <v>561.6</v>
      </c>
    </row>
    <row r="341">
      <c r="A341" s="37" t="inlineStr">
        <is>
          <t>TXN-202608-020671</t>
        </is>
      </c>
      <c r="B341" s="37" t="inlineStr">
        <is>
          <t>AC-VB-0509</t>
        </is>
      </c>
      <c r="C341" s="37" t="inlineStr">
        <is>
          <t>WL-02326</t>
        </is>
      </c>
      <c r="D341" s="37" t="inlineStr">
        <is>
          <t>VB-0509</t>
        </is>
      </c>
      <c r="E341" s="37" t="inlineStr">
        <is>
          <t>Vessbank</t>
        </is>
      </c>
      <c r="F341" s="37" t="n">
        <v>33</v>
      </c>
      <c r="G341" s="37" t="n">
        <v>1</v>
      </c>
      <c r="H341" s="37" t="n">
        <v>33</v>
      </c>
      <c r="I341" s="37" t="n">
        <v>10.4</v>
      </c>
      <c r="J341" s="37" t="n">
        <v>343.2</v>
      </c>
    </row>
    <row r="342">
      <c r="A342" s="37" t="inlineStr">
        <is>
          <t>TXN-202608-020741</t>
        </is>
      </c>
      <c r="B342" s="37" t="inlineStr">
        <is>
          <t>AC-VB-0510</t>
        </is>
      </c>
      <c r="C342" s="37" t="inlineStr">
        <is>
          <t>WL-03831</t>
        </is>
      </c>
      <c r="D342" s="37" t="inlineStr">
        <is>
          <t>VB-0510</t>
        </is>
      </c>
      <c r="E342" s="37" t="inlineStr">
        <is>
          <t>Vessbank</t>
        </is>
      </c>
      <c r="F342" s="37" t="n">
        <v>40</v>
      </c>
      <c r="G342" s="37" t="n">
        <v>1</v>
      </c>
      <c r="H342" s="37" t="n">
        <v>40</v>
      </c>
      <c r="I342" s="37" t="n">
        <v>10.4</v>
      </c>
      <c r="J342" s="37" t="n">
        <v>416</v>
      </c>
    </row>
    <row r="343">
      <c r="A343" s="37" t="inlineStr">
        <is>
          <t>TXN-202608-020819</t>
        </is>
      </c>
      <c r="B343" s="37" t="inlineStr">
        <is>
          <t>AC-VB-0511</t>
        </is>
      </c>
      <c r="C343" s="37" t="inlineStr">
        <is>
          <t>WL-02036</t>
        </is>
      </c>
      <c r="D343" s="37" t="inlineStr">
        <is>
          <t>VB-0511</t>
        </is>
      </c>
      <c r="E343" s="37" t="inlineStr">
        <is>
          <t>Vessbank</t>
        </is>
      </c>
      <c r="F343" s="37" t="n">
        <v>47</v>
      </c>
      <c r="G343" s="37" t="n">
        <v>1</v>
      </c>
      <c r="H343" s="37" t="n">
        <v>47</v>
      </c>
      <c r="I343" s="37" t="n">
        <v>10.4</v>
      </c>
      <c r="J343" s="37" t="n">
        <v>488.8</v>
      </c>
    </row>
    <row r="344">
      <c r="A344" s="37" t="inlineStr">
        <is>
          <t>TXN-202608-020854</t>
        </is>
      </c>
      <c r="B344" s="37" t="inlineStr">
        <is>
          <t>AC-VB-0512</t>
        </is>
      </c>
      <c r="C344" s="37" t="inlineStr">
        <is>
          <t>WL-02592</t>
        </is>
      </c>
      <c r="D344" s="37" t="inlineStr">
        <is>
          <t>VB-0512</t>
        </is>
      </c>
      <c r="E344" s="37" t="inlineStr">
        <is>
          <t>Vessbank</t>
        </is>
      </c>
      <c r="F344" s="37" t="n">
        <v>28</v>
      </c>
      <c r="G344" s="37" t="n">
        <v>1</v>
      </c>
      <c r="H344" s="37" t="n">
        <v>28</v>
      </c>
      <c r="I344" s="37" t="n">
        <v>10.4</v>
      </c>
      <c r="J344" s="37" t="n">
        <v>291.2</v>
      </c>
    </row>
    <row r="345">
      <c r="A345" s="37" t="inlineStr">
        <is>
          <t>TXN-202608-020904</t>
        </is>
      </c>
      <c r="B345" s="37" t="inlineStr">
        <is>
          <t>AC-VB-0513</t>
        </is>
      </c>
      <c r="C345" s="37" t="inlineStr">
        <is>
          <t>WL-01169</t>
        </is>
      </c>
      <c r="D345" s="37" t="inlineStr">
        <is>
          <t>VB-0513</t>
        </is>
      </c>
      <c r="E345" s="37" t="inlineStr">
        <is>
          <t>Vessbank</t>
        </is>
      </c>
      <c r="F345" s="37" t="n">
        <v>58</v>
      </c>
      <c r="G345" s="37" t="n">
        <v>1</v>
      </c>
      <c r="H345" s="37" t="n">
        <v>58</v>
      </c>
      <c r="I345" s="37" t="n">
        <v>10.4</v>
      </c>
      <c r="J345" s="37" t="n">
        <v>603.2</v>
      </c>
    </row>
    <row r="346">
      <c r="A346" s="37" t="inlineStr">
        <is>
          <t>TXN-202608-020943</t>
        </is>
      </c>
      <c r="B346" s="37" t="inlineStr">
        <is>
          <t>AC-VB-0514</t>
        </is>
      </c>
      <c r="C346" s="37" t="inlineStr">
        <is>
          <t>WL-03262</t>
        </is>
      </c>
      <c r="D346" s="37" t="inlineStr">
        <is>
          <t>VB-0514</t>
        </is>
      </c>
      <c r="E346" s="37" t="inlineStr">
        <is>
          <t>Vessbank</t>
        </is>
      </c>
      <c r="F346" s="37" t="n">
        <v>26</v>
      </c>
      <c r="G346" s="37" t="n">
        <v>1</v>
      </c>
      <c r="H346" s="37" t="n">
        <v>26</v>
      </c>
      <c r="I346" s="37" t="n">
        <v>10.4</v>
      </c>
      <c r="J346" s="37" t="n">
        <v>270.4</v>
      </c>
    </row>
    <row r="347">
      <c r="A347" s="37" t="inlineStr">
        <is>
          <t>TXN-202608-021014</t>
        </is>
      </c>
      <c r="B347" s="37" t="inlineStr">
        <is>
          <t>AC-VB-0515</t>
        </is>
      </c>
      <c r="C347" s="37" t="inlineStr">
        <is>
          <t>WL-02590</t>
        </is>
      </c>
      <c r="D347" s="37" t="inlineStr">
        <is>
          <t>VB-0515</t>
        </is>
      </c>
      <c r="E347" s="37" t="inlineStr">
        <is>
          <t>Vessbank</t>
        </is>
      </c>
      <c r="F347" s="37" t="n">
        <v>42</v>
      </c>
      <c r="G347" s="37" t="n">
        <v>1</v>
      </c>
      <c r="H347" s="37" t="n">
        <v>42</v>
      </c>
      <c r="I347" s="37" t="n">
        <v>10.4</v>
      </c>
      <c r="J347" s="37" t="n">
        <v>436.8</v>
      </c>
    </row>
    <row r="348">
      <c r="A348" s="37" t="inlineStr">
        <is>
          <t>TXN-202608-021057</t>
        </is>
      </c>
      <c r="B348" s="37" t="inlineStr">
        <is>
          <t>AC-VB-0517</t>
        </is>
      </c>
      <c r="C348" s="37" t="inlineStr">
        <is>
          <t>WL-03489</t>
        </is>
      </c>
      <c r="D348" s="37" t="inlineStr">
        <is>
          <t>VB-0517</t>
        </is>
      </c>
      <c r="E348" s="37" t="inlineStr">
        <is>
          <t>Vessbank</t>
        </is>
      </c>
      <c r="F348" s="37" t="n">
        <v>60</v>
      </c>
      <c r="G348" s="37" t="n">
        <v>1</v>
      </c>
      <c r="H348" s="37" t="n">
        <v>60</v>
      </c>
      <c r="I348" s="37" t="n">
        <v>10.4</v>
      </c>
      <c r="J348" s="37" t="n">
        <v>624</v>
      </c>
    </row>
    <row r="349">
      <c r="A349" s="37" t="inlineStr">
        <is>
          <t>TXN-202608-021124</t>
        </is>
      </c>
      <c r="B349" s="37" t="inlineStr">
        <is>
          <t>AC-VB-0518</t>
        </is>
      </c>
      <c r="C349" s="37" t="inlineStr">
        <is>
          <t>WL-01561</t>
        </is>
      </c>
      <c r="D349" s="37" t="inlineStr">
        <is>
          <t>VB-0518</t>
        </is>
      </c>
      <c r="E349" s="37" t="inlineStr">
        <is>
          <t>Vessbank</t>
        </is>
      </c>
      <c r="F349" s="37" t="n">
        <v>57</v>
      </c>
      <c r="G349" s="37" t="n">
        <v>1</v>
      </c>
      <c r="H349" s="37" t="n">
        <v>57</v>
      </c>
      <c r="I349" s="37" t="n">
        <v>10.4</v>
      </c>
      <c r="J349" s="37" t="n">
        <v>592.8</v>
      </c>
    </row>
    <row r="350">
      <c r="A350" s="37" t="inlineStr">
        <is>
          <t>TXN-202608-021195</t>
        </is>
      </c>
      <c r="B350" s="37" t="inlineStr">
        <is>
          <t>AC-VB-0519</t>
        </is>
      </c>
      <c r="C350" s="37" t="inlineStr">
        <is>
          <t>WL-02751</t>
        </is>
      </c>
      <c r="D350" s="37" t="inlineStr">
        <is>
          <t>VB-0519</t>
        </is>
      </c>
      <c r="E350" s="37" t="inlineStr">
        <is>
          <t>Vessbank</t>
        </is>
      </c>
      <c r="F350" s="37" t="n">
        <v>49</v>
      </c>
      <c r="G350" s="37" t="n">
        <v>1</v>
      </c>
      <c r="H350" s="37" t="n">
        <v>49</v>
      </c>
      <c r="I350" s="37" t="n">
        <v>10.4</v>
      </c>
      <c r="J350" s="37" t="n">
        <v>509.6</v>
      </c>
    </row>
    <row r="351">
      <c r="A351" s="37" t="inlineStr">
        <is>
          <t>TXN-202608-021264</t>
        </is>
      </c>
      <c r="B351" s="37" t="inlineStr">
        <is>
          <t>AC-VB-0520</t>
        </is>
      </c>
      <c r="C351" s="37" t="inlineStr">
        <is>
          <t>WL-03010</t>
        </is>
      </c>
      <c r="D351" s="37" t="inlineStr">
        <is>
          <t>VB-0520</t>
        </is>
      </c>
      <c r="E351" s="37" t="inlineStr">
        <is>
          <t>Vessbank</t>
        </is>
      </c>
      <c r="F351" s="37" t="n">
        <v>36</v>
      </c>
      <c r="G351" s="37" t="n">
        <v>1</v>
      </c>
      <c r="H351" s="37" t="n">
        <v>36</v>
      </c>
      <c r="I351" s="37" t="n">
        <v>10.4</v>
      </c>
      <c r="J351" s="37" t="n">
        <v>374.4</v>
      </c>
    </row>
    <row r="352">
      <c r="A352" s="37" t="inlineStr">
        <is>
          <t>TXN-202608-021330</t>
        </is>
      </c>
      <c r="B352" s="37" t="inlineStr">
        <is>
          <t>AC-VB-0521</t>
        </is>
      </c>
      <c r="C352" s="37" t="inlineStr">
        <is>
          <t>WL-02877</t>
        </is>
      </c>
      <c r="D352" s="37" t="inlineStr">
        <is>
          <t>VB-0521</t>
        </is>
      </c>
      <c r="E352" s="37" t="inlineStr">
        <is>
          <t>Vessbank</t>
        </is>
      </c>
      <c r="F352" s="37" t="n">
        <v>34</v>
      </c>
      <c r="G352" s="37" t="n">
        <v>1</v>
      </c>
      <c r="H352" s="37" t="n">
        <v>34</v>
      </c>
      <c r="I352" s="37" t="n">
        <v>10.4</v>
      </c>
      <c r="J352" s="37" t="n">
        <v>353.6</v>
      </c>
    </row>
    <row r="353">
      <c r="A353" s="37" t="inlineStr">
        <is>
          <t>TXN-202608-021373</t>
        </is>
      </c>
      <c r="B353" s="37" t="inlineStr">
        <is>
          <t>AC-VB-0522</t>
        </is>
      </c>
      <c r="C353" s="37" t="inlineStr">
        <is>
          <t>WL-03485</t>
        </is>
      </c>
      <c r="D353" s="37" t="inlineStr">
        <is>
          <t>VB-0522</t>
        </is>
      </c>
      <c r="E353" s="37" t="inlineStr">
        <is>
          <t>Vessbank</t>
        </is>
      </c>
      <c r="F353" s="37" t="n">
        <v>43</v>
      </c>
      <c r="G353" s="37" t="n">
        <v>1</v>
      </c>
      <c r="H353" s="37" t="n">
        <v>43</v>
      </c>
      <c r="I353" s="37" t="n">
        <v>10.4</v>
      </c>
      <c r="J353" s="37" t="n">
        <v>447.2</v>
      </c>
    </row>
    <row r="354">
      <c r="A354" s="37" t="inlineStr">
        <is>
          <t>TXN-202608-021442</t>
        </is>
      </c>
      <c r="B354" s="37" t="inlineStr">
        <is>
          <t>AC-VB-0523</t>
        </is>
      </c>
      <c r="C354" s="37" t="inlineStr">
        <is>
          <t>WL-01927</t>
        </is>
      </c>
      <c r="D354" s="37" t="inlineStr">
        <is>
          <t>VB-0523</t>
        </is>
      </c>
      <c r="E354" s="37" t="inlineStr">
        <is>
          <t>Vessbank</t>
        </is>
      </c>
      <c r="F354" s="37" t="n">
        <v>39</v>
      </c>
      <c r="G354" s="37" t="n">
        <v>1</v>
      </c>
      <c r="H354" s="37" t="n">
        <v>39</v>
      </c>
      <c r="I354" s="37" t="n">
        <v>10.4</v>
      </c>
      <c r="J354" s="37" t="n">
        <v>405.6</v>
      </c>
    </row>
    <row r="355">
      <c r="A355" s="37" t="inlineStr">
        <is>
          <t>TXN-202608-021527</t>
        </is>
      </c>
      <c r="B355" s="37" t="inlineStr">
        <is>
          <t>AC-VB-0524</t>
        </is>
      </c>
      <c r="C355" s="37" t="inlineStr">
        <is>
          <t>WL-02787</t>
        </is>
      </c>
      <c r="D355" s="37" t="inlineStr">
        <is>
          <t>VB-0524</t>
        </is>
      </c>
      <c r="E355" s="37" t="inlineStr">
        <is>
          <t>Vessbank</t>
        </is>
      </c>
      <c r="F355" s="37" t="n">
        <v>28</v>
      </c>
      <c r="G355" s="37" t="n">
        <v>1</v>
      </c>
      <c r="H355" s="37" t="n">
        <v>28</v>
      </c>
      <c r="I355" s="37" t="n">
        <v>10.4</v>
      </c>
      <c r="J355" s="37" t="n">
        <v>291.2</v>
      </c>
    </row>
    <row r="356">
      <c r="A356" s="37" t="inlineStr">
        <is>
          <t>TXN-202608-021568</t>
        </is>
      </c>
      <c r="B356" s="37" t="inlineStr">
        <is>
          <t>AC-VB-0601</t>
        </is>
      </c>
      <c r="C356" s="37" t="inlineStr">
        <is>
          <t>WL-01730</t>
        </is>
      </c>
      <c r="D356" s="37" t="inlineStr">
        <is>
          <t>VB-0601</t>
        </is>
      </c>
      <c r="E356" s="37" t="inlineStr">
        <is>
          <t>Vessbank</t>
        </is>
      </c>
      <c r="F356" s="37" t="n">
        <v>46</v>
      </c>
      <c r="G356" s="37" t="n">
        <v>1</v>
      </c>
      <c r="H356" s="37" t="n">
        <v>46</v>
      </c>
      <c r="I356" s="37" t="n">
        <v>10.4</v>
      </c>
      <c r="J356" s="37" t="n">
        <v>478.4</v>
      </c>
    </row>
    <row r="357">
      <c r="A357" s="37" t="inlineStr">
        <is>
          <t>TXN-202608-021618</t>
        </is>
      </c>
      <c r="B357" s="37" t="inlineStr">
        <is>
          <t>AC-VB-0602</t>
        </is>
      </c>
      <c r="C357" s="37" t="inlineStr">
        <is>
          <t>WL-03241</t>
        </is>
      </c>
      <c r="D357" s="37" t="inlineStr">
        <is>
          <t>VB-0602</t>
        </is>
      </c>
      <c r="E357" s="37" t="inlineStr">
        <is>
          <t>Vessbank</t>
        </is>
      </c>
      <c r="F357" s="37" t="n">
        <v>40</v>
      </c>
      <c r="G357" s="37" t="n">
        <v>1</v>
      </c>
      <c r="H357" s="37" t="n">
        <v>40</v>
      </c>
      <c r="I357" s="37" t="n">
        <v>10.4</v>
      </c>
      <c r="J357" s="37" t="n">
        <v>416</v>
      </c>
    </row>
    <row r="358">
      <c r="A358" s="37" t="inlineStr">
        <is>
          <t>TXN-202608-021670</t>
        </is>
      </c>
      <c r="B358" s="37" t="inlineStr">
        <is>
          <t>AC-VB-0603</t>
        </is>
      </c>
      <c r="C358" s="37" t="inlineStr">
        <is>
          <t>WL-01129</t>
        </is>
      </c>
      <c r="D358" s="37" t="inlineStr">
        <is>
          <t>VB-0603</t>
        </is>
      </c>
      <c r="E358" s="37" t="inlineStr">
        <is>
          <t>Vessbank</t>
        </is>
      </c>
      <c r="F358" s="37" t="n">
        <v>28</v>
      </c>
      <c r="G358" s="37" t="n">
        <v>1</v>
      </c>
      <c r="H358" s="37" t="n">
        <v>28</v>
      </c>
      <c r="I358" s="37" t="n">
        <v>10.4</v>
      </c>
      <c r="J358" s="37" t="n">
        <v>291.2</v>
      </c>
    </row>
    <row r="359">
      <c r="A359" s="37" t="inlineStr">
        <is>
          <t>TXN-202608-021707</t>
        </is>
      </c>
      <c r="B359" s="37" t="inlineStr">
        <is>
          <t>AC-VB-0604</t>
        </is>
      </c>
      <c r="C359" s="37" t="inlineStr">
        <is>
          <t>WL-01999</t>
        </is>
      </c>
      <c r="D359" s="37" t="inlineStr">
        <is>
          <t>VB-0604</t>
        </is>
      </c>
      <c r="E359" s="37" t="inlineStr">
        <is>
          <t>Vessbank</t>
        </is>
      </c>
      <c r="F359" s="37" t="n">
        <v>28</v>
      </c>
      <c r="G359" s="37" t="n">
        <v>1</v>
      </c>
      <c r="H359" s="37" t="n">
        <v>28</v>
      </c>
      <c r="I359" s="37" t="n">
        <v>10.4</v>
      </c>
      <c r="J359" s="37" t="n">
        <v>291.2</v>
      </c>
    </row>
    <row r="360">
      <c r="A360" s="37" t="inlineStr">
        <is>
          <t>TXN-202608-021751</t>
        </is>
      </c>
      <c r="B360" s="37" t="inlineStr">
        <is>
          <t>AC-VB-0605</t>
        </is>
      </c>
      <c r="C360" s="37" t="inlineStr">
        <is>
          <t>WL-02890</t>
        </is>
      </c>
      <c r="D360" s="37" t="inlineStr">
        <is>
          <t>VB-0605</t>
        </is>
      </c>
      <c r="E360" s="37" t="inlineStr">
        <is>
          <t>Vessbank</t>
        </is>
      </c>
      <c r="F360" s="37" t="n">
        <v>36</v>
      </c>
      <c r="G360" s="37" t="n">
        <v>1</v>
      </c>
      <c r="H360" s="37" t="n">
        <v>36</v>
      </c>
      <c r="I360" s="37" t="n">
        <v>10.4</v>
      </c>
      <c r="J360" s="37" t="n">
        <v>374.4</v>
      </c>
    </row>
    <row r="361">
      <c r="A361" s="37" t="inlineStr">
        <is>
          <t>TXN-202608-021833</t>
        </is>
      </c>
      <c r="B361" s="37" t="inlineStr">
        <is>
          <t>AC-VB-0606</t>
        </is>
      </c>
      <c r="C361" s="37" t="inlineStr">
        <is>
          <t>WL-02404</t>
        </is>
      </c>
      <c r="D361" s="37" t="inlineStr">
        <is>
          <t>VB-0606</t>
        </is>
      </c>
      <c r="E361" s="37" t="inlineStr">
        <is>
          <t>Vessbank</t>
        </is>
      </c>
      <c r="F361" s="37" t="n">
        <v>45</v>
      </c>
      <c r="G361" s="37" t="n">
        <v>1</v>
      </c>
      <c r="H361" s="37" t="n">
        <v>45</v>
      </c>
      <c r="I361" s="37" t="n">
        <v>10.4</v>
      </c>
      <c r="J361" s="37" t="n">
        <v>468</v>
      </c>
    </row>
    <row r="362">
      <c r="A362" s="37" t="inlineStr">
        <is>
          <t>TXN-202608-021913</t>
        </is>
      </c>
      <c r="B362" s="37" t="inlineStr">
        <is>
          <t>AC-VB-0607</t>
        </is>
      </c>
      <c r="C362" s="37" t="inlineStr">
        <is>
          <t>WL-01590</t>
        </is>
      </c>
      <c r="D362" s="37" t="inlineStr">
        <is>
          <t>VB-0607</t>
        </is>
      </c>
      <c r="E362" s="37" t="inlineStr">
        <is>
          <t>Vessbank</t>
        </is>
      </c>
      <c r="F362" s="37" t="n">
        <v>36</v>
      </c>
      <c r="G362" s="37" t="n">
        <v>1</v>
      </c>
      <c r="H362" s="37" t="n">
        <v>36</v>
      </c>
      <c r="I362" s="37" t="n">
        <v>10.4</v>
      </c>
      <c r="J362" s="37" t="n">
        <v>374.4</v>
      </c>
    </row>
    <row r="363">
      <c r="A363" s="37" t="inlineStr">
        <is>
          <t>TXN-202608-021980</t>
        </is>
      </c>
      <c r="B363" s="37" t="inlineStr">
        <is>
          <t>AC-VB-0609</t>
        </is>
      </c>
      <c r="C363" s="37" t="inlineStr">
        <is>
          <t>WL-01547</t>
        </is>
      </c>
      <c r="D363" s="37" t="inlineStr">
        <is>
          <t>VB-0609</t>
        </is>
      </c>
      <c r="E363" s="37" t="inlineStr">
        <is>
          <t>Vessbank</t>
        </is>
      </c>
      <c r="F363" s="37" t="n">
        <v>36</v>
      </c>
      <c r="G363" s="37" t="n">
        <v>1</v>
      </c>
      <c r="H363" s="37" t="n">
        <v>36</v>
      </c>
      <c r="I363" s="37" t="n">
        <v>10.4</v>
      </c>
      <c r="J363" s="37" t="n">
        <v>374.4</v>
      </c>
    </row>
    <row r="364">
      <c r="A364" s="37" t="inlineStr">
        <is>
          <t>TXN-202608-022062</t>
        </is>
      </c>
      <c r="B364" s="37" t="inlineStr">
        <is>
          <t>AC-VB-0610</t>
        </is>
      </c>
      <c r="C364" s="37" t="inlineStr">
        <is>
          <t>WL-03058</t>
        </is>
      </c>
      <c r="D364" s="37" t="inlineStr">
        <is>
          <t>VB-0610</t>
        </is>
      </c>
      <c r="E364" s="37" t="inlineStr">
        <is>
          <t>Vessbank</t>
        </is>
      </c>
      <c r="F364" s="37" t="n">
        <v>60</v>
      </c>
      <c r="G364" s="37" t="n">
        <v>1</v>
      </c>
      <c r="H364" s="37" t="n">
        <v>60</v>
      </c>
      <c r="I364" s="37" t="n">
        <v>10.4</v>
      </c>
      <c r="J364" s="37" t="n">
        <v>624</v>
      </c>
    </row>
    <row r="365">
      <c r="A365" s="37" t="inlineStr">
        <is>
          <t>TXN-202608-022115</t>
        </is>
      </c>
      <c r="B365" s="37" t="inlineStr">
        <is>
          <t>AC-VB-0611</t>
        </is>
      </c>
      <c r="C365" s="37" t="inlineStr">
        <is>
          <t>WL-01330</t>
        </is>
      </c>
      <c r="D365" s="37" t="inlineStr">
        <is>
          <t>VB-0611</t>
        </is>
      </c>
      <c r="E365" s="37" t="inlineStr">
        <is>
          <t>Vessbank</t>
        </is>
      </c>
      <c r="F365" s="37" t="n">
        <v>32</v>
      </c>
      <c r="G365" s="37" t="n">
        <v>1</v>
      </c>
      <c r="H365" s="37" t="n">
        <v>32</v>
      </c>
      <c r="I365" s="37" t="n">
        <v>10.4</v>
      </c>
      <c r="J365" s="37" t="n">
        <v>332.8</v>
      </c>
    </row>
    <row r="366">
      <c r="A366" s="37" t="inlineStr">
        <is>
          <t>TXN-202608-022168</t>
        </is>
      </c>
      <c r="B366" s="37" t="inlineStr">
        <is>
          <t>AC-VB-0612</t>
        </is>
      </c>
      <c r="C366" s="37" t="inlineStr">
        <is>
          <t>WL-03873</t>
        </is>
      </c>
      <c r="D366" s="37" t="inlineStr">
        <is>
          <t>VB-0612</t>
        </is>
      </c>
      <c r="E366" s="37" t="inlineStr">
        <is>
          <t>Vessbank</t>
        </is>
      </c>
      <c r="F366" s="37" t="n">
        <v>57</v>
      </c>
      <c r="G366" s="37" t="n">
        <v>1</v>
      </c>
      <c r="H366" s="37" t="n">
        <v>57</v>
      </c>
      <c r="I366" s="37" t="n">
        <v>10.4</v>
      </c>
      <c r="J366" s="37" t="n">
        <v>592.8</v>
      </c>
    </row>
    <row r="367">
      <c r="A367" s="37" t="inlineStr">
        <is>
          <t>TXN-202608-022231</t>
        </is>
      </c>
      <c r="B367" s="37" t="inlineStr">
        <is>
          <t>AC-VB-0613</t>
        </is>
      </c>
      <c r="C367" s="37" t="inlineStr">
        <is>
          <t>WL-02467</t>
        </is>
      </c>
      <c r="D367" s="37" t="inlineStr">
        <is>
          <t>VB-0613</t>
        </is>
      </c>
      <c r="E367" s="37" t="inlineStr">
        <is>
          <t>Vessbank</t>
        </is>
      </c>
      <c r="F367" s="37" t="n">
        <v>55</v>
      </c>
      <c r="G367" s="37" t="n">
        <v>1</v>
      </c>
      <c r="H367" s="37" t="n">
        <v>55</v>
      </c>
      <c r="I367" s="37" t="n">
        <v>10.4</v>
      </c>
      <c r="J367" s="37" t="n">
        <v>572</v>
      </c>
    </row>
    <row r="368">
      <c r="A368" s="37" t="inlineStr">
        <is>
          <t>TXN-202608-022302</t>
        </is>
      </c>
      <c r="B368" s="37" t="inlineStr">
        <is>
          <t>AC-VB-0614</t>
        </is>
      </c>
      <c r="C368" s="37" t="inlineStr">
        <is>
          <t>WL-01843</t>
        </is>
      </c>
      <c r="D368" s="37" t="inlineStr">
        <is>
          <t>VB-0614</t>
        </is>
      </c>
      <c r="E368" s="37" t="inlineStr">
        <is>
          <t>Vessbank</t>
        </is>
      </c>
      <c r="F368" s="37" t="n">
        <v>45</v>
      </c>
      <c r="G368" s="37" t="n">
        <v>1</v>
      </c>
      <c r="H368" s="37" t="n">
        <v>45</v>
      </c>
      <c r="I368" s="37" t="n">
        <v>10.4</v>
      </c>
      <c r="J368" s="37" t="n">
        <v>468</v>
      </c>
    </row>
    <row r="369">
      <c r="A369" s="37" t="inlineStr">
        <is>
          <t>TXN-202608-022352</t>
        </is>
      </c>
      <c r="B369" s="37" t="inlineStr">
        <is>
          <t>AC-VB-0615</t>
        </is>
      </c>
      <c r="C369" s="37" t="inlineStr">
        <is>
          <t>WL-02699</t>
        </is>
      </c>
      <c r="D369" s="37" t="inlineStr">
        <is>
          <t>VB-0615</t>
        </is>
      </c>
      <c r="E369" s="37" t="inlineStr">
        <is>
          <t>Vessbank</t>
        </is>
      </c>
      <c r="F369" s="37" t="n">
        <v>50</v>
      </c>
      <c r="G369" s="37" t="n">
        <v>1</v>
      </c>
      <c r="H369" s="37" t="n">
        <v>50</v>
      </c>
      <c r="I369" s="37" t="n">
        <v>10.4</v>
      </c>
      <c r="J369" s="37" t="n">
        <v>520</v>
      </c>
    </row>
    <row r="370">
      <c r="A370" s="37" t="inlineStr">
        <is>
          <t>TXN-202608-022429</t>
        </is>
      </c>
      <c r="B370" s="37" t="inlineStr">
        <is>
          <t>AC-VB-0616</t>
        </is>
      </c>
      <c r="C370" s="37" t="inlineStr">
        <is>
          <t>WL-01627</t>
        </is>
      </c>
      <c r="D370" s="37" t="inlineStr">
        <is>
          <t>VB-0616</t>
        </is>
      </c>
      <c r="E370" s="37" t="inlineStr">
        <is>
          <t>Vessbank</t>
        </is>
      </c>
      <c r="F370" s="37" t="n">
        <v>33</v>
      </c>
      <c r="G370" s="37" t="n">
        <v>1</v>
      </c>
      <c r="H370" s="37" t="n">
        <v>33</v>
      </c>
      <c r="I370" s="37" t="n">
        <v>10.4</v>
      </c>
      <c r="J370" s="37" t="n">
        <v>343.2</v>
      </c>
    </row>
    <row r="371">
      <c r="A371" s="37" t="inlineStr">
        <is>
          <t>TXN-202608-022511</t>
        </is>
      </c>
      <c r="B371" s="37" t="inlineStr">
        <is>
          <t>AC-VB-0617</t>
        </is>
      </c>
      <c r="C371" s="37" t="inlineStr">
        <is>
          <t>WL-02887</t>
        </is>
      </c>
      <c r="D371" s="37" t="inlineStr">
        <is>
          <t>VB-0617</t>
        </is>
      </c>
      <c r="E371" s="37" t="inlineStr">
        <is>
          <t>Vessbank</t>
        </is>
      </c>
      <c r="F371" s="37" t="n">
        <v>49</v>
      </c>
      <c r="G371" s="37" t="n">
        <v>1</v>
      </c>
      <c r="H371" s="37" t="n">
        <v>49</v>
      </c>
      <c r="I371" s="37" t="n">
        <v>10.4</v>
      </c>
      <c r="J371" s="37" t="n">
        <v>509.6</v>
      </c>
    </row>
    <row r="372">
      <c r="A372" s="37" t="inlineStr">
        <is>
          <t>TXN-202608-022571</t>
        </is>
      </c>
      <c r="B372" s="37" t="inlineStr">
        <is>
          <t>AC-VB-0618</t>
        </is>
      </c>
      <c r="C372" s="37" t="inlineStr">
        <is>
          <t>WL-02828</t>
        </is>
      </c>
      <c r="D372" s="37" t="inlineStr">
        <is>
          <t>VB-0618</t>
        </is>
      </c>
      <c r="E372" s="37" t="inlineStr">
        <is>
          <t>Vessbank</t>
        </is>
      </c>
      <c r="F372" s="37" t="n">
        <v>60</v>
      </c>
      <c r="G372" s="37" t="n">
        <v>1</v>
      </c>
      <c r="H372" s="37" t="n">
        <v>60</v>
      </c>
      <c r="I372" s="37" t="n">
        <v>10.4</v>
      </c>
      <c r="J372" s="37" t="n">
        <v>624</v>
      </c>
    </row>
    <row r="373">
      <c r="A373" s="37" t="inlineStr">
        <is>
          <t>TXN-202608-022636</t>
        </is>
      </c>
      <c r="B373" s="37" t="inlineStr">
        <is>
          <t>AC-VB-0619</t>
        </is>
      </c>
      <c r="C373" s="37" t="inlineStr">
        <is>
          <t>WL-01841</t>
        </is>
      </c>
      <c r="D373" s="37" t="inlineStr">
        <is>
          <t>VB-0619</t>
        </is>
      </c>
      <c r="E373" s="37" t="inlineStr">
        <is>
          <t>Vessbank</t>
        </is>
      </c>
      <c r="F373" s="37" t="n">
        <v>62</v>
      </c>
      <c r="G373" s="37" t="n">
        <v>1</v>
      </c>
      <c r="H373" s="37" t="n">
        <v>62</v>
      </c>
      <c r="I373" s="37" t="n">
        <v>10.4</v>
      </c>
      <c r="J373" s="37" t="n">
        <v>644.8</v>
      </c>
    </row>
    <row r="374">
      <c r="A374" s="37" t="inlineStr">
        <is>
          <t>TXN-202608-022704</t>
        </is>
      </c>
      <c r="B374" s="37" t="inlineStr">
        <is>
          <t>AC-VB-0620</t>
        </is>
      </c>
      <c r="C374" s="37" t="inlineStr">
        <is>
          <t>WL-01226</t>
        </is>
      </c>
      <c r="D374" s="37" t="inlineStr">
        <is>
          <t>VB-0620</t>
        </is>
      </c>
      <c r="E374" s="37" t="inlineStr">
        <is>
          <t>Vessbank</t>
        </is>
      </c>
      <c r="F374" s="37" t="n">
        <v>48</v>
      </c>
      <c r="G374" s="37" t="n">
        <v>1</v>
      </c>
      <c r="H374" s="37" t="n">
        <v>48</v>
      </c>
      <c r="I374" s="37" t="n">
        <v>10.4</v>
      </c>
      <c r="J374" s="37" t="n">
        <v>499.2</v>
      </c>
    </row>
    <row r="375">
      <c r="A375" s="37" t="inlineStr">
        <is>
          <t>TXN-202608-022757</t>
        </is>
      </c>
      <c r="B375" s="37" t="inlineStr">
        <is>
          <t>AC-VB-0621</t>
        </is>
      </c>
      <c r="C375" s="37" t="inlineStr">
        <is>
          <t>WL-01275</t>
        </is>
      </c>
      <c r="D375" s="37" t="inlineStr">
        <is>
          <t>VB-0621</t>
        </is>
      </c>
      <c r="E375" s="37" t="inlineStr">
        <is>
          <t>Vessbank</t>
        </is>
      </c>
      <c r="F375" s="37" t="n">
        <v>24</v>
      </c>
      <c r="G375" s="37" t="n">
        <v>1</v>
      </c>
      <c r="H375" s="37" t="n">
        <v>24</v>
      </c>
      <c r="I375" s="37" t="n">
        <v>10.4</v>
      </c>
      <c r="J375" s="37" t="n">
        <v>249.6</v>
      </c>
    </row>
    <row r="376">
      <c r="A376" s="37" t="inlineStr">
        <is>
          <t>TXN-202608-022809</t>
        </is>
      </c>
      <c r="B376" s="37" t="inlineStr">
        <is>
          <t>AC-VB-0622</t>
        </is>
      </c>
      <c r="C376" s="37" t="inlineStr">
        <is>
          <t>WL-01083</t>
        </is>
      </c>
      <c r="D376" s="37" t="inlineStr">
        <is>
          <t>VB-0622</t>
        </is>
      </c>
      <c r="E376" s="37" t="inlineStr">
        <is>
          <t>Vessbank</t>
        </is>
      </c>
      <c r="F376" s="37" t="n">
        <v>32</v>
      </c>
      <c r="G376" s="37" t="n">
        <v>1</v>
      </c>
      <c r="H376" s="37" t="n">
        <v>32</v>
      </c>
      <c r="I376" s="37" t="n">
        <v>10.4</v>
      </c>
      <c r="J376" s="37" t="n">
        <v>332.8</v>
      </c>
    </row>
    <row r="377">
      <c r="A377" s="37" t="inlineStr">
        <is>
          <t>TXN-202608-022846</t>
        </is>
      </c>
      <c r="B377" s="37" t="inlineStr">
        <is>
          <t>AC-VB-0623</t>
        </is>
      </c>
      <c r="C377" s="37" t="inlineStr">
        <is>
          <t>WL-02748</t>
        </is>
      </c>
      <c r="D377" s="37" t="inlineStr">
        <is>
          <t>VB-0623</t>
        </is>
      </c>
      <c r="E377" s="37" t="inlineStr">
        <is>
          <t>Vessbank</t>
        </is>
      </c>
      <c r="F377" s="37" t="n">
        <v>43</v>
      </c>
      <c r="G377" s="37" t="n">
        <v>1</v>
      </c>
      <c r="H377" s="37" t="n">
        <v>43</v>
      </c>
      <c r="I377" s="37" t="n">
        <v>10.4</v>
      </c>
      <c r="J377" s="37" t="n">
        <v>447.2</v>
      </c>
    </row>
    <row r="378">
      <c r="A378" s="37" t="inlineStr">
        <is>
          <t>TXN-202608-022928</t>
        </is>
      </c>
      <c r="B378" s="37" t="inlineStr">
        <is>
          <t>AC-VB-0624</t>
        </is>
      </c>
      <c r="C378" s="37" t="inlineStr">
        <is>
          <t>WL-03304</t>
        </is>
      </c>
      <c r="D378" s="37" t="inlineStr">
        <is>
          <t>VB-0624</t>
        </is>
      </c>
      <c r="E378" s="37" t="inlineStr">
        <is>
          <t>Vessbank</t>
        </is>
      </c>
      <c r="F378" s="37" t="n">
        <v>40</v>
      </c>
      <c r="G378" s="37" t="n">
        <v>1</v>
      </c>
      <c r="H378" s="37" t="n">
        <v>40</v>
      </c>
      <c r="I378" s="37" t="n">
        <v>10.4</v>
      </c>
      <c r="J378" s="37" t="n">
        <v>416</v>
      </c>
    </row>
    <row r="379">
      <c r="A379" s="37" t="inlineStr">
        <is>
          <t>TXN-202608-022993</t>
        </is>
      </c>
      <c r="B379" s="37" t="inlineStr">
        <is>
          <t>AC-VB-0701</t>
        </is>
      </c>
      <c r="C379" s="37" t="inlineStr">
        <is>
          <t>WL-02201</t>
        </is>
      </c>
      <c r="D379" s="37" t="inlineStr">
        <is>
          <t>VB-0701</t>
        </is>
      </c>
      <c r="E379" s="37" t="inlineStr">
        <is>
          <t>Vessbank</t>
        </is>
      </c>
      <c r="F379" s="37" t="n">
        <v>38</v>
      </c>
      <c r="G379" s="37" t="n">
        <v>1</v>
      </c>
      <c r="H379" s="37" t="n">
        <v>38</v>
      </c>
      <c r="I379" s="37" t="n">
        <v>10.4</v>
      </c>
      <c r="J379" s="37" t="n">
        <v>395.2</v>
      </c>
    </row>
    <row r="380">
      <c r="A380" s="37" t="inlineStr">
        <is>
          <t>TXN-202608-023071</t>
        </is>
      </c>
      <c r="B380" s="37" t="inlineStr">
        <is>
          <t>AC-VB-0703</t>
        </is>
      </c>
      <c r="C380" s="37" t="inlineStr">
        <is>
          <t>WL-01897</t>
        </is>
      </c>
      <c r="D380" s="37" t="inlineStr">
        <is>
          <t>VB-0703</t>
        </is>
      </c>
      <c r="E380" s="37" t="inlineStr">
        <is>
          <t>Vessbank</t>
        </is>
      </c>
      <c r="F380" s="37" t="n">
        <v>61</v>
      </c>
      <c r="G380" s="37" t="n">
        <v>1</v>
      </c>
      <c r="H380" s="37" t="n">
        <v>61</v>
      </c>
      <c r="I380" s="37" t="n">
        <v>10.4</v>
      </c>
      <c r="J380" s="37" t="n">
        <v>634.4</v>
      </c>
    </row>
    <row r="381">
      <c r="A381" s="37" t="inlineStr">
        <is>
          <t>TXN-202608-023148</t>
        </is>
      </c>
      <c r="B381" s="37" t="inlineStr">
        <is>
          <t>AC-VB-0704</t>
        </is>
      </c>
      <c r="C381" s="37" t="inlineStr">
        <is>
          <t>WL-02737</t>
        </is>
      </c>
      <c r="D381" s="37" t="inlineStr">
        <is>
          <t>VB-0704</t>
        </is>
      </c>
      <c r="E381" s="37" t="inlineStr">
        <is>
          <t>Vessbank</t>
        </is>
      </c>
      <c r="F381" s="37" t="n">
        <v>44</v>
      </c>
      <c r="G381" s="37" t="n">
        <v>1</v>
      </c>
      <c r="H381" s="37" t="n">
        <v>44</v>
      </c>
      <c r="I381" s="37" t="n">
        <v>10.4</v>
      </c>
      <c r="J381" s="37" t="n">
        <v>457.6</v>
      </c>
    </row>
    <row r="382">
      <c r="A382" s="37" t="inlineStr">
        <is>
          <t>TXN-202608-023204</t>
        </is>
      </c>
      <c r="B382" s="37" t="inlineStr">
        <is>
          <t>AC-VB-0705</t>
        </is>
      </c>
      <c r="C382" s="37" t="inlineStr">
        <is>
          <t>WL-02998</t>
        </is>
      </c>
      <c r="D382" s="37" t="inlineStr">
        <is>
          <t>VB-0705</t>
        </is>
      </c>
      <c r="E382" s="37" t="inlineStr">
        <is>
          <t>Vessbank</t>
        </is>
      </c>
      <c r="F382" s="37" t="n">
        <v>46</v>
      </c>
      <c r="G382" s="37" t="n">
        <v>1</v>
      </c>
      <c r="H382" s="37" t="n">
        <v>46</v>
      </c>
      <c r="I382" s="37" t="n">
        <v>10.4</v>
      </c>
      <c r="J382" s="37" t="n">
        <v>478.4</v>
      </c>
    </row>
    <row r="383">
      <c r="A383" s="37" t="inlineStr">
        <is>
          <t>TXN-202608-023276</t>
        </is>
      </c>
      <c r="B383" s="37" t="inlineStr">
        <is>
          <t>AC-VB-0706</t>
        </is>
      </c>
      <c r="C383" s="37" t="inlineStr">
        <is>
          <t>WL-02627</t>
        </is>
      </c>
      <c r="D383" s="37" t="inlineStr">
        <is>
          <t>VB-0706</t>
        </is>
      </c>
      <c r="E383" s="37" t="inlineStr">
        <is>
          <t>Vessbank</t>
        </is>
      </c>
      <c r="F383" s="37" t="n">
        <v>34</v>
      </c>
      <c r="G383" s="37" t="n">
        <v>1</v>
      </c>
      <c r="H383" s="37" t="n">
        <v>34</v>
      </c>
      <c r="I383" s="37" t="n">
        <v>10.4</v>
      </c>
      <c r="J383" s="37" t="n">
        <v>353.6</v>
      </c>
    </row>
    <row r="384">
      <c r="A384" s="37" t="inlineStr">
        <is>
          <t>TXN-202608-023322</t>
        </is>
      </c>
      <c r="B384" s="37" t="inlineStr">
        <is>
          <t>AC-VB-0707</t>
        </is>
      </c>
      <c r="C384" s="37" t="inlineStr">
        <is>
          <t>WL-01144</t>
        </is>
      </c>
      <c r="D384" s="37" t="inlineStr">
        <is>
          <t>VB-0707</t>
        </is>
      </c>
      <c r="E384" s="37" t="inlineStr">
        <is>
          <t>Vessbank</t>
        </is>
      </c>
      <c r="F384" s="37" t="n">
        <v>28</v>
      </c>
      <c r="G384" s="37" t="n">
        <v>1</v>
      </c>
      <c r="H384" s="37" t="n">
        <v>28</v>
      </c>
      <c r="I384" s="37" t="n">
        <v>10.4</v>
      </c>
      <c r="J384" s="37" t="n">
        <v>291.2</v>
      </c>
    </row>
    <row r="385">
      <c r="A385" s="37" t="inlineStr">
        <is>
          <t>TXN-202608-023395</t>
        </is>
      </c>
      <c r="B385" s="37" t="inlineStr">
        <is>
          <t>AC-VB-0708</t>
        </is>
      </c>
      <c r="C385" s="37" t="inlineStr">
        <is>
          <t>WL-01549</t>
        </is>
      </c>
      <c r="D385" s="37" t="inlineStr">
        <is>
          <t>VB-0708</t>
        </is>
      </c>
      <c r="E385" s="37" t="inlineStr">
        <is>
          <t>Vessbank</t>
        </is>
      </c>
      <c r="F385" s="37" t="n">
        <v>36</v>
      </c>
      <c r="G385" s="37" t="n">
        <v>1</v>
      </c>
      <c r="H385" s="37" t="n">
        <v>36</v>
      </c>
      <c r="I385" s="37" t="n">
        <v>10.4</v>
      </c>
      <c r="J385" s="37" t="n">
        <v>374.4</v>
      </c>
    </row>
    <row r="386">
      <c r="A386" s="37" t="inlineStr">
        <is>
          <t>TXN-202608-023466</t>
        </is>
      </c>
      <c r="B386" s="37" t="inlineStr">
        <is>
          <t>AC-VB-0709</t>
        </is>
      </c>
      <c r="C386" s="37" t="inlineStr">
        <is>
          <t>WL-03117</t>
        </is>
      </c>
      <c r="D386" s="37" t="inlineStr">
        <is>
          <t>VB-0709</t>
        </is>
      </c>
      <c r="E386" s="37" t="inlineStr">
        <is>
          <t>Vessbank</t>
        </is>
      </c>
      <c r="F386" s="37" t="n">
        <v>44</v>
      </c>
      <c r="G386" s="37" t="n">
        <v>1</v>
      </c>
      <c r="H386" s="37" t="n">
        <v>44</v>
      </c>
      <c r="I386" s="37" t="n">
        <v>10.4</v>
      </c>
      <c r="J386" s="37" t="n">
        <v>457.6</v>
      </c>
    </row>
    <row r="387">
      <c r="A387" s="37" t="inlineStr">
        <is>
          <t>TXN-202608-023520</t>
        </is>
      </c>
      <c r="B387" s="37" t="inlineStr">
        <is>
          <t>AC-VB-0710</t>
        </is>
      </c>
      <c r="C387" s="37" t="inlineStr">
        <is>
          <t>WL-01146</t>
        </is>
      </c>
      <c r="D387" s="37" t="inlineStr">
        <is>
          <t>VB-0710</t>
        </is>
      </c>
      <c r="E387" s="37" t="inlineStr">
        <is>
          <t>Vessbank</t>
        </is>
      </c>
      <c r="F387" s="37" t="n">
        <v>37</v>
      </c>
      <c r="G387" s="37" t="n">
        <v>1</v>
      </c>
      <c r="H387" s="37" t="n">
        <v>37</v>
      </c>
      <c r="I387" s="37" t="n">
        <v>10.4</v>
      </c>
      <c r="J387" s="37" t="n">
        <v>384.8</v>
      </c>
    </row>
    <row r="388">
      <c r="A388" s="37" t="inlineStr">
        <is>
          <t>TXN-202608-023563</t>
        </is>
      </c>
      <c r="B388" s="37" t="inlineStr">
        <is>
          <t>AC-VB-0711</t>
        </is>
      </c>
      <c r="C388" s="37" t="inlineStr">
        <is>
          <t>WL-03156</t>
        </is>
      </c>
      <c r="D388" s="37" t="inlineStr">
        <is>
          <t>VB-0711</t>
        </is>
      </c>
      <c r="E388" s="37" t="inlineStr">
        <is>
          <t>Vessbank</t>
        </is>
      </c>
      <c r="F388" s="37" t="n">
        <v>38</v>
      </c>
      <c r="G388" s="37" t="n">
        <v>1</v>
      </c>
      <c r="H388" s="37" t="n">
        <v>38</v>
      </c>
      <c r="I388" s="37" t="n">
        <v>10.4</v>
      </c>
      <c r="J388" s="37" t="n">
        <v>395.2</v>
      </c>
    </row>
    <row r="389">
      <c r="A389" s="37" t="inlineStr">
        <is>
          <t>TXN-202608-023629</t>
        </is>
      </c>
      <c r="B389" s="37" t="inlineStr">
        <is>
          <t>AC-VB-0712</t>
        </is>
      </c>
      <c r="C389" s="37" t="inlineStr">
        <is>
          <t>WL-03530</t>
        </is>
      </c>
      <c r="D389" s="37" t="inlineStr">
        <is>
          <t>VB-0712</t>
        </is>
      </c>
      <c r="E389" s="37" t="inlineStr">
        <is>
          <t>Vessbank</t>
        </is>
      </c>
      <c r="F389" s="37" t="n">
        <v>41</v>
      </c>
      <c r="G389" s="37" t="n">
        <v>1</v>
      </c>
      <c r="H389" s="37" t="n">
        <v>41</v>
      </c>
      <c r="I389" s="37" t="n">
        <v>10.4</v>
      </c>
      <c r="J389" s="37" t="n">
        <v>426.4</v>
      </c>
    </row>
    <row r="390">
      <c r="A390" s="37" t="inlineStr">
        <is>
          <t>TXN-202608-023683</t>
        </is>
      </c>
      <c r="B390" s="37" t="inlineStr">
        <is>
          <t>AC-VB-0713</t>
        </is>
      </c>
      <c r="C390" s="37" t="inlineStr">
        <is>
          <t>WL-01276</t>
        </is>
      </c>
      <c r="D390" s="37" t="inlineStr">
        <is>
          <t>VB-0713</t>
        </is>
      </c>
      <c r="E390" s="37" t="inlineStr">
        <is>
          <t>Vessbank</t>
        </is>
      </c>
      <c r="F390" s="37" t="n">
        <v>34</v>
      </c>
      <c r="G390" s="37" t="n">
        <v>1</v>
      </c>
      <c r="H390" s="37" t="n">
        <v>34</v>
      </c>
      <c r="I390" s="37" t="n">
        <v>10.4</v>
      </c>
      <c r="J390" s="37" t="n">
        <v>353.6</v>
      </c>
    </row>
    <row r="391">
      <c r="A391" s="37" t="inlineStr">
        <is>
          <t>TXN-202608-023748</t>
        </is>
      </c>
      <c r="B391" s="37" t="inlineStr">
        <is>
          <t>AC-VB-0714</t>
        </is>
      </c>
      <c r="C391" s="37" t="inlineStr">
        <is>
          <t>WL-02262</t>
        </is>
      </c>
      <c r="D391" s="37" t="inlineStr">
        <is>
          <t>VB-0714</t>
        </is>
      </c>
      <c r="E391" s="37" t="inlineStr">
        <is>
          <t>Vessbank</t>
        </is>
      </c>
      <c r="F391" s="37" t="n">
        <v>62</v>
      </c>
      <c r="G391" s="37" t="n">
        <v>1</v>
      </c>
      <c r="H391" s="37" t="n">
        <v>62</v>
      </c>
      <c r="I391" s="37" t="n">
        <v>10.4</v>
      </c>
      <c r="J391" s="37" t="n">
        <v>644.8</v>
      </c>
    </row>
    <row r="392">
      <c r="A392" s="37" t="inlineStr">
        <is>
          <t>TXN-202608-023824</t>
        </is>
      </c>
      <c r="B392" s="37" t="inlineStr">
        <is>
          <t>AC-VB-0715</t>
        </is>
      </c>
      <c r="C392" s="37" t="inlineStr">
        <is>
          <t>WL-02850</t>
        </is>
      </c>
      <c r="D392" s="37" t="inlineStr">
        <is>
          <t>VB-0715</t>
        </is>
      </c>
      <c r="E392" s="37" t="inlineStr">
        <is>
          <t>Vessbank</t>
        </is>
      </c>
      <c r="F392" s="37" t="n">
        <v>49</v>
      </c>
      <c r="G392" s="37" t="n">
        <v>1</v>
      </c>
      <c r="H392" s="37" t="n">
        <v>49</v>
      </c>
      <c r="I392" s="37" t="n">
        <v>10.4</v>
      </c>
      <c r="J392" s="37" t="n">
        <v>509.6</v>
      </c>
    </row>
    <row r="393">
      <c r="A393" s="37" t="inlineStr">
        <is>
          <t>TXN-202608-023899</t>
        </is>
      </c>
      <c r="B393" s="37" t="inlineStr">
        <is>
          <t>AC-VB-0716</t>
        </is>
      </c>
      <c r="C393" s="37" t="inlineStr">
        <is>
          <t>WL-02482</t>
        </is>
      </c>
      <c r="D393" s="37" t="inlineStr">
        <is>
          <t>VB-0716</t>
        </is>
      </c>
      <c r="E393" s="37" t="inlineStr">
        <is>
          <t>Vessbank</t>
        </is>
      </c>
      <c r="F393" s="37" t="n">
        <v>58</v>
      </c>
      <c r="G393" s="37" t="n">
        <v>1</v>
      </c>
      <c r="H393" s="37" t="n">
        <v>58</v>
      </c>
      <c r="I393" s="37" t="n">
        <v>10.4</v>
      </c>
      <c r="J393" s="37" t="n">
        <v>603.2</v>
      </c>
    </row>
    <row r="394">
      <c r="A394" s="37" t="inlineStr">
        <is>
          <t>TXN-202608-023969</t>
        </is>
      </c>
      <c r="B394" s="37" t="inlineStr">
        <is>
          <t>AC-VB-0717</t>
        </is>
      </c>
      <c r="C394" s="37" t="inlineStr">
        <is>
          <t>WL-01515</t>
        </is>
      </c>
      <c r="D394" s="37" t="inlineStr">
        <is>
          <t>VB-0717</t>
        </is>
      </c>
      <c r="E394" s="37" t="inlineStr">
        <is>
          <t>Vessbank</t>
        </is>
      </c>
      <c r="F394" s="37" t="n">
        <v>51</v>
      </c>
      <c r="G394" s="37" t="n">
        <v>1</v>
      </c>
      <c r="H394" s="37" t="n">
        <v>51</v>
      </c>
      <c r="I394" s="37" t="n">
        <v>10.4</v>
      </c>
      <c r="J394" s="37" t="n">
        <v>530.4</v>
      </c>
    </row>
    <row r="395">
      <c r="A395" s="37" t="inlineStr">
        <is>
          <t>TXN-202608-024052</t>
        </is>
      </c>
      <c r="B395" s="37" t="inlineStr">
        <is>
          <t>AC-VB-0718</t>
        </is>
      </c>
      <c r="C395" s="37" t="inlineStr">
        <is>
          <t>WL-02670</t>
        </is>
      </c>
      <c r="D395" s="37" t="inlineStr">
        <is>
          <t>VB-0718</t>
        </is>
      </c>
      <c r="E395" s="37" t="inlineStr">
        <is>
          <t>Vessbank</t>
        </is>
      </c>
      <c r="F395" s="37" t="n">
        <v>36</v>
      </c>
      <c r="G395" s="37" t="n">
        <v>1</v>
      </c>
      <c r="H395" s="37" t="n">
        <v>36</v>
      </c>
      <c r="I395" s="37" t="n">
        <v>10.4</v>
      </c>
      <c r="J395" s="37" t="n">
        <v>374.4</v>
      </c>
    </row>
    <row r="396">
      <c r="A396" s="37" t="inlineStr">
        <is>
          <t>TXN-202608-024133</t>
        </is>
      </c>
      <c r="B396" s="37" t="inlineStr">
        <is>
          <t>AC-VB-0719</t>
        </is>
      </c>
      <c r="C396" s="37" t="inlineStr">
        <is>
          <t>WL-01748</t>
        </is>
      </c>
      <c r="D396" s="37" t="inlineStr">
        <is>
          <t>VB-0719</t>
        </is>
      </c>
      <c r="E396" s="37" t="inlineStr">
        <is>
          <t>Vessbank</t>
        </is>
      </c>
      <c r="F396" s="37" t="n">
        <v>32</v>
      </c>
      <c r="G396" s="37" t="n">
        <v>1</v>
      </c>
      <c r="H396" s="37" t="n">
        <v>32</v>
      </c>
      <c r="I396" s="37" t="n">
        <v>10.4</v>
      </c>
      <c r="J396" s="37" t="n">
        <v>332.8</v>
      </c>
    </row>
    <row r="397">
      <c r="A397" s="37" t="inlineStr">
        <is>
          <t>TXN-202608-024196</t>
        </is>
      </c>
      <c r="B397" s="37" t="inlineStr">
        <is>
          <t>AC-VB-0720</t>
        </is>
      </c>
      <c r="C397" s="37" t="inlineStr">
        <is>
          <t>WL-01043</t>
        </is>
      </c>
      <c r="D397" s="37" t="inlineStr">
        <is>
          <t>VB-0720</t>
        </is>
      </c>
      <c r="E397" s="37" t="inlineStr">
        <is>
          <t>Vessbank</t>
        </is>
      </c>
      <c r="F397" s="37" t="n">
        <v>62</v>
      </c>
      <c r="G397" s="37" t="n">
        <v>1</v>
      </c>
      <c r="H397" s="37" t="n">
        <v>62</v>
      </c>
      <c r="I397" s="37" t="n">
        <v>10.4</v>
      </c>
      <c r="J397" s="37" t="n">
        <v>644.8</v>
      </c>
    </row>
    <row r="398">
      <c r="A398" s="37" t="inlineStr">
        <is>
          <t>TXN-202608-024248</t>
        </is>
      </c>
      <c r="B398" s="37" t="inlineStr">
        <is>
          <t>AC-VB-0721</t>
        </is>
      </c>
      <c r="C398" s="37" t="inlineStr">
        <is>
          <t>WL-01272</t>
        </is>
      </c>
      <c r="D398" s="37" t="inlineStr">
        <is>
          <t>VB-0721</t>
        </is>
      </c>
      <c r="E398" s="37" t="inlineStr">
        <is>
          <t>Vessbank</t>
        </is>
      </c>
      <c r="F398" s="37" t="n">
        <v>28</v>
      </c>
      <c r="G398" s="37" t="n">
        <v>1</v>
      </c>
      <c r="H398" s="37" t="n">
        <v>28</v>
      </c>
      <c r="I398" s="37" t="n">
        <v>10.4</v>
      </c>
      <c r="J398" s="37" t="n">
        <v>291.2</v>
      </c>
    </row>
    <row r="399">
      <c r="A399" s="37" t="inlineStr">
        <is>
          <t>TXN-202608-024314</t>
        </is>
      </c>
      <c r="B399" s="37" t="inlineStr">
        <is>
          <t>AC-VB-0722</t>
        </is>
      </c>
      <c r="C399" s="37" t="inlineStr">
        <is>
          <t>WL-03066</t>
        </is>
      </c>
      <c r="D399" s="37" t="inlineStr">
        <is>
          <t>VB-0722</t>
        </is>
      </c>
      <c r="E399" s="37" t="inlineStr">
        <is>
          <t>Vessbank</t>
        </is>
      </c>
      <c r="F399" s="37" t="n">
        <v>54</v>
      </c>
      <c r="G399" s="37" t="n">
        <v>1</v>
      </c>
      <c r="H399" s="37" t="n">
        <v>54</v>
      </c>
      <c r="I399" s="37" t="n">
        <v>10.4</v>
      </c>
      <c r="J399" s="37" t="n">
        <v>561.6</v>
      </c>
    </row>
    <row r="400">
      <c r="A400" s="37" t="inlineStr">
        <is>
          <t>TXN-202608-024390</t>
        </is>
      </c>
      <c r="B400" s="37" t="inlineStr">
        <is>
          <t>AC-VB-0723</t>
        </is>
      </c>
      <c r="C400" s="37" t="inlineStr">
        <is>
          <t>WL-03192</t>
        </is>
      </c>
      <c r="D400" s="37" t="inlineStr">
        <is>
          <t>VB-0723</t>
        </is>
      </c>
      <c r="E400" s="37" t="inlineStr">
        <is>
          <t>Vessbank</t>
        </is>
      </c>
      <c r="F400" s="37" t="n">
        <v>56</v>
      </c>
      <c r="G400" s="37" t="n">
        <v>1</v>
      </c>
      <c r="H400" s="37" t="n">
        <v>56</v>
      </c>
      <c r="I400" s="37" t="n">
        <v>10.4</v>
      </c>
      <c r="J400" s="37" t="n">
        <v>582.4</v>
      </c>
    </row>
    <row r="401">
      <c r="A401" s="37" t="inlineStr">
        <is>
          <t>TXN-202608-024453</t>
        </is>
      </c>
      <c r="B401" s="37" t="inlineStr">
        <is>
          <t>AC-VB-0724</t>
        </is>
      </c>
      <c r="C401" s="37" t="inlineStr">
        <is>
          <t>WL-02714</t>
        </is>
      </c>
      <c r="D401" s="37" t="inlineStr">
        <is>
          <t>VB-0724</t>
        </is>
      </c>
      <c r="E401" s="37" t="inlineStr">
        <is>
          <t>Vessbank</t>
        </is>
      </c>
      <c r="F401" s="37" t="n">
        <v>55</v>
      </c>
      <c r="G401" s="37" t="n">
        <v>1</v>
      </c>
      <c r="H401" s="37" t="n">
        <v>55</v>
      </c>
      <c r="I401" s="37" t="n">
        <v>10.4</v>
      </c>
      <c r="J401" s="37" t="n">
        <v>572</v>
      </c>
    </row>
    <row r="402">
      <c r="A402" s="37" t="inlineStr">
        <is>
          <t>TXN-202608-024528</t>
        </is>
      </c>
      <c r="B402" s="37" t="inlineStr">
        <is>
          <t>AC-VB-0801</t>
        </is>
      </c>
      <c r="C402" s="37" t="inlineStr">
        <is>
          <t>WL-01099</t>
        </is>
      </c>
      <c r="D402" s="37" t="inlineStr">
        <is>
          <t>VB-0801</t>
        </is>
      </c>
      <c r="E402" s="37" t="inlineStr">
        <is>
          <t>Vessbank</t>
        </is>
      </c>
      <c r="F402" s="37" t="n">
        <v>40</v>
      </c>
      <c r="G402" s="37" t="n">
        <v>1</v>
      </c>
      <c r="H402" s="37" t="n">
        <v>40</v>
      </c>
      <c r="I402" s="37" t="n">
        <v>10.4</v>
      </c>
      <c r="J402" s="37" t="n">
        <v>416</v>
      </c>
    </row>
    <row r="403">
      <c r="A403" s="37" t="inlineStr">
        <is>
          <t>TXN-202608-024575</t>
        </is>
      </c>
      <c r="B403" s="37" t="inlineStr">
        <is>
          <t>AC-VB-0802</t>
        </is>
      </c>
      <c r="C403" s="37" t="inlineStr">
        <is>
          <t>WL-03073</t>
        </is>
      </c>
      <c r="D403" s="37" t="inlineStr">
        <is>
          <t>VB-0802</t>
        </is>
      </c>
      <c r="E403" s="37" t="inlineStr">
        <is>
          <t>Vessbank</t>
        </is>
      </c>
      <c r="F403" s="37" t="n">
        <v>50</v>
      </c>
      <c r="G403" s="37" t="n">
        <v>1</v>
      </c>
      <c r="H403" s="37" t="n">
        <v>50</v>
      </c>
      <c r="I403" s="37" t="n">
        <v>10.4</v>
      </c>
      <c r="J403" s="37" t="n">
        <v>520</v>
      </c>
    </row>
    <row r="404">
      <c r="A404" s="37" t="inlineStr">
        <is>
          <t>TXN-202608-024658</t>
        </is>
      </c>
      <c r="B404" s="37" t="inlineStr">
        <is>
          <t>AC-VB-0803</t>
        </is>
      </c>
      <c r="C404" s="37" t="inlineStr">
        <is>
          <t>WL-01889</t>
        </is>
      </c>
      <c r="D404" s="37" t="inlineStr">
        <is>
          <t>VB-0803</t>
        </is>
      </c>
      <c r="E404" s="37" t="inlineStr">
        <is>
          <t>Vessbank</t>
        </is>
      </c>
      <c r="F404" s="37" t="n">
        <v>28</v>
      </c>
      <c r="G404" s="37" t="n">
        <v>1</v>
      </c>
      <c r="H404" s="37" t="n">
        <v>28</v>
      </c>
      <c r="I404" s="37" t="n">
        <v>10.4</v>
      </c>
      <c r="J404" s="37" t="n">
        <v>291.2</v>
      </c>
    </row>
    <row r="405">
      <c r="A405" s="37" t="inlineStr">
        <is>
          <t>TXN-202608-024724</t>
        </is>
      </c>
      <c r="B405" s="37" t="inlineStr">
        <is>
          <t>AC-VB-0804</t>
        </is>
      </c>
      <c r="C405" s="37" t="inlineStr">
        <is>
          <t>WL-02837</t>
        </is>
      </c>
      <c r="D405" s="37" t="inlineStr">
        <is>
          <t>VB-0804</t>
        </is>
      </c>
      <c r="E405" s="37" t="inlineStr">
        <is>
          <t>Vessbank</t>
        </is>
      </c>
      <c r="F405" s="37" t="n">
        <v>24</v>
      </c>
      <c r="G405" s="37" t="n">
        <v>1</v>
      </c>
      <c r="H405" s="37" t="n">
        <v>24</v>
      </c>
      <c r="I405" s="37" t="n">
        <v>10.4</v>
      </c>
      <c r="J405" s="37" t="n">
        <v>249.6</v>
      </c>
    </row>
    <row r="406">
      <c r="A406" s="37" t="inlineStr">
        <is>
          <t>TXN-202608-024764</t>
        </is>
      </c>
      <c r="B406" s="37" t="inlineStr">
        <is>
          <t>AC-VB-0805</t>
        </is>
      </c>
      <c r="C406" s="37" t="inlineStr">
        <is>
          <t>WL-03293</t>
        </is>
      </c>
      <c r="D406" s="37" t="inlineStr">
        <is>
          <t>VB-0805</t>
        </is>
      </c>
      <c r="E406" s="37" t="inlineStr">
        <is>
          <t>Vessbank</t>
        </is>
      </c>
      <c r="F406" s="37" t="n">
        <v>32</v>
      </c>
      <c r="G406" s="37" t="n">
        <v>1</v>
      </c>
      <c r="H406" s="37" t="n">
        <v>32</v>
      </c>
      <c r="I406" s="37" t="n">
        <v>10.4</v>
      </c>
      <c r="J406" s="37" t="n">
        <v>332.8</v>
      </c>
    </row>
    <row r="407">
      <c r="A407" s="37" t="inlineStr">
        <is>
          <t>TXN-202608-024806</t>
        </is>
      </c>
      <c r="B407" s="37" t="inlineStr">
        <is>
          <t>AC-VB-0806</t>
        </is>
      </c>
      <c r="C407" s="37" t="inlineStr">
        <is>
          <t>WL-01493</t>
        </is>
      </c>
      <c r="D407" s="37" t="inlineStr">
        <is>
          <t>VB-0806</t>
        </is>
      </c>
      <c r="E407" s="37" t="inlineStr">
        <is>
          <t>Vessbank</t>
        </is>
      </c>
      <c r="F407" s="37" t="n">
        <v>32</v>
      </c>
      <c r="G407" s="37" t="n">
        <v>1</v>
      </c>
      <c r="H407" s="37" t="n">
        <v>32</v>
      </c>
      <c r="I407" s="37" t="n">
        <v>10.4</v>
      </c>
      <c r="J407" s="37" t="n">
        <v>332.8</v>
      </c>
    </row>
    <row r="408">
      <c r="A408" s="37" t="inlineStr">
        <is>
          <t>TXN-202608-024843</t>
        </is>
      </c>
      <c r="B408" s="37" t="inlineStr">
        <is>
          <t>AC-VB-0807</t>
        </is>
      </c>
      <c r="C408" s="37" t="inlineStr">
        <is>
          <t>WL-01492</t>
        </is>
      </c>
      <c r="D408" s="37" t="inlineStr">
        <is>
          <t>VB-0807</t>
        </is>
      </c>
      <c r="E408" s="37" t="inlineStr">
        <is>
          <t>Vessbank</t>
        </is>
      </c>
      <c r="F408" s="37" t="n">
        <v>59</v>
      </c>
      <c r="G408" s="37" t="n">
        <v>1</v>
      </c>
      <c r="H408" s="37" t="n">
        <v>59</v>
      </c>
      <c r="I408" s="37" t="n">
        <v>10.4</v>
      </c>
      <c r="J408" s="37" t="n">
        <v>613.6</v>
      </c>
    </row>
    <row r="409">
      <c r="A409" s="37" t="inlineStr">
        <is>
          <t>TXN-202608-024925</t>
        </is>
      </c>
      <c r="B409" s="37" t="inlineStr">
        <is>
          <t>AC-VB-0808</t>
        </is>
      </c>
      <c r="C409" s="37" t="inlineStr">
        <is>
          <t>WL-03837</t>
        </is>
      </c>
      <c r="D409" s="37" t="inlineStr">
        <is>
          <t>VB-0808</t>
        </is>
      </c>
      <c r="E409" s="37" t="inlineStr">
        <is>
          <t>Vessbank</t>
        </is>
      </c>
      <c r="F409" s="37" t="n">
        <v>24</v>
      </c>
      <c r="G409" s="37" t="n">
        <v>1</v>
      </c>
      <c r="H409" s="37" t="n">
        <v>24</v>
      </c>
      <c r="I409" s="37" t="n">
        <v>10.4</v>
      </c>
      <c r="J409" s="37" t="n">
        <v>249.6</v>
      </c>
    </row>
    <row r="410">
      <c r="A410" s="37" t="inlineStr">
        <is>
          <t>TXN-202608-024985</t>
        </is>
      </c>
      <c r="B410" s="37" t="inlineStr">
        <is>
          <t>AC-VB-0810</t>
        </is>
      </c>
      <c r="C410" s="37" t="inlineStr">
        <is>
          <t>WL-03458</t>
        </is>
      </c>
      <c r="D410" s="37" t="inlineStr">
        <is>
          <t>VB-0810</t>
        </is>
      </c>
      <c r="E410" s="37" t="inlineStr">
        <is>
          <t>Vessbank</t>
        </is>
      </c>
      <c r="F410" s="37" t="n">
        <v>32</v>
      </c>
      <c r="G410" s="37" t="n">
        <v>1</v>
      </c>
      <c r="H410" s="37" t="n">
        <v>32</v>
      </c>
      <c r="I410" s="37" t="n">
        <v>10.4</v>
      </c>
      <c r="J410" s="37" t="n">
        <v>332.8</v>
      </c>
    </row>
    <row r="411">
      <c r="A411" s="37" t="inlineStr">
        <is>
          <t>TXN-202608-025051</t>
        </is>
      </c>
      <c r="B411" s="37" t="inlineStr">
        <is>
          <t>AC-VB-0811</t>
        </is>
      </c>
      <c r="C411" s="37" t="inlineStr">
        <is>
          <t>WL-02419</t>
        </is>
      </c>
      <c r="D411" s="37" t="inlineStr">
        <is>
          <t>VB-0811</t>
        </is>
      </c>
      <c r="E411" s="37" t="inlineStr">
        <is>
          <t>Vessbank</t>
        </is>
      </c>
      <c r="F411" s="37" t="n">
        <v>53</v>
      </c>
      <c r="G411" s="37" t="n">
        <v>1</v>
      </c>
      <c r="H411" s="37" t="n">
        <v>53</v>
      </c>
      <c r="I411" s="37" t="n">
        <v>10.4</v>
      </c>
      <c r="J411" s="37" t="n">
        <v>551.2</v>
      </c>
    </row>
    <row r="412">
      <c r="A412" s="37" t="inlineStr">
        <is>
          <t>TXN-202608-025106</t>
        </is>
      </c>
      <c r="B412" s="37" t="inlineStr">
        <is>
          <t>AC-VB-0812</t>
        </is>
      </c>
      <c r="C412" s="37" t="inlineStr">
        <is>
          <t>WL-02636</t>
        </is>
      </c>
      <c r="D412" s="37" t="inlineStr">
        <is>
          <t>VB-0812</t>
        </is>
      </c>
      <c r="E412" s="37" t="inlineStr">
        <is>
          <t>Vessbank</t>
        </is>
      </c>
      <c r="F412" s="37" t="n">
        <v>34</v>
      </c>
      <c r="G412" s="37" t="n">
        <v>1</v>
      </c>
      <c r="H412" s="37" t="n">
        <v>34</v>
      </c>
      <c r="I412" s="37" t="n">
        <v>10.4</v>
      </c>
      <c r="J412" s="37" t="n">
        <v>353.6</v>
      </c>
    </row>
    <row r="413">
      <c r="A413" s="37" t="inlineStr">
        <is>
          <t>TXN-202608-025180</t>
        </is>
      </c>
      <c r="B413" s="37" t="inlineStr">
        <is>
          <t>AC-VB-0813</t>
        </is>
      </c>
      <c r="C413" s="37" t="inlineStr">
        <is>
          <t>WL-03132</t>
        </is>
      </c>
      <c r="D413" s="37" t="inlineStr">
        <is>
          <t>VB-0813</t>
        </is>
      </c>
      <c r="E413" s="37" t="inlineStr">
        <is>
          <t>Vessbank</t>
        </is>
      </c>
      <c r="F413" s="37" t="n">
        <v>57</v>
      </c>
      <c r="G413" s="37" t="n">
        <v>1</v>
      </c>
      <c r="H413" s="37" t="n">
        <v>57</v>
      </c>
      <c r="I413" s="37" t="n">
        <v>10.4</v>
      </c>
      <c r="J413" s="37" t="n">
        <v>592.8</v>
      </c>
    </row>
    <row r="414">
      <c r="A414" s="37" t="inlineStr">
        <is>
          <t>TXN-202608-025221</t>
        </is>
      </c>
      <c r="B414" s="37" t="inlineStr">
        <is>
          <t>AC-VB-0814</t>
        </is>
      </c>
      <c r="C414" s="37" t="inlineStr">
        <is>
          <t>WL-03609</t>
        </is>
      </c>
      <c r="D414" s="37" t="inlineStr">
        <is>
          <t>VB-0814</t>
        </is>
      </c>
      <c r="E414" s="37" t="inlineStr">
        <is>
          <t>Vessbank</t>
        </is>
      </c>
      <c r="F414" s="37" t="n">
        <v>60</v>
      </c>
      <c r="G414" s="37" t="n">
        <v>1</v>
      </c>
      <c r="H414" s="37" t="n">
        <v>60</v>
      </c>
      <c r="I414" s="37" t="n">
        <v>10.4</v>
      </c>
      <c r="J414" s="37" t="n">
        <v>624</v>
      </c>
    </row>
    <row r="415">
      <c r="A415" s="37" t="inlineStr">
        <is>
          <t>TXN-202608-025274</t>
        </is>
      </c>
      <c r="B415" s="37" t="inlineStr">
        <is>
          <t>AC-VB-0815</t>
        </is>
      </c>
      <c r="C415" s="37" t="inlineStr">
        <is>
          <t>WL-01850</t>
        </is>
      </c>
      <c r="D415" s="37" t="inlineStr">
        <is>
          <t>VB-0815</t>
        </is>
      </c>
      <c r="E415" s="37" t="inlineStr">
        <is>
          <t>Vessbank</t>
        </is>
      </c>
      <c r="F415" s="37" t="n">
        <v>36</v>
      </c>
      <c r="G415" s="37" t="n">
        <v>1</v>
      </c>
      <c r="H415" s="37" t="n">
        <v>36</v>
      </c>
      <c r="I415" s="37" t="n">
        <v>10.4</v>
      </c>
      <c r="J415" s="37" t="n">
        <v>374.4</v>
      </c>
    </row>
    <row r="416">
      <c r="A416" s="37" t="inlineStr">
        <is>
          <t>TXN-202608-025342</t>
        </is>
      </c>
      <c r="B416" s="37" t="inlineStr">
        <is>
          <t>AC-VB-0816</t>
        </is>
      </c>
      <c r="C416" s="37" t="inlineStr">
        <is>
          <t>WL-02825</t>
        </is>
      </c>
      <c r="D416" s="37" t="inlineStr">
        <is>
          <t>VB-0816</t>
        </is>
      </c>
      <c r="E416" s="37" t="inlineStr">
        <is>
          <t>Vessbank</t>
        </is>
      </c>
      <c r="F416" s="37" t="n">
        <v>59</v>
      </c>
      <c r="G416" s="37" t="n">
        <v>1</v>
      </c>
      <c r="H416" s="37" t="n">
        <v>59</v>
      </c>
      <c r="I416" s="37" t="n">
        <v>10.4</v>
      </c>
      <c r="J416" s="37" t="n">
        <v>613.6</v>
      </c>
    </row>
    <row r="417">
      <c r="A417" s="37" t="inlineStr">
        <is>
          <t>TXN-202608-025421</t>
        </is>
      </c>
      <c r="B417" s="37" t="inlineStr">
        <is>
          <t>AC-VB-0817</t>
        </is>
      </c>
      <c r="C417" s="37" t="inlineStr">
        <is>
          <t>WL-02072</t>
        </is>
      </c>
      <c r="D417" s="37" t="inlineStr">
        <is>
          <t>VB-0817</t>
        </is>
      </c>
      <c r="E417" s="37" t="inlineStr">
        <is>
          <t>Vessbank</t>
        </is>
      </c>
      <c r="F417" s="37" t="n">
        <v>55</v>
      </c>
      <c r="G417" s="37" t="n">
        <v>1</v>
      </c>
      <c r="H417" s="37" t="n">
        <v>55</v>
      </c>
      <c r="I417" s="37" t="n">
        <v>10.4</v>
      </c>
      <c r="J417" s="37" t="n">
        <v>572</v>
      </c>
    </row>
    <row r="418">
      <c r="A418" s="37" t="inlineStr">
        <is>
          <t>TXN-202608-025469</t>
        </is>
      </c>
      <c r="B418" s="37" t="inlineStr">
        <is>
          <t>AC-VB-0818</t>
        </is>
      </c>
      <c r="C418" s="37" t="inlineStr">
        <is>
          <t>WL-01501</t>
        </is>
      </c>
      <c r="D418" s="37" t="inlineStr">
        <is>
          <t>VB-0818</t>
        </is>
      </c>
      <c r="E418" s="37" t="inlineStr">
        <is>
          <t>Vessbank</t>
        </is>
      </c>
      <c r="F418" s="37" t="n">
        <v>47</v>
      </c>
      <c r="G418" s="37" t="n">
        <v>1</v>
      </c>
      <c r="H418" s="37" t="n">
        <v>47</v>
      </c>
      <c r="I418" s="37" t="n">
        <v>10.4</v>
      </c>
      <c r="J418" s="37" t="n">
        <v>488.8</v>
      </c>
    </row>
    <row r="419">
      <c r="A419" s="37" t="inlineStr">
        <is>
          <t>TXN-202608-025515</t>
        </is>
      </c>
      <c r="B419" s="37" t="inlineStr">
        <is>
          <t>AC-VB-0819</t>
        </is>
      </c>
      <c r="C419" s="37" t="inlineStr">
        <is>
          <t>WL-03202</t>
        </is>
      </c>
      <c r="D419" s="37" t="inlineStr">
        <is>
          <t>VB-0819</t>
        </is>
      </c>
      <c r="E419" s="37" t="inlineStr">
        <is>
          <t>Vessbank</t>
        </is>
      </c>
      <c r="F419" s="37" t="n">
        <v>57</v>
      </c>
      <c r="G419" s="37" t="n">
        <v>1</v>
      </c>
      <c r="H419" s="37" t="n">
        <v>57</v>
      </c>
      <c r="I419" s="37" t="n">
        <v>10.4</v>
      </c>
      <c r="J419" s="37" t="n">
        <v>592.8</v>
      </c>
    </row>
    <row r="420">
      <c r="A420" s="37" t="inlineStr">
        <is>
          <t>TXN-202608-025599</t>
        </is>
      </c>
      <c r="B420" s="37" t="inlineStr">
        <is>
          <t>AC-VB-0820</t>
        </is>
      </c>
      <c r="C420" s="37" t="inlineStr">
        <is>
          <t>WL-01842</t>
        </is>
      </c>
      <c r="D420" s="37" t="inlineStr">
        <is>
          <t>VB-0820</t>
        </is>
      </c>
      <c r="E420" s="37" t="inlineStr">
        <is>
          <t>Vessbank</t>
        </is>
      </c>
      <c r="F420" s="37" t="n">
        <v>40</v>
      </c>
      <c r="G420" s="37" t="n">
        <v>1</v>
      </c>
      <c r="H420" s="37" t="n">
        <v>40</v>
      </c>
      <c r="I420" s="37" t="n">
        <v>10.4</v>
      </c>
      <c r="J420" s="37" t="n">
        <v>416</v>
      </c>
    </row>
    <row r="421">
      <c r="A421" s="37" t="inlineStr">
        <is>
          <t>TXN-202608-025654</t>
        </is>
      </c>
      <c r="B421" s="37" t="inlineStr">
        <is>
          <t>AC-VB-0821</t>
        </is>
      </c>
      <c r="C421" s="37" t="inlineStr">
        <is>
          <t>WL-02284</t>
        </is>
      </c>
      <c r="D421" s="37" t="inlineStr">
        <is>
          <t>VB-0821</t>
        </is>
      </c>
      <c r="E421" s="37" t="inlineStr">
        <is>
          <t>Vessbank</t>
        </is>
      </c>
      <c r="F421" s="37" t="n">
        <v>58</v>
      </c>
      <c r="G421" s="37" t="n">
        <v>1</v>
      </c>
      <c r="H421" s="37" t="n">
        <v>58</v>
      </c>
      <c r="I421" s="37" t="n">
        <v>10.4</v>
      </c>
      <c r="J421" s="37" t="n">
        <v>603.2</v>
      </c>
    </row>
    <row r="422">
      <c r="A422" s="37" t="inlineStr">
        <is>
          <t>TXN-202608-025726</t>
        </is>
      </c>
      <c r="B422" s="37" t="inlineStr">
        <is>
          <t>AC-VB-0822</t>
        </is>
      </c>
      <c r="C422" s="37" t="inlineStr">
        <is>
          <t>WL-01320</t>
        </is>
      </c>
      <c r="D422" s="37" t="inlineStr">
        <is>
          <t>VB-0822</t>
        </is>
      </c>
      <c r="E422" s="37" t="inlineStr">
        <is>
          <t>Vessbank</t>
        </is>
      </c>
      <c r="F422" s="37" t="n">
        <v>51</v>
      </c>
      <c r="G422" s="37" t="n">
        <v>1</v>
      </c>
      <c r="H422" s="37" t="n">
        <v>51</v>
      </c>
      <c r="I422" s="37" t="n">
        <v>10.4</v>
      </c>
      <c r="J422" s="37" t="n">
        <v>530.4</v>
      </c>
    </row>
    <row r="423">
      <c r="A423" s="37" t="inlineStr">
        <is>
          <t>TXN-202608-025778</t>
        </is>
      </c>
      <c r="B423" s="37" t="inlineStr">
        <is>
          <t>AC-VB-0823</t>
        </is>
      </c>
      <c r="C423" s="37" t="inlineStr">
        <is>
          <t>WL-01903</t>
        </is>
      </c>
      <c r="D423" s="37" t="inlineStr">
        <is>
          <t>VB-0823</t>
        </is>
      </c>
      <c r="E423" s="37" t="inlineStr">
        <is>
          <t>Vessbank</t>
        </is>
      </c>
      <c r="F423" s="37" t="n">
        <v>59</v>
      </c>
      <c r="G423" s="37" t="n">
        <v>1</v>
      </c>
      <c r="H423" s="37" t="n">
        <v>59</v>
      </c>
      <c r="I423" s="37" t="n">
        <v>10.4</v>
      </c>
      <c r="J423" s="37" t="n">
        <v>613.6</v>
      </c>
    </row>
    <row r="424">
      <c r="A424" s="37" t="inlineStr">
        <is>
          <t>TXN-202608-025851</t>
        </is>
      </c>
      <c r="B424" s="37" t="inlineStr">
        <is>
          <t>AC-VB-0901</t>
        </is>
      </c>
      <c r="C424" s="37" t="inlineStr">
        <is>
          <t>WL-02650</t>
        </is>
      </c>
      <c r="D424" s="37" t="inlineStr">
        <is>
          <t>VB-0901</t>
        </is>
      </c>
      <c r="E424" s="37" t="inlineStr">
        <is>
          <t>Vessbank</t>
        </is>
      </c>
      <c r="F424" s="37" t="n">
        <v>47</v>
      </c>
      <c r="G424" s="37" t="n">
        <v>1</v>
      </c>
      <c r="H424" s="37" t="n">
        <v>47</v>
      </c>
      <c r="I424" s="37" t="n">
        <v>10.4</v>
      </c>
      <c r="J424" s="37" t="n">
        <v>488.8</v>
      </c>
    </row>
    <row r="425">
      <c r="A425" s="37" t="inlineStr">
        <is>
          <t>TXN-202608-025912</t>
        </is>
      </c>
      <c r="B425" s="37" t="inlineStr">
        <is>
          <t>AC-VB-0902</t>
        </is>
      </c>
      <c r="C425" s="37" t="inlineStr">
        <is>
          <t>WL-01273</t>
        </is>
      </c>
      <c r="D425" s="37" t="inlineStr">
        <is>
          <t>VB-0902</t>
        </is>
      </c>
      <c r="E425" s="37" t="inlineStr">
        <is>
          <t>Vessbank</t>
        </is>
      </c>
      <c r="F425" s="37" t="n">
        <v>59</v>
      </c>
      <c r="G425" s="37" t="n">
        <v>1</v>
      </c>
      <c r="H425" s="37" t="n">
        <v>59</v>
      </c>
      <c r="I425" s="37" t="n">
        <v>10.4</v>
      </c>
      <c r="J425" s="37" t="n">
        <v>613.6</v>
      </c>
    </row>
    <row r="426">
      <c r="A426" s="37" t="inlineStr">
        <is>
          <t>TXN-202608-025972</t>
        </is>
      </c>
      <c r="B426" s="37" t="inlineStr">
        <is>
          <t>AC-VB-0903</t>
        </is>
      </c>
      <c r="C426" s="37" t="inlineStr">
        <is>
          <t>WL-02456</t>
        </is>
      </c>
      <c r="D426" s="37" t="inlineStr">
        <is>
          <t>VB-0903</t>
        </is>
      </c>
      <c r="E426" s="37" t="inlineStr">
        <is>
          <t>Vessbank</t>
        </is>
      </c>
      <c r="F426" s="37" t="n">
        <v>57</v>
      </c>
      <c r="G426" s="37" t="n">
        <v>1</v>
      </c>
      <c r="H426" s="37" t="n">
        <v>57</v>
      </c>
      <c r="I426" s="37" t="n">
        <v>10.4</v>
      </c>
      <c r="J426" s="37" t="n">
        <v>592.8</v>
      </c>
    </row>
    <row r="427">
      <c r="A427" s="37" t="inlineStr">
        <is>
          <t>TXN-202608-026052</t>
        </is>
      </c>
      <c r="B427" s="37" t="inlineStr">
        <is>
          <t>AC-VB-0904</t>
        </is>
      </c>
      <c r="C427" s="37" t="inlineStr">
        <is>
          <t>WL-02354</t>
        </is>
      </c>
      <c r="D427" s="37" t="inlineStr">
        <is>
          <t>VB-0904</t>
        </is>
      </c>
      <c r="E427" s="37" t="inlineStr">
        <is>
          <t>Vessbank</t>
        </is>
      </c>
      <c r="F427" s="37" t="n">
        <v>57</v>
      </c>
      <c r="G427" s="37" t="n">
        <v>1</v>
      </c>
      <c r="H427" s="37" t="n">
        <v>57</v>
      </c>
      <c r="I427" s="37" t="n">
        <v>10.4</v>
      </c>
      <c r="J427" s="37" t="n">
        <v>592.8</v>
      </c>
    </row>
    <row r="428">
      <c r="A428" s="37" t="inlineStr">
        <is>
          <t>TXN-202608-026105</t>
        </is>
      </c>
      <c r="B428" s="37" t="inlineStr">
        <is>
          <t>AC-VB-0905</t>
        </is>
      </c>
      <c r="C428" s="37" t="inlineStr">
        <is>
          <t>WL-03101</t>
        </is>
      </c>
      <c r="D428" s="37" t="inlineStr">
        <is>
          <t>VB-0905</t>
        </is>
      </c>
      <c r="E428" s="37" t="inlineStr">
        <is>
          <t>Vessbank</t>
        </is>
      </c>
      <c r="F428" s="37" t="n">
        <v>28</v>
      </c>
      <c r="G428" s="37" t="n">
        <v>1</v>
      </c>
      <c r="H428" s="37" t="n">
        <v>28</v>
      </c>
      <c r="I428" s="37" t="n">
        <v>10.4</v>
      </c>
      <c r="J428" s="37" t="n">
        <v>291.2</v>
      </c>
    </row>
    <row r="429">
      <c r="A429" s="37" t="inlineStr">
        <is>
          <t>TXN-202608-026174</t>
        </is>
      </c>
      <c r="B429" s="37" t="inlineStr">
        <is>
          <t>AC-VB-0906</t>
        </is>
      </c>
      <c r="C429" s="37" t="inlineStr">
        <is>
          <t>WL-02747</t>
        </is>
      </c>
      <c r="D429" s="37" t="inlineStr">
        <is>
          <t>VB-0906</t>
        </is>
      </c>
      <c r="E429" s="37" t="inlineStr">
        <is>
          <t>Vessbank</t>
        </is>
      </c>
      <c r="F429" s="37" t="n">
        <v>36</v>
      </c>
      <c r="G429" s="37" t="n">
        <v>1</v>
      </c>
      <c r="H429" s="37" t="n">
        <v>36</v>
      </c>
      <c r="I429" s="37" t="n">
        <v>10.4</v>
      </c>
      <c r="J429" s="37" t="n">
        <v>374.4</v>
      </c>
    </row>
    <row r="430">
      <c r="A430" s="37" t="inlineStr">
        <is>
          <t>TXN-202608-026249</t>
        </is>
      </c>
      <c r="B430" s="37" t="inlineStr">
        <is>
          <t>AC-VB-0907</t>
        </is>
      </c>
      <c r="C430" s="37" t="inlineStr">
        <is>
          <t>WL-03855</t>
        </is>
      </c>
      <c r="D430" s="37" t="inlineStr">
        <is>
          <t>VB-0907</t>
        </is>
      </c>
      <c r="E430" s="37" t="inlineStr">
        <is>
          <t>Vessbank</t>
        </is>
      </c>
      <c r="F430" s="37" t="n">
        <v>36</v>
      </c>
      <c r="G430" s="37" t="n">
        <v>1</v>
      </c>
      <c r="H430" s="37" t="n">
        <v>36</v>
      </c>
      <c r="I430" s="37" t="n">
        <v>10.4</v>
      </c>
      <c r="J430" s="37" t="n">
        <v>374.4</v>
      </c>
    </row>
    <row r="431">
      <c r="A431" s="37" t="inlineStr">
        <is>
          <t>TXN-202608-026315</t>
        </is>
      </c>
      <c r="B431" s="37" t="inlineStr">
        <is>
          <t>AC-VB-0908</t>
        </is>
      </c>
      <c r="C431" s="37" t="inlineStr">
        <is>
          <t>WL-02711</t>
        </is>
      </c>
      <c r="D431" s="37" t="inlineStr">
        <is>
          <t>VB-0908</t>
        </is>
      </c>
      <c r="E431" s="37" t="inlineStr">
        <is>
          <t>Vessbank</t>
        </is>
      </c>
      <c r="F431" s="37" t="n">
        <v>56</v>
      </c>
      <c r="G431" s="37" t="n">
        <v>1</v>
      </c>
      <c r="H431" s="37" t="n">
        <v>56</v>
      </c>
      <c r="I431" s="37" t="n">
        <v>10.4</v>
      </c>
      <c r="J431" s="37" t="n">
        <v>582.4</v>
      </c>
    </row>
    <row r="432">
      <c r="A432" s="37" t="inlineStr">
        <is>
          <t>TXN-202608-026383</t>
        </is>
      </c>
      <c r="B432" s="37" t="inlineStr">
        <is>
          <t>AC-VB-0909</t>
        </is>
      </c>
      <c r="C432" s="37" t="inlineStr">
        <is>
          <t>WL-02313</t>
        </is>
      </c>
      <c r="D432" s="37" t="inlineStr">
        <is>
          <t>VB-0909</t>
        </is>
      </c>
      <c r="E432" s="37" t="inlineStr">
        <is>
          <t>Vessbank</t>
        </is>
      </c>
      <c r="F432" s="37" t="n">
        <v>62</v>
      </c>
      <c r="G432" s="37" t="n">
        <v>1</v>
      </c>
      <c r="H432" s="37" t="n">
        <v>62</v>
      </c>
      <c r="I432" s="37" t="n">
        <v>10.4</v>
      </c>
      <c r="J432" s="37" t="n">
        <v>644.8</v>
      </c>
    </row>
    <row r="433">
      <c r="A433" s="37" t="inlineStr">
        <is>
          <t>TXN-202608-026438</t>
        </is>
      </c>
      <c r="B433" s="37" t="inlineStr">
        <is>
          <t>AC-VB-0910</t>
        </is>
      </c>
      <c r="C433" s="37" t="inlineStr">
        <is>
          <t>WL-03308</t>
        </is>
      </c>
      <c r="D433" s="37" t="inlineStr">
        <is>
          <t>VB-0910</t>
        </is>
      </c>
      <c r="E433" s="37" t="inlineStr">
        <is>
          <t>Vessbank</t>
        </is>
      </c>
      <c r="F433" s="37" t="n">
        <v>61</v>
      </c>
      <c r="G433" s="37" t="n">
        <v>1</v>
      </c>
      <c r="H433" s="37" t="n">
        <v>61</v>
      </c>
      <c r="I433" s="37" t="n">
        <v>10.4</v>
      </c>
      <c r="J433" s="37" t="n">
        <v>634.4</v>
      </c>
    </row>
    <row r="434">
      <c r="A434" s="37" t="inlineStr">
        <is>
          <t>TXN-202608-026488</t>
        </is>
      </c>
      <c r="B434" s="37" t="inlineStr">
        <is>
          <t>AC-VB-0911</t>
        </is>
      </c>
      <c r="C434" s="37" t="inlineStr">
        <is>
          <t>WL-01513</t>
        </is>
      </c>
      <c r="D434" s="37" t="inlineStr">
        <is>
          <t>VB-0911</t>
        </is>
      </c>
      <c r="E434" s="37" t="inlineStr">
        <is>
          <t>Vessbank</t>
        </is>
      </c>
      <c r="F434" s="37" t="n">
        <v>48</v>
      </c>
      <c r="G434" s="37" t="n">
        <v>1</v>
      </c>
      <c r="H434" s="37" t="n">
        <v>48</v>
      </c>
      <c r="I434" s="37" t="n">
        <v>10.4</v>
      </c>
      <c r="J434" s="37" t="n">
        <v>499.2</v>
      </c>
    </row>
    <row r="435">
      <c r="A435" s="37" t="inlineStr">
        <is>
          <t>TXN-202608-026527</t>
        </is>
      </c>
      <c r="B435" s="37" t="inlineStr">
        <is>
          <t>AC-VB-0912</t>
        </is>
      </c>
      <c r="C435" s="37" t="inlineStr">
        <is>
          <t>WL-01027</t>
        </is>
      </c>
      <c r="D435" s="37" t="inlineStr">
        <is>
          <t>VB-0912</t>
        </is>
      </c>
      <c r="E435" s="37" t="inlineStr">
        <is>
          <t>Vessbank</t>
        </is>
      </c>
      <c r="F435" s="37" t="n">
        <v>54</v>
      </c>
      <c r="G435" s="37" t="n">
        <v>1</v>
      </c>
      <c r="H435" s="37" t="n">
        <v>54</v>
      </c>
      <c r="I435" s="37" t="n">
        <v>10.4</v>
      </c>
      <c r="J435" s="37" t="n">
        <v>561.6</v>
      </c>
    </row>
    <row r="436">
      <c r="A436" s="37" t="inlineStr">
        <is>
          <t>TXN-202608-026582</t>
        </is>
      </c>
      <c r="B436" s="37" t="inlineStr">
        <is>
          <t>AC-VB-0913</t>
        </is>
      </c>
      <c r="C436" s="37" t="inlineStr">
        <is>
          <t>WL-03838</t>
        </is>
      </c>
      <c r="D436" s="37" t="inlineStr">
        <is>
          <t>VB-0913</t>
        </is>
      </c>
      <c r="E436" s="37" t="inlineStr">
        <is>
          <t>Vessbank</t>
        </is>
      </c>
      <c r="F436" s="37" t="n">
        <v>30</v>
      </c>
      <c r="G436" s="37" t="n">
        <v>1</v>
      </c>
      <c r="H436" s="37" t="n">
        <v>30</v>
      </c>
      <c r="I436" s="37" t="n">
        <v>10.4</v>
      </c>
      <c r="J436" s="37" t="n">
        <v>312</v>
      </c>
    </row>
    <row r="437">
      <c r="A437" s="37" t="inlineStr">
        <is>
          <t>TXN-202608-026661</t>
        </is>
      </c>
      <c r="B437" s="37" t="inlineStr">
        <is>
          <t>AC-VB-0914</t>
        </is>
      </c>
      <c r="C437" s="37" t="inlineStr">
        <is>
          <t>WL-02950</t>
        </is>
      </c>
      <c r="D437" s="37" t="inlineStr">
        <is>
          <t>VB-0914</t>
        </is>
      </c>
      <c r="E437" s="37" t="inlineStr">
        <is>
          <t>Vessbank</t>
        </is>
      </c>
      <c r="F437" s="37" t="n">
        <v>28</v>
      </c>
      <c r="G437" s="37" t="n">
        <v>1</v>
      </c>
      <c r="H437" s="37" t="n">
        <v>28</v>
      </c>
      <c r="I437" s="37" t="n">
        <v>10.4</v>
      </c>
      <c r="J437" s="37" t="n">
        <v>291.2</v>
      </c>
    </row>
    <row r="438">
      <c r="A438" s="37" t="inlineStr">
        <is>
          <t>TXN-202608-026739</t>
        </is>
      </c>
      <c r="B438" s="37" t="inlineStr">
        <is>
          <t>AC-VB-0915</t>
        </is>
      </c>
      <c r="C438" s="37" t="inlineStr">
        <is>
          <t>WL-02424</t>
        </is>
      </c>
      <c r="D438" s="37" t="inlineStr">
        <is>
          <t>VB-0915</t>
        </is>
      </c>
      <c r="E438" s="37" t="inlineStr">
        <is>
          <t>Vessbank</t>
        </is>
      </c>
      <c r="F438" s="37" t="n">
        <v>37</v>
      </c>
      <c r="G438" s="37" t="n">
        <v>1</v>
      </c>
      <c r="H438" s="37" t="n">
        <v>37</v>
      </c>
      <c r="I438" s="37" t="n">
        <v>10.4</v>
      </c>
      <c r="J438" s="37" t="n">
        <v>384.8</v>
      </c>
    </row>
    <row r="439">
      <c r="A439" s="37" t="inlineStr">
        <is>
          <t>TXN-202608-026792</t>
        </is>
      </c>
      <c r="B439" s="37" t="inlineStr">
        <is>
          <t>AC-VB-0916</t>
        </is>
      </c>
      <c r="C439" s="37" t="inlineStr">
        <is>
          <t>WL-01194</t>
        </is>
      </c>
      <c r="D439" s="37" t="inlineStr">
        <is>
          <t>VB-0916</t>
        </is>
      </c>
      <c r="E439" s="37" t="inlineStr">
        <is>
          <t>Vessbank</t>
        </is>
      </c>
      <c r="F439" s="37" t="n">
        <v>27</v>
      </c>
      <c r="G439" s="37" t="n">
        <v>1</v>
      </c>
      <c r="H439" s="37" t="n">
        <v>27</v>
      </c>
      <c r="I439" s="37" t="n">
        <v>10.4</v>
      </c>
      <c r="J439" s="37" t="n">
        <v>280.8</v>
      </c>
    </row>
    <row r="440">
      <c r="A440" s="37" t="inlineStr">
        <is>
          <t>TXN-202608-026843</t>
        </is>
      </c>
      <c r="B440" s="37" t="inlineStr">
        <is>
          <t>AC-VB-0917</t>
        </is>
      </c>
      <c r="C440" s="37" t="inlineStr">
        <is>
          <t>WL-03422</t>
        </is>
      </c>
      <c r="D440" s="37" t="inlineStr">
        <is>
          <t>VB-0917</t>
        </is>
      </c>
      <c r="E440" s="37" t="inlineStr">
        <is>
          <t>Vessbank</t>
        </is>
      </c>
      <c r="F440" s="37" t="n">
        <v>55</v>
      </c>
      <c r="G440" s="37" t="n">
        <v>1</v>
      </c>
      <c r="H440" s="37" t="n">
        <v>55</v>
      </c>
      <c r="I440" s="37" t="n">
        <v>10.4</v>
      </c>
      <c r="J440" s="37" t="n">
        <v>572</v>
      </c>
    </row>
    <row r="441">
      <c r="A441" s="37" t="inlineStr">
        <is>
          <t>TXN-202608-026923</t>
        </is>
      </c>
      <c r="B441" s="37" t="inlineStr">
        <is>
          <t>AC-VB-0918</t>
        </is>
      </c>
      <c r="C441" s="37" t="inlineStr">
        <is>
          <t>WL-03033</t>
        </is>
      </c>
      <c r="D441" s="37" t="inlineStr">
        <is>
          <t>VB-0918</t>
        </is>
      </c>
      <c r="E441" s="37" t="inlineStr">
        <is>
          <t>Vessbank</t>
        </is>
      </c>
      <c r="F441" s="37" t="n">
        <v>36</v>
      </c>
      <c r="G441" s="37" t="n">
        <v>1</v>
      </c>
      <c r="H441" s="37" t="n">
        <v>36</v>
      </c>
      <c r="I441" s="37" t="n">
        <v>10.4</v>
      </c>
      <c r="J441" s="37" t="n">
        <v>374.4</v>
      </c>
    </row>
    <row r="442">
      <c r="A442" s="37" t="inlineStr">
        <is>
          <t>TXN-202608-026985</t>
        </is>
      </c>
      <c r="B442" s="37" t="inlineStr">
        <is>
          <t>AC-VB-0919</t>
        </is>
      </c>
      <c r="C442" s="37" t="inlineStr">
        <is>
          <t>WL-03091</t>
        </is>
      </c>
      <c r="D442" s="37" t="inlineStr">
        <is>
          <t>VB-0919</t>
        </is>
      </c>
      <c r="E442" s="37" t="inlineStr">
        <is>
          <t>Vessbank</t>
        </is>
      </c>
      <c r="F442" s="37" t="n">
        <v>62</v>
      </c>
      <c r="G442" s="37" t="n">
        <v>1</v>
      </c>
      <c r="H442" s="37" t="n">
        <v>62</v>
      </c>
      <c r="I442" s="37" t="n">
        <v>10.4</v>
      </c>
      <c r="J442" s="37" t="n">
        <v>644.8</v>
      </c>
    </row>
    <row r="443">
      <c r="A443" s="37" t="inlineStr">
        <is>
          <t>TXN-202608-027025</t>
        </is>
      </c>
      <c r="B443" s="37" t="inlineStr">
        <is>
          <t>AC-VB-0920</t>
        </is>
      </c>
      <c r="C443" s="37" t="inlineStr">
        <is>
          <t>WL-02265</t>
        </is>
      </c>
      <c r="D443" s="37" t="inlineStr">
        <is>
          <t>VB-0920</t>
        </is>
      </c>
      <c r="E443" s="37" t="inlineStr">
        <is>
          <t>Vessbank</t>
        </is>
      </c>
      <c r="F443" s="37" t="n">
        <v>48</v>
      </c>
      <c r="G443" s="37" t="n">
        <v>1</v>
      </c>
      <c r="H443" s="37" t="n">
        <v>48</v>
      </c>
      <c r="I443" s="37" t="n">
        <v>10.4</v>
      </c>
      <c r="J443" s="37" t="n">
        <v>499.2</v>
      </c>
    </row>
    <row r="444">
      <c r="A444" s="37" t="inlineStr">
        <is>
          <t>TXN-202608-027066</t>
        </is>
      </c>
      <c r="B444" s="37" t="inlineStr">
        <is>
          <t>AC-VB-0921</t>
        </is>
      </c>
      <c r="C444" s="37" t="inlineStr">
        <is>
          <t>WL-03544</t>
        </is>
      </c>
      <c r="D444" s="37" t="inlineStr">
        <is>
          <t>VB-0921</t>
        </is>
      </c>
      <c r="E444" s="37" t="inlineStr">
        <is>
          <t>Vessbank</t>
        </is>
      </c>
      <c r="F444" s="37" t="n">
        <v>28</v>
      </c>
      <c r="G444" s="37" t="n">
        <v>1</v>
      </c>
      <c r="H444" s="37" t="n">
        <v>28</v>
      </c>
      <c r="I444" s="37" t="n">
        <v>10.4</v>
      </c>
      <c r="J444" s="37" t="n">
        <v>291.2</v>
      </c>
    </row>
    <row r="445">
      <c r="A445" s="37" t="inlineStr">
        <is>
          <t>TXN-202608-027119</t>
        </is>
      </c>
      <c r="B445" s="37" t="inlineStr">
        <is>
          <t>AC-VB-0923</t>
        </is>
      </c>
      <c r="C445" s="37" t="inlineStr">
        <is>
          <t>WL-02666</t>
        </is>
      </c>
      <c r="D445" s="37" t="inlineStr">
        <is>
          <t>VB-0923</t>
        </is>
      </c>
      <c r="E445" s="37" t="inlineStr">
        <is>
          <t>Vessbank</t>
        </is>
      </c>
      <c r="F445" s="37" t="n">
        <v>41</v>
      </c>
      <c r="G445" s="37" t="n">
        <v>1</v>
      </c>
      <c r="H445" s="37" t="n">
        <v>41</v>
      </c>
      <c r="I445" s="37" t="n">
        <v>10.4</v>
      </c>
      <c r="J445" s="37" t="n">
        <v>426.4</v>
      </c>
    </row>
    <row r="446">
      <c r="A446" s="37" t="inlineStr">
        <is>
          <t>TXN-202608-027201</t>
        </is>
      </c>
      <c r="B446" s="37" t="inlineStr">
        <is>
          <t>AC-VB-0924</t>
        </is>
      </c>
      <c r="C446" s="37" t="inlineStr">
        <is>
          <t>WL-03176</t>
        </is>
      </c>
      <c r="D446" s="37" t="inlineStr">
        <is>
          <t>VB-0924</t>
        </is>
      </c>
      <c r="E446" s="37" t="inlineStr">
        <is>
          <t>Vessbank</t>
        </is>
      </c>
      <c r="F446" s="37" t="n">
        <v>32</v>
      </c>
      <c r="G446" s="37" t="n">
        <v>1</v>
      </c>
      <c r="H446" s="37" t="n">
        <v>32</v>
      </c>
      <c r="I446" s="37" t="n">
        <v>10.4</v>
      </c>
      <c r="J446" s="37" t="n">
        <v>332.8</v>
      </c>
    </row>
    <row r="447">
      <c r="A447" s="37" t="inlineStr">
        <is>
          <t>TXN-202608-027264</t>
        </is>
      </c>
      <c r="B447" s="37" t="inlineStr">
        <is>
          <t>AC-VB-1001</t>
        </is>
      </c>
      <c r="C447" s="37" t="inlineStr">
        <is>
          <t>WL-03801</t>
        </is>
      </c>
      <c r="D447" s="37" t="inlineStr">
        <is>
          <t>VB-1001</t>
        </is>
      </c>
      <c r="E447" s="37" t="inlineStr">
        <is>
          <t>Vessbank</t>
        </is>
      </c>
      <c r="F447" s="37" t="n">
        <v>40</v>
      </c>
      <c r="G447" s="37" t="n">
        <v>1</v>
      </c>
      <c r="H447" s="37" t="n">
        <v>40</v>
      </c>
      <c r="I447" s="37" t="n">
        <v>10.4</v>
      </c>
      <c r="J447" s="37" t="n">
        <v>416</v>
      </c>
    </row>
    <row r="448">
      <c r="A448" s="37" t="inlineStr">
        <is>
          <t>TXN-202608-027309</t>
        </is>
      </c>
      <c r="B448" s="37" t="inlineStr">
        <is>
          <t>AC-VB-1002</t>
        </is>
      </c>
      <c r="C448" s="37" t="inlineStr">
        <is>
          <t>WL-02902</t>
        </is>
      </c>
      <c r="D448" s="37" t="inlineStr">
        <is>
          <t>VB-1002</t>
        </is>
      </c>
      <c r="E448" s="37" t="inlineStr">
        <is>
          <t>Vessbank</t>
        </is>
      </c>
      <c r="F448" s="37" t="n">
        <v>60</v>
      </c>
      <c r="G448" s="37" t="n">
        <v>1</v>
      </c>
      <c r="H448" s="37" t="n">
        <v>60</v>
      </c>
      <c r="I448" s="37" t="n">
        <v>10.4</v>
      </c>
      <c r="J448" s="37" t="n">
        <v>624</v>
      </c>
    </row>
    <row r="449">
      <c r="A449" s="37" t="inlineStr">
        <is>
          <t>TXN-202608-027352</t>
        </is>
      </c>
      <c r="B449" s="37" t="inlineStr">
        <is>
          <t>AC-VB-1004</t>
        </is>
      </c>
      <c r="C449" s="37" t="inlineStr">
        <is>
          <t>WL-03765</t>
        </is>
      </c>
      <c r="D449" s="37" t="inlineStr">
        <is>
          <t>VB-1004</t>
        </is>
      </c>
      <c r="E449" s="37" t="inlineStr">
        <is>
          <t>Vessbank</t>
        </is>
      </c>
      <c r="F449" s="37" t="n">
        <v>36</v>
      </c>
      <c r="G449" s="37" t="n">
        <v>1</v>
      </c>
      <c r="H449" s="37" t="n">
        <v>36</v>
      </c>
      <c r="I449" s="37" t="n">
        <v>10.4</v>
      </c>
      <c r="J449" s="37" t="n">
        <v>374.4</v>
      </c>
    </row>
    <row r="450">
      <c r="A450" s="37" t="inlineStr">
        <is>
          <t>TXN-202608-027398</t>
        </is>
      </c>
      <c r="B450" s="37" t="inlineStr">
        <is>
          <t>AC-VB-1005</t>
        </is>
      </c>
      <c r="C450" s="37" t="inlineStr">
        <is>
          <t>WL-01874</t>
        </is>
      </c>
      <c r="D450" s="37" t="inlineStr">
        <is>
          <t>VB-1005</t>
        </is>
      </c>
      <c r="E450" s="37" t="inlineStr">
        <is>
          <t>Vessbank</t>
        </is>
      </c>
      <c r="F450" s="37" t="n">
        <v>57</v>
      </c>
      <c r="G450" s="37" t="n">
        <v>1</v>
      </c>
      <c r="H450" s="37" t="n">
        <v>57</v>
      </c>
      <c r="I450" s="37" t="n">
        <v>10.4</v>
      </c>
      <c r="J450" s="37" t="n">
        <v>592.8</v>
      </c>
    </row>
    <row r="451">
      <c r="A451" s="37" t="inlineStr">
        <is>
          <t>TXN-202608-027475</t>
        </is>
      </c>
      <c r="B451" s="37" t="inlineStr">
        <is>
          <t>AC-VB-1006</t>
        </is>
      </c>
      <c r="C451" s="37" t="inlineStr">
        <is>
          <t>WL-03723</t>
        </is>
      </c>
      <c r="D451" s="37" t="inlineStr">
        <is>
          <t>VB-1006</t>
        </is>
      </c>
      <c r="E451" s="37" t="inlineStr">
        <is>
          <t>Vessbank</t>
        </is>
      </c>
      <c r="F451" s="37" t="n">
        <v>29</v>
      </c>
      <c r="G451" s="37" t="n">
        <v>1</v>
      </c>
      <c r="H451" s="37" t="n">
        <v>29</v>
      </c>
      <c r="I451" s="37" t="n">
        <v>10.4</v>
      </c>
      <c r="J451" s="37" t="n">
        <v>301.6</v>
      </c>
    </row>
    <row r="452">
      <c r="A452" s="37" t="inlineStr">
        <is>
          <t>TXN-202608-027529</t>
        </is>
      </c>
      <c r="B452" s="37" t="inlineStr">
        <is>
          <t>AC-VB-1007</t>
        </is>
      </c>
      <c r="C452" s="37" t="inlineStr">
        <is>
          <t>WL-02796</t>
        </is>
      </c>
      <c r="D452" s="37" t="inlineStr">
        <is>
          <t>VB-1007</t>
        </is>
      </c>
      <c r="E452" s="37" t="inlineStr">
        <is>
          <t>Vessbank</t>
        </is>
      </c>
      <c r="F452" s="37" t="n">
        <v>47</v>
      </c>
      <c r="G452" s="37" t="n">
        <v>1</v>
      </c>
      <c r="H452" s="37" t="n">
        <v>47</v>
      </c>
      <c r="I452" s="37" t="n">
        <v>10.4</v>
      </c>
      <c r="J452" s="37" t="n">
        <v>488.8</v>
      </c>
    </row>
    <row r="453">
      <c r="A453" s="37" t="inlineStr">
        <is>
          <t>TXN-202608-027580</t>
        </is>
      </c>
      <c r="B453" s="37" t="inlineStr">
        <is>
          <t>AC-VB-1008</t>
        </is>
      </c>
      <c r="C453" s="37" t="inlineStr">
        <is>
          <t>WL-02193</t>
        </is>
      </c>
      <c r="D453" s="37" t="inlineStr">
        <is>
          <t>VB-1008</t>
        </is>
      </c>
      <c r="E453" s="37" t="inlineStr">
        <is>
          <t>Vessbank</t>
        </is>
      </c>
      <c r="F453" s="37" t="n">
        <v>50</v>
      </c>
      <c r="G453" s="37" t="n">
        <v>1</v>
      </c>
      <c r="H453" s="37" t="n">
        <v>50</v>
      </c>
      <c r="I453" s="37" t="n">
        <v>10.4</v>
      </c>
      <c r="J453" s="37" t="n">
        <v>520</v>
      </c>
    </row>
    <row r="454">
      <c r="A454" s="37" t="inlineStr">
        <is>
          <t>TXN-202608-027652</t>
        </is>
      </c>
      <c r="B454" s="37" t="inlineStr">
        <is>
          <t>AC-VB-1009</t>
        </is>
      </c>
      <c r="C454" s="37" t="inlineStr">
        <is>
          <t>WL-02802</t>
        </is>
      </c>
      <c r="D454" s="37" t="inlineStr">
        <is>
          <t>VB-1009</t>
        </is>
      </c>
      <c r="E454" s="37" t="inlineStr">
        <is>
          <t>Vessbank</t>
        </is>
      </c>
      <c r="F454" s="37" t="n">
        <v>44</v>
      </c>
      <c r="G454" s="37" t="n">
        <v>1</v>
      </c>
      <c r="H454" s="37" t="n">
        <v>44</v>
      </c>
      <c r="I454" s="37" t="n">
        <v>10.4</v>
      </c>
      <c r="J454" s="37" t="n">
        <v>457.6</v>
      </c>
    </row>
    <row r="455">
      <c r="A455" s="37" t="inlineStr">
        <is>
          <t>TXN-202608-027738</t>
        </is>
      </c>
      <c r="B455" s="37" t="inlineStr">
        <is>
          <t>AC-VB-1010</t>
        </is>
      </c>
      <c r="C455" s="37" t="inlineStr">
        <is>
          <t>WL-03077</t>
        </is>
      </c>
      <c r="D455" s="37" t="inlineStr">
        <is>
          <t>VB-1010</t>
        </is>
      </c>
      <c r="E455" s="37" t="inlineStr">
        <is>
          <t>Vessbank</t>
        </is>
      </c>
      <c r="F455" s="37" t="n">
        <v>49</v>
      </c>
      <c r="G455" s="37" t="n">
        <v>1</v>
      </c>
      <c r="H455" s="37" t="n">
        <v>49</v>
      </c>
      <c r="I455" s="37" t="n">
        <v>10.4</v>
      </c>
      <c r="J455" s="37" t="n">
        <v>509.6</v>
      </c>
    </row>
    <row r="456">
      <c r="A456" s="37" t="inlineStr">
        <is>
          <t>TXN-202608-027776</t>
        </is>
      </c>
      <c r="B456" s="37" t="inlineStr">
        <is>
          <t>AC-VB-1011</t>
        </is>
      </c>
      <c r="C456" s="37" t="inlineStr">
        <is>
          <t>WL-01187</t>
        </is>
      </c>
      <c r="D456" s="37" t="inlineStr">
        <is>
          <t>VB-1011</t>
        </is>
      </c>
      <c r="E456" s="37" t="inlineStr">
        <is>
          <t>Vessbank</t>
        </is>
      </c>
      <c r="F456" s="37" t="n">
        <v>40</v>
      </c>
      <c r="G456" s="37" t="n">
        <v>1</v>
      </c>
      <c r="H456" s="37" t="n">
        <v>40</v>
      </c>
      <c r="I456" s="37" t="n">
        <v>10.4</v>
      </c>
      <c r="J456" s="37" t="n">
        <v>416</v>
      </c>
    </row>
    <row r="457">
      <c r="A457" s="37" t="inlineStr">
        <is>
          <t>TXN-202608-027841</t>
        </is>
      </c>
      <c r="B457" s="37" t="inlineStr">
        <is>
          <t>AC-VB-1012</t>
        </is>
      </c>
      <c r="C457" s="37" t="inlineStr">
        <is>
          <t>WL-01323</t>
        </is>
      </c>
      <c r="D457" s="37" t="inlineStr">
        <is>
          <t>VB-1012</t>
        </is>
      </c>
      <c r="E457" s="37" t="inlineStr">
        <is>
          <t>Vessbank</t>
        </is>
      </c>
      <c r="F457" s="37" t="n">
        <v>58</v>
      </c>
      <c r="G457" s="37" t="n">
        <v>1</v>
      </c>
      <c r="H457" s="37" t="n">
        <v>58</v>
      </c>
      <c r="I457" s="37" t="n">
        <v>10.4</v>
      </c>
      <c r="J457" s="37" t="n">
        <v>603.2</v>
      </c>
    </row>
    <row r="458">
      <c r="A458" s="37" t="inlineStr">
        <is>
          <t>TXN-202608-027911</t>
        </is>
      </c>
      <c r="B458" s="37" t="inlineStr">
        <is>
          <t>AC-VB-1013</t>
        </is>
      </c>
      <c r="C458" s="37" t="inlineStr">
        <is>
          <t>WL-02105</t>
        </is>
      </c>
      <c r="D458" s="37" t="inlineStr">
        <is>
          <t>VB-1013</t>
        </is>
      </c>
      <c r="E458" s="37" t="inlineStr">
        <is>
          <t>Vessbank</t>
        </is>
      </c>
      <c r="F458" s="37" t="n">
        <v>28</v>
      </c>
      <c r="G458" s="37" t="n">
        <v>1</v>
      </c>
      <c r="H458" s="37" t="n">
        <v>28</v>
      </c>
      <c r="I458" s="37" t="n">
        <v>10.4</v>
      </c>
      <c r="J458" s="37" t="n">
        <v>291.2</v>
      </c>
    </row>
    <row r="459">
      <c r="A459" s="37" t="inlineStr">
        <is>
          <t>TXN-202608-027988</t>
        </is>
      </c>
      <c r="B459" s="37" t="inlineStr">
        <is>
          <t>AC-VB-1014</t>
        </is>
      </c>
      <c r="C459" s="37" t="inlineStr">
        <is>
          <t>WL-02188</t>
        </is>
      </c>
      <c r="D459" s="37" t="inlineStr">
        <is>
          <t>VB-1014</t>
        </is>
      </c>
      <c r="E459" s="37" t="inlineStr">
        <is>
          <t>Vessbank</t>
        </is>
      </c>
      <c r="F459" s="37" t="n">
        <v>36</v>
      </c>
      <c r="G459" s="37" t="n">
        <v>1</v>
      </c>
      <c r="H459" s="37" t="n">
        <v>36</v>
      </c>
      <c r="I459" s="37" t="n">
        <v>10.4</v>
      </c>
      <c r="J459" s="37" t="n">
        <v>374.4</v>
      </c>
    </row>
    <row r="460">
      <c r="A460" s="37" t="inlineStr">
        <is>
          <t>TXN-202608-028037</t>
        </is>
      </c>
      <c r="B460" s="37" t="inlineStr">
        <is>
          <t>AC-VB-1015</t>
        </is>
      </c>
      <c r="C460" s="37" t="inlineStr">
        <is>
          <t>WL-01478</t>
        </is>
      </c>
      <c r="D460" s="37" t="inlineStr">
        <is>
          <t>VB-1015</t>
        </is>
      </c>
      <c r="E460" s="37" t="inlineStr">
        <is>
          <t>Vessbank</t>
        </is>
      </c>
      <c r="F460" s="37" t="n">
        <v>39</v>
      </c>
      <c r="G460" s="37" t="n">
        <v>1</v>
      </c>
      <c r="H460" s="37" t="n">
        <v>39</v>
      </c>
      <c r="I460" s="37" t="n">
        <v>10.4</v>
      </c>
      <c r="J460" s="37" t="n">
        <v>405.6</v>
      </c>
    </row>
    <row r="461">
      <c r="A461" s="37" t="inlineStr">
        <is>
          <t>TXN-202608-028112</t>
        </is>
      </c>
      <c r="B461" s="37" t="inlineStr">
        <is>
          <t>AC-VB-1016</t>
        </is>
      </c>
      <c r="C461" s="37" t="inlineStr">
        <is>
          <t>WL-03078</t>
        </is>
      </c>
      <c r="D461" s="37" t="inlineStr">
        <is>
          <t>VB-1016</t>
        </is>
      </c>
      <c r="E461" s="37" t="inlineStr">
        <is>
          <t>Vessbank</t>
        </is>
      </c>
      <c r="F461" s="37" t="n">
        <v>50</v>
      </c>
      <c r="G461" s="37" t="n">
        <v>1</v>
      </c>
      <c r="H461" s="37" t="n">
        <v>50</v>
      </c>
      <c r="I461" s="37" t="n">
        <v>10.4</v>
      </c>
      <c r="J461" s="37" t="n">
        <v>520</v>
      </c>
    </row>
    <row r="462">
      <c r="A462" s="37" t="inlineStr">
        <is>
          <t>TXN-202608-028162</t>
        </is>
      </c>
      <c r="B462" s="37" t="inlineStr">
        <is>
          <t>AC-VB-1017</t>
        </is>
      </c>
      <c r="C462" s="37" t="inlineStr">
        <is>
          <t>WL-03104</t>
        </is>
      </c>
      <c r="D462" s="37" t="inlineStr">
        <is>
          <t>VB-1017</t>
        </is>
      </c>
      <c r="E462" s="37" t="inlineStr">
        <is>
          <t>Vessbank</t>
        </is>
      </c>
      <c r="F462" s="37" t="n">
        <v>35</v>
      </c>
      <c r="G462" s="37" t="n">
        <v>1</v>
      </c>
      <c r="H462" s="37" t="n">
        <v>35</v>
      </c>
      <c r="I462" s="37" t="n">
        <v>10.4</v>
      </c>
      <c r="J462" s="37" t="n">
        <v>364</v>
      </c>
    </row>
    <row r="463">
      <c r="A463" s="37" t="inlineStr">
        <is>
          <t>TXN-202608-028239</t>
        </is>
      </c>
      <c r="B463" s="37" t="inlineStr">
        <is>
          <t>AC-VB-1018</t>
        </is>
      </c>
      <c r="C463" s="37" t="inlineStr">
        <is>
          <t>WL-02100</t>
        </is>
      </c>
      <c r="D463" s="37" t="inlineStr">
        <is>
          <t>VB-1018</t>
        </is>
      </c>
      <c r="E463" s="37" t="inlineStr">
        <is>
          <t>Vessbank</t>
        </is>
      </c>
      <c r="F463" s="37" t="n">
        <v>52</v>
      </c>
      <c r="G463" s="37" t="n">
        <v>1</v>
      </c>
      <c r="H463" s="37" t="n">
        <v>52</v>
      </c>
      <c r="I463" s="37" t="n">
        <v>10.4</v>
      </c>
      <c r="J463" s="37" t="n">
        <v>540.8</v>
      </c>
    </row>
    <row r="464">
      <c r="A464" s="37" t="inlineStr">
        <is>
          <t>TXN-202608-028294</t>
        </is>
      </c>
      <c r="B464" s="37" t="inlineStr">
        <is>
          <t>AC-VB-1019</t>
        </is>
      </c>
      <c r="C464" s="37" t="inlineStr">
        <is>
          <t>WL-03674</t>
        </is>
      </c>
      <c r="D464" s="37" t="inlineStr">
        <is>
          <t>VB-1019</t>
        </is>
      </c>
      <c r="E464" s="37" t="inlineStr">
        <is>
          <t>Vessbank</t>
        </is>
      </c>
      <c r="F464" s="37" t="n">
        <v>34</v>
      </c>
      <c r="G464" s="37" t="n">
        <v>1</v>
      </c>
      <c r="H464" s="37" t="n">
        <v>34</v>
      </c>
      <c r="I464" s="37" t="n">
        <v>10.4</v>
      </c>
      <c r="J464" s="37" t="n">
        <v>353.6</v>
      </c>
    </row>
    <row r="465">
      <c r="A465" s="37" t="inlineStr">
        <is>
          <t>TXN-202608-028380</t>
        </is>
      </c>
      <c r="B465" s="37" t="inlineStr">
        <is>
          <t>AC-VB-1020</t>
        </is>
      </c>
      <c r="C465" s="37" t="inlineStr">
        <is>
          <t>WL-02112</t>
        </is>
      </c>
      <c r="D465" s="37" t="inlineStr">
        <is>
          <t>VB-1020</t>
        </is>
      </c>
      <c r="E465" s="37" t="inlineStr">
        <is>
          <t>Vessbank</t>
        </is>
      </c>
      <c r="F465" s="37" t="n">
        <v>40</v>
      </c>
      <c r="G465" s="37" t="n">
        <v>1</v>
      </c>
      <c r="H465" s="37" t="n">
        <v>40</v>
      </c>
      <c r="I465" s="37" t="n">
        <v>10.4</v>
      </c>
      <c r="J465" s="37" t="n">
        <v>416</v>
      </c>
    </row>
    <row r="466">
      <c r="A466" s="37" t="inlineStr">
        <is>
          <t>TXN-202608-028430</t>
        </is>
      </c>
      <c r="B466" s="37" t="inlineStr">
        <is>
          <t>AC-VB-1021</t>
        </is>
      </c>
      <c r="C466" s="37" t="inlineStr">
        <is>
          <t>WL-03142</t>
        </is>
      </c>
      <c r="D466" s="37" t="inlineStr">
        <is>
          <t>VB-1021</t>
        </is>
      </c>
      <c r="E466" s="37" t="inlineStr">
        <is>
          <t>Vessbank</t>
        </is>
      </c>
      <c r="F466" s="37" t="n">
        <v>41</v>
      </c>
      <c r="G466" s="37" t="n">
        <v>1</v>
      </c>
      <c r="H466" s="37" t="n">
        <v>41</v>
      </c>
      <c r="I466" s="37" t="n">
        <v>10.4</v>
      </c>
      <c r="J466" s="37" t="n">
        <v>426.4</v>
      </c>
    </row>
    <row r="467">
      <c r="A467" s="37" t="inlineStr">
        <is>
          <t>TXN-202608-028505</t>
        </is>
      </c>
      <c r="B467" s="37" t="inlineStr">
        <is>
          <t>AC-VB-1022</t>
        </is>
      </c>
      <c r="C467" s="37" t="inlineStr">
        <is>
          <t>WL-01981</t>
        </is>
      </c>
      <c r="D467" s="37" t="inlineStr">
        <is>
          <t>VB-1022</t>
        </is>
      </c>
      <c r="E467" s="37" t="inlineStr">
        <is>
          <t>Vessbank</t>
        </is>
      </c>
      <c r="F467" s="37" t="n">
        <v>57</v>
      </c>
      <c r="G467" s="37" t="n">
        <v>1</v>
      </c>
      <c r="H467" s="37" t="n">
        <v>57</v>
      </c>
      <c r="I467" s="37" t="n">
        <v>10.4</v>
      </c>
      <c r="J467" s="37" t="n">
        <v>592.8</v>
      </c>
    </row>
    <row r="468">
      <c r="A468" s="37" t="inlineStr">
        <is>
          <t>TXN-202608-028560</t>
        </is>
      </c>
      <c r="B468" s="37" t="inlineStr">
        <is>
          <t>AC-VB-1023</t>
        </is>
      </c>
      <c r="C468" s="37" t="inlineStr">
        <is>
          <t>WL-01467</t>
        </is>
      </c>
      <c r="D468" s="37" t="inlineStr">
        <is>
          <t>VB-1023</t>
        </is>
      </c>
      <c r="E468" s="37" t="inlineStr">
        <is>
          <t>Vessbank</t>
        </is>
      </c>
      <c r="F468" s="37" t="n">
        <v>30</v>
      </c>
      <c r="G468" s="37" t="n">
        <v>1</v>
      </c>
      <c r="H468" s="37" t="n">
        <v>30</v>
      </c>
      <c r="I468" s="37" t="n">
        <v>10.4</v>
      </c>
      <c r="J468" s="37" t="n">
        <v>312</v>
      </c>
    </row>
    <row r="469">
      <c r="A469" s="37" t="inlineStr">
        <is>
          <t>TXN-202608-028608</t>
        </is>
      </c>
      <c r="B469" s="37" t="inlineStr">
        <is>
          <t>AC-VB-1024</t>
        </is>
      </c>
      <c r="C469" s="37" t="inlineStr">
        <is>
          <t>WL-02463</t>
        </is>
      </c>
      <c r="D469" s="37" t="inlineStr">
        <is>
          <t>VB-1024</t>
        </is>
      </c>
      <c r="E469" s="37" t="inlineStr">
        <is>
          <t>Vessbank</t>
        </is>
      </c>
      <c r="F469" s="37" t="n">
        <v>56</v>
      </c>
      <c r="G469" s="37" t="n">
        <v>1</v>
      </c>
      <c r="H469" s="37" t="n">
        <v>56</v>
      </c>
      <c r="I469" s="37" t="n">
        <v>10.4</v>
      </c>
      <c r="J469" s="37" t="n">
        <v>582.4</v>
      </c>
    </row>
    <row r="470">
      <c r="A470" s="37" t="inlineStr">
        <is>
          <t>TXN-202608-028684</t>
        </is>
      </c>
      <c r="B470" s="37" t="inlineStr">
        <is>
          <t>AC-EW-0101</t>
        </is>
      </c>
      <c r="C470" s="37" t="inlineStr">
        <is>
          <t>WL-01414</t>
        </is>
      </c>
      <c r="D470" s="37" t="inlineStr">
        <is>
          <t>EW-0101</t>
        </is>
      </c>
      <c r="E470" s="37" t="inlineStr">
        <is>
          <t>Eastwey</t>
        </is>
      </c>
      <c r="F470" s="37" t="n">
        <v>80</v>
      </c>
      <c r="G470" s="37" t="n">
        <v>1</v>
      </c>
      <c r="H470" s="37" t="n">
        <v>80</v>
      </c>
      <c r="I470" s="37" t="n">
        <v>7.55</v>
      </c>
      <c r="J470" s="37" t="n">
        <v>604</v>
      </c>
    </row>
    <row r="471">
      <c r="A471" s="37" t="inlineStr">
        <is>
          <t>TXN-202608-028767</t>
        </is>
      </c>
      <c r="B471" s="37" t="inlineStr">
        <is>
          <t>AC-EW-0102</t>
        </is>
      </c>
      <c r="C471" s="37" t="inlineStr">
        <is>
          <t>WL-03666</t>
        </is>
      </c>
      <c r="D471" s="37" t="inlineStr">
        <is>
          <t>EW-0102</t>
        </is>
      </c>
      <c r="E471" s="37" t="inlineStr">
        <is>
          <t>Eastwey</t>
        </is>
      </c>
      <c r="F471" s="37" t="n">
        <v>56</v>
      </c>
      <c r="G471" s="37" t="n">
        <v>1</v>
      </c>
      <c r="H471" s="37" t="n">
        <v>56</v>
      </c>
      <c r="I471" s="37" t="n">
        <v>7.55</v>
      </c>
      <c r="J471" s="37" t="n">
        <v>422.8</v>
      </c>
    </row>
    <row r="472">
      <c r="A472" s="37" t="inlineStr">
        <is>
          <t>TXN-202608-028831</t>
        </is>
      </c>
      <c r="B472" s="37" t="inlineStr">
        <is>
          <t>AC-EW-0103</t>
        </is>
      </c>
      <c r="C472" s="37" t="inlineStr">
        <is>
          <t>WL-01149</t>
        </is>
      </c>
      <c r="D472" s="37" t="inlineStr">
        <is>
          <t>EW-0103</t>
        </is>
      </c>
      <c r="E472" s="37" t="inlineStr">
        <is>
          <t>Eastwey</t>
        </is>
      </c>
      <c r="F472" s="37" t="n">
        <v>43</v>
      </c>
      <c r="G472" s="37" t="n">
        <v>1</v>
      </c>
      <c r="H472" s="37" t="n">
        <v>43</v>
      </c>
      <c r="I472" s="37" t="n">
        <v>7.55</v>
      </c>
      <c r="J472" s="37" t="n">
        <v>324.65</v>
      </c>
    </row>
    <row r="473">
      <c r="A473" s="37" t="inlineStr">
        <is>
          <t>TXN-202608-028897</t>
        </is>
      </c>
      <c r="B473" s="37" t="inlineStr">
        <is>
          <t>AC-EW-0105</t>
        </is>
      </c>
      <c r="C473" s="37" t="inlineStr">
        <is>
          <t>WL-03242</t>
        </is>
      </c>
      <c r="D473" s="37" t="inlineStr">
        <is>
          <t>EW-0105</t>
        </is>
      </c>
      <c r="E473" s="37" t="inlineStr">
        <is>
          <t>Eastwey</t>
        </is>
      </c>
      <c r="F473" s="37" t="n">
        <v>61</v>
      </c>
      <c r="G473" s="37" t="n">
        <v>1</v>
      </c>
      <c r="H473" s="37" t="n">
        <v>61</v>
      </c>
      <c r="I473" s="37" t="n">
        <v>7.55</v>
      </c>
      <c r="J473" s="37" t="n">
        <v>460.55</v>
      </c>
    </row>
    <row r="474">
      <c r="A474" s="37" t="inlineStr">
        <is>
          <t>TXN-202608-028973</t>
        </is>
      </c>
      <c r="B474" s="37" t="inlineStr">
        <is>
          <t>AC-EW-0106</t>
        </is>
      </c>
      <c r="C474" s="37" t="inlineStr">
        <is>
          <t>WL-03380</t>
        </is>
      </c>
      <c r="D474" s="37" t="inlineStr">
        <is>
          <t>EW-0106</t>
        </is>
      </c>
      <c r="E474" s="37" t="inlineStr">
        <is>
          <t>Eastwey</t>
        </is>
      </c>
      <c r="F474" s="37" t="n">
        <v>48</v>
      </c>
      <c r="G474" s="37" t="n">
        <v>1</v>
      </c>
      <c r="H474" s="37" t="n">
        <v>48</v>
      </c>
      <c r="I474" s="37" t="n">
        <v>7.55</v>
      </c>
      <c r="J474" s="37" t="n">
        <v>362.4</v>
      </c>
    </row>
    <row r="475">
      <c r="A475" s="37" t="inlineStr">
        <is>
          <t>TXN-202608-029048</t>
        </is>
      </c>
      <c r="B475" s="37" t="inlineStr">
        <is>
          <t>AC-EW-0107</t>
        </is>
      </c>
      <c r="C475" s="37" t="inlineStr">
        <is>
          <t>WL-01368</t>
        </is>
      </c>
      <c r="D475" s="37" t="inlineStr">
        <is>
          <t>EW-0107</t>
        </is>
      </c>
      <c r="E475" s="37" t="inlineStr">
        <is>
          <t>Eastwey</t>
        </is>
      </c>
      <c r="F475" s="37" t="n">
        <v>28</v>
      </c>
      <c r="G475" s="37" t="n">
        <v>1</v>
      </c>
      <c r="H475" s="37" t="n">
        <v>28</v>
      </c>
      <c r="I475" s="37" t="n">
        <v>7.55</v>
      </c>
      <c r="J475" s="37" t="n">
        <v>211.4</v>
      </c>
    </row>
    <row r="476">
      <c r="A476" s="37" t="inlineStr">
        <is>
          <t>TXN-202608-029120</t>
        </is>
      </c>
      <c r="B476" s="37" t="inlineStr">
        <is>
          <t>AC-EW-0108</t>
        </is>
      </c>
      <c r="C476" s="37" t="inlineStr">
        <is>
          <t>WL-02070</t>
        </is>
      </c>
      <c r="D476" s="37" t="inlineStr">
        <is>
          <t>EW-0108</t>
        </is>
      </c>
      <c r="E476" s="37" t="inlineStr">
        <is>
          <t>Eastwey</t>
        </is>
      </c>
      <c r="F476" s="37" t="n">
        <v>60</v>
      </c>
      <c r="G476" s="37" t="n">
        <v>1</v>
      </c>
      <c r="H476" s="37" t="n">
        <v>60</v>
      </c>
      <c r="I476" s="37" t="n">
        <v>7.55</v>
      </c>
      <c r="J476" s="37" t="n">
        <v>453</v>
      </c>
    </row>
    <row r="477">
      <c r="A477" s="37" t="inlineStr">
        <is>
          <t>TXN-202608-029186</t>
        </is>
      </c>
      <c r="B477" s="37" t="inlineStr">
        <is>
          <t>AC-EW-0109</t>
        </is>
      </c>
      <c r="C477" s="37" t="inlineStr">
        <is>
          <t>WL-03624</t>
        </is>
      </c>
      <c r="D477" s="37" t="inlineStr">
        <is>
          <t>EW-0109</t>
        </is>
      </c>
      <c r="E477" s="37" t="inlineStr">
        <is>
          <t>Eastwey</t>
        </is>
      </c>
      <c r="F477" s="37" t="n">
        <v>60</v>
      </c>
      <c r="G477" s="37" t="n">
        <v>1</v>
      </c>
      <c r="H477" s="37" t="n">
        <v>60</v>
      </c>
      <c r="I477" s="37" t="n">
        <v>7.55</v>
      </c>
      <c r="J477" s="37" t="n">
        <v>453</v>
      </c>
    </row>
    <row r="478">
      <c r="A478" s="37" t="inlineStr">
        <is>
          <t>TXN-202608-029246</t>
        </is>
      </c>
      <c r="B478" s="37" t="inlineStr">
        <is>
          <t>AC-EW-0110</t>
        </is>
      </c>
      <c r="C478" s="37" t="inlineStr">
        <is>
          <t>WL-01831</t>
        </is>
      </c>
      <c r="D478" s="37" t="inlineStr">
        <is>
          <t>EW-0110</t>
        </is>
      </c>
      <c r="E478" s="37" t="inlineStr">
        <is>
          <t>Eastwey</t>
        </is>
      </c>
      <c r="F478" s="37" t="n">
        <v>37</v>
      </c>
      <c r="G478" s="37" t="n">
        <v>1</v>
      </c>
      <c r="H478" s="37" t="n">
        <v>37</v>
      </c>
      <c r="I478" s="37" t="n">
        <v>7.55</v>
      </c>
      <c r="J478" s="37" t="n">
        <v>279.35</v>
      </c>
    </row>
    <row r="479">
      <c r="A479" s="37" t="inlineStr">
        <is>
          <t>TXN-202608-029329</t>
        </is>
      </c>
      <c r="B479" s="37" t="inlineStr">
        <is>
          <t>AC-EW-0111</t>
        </is>
      </c>
      <c r="C479" s="37" t="inlineStr">
        <is>
          <t>WL-01617</t>
        </is>
      </c>
      <c r="D479" s="37" t="inlineStr">
        <is>
          <t>EW-0111</t>
        </is>
      </c>
      <c r="E479" s="37" t="inlineStr">
        <is>
          <t>Eastwey</t>
        </is>
      </c>
      <c r="F479" s="37" t="n">
        <v>44</v>
      </c>
      <c r="G479" s="37" t="n">
        <v>1</v>
      </c>
      <c r="H479" s="37" t="n">
        <v>44</v>
      </c>
      <c r="I479" s="37" t="n">
        <v>7.55</v>
      </c>
      <c r="J479" s="37" t="n">
        <v>332.2</v>
      </c>
    </row>
    <row r="480">
      <c r="A480" s="37" t="inlineStr">
        <is>
          <t>TXN-202608-029415</t>
        </is>
      </c>
      <c r="B480" s="37" t="inlineStr">
        <is>
          <t>AC-EW-0112</t>
        </is>
      </c>
      <c r="C480" s="37" t="inlineStr">
        <is>
          <t>WL-01533</t>
        </is>
      </c>
      <c r="D480" s="37" t="inlineStr">
        <is>
          <t>EW-0112</t>
        </is>
      </c>
      <c r="E480" s="37" t="inlineStr">
        <is>
          <t>Eastwey</t>
        </is>
      </c>
      <c r="F480" s="37" t="n">
        <v>70</v>
      </c>
      <c r="G480" s="37" t="n">
        <v>1</v>
      </c>
      <c r="H480" s="37" t="n">
        <v>70</v>
      </c>
      <c r="I480" s="37" t="n">
        <v>7.55</v>
      </c>
      <c r="J480" s="37" t="n">
        <v>528.5</v>
      </c>
    </row>
    <row r="481">
      <c r="A481" s="37" t="inlineStr">
        <is>
          <t>TXN-202608-029475</t>
        </is>
      </c>
      <c r="B481" s="37" t="inlineStr">
        <is>
          <t>AC-EW-0113</t>
        </is>
      </c>
      <c r="C481" s="37" t="inlineStr">
        <is>
          <t>WL-01482</t>
        </is>
      </c>
      <c r="D481" s="37" t="inlineStr">
        <is>
          <t>EW-0113</t>
        </is>
      </c>
      <c r="E481" s="37" t="inlineStr">
        <is>
          <t>Eastwey</t>
        </is>
      </c>
      <c r="F481" s="37" t="n">
        <v>62</v>
      </c>
      <c r="G481" s="37" t="n">
        <v>1</v>
      </c>
      <c r="H481" s="37" t="n">
        <v>62</v>
      </c>
      <c r="I481" s="37" t="n">
        <v>7.55</v>
      </c>
      <c r="J481" s="37" t="n">
        <v>468.1</v>
      </c>
    </row>
    <row r="482">
      <c r="A482" s="37" t="inlineStr">
        <is>
          <t>TXN-202608-029536</t>
        </is>
      </c>
      <c r="B482" s="37" t="inlineStr">
        <is>
          <t>AC-EW-0114</t>
        </is>
      </c>
      <c r="C482" s="37" t="inlineStr">
        <is>
          <t>WL-03340</t>
        </is>
      </c>
      <c r="D482" s="37" t="inlineStr">
        <is>
          <t>EW-0114</t>
        </is>
      </c>
      <c r="E482" s="37" t="inlineStr">
        <is>
          <t>Eastwey</t>
        </is>
      </c>
      <c r="F482" s="37" t="n">
        <v>42</v>
      </c>
      <c r="G482" s="37" t="n">
        <v>1</v>
      </c>
      <c r="H482" s="37" t="n">
        <v>42</v>
      </c>
      <c r="I482" s="37" t="n">
        <v>7.55</v>
      </c>
      <c r="J482" s="37" t="n">
        <v>317.1</v>
      </c>
    </row>
    <row r="483">
      <c r="A483" s="37" t="inlineStr">
        <is>
          <t>TXN-202608-029605</t>
        </is>
      </c>
      <c r="B483" s="37" t="inlineStr">
        <is>
          <t>AC-EW-0115</t>
        </is>
      </c>
      <c r="C483" s="37" t="inlineStr">
        <is>
          <t>WL-01809</t>
        </is>
      </c>
      <c r="D483" s="37" t="inlineStr">
        <is>
          <t>EW-0115</t>
        </is>
      </c>
      <c r="E483" s="37" t="inlineStr">
        <is>
          <t>Eastwey</t>
        </is>
      </c>
      <c r="F483" s="37" t="n">
        <v>39</v>
      </c>
      <c r="G483" s="37" t="n">
        <v>1</v>
      </c>
      <c r="H483" s="37" t="n">
        <v>39</v>
      </c>
      <c r="I483" s="37" t="n">
        <v>7.55</v>
      </c>
      <c r="J483" s="37" t="n">
        <v>294.45</v>
      </c>
    </row>
    <row r="484">
      <c r="A484" s="37" t="inlineStr">
        <is>
          <t>TXN-202608-029666</t>
        </is>
      </c>
      <c r="B484" s="37" t="inlineStr">
        <is>
          <t>AC-EW-0116</t>
        </is>
      </c>
      <c r="C484" s="37" t="inlineStr">
        <is>
          <t>WL-02558</t>
        </is>
      </c>
      <c r="D484" s="37" t="inlineStr">
        <is>
          <t>EW-0116</t>
        </is>
      </c>
      <c r="E484" s="37" t="inlineStr">
        <is>
          <t>Eastwey</t>
        </is>
      </c>
      <c r="F484" s="37" t="n">
        <v>32</v>
      </c>
      <c r="G484" s="37" t="n">
        <v>1</v>
      </c>
      <c r="H484" s="37" t="n">
        <v>32</v>
      </c>
      <c r="I484" s="37" t="n">
        <v>7.55</v>
      </c>
      <c r="J484" s="37" t="n">
        <v>241.6</v>
      </c>
    </row>
    <row r="485">
      <c r="A485" s="37" t="inlineStr">
        <is>
          <t>TXN-202608-029714</t>
        </is>
      </c>
      <c r="B485" s="37" t="inlineStr">
        <is>
          <t>AC-EW-0118</t>
        </is>
      </c>
      <c r="C485" s="37" t="inlineStr">
        <is>
          <t>WL-03472</t>
        </is>
      </c>
      <c r="D485" s="37" t="inlineStr">
        <is>
          <t>EW-0118</t>
        </is>
      </c>
      <c r="E485" s="37" t="inlineStr">
        <is>
          <t>Eastwey</t>
        </is>
      </c>
      <c r="F485" s="37" t="n">
        <v>49</v>
      </c>
      <c r="G485" s="37" t="n">
        <v>1</v>
      </c>
      <c r="H485" s="37" t="n">
        <v>49</v>
      </c>
      <c r="I485" s="37" t="n">
        <v>7.55</v>
      </c>
      <c r="J485" s="37" t="n">
        <v>369.95</v>
      </c>
    </row>
    <row r="486">
      <c r="A486" s="37" t="inlineStr">
        <is>
          <t>TXN-202608-029764</t>
        </is>
      </c>
      <c r="B486" s="37" t="inlineStr">
        <is>
          <t>AC-EW-0119</t>
        </is>
      </c>
      <c r="C486" s="37" t="inlineStr">
        <is>
          <t>WL-02417</t>
        </is>
      </c>
      <c r="D486" s="37" t="inlineStr">
        <is>
          <t>EW-0119</t>
        </is>
      </c>
      <c r="E486" s="37" t="inlineStr">
        <is>
          <t>Eastwey</t>
        </is>
      </c>
      <c r="F486" s="37" t="n">
        <v>49</v>
      </c>
      <c r="G486" s="37" t="n">
        <v>1</v>
      </c>
      <c r="H486" s="37" t="n">
        <v>49</v>
      </c>
      <c r="I486" s="37" t="n">
        <v>7.55</v>
      </c>
      <c r="J486" s="37" t="n">
        <v>369.95</v>
      </c>
    </row>
    <row r="487">
      <c r="A487" s="37" t="inlineStr">
        <is>
          <t>TXN-202608-029843</t>
        </is>
      </c>
      <c r="B487" s="37" t="inlineStr">
        <is>
          <t>AC-EW-0120</t>
        </is>
      </c>
      <c r="C487" s="37" t="inlineStr">
        <is>
          <t>WL-02149</t>
        </is>
      </c>
      <c r="D487" s="37" t="inlineStr">
        <is>
          <t>EW-0120</t>
        </is>
      </c>
      <c r="E487" s="37" t="inlineStr">
        <is>
          <t>Eastwey</t>
        </is>
      </c>
      <c r="F487" s="37" t="n">
        <v>80</v>
      </c>
      <c r="G487" s="37" t="n">
        <v>1</v>
      </c>
      <c r="H487" s="37" t="n">
        <v>80</v>
      </c>
      <c r="I487" s="37" t="n">
        <v>7.55</v>
      </c>
      <c r="J487" s="37" t="n">
        <v>604</v>
      </c>
    </row>
    <row r="488">
      <c r="A488" s="37" t="inlineStr">
        <is>
          <t>TXN-202608-029923</t>
        </is>
      </c>
      <c r="B488" s="37" t="inlineStr">
        <is>
          <t>AC-EW-0121</t>
        </is>
      </c>
      <c r="C488" s="37" t="inlineStr">
        <is>
          <t>WL-01125</t>
        </is>
      </c>
      <c r="D488" s="37" t="inlineStr">
        <is>
          <t>EW-0121</t>
        </is>
      </c>
      <c r="E488" s="37" t="inlineStr">
        <is>
          <t>Eastwey</t>
        </is>
      </c>
      <c r="F488" s="37" t="n">
        <v>38</v>
      </c>
      <c r="G488" s="37" t="n">
        <v>1</v>
      </c>
      <c r="H488" s="37" t="n">
        <v>38</v>
      </c>
      <c r="I488" s="37" t="n">
        <v>7.55</v>
      </c>
      <c r="J488" s="37" t="n">
        <v>286.9</v>
      </c>
    </row>
    <row r="489">
      <c r="A489" s="37" t="inlineStr">
        <is>
          <t>TXN-202608-029966</t>
        </is>
      </c>
      <c r="B489" s="37" t="inlineStr">
        <is>
          <t>AC-EW-0122</t>
        </is>
      </c>
      <c r="C489" s="37" t="inlineStr">
        <is>
          <t>WL-03816</t>
        </is>
      </c>
      <c r="D489" s="37" t="inlineStr">
        <is>
          <t>EW-0122</t>
        </is>
      </c>
      <c r="E489" s="37" t="inlineStr">
        <is>
          <t>Eastwey</t>
        </is>
      </c>
      <c r="F489" s="37" t="n">
        <v>70</v>
      </c>
      <c r="G489" s="37" t="n">
        <v>1</v>
      </c>
      <c r="H489" s="37" t="n">
        <v>70</v>
      </c>
      <c r="I489" s="37" t="n">
        <v>7.55</v>
      </c>
      <c r="J489" s="37" t="n">
        <v>528.5</v>
      </c>
    </row>
    <row r="490">
      <c r="A490" s="37" t="inlineStr">
        <is>
          <t>TXN-202608-030041</t>
        </is>
      </c>
      <c r="B490" s="37" t="inlineStr">
        <is>
          <t>AC-EW-0123</t>
        </is>
      </c>
      <c r="C490" s="37" t="inlineStr">
        <is>
          <t>WL-03203</t>
        </is>
      </c>
      <c r="D490" s="37" t="inlineStr">
        <is>
          <t>EW-0123</t>
        </is>
      </c>
      <c r="E490" s="37" t="inlineStr">
        <is>
          <t>Eastwey</t>
        </is>
      </c>
      <c r="F490" s="37" t="n">
        <v>45</v>
      </c>
      <c r="G490" s="37" t="n">
        <v>1</v>
      </c>
      <c r="H490" s="37" t="n">
        <v>45</v>
      </c>
      <c r="I490" s="37" t="n">
        <v>7.55</v>
      </c>
      <c r="J490" s="37" t="n">
        <v>339.75</v>
      </c>
    </row>
    <row r="491">
      <c r="A491" s="37" t="inlineStr">
        <is>
          <t>TXN-202608-030093</t>
        </is>
      </c>
      <c r="B491" s="37" t="inlineStr">
        <is>
          <t>AC-EW-0124</t>
        </is>
      </c>
      <c r="C491" s="37" t="inlineStr">
        <is>
          <t>WL-03361</t>
        </is>
      </c>
      <c r="D491" s="37" t="inlineStr">
        <is>
          <t>EW-0124</t>
        </is>
      </c>
      <c r="E491" s="37" t="inlineStr">
        <is>
          <t>Eastwey</t>
        </is>
      </c>
      <c r="F491" s="37" t="n">
        <v>56</v>
      </c>
      <c r="G491" s="37" t="n">
        <v>1</v>
      </c>
      <c r="H491" s="37" t="n">
        <v>56</v>
      </c>
      <c r="I491" s="37" t="n">
        <v>7.55</v>
      </c>
      <c r="J491" s="37" t="n">
        <v>422.8</v>
      </c>
    </row>
    <row r="492">
      <c r="A492" s="37" t="inlineStr">
        <is>
          <t>TXN-202608-030152</t>
        </is>
      </c>
      <c r="B492" s="37" t="inlineStr">
        <is>
          <t>AC-EW-0201</t>
        </is>
      </c>
      <c r="C492" s="37" t="inlineStr">
        <is>
          <t>WL-02818</t>
        </is>
      </c>
      <c r="D492" s="37" t="inlineStr">
        <is>
          <t>EW-0201</t>
        </is>
      </c>
      <c r="E492" s="37" t="inlineStr">
        <is>
          <t>Eastwey</t>
        </is>
      </c>
      <c r="F492" s="37" t="n">
        <v>40</v>
      </c>
      <c r="G492" s="37" t="n">
        <v>1</v>
      </c>
      <c r="H492" s="37" t="n">
        <v>40</v>
      </c>
      <c r="I492" s="37" t="n">
        <v>7.55</v>
      </c>
      <c r="J492" s="37" t="n">
        <v>302</v>
      </c>
    </row>
    <row r="493">
      <c r="A493" s="37" t="inlineStr">
        <is>
          <t>TXN-202608-030227</t>
        </is>
      </c>
      <c r="B493" s="37" t="inlineStr">
        <is>
          <t>AC-EW-0202</t>
        </is>
      </c>
      <c r="C493" s="37" t="inlineStr">
        <is>
          <t>WL-03332</t>
        </is>
      </c>
      <c r="D493" s="37" t="inlineStr">
        <is>
          <t>EW-0202</t>
        </is>
      </c>
      <c r="E493" s="37" t="inlineStr">
        <is>
          <t>Eastwey</t>
        </is>
      </c>
      <c r="F493" s="37" t="n">
        <v>50</v>
      </c>
      <c r="G493" s="37" t="n">
        <v>1</v>
      </c>
      <c r="H493" s="37" t="n">
        <v>50</v>
      </c>
      <c r="I493" s="37" t="n">
        <v>7.55</v>
      </c>
      <c r="J493" s="37" t="n">
        <v>377.5</v>
      </c>
    </row>
    <row r="494">
      <c r="A494" s="37" t="inlineStr">
        <is>
          <t>TXN-202608-030303</t>
        </is>
      </c>
      <c r="B494" s="37" t="inlineStr">
        <is>
          <t>AC-EW-0203</t>
        </is>
      </c>
      <c r="C494" s="37" t="inlineStr">
        <is>
          <t>WL-02676</t>
        </is>
      </c>
      <c r="D494" s="37" t="inlineStr">
        <is>
          <t>EW-0203</t>
        </is>
      </c>
      <c r="E494" s="37" t="inlineStr">
        <is>
          <t>Eastwey</t>
        </is>
      </c>
      <c r="F494" s="37" t="n">
        <v>35</v>
      </c>
      <c r="G494" s="37" t="n">
        <v>1</v>
      </c>
      <c r="H494" s="37" t="n">
        <v>35</v>
      </c>
      <c r="I494" s="37" t="n">
        <v>7.55</v>
      </c>
      <c r="J494" s="37" t="n">
        <v>264.25</v>
      </c>
    </row>
    <row r="495">
      <c r="A495" s="37" t="inlineStr">
        <is>
          <t>TXN-202608-030391</t>
        </is>
      </c>
      <c r="B495" s="37" t="inlineStr">
        <is>
          <t>AC-EW-0204</t>
        </is>
      </c>
      <c r="C495" s="37" t="inlineStr">
        <is>
          <t>WL-01545</t>
        </is>
      </c>
      <c r="D495" s="37" t="inlineStr">
        <is>
          <t>EW-0204</t>
        </is>
      </c>
      <c r="E495" s="37" t="inlineStr">
        <is>
          <t>Eastwey</t>
        </is>
      </c>
      <c r="F495" s="37" t="n">
        <v>40</v>
      </c>
      <c r="G495" s="37" t="n">
        <v>1</v>
      </c>
      <c r="H495" s="37" t="n">
        <v>40</v>
      </c>
      <c r="I495" s="37" t="n">
        <v>7.55</v>
      </c>
      <c r="J495" s="37" t="n">
        <v>302</v>
      </c>
    </row>
    <row r="496">
      <c r="A496" s="37" t="inlineStr">
        <is>
          <t>TXN-202608-030464</t>
        </is>
      </c>
      <c r="B496" s="37" t="inlineStr">
        <is>
          <t>AC-EW-0206</t>
        </is>
      </c>
      <c r="C496" s="37" t="inlineStr">
        <is>
          <t>WL-01286</t>
        </is>
      </c>
      <c r="D496" s="37" t="inlineStr">
        <is>
          <t>EW-0206</t>
        </is>
      </c>
      <c r="E496" s="37" t="inlineStr">
        <is>
          <t>Eastwey</t>
        </is>
      </c>
      <c r="F496" s="37" t="n">
        <v>36</v>
      </c>
      <c r="G496" s="37" t="n">
        <v>1</v>
      </c>
      <c r="H496" s="37" t="n">
        <v>36</v>
      </c>
      <c r="I496" s="37" t="n">
        <v>7.55</v>
      </c>
      <c r="J496" s="37" t="n">
        <v>271.8</v>
      </c>
    </row>
    <row r="497">
      <c r="A497" s="37" t="inlineStr">
        <is>
          <t>TXN-202608-030538</t>
        </is>
      </c>
      <c r="B497" s="37" t="inlineStr">
        <is>
          <t>AC-EW-0207</t>
        </is>
      </c>
      <c r="C497" s="37" t="inlineStr">
        <is>
          <t>WL-01486</t>
        </is>
      </c>
      <c r="D497" s="37" t="inlineStr">
        <is>
          <t>EW-0207</t>
        </is>
      </c>
      <c r="E497" s="37" t="inlineStr">
        <is>
          <t>Eastwey</t>
        </is>
      </c>
      <c r="F497" s="37" t="n">
        <v>45</v>
      </c>
      <c r="G497" s="37" t="n">
        <v>1</v>
      </c>
      <c r="H497" s="37" t="n">
        <v>45</v>
      </c>
      <c r="I497" s="37" t="n">
        <v>7.55</v>
      </c>
      <c r="J497" s="37" t="n">
        <v>339.75</v>
      </c>
    </row>
    <row r="498">
      <c r="A498" s="37" t="inlineStr">
        <is>
          <t>TXN-202608-030581</t>
        </is>
      </c>
      <c r="B498" s="37" t="inlineStr">
        <is>
          <t>AC-EW-0208</t>
        </is>
      </c>
      <c r="C498" s="37" t="inlineStr">
        <is>
          <t>WL-03130</t>
        </is>
      </c>
      <c r="D498" s="37" t="inlineStr">
        <is>
          <t>EW-0208</t>
        </is>
      </c>
      <c r="E498" s="37" t="inlineStr">
        <is>
          <t>Eastwey</t>
        </is>
      </c>
      <c r="F498" s="37" t="n">
        <v>32</v>
      </c>
      <c r="G498" s="37" t="n">
        <v>1</v>
      </c>
      <c r="H498" s="37" t="n">
        <v>32</v>
      </c>
      <c r="I498" s="37" t="n">
        <v>7.55</v>
      </c>
      <c r="J498" s="37" t="n">
        <v>241.6</v>
      </c>
    </row>
    <row r="499">
      <c r="A499" s="37" t="inlineStr">
        <is>
          <t>TXN-202608-030661</t>
        </is>
      </c>
      <c r="B499" s="37" t="inlineStr">
        <is>
          <t>AC-EW-0209</t>
        </is>
      </c>
      <c r="C499" s="37" t="inlineStr">
        <is>
          <t>WL-02673</t>
        </is>
      </c>
      <c r="D499" s="37" t="inlineStr">
        <is>
          <t>EW-0209</t>
        </is>
      </c>
      <c r="E499" s="37" t="inlineStr">
        <is>
          <t>Eastwey</t>
        </is>
      </c>
      <c r="F499" s="37" t="n">
        <v>36</v>
      </c>
      <c r="G499" s="37" t="n">
        <v>1</v>
      </c>
      <c r="H499" s="37" t="n">
        <v>36</v>
      </c>
      <c r="I499" s="37" t="n">
        <v>7.55</v>
      </c>
      <c r="J499" s="37" t="n">
        <v>271.8</v>
      </c>
    </row>
    <row r="500">
      <c r="A500" s="37" t="inlineStr">
        <is>
          <t>TXN-202608-030725</t>
        </is>
      </c>
      <c r="B500" s="37" t="inlineStr">
        <is>
          <t>AC-EW-0210</t>
        </is>
      </c>
      <c r="C500" s="37" t="inlineStr">
        <is>
          <t>WL-01729</t>
        </is>
      </c>
      <c r="D500" s="37" t="inlineStr">
        <is>
          <t>EW-0210</t>
        </is>
      </c>
      <c r="E500" s="37" t="inlineStr">
        <is>
          <t>Eastwey</t>
        </is>
      </c>
      <c r="F500" s="37" t="n">
        <v>40</v>
      </c>
      <c r="G500" s="37" t="n">
        <v>1</v>
      </c>
      <c r="H500" s="37" t="n">
        <v>40</v>
      </c>
      <c r="I500" s="37" t="n">
        <v>7.55</v>
      </c>
      <c r="J500" s="37" t="n">
        <v>302</v>
      </c>
    </row>
    <row r="501">
      <c r="A501" s="37" t="inlineStr">
        <is>
          <t>TXN-202608-030794</t>
        </is>
      </c>
      <c r="B501" s="37" t="inlineStr">
        <is>
          <t>AC-EW-0211</t>
        </is>
      </c>
      <c r="C501" s="37" t="inlineStr">
        <is>
          <t>WL-02171</t>
        </is>
      </c>
      <c r="D501" s="37" t="inlineStr">
        <is>
          <t>EW-0211</t>
        </is>
      </c>
      <c r="E501" s="37" t="inlineStr">
        <is>
          <t>Eastwey</t>
        </is>
      </c>
      <c r="F501" s="37" t="n">
        <v>50</v>
      </c>
      <c r="G501" s="37" t="n">
        <v>1</v>
      </c>
      <c r="H501" s="37" t="n">
        <v>50</v>
      </c>
      <c r="I501" s="37" t="n">
        <v>7.55</v>
      </c>
      <c r="J501" s="37" t="n">
        <v>377.5</v>
      </c>
    </row>
    <row r="502">
      <c r="A502" s="37" t="inlineStr">
        <is>
          <t>TXN-202608-030878</t>
        </is>
      </c>
      <c r="B502" s="37" t="inlineStr">
        <is>
          <t>AC-EW-0212</t>
        </is>
      </c>
      <c r="C502" s="37" t="inlineStr">
        <is>
          <t>WL-01589</t>
        </is>
      </c>
      <c r="D502" s="37" t="inlineStr">
        <is>
          <t>EW-0212</t>
        </is>
      </c>
      <c r="E502" s="37" t="inlineStr">
        <is>
          <t>Eastwey</t>
        </is>
      </c>
      <c r="F502" s="37" t="n">
        <v>32</v>
      </c>
      <c r="G502" s="37" t="n">
        <v>1</v>
      </c>
      <c r="H502" s="37" t="n">
        <v>32</v>
      </c>
      <c r="I502" s="37" t="n">
        <v>7.55</v>
      </c>
      <c r="J502" s="37" t="n">
        <v>241.6</v>
      </c>
    </row>
    <row r="503">
      <c r="A503" s="37" t="inlineStr">
        <is>
          <t>TXN-202608-030921</t>
        </is>
      </c>
      <c r="B503" s="37" t="inlineStr">
        <is>
          <t>AC-EW-0214</t>
        </is>
      </c>
      <c r="C503" s="37" t="inlineStr">
        <is>
          <t>WL-01651</t>
        </is>
      </c>
      <c r="D503" s="37" t="inlineStr">
        <is>
          <t>EW-0214</t>
        </is>
      </c>
      <c r="E503" s="37" t="inlineStr">
        <is>
          <t>Eastwey</t>
        </is>
      </c>
      <c r="F503" s="37" t="n">
        <v>60</v>
      </c>
      <c r="G503" s="37" t="n">
        <v>1</v>
      </c>
      <c r="H503" s="37" t="n">
        <v>60</v>
      </c>
      <c r="I503" s="37" t="n">
        <v>7.55</v>
      </c>
      <c r="J503" s="37" t="n">
        <v>453</v>
      </c>
    </row>
    <row r="504">
      <c r="A504" s="37" t="inlineStr">
        <is>
          <t>TXN-202608-031003</t>
        </is>
      </c>
      <c r="B504" s="37" t="inlineStr">
        <is>
          <t>AC-EW-0215</t>
        </is>
      </c>
      <c r="C504" s="37" t="inlineStr">
        <is>
          <t>WL-03669</t>
        </is>
      </c>
      <c r="D504" s="37" t="inlineStr">
        <is>
          <t>EW-0215</t>
        </is>
      </c>
      <c r="E504" s="37" t="inlineStr">
        <is>
          <t>Eastwey</t>
        </is>
      </c>
      <c r="F504" s="37" t="n">
        <v>32</v>
      </c>
      <c r="G504" s="37" t="n">
        <v>1</v>
      </c>
      <c r="H504" s="37" t="n">
        <v>32</v>
      </c>
      <c r="I504" s="37" t="n">
        <v>7.55</v>
      </c>
      <c r="J504" s="37" t="n">
        <v>241.6</v>
      </c>
    </row>
    <row r="505">
      <c r="A505" s="37" t="inlineStr">
        <is>
          <t>TXN-202608-031060</t>
        </is>
      </c>
      <c r="B505" s="37" t="inlineStr">
        <is>
          <t>AC-EW-0216</t>
        </is>
      </c>
      <c r="C505" s="37" t="inlineStr">
        <is>
          <t>WL-01352</t>
        </is>
      </c>
      <c r="D505" s="37" t="inlineStr">
        <is>
          <t>EW-0216</t>
        </is>
      </c>
      <c r="E505" s="37" t="inlineStr">
        <is>
          <t>Eastwey</t>
        </is>
      </c>
      <c r="F505" s="37" t="n">
        <v>50</v>
      </c>
      <c r="G505" s="37" t="n">
        <v>1</v>
      </c>
      <c r="H505" s="37" t="n">
        <v>50</v>
      </c>
      <c r="I505" s="37" t="n">
        <v>7.55</v>
      </c>
      <c r="J505" s="37" t="n">
        <v>377.5</v>
      </c>
    </row>
    <row r="506">
      <c r="A506" s="37" t="inlineStr">
        <is>
          <t>TXN-202608-031106</t>
        </is>
      </c>
      <c r="B506" s="37" t="inlineStr">
        <is>
          <t>AC-EW-0217</t>
        </is>
      </c>
      <c r="C506" s="37" t="inlineStr">
        <is>
          <t>WL-01566</t>
        </is>
      </c>
      <c r="D506" s="37" t="inlineStr">
        <is>
          <t>EW-0217</t>
        </is>
      </c>
      <c r="E506" s="37" t="inlineStr">
        <is>
          <t>Eastwey</t>
        </is>
      </c>
      <c r="F506" s="37" t="n">
        <v>33</v>
      </c>
      <c r="G506" s="37" t="n">
        <v>1</v>
      </c>
      <c r="H506" s="37" t="n">
        <v>33</v>
      </c>
      <c r="I506" s="37" t="n">
        <v>7.55</v>
      </c>
      <c r="J506" s="37" t="n">
        <v>249.15</v>
      </c>
    </row>
    <row r="507">
      <c r="A507" s="37" t="inlineStr">
        <is>
          <t>TXN-202608-031153</t>
        </is>
      </c>
      <c r="B507" s="37" t="inlineStr">
        <is>
          <t>AC-EW-0218</t>
        </is>
      </c>
      <c r="C507" s="37" t="inlineStr">
        <is>
          <t>WL-01012</t>
        </is>
      </c>
      <c r="D507" s="37" t="inlineStr">
        <is>
          <t>EW-0218</t>
        </is>
      </c>
      <c r="E507" s="37" t="inlineStr">
        <is>
          <t>Eastwey</t>
        </is>
      </c>
      <c r="F507" s="37" t="n">
        <v>36</v>
      </c>
      <c r="G507" s="37" t="n">
        <v>1</v>
      </c>
      <c r="H507" s="37" t="n">
        <v>36</v>
      </c>
      <c r="I507" s="37" t="n">
        <v>7.55</v>
      </c>
      <c r="J507" s="37" t="n">
        <v>271.8</v>
      </c>
    </row>
    <row r="508">
      <c r="A508" s="37" t="inlineStr">
        <is>
          <t>TXN-202608-031220</t>
        </is>
      </c>
      <c r="B508" s="37" t="inlineStr">
        <is>
          <t>AC-EW-0219</t>
        </is>
      </c>
      <c r="C508" s="37" t="inlineStr">
        <is>
          <t>WL-02243</t>
        </is>
      </c>
      <c r="D508" s="37" t="inlineStr">
        <is>
          <t>EW-0219</t>
        </is>
      </c>
      <c r="E508" s="37" t="inlineStr">
        <is>
          <t>Eastwey</t>
        </is>
      </c>
      <c r="F508" s="37" t="n">
        <v>70</v>
      </c>
      <c r="G508" s="37" t="n">
        <v>1</v>
      </c>
      <c r="H508" s="37" t="n">
        <v>70</v>
      </c>
      <c r="I508" s="37" t="n">
        <v>7.55</v>
      </c>
      <c r="J508" s="37" t="n">
        <v>528.5</v>
      </c>
    </row>
    <row r="509">
      <c r="A509" s="37" t="inlineStr">
        <is>
          <t>TXN-202608-031269</t>
        </is>
      </c>
      <c r="B509" s="37" t="inlineStr">
        <is>
          <t>AC-EW-0220</t>
        </is>
      </c>
      <c r="C509" s="37" t="inlineStr">
        <is>
          <t>WL-01203</t>
        </is>
      </c>
      <c r="D509" s="37" t="inlineStr">
        <is>
          <t>EW-0220</t>
        </is>
      </c>
      <c r="E509" s="37" t="inlineStr">
        <is>
          <t>Eastwey</t>
        </is>
      </c>
      <c r="F509" s="37" t="n">
        <v>40</v>
      </c>
      <c r="G509" s="37" t="n">
        <v>1</v>
      </c>
      <c r="H509" s="37" t="n">
        <v>40</v>
      </c>
      <c r="I509" s="37" t="n">
        <v>7.55</v>
      </c>
      <c r="J509" s="37" t="n">
        <v>302</v>
      </c>
    </row>
    <row r="510">
      <c r="A510" s="37" t="inlineStr">
        <is>
          <t>TXN-202608-031333</t>
        </is>
      </c>
      <c r="B510" s="37" t="inlineStr">
        <is>
          <t>AC-EW-0221</t>
        </is>
      </c>
      <c r="C510" s="37" t="inlineStr">
        <is>
          <t>WL-02645</t>
        </is>
      </c>
      <c r="D510" s="37" t="inlineStr">
        <is>
          <t>EW-0221</t>
        </is>
      </c>
      <c r="E510" s="37" t="inlineStr">
        <is>
          <t>Eastwey</t>
        </is>
      </c>
      <c r="F510" s="37" t="n">
        <v>58</v>
      </c>
      <c r="G510" s="37" t="n">
        <v>1</v>
      </c>
      <c r="H510" s="37" t="n">
        <v>58</v>
      </c>
      <c r="I510" s="37" t="n">
        <v>7.55</v>
      </c>
      <c r="J510" s="37" t="n">
        <v>437.9</v>
      </c>
    </row>
    <row r="511">
      <c r="A511" s="37" t="inlineStr">
        <is>
          <t>TXN-202608-031378</t>
        </is>
      </c>
      <c r="B511" s="37" t="inlineStr">
        <is>
          <t>AC-EW-0222</t>
        </is>
      </c>
      <c r="C511" s="37" t="inlineStr">
        <is>
          <t>WL-02910</t>
        </is>
      </c>
      <c r="D511" s="37" t="inlineStr">
        <is>
          <t>EW-0222</t>
        </is>
      </c>
      <c r="E511" s="37" t="inlineStr">
        <is>
          <t>Eastwey</t>
        </is>
      </c>
      <c r="F511" s="37" t="n">
        <v>30</v>
      </c>
      <c r="G511" s="37" t="n">
        <v>1</v>
      </c>
      <c r="H511" s="37" t="n">
        <v>30</v>
      </c>
      <c r="I511" s="37" t="n">
        <v>7.55</v>
      </c>
      <c r="J511" s="37" t="n">
        <v>226.5</v>
      </c>
    </row>
    <row r="512">
      <c r="A512" s="37" t="inlineStr">
        <is>
          <t>TXN-202608-031418</t>
        </is>
      </c>
      <c r="B512" s="37" t="inlineStr">
        <is>
          <t>AC-EW-0223</t>
        </is>
      </c>
      <c r="C512" s="37" t="inlineStr">
        <is>
          <t>WL-01945</t>
        </is>
      </c>
      <c r="D512" s="37" t="inlineStr">
        <is>
          <t>EW-0223</t>
        </is>
      </c>
      <c r="E512" s="37" t="inlineStr">
        <is>
          <t>Eastwey</t>
        </is>
      </c>
      <c r="F512" s="37" t="n">
        <v>36</v>
      </c>
      <c r="G512" s="37" t="n">
        <v>1</v>
      </c>
      <c r="H512" s="37" t="n">
        <v>36</v>
      </c>
      <c r="I512" s="37" t="n">
        <v>7.55</v>
      </c>
      <c r="J512" s="37" t="n">
        <v>271.8</v>
      </c>
    </row>
    <row r="513">
      <c r="A513" s="37" t="inlineStr">
        <is>
          <t>TXN-202608-031462</t>
        </is>
      </c>
      <c r="B513" s="37" t="inlineStr">
        <is>
          <t>AC-EW-0224</t>
        </is>
      </c>
      <c r="C513" s="37" t="inlineStr">
        <is>
          <t>WL-01127</t>
        </is>
      </c>
      <c r="D513" s="37" t="inlineStr">
        <is>
          <t>EW-0224</t>
        </is>
      </c>
      <c r="E513" s="37" t="inlineStr">
        <is>
          <t>Eastwey</t>
        </is>
      </c>
      <c r="F513" s="37" t="n">
        <v>50</v>
      </c>
      <c r="G513" s="37" t="n">
        <v>1</v>
      </c>
      <c r="H513" s="37" t="n">
        <v>50</v>
      </c>
      <c r="I513" s="37" t="n">
        <v>7.55</v>
      </c>
      <c r="J513" s="37" t="n">
        <v>377.5</v>
      </c>
    </row>
    <row r="514">
      <c r="A514" s="37" t="inlineStr">
        <is>
          <t>TXN-202608-031530</t>
        </is>
      </c>
      <c r="B514" s="37" t="inlineStr">
        <is>
          <t>AC-EW-0302</t>
        </is>
      </c>
      <c r="C514" s="37" t="inlineStr">
        <is>
          <t>WL-01910</t>
        </is>
      </c>
      <c r="D514" s="37" t="inlineStr">
        <is>
          <t>EW-0302</t>
        </is>
      </c>
      <c r="E514" s="37" t="inlineStr">
        <is>
          <t>Eastwey</t>
        </is>
      </c>
      <c r="F514" s="37" t="n">
        <v>50</v>
      </c>
      <c r="G514" s="37" t="n">
        <v>1</v>
      </c>
      <c r="H514" s="37" t="n">
        <v>50</v>
      </c>
      <c r="I514" s="37" t="n">
        <v>7.55</v>
      </c>
      <c r="J514" s="37" t="n">
        <v>377.5</v>
      </c>
    </row>
    <row r="515">
      <c r="A515" s="37" t="inlineStr">
        <is>
          <t>TXN-202608-031575</t>
        </is>
      </c>
      <c r="B515" s="37" t="inlineStr">
        <is>
          <t>AC-EW-0303</t>
        </is>
      </c>
      <c r="C515" s="37" t="inlineStr">
        <is>
          <t>WL-01094</t>
        </is>
      </c>
      <c r="D515" s="37" t="inlineStr">
        <is>
          <t>EW-0303</t>
        </is>
      </c>
      <c r="E515" s="37" t="inlineStr">
        <is>
          <t>Eastwey</t>
        </is>
      </c>
      <c r="F515" s="37" t="n">
        <v>40</v>
      </c>
      <c r="G515" s="37" t="n">
        <v>1</v>
      </c>
      <c r="H515" s="37" t="n">
        <v>40</v>
      </c>
      <c r="I515" s="37" t="n">
        <v>7.55</v>
      </c>
      <c r="J515" s="37" t="n">
        <v>302</v>
      </c>
    </row>
    <row r="516">
      <c r="A516" s="37" t="inlineStr">
        <is>
          <t>TXN-202608-031651</t>
        </is>
      </c>
      <c r="B516" s="37" t="inlineStr">
        <is>
          <t>AC-EW-0304</t>
        </is>
      </c>
      <c r="C516" s="37" t="inlineStr">
        <is>
          <t>WL-03721</t>
        </is>
      </c>
      <c r="D516" s="37" t="inlineStr">
        <is>
          <t>EW-0304</t>
        </is>
      </c>
      <c r="E516" s="37" t="inlineStr">
        <is>
          <t>Eastwey</t>
        </is>
      </c>
      <c r="F516" s="37" t="n">
        <v>40</v>
      </c>
      <c r="G516" s="37" t="n">
        <v>1</v>
      </c>
      <c r="H516" s="37" t="n">
        <v>40</v>
      </c>
      <c r="I516" s="37" t="n">
        <v>7.55</v>
      </c>
      <c r="J516" s="37" t="n">
        <v>302</v>
      </c>
    </row>
    <row r="517">
      <c r="A517" s="37" t="inlineStr">
        <is>
          <t>TXN-202608-031717</t>
        </is>
      </c>
      <c r="B517" s="37" t="inlineStr">
        <is>
          <t>AC-EW-0305</t>
        </is>
      </c>
      <c r="C517" s="37" t="inlineStr">
        <is>
          <t>WL-02577</t>
        </is>
      </c>
      <c r="D517" s="37" t="inlineStr">
        <is>
          <t>EW-0305</t>
        </is>
      </c>
      <c r="E517" s="37" t="inlineStr">
        <is>
          <t>Eastwey</t>
        </is>
      </c>
      <c r="F517" s="37" t="n">
        <v>62</v>
      </c>
      <c r="G517" s="37" t="n">
        <v>1</v>
      </c>
      <c r="H517" s="37" t="n">
        <v>62</v>
      </c>
      <c r="I517" s="37" t="n">
        <v>7.55</v>
      </c>
      <c r="J517" s="37" t="n">
        <v>468.1</v>
      </c>
    </row>
    <row r="518">
      <c r="A518" s="37" t="inlineStr">
        <is>
          <t>TXN-202608-031757</t>
        </is>
      </c>
      <c r="B518" s="37" t="inlineStr">
        <is>
          <t>AC-EW-0306</t>
        </is>
      </c>
      <c r="C518" s="37" t="inlineStr">
        <is>
          <t>WL-01860</t>
        </is>
      </c>
      <c r="D518" s="37" t="inlineStr">
        <is>
          <t>EW-0306</t>
        </is>
      </c>
      <c r="E518" s="37" t="inlineStr">
        <is>
          <t>Eastwey</t>
        </is>
      </c>
      <c r="F518" s="37" t="n">
        <v>50</v>
      </c>
      <c r="G518" s="37" t="n">
        <v>1</v>
      </c>
      <c r="H518" s="37" t="n">
        <v>50</v>
      </c>
      <c r="I518" s="37" t="n">
        <v>7.55</v>
      </c>
      <c r="J518" s="37" t="n">
        <v>377.5</v>
      </c>
    </row>
    <row r="519">
      <c r="A519" s="37" t="inlineStr">
        <is>
          <t>TXN-202608-031834</t>
        </is>
      </c>
      <c r="B519" s="37" t="inlineStr">
        <is>
          <t>AC-EW-0307</t>
        </is>
      </c>
      <c r="C519" s="37" t="inlineStr">
        <is>
          <t>WL-01183</t>
        </is>
      </c>
      <c r="D519" s="37" t="inlineStr">
        <is>
          <t>EW-0307</t>
        </is>
      </c>
      <c r="E519" s="37" t="inlineStr">
        <is>
          <t>Eastwey</t>
        </is>
      </c>
      <c r="F519" s="37" t="n">
        <v>70</v>
      </c>
      <c r="G519" s="37" t="n">
        <v>1</v>
      </c>
      <c r="H519" s="37" t="n">
        <v>70</v>
      </c>
      <c r="I519" s="37" t="n">
        <v>7.55</v>
      </c>
      <c r="J519" s="37" t="n">
        <v>528.5</v>
      </c>
    </row>
    <row r="520">
      <c r="A520" s="37" t="inlineStr">
        <is>
          <t>TXN-202608-031893</t>
        </is>
      </c>
      <c r="B520" s="37" t="inlineStr">
        <is>
          <t>AC-EW-0308</t>
        </is>
      </c>
      <c r="C520" s="37" t="inlineStr">
        <is>
          <t>WL-02107</t>
        </is>
      </c>
      <c r="D520" s="37" t="inlineStr">
        <is>
          <t>EW-0308</t>
        </is>
      </c>
      <c r="E520" s="37" t="inlineStr">
        <is>
          <t>Eastwey</t>
        </is>
      </c>
      <c r="F520" s="37" t="n">
        <v>28</v>
      </c>
      <c r="G520" s="37" t="n">
        <v>1</v>
      </c>
      <c r="H520" s="37" t="n">
        <v>28</v>
      </c>
      <c r="I520" s="37" t="n">
        <v>7.55</v>
      </c>
      <c r="J520" s="37" t="n">
        <v>211.4</v>
      </c>
    </row>
    <row r="521">
      <c r="A521" s="37" t="inlineStr">
        <is>
          <t>TXN-202608-031944</t>
        </is>
      </c>
      <c r="B521" s="37" t="inlineStr">
        <is>
          <t>AC-EW-0309</t>
        </is>
      </c>
      <c r="C521" s="37" t="inlineStr">
        <is>
          <t>WL-01963</t>
        </is>
      </c>
      <c r="D521" s="37" t="inlineStr">
        <is>
          <t>EW-0309</t>
        </is>
      </c>
      <c r="E521" s="37" t="inlineStr">
        <is>
          <t>Eastwey</t>
        </is>
      </c>
      <c r="F521" s="37" t="n">
        <v>50</v>
      </c>
      <c r="G521" s="37" t="n">
        <v>1</v>
      </c>
      <c r="H521" s="37" t="n">
        <v>50</v>
      </c>
      <c r="I521" s="37" t="n">
        <v>7.55</v>
      </c>
      <c r="J521" s="37" t="n">
        <v>377.5</v>
      </c>
    </row>
    <row r="522">
      <c r="A522" s="37" t="inlineStr">
        <is>
          <t>TXN-202608-032002</t>
        </is>
      </c>
      <c r="B522" s="37" t="inlineStr">
        <is>
          <t>AC-EW-0311</t>
        </is>
      </c>
      <c r="C522" s="37" t="inlineStr">
        <is>
          <t>WL-02248</t>
        </is>
      </c>
      <c r="D522" s="37" t="inlineStr">
        <is>
          <t>EW-0311</t>
        </is>
      </c>
      <c r="E522" s="37" t="inlineStr">
        <is>
          <t>Eastwey</t>
        </is>
      </c>
      <c r="F522" s="37" t="n">
        <v>32</v>
      </c>
      <c r="G522" s="37" t="n">
        <v>1</v>
      </c>
      <c r="H522" s="37" t="n">
        <v>32</v>
      </c>
      <c r="I522" s="37" t="n">
        <v>7.55</v>
      </c>
      <c r="J522" s="37" t="n">
        <v>241.6</v>
      </c>
    </row>
    <row r="523">
      <c r="A523" s="37" t="inlineStr">
        <is>
          <t>TXN-202608-032064</t>
        </is>
      </c>
      <c r="B523" s="37" t="inlineStr">
        <is>
          <t>AC-EW-0312</t>
        </is>
      </c>
      <c r="C523" s="37" t="inlineStr">
        <is>
          <t>WL-03809</t>
        </is>
      </c>
      <c r="D523" s="37" t="inlineStr">
        <is>
          <t>EW-0312</t>
        </is>
      </c>
      <c r="E523" s="37" t="inlineStr">
        <is>
          <t>Eastwey</t>
        </is>
      </c>
      <c r="F523" s="37" t="n">
        <v>31</v>
      </c>
      <c r="G523" s="37" t="n">
        <v>1</v>
      </c>
      <c r="H523" s="37" t="n">
        <v>31</v>
      </c>
      <c r="I523" s="37" t="n">
        <v>7.55</v>
      </c>
      <c r="J523" s="37" t="n">
        <v>234.05</v>
      </c>
    </row>
    <row r="524">
      <c r="A524" s="37" t="inlineStr">
        <is>
          <t>TXN-202608-032107</t>
        </is>
      </c>
      <c r="B524" s="37" t="inlineStr">
        <is>
          <t>AC-EW-0313</t>
        </is>
      </c>
      <c r="C524" s="37" t="inlineStr">
        <is>
          <t>WL-01429</t>
        </is>
      </c>
      <c r="D524" s="37" t="inlineStr">
        <is>
          <t>EW-0313</t>
        </is>
      </c>
      <c r="E524" s="37" t="inlineStr">
        <is>
          <t>Eastwey</t>
        </is>
      </c>
      <c r="F524" s="37" t="n">
        <v>50</v>
      </c>
      <c r="G524" s="37" t="n">
        <v>1</v>
      </c>
      <c r="H524" s="37" t="n">
        <v>50</v>
      </c>
      <c r="I524" s="37" t="n">
        <v>7.55</v>
      </c>
      <c r="J524" s="37" t="n">
        <v>377.5</v>
      </c>
    </row>
    <row r="525">
      <c r="A525" s="37" t="inlineStr">
        <is>
          <t>TXN-202608-032156</t>
        </is>
      </c>
      <c r="B525" s="37" t="inlineStr">
        <is>
          <t>AC-EW-0314</t>
        </is>
      </c>
      <c r="C525" s="37" t="inlineStr">
        <is>
          <t>WL-01716</t>
        </is>
      </c>
      <c r="D525" s="37" t="inlineStr">
        <is>
          <t>EW-0314</t>
        </is>
      </c>
      <c r="E525" s="37" t="inlineStr">
        <is>
          <t>Eastwey</t>
        </is>
      </c>
      <c r="F525" s="37" t="n">
        <v>33</v>
      </c>
      <c r="G525" s="37" t="n">
        <v>1</v>
      </c>
      <c r="H525" s="37" t="n">
        <v>33</v>
      </c>
      <c r="I525" s="37" t="n">
        <v>7.55</v>
      </c>
      <c r="J525" s="37" t="n">
        <v>249.15</v>
      </c>
    </row>
    <row r="526">
      <c r="A526" s="37" t="inlineStr">
        <is>
          <t>TXN-202608-032201</t>
        </is>
      </c>
      <c r="B526" s="37" t="inlineStr">
        <is>
          <t>AC-EW-0315</t>
        </is>
      </c>
      <c r="C526" s="37" t="inlineStr">
        <is>
          <t>WL-01385</t>
        </is>
      </c>
      <c r="D526" s="37" t="inlineStr">
        <is>
          <t>EW-0315</t>
        </is>
      </c>
      <c r="E526" s="37" t="inlineStr">
        <is>
          <t>Eastwey</t>
        </is>
      </c>
      <c r="F526" s="37" t="n">
        <v>44</v>
      </c>
      <c r="G526" s="37" t="n">
        <v>1</v>
      </c>
      <c r="H526" s="37" t="n">
        <v>44</v>
      </c>
      <c r="I526" s="37" t="n">
        <v>7.55</v>
      </c>
      <c r="J526" s="37" t="n">
        <v>332.2</v>
      </c>
    </row>
    <row r="527">
      <c r="A527" s="37" t="inlineStr">
        <is>
          <t>TXN-202608-032276</t>
        </is>
      </c>
      <c r="B527" s="37" t="inlineStr">
        <is>
          <t>AC-EW-0316</t>
        </is>
      </c>
      <c r="C527" s="37" t="inlineStr">
        <is>
          <t>WL-02940</t>
        </is>
      </c>
      <c r="D527" s="37" t="inlineStr">
        <is>
          <t>EW-0316</t>
        </is>
      </c>
      <c r="E527" s="37" t="inlineStr">
        <is>
          <t>Eastwey</t>
        </is>
      </c>
      <c r="F527" s="37" t="n">
        <v>61</v>
      </c>
      <c r="G527" s="37" t="n">
        <v>1</v>
      </c>
      <c r="H527" s="37" t="n">
        <v>61</v>
      </c>
      <c r="I527" s="37" t="n">
        <v>7.55</v>
      </c>
      <c r="J527" s="37" t="n">
        <v>460.55</v>
      </c>
    </row>
    <row r="528">
      <c r="A528" s="37" t="inlineStr">
        <is>
          <t>TXN-202608-032323</t>
        </is>
      </c>
      <c r="B528" s="37" t="inlineStr">
        <is>
          <t>AC-EW-0317</t>
        </is>
      </c>
      <c r="C528" s="37" t="inlineStr">
        <is>
          <t>WL-02017</t>
        </is>
      </c>
      <c r="D528" s="37" t="inlineStr">
        <is>
          <t>EW-0317</t>
        </is>
      </c>
      <c r="E528" s="37" t="inlineStr">
        <is>
          <t>Eastwey</t>
        </is>
      </c>
      <c r="F528" s="37" t="n">
        <v>45</v>
      </c>
      <c r="G528" s="37" t="n">
        <v>1</v>
      </c>
      <c r="H528" s="37" t="n">
        <v>45</v>
      </c>
      <c r="I528" s="37" t="n">
        <v>7.55</v>
      </c>
      <c r="J528" s="37" t="n">
        <v>339.75</v>
      </c>
    </row>
    <row r="529">
      <c r="A529" s="37" t="inlineStr">
        <is>
          <t>TXN-202608-032391</t>
        </is>
      </c>
      <c r="B529" s="37" t="inlineStr">
        <is>
          <t>AC-EW-0318</t>
        </is>
      </c>
      <c r="C529" s="37" t="inlineStr">
        <is>
          <t>WL-03162</t>
        </is>
      </c>
      <c r="D529" s="37" t="inlineStr">
        <is>
          <t>EW-0318</t>
        </is>
      </c>
      <c r="E529" s="37" t="inlineStr">
        <is>
          <t>Eastwey</t>
        </is>
      </c>
      <c r="F529" s="37" t="n">
        <v>37</v>
      </c>
      <c r="G529" s="37" t="n">
        <v>1</v>
      </c>
      <c r="H529" s="37" t="n">
        <v>37</v>
      </c>
      <c r="I529" s="37" t="n">
        <v>7.55</v>
      </c>
      <c r="J529" s="37" t="n">
        <v>279.35</v>
      </c>
    </row>
    <row r="530">
      <c r="A530" s="37" t="inlineStr">
        <is>
          <t>TXN-202608-032465</t>
        </is>
      </c>
      <c r="B530" s="37" t="inlineStr">
        <is>
          <t>AC-EW-0319</t>
        </is>
      </c>
      <c r="C530" s="37" t="inlineStr">
        <is>
          <t>WL-02697</t>
        </is>
      </c>
      <c r="D530" s="37" t="inlineStr">
        <is>
          <t>EW-0319</t>
        </is>
      </c>
      <c r="E530" s="37" t="inlineStr">
        <is>
          <t>Eastwey</t>
        </is>
      </c>
      <c r="F530" s="37" t="n">
        <v>70</v>
      </c>
      <c r="G530" s="37" t="n">
        <v>1</v>
      </c>
      <c r="H530" s="37" t="n">
        <v>70</v>
      </c>
      <c r="I530" s="37" t="n">
        <v>7.55</v>
      </c>
      <c r="J530" s="37" t="n">
        <v>528.5</v>
      </c>
    </row>
    <row r="531">
      <c r="A531" s="37" t="inlineStr">
        <is>
          <t>TXN-202608-032535</t>
        </is>
      </c>
      <c r="B531" s="37" t="inlineStr">
        <is>
          <t>AC-EW-0321</t>
        </is>
      </c>
      <c r="C531" s="37" t="inlineStr">
        <is>
          <t>WL-02660</t>
        </is>
      </c>
      <c r="D531" s="37" t="inlineStr">
        <is>
          <t>EW-0321</t>
        </is>
      </c>
      <c r="E531" s="37" t="inlineStr">
        <is>
          <t>Eastwey</t>
        </is>
      </c>
      <c r="F531" s="37" t="n">
        <v>70</v>
      </c>
      <c r="G531" s="37" t="n">
        <v>1</v>
      </c>
      <c r="H531" s="37" t="n">
        <v>70</v>
      </c>
      <c r="I531" s="37" t="n">
        <v>7.55</v>
      </c>
      <c r="J531" s="37" t="n">
        <v>528.5</v>
      </c>
    </row>
    <row r="532">
      <c r="A532" s="37" t="inlineStr">
        <is>
          <t>TXN-202608-032620</t>
        </is>
      </c>
      <c r="B532" s="37" t="inlineStr">
        <is>
          <t>AC-EW-0322</t>
        </is>
      </c>
      <c r="C532" s="37" t="inlineStr">
        <is>
          <t>WL-02010</t>
        </is>
      </c>
      <c r="D532" s="37" t="inlineStr">
        <is>
          <t>EW-0322</t>
        </is>
      </c>
      <c r="E532" s="37" t="inlineStr">
        <is>
          <t>Eastwey</t>
        </is>
      </c>
      <c r="F532" s="37" t="n">
        <v>57</v>
      </c>
      <c r="G532" s="37" t="n">
        <v>1</v>
      </c>
      <c r="H532" s="37" t="n">
        <v>57</v>
      </c>
      <c r="I532" s="37" t="n">
        <v>7.55</v>
      </c>
      <c r="J532" s="37" t="n">
        <v>430.35</v>
      </c>
    </row>
    <row r="533">
      <c r="A533" s="37" t="inlineStr">
        <is>
          <t>TXN-202608-032673</t>
        </is>
      </c>
      <c r="B533" s="37" t="inlineStr">
        <is>
          <t>AC-EW-0323</t>
        </is>
      </c>
      <c r="C533" s="37" t="inlineStr">
        <is>
          <t>WL-02685</t>
        </is>
      </c>
      <c r="D533" s="37" t="inlineStr">
        <is>
          <t>EW-0323</t>
        </is>
      </c>
      <c r="E533" s="37" t="inlineStr">
        <is>
          <t>Eastwey</t>
        </is>
      </c>
      <c r="F533" s="37" t="n">
        <v>51</v>
      </c>
      <c r="G533" s="37" t="n">
        <v>1</v>
      </c>
      <c r="H533" s="37" t="n">
        <v>51</v>
      </c>
      <c r="I533" s="37" t="n">
        <v>7.55</v>
      </c>
      <c r="J533" s="37" t="n">
        <v>385.05</v>
      </c>
    </row>
    <row r="534">
      <c r="A534" s="37" t="inlineStr">
        <is>
          <t>TXN-202608-032710</t>
        </is>
      </c>
      <c r="B534" s="37" t="inlineStr">
        <is>
          <t>AC-EW-0324</t>
        </is>
      </c>
      <c r="C534" s="37" t="inlineStr">
        <is>
          <t>WL-02459</t>
        </is>
      </c>
      <c r="D534" s="37" t="inlineStr">
        <is>
          <t>EW-0324</t>
        </is>
      </c>
      <c r="E534" s="37" t="inlineStr">
        <is>
          <t>Eastwey</t>
        </is>
      </c>
      <c r="F534" s="37" t="n">
        <v>80</v>
      </c>
      <c r="G534" s="37" t="n">
        <v>1</v>
      </c>
      <c r="H534" s="37" t="n">
        <v>80</v>
      </c>
      <c r="I534" s="37" t="n">
        <v>7.55</v>
      </c>
      <c r="J534" s="37" t="n">
        <v>604</v>
      </c>
    </row>
    <row r="535">
      <c r="A535" s="37" t="inlineStr">
        <is>
          <t>TXN-202608-032752</t>
        </is>
      </c>
      <c r="B535" s="37" t="inlineStr">
        <is>
          <t>AC-EW-0401</t>
        </is>
      </c>
      <c r="C535" s="37" t="inlineStr">
        <is>
          <t>WL-02377</t>
        </is>
      </c>
      <c r="D535" s="37" t="inlineStr">
        <is>
          <t>EW-0401</t>
        </is>
      </c>
      <c r="E535" s="37" t="inlineStr">
        <is>
          <t>Eastwey</t>
        </is>
      </c>
      <c r="F535" s="37" t="n">
        <v>51</v>
      </c>
      <c r="G535" s="37" t="n">
        <v>1</v>
      </c>
      <c r="H535" s="37" t="n">
        <v>51</v>
      </c>
      <c r="I535" s="37" t="n">
        <v>7.55</v>
      </c>
      <c r="J535" s="37" t="n">
        <v>385.05</v>
      </c>
    </row>
    <row r="536">
      <c r="A536" s="37" t="inlineStr">
        <is>
          <t>TXN-202608-032804</t>
        </is>
      </c>
      <c r="B536" s="37" t="inlineStr">
        <is>
          <t>AC-EW-0402</t>
        </is>
      </c>
      <c r="C536" s="37" t="inlineStr">
        <is>
          <t>WL-01741</t>
        </is>
      </c>
      <c r="D536" s="37" t="inlineStr">
        <is>
          <t>EW-0402</t>
        </is>
      </c>
      <c r="E536" s="37" t="inlineStr">
        <is>
          <t>Eastwey</t>
        </is>
      </c>
      <c r="F536" s="37" t="n">
        <v>40</v>
      </c>
      <c r="G536" s="37" t="n">
        <v>1</v>
      </c>
      <c r="H536" s="37" t="n">
        <v>40</v>
      </c>
      <c r="I536" s="37" t="n">
        <v>7.55</v>
      </c>
      <c r="J536" s="37" t="n">
        <v>302</v>
      </c>
    </row>
    <row r="537">
      <c r="A537" s="37" t="inlineStr">
        <is>
          <t>TXN-202608-032868</t>
        </is>
      </c>
      <c r="B537" s="37" t="inlineStr">
        <is>
          <t>AC-EW-0403</t>
        </is>
      </c>
      <c r="C537" s="37" t="inlineStr">
        <is>
          <t>WL-01209</t>
        </is>
      </c>
      <c r="D537" s="37" t="inlineStr">
        <is>
          <t>EW-0403</t>
        </is>
      </c>
      <c r="E537" s="37" t="inlineStr">
        <is>
          <t>Eastwey</t>
        </is>
      </c>
      <c r="F537" s="37" t="n">
        <v>60</v>
      </c>
      <c r="G537" s="37" t="n">
        <v>1</v>
      </c>
      <c r="H537" s="37" t="n">
        <v>60</v>
      </c>
      <c r="I537" s="37" t="n">
        <v>7.55</v>
      </c>
      <c r="J537" s="37" t="n">
        <v>453</v>
      </c>
    </row>
    <row r="538">
      <c r="A538" s="37" t="inlineStr">
        <is>
          <t>TXN-202608-032927</t>
        </is>
      </c>
      <c r="B538" s="37" t="inlineStr">
        <is>
          <t>AC-EW-0404</t>
        </is>
      </c>
      <c r="C538" s="37" t="inlineStr">
        <is>
          <t>WL-01370</t>
        </is>
      </c>
      <c r="D538" s="37" t="inlineStr">
        <is>
          <t>EW-0404</t>
        </is>
      </c>
      <c r="E538" s="37" t="inlineStr">
        <is>
          <t>Eastwey</t>
        </is>
      </c>
      <c r="F538" s="37" t="n">
        <v>70</v>
      </c>
      <c r="G538" s="37" t="n">
        <v>1</v>
      </c>
      <c r="H538" s="37" t="n">
        <v>70</v>
      </c>
      <c r="I538" s="37" t="n">
        <v>7.55</v>
      </c>
      <c r="J538" s="37" t="n">
        <v>528.5</v>
      </c>
    </row>
    <row r="539">
      <c r="A539" s="37" t="inlineStr">
        <is>
          <t>TXN-202608-032961</t>
        </is>
      </c>
      <c r="B539" s="37" t="inlineStr">
        <is>
          <t>AC-EW-0405</t>
        </is>
      </c>
      <c r="C539" s="37" t="inlineStr">
        <is>
          <t>WL-02480</t>
        </is>
      </c>
      <c r="D539" s="37" t="inlineStr">
        <is>
          <t>EW-0405</t>
        </is>
      </c>
      <c r="E539" s="37" t="inlineStr">
        <is>
          <t>Eastwey</t>
        </is>
      </c>
      <c r="F539" s="37" t="n">
        <v>47</v>
      </c>
      <c r="G539" s="37" t="n">
        <v>1</v>
      </c>
      <c r="H539" s="37" t="n">
        <v>47</v>
      </c>
      <c r="I539" s="37" t="n">
        <v>7.55</v>
      </c>
      <c r="J539" s="37" t="n">
        <v>354.85</v>
      </c>
    </row>
    <row r="540">
      <c r="A540" s="37" t="inlineStr">
        <is>
          <t>TXN-202608-033039</t>
        </is>
      </c>
      <c r="B540" s="37" t="inlineStr">
        <is>
          <t>AC-EW-0406</t>
        </is>
      </c>
      <c r="C540" s="37" t="inlineStr">
        <is>
          <t>WL-02810</t>
        </is>
      </c>
      <c r="D540" s="37" t="inlineStr">
        <is>
          <t>EW-0406</t>
        </is>
      </c>
      <c r="E540" s="37" t="inlineStr">
        <is>
          <t>Eastwey</t>
        </is>
      </c>
      <c r="F540" s="37" t="n">
        <v>40</v>
      </c>
      <c r="G540" s="37" t="n">
        <v>1</v>
      </c>
      <c r="H540" s="37" t="n">
        <v>40</v>
      </c>
      <c r="I540" s="37" t="n">
        <v>7.55</v>
      </c>
      <c r="J540" s="37" t="n">
        <v>302</v>
      </c>
    </row>
    <row r="541">
      <c r="A541" s="37" t="inlineStr">
        <is>
          <t>TXN-202608-033099</t>
        </is>
      </c>
      <c r="B541" s="37" t="inlineStr">
        <is>
          <t>AC-EW-0407</t>
        </is>
      </c>
      <c r="C541" s="37" t="inlineStr">
        <is>
          <t>WL-02314</t>
        </is>
      </c>
      <c r="D541" s="37" t="inlineStr">
        <is>
          <t>EW-0407</t>
        </is>
      </c>
      <c r="E541" s="37" t="inlineStr">
        <is>
          <t>Eastwey</t>
        </is>
      </c>
      <c r="F541" s="37" t="n">
        <v>45</v>
      </c>
      <c r="G541" s="37" t="n">
        <v>1</v>
      </c>
      <c r="H541" s="37" t="n">
        <v>45</v>
      </c>
      <c r="I541" s="37" t="n">
        <v>7.55</v>
      </c>
      <c r="J541" s="37" t="n">
        <v>339.75</v>
      </c>
    </row>
    <row r="542">
      <c r="A542" s="37" t="inlineStr">
        <is>
          <t>TXN-202608-033166</t>
        </is>
      </c>
      <c r="B542" s="37" t="inlineStr">
        <is>
          <t>AC-EW-0408</t>
        </is>
      </c>
      <c r="C542" s="37" t="inlineStr">
        <is>
          <t>WL-02705</t>
        </is>
      </c>
      <c r="D542" s="37" t="inlineStr">
        <is>
          <t>EW-0408</t>
        </is>
      </c>
      <c r="E542" s="37" t="inlineStr">
        <is>
          <t>Eastwey</t>
        </is>
      </c>
      <c r="F542" s="37" t="n">
        <v>60</v>
      </c>
      <c r="G542" s="37" t="n">
        <v>1</v>
      </c>
      <c r="H542" s="37" t="n">
        <v>60</v>
      </c>
      <c r="I542" s="37" t="n">
        <v>7.55</v>
      </c>
      <c r="J542" s="37" t="n">
        <v>453</v>
      </c>
    </row>
    <row r="543">
      <c r="A543" s="37" t="inlineStr">
        <is>
          <t>TXN-202608-033249</t>
        </is>
      </c>
      <c r="B543" s="37" t="inlineStr">
        <is>
          <t>AC-EW-0409</t>
        </is>
      </c>
      <c r="C543" s="37" t="inlineStr">
        <is>
          <t>WL-01264</t>
        </is>
      </c>
      <c r="D543" s="37" t="inlineStr">
        <is>
          <t>EW-0409</t>
        </is>
      </c>
      <c r="E543" s="37" t="inlineStr">
        <is>
          <t>Eastwey</t>
        </is>
      </c>
      <c r="F543" s="37" t="n">
        <v>70</v>
      </c>
      <c r="G543" s="37" t="n">
        <v>1</v>
      </c>
      <c r="H543" s="37" t="n">
        <v>70</v>
      </c>
      <c r="I543" s="37" t="n">
        <v>7.55</v>
      </c>
      <c r="J543" s="37" t="n">
        <v>528.5</v>
      </c>
    </row>
    <row r="544">
      <c r="A544" s="37" t="inlineStr">
        <is>
          <t>TXN-202608-033291</t>
        </is>
      </c>
      <c r="B544" s="37" t="inlineStr">
        <is>
          <t>AC-EW-0410</t>
        </is>
      </c>
      <c r="C544" s="37" t="inlineStr">
        <is>
          <t>WL-02449</t>
        </is>
      </c>
      <c r="D544" s="37" t="inlineStr">
        <is>
          <t>EW-0410</t>
        </is>
      </c>
      <c r="E544" s="37" t="inlineStr">
        <is>
          <t>Eastwey</t>
        </is>
      </c>
      <c r="F544" s="37" t="n">
        <v>45</v>
      </c>
      <c r="G544" s="37" t="n">
        <v>1</v>
      </c>
      <c r="H544" s="37" t="n">
        <v>45</v>
      </c>
      <c r="I544" s="37" t="n">
        <v>7.55</v>
      </c>
      <c r="J544" s="37" t="n">
        <v>339.75</v>
      </c>
    </row>
    <row r="545">
      <c r="A545" s="37" t="inlineStr">
        <is>
          <t>TXN-202608-033364</t>
        </is>
      </c>
      <c r="B545" s="37" t="inlineStr">
        <is>
          <t>AC-EW-0411</t>
        </is>
      </c>
      <c r="C545" s="37" t="inlineStr">
        <is>
          <t>WL-01489</t>
        </is>
      </c>
      <c r="D545" s="37" t="inlineStr">
        <is>
          <t>EW-0411</t>
        </is>
      </c>
      <c r="E545" s="37" t="inlineStr">
        <is>
          <t>Eastwey</t>
        </is>
      </c>
      <c r="F545" s="37" t="n">
        <v>70</v>
      </c>
      <c r="G545" s="37" t="n">
        <v>1</v>
      </c>
      <c r="H545" s="37" t="n">
        <v>70</v>
      </c>
      <c r="I545" s="37" t="n">
        <v>7.55</v>
      </c>
      <c r="J545" s="37" t="n">
        <v>528.5</v>
      </c>
    </row>
    <row r="546">
      <c r="A546" s="37" t="inlineStr">
        <is>
          <t>TXN-202608-033423</t>
        </is>
      </c>
      <c r="B546" s="37" t="inlineStr">
        <is>
          <t>AC-EW-0412</t>
        </is>
      </c>
      <c r="C546" s="37" t="inlineStr">
        <is>
          <t>WL-01854</t>
        </is>
      </c>
      <c r="D546" s="37" t="inlineStr">
        <is>
          <t>EW-0412</t>
        </is>
      </c>
      <c r="E546" s="37" t="inlineStr">
        <is>
          <t>Eastwey</t>
        </is>
      </c>
      <c r="F546" s="37" t="n">
        <v>70</v>
      </c>
      <c r="G546" s="37" t="n">
        <v>1</v>
      </c>
      <c r="H546" s="37" t="n">
        <v>70</v>
      </c>
      <c r="I546" s="37" t="n">
        <v>7.55</v>
      </c>
      <c r="J546" s="37" t="n">
        <v>528.5</v>
      </c>
    </row>
    <row r="547">
      <c r="A547" s="37" t="inlineStr">
        <is>
          <t>TXN-202608-033480</t>
        </is>
      </c>
      <c r="B547" s="37" t="inlineStr">
        <is>
          <t>AC-EW-0413</t>
        </is>
      </c>
      <c r="C547" s="37" t="inlineStr">
        <is>
          <t>WL-02169</t>
        </is>
      </c>
      <c r="D547" s="37" t="inlineStr">
        <is>
          <t>EW-0413</t>
        </is>
      </c>
      <c r="E547" s="37" t="inlineStr">
        <is>
          <t>Eastwey</t>
        </is>
      </c>
      <c r="F547" s="37" t="n">
        <v>70</v>
      </c>
      <c r="G547" s="37" t="n">
        <v>1</v>
      </c>
      <c r="H547" s="37" t="n">
        <v>70</v>
      </c>
      <c r="I547" s="37" t="n">
        <v>7.55</v>
      </c>
      <c r="J547" s="37" t="n">
        <v>528.5</v>
      </c>
    </row>
    <row r="548">
      <c r="A548" s="37" t="inlineStr">
        <is>
          <t>TXN-202608-033549</t>
        </is>
      </c>
      <c r="B548" s="37" t="inlineStr">
        <is>
          <t>AC-EW-0414</t>
        </is>
      </c>
      <c r="C548" s="37" t="inlineStr">
        <is>
          <t>WL-02221</t>
        </is>
      </c>
      <c r="D548" s="37" t="inlineStr">
        <is>
          <t>EW-0414</t>
        </is>
      </c>
      <c r="E548" s="37" t="inlineStr">
        <is>
          <t>Eastwey</t>
        </is>
      </c>
      <c r="F548" s="37" t="n">
        <v>40</v>
      </c>
      <c r="G548" s="37" t="n">
        <v>1</v>
      </c>
      <c r="H548" s="37" t="n">
        <v>40</v>
      </c>
      <c r="I548" s="37" t="n">
        <v>7.55</v>
      </c>
      <c r="J548" s="37" t="n">
        <v>302</v>
      </c>
    </row>
    <row r="549">
      <c r="A549" s="37" t="inlineStr">
        <is>
          <t>TXN-202608-033601</t>
        </is>
      </c>
      <c r="B549" s="37" t="inlineStr">
        <is>
          <t>AC-EW-0415</t>
        </is>
      </c>
      <c r="C549" s="37" t="inlineStr">
        <is>
          <t>WL-02536</t>
        </is>
      </c>
      <c r="D549" s="37" t="inlineStr">
        <is>
          <t>EW-0415</t>
        </is>
      </c>
      <c r="E549" s="37" t="inlineStr">
        <is>
          <t>Eastwey</t>
        </is>
      </c>
      <c r="F549" s="37" t="n">
        <v>43</v>
      </c>
      <c r="G549" s="37" t="n">
        <v>1</v>
      </c>
      <c r="H549" s="37" t="n">
        <v>43</v>
      </c>
      <c r="I549" s="37" t="n">
        <v>7.55</v>
      </c>
      <c r="J549" s="37" t="n">
        <v>324.65</v>
      </c>
    </row>
    <row r="550">
      <c r="A550" s="37" t="inlineStr">
        <is>
          <t>TXN-202608-033637</t>
        </is>
      </c>
      <c r="B550" s="37" t="inlineStr">
        <is>
          <t>AC-EW-0416</t>
        </is>
      </c>
      <c r="C550" s="37" t="inlineStr">
        <is>
          <t>WL-02988</t>
        </is>
      </c>
      <c r="D550" s="37" t="inlineStr">
        <is>
          <t>EW-0416</t>
        </is>
      </c>
      <c r="E550" s="37" t="inlineStr">
        <is>
          <t>Eastwey</t>
        </is>
      </c>
      <c r="F550" s="37" t="n">
        <v>34</v>
      </c>
      <c r="G550" s="37" t="n">
        <v>1</v>
      </c>
      <c r="H550" s="37" t="n">
        <v>34</v>
      </c>
      <c r="I550" s="37" t="n">
        <v>7.55</v>
      </c>
      <c r="J550" s="37" t="n">
        <v>256.7</v>
      </c>
    </row>
    <row r="551">
      <c r="A551" s="37" t="inlineStr">
        <is>
          <t>TXN-202608-033694</t>
        </is>
      </c>
      <c r="B551" s="37" t="inlineStr">
        <is>
          <t>AC-EW-0417</t>
        </is>
      </c>
      <c r="C551" s="37" t="inlineStr">
        <is>
          <t>WL-01997</t>
        </is>
      </c>
      <c r="D551" s="37" t="inlineStr">
        <is>
          <t>EW-0417</t>
        </is>
      </c>
      <c r="E551" s="37" t="inlineStr">
        <is>
          <t>Eastwey</t>
        </is>
      </c>
      <c r="F551" s="37" t="n">
        <v>57</v>
      </c>
      <c r="G551" s="37" t="n">
        <v>1</v>
      </c>
      <c r="H551" s="37" t="n">
        <v>57</v>
      </c>
      <c r="I551" s="37" t="n">
        <v>7.55</v>
      </c>
      <c r="J551" s="37" t="n">
        <v>430.35</v>
      </c>
    </row>
    <row r="552">
      <c r="A552" s="37" t="inlineStr">
        <is>
          <t>TXN-202608-033739</t>
        </is>
      </c>
      <c r="B552" s="37" t="inlineStr">
        <is>
          <t>AC-EW-0418</t>
        </is>
      </c>
      <c r="C552" s="37" t="inlineStr">
        <is>
          <t>WL-02772</t>
        </is>
      </c>
      <c r="D552" s="37" t="inlineStr">
        <is>
          <t>EW-0418</t>
        </is>
      </c>
      <c r="E552" s="37" t="inlineStr">
        <is>
          <t>Eastwey</t>
        </is>
      </c>
      <c r="F552" s="37" t="n">
        <v>58</v>
      </c>
      <c r="G552" s="37" t="n">
        <v>1</v>
      </c>
      <c r="H552" s="37" t="n">
        <v>58</v>
      </c>
      <c r="I552" s="37" t="n">
        <v>7.55</v>
      </c>
      <c r="J552" s="37" t="n">
        <v>437.9</v>
      </c>
    </row>
    <row r="553">
      <c r="A553" s="37" t="inlineStr">
        <is>
          <t>TXN-202608-033803</t>
        </is>
      </c>
      <c r="B553" s="37" t="inlineStr">
        <is>
          <t>AC-EW-0419</t>
        </is>
      </c>
      <c r="C553" s="37" t="inlineStr">
        <is>
          <t>WL-03750</t>
        </is>
      </c>
      <c r="D553" s="37" t="inlineStr">
        <is>
          <t>EW-0419</t>
        </is>
      </c>
      <c r="E553" s="37" t="inlineStr">
        <is>
          <t>Eastwey</t>
        </is>
      </c>
      <c r="F553" s="37" t="n">
        <v>45</v>
      </c>
      <c r="G553" s="37" t="n">
        <v>1</v>
      </c>
      <c r="H553" s="37" t="n">
        <v>45</v>
      </c>
      <c r="I553" s="37" t="n">
        <v>7.55</v>
      </c>
      <c r="J553" s="37" t="n">
        <v>339.75</v>
      </c>
    </row>
    <row r="554">
      <c r="A554" s="37" t="inlineStr">
        <is>
          <t>TXN-202608-033845</t>
        </is>
      </c>
      <c r="B554" s="37" t="inlineStr">
        <is>
          <t>AC-EW-0420</t>
        </is>
      </c>
      <c r="C554" s="37" t="inlineStr">
        <is>
          <t>WL-03050</t>
        </is>
      </c>
      <c r="D554" s="37" t="inlineStr">
        <is>
          <t>EW-0420</t>
        </is>
      </c>
      <c r="E554" s="37" t="inlineStr">
        <is>
          <t>Eastwey</t>
        </is>
      </c>
      <c r="F554" s="37" t="n">
        <v>32</v>
      </c>
      <c r="G554" s="37" t="n">
        <v>1</v>
      </c>
      <c r="H554" s="37" t="n">
        <v>32</v>
      </c>
      <c r="I554" s="37" t="n">
        <v>7.55</v>
      </c>
      <c r="J554" s="37" t="n">
        <v>241.6</v>
      </c>
    </row>
    <row r="555">
      <c r="A555" s="37" t="inlineStr">
        <is>
          <t>TXN-202608-033895</t>
        </is>
      </c>
      <c r="B555" s="37" t="inlineStr">
        <is>
          <t>AC-EW-0421</t>
        </is>
      </c>
      <c r="C555" s="37" t="inlineStr">
        <is>
          <t>WL-01420</t>
        </is>
      </c>
      <c r="D555" s="37" t="inlineStr">
        <is>
          <t>EW-0421</t>
        </is>
      </c>
      <c r="E555" s="37" t="inlineStr">
        <is>
          <t>Eastwey</t>
        </is>
      </c>
      <c r="F555" s="37" t="n">
        <v>36</v>
      </c>
      <c r="G555" s="37" t="n">
        <v>1</v>
      </c>
      <c r="H555" s="37" t="n">
        <v>36</v>
      </c>
      <c r="I555" s="37" t="n">
        <v>7.55</v>
      </c>
      <c r="J555" s="37" t="n">
        <v>271.8</v>
      </c>
    </row>
    <row r="556">
      <c r="A556" s="37" t="inlineStr">
        <is>
          <t>TXN-202608-033944</t>
        </is>
      </c>
      <c r="B556" s="37" t="inlineStr">
        <is>
          <t>AC-EW-0423</t>
        </is>
      </c>
      <c r="C556" s="37" t="inlineStr">
        <is>
          <t>WL-01906</t>
        </is>
      </c>
      <c r="D556" s="37" t="inlineStr">
        <is>
          <t>EW-0423</t>
        </is>
      </c>
      <c r="E556" s="37" t="inlineStr">
        <is>
          <t>Eastwey</t>
        </is>
      </c>
      <c r="F556" s="37" t="n">
        <v>70</v>
      </c>
      <c r="G556" s="37" t="n">
        <v>1</v>
      </c>
      <c r="H556" s="37" t="n">
        <v>70</v>
      </c>
      <c r="I556" s="37" t="n">
        <v>7.55</v>
      </c>
      <c r="J556" s="37" t="n">
        <v>528.5</v>
      </c>
    </row>
    <row r="557">
      <c r="A557" s="37" t="inlineStr">
        <is>
          <t>TXN-202608-034023</t>
        </is>
      </c>
      <c r="B557" s="37" t="inlineStr">
        <is>
          <t>AC-EW-0424</t>
        </is>
      </c>
      <c r="C557" s="37" t="inlineStr">
        <is>
          <t>WL-03790</t>
        </is>
      </c>
      <c r="D557" s="37" t="inlineStr">
        <is>
          <t>EW-0424</t>
        </is>
      </c>
      <c r="E557" s="37" t="inlineStr">
        <is>
          <t>Eastwey</t>
        </is>
      </c>
      <c r="F557" s="37" t="n">
        <v>52</v>
      </c>
      <c r="G557" s="37" t="n">
        <v>1</v>
      </c>
      <c r="H557" s="37" t="n">
        <v>52</v>
      </c>
      <c r="I557" s="37" t="n">
        <v>7.55</v>
      </c>
      <c r="J557" s="37" t="n">
        <v>392.6</v>
      </c>
    </row>
    <row r="558">
      <c r="A558" s="37" t="inlineStr">
        <is>
          <t>TXN-202608-034088</t>
        </is>
      </c>
      <c r="B558" s="37" t="inlineStr">
        <is>
          <t>AC-EW-0502</t>
        </is>
      </c>
      <c r="C558" s="37" t="inlineStr">
        <is>
          <t>WL-02559</t>
        </is>
      </c>
      <c r="D558" s="37" t="inlineStr">
        <is>
          <t>EW-0502</t>
        </is>
      </c>
      <c r="E558" s="37" t="inlineStr">
        <is>
          <t>Eastwey</t>
        </is>
      </c>
      <c r="F558" s="37" t="n">
        <v>47</v>
      </c>
      <c r="G558" s="37" t="n">
        <v>1</v>
      </c>
      <c r="H558" s="37" t="n">
        <v>47</v>
      </c>
      <c r="I558" s="37" t="n">
        <v>7.55</v>
      </c>
      <c r="J558" s="37" t="n">
        <v>354.85</v>
      </c>
    </row>
    <row r="559">
      <c r="A559" s="37" t="inlineStr">
        <is>
          <t>TXN-202608-034166</t>
        </is>
      </c>
      <c r="B559" s="37" t="inlineStr">
        <is>
          <t>AC-EW-0503</t>
        </is>
      </c>
      <c r="C559" s="37" t="inlineStr">
        <is>
          <t>WL-01756</t>
        </is>
      </c>
      <c r="D559" s="37" t="inlineStr">
        <is>
          <t>EW-0503</t>
        </is>
      </c>
      <c r="E559" s="37" t="inlineStr">
        <is>
          <t>Eastwey</t>
        </is>
      </c>
      <c r="F559" s="37" t="n">
        <v>59</v>
      </c>
      <c r="G559" s="37" t="n">
        <v>1</v>
      </c>
      <c r="H559" s="37" t="n">
        <v>59</v>
      </c>
      <c r="I559" s="37" t="n">
        <v>7.55</v>
      </c>
      <c r="J559" s="37" t="n">
        <v>445.45</v>
      </c>
    </row>
    <row r="560">
      <c r="A560" s="37" t="inlineStr">
        <is>
          <t>TXN-202608-034246</t>
        </is>
      </c>
      <c r="B560" s="37" t="inlineStr">
        <is>
          <t>AC-EW-0504</t>
        </is>
      </c>
      <c r="C560" s="37" t="inlineStr">
        <is>
          <t>WL-02218</t>
        </is>
      </c>
      <c r="D560" s="37" t="inlineStr">
        <is>
          <t>EW-0504</t>
        </is>
      </c>
      <c r="E560" s="37" t="inlineStr">
        <is>
          <t>Eastwey</t>
        </is>
      </c>
      <c r="F560" s="37" t="n">
        <v>55</v>
      </c>
      <c r="G560" s="37" t="n">
        <v>1</v>
      </c>
      <c r="H560" s="37" t="n">
        <v>55</v>
      </c>
      <c r="I560" s="37" t="n">
        <v>7.55</v>
      </c>
      <c r="J560" s="37" t="n">
        <v>415.25</v>
      </c>
    </row>
    <row r="561">
      <c r="A561" s="37" t="inlineStr">
        <is>
          <t>TXN-202608-034302</t>
        </is>
      </c>
      <c r="B561" s="37" t="inlineStr">
        <is>
          <t>AC-EW-0505</t>
        </is>
      </c>
      <c r="C561" s="37" t="inlineStr">
        <is>
          <t>WL-02464</t>
        </is>
      </c>
      <c r="D561" s="37" t="inlineStr">
        <is>
          <t>EW-0505</t>
        </is>
      </c>
      <c r="E561" s="37" t="inlineStr">
        <is>
          <t>Eastwey</t>
        </is>
      </c>
      <c r="F561" s="37" t="n">
        <v>32</v>
      </c>
      <c r="G561" s="37" t="n">
        <v>1</v>
      </c>
      <c r="H561" s="37" t="n">
        <v>32</v>
      </c>
      <c r="I561" s="37" t="n">
        <v>7.55</v>
      </c>
      <c r="J561" s="37" t="n">
        <v>241.6</v>
      </c>
    </row>
    <row r="562">
      <c r="A562" s="37" t="inlineStr">
        <is>
          <t>TXN-202608-034374</t>
        </is>
      </c>
      <c r="B562" s="37" t="inlineStr">
        <is>
          <t>AC-EW-0506</t>
        </is>
      </c>
      <c r="C562" s="37" t="inlineStr">
        <is>
          <t>WL-01608</t>
        </is>
      </c>
      <c r="D562" s="37" t="inlineStr">
        <is>
          <t>EW-0506</t>
        </is>
      </c>
      <c r="E562" s="37" t="inlineStr">
        <is>
          <t>Eastwey</t>
        </is>
      </c>
      <c r="F562" s="37" t="n">
        <v>60</v>
      </c>
      <c r="G562" s="37" t="n">
        <v>1</v>
      </c>
      <c r="H562" s="37" t="n">
        <v>60</v>
      </c>
      <c r="I562" s="37" t="n">
        <v>7.55</v>
      </c>
      <c r="J562" s="37" t="n">
        <v>453</v>
      </c>
    </row>
    <row r="563">
      <c r="A563" s="37" t="inlineStr">
        <is>
          <t>TXN-202608-034456</t>
        </is>
      </c>
      <c r="B563" s="37" t="inlineStr">
        <is>
          <t>AC-EW-0507</t>
        </is>
      </c>
      <c r="C563" s="37" t="inlineStr">
        <is>
          <t>WL-02869</t>
        </is>
      </c>
      <c r="D563" s="37" t="inlineStr">
        <is>
          <t>EW-0507</t>
        </is>
      </c>
      <c r="E563" s="37" t="inlineStr">
        <is>
          <t>Eastwey</t>
        </is>
      </c>
      <c r="F563" s="37" t="n">
        <v>70</v>
      </c>
      <c r="G563" s="37" t="n">
        <v>1</v>
      </c>
      <c r="H563" s="37" t="n">
        <v>70</v>
      </c>
      <c r="I563" s="37" t="n">
        <v>7.55</v>
      </c>
      <c r="J563" s="37" t="n">
        <v>528.5</v>
      </c>
    </row>
    <row r="564">
      <c r="A564" s="37" t="inlineStr">
        <is>
          <t>TXN-202608-034510</t>
        </is>
      </c>
      <c r="B564" s="37" t="inlineStr">
        <is>
          <t>AC-EW-0508</t>
        </is>
      </c>
      <c r="C564" s="37" t="inlineStr">
        <is>
          <t>WL-03534</t>
        </is>
      </c>
      <c r="D564" s="37" t="inlineStr">
        <is>
          <t>EW-0508</t>
        </is>
      </c>
      <c r="E564" s="37" t="inlineStr">
        <is>
          <t>Eastwey</t>
        </is>
      </c>
      <c r="F564" s="37" t="n">
        <v>60</v>
      </c>
      <c r="G564" s="37" t="n">
        <v>1</v>
      </c>
      <c r="H564" s="37" t="n">
        <v>60</v>
      </c>
      <c r="I564" s="37" t="n">
        <v>7.55</v>
      </c>
      <c r="J564" s="37" t="n">
        <v>453</v>
      </c>
    </row>
    <row r="565">
      <c r="A565" s="37" t="inlineStr">
        <is>
          <t>TXN-202608-034564</t>
        </is>
      </c>
      <c r="B565" s="37" t="inlineStr">
        <is>
          <t>AC-EW-0510</t>
        </is>
      </c>
      <c r="C565" s="37" t="inlineStr">
        <is>
          <t>WL-03346</t>
        </is>
      </c>
      <c r="D565" s="37" t="inlineStr">
        <is>
          <t>EW-0510</t>
        </is>
      </c>
      <c r="E565" s="37" t="inlineStr">
        <is>
          <t>Eastwey</t>
        </is>
      </c>
      <c r="F565" s="37" t="n">
        <v>53</v>
      </c>
      <c r="G565" s="37" t="n">
        <v>1</v>
      </c>
      <c r="H565" s="37" t="n">
        <v>53</v>
      </c>
      <c r="I565" s="37" t="n">
        <v>7.55</v>
      </c>
      <c r="J565" s="37" t="n">
        <v>400.15</v>
      </c>
    </row>
    <row r="566">
      <c r="A566" s="37" t="inlineStr">
        <is>
          <t>TXN-202608-034626</t>
        </is>
      </c>
      <c r="B566" s="37" t="inlineStr">
        <is>
          <t>AC-EW-0511</t>
        </is>
      </c>
      <c r="C566" s="37" t="inlineStr">
        <is>
          <t>WL-03287</t>
        </is>
      </c>
      <c r="D566" s="37" t="inlineStr">
        <is>
          <t>EW-0511</t>
        </is>
      </c>
      <c r="E566" s="37" t="inlineStr">
        <is>
          <t>Eastwey</t>
        </is>
      </c>
      <c r="F566" s="37" t="n">
        <v>36</v>
      </c>
      <c r="G566" s="37" t="n">
        <v>1</v>
      </c>
      <c r="H566" s="37" t="n">
        <v>36</v>
      </c>
      <c r="I566" s="37" t="n">
        <v>7.55</v>
      </c>
      <c r="J566" s="37" t="n">
        <v>271.8</v>
      </c>
    </row>
    <row r="567">
      <c r="A567" s="37" t="inlineStr">
        <is>
          <t>TXN-202608-034706</t>
        </is>
      </c>
      <c r="B567" s="37" t="inlineStr">
        <is>
          <t>AC-EW-0512</t>
        </is>
      </c>
      <c r="C567" s="37" t="inlineStr">
        <is>
          <t>WL-02879</t>
        </is>
      </c>
      <c r="D567" s="37" t="inlineStr">
        <is>
          <t>EW-0512</t>
        </is>
      </c>
      <c r="E567" s="37" t="inlineStr">
        <is>
          <t>Eastwey</t>
        </is>
      </c>
      <c r="F567" s="37" t="n">
        <v>60</v>
      </c>
      <c r="G567" s="37" t="n">
        <v>1</v>
      </c>
      <c r="H567" s="37" t="n">
        <v>60</v>
      </c>
      <c r="I567" s="37" t="n">
        <v>7.55</v>
      </c>
      <c r="J567" s="37" t="n">
        <v>453</v>
      </c>
    </row>
    <row r="568">
      <c r="A568" s="37" t="inlineStr">
        <is>
          <t>TXN-202608-034781</t>
        </is>
      </c>
      <c r="B568" s="37" t="inlineStr">
        <is>
          <t>AC-EW-0513</t>
        </is>
      </c>
      <c r="C568" s="37" t="inlineStr">
        <is>
          <t>WL-01694</t>
        </is>
      </c>
      <c r="D568" s="37" t="inlineStr">
        <is>
          <t>EW-0513</t>
        </is>
      </c>
      <c r="E568" s="37" t="inlineStr">
        <is>
          <t>Eastwey</t>
        </is>
      </c>
      <c r="F568" s="37" t="n">
        <v>41</v>
      </c>
      <c r="G568" s="37" t="n">
        <v>1</v>
      </c>
      <c r="H568" s="37" t="n">
        <v>41</v>
      </c>
      <c r="I568" s="37" t="n">
        <v>7.55</v>
      </c>
      <c r="J568" s="37" t="n">
        <v>309.55</v>
      </c>
    </row>
    <row r="569">
      <c r="A569" s="37" t="inlineStr">
        <is>
          <t>TXN-202608-034854</t>
        </is>
      </c>
      <c r="B569" s="37" t="inlineStr">
        <is>
          <t>AC-EW-0514</t>
        </is>
      </c>
      <c r="C569" s="37" t="inlineStr">
        <is>
          <t>WL-02692</t>
        </is>
      </c>
      <c r="D569" s="37" t="inlineStr">
        <is>
          <t>EW-0514</t>
        </is>
      </c>
      <c r="E569" s="37" t="inlineStr">
        <is>
          <t>Eastwey</t>
        </is>
      </c>
      <c r="F569" s="37" t="n">
        <v>51</v>
      </c>
      <c r="G569" s="37" t="n">
        <v>1</v>
      </c>
      <c r="H569" s="37" t="n">
        <v>51</v>
      </c>
      <c r="I569" s="37" t="n">
        <v>7.55</v>
      </c>
      <c r="J569" s="37" t="n">
        <v>385.05</v>
      </c>
    </row>
    <row r="570">
      <c r="A570" s="37" t="inlineStr">
        <is>
          <t>TXN-202608-034902</t>
        </is>
      </c>
      <c r="B570" s="37" t="inlineStr">
        <is>
          <t>AC-EW-0515</t>
        </is>
      </c>
      <c r="C570" s="37" t="inlineStr">
        <is>
          <t>WL-01936</t>
        </is>
      </c>
      <c r="D570" s="37" t="inlineStr">
        <is>
          <t>EW-0515</t>
        </is>
      </c>
      <c r="E570" s="37" t="inlineStr">
        <is>
          <t>Eastwey</t>
        </is>
      </c>
      <c r="F570" s="37" t="n">
        <v>61</v>
      </c>
      <c r="G570" s="37" t="n">
        <v>1</v>
      </c>
      <c r="H570" s="37" t="n">
        <v>61</v>
      </c>
      <c r="I570" s="37" t="n">
        <v>7.55</v>
      </c>
      <c r="J570" s="37" t="n">
        <v>460.55</v>
      </c>
    </row>
    <row r="571">
      <c r="A571" s="37" t="inlineStr">
        <is>
          <t>TXN-202608-034962</t>
        </is>
      </c>
      <c r="B571" s="37" t="inlineStr">
        <is>
          <t>AC-EW-0516</t>
        </is>
      </c>
      <c r="C571" s="37" t="inlineStr">
        <is>
          <t>WL-03909</t>
        </is>
      </c>
      <c r="D571" s="37" t="inlineStr">
        <is>
          <t>EW-0516</t>
        </is>
      </c>
      <c r="E571" s="37" t="inlineStr">
        <is>
          <t>Eastwey</t>
        </is>
      </c>
      <c r="F571" s="37" t="n">
        <v>40</v>
      </c>
      <c r="G571" s="37" t="n">
        <v>1</v>
      </c>
      <c r="H571" s="37" t="n">
        <v>40</v>
      </c>
      <c r="I571" s="37" t="n">
        <v>7.55</v>
      </c>
      <c r="J571" s="37" t="n">
        <v>302</v>
      </c>
    </row>
    <row r="572">
      <c r="A572" s="37" t="inlineStr">
        <is>
          <t>TXN-202608-035020</t>
        </is>
      </c>
      <c r="B572" s="37" t="inlineStr">
        <is>
          <t>AC-EW-0517</t>
        </is>
      </c>
      <c r="C572" s="37" t="inlineStr">
        <is>
          <t>WL-01673</t>
        </is>
      </c>
      <c r="D572" s="37" t="inlineStr">
        <is>
          <t>EW-0517</t>
        </is>
      </c>
      <c r="E572" s="37" t="inlineStr">
        <is>
          <t>Eastwey</t>
        </is>
      </c>
      <c r="F572" s="37" t="n">
        <v>39</v>
      </c>
      <c r="G572" s="37" t="n">
        <v>1</v>
      </c>
      <c r="H572" s="37" t="n">
        <v>39</v>
      </c>
      <c r="I572" s="37" t="n">
        <v>7.55</v>
      </c>
      <c r="J572" s="37" t="n">
        <v>294.45</v>
      </c>
    </row>
    <row r="573">
      <c r="A573" s="37" t="inlineStr">
        <is>
          <t>TXN-202608-035100</t>
        </is>
      </c>
      <c r="B573" s="37" t="inlineStr">
        <is>
          <t>AC-EW-0518</t>
        </is>
      </c>
      <c r="C573" s="37" t="inlineStr">
        <is>
          <t>WL-01433</t>
        </is>
      </c>
      <c r="D573" s="37" t="inlineStr">
        <is>
          <t>EW-0518</t>
        </is>
      </c>
      <c r="E573" s="37" t="inlineStr">
        <is>
          <t>Eastwey</t>
        </is>
      </c>
      <c r="F573" s="37" t="n">
        <v>50</v>
      </c>
      <c r="G573" s="37" t="n">
        <v>1</v>
      </c>
      <c r="H573" s="37" t="n">
        <v>50</v>
      </c>
      <c r="I573" s="37" t="n">
        <v>7.55</v>
      </c>
      <c r="J573" s="37" t="n">
        <v>377.5</v>
      </c>
    </row>
    <row r="574">
      <c r="A574" s="37" t="inlineStr">
        <is>
          <t>TXN-202608-035177</t>
        </is>
      </c>
      <c r="B574" s="37" t="inlineStr">
        <is>
          <t>AC-EW-0519</t>
        </is>
      </c>
      <c r="C574" s="37" t="inlineStr">
        <is>
          <t>WL-01765</t>
        </is>
      </c>
      <c r="D574" s="37" t="inlineStr">
        <is>
          <t>EW-0519</t>
        </is>
      </c>
      <c r="E574" s="37" t="inlineStr">
        <is>
          <t>Eastwey</t>
        </is>
      </c>
      <c r="F574" s="37" t="n">
        <v>54</v>
      </c>
      <c r="G574" s="37" t="n">
        <v>1</v>
      </c>
      <c r="H574" s="37" t="n">
        <v>54</v>
      </c>
      <c r="I574" s="37" t="n">
        <v>7.55</v>
      </c>
      <c r="J574" s="37" t="n">
        <v>407.7</v>
      </c>
    </row>
    <row r="575">
      <c r="A575" s="37" t="inlineStr">
        <is>
          <t>TXN-202608-035252</t>
        </is>
      </c>
      <c r="B575" s="37" t="inlineStr">
        <is>
          <t>AC-EW-0520</t>
        </is>
      </c>
      <c r="C575" s="37" t="inlineStr">
        <is>
          <t>WL-02696</t>
        </is>
      </c>
      <c r="D575" s="37" t="inlineStr">
        <is>
          <t>EW-0520</t>
        </is>
      </c>
      <c r="E575" s="37" t="inlineStr">
        <is>
          <t>Eastwey</t>
        </is>
      </c>
      <c r="F575" s="37" t="n">
        <v>27</v>
      </c>
      <c r="G575" s="37" t="n">
        <v>1</v>
      </c>
      <c r="H575" s="37" t="n">
        <v>27</v>
      </c>
      <c r="I575" s="37" t="n">
        <v>7.55</v>
      </c>
      <c r="J575" s="37" t="n">
        <v>203.85</v>
      </c>
    </row>
    <row r="576">
      <c r="A576" s="37" t="inlineStr">
        <is>
          <t>TXN-202608-035294</t>
        </is>
      </c>
      <c r="B576" s="37" t="inlineStr">
        <is>
          <t>AC-EW-0521</t>
        </is>
      </c>
      <c r="C576" s="37" t="inlineStr">
        <is>
          <t>WL-02992</t>
        </is>
      </c>
      <c r="D576" s="37" t="inlineStr">
        <is>
          <t>EW-0521</t>
        </is>
      </c>
      <c r="E576" s="37" t="inlineStr">
        <is>
          <t>Eastwey</t>
        </is>
      </c>
      <c r="F576" s="37" t="n">
        <v>50</v>
      </c>
      <c r="G576" s="37" t="n">
        <v>1</v>
      </c>
      <c r="H576" s="37" t="n">
        <v>50</v>
      </c>
      <c r="I576" s="37" t="n">
        <v>7.55</v>
      </c>
      <c r="J576" s="37" t="n">
        <v>377.5</v>
      </c>
    </row>
    <row r="577">
      <c r="A577" s="37" t="inlineStr">
        <is>
          <t>TXN-202608-035348</t>
        </is>
      </c>
      <c r="B577" s="37" t="inlineStr">
        <is>
          <t>AC-EW-0522</t>
        </is>
      </c>
      <c r="C577" s="37" t="inlineStr">
        <is>
          <t>WL-03629</t>
        </is>
      </c>
      <c r="D577" s="37" t="inlineStr">
        <is>
          <t>EW-0522</t>
        </is>
      </c>
      <c r="E577" s="37" t="inlineStr">
        <is>
          <t>Eastwey</t>
        </is>
      </c>
      <c r="F577" s="37" t="n">
        <v>36</v>
      </c>
      <c r="G577" s="37" t="n">
        <v>1</v>
      </c>
      <c r="H577" s="37" t="n">
        <v>36</v>
      </c>
      <c r="I577" s="37" t="n">
        <v>7.55</v>
      </c>
      <c r="J577" s="37" t="n">
        <v>271.8</v>
      </c>
    </row>
    <row r="578">
      <c r="A578" s="37" t="inlineStr">
        <is>
          <t>TXN-202608-035427</t>
        </is>
      </c>
      <c r="B578" s="37" t="inlineStr">
        <is>
          <t>AC-EW-0523</t>
        </is>
      </c>
      <c r="C578" s="37" t="inlineStr">
        <is>
          <t>WL-01972</t>
        </is>
      </c>
      <c r="D578" s="37" t="inlineStr">
        <is>
          <t>EW-0523</t>
        </is>
      </c>
      <c r="E578" s="37" t="inlineStr">
        <is>
          <t>Eastwey</t>
        </is>
      </c>
      <c r="F578" s="37" t="n">
        <v>58</v>
      </c>
      <c r="G578" s="37" t="n">
        <v>1</v>
      </c>
      <c r="H578" s="37" t="n">
        <v>58</v>
      </c>
      <c r="I578" s="37" t="n">
        <v>7.55</v>
      </c>
      <c r="J578" s="37" t="n">
        <v>437.9</v>
      </c>
    </row>
    <row r="579">
      <c r="A579" s="37" t="inlineStr">
        <is>
          <t>TXN-202608-035479</t>
        </is>
      </c>
      <c r="B579" s="37" t="inlineStr">
        <is>
          <t>AC-EW-0524</t>
        </is>
      </c>
      <c r="C579" s="37" t="inlineStr">
        <is>
          <t>WL-01298</t>
        </is>
      </c>
      <c r="D579" s="37" t="inlineStr">
        <is>
          <t>EW-0524</t>
        </is>
      </c>
      <c r="E579" s="37" t="inlineStr">
        <is>
          <t>Eastwey</t>
        </is>
      </c>
      <c r="F579" s="37" t="n">
        <v>32</v>
      </c>
      <c r="G579" s="37" t="n">
        <v>1</v>
      </c>
      <c r="H579" s="37" t="n">
        <v>32</v>
      </c>
      <c r="I579" s="37" t="n">
        <v>7.55</v>
      </c>
      <c r="J579" s="37" t="n">
        <v>241.6</v>
      </c>
    </row>
    <row r="580">
      <c r="A580" s="37" t="inlineStr">
        <is>
          <t>TXN-202608-035548</t>
        </is>
      </c>
      <c r="B580" s="37" t="inlineStr">
        <is>
          <t>AC-EW-0601</t>
        </is>
      </c>
      <c r="C580" s="37" t="inlineStr">
        <is>
          <t>WL-02782</t>
        </is>
      </c>
      <c r="D580" s="37" t="inlineStr">
        <is>
          <t>EW-0601</t>
        </is>
      </c>
      <c r="E580" s="37" t="inlineStr">
        <is>
          <t>Eastwey</t>
        </is>
      </c>
      <c r="F580" s="37" t="n">
        <v>24</v>
      </c>
      <c r="G580" s="37" t="n">
        <v>1</v>
      </c>
      <c r="H580" s="37" t="n">
        <v>24</v>
      </c>
      <c r="I580" s="37" t="n">
        <v>7.55</v>
      </c>
      <c r="J580" s="37" t="n">
        <v>181.2</v>
      </c>
    </row>
    <row r="581">
      <c r="A581" s="37" t="inlineStr">
        <is>
          <t>TXN-202608-035607</t>
        </is>
      </c>
      <c r="B581" s="37" t="inlineStr">
        <is>
          <t>AC-EW-0602</t>
        </is>
      </c>
      <c r="C581" s="37" t="inlineStr">
        <is>
          <t>WL-02572</t>
        </is>
      </c>
      <c r="D581" s="37" t="inlineStr">
        <is>
          <t>EW-0602</t>
        </is>
      </c>
      <c r="E581" s="37" t="inlineStr">
        <is>
          <t>Eastwey</t>
        </is>
      </c>
      <c r="F581" s="37" t="n">
        <v>50</v>
      </c>
      <c r="G581" s="37" t="n">
        <v>1</v>
      </c>
      <c r="H581" s="37" t="n">
        <v>50</v>
      </c>
      <c r="I581" s="37" t="n">
        <v>7.55</v>
      </c>
      <c r="J581" s="37" t="n">
        <v>377.5</v>
      </c>
    </row>
    <row r="582">
      <c r="A582" s="37" t="inlineStr">
        <is>
          <t>TXN-202608-035683</t>
        </is>
      </c>
      <c r="B582" s="37" t="inlineStr">
        <is>
          <t>AC-EW-0603</t>
        </is>
      </c>
      <c r="C582" s="37" t="inlineStr">
        <is>
          <t>WL-03665</t>
        </is>
      </c>
      <c r="D582" s="37" t="inlineStr">
        <is>
          <t>EW-0603</t>
        </is>
      </c>
      <c r="E582" s="37" t="inlineStr">
        <is>
          <t>Eastwey</t>
        </is>
      </c>
      <c r="F582" s="37" t="n">
        <v>24</v>
      </c>
      <c r="G582" s="37" t="n">
        <v>1</v>
      </c>
      <c r="H582" s="37" t="n">
        <v>24</v>
      </c>
      <c r="I582" s="37" t="n">
        <v>7.55</v>
      </c>
      <c r="J582" s="37" t="n">
        <v>181.2</v>
      </c>
    </row>
    <row r="583">
      <c r="A583" s="37" t="inlineStr">
        <is>
          <t>TXN-202608-035744</t>
        </is>
      </c>
      <c r="B583" s="37" t="inlineStr">
        <is>
          <t>AC-EW-0604</t>
        </is>
      </c>
      <c r="C583" s="37" t="inlineStr">
        <is>
          <t>WL-02293</t>
        </is>
      </c>
      <c r="D583" s="37" t="inlineStr">
        <is>
          <t>EW-0604</t>
        </is>
      </c>
      <c r="E583" s="37" t="inlineStr">
        <is>
          <t>Eastwey</t>
        </is>
      </c>
      <c r="F583" s="37" t="n">
        <v>60</v>
      </c>
      <c r="G583" s="37" t="n">
        <v>1</v>
      </c>
      <c r="H583" s="37" t="n">
        <v>60</v>
      </c>
      <c r="I583" s="37" t="n">
        <v>7.55</v>
      </c>
      <c r="J583" s="37" t="n">
        <v>453</v>
      </c>
    </row>
    <row r="584">
      <c r="A584" s="37" t="inlineStr">
        <is>
          <t>TXN-202608-035801</t>
        </is>
      </c>
      <c r="B584" s="37" t="inlineStr">
        <is>
          <t>AC-EW-0605</t>
        </is>
      </c>
      <c r="C584" s="37" t="inlineStr">
        <is>
          <t>WL-02016</t>
        </is>
      </c>
      <c r="D584" s="37" t="inlineStr">
        <is>
          <t>EW-0605</t>
        </is>
      </c>
      <c r="E584" s="37" t="inlineStr">
        <is>
          <t>Eastwey</t>
        </is>
      </c>
      <c r="F584" s="37" t="n">
        <v>55</v>
      </c>
      <c r="G584" s="37" t="n">
        <v>1</v>
      </c>
      <c r="H584" s="37" t="n">
        <v>55</v>
      </c>
      <c r="I584" s="37" t="n">
        <v>7.55</v>
      </c>
      <c r="J584" s="37" t="n">
        <v>415.25</v>
      </c>
    </row>
    <row r="585">
      <c r="A585" s="37" t="inlineStr">
        <is>
          <t>TXN-202608-035855</t>
        </is>
      </c>
      <c r="B585" s="37" t="inlineStr">
        <is>
          <t>AC-EW-0606</t>
        </is>
      </c>
      <c r="C585" s="37" t="inlineStr">
        <is>
          <t>WL-03431</t>
        </is>
      </c>
      <c r="D585" s="37" t="inlineStr">
        <is>
          <t>EW-0606</t>
        </is>
      </c>
      <c r="E585" s="37" t="inlineStr">
        <is>
          <t>Eastwey</t>
        </is>
      </c>
      <c r="F585" s="37" t="n">
        <v>54</v>
      </c>
      <c r="G585" s="37" t="n">
        <v>1</v>
      </c>
      <c r="H585" s="37" t="n">
        <v>54</v>
      </c>
      <c r="I585" s="37" t="n">
        <v>7.55</v>
      </c>
      <c r="J585" s="37" t="n">
        <v>407.7</v>
      </c>
    </row>
    <row r="586">
      <c r="A586" s="37" t="inlineStr">
        <is>
          <t>TXN-202608-035922</t>
        </is>
      </c>
      <c r="B586" s="37" t="inlineStr">
        <is>
          <t>AC-EW-0607</t>
        </is>
      </c>
      <c r="C586" s="37" t="inlineStr">
        <is>
          <t>WL-02210</t>
        </is>
      </c>
      <c r="D586" s="37" t="inlineStr">
        <is>
          <t>EW-0607</t>
        </is>
      </c>
      <c r="E586" s="37" t="inlineStr">
        <is>
          <t>Eastwey</t>
        </is>
      </c>
      <c r="F586" s="37" t="n">
        <v>40</v>
      </c>
      <c r="G586" s="37" t="n">
        <v>1</v>
      </c>
      <c r="H586" s="37" t="n">
        <v>40</v>
      </c>
      <c r="I586" s="37" t="n">
        <v>7.55</v>
      </c>
      <c r="J586" s="37" t="n">
        <v>302</v>
      </c>
    </row>
    <row r="587">
      <c r="A587" s="37" t="inlineStr">
        <is>
          <t>TXN-202608-035975</t>
        </is>
      </c>
      <c r="B587" s="37" t="inlineStr">
        <is>
          <t>AC-EW-0608</t>
        </is>
      </c>
      <c r="C587" s="37" t="inlineStr">
        <is>
          <t>WL-02498</t>
        </is>
      </c>
      <c r="D587" s="37" t="inlineStr">
        <is>
          <t>EW-0608</t>
        </is>
      </c>
      <c r="E587" s="37" t="inlineStr">
        <is>
          <t>Eastwey</t>
        </is>
      </c>
      <c r="F587" s="37" t="n">
        <v>43</v>
      </c>
      <c r="G587" s="37" t="n">
        <v>1</v>
      </c>
      <c r="H587" s="37" t="n">
        <v>43</v>
      </c>
      <c r="I587" s="37" t="n">
        <v>7.55</v>
      </c>
      <c r="J587" s="37" t="n">
        <v>324.65</v>
      </c>
    </row>
    <row r="588">
      <c r="A588" s="37" t="inlineStr">
        <is>
          <t>TXN-202608-036025</t>
        </is>
      </c>
      <c r="B588" s="37" t="inlineStr">
        <is>
          <t>AC-EW-0609</t>
        </is>
      </c>
      <c r="C588" s="37" t="inlineStr">
        <is>
          <t>WL-01511</t>
        </is>
      </c>
      <c r="D588" s="37" t="inlineStr">
        <is>
          <t>EW-0609</t>
        </is>
      </c>
      <c r="E588" s="37" t="inlineStr">
        <is>
          <t>Eastwey</t>
        </is>
      </c>
      <c r="F588" s="37" t="n">
        <v>52</v>
      </c>
      <c r="G588" s="37" t="n">
        <v>1</v>
      </c>
      <c r="H588" s="37" t="n">
        <v>52</v>
      </c>
      <c r="I588" s="37" t="n">
        <v>7.55</v>
      </c>
      <c r="J588" s="37" t="n">
        <v>392.6</v>
      </c>
    </row>
    <row r="589">
      <c r="A589" s="37" t="inlineStr">
        <is>
          <t>TXN-202608-036068</t>
        </is>
      </c>
      <c r="B589" s="37" t="inlineStr">
        <is>
          <t>AC-EW-0610</t>
        </is>
      </c>
      <c r="C589" s="37" t="inlineStr">
        <is>
          <t>WL-02561</t>
        </is>
      </c>
      <c r="D589" s="37" t="inlineStr">
        <is>
          <t>EW-0610</t>
        </is>
      </c>
      <c r="E589" s="37" t="inlineStr">
        <is>
          <t>Eastwey</t>
        </is>
      </c>
      <c r="F589" s="37" t="n">
        <v>51</v>
      </c>
      <c r="G589" s="37" t="n">
        <v>1</v>
      </c>
      <c r="H589" s="37" t="n">
        <v>51</v>
      </c>
      <c r="I589" s="37" t="n">
        <v>7.55</v>
      </c>
      <c r="J589" s="37" t="n">
        <v>385.05</v>
      </c>
    </row>
    <row r="590">
      <c r="A590" s="37" t="inlineStr">
        <is>
          <t>TXN-202608-036133</t>
        </is>
      </c>
      <c r="B590" s="37" t="inlineStr">
        <is>
          <t>AC-EW-0611</t>
        </is>
      </c>
      <c r="C590" s="37" t="inlineStr">
        <is>
          <t>WL-01796</t>
        </is>
      </c>
      <c r="D590" s="37" t="inlineStr">
        <is>
          <t>EW-0611</t>
        </is>
      </c>
      <c r="E590" s="37" t="inlineStr">
        <is>
          <t>Eastwey</t>
        </is>
      </c>
      <c r="F590" s="37" t="n">
        <v>47</v>
      </c>
      <c r="G590" s="37" t="n">
        <v>1</v>
      </c>
      <c r="H590" s="37" t="n">
        <v>47</v>
      </c>
      <c r="I590" s="37" t="n">
        <v>7.55</v>
      </c>
      <c r="J590" s="37" t="n">
        <v>354.85</v>
      </c>
    </row>
    <row r="591">
      <c r="A591" s="37" t="inlineStr">
        <is>
          <t>TXN-202608-036213</t>
        </is>
      </c>
      <c r="B591" s="37" t="inlineStr">
        <is>
          <t>AC-EW-0614</t>
        </is>
      </c>
      <c r="C591" s="37" t="inlineStr">
        <is>
          <t>WL-02310</t>
        </is>
      </c>
      <c r="D591" s="37" t="inlineStr">
        <is>
          <t>EW-0614</t>
        </is>
      </c>
      <c r="E591" s="37" t="inlineStr">
        <is>
          <t>Eastwey</t>
        </is>
      </c>
      <c r="F591" s="37" t="n">
        <v>53</v>
      </c>
      <c r="G591" s="37" t="n">
        <v>1</v>
      </c>
      <c r="H591" s="37" t="n">
        <v>53</v>
      </c>
      <c r="I591" s="37" t="n">
        <v>7.55</v>
      </c>
      <c r="J591" s="37" t="n">
        <v>400.15</v>
      </c>
    </row>
    <row r="592">
      <c r="A592" s="37" t="inlineStr">
        <is>
          <t>TXN-202608-036278</t>
        </is>
      </c>
      <c r="B592" s="37" t="inlineStr">
        <is>
          <t>AC-EW-0615</t>
        </is>
      </c>
      <c r="C592" s="37" t="inlineStr">
        <is>
          <t>WL-03561</t>
        </is>
      </c>
      <c r="D592" s="37" t="inlineStr">
        <is>
          <t>EW-0615</t>
        </is>
      </c>
      <c r="E592" s="37" t="inlineStr">
        <is>
          <t>Eastwey</t>
        </is>
      </c>
      <c r="F592" s="37" t="n">
        <v>45</v>
      </c>
      <c r="G592" s="37" t="n">
        <v>1</v>
      </c>
      <c r="H592" s="37" t="n">
        <v>45</v>
      </c>
      <c r="I592" s="37" t="n">
        <v>7.55</v>
      </c>
      <c r="J592" s="37" t="n">
        <v>339.75</v>
      </c>
    </row>
    <row r="593">
      <c r="A593" s="37" t="inlineStr">
        <is>
          <t>TXN-202608-036337</t>
        </is>
      </c>
      <c r="B593" s="37" t="inlineStr">
        <is>
          <t>AC-EW-0616</t>
        </is>
      </c>
      <c r="C593" s="37" t="inlineStr">
        <is>
          <t>WL-01289</t>
        </is>
      </c>
      <c r="D593" s="37" t="inlineStr">
        <is>
          <t>EW-0616</t>
        </is>
      </c>
      <c r="E593" s="37" t="inlineStr">
        <is>
          <t>Eastwey</t>
        </is>
      </c>
      <c r="F593" s="37" t="n">
        <v>43</v>
      </c>
      <c r="G593" s="37" t="n">
        <v>1</v>
      </c>
      <c r="H593" s="37" t="n">
        <v>43</v>
      </c>
      <c r="I593" s="37" t="n">
        <v>7.55</v>
      </c>
      <c r="J593" s="37" t="n">
        <v>324.65</v>
      </c>
    </row>
    <row r="594">
      <c r="A594" s="37" t="inlineStr">
        <is>
          <t>TXN-202608-036380</t>
        </is>
      </c>
      <c r="B594" s="37" t="inlineStr">
        <is>
          <t>AC-EW-0617</t>
        </is>
      </c>
      <c r="C594" s="37" t="inlineStr">
        <is>
          <t>WL-01818</t>
        </is>
      </c>
      <c r="D594" s="37" t="inlineStr">
        <is>
          <t>EW-0617</t>
        </is>
      </c>
      <c r="E594" s="37" t="inlineStr">
        <is>
          <t>Eastwey</t>
        </is>
      </c>
      <c r="F594" s="37" t="n">
        <v>70</v>
      </c>
      <c r="G594" s="37" t="n">
        <v>1</v>
      </c>
      <c r="H594" s="37" t="n">
        <v>70</v>
      </c>
      <c r="I594" s="37" t="n">
        <v>7.55</v>
      </c>
      <c r="J594" s="37" t="n">
        <v>528.5</v>
      </c>
    </row>
    <row r="595">
      <c r="A595" s="37" t="inlineStr">
        <is>
          <t>TXN-202608-036459</t>
        </is>
      </c>
      <c r="B595" s="37" t="inlineStr">
        <is>
          <t>AC-EW-0618</t>
        </is>
      </c>
      <c r="C595" s="37" t="inlineStr">
        <is>
          <t>WL-01884</t>
        </is>
      </c>
      <c r="D595" s="37" t="inlineStr">
        <is>
          <t>EW-0618</t>
        </is>
      </c>
      <c r="E595" s="37" t="inlineStr">
        <is>
          <t>Eastwey</t>
        </is>
      </c>
      <c r="F595" s="37" t="n">
        <v>28</v>
      </c>
      <c r="G595" s="37" t="n">
        <v>1</v>
      </c>
      <c r="H595" s="37" t="n">
        <v>28</v>
      </c>
      <c r="I595" s="37" t="n">
        <v>7.55</v>
      </c>
      <c r="J595" s="37" t="n">
        <v>211.4</v>
      </c>
    </row>
    <row r="596">
      <c r="A596" s="37" t="inlineStr">
        <is>
          <t>TXN-202608-036536</t>
        </is>
      </c>
      <c r="B596" s="37" t="inlineStr">
        <is>
          <t>AC-EW-0621</t>
        </is>
      </c>
      <c r="C596" s="37" t="inlineStr">
        <is>
          <t>WL-01004</t>
        </is>
      </c>
      <c r="D596" s="37" t="inlineStr">
        <is>
          <t>EW-0621</t>
        </is>
      </c>
      <c r="E596" s="37" t="inlineStr">
        <is>
          <t>Eastwey</t>
        </is>
      </c>
      <c r="F596" s="37" t="n">
        <v>80</v>
      </c>
      <c r="G596" s="37" t="n">
        <v>1</v>
      </c>
      <c r="H596" s="37" t="n">
        <v>80</v>
      </c>
      <c r="I596" s="37" t="n">
        <v>7.55</v>
      </c>
      <c r="J596" s="37" t="n">
        <v>604</v>
      </c>
    </row>
    <row r="597">
      <c r="A597" s="37" t="inlineStr">
        <is>
          <t>TXN-202608-036609</t>
        </is>
      </c>
      <c r="B597" s="37" t="inlineStr">
        <is>
          <t>AC-EW-0623</t>
        </is>
      </c>
      <c r="C597" s="37" t="inlineStr">
        <is>
          <t>WL-02886</t>
        </is>
      </c>
      <c r="D597" s="37" t="inlineStr">
        <is>
          <t>EW-0623</t>
        </is>
      </c>
      <c r="E597" s="37" t="inlineStr">
        <is>
          <t>Eastwey</t>
        </is>
      </c>
      <c r="F597" s="37" t="n">
        <v>62</v>
      </c>
      <c r="G597" s="37" t="n">
        <v>1</v>
      </c>
      <c r="H597" s="37" t="n">
        <v>62</v>
      </c>
      <c r="I597" s="37" t="n">
        <v>7.55</v>
      </c>
      <c r="J597" s="37" t="n">
        <v>468.1</v>
      </c>
    </row>
    <row r="598">
      <c r="A598" s="37" t="inlineStr">
        <is>
          <t>TXN-202608-036685</t>
        </is>
      </c>
      <c r="B598" s="37" t="inlineStr">
        <is>
          <t>AC-EW-0624</t>
        </is>
      </c>
      <c r="C598" s="37" t="inlineStr">
        <is>
          <t>WL-01257</t>
        </is>
      </c>
      <c r="D598" s="37" t="inlineStr">
        <is>
          <t>EW-0624</t>
        </is>
      </c>
      <c r="E598" s="37" t="inlineStr">
        <is>
          <t>Eastwey</t>
        </is>
      </c>
      <c r="F598" s="37" t="n">
        <v>60</v>
      </c>
      <c r="G598" s="37" t="n">
        <v>1</v>
      </c>
      <c r="H598" s="37" t="n">
        <v>60</v>
      </c>
      <c r="I598" s="37" t="n">
        <v>7.55</v>
      </c>
      <c r="J598" s="37" t="n">
        <v>453</v>
      </c>
    </row>
    <row r="599">
      <c r="A599" s="37" t="inlineStr">
        <is>
          <t>TXN-202608-036764</t>
        </is>
      </c>
      <c r="B599" s="37" t="inlineStr">
        <is>
          <t>AC-EW-0702</t>
        </is>
      </c>
      <c r="C599" s="37" t="inlineStr">
        <is>
          <t>WL-02343</t>
        </is>
      </c>
      <c r="D599" s="37" t="inlineStr">
        <is>
          <t>EW-0702</t>
        </is>
      </c>
      <c r="E599" s="37" t="inlineStr">
        <is>
          <t>Eastwey</t>
        </is>
      </c>
      <c r="F599" s="37" t="n">
        <v>45</v>
      </c>
      <c r="G599" s="37" t="n">
        <v>1</v>
      </c>
      <c r="H599" s="37" t="n">
        <v>45</v>
      </c>
      <c r="I599" s="37" t="n">
        <v>7.55</v>
      </c>
      <c r="J599" s="37" t="n">
        <v>339.75</v>
      </c>
    </row>
    <row r="600">
      <c r="A600" s="37" t="inlineStr">
        <is>
          <t>TXN-202608-036843</t>
        </is>
      </c>
      <c r="B600" s="37" t="inlineStr">
        <is>
          <t>AC-EW-0703</t>
        </is>
      </c>
      <c r="C600" s="37" t="inlineStr">
        <is>
          <t>WL-01158</t>
        </is>
      </c>
      <c r="D600" s="37" t="inlineStr">
        <is>
          <t>EW-0703</t>
        </is>
      </c>
      <c r="E600" s="37" t="inlineStr">
        <is>
          <t>Eastwey</t>
        </is>
      </c>
      <c r="F600" s="37" t="n">
        <v>52</v>
      </c>
      <c r="G600" s="37" t="n">
        <v>1</v>
      </c>
      <c r="H600" s="37" t="n">
        <v>52</v>
      </c>
      <c r="I600" s="37" t="n">
        <v>7.55</v>
      </c>
      <c r="J600" s="37" t="n">
        <v>392.6</v>
      </c>
    </row>
    <row r="601">
      <c r="A601" s="37" t="inlineStr">
        <is>
          <t>TXN-202608-036884</t>
        </is>
      </c>
      <c r="B601" s="37" t="inlineStr">
        <is>
          <t>AC-EW-0704</t>
        </is>
      </c>
      <c r="C601" s="37" t="inlineStr">
        <is>
          <t>WL-03717</t>
        </is>
      </c>
      <c r="D601" s="37" t="inlineStr">
        <is>
          <t>EW-0704</t>
        </is>
      </c>
      <c r="E601" s="37" t="inlineStr">
        <is>
          <t>Eastwey</t>
        </is>
      </c>
      <c r="F601" s="37" t="n">
        <v>45</v>
      </c>
      <c r="G601" s="37" t="n">
        <v>1</v>
      </c>
      <c r="H601" s="37" t="n">
        <v>45</v>
      </c>
      <c r="I601" s="37" t="n">
        <v>7.55</v>
      </c>
      <c r="J601" s="37" t="n">
        <v>339.75</v>
      </c>
    </row>
    <row r="602">
      <c r="A602" s="37" t="inlineStr">
        <is>
          <t>TXN-202608-036964</t>
        </is>
      </c>
      <c r="B602" s="37" t="inlineStr">
        <is>
          <t>AC-EW-0705</t>
        </is>
      </c>
      <c r="C602" s="37" t="inlineStr">
        <is>
          <t>WL-01681</t>
        </is>
      </c>
      <c r="D602" s="37" t="inlineStr">
        <is>
          <t>EW-0705</t>
        </is>
      </c>
      <c r="E602" s="37" t="inlineStr">
        <is>
          <t>Eastwey</t>
        </is>
      </c>
      <c r="F602" s="37" t="n">
        <v>51</v>
      </c>
      <c r="G602" s="37" t="n">
        <v>1</v>
      </c>
      <c r="H602" s="37" t="n">
        <v>51</v>
      </c>
      <c r="I602" s="37" t="n">
        <v>7.55</v>
      </c>
      <c r="J602" s="37" t="n">
        <v>385.05</v>
      </c>
    </row>
    <row r="603">
      <c r="A603" s="37" t="inlineStr">
        <is>
          <t>TXN-202608-037037</t>
        </is>
      </c>
      <c r="B603" s="37" t="inlineStr">
        <is>
          <t>AC-EW-0706</t>
        </is>
      </c>
      <c r="C603" s="37" t="inlineStr">
        <is>
          <t>WL-03502</t>
        </is>
      </c>
      <c r="D603" s="37" t="inlineStr">
        <is>
          <t>EW-0706</t>
        </is>
      </c>
      <c r="E603" s="37" t="inlineStr">
        <is>
          <t>Eastwey</t>
        </is>
      </c>
      <c r="F603" s="37" t="n">
        <v>43</v>
      </c>
      <c r="G603" s="37" t="n">
        <v>1</v>
      </c>
      <c r="H603" s="37" t="n">
        <v>43</v>
      </c>
      <c r="I603" s="37" t="n">
        <v>7.55</v>
      </c>
      <c r="J603" s="37" t="n">
        <v>324.65</v>
      </c>
    </row>
    <row r="604">
      <c r="A604" s="37" t="inlineStr">
        <is>
          <t>TXN-202608-037112</t>
        </is>
      </c>
      <c r="B604" s="37" t="inlineStr">
        <is>
          <t>AC-EW-0708</t>
        </is>
      </c>
      <c r="C604" s="37" t="inlineStr">
        <is>
          <t>WL-02872</t>
        </is>
      </c>
      <c r="D604" s="37" t="inlineStr">
        <is>
          <t>EW-0708</t>
        </is>
      </c>
      <c r="E604" s="37" t="inlineStr">
        <is>
          <t>Eastwey</t>
        </is>
      </c>
      <c r="F604" s="37" t="n">
        <v>50</v>
      </c>
      <c r="G604" s="37" t="n">
        <v>1</v>
      </c>
      <c r="H604" s="37" t="n">
        <v>50</v>
      </c>
      <c r="I604" s="37" t="n">
        <v>7.55</v>
      </c>
      <c r="J604" s="37" t="n">
        <v>377.5</v>
      </c>
    </row>
    <row r="605">
      <c r="A605" s="37" t="inlineStr">
        <is>
          <t>TXN-202608-037172</t>
        </is>
      </c>
      <c r="B605" s="37" t="inlineStr">
        <is>
          <t>AC-EW-0709</t>
        </is>
      </c>
      <c r="C605" s="37" t="inlineStr">
        <is>
          <t>WL-01255</t>
        </is>
      </c>
      <c r="D605" s="37" t="inlineStr">
        <is>
          <t>EW-0709</t>
        </is>
      </c>
      <c r="E605" s="37" t="inlineStr">
        <is>
          <t>Eastwey</t>
        </is>
      </c>
      <c r="F605" s="37" t="n">
        <v>28</v>
      </c>
      <c r="G605" s="37" t="n">
        <v>1</v>
      </c>
      <c r="H605" s="37" t="n">
        <v>28</v>
      </c>
      <c r="I605" s="37" t="n">
        <v>7.55</v>
      </c>
      <c r="J605" s="37" t="n">
        <v>211.4</v>
      </c>
    </row>
    <row r="606">
      <c r="A606" s="37" t="inlineStr">
        <is>
          <t>TXN-202608-037237</t>
        </is>
      </c>
      <c r="B606" s="37" t="inlineStr">
        <is>
          <t>AC-EW-0710</t>
        </is>
      </c>
      <c r="C606" s="37" t="inlineStr">
        <is>
          <t>WL-01290</t>
        </is>
      </c>
      <c r="D606" s="37" t="inlineStr">
        <is>
          <t>EW-0710</t>
        </is>
      </c>
      <c r="E606" s="37" t="inlineStr">
        <is>
          <t>Eastwey</t>
        </is>
      </c>
      <c r="F606" s="37" t="n">
        <v>28</v>
      </c>
      <c r="G606" s="37" t="n">
        <v>1</v>
      </c>
      <c r="H606" s="37" t="n">
        <v>28</v>
      </c>
      <c r="I606" s="37" t="n">
        <v>7.55</v>
      </c>
      <c r="J606" s="37" t="n">
        <v>211.4</v>
      </c>
    </row>
    <row r="607">
      <c r="A607" s="37" t="inlineStr">
        <is>
          <t>TXN-202608-037291</t>
        </is>
      </c>
      <c r="B607" s="37" t="inlineStr">
        <is>
          <t>AC-EW-0712</t>
        </is>
      </c>
      <c r="C607" s="37" t="inlineStr">
        <is>
          <t>WL-02411</t>
        </is>
      </c>
      <c r="D607" s="37" t="inlineStr">
        <is>
          <t>EW-0712</t>
        </is>
      </c>
      <c r="E607" s="37" t="inlineStr">
        <is>
          <t>Eastwey</t>
        </is>
      </c>
      <c r="F607" s="37" t="n">
        <v>51</v>
      </c>
      <c r="G607" s="37" t="n">
        <v>1</v>
      </c>
      <c r="H607" s="37" t="n">
        <v>51</v>
      </c>
      <c r="I607" s="37" t="n">
        <v>7.55</v>
      </c>
      <c r="J607" s="37" t="n">
        <v>385.05</v>
      </c>
    </row>
    <row r="608">
      <c r="A608" s="37" t="inlineStr">
        <is>
          <t>TXN-202608-037347</t>
        </is>
      </c>
      <c r="B608" s="37" t="inlineStr">
        <is>
          <t>AC-EW-0713</t>
        </is>
      </c>
      <c r="C608" s="37" t="inlineStr">
        <is>
          <t>WL-03726</t>
        </is>
      </c>
      <c r="D608" s="37" t="inlineStr">
        <is>
          <t>EW-0713</t>
        </is>
      </c>
      <c r="E608" s="37" t="inlineStr">
        <is>
          <t>Eastwey</t>
        </is>
      </c>
      <c r="F608" s="37" t="n">
        <v>33</v>
      </c>
      <c r="G608" s="37" t="n">
        <v>1</v>
      </c>
      <c r="H608" s="37" t="n">
        <v>33</v>
      </c>
      <c r="I608" s="37" t="n">
        <v>7.55</v>
      </c>
      <c r="J608" s="37" t="n">
        <v>249.15</v>
      </c>
    </row>
    <row r="609">
      <c r="A609" s="37" t="inlineStr">
        <is>
          <t>TXN-202608-037390</t>
        </is>
      </c>
      <c r="B609" s="37" t="inlineStr">
        <is>
          <t>AC-EW-0714</t>
        </is>
      </c>
      <c r="C609" s="37" t="inlineStr">
        <is>
          <t>WL-03863</t>
        </is>
      </c>
      <c r="D609" s="37" t="inlineStr">
        <is>
          <t>EW-0714</t>
        </is>
      </c>
      <c r="E609" s="37" t="inlineStr">
        <is>
          <t>Eastwey</t>
        </is>
      </c>
      <c r="F609" s="37" t="n">
        <v>60</v>
      </c>
      <c r="G609" s="37" t="n">
        <v>1</v>
      </c>
      <c r="H609" s="37" t="n">
        <v>60</v>
      </c>
      <c r="I609" s="37" t="n">
        <v>7.55</v>
      </c>
      <c r="J609" s="37" t="n">
        <v>453</v>
      </c>
    </row>
    <row r="610">
      <c r="A610" s="37" t="inlineStr">
        <is>
          <t>TXN-202608-037453</t>
        </is>
      </c>
      <c r="B610" s="37" t="inlineStr">
        <is>
          <t>AC-EW-0715</t>
        </is>
      </c>
      <c r="C610" s="37" t="inlineStr">
        <is>
          <t>WL-02155</t>
        </is>
      </c>
      <c r="D610" s="37" t="inlineStr">
        <is>
          <t>EW-0715</t>
        </is>
      </c>
      <c r="E610" s="37" t="inlineStr">
        <is>
          <t>Eastwey</t>
        </is>
      </c>
      <c r="F610" s="37" t="n">
        <v>50</v>
      </c>
      <c r="G610" s="37" t="n">
        <v>1</v>
      </c>
      <c r="H610" s="37" t="n">
        <v>50</v>
      </c>
      <c r="I610" s="37" t="n">
        <v>7.55</v>
      </c>
      <c r="J610" s="37" t="n">
        <v>377.5</v>
      </c>
    </row>
    <row r="611">
      <c r="A611" s="37" t="inlineStr">
        <is>
          <t>TXN-202608-037528</t>
        </is>
      </c>
      <c r="B611" s="37" t="inlineStr">
        <is>
          <t>AC-EW-0716</t>
        </is>
      </c>
      <c r="C611" s="37" t="inlineStr">
        <is>
          <t>WL-02280</t>
        </is>
      </c>
      <c r="D611" s="37" t="inlineStr">
        <is>
          <t>EW-0716</t>
        </is>
      </c>
      <c r="E611" s="37" t="inlineStr">
        <is>
          <t>Eastwey</t>
        </is>
      </c>
      <c r="F611" s="37" t="n">
        <v>28</v>
      </c>
      <c r="G611" s="37" t="n">
        <v>1</v>
      </c>
      <c r="H611" s="37" t="n">
        <v>28</v>
      </c>
      <c r="I611" s="37" t="n">
        <v>7.55</v>
      </c>
      <c r="J611" s="37" t="n">
        <v>211.4</v>
      </c>
    </row>
    <row r="612">
      <c r="A612" s="37" t="inlineStr">
        <is>
          <t>TXN-202608-037606</t>
        </is>
      </c>
      <c r="B612" s="37" t="inlineStr">
        <is>
          <t>AC-EW-0717</t>
        </is>
      </c>
      <c r="C612" s="37" t="inlineStr">
        <is>
          <t>WL-02403</t>
        </is>
      </c>
      <c r="D612" s="37" t="inlineStr">
        <is>
          <t>EW-0717</t>
        </is>
      </c>
      <c r="E612" s="37" t="inlineStr">
        <is>
          <t>Eastwey</t>
        </is>
      </c>
      <c r="F612" s="37" t="n">
        <v>40</v>
      </c>
      <c r="G612" s="37" t="n">
        <v>1</v>
      </c>
      <c r="H612" s="37" t="n">
        <v>40</v>
      </c>
      <c r="I612" s="37" t="n">
        <v>7.55</v>
      </c>
      <c r="J612" s="37" t="n">
        <v>302</v>
      </c>
    </row>
    <row r="613">
      <c r="A613" s="37" t="inlineStr">
        <is>
          <t>TXN-202608-037669</t>
        </is>
      </c>
      <c r="B613" s="37" t="inlineStr">
        <is>
          <t>AC-EW-0718</t>
        </is>
      </c>
      <c r="C613" s="37" t="inlineStr">
        <is>
          <t>WL-01159</t>
        </is>
      </c>
      <c r="D613" s="37" t="inlineStr">
        <is>
          <t>EW-0718</t>
        </is>
      </c>
      <c r="E613" s="37" t="inlineStr">
        <is>
          <t>Eastwey</t>
        </is>
      </c>
      <c r="F613" s="37" t="n">
        <v>60</v>
      </c>
      <c r="G613" s="37" t="n">
        <v>1</v>
      </c>
      <c r="H613" s="37" t="n">
        <v>60</v>
      </c>
      <c r="I613" s="37" t="n">
        <v>7.55</v>
      </c>
      <c r="J613" s="37" t="n">
        <v>453</v>
      </c>
    </row>
    <row r="614">
      <c r="A614" s="37" t="inlineStr">
        <is>
          <t>TXN-202608-037737</t>
        </is>
      </c>
      <c r="B614" s="37" t="inlineStr">
        <is>
          <t>AC-EW-0719</t>
        </is>
      </c>
      <c r="C614" s="37" t="inlineStr">
        <is>
          <t>WL-02799</t>
        </is>
      </c>
      <c r="D614" s="37" t="inlineStr">
        <is>
          <t>EW-0719</t>
        </is>
      </c>
      <c r="E614" s="37" t="inlineStr">
        <is>
          <t>Eastwey</t>
        </is>
      </c>
      <c r="F614" s="37" t="n">
        <v>52</v>
      </c>
      <c r="G614" s="37" t="n">
        <v>1</v>
      </c>
      <c r="H614" s="37" t="n">
        <v>52</v>
      </c>
      <c r="I614" s="37" t="n">
        <v>7.55</v>
      </c>
      <c r="J614" s="37" t="n">
        <v>392.6</v>
      </c>
    </row>
    <row r="615">
      <c r="A615" s="37" t="inlineStr">
        <is>
          <t>TXN-202608-037807</t>
        </is>
      </c>
      <c r="B615" s="37" t="inlineStr">
        <is>
          <t>AC-EW-0720</t>
        </is>
      </c>
      <c r="C615" s="37" t="inlineStr">
        <is>
          <t>WL-03636</t>
        </is>
      </c>
      <c r="D615" s="37" t="inlineStr">
        <is>
          <t>EW-0720</t>
        </is>
      </c>
      <c r="E615" s="37" t="inlineStr">
        <is>
          <t>Eastwey</t>
        </is>
      </c>
      <c r="F615" s="37" t="n">
        <v>40</v>
      </c>
      <c r="G615" s="37" t="n">
        <v>1</v>
      </c>
      <c r="H615" s="37" t="n">
        <v>40</v>
      </c>
      <c r="I615" s="37" t="n">
        <v>7.55</v>
      </c>
      <c r="J615" s="37" t="n">
        <v>302</v>
      </c>
    </row>
    <row r="616">
      <c r="A616" s="37" t="inlineStr">
        <is>
          <t>TXN-202608-037851</t>
        </is>
      </c>
      <c r="B616" s="37" t="inlineStr">
        <is>
          <t>AC-EW-0721</t>
        </is>
      </c>
      <c r="C616" s="37" t="inlineStr">
        <is>
          <t>WL-01657</t>
        </is>
      </c>
      <c r="D616" s="37" t="inlineStr">
        <is>
          <t>EW-0721</t>
        </is>
      </c>
      <c r="E616" s="37" t="inlineStr">
        <is>
          <t>Eastwey</t>
        </is>
      </c>
      <c r="F616" s="37" t="n">
        <v>47</v>
      </c>
      <c r="G616" s="37" t="n">
        <v>1</v>
      </c>
      <c r="H616" s="37" t="n">
        <v>47</v>
      </c>
      <c r="I616" s="37" t="n">
        <v>7.55</v>
      </c>
      <c r="J616" s="37" t="n">
        <v>354.85</v>
      </c>
    </row>
    <row r="617">
      <c r="A617" s="37" t="inlineStr">
        <is>
          <t>TXN-202608-037899</t>
        </is>
      </c>
      <c r="B617" s="37" t="inlineStr">
        <is>
          <t>AC-EW-0722</t>
        </is>
      </c>
      <c r="C617" s="37" t="inlineStr">
        <is>
          <t>WL-02952</t>
        </is>
      </c>
      <c r="D617" s="37" t="inlineStr">
        <is>
          <t>EW-0722</t>
        </is>
      </c>
      <c r="E617" s="37" t="inlineStr">
        <is>
          <t>Eastwey</t>
        </is>
      </c>
      <c r="F617" s="37" t="n">
        <v>55</v>
      </c>
      <c r="G617" s="37" t="n">
        <v>1</v>
      </c>
      <c r="H617" s="37" t="n">
        <v>55</v>
      </c>
      <c r="I617" s="37" t="n">
        <v>7.55</v>
      </c>
      <c r="J617" s="37" t="n">
        <v>415.25</v>
      </c>
    </row>
    <row r="618">
      <c r="A618" s="37" t="inlineStr">
        <is>
          <t>TXN-202608-037947</t>
        </is>
      </c>
      <c r="B618" s="37" t="inlineStr">
        <is>
          <t>AC-EW-0723</t>
        </is>
      </c>
      <c r="C618" s="37" t="inlineStr">
        <is>
          <t>WL-03327</t>
        </is>
      </c>
      <c r="D618" s="37" t="inlineStr">
        <is>
          <t>EW-0723</t>
        </is>
      </c>
      <c r="E618" s="37" t="inlineStr">
        <is>
          <t>Eastwey</t>
        </is>
      </c>
      <c r="F618" s="37" t="n">
        <v>54</v>
      </c>
      <c r="G618" s="37" t="n">
        <v>1</v>
      </c>
      <c r="H618" s="37" t="n">
        <v>54</v>
      </c>
      <c r="I618" s="37" t="n">
        <v>7.55</v>
      </c>
      <c r="J618" s="37" t="n">
        <v>407.7</v>
      </c>
    </row>
    <row r="619">
      <c r="A619" s="37" t="inlineStr">
        <is>
          <t>TXN-202608-037996</t>
        </is>
      </c>
      <c r="B619" s="37" t="inlineStr">
        <is>
          <t>AC-EW-0724</t>
        </is>
      </c>
      <c r="C619" s="37" t="inlineStr">
        <is>
          <t>WL-02005</t>
        </is>
      </c>
      <c r="D619" s="37" t="inlineStr">
        <is>
          <t>EW-0724</t>
        </is>
      </c>
      <c r="E619" s="37" t="inlineStr">
        <is>
          <t>Eastwey</t>
        </is>
      </c>
      <c r="F619" s="37" t="n">
        <v>70</v>
      </c>
      <c r="G619" s="37" t="n">
        <v>1</v>
      </c>
      <c r="H619" s="37" t="n">
        <v>70</v>
      </c>
      <c r="I619" s="37" t="n">
        <v>7.55</v>
      </c>
      <c r="J619" s="37" t="n">
        <v>528.5</v>
      </c>
    </row>
    <row r="620">
      <c r="A620" s="37" t="inlineStr">
        <is>
          <t>TXN-202608-038044</t>
        </is>
      </c>
      <c r="B620" s="37" t="inlineStr">
        <is>
          <t>AC-EW-0801</t>
        </is>
      </c>
      <c r="C620" s="37" t="inlineStr">
        <is>
          <t>WL-02019</t>
        </is>
      </c>
      <c r="D620" s="37" t="inlineStr">
        <is>
          <t>EW-0801</t>
        </is>
      </c>
      <c r="E620" s="37" t="inlineStr">
        <is>
          <t>Eastwey</t>
        </is>
      </c>
      <c r="F620" s="37" t="n">
        <v>45</v>
      </c>
      <c r="G620" s="37" t="n">
        <v>1</v>
      </c>
      <c r="H620" s="37" t="n">
        <v>45</v>
      </c>
      <c r="I620" s="37" t="n">
        <v>7.55</v>
      </c>
      <c r="J620" s="37" t="n">
        <v>339.75</v>
      </c>
    </row>
    <row r="621">
      <c r="A621" s="37" t="inlineStr">
        <is>
          <t>TXN-202608-038091</t>
        </is>
      </c>
      <c r="B621" s="37" t="inlineStr">
        <is>
          <t>AC-EW-0802</t>
        </is>
      </c>
      <c r="C621" s="37" t="inlineStr">
        <is>
          <t>WL-03780</t>
        </is>
      </c>
      <c r="D621" s="37" t="inlineStr">
        <is>
          <t>EW-0802</t>
        </is>
      </c>
      <c r="E621" s="37" t="inlineStr">
        <is>
          <t>Eastwey</t>
        </is>
      </c>
      <c r="F621" s="37" t="n">
        <v>70</v>
      </c>
      <c r="G621" s="37" t="n">
        <v>1</v>
      </c>
      <c r="H621" s="37" t="n">
        <v>70</v>
      </c>
      <c r="I621" s="37" t="n">
        <v>7.55</v>
      </c>
      <c r="J621" s="37" t="n">
        <v>528.5</v>
      </c>
    </row>
    <row r="622">
      <c r="A622" s="37" t="inlineStr">
        <is>
          <t>TXN-202608-038169</t>
        </is>
      </c>
      <c r="B622" s="37" t="inlineStr">
        <is>
          <t>AC-EW-0803</t>
        </is>
      </c>
      <c r="C622" s="37" t="inlineStr">
        <is>
          <t>WL-03360</t>
        </is>
      </c>
      <c r="D622" s="37" t="inlineStr">
        <is>
          <t>EW-0803</t>
        </is>
      </c>
      <c r="E622" s="37" t="inlineStr">
        <is>
          <t>Eastwey</t>
        </is>
      </c>
      <c r="F622" s="37" t="n">
        <v>57</v>
      </c>
      <c r="G622" s="37" t="n">
        <v>1</v>
      </c>
      <c r="H622" s="37" t="n">
        <v>57</v>
      </c>
      <c r="I622" s="37" t="n">
        <v>7.55</v>
      </c>
      <c r="J622" s="37" t="n">
        <v>430.35</v>
      </c>
    </row>
    <row r="623">
      <c r="A623" s="37" t="inlineStr">
        <is>
          <t>TXN-202608-038218</t>
        </is>
      </c>
      <c r="B623" s="37" t="inlineStr">
        <is>
          <t>AC-EW-0804</t>
        </is>
      </c>
      <c r="C623" s="37" t="inlineStr">
        <is>
          <t>WL-03722</t>
        </is>
      </c>
      <c r="D623" s="37" t="inlineStr">
        <is>
          <t>EW-0804</t>
        </is>
      </c>
      <c r="E623" s="37" t="inlineStr">
        <is>
          <t>Eastwey</t>
        </is>
      </c>
      <c r="F623" s="37" t="n">
        <v>32</v>
      </c>
      <c r="G623" s="37" t="n">
        <v>1</v>
      </c>
      <c r="H623" s="37" t="n">
        <v>32</v>
      </c>
      <c r="I623" s="37" t="n">
        <v>7.55</v>
      </c>
      <c r="J623" s="37" t="n">
        <v>241.6</v>
      </c>
    </row>
    <row r="624">
      <c r="A624" s="37" t="inlineStr">
        <is>
          <t>TXN-202608-038270</t>
        </is>
      </c>
      <c r="B624" s="37" t="inlineStr">
        <is>
          <t>AC-EW-0805</t>
        </is>
      </c>
      <c r="C624" s="37" t="inlineStr">
        <is>
          <t>WL-01569</t>
        </is>
      </c>
      <c r="D624" s="37" t="inlineStr">
        <is>
          <t>EW-0805</t>
        </is>
      </c>
      <c r="E624" s="37" t="inlineStr">
        <is>
          <t>Eastwey</t>
        </is>
      </c>
      <c r="F624" s="37" t="n">
        <v>59</v>
      </c>
      <c r="G624" s="37" t="n">
        <v>1</v>
      </c>
      <c r="H624" s="37" t="n">
        <v>59</v>
      </c>
      <c r="I624" s="37" t="n">
        <v>7.55</v>
      </c>
      <c r="J624" s="37" t="n">
        <v>445.45</v>
      </c>
    </row>
    <row r="625">
      <c r="A625" s="37" t="inlineStr">
        <is>
          <t>TXN-202608-038334</t>
        </is>
      </c>
      <c r="B625" s="37" t="inlineStr">
        <is>
          <t>AC-EW-0806</t>
        </is>
      </c>
      <c r="C625" s="37" t="inlineStr">
        <is>
          <t>WL-01375</t>
        </is>
      </c>
      <c r="D625" s="37" t="inlineStr">
        <is>
          <t>EW-0806</t>
        </is>
      </c>
      <c r="E625" s="37" t="inlineStr">
        <is>
          <t>Eastwey</t>
        </is>
      </c>
      <c r="F625" s="37" t="n">
        <v>36</v>
      </c>
      <c r="G625" s="37" t="n">
        <v>1</v>
      </c>
      <c r="H625" s="37" t="n">
        <v>36</v>
      </c>
      <c r="I625" s="37" t="n">
        <v>7.55</v>
      </c>
      <c r="J625" s="37" t="n">
        <v>271.8</v>
      </c>
    </row>
    <row r="626">
      <c r="A626" s="37" t="inlineStr">
        <is>
          <t>TXN-202608-038400</t>
        </is>
      </c>
      <c r="B626" s="37" t="inlineStr">
        <is>
          <t>AC-EW-0807</t>
        </is>
      </c>
      <c r="C626" s="37" t="inlineStr">
        <is>
          <t>WL-03182</t>
        </is>
      </c>
      <c r="D626" s="37" t="inlineStr">
        <is>
          <t>EW-0807</t>
        </is>
      </c>
      <c r="E626" s="37" t="inlineStr">
        <is>
          <t>Eastwey</t>
        </is>
      </c>
      <c r="F626" s="37" t="n">
        <v>30</v>
      </c>
      <c r="G626" s="37" t="n">
        <v>1</v>
      </c>
      <c r="H626" s="37" t="n">
        <v>30</v>
      </c>
      <c r="I626" s="37" t="n">
        <v>7.55</v>
      </c>
      <c r="J626" s="37" t="n">
        <v>226.5</v>
      </c>
    </row>
    <row r="627">
      <c r="A627" s="37" t="inlineStr">
        <is>
          <t>TXN-202608-038461</t>
        </is>
      </c>
      <c r="B627" s="37" t="inlineStr">
        <is>
          <t>AC-EW-0808</t>
        </is>
      </c>
      <c r="C627" s="37" t="inlineStr">
        <is>
          <t>WL-02311</t>
        </is>
      </c>
      <c r="D627" s="37" t="inlineStr">
        <is>
          <t>EW-0808</t>
        </is>
      </c>
      <c r="E627" s="37" t="inlineStr">
        <is>
          <t>Eastwey</t>
        </is>
      </c>
      <c r="F627" s="37" t="n">
        <v>80</v>
      </c>
      <c r="G627" s="37" t="n">
        <v>1</v>
      </c>
      <c r="H627" s="37" t="n">
        <v>80</v>
      </c>
      <c r="I627" s="37" t="n">
        <v>7.55</v>
      </c>
      <c r="J627" s="37" t="n">
        <v>604</v>
      </c>
    </row>
    <row r="628">
      <c r="A628" s="37" t="inlineStr">
        <is>
          <t>TXN-202608-038502</t>
        </is>
      </c>
      <c r="B628" s="37" t="inlineStr">
        <is>
          <t>AC-EW-0809</t>
        </is>
      </c>
      <c r="C628" s="37" t="inlineStr">
        <is>
          <t>WL-02595</t>
        </is>
      </c>
      <c r="D628" s="37" t="inlineStr">
        <is>
          <t>EW-0809</t>
        </is>
      </c>
      <c r="E628" s="37" t="inlineStr">
        <is>
          <t>Eastwey</t>
        </is>
      </c>
      <c r="F628" s="37" t="n">
        <v>70</v>
      </c>
      <c r="G628" s="37" t="n">
        <v>1</v>
      </c>
      <c r="H628" s="37" t="n">
        <v>70</v>
      </c>
      <c r="I628" s="37" t="n">
        <v>7.55</v>
      </c>
      <c r="J628" s="37" t="n">
        <v>528.5</v>
      </c>
    </row>
    <row r="629">
      <c r="A629" s="37" t="inlineStr">
        <is>
          <t>TXN-202608-038553</t>
        </is>
      </c>
      <c r="B629" s="37" t="inlineStr">
        <is>
          <t>AC-EW-0810</t>
        </is>
      </c>
      <c r="C629" s="37" t="inlineStr">
        <is>
          <t>WL-03518</t>
        </is>
      </c>
      <c r="D629" s="37" t="inlineStr">
        <is>
          <t>EW-0810</t>
        </is>
      </c>
      <c r="E629" s="37" t="inlineStr">
        <is>
          <t>Eastwey</t>
        </is>
      </c>
      <c r="F629" s="37" t="n">
        <v>28</v>
      </c>
      <c r="G629" s="37" t="n">
        <v>1</v>
      </c>
      <c r="H629" s="37" t="n">
        <v>28</v>
      </c>
      <c r="I629" s="37" t="n">
        <v>7.55</v>
      </c>
      <c r="J629" s="37" t="n">
        <v>211.4</v>
      </c>
    </row>
    <row r="630">
      <c r="A630" s="37" t="inlineStr">
        <is>
          <t>TXN-202608-038602</t>
        </is>
      </c>
      <c r="B630" s="37" t="inlineStr">
        <is>
          <t>AC-EW-0811</t>
        </is>
      </c>
      <c r="C630" s="37" t="inlineStr">
        <is>
          <t>WL-03708</t>
        </is>
      </c>
      <c r="D630" s="37" t="inlineStr">
        <is>
          <t>EW-0811</t>
        </is>
      </c>
      <c r="E630" s="37" t="inlineStr">
        <is>
          <t>Eastwey</t>
        </is>
      </c>
      <c r="F630" s="37" t="n">
        <v>70</v>
      </c>
      <c r="G630" s="37" t="n">
        <v>1</v>
      </c>
      <c r="H630" s="37" t="n">
        <v>70</v>
      </c>
      <c r="I630" s="37" t="n">
        <v>7.55</v>
      </c>
      <c r="J630" s="37" t="n">
        <v>528.5</v>
      </c>
    </row>
    <row r="631">
      <c r="A631" s="37" t="inlineStr">
        <is>
          <t>TXN-202608-038662</t>
        </is>
      </c>
      <c r="B631" s="37" t="inlineStr">
        <is>
          <t>AC-EW-0812</t>
        </is>
      </c>
      <c r="C631" s="37" t="inlineStr">
        <is>
          <t>WL-03679</t>
        </is>
      </c>
      <c r="D631" s="37" t="inlineStr">
        <is>
          <t>EW-0812</t>
        </is>
      </c>
      <c r="E631" s="37" t="inlineStr">
        <is>
          <t>Eastwey</t>
        </is>
      </c>
      <c r="F631" s="37" t="n">
        <v>28</v>
      </c>
      <c r="G631" s="37" t="n">
        <v>1</v>
      </c>
      <c r="H631" s="37" t="n">
        <v>28</v>
      </c>
      <c r="I631" s="37" t="n">
        <v>7.55</v>
      </c>
      <c r="J631" s="37" t="n">
        <v>211.4</v>
      </c>
    </row>
    <row r="632">
      <c r="A632" s="37" t="inlineStr">
        <is>
          <t>TXN-202608-038736</t>
        </is>
      </c>
      <c r="B632" s="37" t="inlineStr">
        <is>
          <t>AC-EW-0813</t>
        </is>
      </c>
      <c r="C632" s="37" t="inlineStr">
        <is>
          <t>WL-02198</t>
        </is>
      </c>
      <c r="D632" s="37" t="inlineStr">
        <is>
          <t>EW-0813</t>
        </is>
      </c>
      <c r="E632" s="37" t="inlineStr">
        <is>
          <t>Eastwey</t>
        </is>
      </c>
      <c r="F632" s="37" t="n">
        <v>55</v>
      </c>
      <c r="G632" s="37" t="n">
        <v>1</v>
      </c>
      <c r="H632" s="37" t="n">
        <v>55</v>
      </c>
      <c r="I632" s="37" t="n">
        <v>7.55</v>
      </c>
      <c r="J632" s="37" t="n">
        <v>415.25</v>
      </c>
    </row>
    <row r="633">
      <c r="A633" s="37" t="inlineStr">
        <is>
          <t>TXN-202608-038794</t>
        </is>
      </c>
      <c r="B633" s="37" t="inlineStr">
        <is>
          <t>AC-EW-0814</t>
        </is>
      </c>
      <c r="C633" s="37" t="inlineStr">
        <is>
          <t>WL-01852</t>
        </is>
      </c>
      <c r="D633" s="37" t="inlineStr">
        <is>
          <t>EW-0814</t>
        </is>
      </c>
      <c r="E633" s="37" t="inlineStr">
        <is>
          <t>Eastwey</t>
        </is>
      </c>
      <c r="F633" s="37" t="n">
        <v>40</v>
      </c>
      <c r="G633" s="37" t="n">
        <v>1</v>
      </c>
      <c r="H633" s="37" t="n">
        <v>40</v>
      </c>
      <c r="I633" s="37" t="n">
        <v>7.55</v>
      </c>
      <c r="J633" s="37" t="n">
        <v>302</v>
      </c>
    </row>
    <row r="634">
      <c r="A634" s="37" t="inlineStr">
        <is>
          <t>TXN-202608-038845</t>
        </is>
      </c>
      <c r="B634" s="37" t="inlineStr">
        <is>
          <t>AC-EW-0815</t>
        </is>
      </c>
      <c r="C634" s="37" t="inlineStr">
        <is>
          <t>WL-03368</t>
        </is>
      </c>
      <c r="D634" s="37" t="inlineStr">
        <is>
          <t>EW-0815</t>
        </is>
      </c>
      <c r="E634" s="37" t="inlineStr">
        <is>
          <t>Eastwey</t>
        </is>
      </c>
      <c r="F634" s="37" t="n">
        <v>50</v>
      </c>
      <c r="G634" s="37" t="n">
        <v>1</v>
      </c>
      <c r="H634" s="37" t="n">
        <v>50</v>
      </c>
      <c r="I634" s="37" t="n">
        <v>7.55</v>
      </c>
      <c r="J634" s="37" t="n">
        <v>377.5</v>
      </c>
    </row>
    <row r="635">
      <c r="A635" s="37" t="inlineStr">
        <is>
          <t>TXN-202608-038883</t>
        </is>
      </c>
      <c r="B635" s="37" t="inlineStr">
        <is>
          <t>AC-EW-0816</t>
        </is>
      </c>
      <c r="C635" s="37" t="inlineStr">
        <is>
          <t>WL-02445</t>
        </is>
      </c>
      <c r="D635" s="37" t="inlineStr">
        <is>
          <t>EW-0816</t>
        </is>
      </c>
      <c r="E635" s="37" t="inlineStr">
        <is>
          <t>Eastwey</t>
        </is>
      </c>
      <c r="F635" s="37" t="n">
        <v>80</v>
      </c>
      <c r="G635" s="37" t="n">
        <v>1</v>
      </c>
      <c r="H635" s="37" t="n">
        <v>80</v>
      </c>
      <c r="I635" s="37" t="n">
        <v>7.55</v>
      </c>
      <c r="J635" s="37" t="n">
        <v>604</v>
      </c>
    </row>
    <row r="636">
      <c r="A636" s="37" t="inlineStr">
        <is>
          <t>TXN-202608-038934</t>
        </is>
      </c>
      <c r="B636" s="37" t="inlineStr">
        <is>
          <t>AC-EW-0817</t>
        </is>
      </c>
      <c r="C636" s="37" t="inlineStr">
        <is>
          <t>WL-03434</t>
        </is>
      </c>
      <c r="D636" s="37" t="inlineStr">
        <is>
          <t>EW-0817</t>
        </is>
      </c>
      <c r="E636" s="37" t="inlineStr">
        <is>
          <t>Eastwey</t>
        </is>
      </c>
      <c r="F636" s="37" t="n">
        <v>36</v>
      </c>
      <c r="G636" s="37" t="n">
        <v>1</v>
      </c>
      <c r="H636" s="37" t="n">
        <v>36</v>
      </c>
      <c r="I636" s="37" t="n">
        <v>7.55</v>
      </c>
      <c r="J636" s="37" t="n">
        <v>271.8</v>
      </c>
    </row>
    <row r="637">
      <c r="A637" s="37" t="inlineStr">
        <is>
          <t>TXN-202608-038975</t>
        </is>
      </c>
      <c r="B637" s="37" t="inlineStr">
        <is>
          <t>AC-EW-0818</t>
        </is>
      </c>
      <c r="C637" s="37" t="inlineStr">
        <is>
          <t>WL-03709</t>
        </is>
      </c>
      <c r="D637" s="37" t="inlineStr">
        <is>
          <t>EW-0818</t>
        </is>
      </c>
      <c r="E637" s="37" t="inlineStr">
        <is>
          <t>Eastwey</t>
        </is>
      </c>
      <c r="F637" s="37" t="n">
        <v>55</v>
      </c>
      <c r="G637" s="37" t="n">
        <v>1</v>
      </c>
      <c r="H637" s="37" t="n">
        <v>55</v>
      </c>
      <c r="I637" s="37" t="n">
        <v>7.55</v>
      </c>
      <c r="J637" s="37" t="n">
        <v>415.25</v>
      </c>
    </row>
    <row r="638">
      <c r="A638" s="37" t="inlineStr">
        <is>
          <t>TXN-202608-039033</t>
        </is>
      </c>
      <c r="B638" s="37" t="inlineStr">
        <is>
          <t>AC-EW-0819</t>
        </is>
      </c>
      <c r="C638" s="37" t="inlineStr">
        <is>
          <t>WL-02587</t>
        </is>
      </c>
      <c r="D638" s="37" t="inlineStr">
        <is>
          <t>EW-0819</t>
        </is>
      </c>
      <c r="E638" s="37" t="inlineStr">
        <is>
          <t>Eastwey</t>
        </is>
      </c>
      <c r="F638" s="37" t="n">
        <v>35</v>
      </c>
      <c r="G638" s="37" t="n">
        <v>1</v>
      </c>
      <c r="H638" s="37" t="n">
        <v>35</v>
      </c>
      <c r="I638" s="37" t="n">
        <v>7.55</v>
      </c>
      <c r="J638" s="37" t="n">
        <v>264.25</v>
      </c>
    </row>
    <row r="639">
      <c r="A639" s="37" t="inlineStr">
        <is>
          <t>TXN-202608-039079</t>
        </is>
      </c>
      <c r="B639" s="37" t="inlineStr">
        <is>
          <t>AC-EW-0821</t>
        </is>
      </c>
      <c r="C639" s="37" t="inlineStr">
        <is>
          <t>WL-02217</t>
        </is>
      </c>
      <c r="D639" s="37" t="inlineStr">
        <is>
          <t>EW-0821</t>
        </is>
      </c>
      <c r="E639" s="37" t="inlineStr">
        <is>
          <t>Eastwey</t>
        </is>
      </c>
      <c r="F639" s="37" t="n">
        <v>40</v>
      </c>
      <c r="G639" s="37" t="n">
        <v>1</v>
      </c>
      <c r="H639" s="37" t="n">
        <v>40</v>
      </c>
      <c r="I639" s="37" t="n">
        <v>7.55</v>
      </c>
      <c r="J639" s="37" t="n">
        <v>302</v>
      </c>
    </row>
    <row r="640">
      <c r="A640" s="37" t="inlineStr">
        <is>
          <t>TXN-202608-039122</t>
        </is>
      </c>
      <c r="B640" s="37" t="inlineStr">
        <is>
          <t>AC-EW-0822</t>
        </is>
      </c>
      <c r="C640" s="37" t="inlineStr">
        <is>
          <t>WL-01076</t>
        </is>
      </c>
      <c r="D640" s="37" t="inlineStr">
        <is>
          <t>EW-0822</t>
        </is>
      </c>
      <c r="E640" s="37" t="inlineStr">
        <is>
          <t>Eastwey</t>
        </is>
      </c>
      <c r="F640" s="37" t="n">
        <v>60</v>
      </c>
      <c r="G640" s="37" t="n">
        <v>1</v>
      </c>
      <c r="H640" s="37" t="n">
        <v>60</v>
      </c>
      <c r="I640" s="37" t="n">
        <v>7.55</v>
      </c>
      <c r="J640" s="37" t="n">
        <v>453</v>
      </c>
    </row>
    <row r="641">
      <c r="A641" s="37" t="inlineStr">
        <is>
          <t>TXN-202608-039181</t>
        </is>
      </c>
      <c r="B641" s="37" t="inlineStr">
        <is>
          <t>AC-EW-0823</t>
        </is>
      </c>
      <c r="C641" s="37" t="inlineStr">
        <is>
          <t>WL-03201</t>
        </is>
      </c>
      <c r="D641" s="37" t="inlineStr">
        <is>
          <t>EW-0823</t>
        </is>
      </c>
      <c r="E641" s="37" t="inlineStr">
        <is>
          <t>Eastwey</t>
        </is>
      </c>
      <c r="F641" s="37" t="n">
        <v>55</v>
      </c>
      <c r="G641" s="37" t="n">
        <v>1</v>
      </c>
      <c r="H641" s="37" t="n">
        <v>55</v>
      </c>
      <c r="I641" s="37" t="n">
        <v>7.55</v>
      </c>
      <c r="J641" s="37" t="n">
        <v>415.25</v>
      </c>
    </row>
    <row r="642">
      <c r="A642" s="37" t="inlineStr">
        <is>
          <t>TXN-202608-039223</t>
        </is>
      </c>
      <c r="B642" s="37" t="inlineStr">
        <is>
          <t>AC-EW-0901</t>
        </is>
      </c>
      <c r="C642" s="37" t="inlineStr">
        <is>
          <t>WL-02581</t>
        </is>
      </c>
      <c r="D642" s="37" t="inlineStr">
        <is>
          <t>EW-0901</t>
        </is>
      </c>
      <c r="E642" s="37" t="inlineStr">
        <is>
          <t>Eastwey</t>
        </is>
      </c>
      <c r="F642" s="37" t="n">
        <v>38</v>
      </c>
      <c r="G642" s="37" t="n">
        <v>1</v>
      </c>
      <c r="H642" s="37" t="n">
        <v>38</v>
      </c>
      <c r="I642" s="37" t="n">
        <v>7.55</v>
      </c>
      <c r="J642" s="37" t="n">
        <v>286.9</v>
      </c>
    </row>
    <row r="643">
      <c r="A643" s="37" t="inlineStr">
        <is>
          <t>TXN-202608-039298</t>
        </is>
      </c>
      <c r="B643" s="37" t="inlineStr">
        <is>
          <t>AC-EW-0902</t>
        </is>
      </c>
      <c r="C643" s="37" t="inlineStr">
        <is>
          <t>WL-03690</t>
        </is>
      </c>
      <c r="D643" s="37" t="inlineStr">
        <is>
          <t>EW-0902</t>
        </is>
      </c>
      <c r="E643" s="37" t="inlineStr">
        <is>
          <t>Eastwey</t>
        </is>
      </c>
      <c r="F643" s="37" t="n">
        <v>80</v>
      </c>
      <c r="G643" s="37" t="n">
        <v>1</v>
      </c>
      <c r="H643" s="37" t="n">
        <v>80</v>
      </c>
      <c r="I643" s="37" t="n">
        <v>7.55</v>
      </c>
      <c r="J643" s="37" t="n">
        <v>604</v>
      </c>
    </row>
    <row r="644">
      <c r="A644" s="37" t="inlineStr">
        <is>
          <t>TXN-202608-039369</t>
        </is>
      </c>
      <c r="B644" s="37" t="inlineStr">
        <is>
          <t>AC-EW-0903</t>
        </is>
      </c>
      <c r="C644" s="37" t="inlineStr">
        <is>
          <t>WL-01891</t>
        </is>
      </c>
      <c r="D644" s="37" t="inlineStr">
        <is>
          <t>EW-0903</t>
        </is>
      </c>
      <c r="E644" s="37" t="inlineStr">
        <is>
          <t>Eastwey</t>
        </is>
      </c>
      <c r="F644" s="37" t="n">
        <v>27</v>
      </c>
      <c r="G644" s="37" t="n">
        <v>1</v>
      </c>
      <c r="H644" s="37" t="n">
        <v>27</v>
      </c>
      <c r="I644" s="37" t="n">
        <v>7.55</v>
      </c>
      <c r="J644" s="37" t="n">
        <v>203.85</v>
      </c>
    </row>
    <row r="645">
      <c r="A645" s="37" t="inlineStr">
        <is>
          <t>TXN-202608-039411</t>
        </is>
      </c>
      <c r="B645" s="37" t="inlineStr">
        <is>
          <t>AC-EW-0904</t>
        </is>
      </c>
      <c r="C645" s="37" t="inlineStr">
        <is>
          <t>WL-03412</t>
        </is>
      </c>
      <c r="D645" s="37" t="inlineStr">
        <is>
          <t>EW-0904</t>
        </is>
      </c>
      <c r="E645" s="37" t="inlineStr">
        <is>
          <t>Eastwey</t>
        </is>
      </c>
      <c r="F645" s="37" t="n">
        <v>45</v>
      </c>
      <c r="G645" s="37" t="n">
        <v>1</v>
      </c>
      <c r="H645" s="37" t="n">
        <v>45</v>
      </c>
      <c r="I645" s="37" t="n">
        <v>7.55</v>
      </c>
      <c r="J645" s="37" t="n">
        <v>339.75</v>
      </c>
    </row>
    <row r="646">
      <c r="A646" s="37" t="inlineStr">
        <is>
          <t>TXN-202608-039463</t>
        </is>
      </c>
      <c r="B646" s="37" t="inlineStr">
        <is>
          <t>AC-EW-0905</t>
        </is>
      </c>
      <c r="C646" s="37" t="inlineStr">
        <is>
          <t>WL-01393</t>
        </is>
      </c>
      <c r="D646" s="37" t="inlineStr">
        <is>
          <t>EW-0905</t>
        </is>
      </c>
      <c r="E646" s="37" t="inlineStr">
        <is>
          <t>Eastwey</t>
        </is>
      </c>
      <c r="F646" s="37" t="n">
        <v>47</v>
      </c>
      <c r="G646" s="37" t="n">
        <v>1</v>
      </c>
      <c r="H646" s="37" t="n">
        <v>47</v>
      </c>
      <c r="I646" s="37" t="n">
        <v>7.55</v>
      </c>
      <c r="J646" s="37" t="n">
        <v>354.85</v>
      </c>
    </row>
    <row r="647">
      <c r="A647" s="37" t="inlineStr">
        <is>
          <t>TXN-202608-039511</t>
        </is>
      </c>
      <c r="B647" s="37" t="inlineStr">
        <is>
          <t>AC-EW-0906</t>
        </is>
      </c>
      <c r="C647" s="37" t="inlineStr">
        <is>
          <t>WL-01035</t>
        </is>
      </c>
      <c r="D647" s="37" t="inlineStr">
        <is>
          <t>EW-0906</t>
        </is>
      </c>
      <c r="E647" s="37" t="inlineStr">
        <is>
          <t>Eastwey</t>
        </is>
      </c>
      <c r="F647" s="37" t="n">
        <v>80</v>
      </c>
      <c r="G647" s="37" t="n">
        <v>1</v>
      </c>
      <c r="H647" s="37" t="n">
        <v>80</v>
      </c>
      <c r="I647" s="37" t="n">
        <v>7.55</v>
      </c>
      <c r="J647" s="37" t="n">
        <v>604</v>
      </c>
    </row>
    <row r="648">
      <c r="A648" s="37" t="inlineStr">
        <is>
          <t>TXN-202608-039579</t>
        </is>
      </c>
      <c r="B648" s="37" t="inlineStr">
        <is>
          <t>AC-EW-0907</t>
        </is>
      </c>
      <c r="C648" s="37" t="inlineStr">
        <is>
          <t>WL-02881</t>
        </is>
      </c>
      <c r="D648" s="37" t="inlineStr">
        <is>
          <t>EW-0907</t>
        </is>
      </c>
      <c r="E648" s="37" t="inlineStr">
        <is>
          <t>Eastwey</t>
        </is>
      </c>
      <c r="F648" s="37" t="n">
        <v>52</v>
      </c>
      <c r="G648" s="37" t="n">
        <v>1</v>
      </c>
      <c r="H648" s="37" t="n">
        <v>52</v>
      </c>
      <c r="I648" s="37" t="n">
        <v>7.55</v>
      </c>
      <c r="J648" s="37" t="n">
        <v>392.6</v>
      </c>
    </row>
    <row r="649">
      <c r="A649" s="37" t="inlineStr">
        <is>
          <t>TXN-202608-039634</t>
        </is>
      </c>
      <c r="B649" s="37" t="inlineStr">
        <is>
          <t>AC-EW-0908</t>
        </is>
      </c>
      <c r="C649" s="37" t="inlineStr">
        <is>
          <t>WL-02478</t>
        </is>
      </c>
      <c r="D649" s="37" t="inlineStr">
        <is>
          <t>EW-0908</t>
        </is>
      </c>
      <c r="E649" s="37" t="inlineStr">
        <is>
          <t>Eastwey</t>
        </is>
      </c>
      <c r="F649" s="37" t="n">
        <v>40</v>
      </c>
      <c r="G649" s="37" t="n">
        <v>1</v>
      </c>
      <c r="H649" s="37" t="n">
        <v>40</v>
      </c>
      <c r="I649" s="37" t="n">
        <v>7.55</v>
      </c>
      <c r="J649" s="37" t="n">
        <v>302</v>
      </c>
    </row>
    <row r="650">
      <c r="A650" s="37" t="inlineStr">
        <is>
          <t>TXN-202608-039702</t>
        </is>
      </c>
      <c r="B650" s="37" t="inlineStr">
        <is>
          <t>AC-EW-0909</t>
        </is>
      </c>
      <c r="C650" s="37" t="inlineStr">
        <is>
          <t>WL-03396</t>
        </is>
      </c>
      <c r="D650" s="37" t="inlineStr">
        <is>
          <t>EW-0909</t>
        </is>
      </c>
      <c r="E650" s="37" t="inlineStr">
        <is>
          <t>Eastwey</t>
        </is>
      </c>
      <c r="F650" s="37" t="n">
        <v>45</v>
      </c>
      <c r="G650" s="37" t="n">
        <v>1</v>
      </c>
      <c r="H650" s="37" t="n">
        <v>45</v>
      </c>
      <c r="I650" s="37" t="n">
        <v>7.55</v>
      </c>
      <c r="J650" s="37" t="n">
        <v>339.75</v>
      </c>
    </row>
    <row r="651">
      <c r="A651" s="37" t="inlineStr">
        <is>
          <t>TXN-202608-039753</t>
        </is>
      </c>
      <c r="B651" s="37" t="inlineStr">
        <is>
          <t>AC-EW-0910</t>
        </is>
      </c>
      <c r="C651" s="37" t="inlineStr">
        <is>
          <t>WL-03319</t>
        </is>
      </c>
      <c r="D651" s="37" t="inlineStr">
        <is>
          <t>EW-0910</t>
        </is>
      </c>
      <c r="E651" s="37" t="inlineStr">
        <is>
          <t>Eastwey</t>
        </is>
      </c>
      <c r="F651" s="37" t="n">
        <v>70</v>
      </c>
      <c r="G651" s="37" t="n">
        <v>1</v>
      </c>
      <c r="H651" s="37" t="n">
        <v>70</v>
      </c>
      <c r="I651" s="37" t="n">
        <v>7.55</v>
      </c>
      <c r="J651" s="37" t="n">
        <v>528.5</v>
      </c>
    </row>
    <row r="652">
      <c r="A652" s="37" t="inlineStr">
        <is>
          <t>TXN-202608-039834</t>
        </is>
      </c>
      <c r="B652" s="37" t="inlineStr">
        <is>
          <t>AC-EW-0911</t>
        </is>
      </c>
      <c r="C652" s="37" t="inlineStr">
        <is>
          <t>WL-02871</t>
        </is>
      </c>
      <c r="D652" s="37" t="inlineStr">
        <is>
          <t>EW-0911</t>
        </is>
      </c>
      <c r="E652" s="37" t="inlineStr">
        <is>
          <t>Eastwey</t>
        </is>
      </c>
      <c r="F652" s="37" t="n">
        <v>60</v>
      </c>
      <c r="G652" s="37" t="n">
        <v>1</v>
      </c>
      <c r="H652" s="37" t="n">
        <v>60</v>
      </c>
      <c r="I652" s="37" t="n">
        <v>7.55</v>
      </c>
      <c r="J652" s="37" t="n">
        <v>453</v>
      </c>
    </row>
    <row r="653">
      <c r="A653" s="37" t="inlineStr">
        <is>
          <t>TXN-202608-039907</t>
        </is>
      </c>
      <c r="B653" s="37" t="inlineStr">
        <is>
          <t>AC-EW-0912</t>
        </is>
      </c>
      <c r="C653" s="37" t="inlineStr">
        <is>
          <t>WL-03562</t>
        </is>
      </c>
      <c r="D653" s="37" t="inlineStr">
        <is>
          <t>EW-0912</t>
        </is>
      </c>
      <c r="E653" s="37" t="inlineStr">
        <is>
          <t>Eastwey</t>
        </is>
      </c>
      <c r="F653" s="37" t="n">
        <v>70</v>
      </c>
      <c r="G653" s="37" t="n">
        <v>1</v>
      </c>
      <c r="H653" s="37" t="n">
        <v>70</v>
      </c>
      <c r="I653" s="37" t="n">
        <v>7.55</v>
      </c>
      <c r="J653" s="37" t="n">
        <v>528.5</v>
      </c>
    </row>
    <row r="654">
      <c r="A654" s="37" t="inlineStr">
        <is>
          <t>TXN-202608-039972</t>
        </is>
      </c>
      <c r="B654" s="37" t="inlineStr">
        <is>
          <t>AC-EW-0913</t>
        </is>
      </c>
      <c r="C654" s="37" t="inlineStr">
        <is>
          <t>WL-02382</t>
        </is>
      </c>
      <c r="D654" s="37" t="inlineStr">
        <is>
          <t>EW-0913</t>
        </is>
      </c>
      <c r="E654" s="37" t="inlineStr">
        <is>
          <t>Eastwey</t>
        </is>
      </c>
      <c r="F654" s="37" t="n">
        <v>48</v>
      </c>
      <c r="G654" s="37" t="n">
        <v>1</v>
      </c>
      <c r="H654" s="37" t="n">
        <v>48</v>
      </c>
      <c r="I654" s="37" t="n">
        <v>7.55</v>
      </c>
      <c r="J654" s="37" t="n">
        <v>362.4</v>
      </c>
    </row>
    <row r="655">
      <c r="A655" s="37" t="inlineStr">
        <is>
          <t>TXN-202608-040025</t>
        </is>
      </c>
      <c r="B655" s="37" t="inlineStr">
        <is>
          <t>AC-EW-0914</t>
        </is>
      </c>
      <c r="C655" s="37" t="inlineStr">
        <is>
          <t>WL-02046</t>
        </is>
      </c>
      <c r="D655" s="37" t="inlineStr">
        <is>
          <t>EW-0914</t>
        </is>
      </c>
      <c r="E655" s="37" t="inlineStr">
        <is>
          <t>Eastwey</t>
        </is>
      </c>
      <c r="F655" s="37" t="n">
        <v>28</v>
      </c>
      <c r="G655" s="37" t="n">
        <v>1</v>
      </c>
      <c r="H655" s="37" t="n">
        <v>28</v>
      </c>
      <c r="I655" s="37" t="n">
        <v>7.55</v>
      </c>
      <c r="J655" s="37" t="n">
        <v>211.4</v>
      </c>
    </row>
    <row r="656">
      <c r="A656" s="37" t="inlineStr">
        <is>
          <t>TXN-202608-040069</t>
        </is>
      </c>
      <c r="B656" s="37" t="inlineStr">
        <is>
          <t>AC-EW-0915</t>
        </is>
      </c>
      <c r="C656" s="37" t="inlineStr">
        <is>
          <t>WL-03170</t>
        </is>
      </c>
      <c r="D656" s="37" t="inlineStr">
        <is>
          <t>EW-0915</t>
        </is>
      </c>
      <c r="E656" s="37" t="inlineStr">
        <is>
          <t>Eastwey</t>
        </is>
      </c>
      <c r="F656" s="37" t="n">
        <v>50</v>
      </c>
      <c r="G656" s="37" t="n">
        <v>1</v>
      </c>
      <c r="H656" s="37" t="n">
        <v>50</v>
      </c>
      <c r="I656" s="37" t="n">
        <v>7.55</v>
      </c>
      <c r="J656" s="37" t="n">
        <v>377.5</v>
      </c>
    </row>
    <row r="657">
      <c r="A657" s="37" t="inlineStr">
        <is>
          <t>TXN-202608-040112</t>
        </is>
      </c>
      <c r="B657" s="37" t="inlineStr">
        <is>
          <t>AC-EW-0916</t>
        </is>
      </c>
      <c r="C657" s="37" t="inlineStr">
        <is>
          <t>WL-03268</t>
        </is>
      </c>
      <c r="D657" s="37" t="inlineStr">
        <is>
          <t>EW-0916</t>
        </is>
      </c>
      <c r="E657" s="37" t="inlineStr">
        <is>
          <t>Eastwey</t>
        </is>
      </c>
      <c r="F657" s="37" t="n">
        <v>54</v>
      </c>
      <c r="G657" s="37" t="n">
        <v>1</v>
      </c>
      <c r="H657" s="37" t="n">
        <v>54</v>
      </c>
      <c r="I657" s="37" t="n">
        <v>7.55</v>
      </c>
      <c r="J657" s="37" t="n">
        <v>407.7</v>
      </c>
    </row>
    <row r="658">
      <c r="A658" s="37" t="inlineStr">
        <is>
          <t>TXN-202608-040179</t>
        </is>
      </c>
      <c r="B658" s="37" t="inlineStr">
        <is>
          <t>AC-EW-0917</t>
        </is>
      </c>
      <c r="C658" s="37" t="inlineStr">
        <is>
          <t>WL-03374</t>
        </is>
      </c>
      <c r="D658" s="37" t="inlineStr">
        <is>
          <t>EW-0917</t>
        </is>
      </c>
      <c r="E658" s="37" t="inlineStr">
        <is>
          <t>Eastwey</t>
        </is>
      </c>
      <c r="F658" s="37" t="n">
        <v>49</v>
      </c>
      <c r="G658" s="37" t="n">
        <v>1</v>
      </c>
      <c r="H658" s="37" t="n">
        <v>49</v>
      </c>
      <c r="I658" s="37" t="n">
        <v>7.55</v>
      </c>
      <c r="J658" s="37" t="n">
        <v>369.95</v>
      </c>
    </row>
    <row r="659">
      <c r="A659" s="37" t="inlineStr">
        <is>
          <t>TXN-202608-040227</t>
        </is>
      </c>
      <c r="B659" s="37" t="inlineStr">
        <is>
          <t>AC-EW-0918</t>
        </is>
      </c>
      <c r="C659" s="37" t="inlineStr">
        <is>
          <t>WL-02502</t>
        </is>
      </c>
      <c r="D659" s="37" t="inlineStr">
        <is>
          <t>EW-0918</t>
        </is>
      </c>
      <c r="E659" s="37" t="inlineStr">
        <is>
          <t>Eastwey</t>
        </is>
      </c>
      <c r="F659" s="37" t="n">
        <v>30</v>
      </c>
      <c r="G659" s="37" t="n">
        <v>1</v>
      </c>
      <c r="H659" s="37" t="n">
        <v>30</v>
      </c>
      <c r="I659" s="37" t="n">
        <v>7.55</v>
      </c>
      <c r="J659" s="37" t="n">
        <v>226.5</v>
      </c>
    </row>
    <row r="660">
      <c r="A660" s="37" t="inlineStr">
        <is>
          <t>TXN-202608-040286</t>
        </is>
      </c>
      <c r="B660" s="37" t="inlineStr">
        <is>
          <t>AC-EW-0919</t>
        </is>
      </c>
      <c r="C660" s="37" t="inlineStr">
        <is>
          <t>WL-03012</t>
        </is>
      </c>
      <c r="D660" s="37" t="inlineStr">
        <is>
          <t>EW-0919</t>
        </is>
      </c>
      <c r="E660" s="37" t="inlineStr">
        <is>
          <t>Eastwey</t>
        </is>
      </c>
      <c r="F660" s="37" t="n">
        <v>62</v>
      </c>
      <c r="G660" s="37" t="n">
        <v>1</v>
      </c>
      <c r="H660" s="37" t="n">
        <v>62</v>
      </c>
      <c r="I660" s="37" t="n">
        <v>7.55</v>
      </c>
      <c r="J660" s="37" t="n">
        <v>468.1</v>
      </c>
    </row>
    <row r="661">
      <c r="A661" s="37" t="inlineStr">
        <is>
          <t>TXN-202608-040359</t>
        </is>
      </c>
      <c r="B661" s="37" t="inlineStr">
        <is>
          <t>AC-EW-0920</t>
        </is>
      </c>
      <c r="C661" s="37" t="inlineStr">
        <is>
          <t>WL-02451</t>
        </is>
      </c>
      <c r="D661" s="37" t="inlineStr">
        <is>
          <t>EW-0920</t>
        </is>
      </c>
      <c r="E661" s="37" t="inlineStr">
        <is>
          <t>Eastwey</t>
        </is>
      </c>
      <c r="F661" s="37" t="n">
        <v>52</v>
      </c>
      <c r="G661" s="37" t="n">
        <v>1</v>
      </c>
      <c r="H661" s="37" t="n">
        <v>52</v>
      </c>
      <c r="I661" s="37" t="n">
        <v>7.55</v>
      </c>
      <c r="J661" s="37" t="n">
        <v>392.6</v>
      </c>
    </row>
    <row r="662">
      <c r="A662" s="37" t="inlineStr">
        <is>
          <t>TXN-202608-040419</t>
        </is>
      </c>
      <c r="B662" s="37" t="inlineStr">
        <is>
          <t>AC-EW-0921</t>
        </is>
      </c>
      <c r="C662" s="37" t="inlineStr">
        <is>
          <t>WL-01499</t>
        </is>
      </c>
      <c r="D662" s="37" t="inlineStr">
        <is>
          <t>EW-0921</t>
        </is>
      </c>
      <c r="E662" s="37" t="inlineStr">
        <is>
          <t>Eastwey</t>
        </is>
      </c>
      <c r="F662" s="37" t="n">
        <v>62</v>
      </c>
      <c r="G662" s="37" t="n">
        <v>1</v>
      </c>
      <c r="H662" s="37" t="n">
        <v>62</v>
      </c>
      <c r="I662" s="37" t="n">
        <v>7.55</v>
      </c>
      <c r="J662" s="37" t="n">
        <v>468.1</v>
      </c>
    </row>
    <row r="663">
      <c r="A663" s="37" t="inlineStr">
        <is>
          <t>TXN-202608-040496</t>
        </is>
      </c>
      <c r="B663" s="37" t="inlineStr">
        <is>
          <t>AC-EW-0922</t>
        </is>
      </c>
      <c r="C663" s="37" t="inlineStr">
        <is>
          <t>WL-03568</t>
        </is>
      </c>
      <c r="D663" s="37" t="inlineStr">
        <is>
          <t>EW-0922</t>
        </is>
      </c>
      <c r="E663" s="37" t="inlineStr">
        <is>
          <t>Eastwey</t>
        </is>
      </c>
      <c r="F663" s="37" t="n">
        <v>28</v>
      </c>
      <c r="G663" s="37" t="n">
        <v>1</v>
      </c>
      <c r="H663" s="37" t="n">
        <v>28</v>
      </c>
      <c r="I663" s="37" t="n">
        <v>7.55</v>
      </c>
      <c r="J663" s="37" t="n">
        <v>211.4</v>
      </c>
    </row>
    <row r="664">
      <c r="A664" s="37" t="inlineStr">
        <is>
          <t>TXN-202608-040536</t>
        </is>
      </c>
      <c r="B664" s="37" t="inlineStr">
        <is>
          <t>AC-EW-0923</t>
        </is>
      </c>
      <c r="C664" s="37" t="inlineStr">
        <is>
          <t>WL-03351</t>
        </is>
      </c>
      <c r="D664" s="37" t="inlineStr">
        <is>
          <t>EW-0923</t>
        </is>
      </c>
      <c r="E664" s="37" t="inlineStr">
        <is>
          <t>Eastwey</t>
        </is>
      </c>
      <c r="F664" s="37" t="n">
        <v>41</v>
      </c>
      <c r="G664" s="37" t="n">
        <v>1</v>
      </c>
      <c r="H664" s="37" t="n">
        <v>41</v>
      </c>
      <c r="I664" s="37" t="n">
        <v>7.55</v>
      </c>
      <c r="J664" s="37" t="n">
        <v>309.55</v>
      </c>
    </row>
    <row r="665">
      <c r="A665" s="37" t="inlineStr">
        <is>
          <t>TXN-202608-040600</t>
        </is>
      </c>
      <c r="B665" s="37" t="inlineStr">
        <is>
          <t>AC-EW-1001</t>
        </is>
      </c>
      <c r="C665" s="37" t="inlineStr">
        <is>
          <t>WL-03821</t>
        </is>
      </c>
      <c r="D665" s="37" t="inlineStr">
        <is>
          <t>EW-1001</t>
        </is>
      </c>
      <c r="E665" s="37" t="inlineStr">
        <is>
          <t>Eastwey</t>
        </is>
      </c>
      <c r="F665" s="37" t="n">
        <v>60</v>
      </c>
      <c r="G665" s="37" t="n">
        <v>1</v>
      </c>
      <c r="H665" s="37" t="n">
        <v>60</v>
      </c>
      <c r="I665" s="37" t="n">
        <v>7.55</v>
      </c>
      <c r="J665" s="37" t="n">
        <v>453</v>
      </c>
    </row>
    <row r="666">
      <c r="A666" s="37" t="inlineStr">
        <is>
          <t>TXN-202608-040662</t>
        </is>
      </c>
      <c r="B666" s="37" t="inlineStr">
        <is>
          <t>AC-EW-1002</t>
        </is>
      </c>
      <c r="C666" s="37" t="inlineStr">
        <is>
          <t>WL-02120</t>
        </is>
      </c>
      <c r="D666" s="37" t="inlineStr">
        <is>
          <t>EW-1002</t>
        </is>
      </c>
      <c r="E666" s="37" t="inlineStr">
        <is>
          <t>Eastwey</t>
        </is>
      </c>
      <c r="F666" s="37" t="n">
        <v>28</v>
      </c>
      <c r="G666" s="37" t="n">
        <v>1</v>
      </c>
      <c r="H666" s="37" t="n">
        <v>28</v>
      </c>
      <c r="I666" s="37" t="n">
        <v>7.55</v>
      </c>
      <c r="J666" s="37" t="n">
        <v>211.4</v>
      </c>
    </row>
    <row r="667">
      <c r="A667" s="37" t="inlineStr">
        <is>
          <t>TXN-202608-040711</t>
        </is>
      </c>
      <c r="B667" s="37" t="inlineStr">
        <is>
          <t>AC-EW-1003</t>
        </is>
      </c>
      <c r="C667" s="37" t="inlineStr">
        <is>
          <t>WL-01595</t>
        </is>
      </c>
      <c r="D667" s="37" t="inlineStr">
        <is>
          <t>EW-1003</t>
        </is>
      </c>
      <c r="E667" s="37" t="inlineStr">
        <is>
          <t>Eastwey</t>
        </is>
      </c>
      <c r="F667" s="37" t="n">
        <v>40</v>
      </c>
      <c r="G667" s="37" t="n">
        <v>1</v>
      </c>
      <c r="H667" s="37" t="n">
        <v>40</v>
      </c>
      <c r="I667" s="37" t="n">
        <v>7.55</v>
      </c>
      <c r="J667" s="37" t="n">
        <v>302</v>
      </c>
    </row>
    <row r="668">
      <c r="A668" s="37" t="inlineStr">
        <is>
          <t>TXN-202608-040785</t>
        </is>
      </c>
      <c r="B668" s="37" t="inlineStr">
        <is>
          <t>AC-EW-1005</t>
        </is>
      </c>
      <c r="C668" s="37" t="inlineStr">
        <is>
          <t>WL-01010</t>
        </is>
      </c>
      <c r="D668" s="37" t="inlineStr">
        <is>
          <t>EW-1005</t>
        </is>
      </c>
      <c r="E668" s="37" t="inlineStr">
        <is>
          <t>Eastwey</t>
        </is>
      </c>
      <c r="F668" s="37" t="n">
        <v>32</v>
      </c>
      <c r="G668" s="37" t="n">
        <v>1</v>
      </c>
      <c r="H668" s="37" t="n">
        <v>32</v>
      </c>
      <c r="I668" s="37" t="n">
        <v>7.55</v>
      </c>
      <c r="J668" s="37" t="n">
        <v>241.6</v>
      </c>
    </row>
    <row r="669">
      <c r="A669" s="37" t="inlineStr">
        <is>
          <t>TXN-202608-040838</t>
        </is>
      </c>
      <c r="B669" s="37" t="inlineStr">
        <is>
          <t>AC-EW-1007</t>
        </is>
      </c>
      <c r="C669" s="37" t="inlineStr">
        <is>
          <t>WL-02438</t>
        </is>
      </c>
      <c r="D669" s="37" t="inlineStr">
        <is>
          <t>EW-1007</t>
        </is>
      </c>
      <c r="E669" s="37" t="inlineStr">
        <is>
          <t>Eastwey</t>
        </is>
      </c>
      <c r="F669" s="37" t="n">
        <v>54</v>
      </c>
      <c r="G669" s="37" t="n">
        <v>1</v>
      </c>
      <c r="H669" s="37" t="n">
        <v>54</v>
      </c>
      <c r="I669" s="37" t="n">
        <v>7.55</v>
      </c>
      <c r="J669" s="37" t="n">
        <v>407.7</v>
      </c>
    </row>
    <row r="670">
      <c r="A670" s="37" t="inlineStr">
        <is>
          <t>TXN-202608-040905</t>
        </is>
      </c>
      <c r="B670" s="37" t="inlineStr">
        <is>
          <t>AC-EW-1008</t>
        </is>
      </c>
      <c r="C670" s="37" t="inlineStr">
        <is>
          <t>WL-02219</t>
        </is>
      </c>
      <c r="D670" s="37" t="inlineStr">
        <is>
          <t>EW-1008</t>
        </is>
      </c>
      <c r="E670" s="37" t="inlineStr">
        <is>
          <t>Eastwey</t>
        </is>
      </c>
      <c r="F670" s="37" t="n">
        <v>50</v>
      </c>
      <c r="G670" s="37" t="n">
        <v>1</v>
      </c>
      <c r="H670" s="37" t="n">
        <v>50</v>
      </c>
      <c r="I670" s="37" t="n">
        <v>7.55</v>
      </c>
      <c r="J670" s="37" t="n">
        <v>377.5</v>
      </c>
    </row>
    <row r="671">
      <c r="A671" s="37" t="inlineStr">
        <is>
          <t>TXN-202608-040958</t>
        </is>
      </c>
      <c r="B671" s="37" t="inlineStr">
        <is>
          <t>AC-EW-1010</t>
        </is>
      </c>
      <c r="C671" s="37" t="inlineStr">
        <is>
          <t>WL-02063</t>
        </is>
      </c>
      <c r="D671" s="37" t="inlineStr">
        <is>
          <t>EW-1010</t>
        </is>
      </c>
      <c r="E671" s="37" t="inlineStr">
        <is>
          <t>Eastwey</t>
        </is>
      </c>
      <c r="F671" s="37" t="n">
        <v>45</v>
      </c>
      <c r="G671" s="37" t="n">
        <v>1</v>
      </c>
      <c r="H671" s="37" t="n">
        <v>45</v>
      </c>
      <c r="I671" s="37" t="n">
        <v>7.55</v>
      </c>
      <c r="J671" s="37" t="n">
        <v>339.75</v>
      </c>
    </row>
    <row r="672">
      <c r="A672" s="37" t="inlineStr">
        <is>
          <t>TXN-202608-041034</t>
        </is>
      </c>
      <c r="B672" s="37" t="inlineStr">
        <is>
          <t>AC-EW-1011</t>
        </is>
      </c>
      <c r="C672" s="37" t="inlineStr">
        <is>
          <t>WL-03465</t>
        </is>
      </c>
      <c r="D672" s="37" t="inlineStr">
        <is>
          <t>EW-1011</t>
        </is>
      </c>
      <c r="E672" s="37" t="inlineStr">
        <is>
          <t>Eastwey</t>
        </is>
      </c>
      <c r="F672" s="37" t="n">
        <v>41</v>
      </c>
      <c r="G672" s="37" t="n">
        <v>1</v>
      </c>
      <c r="H672" s="37" t="n">
        <v>41</v>
      </c>
      <c r="I672" s="37" t="n">
        <v>7.55</v>
      </c>
      <c r="J672" s="37" t="n">
        <v>309.55</v>
      </c>
    </row>
    <row r="673">
      <c r="A673" s="37" t="inlineStr">
        <is>
          <t>TXN-202608-041109</t>
        </is>
      </c>
      <c r="B673" s="37" t="inlineStr">
        <is>
          <t>AC-EW-1012</t>
        </is>
      </c>
      <c r="C673" s="37" t="inlineStr">
        <is>
          <t>WL-02406</t>
        </is>
      </c>
      <c r="D673" s="37" t="inlineStr">
        <is>
          <t>EW-1012</t>
        </is>
      </c>
      <c r="E673" s="37" t="inlineStr">
        <is>
          <t>Eastwey</t>
        </is>
      </c>
      <c r="F673" s="37" t="n">
        <v>53</v>
      </c>
      <c r="G673" s="37" t="n">
        <v>1</v>
      </c>
      <c r="H673" s="37" t="n">
        <v>53</v>
      </c>
      <c r="I673" s="37" t="n">
        <v>7.55</v>
      </c>
      <c r="J673" s="37" t="n">
        <v>400.15</v>
      </c>
    </row>
    <row r="674">
      <c r="A674" s="37" t="inlineStr">
        <is>
          <t>TXN-202608-041150</t>
        </is>
      </c>
      <c r="B674" s="37" t="inlineStr">
        <is>
          <t>AC-EW-1013</t>
        </is>
      </c>
      <c r="C674" s="37" t="inlineStr">
        <is>
          <t>WL-02008</t>
        </is>
      </c>
      <c r="D674" s="37" t="inlineStr">
        <is>
          <t>EW-1013</t>
        </is>
      </c>
      <c r="E674" s="37" t="inlineStr">
        <is>
          <t>Eastwey</t>
        </is>
      </c>
      <c r="F674" s="37" t="n">
        <v>40</v>
      </c>
      <c r="G674" s="37" t="n">
        <v>1</v>
      </c>
      <c r="H674" s="37" t="n">
        <v>40</v>
      </c>
      <c r="I674" s="37" t="n">
        <v>7.55</v>
      </c>
      <c r="J674" s="37" t="n">
        <v>302</v>
      </c>
    </row>
    <row r="675">
      <c r="A675" s="37" t="inlineStr">
        <is>
          <t>TXN-202608-041203</t>
        </is>
      </c>
      <c r="B675" s="37" t="inlineStr">
        <is>
          <t>AC-EW-1014</t>
        </is>
      </c>
      <c r="C675" s="37" t="inlineStr">
        <is>
          <t>WL-02680</t>
        </is>
      </c>
      <c r="D675" s="37" t="inlineStr">
        <is>
          <t>EW-1014</t>
        </is>
      </c>
      <c r="E675" s="37" t="inlineStr">
        <is>
          <t>Eastwey</t>
        </is>
      </c>
      <c r="F675" s="37" t="n">
        <v>40</v>
      </c>
      <c r="G675" s="37" t="n">
        <v>1</v>
      </c>
      <c r="H675" s="37" t="n">
        <v>40</v>
      </c>
      <c r="I675" s="37" t="n">
        <v>7.55</v>
      </c>
      <c r="J675" s="37" t="n">
        <v>302</v>
      </c>
    </row>
    <row r="676">
      <c r="A676" s="37" t="inlineStr">
        <is>
          <t>TXN-202608-041266</t>
        </is>
      </c>
      <c r="B676" s="37" t="inlineStr">
        <is>
          <t>AC-EW-1015</t>
        </is>
      </c>
      <c r="C676" s="37" t="inlineStr">
        <is>
          <t>WL-03353</t>
        </is>
      </c>
      <c r="D676" s="37" t="inlineStr">
        <is>
          <t>EW-1015</t>
        </is>
      </c>
      <c r="E676" s="37" t="inlineStr">
        <is>
          <t>Eastwey</t>
        </is>
      </c>
      <c r="F676" s="37" t="n">
        <v>24</v>
      </c>
      <c r="G676" s="37" t="n">
        <v>1</v>
      </c>
      <c r="H676" s="37" t="n">
        <v>24</v>
      </c>
      <c r="I676" s="37" t="n">
        <v>7.55</v>
      </c>
      <c r="J676" s="37" t="n">
        <v>181.2</v>
      </c>
    </row>
    <row r="677">
      <c r="A677" s="37" t="inlineStr">
        <is>
          <t>TXN-202608-041322</t>
        </is>
      </c>
      <c r="B677" s="37" t="inlineStr">
        <is>
          <t>AC-EW-1016</t>
        </is>
      </c>
      <c r="C677" s="37" t="inlineStr">
        <is>
          <t>WL-01746</t>
        </is>
      </c>
      <c r="D677" s="37" t="inlineStr">
        <is>
          <t>EW-1016</t>
        </is>
      </c>
      <c r="E677" s="37" t="inlineStr">
        <is>
          <t>Eastwey</t>
        </is>
      </c>
      <c r="F677" s="37" t="n">
        <v>56</v>
      </c>
      <c r="G677" s="37" t="n">
        <v>1</v>
      </c>
      <c r="H677" s="37" t="n">
        <v>56</v>
      </c>
      <c r="I677" s="37" t="n">
        <v>7.55</v>
      </c>
      <c r="J677" s="37" t="n">
        <v>422.8</v>
      </c>
    </row>
    <row r="678">
      <c r="A678" s="37" t="inlineStr">
        <is>
          <t>TXN-202608-041365</t>
        </is>
      </c>
      <c r="B678" s="37" t="inlineStr">
        <is>
          <t>AC-EW-1017</t>
        </is>
      </c>
      <c r="C678" s="37" t="inlineStr">
        <is>
          <t>WL-02717</t>
        </is>
      </c>
      <c r="D678" s="37" t="inlineStr">
        <is>
          <t>EW-1017</t>
        </is>
      </c>
      <c r="E678" s="37" t="inlineStr">
        <is>
          <t>Eastwey</t>
        </is>
      </c>
      <c r="F678" s="37" t="n">
        <v>62</v>
      </c>
      <c r="G678" s="37" t="n">
        <v>1</v>
      </c>
      <c r="H678" s="37" t="n">
        <v>62</v>
      </c>
      <c r="I678" s="37" t="n">
        <v>7.55</v>
      </c>
      <c r="J678" s="37" t="n">
        <v>468.1</v>
      </c>
    </row>
    <row r="679">
      <c r="A679" s="37" t="inlineStr">
        <is>
          <t>TXN-202608-041431</t>
        </is>
      </c>
      <c r="B679" s="37" t="inlineStr">
        <is>
          <t>AC-EW-1018</t>
        </is>
      </c>
      <c r="C679" s="37" t="inlineStr">
        <is>
          <t>WL-01540</t>
        </is>
      </c>
      <c r="D679" s="37" t="inlineStr">
        <is>
          <t>EW-1018</t>
        </is>
      </c>
      <c r="E679" s="37" t="inlineStr">
        <is>
          <t>Eastwey</t>
        </is>
      </c>
      <c r="F679" s="37" t="n">
        <v>61</v>
      </c>
      <c r="G679" s="37" t="n">
        <v>1</v>
      </c>
      <c r="H679" s="37" t="n">
        <v>61</v>
      </c>
      <c r="I679" s="37" t="n">
        <v>7.55</v>
      </c>
      <c r="J679" s="37" t="n">
        <v>460.55</v>
      </c>
    </row>
    <row r="680">
      <c r="A680" s="37" t="inlineStr">
        <is>
          <t>TXN-202608-041480</t>
        </is>
      </c>
      <c r="B680" s="37" t="inlineStr">
        <is>
          <t>AC-EW-1019</t>
        </is>
      </c>
      <c r="C680" s="37" t="inlineStr">
        <is>
          <t>WL-03583</t>
        </is>
      </c>
      <c r="D680" s="37" t="inlineStr">
        <is>
          <t>EW-1019</t>
        </is>
      </c>
      <c r="E680" s="37" t="inlineStr">
        <is>
          <t>Eastwey</t>
        </is>
      </c>
      <c r="F680" s="37" t="n">
        <v>51</v>
      </c>
      <c r="G680" s="37" t="n">
        <v>1</v>
      </c>
      <c r="H680" s="37" t="n">
        <v>51</v>
      </c>
      <c r="I680" s="37" t="n">
        <v>7.55</v>
      </c>
      <c r="J680" s="37" t="n">
        <v>385.05</v>
      </c>
    </row>
    <row r="681">
      <c r="A681" s="37" t="inlineStr">
        <is>
          <t>TXN-202608-041527</t>
        </is>
      </c>
      <c r="B681" s="37" t="inlineStr">
        <is>
          <t>AC-EW-1021</t>
        </is>
      </c>
      <c r="C681" s="37" t="inlineStr">
        <is>
          <t>WL-03888</t>
        </is>
      </c>
      <c r="D681" s="37" t="inlineStr">
        <is>
          <t>EW-1021</t>
        </is>
      </c>
      <c r="E681" s="37" t="inlineStr">
        <is>
          <t>Eastwey</t>
        </is>
      </c>
      <c r="F681" s="37" t="n">
        <v>70</v>
      </c>
      <c r="G681" s="37" t="n">
        <v>1</v>
      </c>
      <c r="H681" s="37" t="n">
        <v>70</v>
      </c>
      <c r="I681" s="37" t="n">
        <v>7.55</v>
      </c>
      <c r="J681" s="37" t="n">
        <v>528.5</v>
      </c>
    </row>
    <row r="682">
      <c r="A682" s="37" t="inlineStr">
        <is>
          <t>TXN-202608-041591</t>
        </is>
      </c>
      <c r="B682" s="37" t="inlineStr">
        <is>
          <t>AC-EW-1022</t>
        </is>
      </c>
      <c r="C682" s="37" t="inlineStr">
        <is>
          <t>WL-01788</t>
        </is>
      </c>
      <c r="D682" s="37" t="inlineStr">
        <is>
          <t>EW-1022</t>
        </is>
      </c>
      <c r="E682" s="37" t="inlineStr">
        <is>
          <t>Eastwey</t>
        </is>
      </c>
      <c r="F682" s="37" t="n">
        <v>39</v>
      </c>
      <c r="G682" s="37" t="n">
        <v>1</v>
      </c>
      <c r="H682" s="37" t="n">
        <v>39</v>
      </c>
      <c r="I682" s="37" t="n">
        <v>7.55</v>
      </c>
      <c r="J682" s="37" t="n">
        <v>294.45</v>
      </c>
    </row>
    <row r="683">
      <c r="A683" s="37" t="inlineStr">
        <is>
          <t>TXN-202608-041651</t>
        </is>
      </c>
      <c r="B683" s="37" t="inlineStr">
        <is>
          <t>AC-EW-1023</t>
        </is>
      </c>
      <c r="C683" s="37" t="inlineStr">
        <is>
          <t>WL-01824</t>
        </is>
      </c>
      <c r="D683" s="37" t="inlineStr">
        <is>
          <t>EW-1023</t>
        </is>
      </c>
      <c r="E683" s="37" t="inlineStr">
        <is>
          <t>Eastwey</t>
        </is>
      </c>
      <c r="F683" s="37" t="n">
        <v>60</v>
      </c>
      <c r="G683" s="37" t="n">
        <v>1</v>
      </c>
      <c r="H683" s="37" t="n">
        <v>60</v>
      </c>
      <c r="I683" s="37" t="n">
        <v>7.55</v>
      </c>
      <c r="J683" s="37" t="n">
        <v>453</v>
      </c>
    </row>
    <row r="684">
      <c r="A684" s="37" t="inlineStr">
        <is>
          <t>TXN-202608-041702</t>
        </is>
      </c>
      <c r="B684" s="37" t="inlineStr">
        <is>
          <t>AC-EW-1024</t>
        </is>
      </c>
      <c r="C684" s="37" t="inlineStr">
        <is>
          <t>WL-03180</t>
        </is>
      </c>
      <c r="D684" s="37" t="inlineStr">
        <is>
          <t>EW-1024</t>
        </is>
      </c>
      <c r="E684" s="37" t="inlineStr">
        <is>
          <t>Eastwey</t>
        </is>
      </c>
      <c r="F684" s="37" t="n">
        <v>34</v>
      </c>
      <c r="G684" s="37" t="n">
        <v>1</v>
      </c>
      <c r="H684" s="37" t="n">
        <v>34</v>
      </c>
      <c r="I684" s="37" t="n">
        <v>7.55</v>
      </c>
      <c r="J684" s="37" t="n">
        <v>256.7</v>
      </c>
    </row>
    <row r="685">
      <c r="A685" s="37" t="inlineStr">
        <is>
          <t>TXN-202608-041755</t>
        </is>
      </c>
      <c r="B685" s="37" t="inlineStr">
        <is>
          <t>AC-GW-0102</t>
        </is>
      </c>
      <c r="C685" s="37" t="inlineStr">
        <is>
          <t>WL-01136</t>
        </is>
      </c>
      <c r="D685" s="37" t="inlineStr">
        <is>
          <t>GW-0102</t>
        </is>
      </c>
      <c r="E685" s="37" t="inlineStr">
        <is>
          <t>Gullwing</t>
        </is>
      </c>
      <c r="F685" s="37" t="n">
        <v>44</v>
      </c>
      <c r="G685" s="37" t="n">
        <v>1</v>
      </c>
      <c r="H685" s="37" t="n">
        <v>44</v>
      </c>
      <c r="I685" s="37" t="n">
        <v>7.55</v>
      </c>
      <c r="J685" s="37" t="n">
        <v>332.2</v>
      </c>
    </row>
    <row r="686">
      <c r="A686" s="37" t="inlineStr">
        <is>
          <t>TXN-202608-041830</t>
        </is>
      </c>
      <c r="B686" s="37" t="inlineStr">
        <is>
          <t>AC-GW-0103</t>
        </is>
      </c>
      <c r="C686" s="37" t="inlineStr">
        <is>
          <t>WL-02233</t>
        </is>
      </c>
      <c r="D686" s="37" t="inlineStr">
        <is>
          <t>GW-0103</t>
        </is>
      </c>
      <c r="E686" s="37" t="inlineStr">
        <is>
          <t>Gullwing</t>
        </is>
      </c>
      <c r="F686" s="37" t="n">
        <v>45</v>
      </c>
      <c r="G686" s="37" t="n">
        <v>1</v>
      </c>
      <c r="H686" s="37" t="n">
        <v>45</v>
      </c>
      <c r="I686" s="37" t="n">
        <v>7.55</v>
      </c>
      <c r="J686" s="37" t="n">
        <v>339.75</v>
      </c>
    </row>
    <row r="687">
      <c r="A687" s="37" t="inlineStr">
        <is>
          <t>TXN-202608-041882</t>
        </is>
      </c>
      <c r="B687" s="37" t="inlineStr">
        <is>
          <t>AC-GW-0104</t>
        </is>
      </c>
      <c r="C687" s="37" t="inlineStr">
        <is>
          <t>WL-01980</t>
        </is>
      </c>
      <c r="D687" s="37" t="inlineStr">
        <is>
          <t>GW-0104</t>
        </is>
      </c>
      <c r="E687" s="37" t="inlineStr">
        <is>
          <t>Gullwing</t>
        </is>
      </c>
      <c r="F687" s="37" t="n">
        <v>50</v>
      </c>
      <c r="G687" s="37" t="n">
        <v>1</v>
      </c>
      <c r="H687" s="37" t="n">
        <v>50</v>
      </c>
      <c r="I687" s="37" t="n">
        <v>7.55</v>
      </c>
      <c r="J687" s="37" t="n">
        <v>377.5</v>
      </c>
    </row>
    <row r="688">
      <c r="A688" s="37" t="inlineStr">
        <is>
          <t>TXN-202608-041952</t>
        </is>
      </c>
      <c r="B688" s="37" t="inlineStr">
        <is>
          <t>AC-GW-0105</t>
        </is>
      </c>
      <c r="C688" s="37" t="inlineStr">
        <is>
          <t>WL-03409</t>
        </is>
      </c>
      <c r="D688" s="37" t="inlineStr">
        <is>
          <t>GW-0105</t>
        </is>
      </c>
      <c r="E688" s="37" t="inlineStr">
        <is>
          <t>Gullwing</t>
        </is>
      </c>
      <c r="F688" s="37" t="n">
        <v>60</v>
      </c>
      <c r="G688" s="37" t="n">
        <v>1</v>
      </c>
      <c r="H688" s="37" t="n">
        <v>60</v>
      </c>
      <c r="I688" s="37" t="n">
        <v>7.55</v>
      </c>
      <c r="J688" s="37" t="n">
        <v>453</v>
      </c>
    </row>
    <row r="689">
      <c r="A689" s="37" t="inlineStr">
        <is>
          <t>TXN-202608-041997</t>
        </is>
      </c>
      <c r="B689" s="37" t="inlineStr">
        <is>
          <t>AC-GW-0106</t>
        </is>
      </c>
      <c r="C689" s="37" t="inlineStr">
        <is>
          <t>WL-01773</t>
        </is>
      </c>
      <c r="D689" s="37" t="inlineStr">
        <is>
          <t>GW-0106</t>
        </is>
      </c>
      <c r="E689" s="37" t="inlineStr">
        <is>
          <t>Gullwing</t>
        </is>
      </c>
      <c r="F689" s="37" t="n">
        <v>80</v>
      </c>
      <c r="G689" s="37" t="n">
        <v>1</v>
      </c>
      <c r="H689" s="37" t="n">
        <v>80</v>
      </c>
      <c r="I689" s="37" t="n">
        <v>7.55</v>
      </c>
      <c r="J689" s="37" t="n">
        <v>604</v>
      </c>
    </row>
    <row r="690">
      <c r="A690" s="37" t="inlineStr">
        <is>
          <t>TXN-202608-042047</t>
        </is>
      </c>
      <c r="B690" s="37" t="inlineStr">
        <is>
          <t>AC-GW-0108</t>
        </is>
      </c>
      <c r="C690" s="37" t="inlineStr">
        <is>
          <t>WL-02927</t>
        </is>
      </c>
      <c r="D690" s="37" t="inlineStr">
        <is>
          <t>GW-0108</t>
        </is>
      </c>
      <c r="E690" s="37" t="inlineStr">
        <is>
          <t>Gullwing</t>
        </is>
      </c>
      <c r="F690" s="37" t="n">
        <v>47</v>
      </c>
      <c r="G690" s="37" t="n">
        <v>1</v>
      </c>
      <c r="H690" s="37" t="n">
        <v>47</v>
      </c>
      <c r="I690" s="37" t="n">
        <v>7.55</v>
      </c>
      <c r="J690" s="37" t="n">
        <v>354.85</v>
      </c>
    </row>
    <row r="691">
      <c r="A691" s="37" t="inlineStr">
        <is>
          <t>TXN-202608-042085</t>
        </is>
      </c>
      <c r="B691" s="37" t="inlineStr">
        <is>
          <t>AC-GW-0109</t>
        </is>
      </c>
      <c r="C691" s="37" t="inlineStr">
        <is>
          <t>WL-02979</t>
        </is>
      </c>
      <c r="D691" s="37" t="inlineStr">
        <is>
          <t>GW-0109</t>
        </is>
      </c>
      <c r="E691" s="37" t="inlineStr">
        <is>
          <t>Gullwing</t>
        </is>
      </c>
      <c r="F691" s="37" t="n">
        <v>55</v>
      </c>
      <c r="G691" s="37" t="n">
        <v>1</v>
      </c>
      <c r="H691" s="37" t="n">
        <v>55</v>
      </c>
      <c r="I691" s="37" t="n">
        <v>7.55</v>
      </c>
      <c r="J691" s="37" t="n">
        <v>415.25</v>
      </c>
    </row>
    <row r="692">
      <c r="A692" s="37" t="inlineStr">
        <is>
          <t>TXN-202608-042151</t>
        </is>
      </c>
      <c r="B692" s="37" t="inlineStr">
        <is>
          <t>AC-GW-0110</t>
        </is>
      </c>
      <c r="C692" s="37" t="inlineStr">
        <is>
          <t>WL-02479</t>
        </is>
      </c>
      <c r="D692" s="37" t="inlineStr">
        <is>
          <t>GW-0110</t>
        </is>
      </c>
      <c r="E692" s="37" t="inlineStr">
        <is>
          <t>Gullwing</t>
        </is>
      </c>
      <c r="F692" s="37" t="n">
        <v>80</v>
      </c>
      <c r="G692" s="37" t="n">
        <v>1</v>
      </c>
      <c r="H692" s="37" t="n">
        <v>80</v>
      </c>
      <c r="I692" s="37" t="n">
        <v>7.55</v>
      </c>
      <c r="J692" s="37" t="n">
        <v>604</v>
      </c>
    </row>
    <row r="693">
      <c r="A693" s="37" t="inlineStr">
        <is>
          <t>TXN-202608-042228</t>
        </is>
      </c>
      <c r="B693" s="37" t="inlineStr">
        <is>
          <t>AC-GW-0111</t>
        </is>
      </c>
      <c r="C693" s="37" t="inlineStr">
        <is>
          <t>WL-03229</t>
        </is>
      </c>
      <c r="D693" s="37" t="inlineStr">
        <is>
          <t>GW-0111</t>
        </is>
      </c>
      <c r="E693" s="37" t="inlineStr">
        <is>
          <t>Gullwing</t>
        </is>
      </c>
      <c r="F693" s="37" t="n">
        <v>60</v>
      </c>
      <c r="G693" s="37" t="n">
        <v>1</v>
      </c>
      <c r="H693" s="37" t="n">
        <v>60</v>
      </c>
      <c r="I693" s="37" t="n">
        <v>7.55</v>
      </c>
      <c r="J693" s="37" t="n">
        <v>453</v>
      </c>
    </row>
    <row r="694">
      <c r="A694" s="37" t="inlineStr">
        <is>
          <t>TXN-202608-042295</t>
        </is>
      </c>
      <c r="B694" s="37" t="inlineStr">
        <is>
          <t>AC-GW-0112</t>
        </is>
      </c>
      <c r="C694" s="37" t="inlineStr">
        <is>
          <t>WL-01208</t>
        </is>
      </c>
      <c r="D694" s="37" t="inlineStr">
        <is>
          <t>GW-0112</t>
        </is>
      </c>
      <c r="E694" s="37" t="inlineStr">
        <is>
          <t>Gullwing</t>
        </is>
      </c>
      <c r="F694" s="37" t="n">
        <v>32</v>
      </c>
      <c r="G694" s="37" t="n">
        <v>1</v>
      </c>
      <c r="H694" s="37" t="n">
        <v>32</v>
      </c>
      <c r="I694" s="37" t="n">
        <v>7.55</v>
      </c>
      <c r="J694" s="37" t="n">
        <v>241.6</v>
      </c>
    </row>
    <row r="695">
      <c r="A695" s="37" t="inlineStr">
        <is>
          <t>TXN-202608-042347</t>
        </is>
      </c>
      <c r="B695" s="37" t="inlineStr">
        <is>
          <t>AC-GW-0113</t>
        </is>
      </c>
      <c r="C695" s="37" t="inlineStr">
        <is>
          <t>WL-01259</t>
        </is>
      </c>
      <c r="D695" s="37" t="inlineStr">
        <is>
          <t>GW-0113</t>
        </is>
      </c>
      <c r="E695" s="37" t="inlineStr">
        <is>
          <t>Gullwing</t>
        </is>
      </c>
      <c r="F695" s="37" t="n">
        <v>46</v>
      </c>
      <c r="G695" s="37" t="n">
        <v>1</v>
      </c>
      <c r="H695" s="37" t="n">
        <v>46</v>
      </c>
      <c r="I695" s="37" t="n">
        <v>7.55</v>
      </c>
      <c r="J695" s="37" t="n">
        <v>347.3</v>
      </c>
    </row>
    <row r="696">
      <c r="A696" s="37" t="inlineStr">
        <is>
          <t>TXN-202608-042422</t>
        </is>
      </c>
      <c r="B696" s="37" t="inlineStr">
        <is>
          <t>AC-GW-0114</t>
        </is>
      </c>
      <c r="C696" s="37" t="inlineStr">
        <is>
          <t>WL-02985</t>
        </is>
      </c>
      <c r="D696" s="37" t="inlineStr">
        <is>
          <t>GW-0114</t>
        </is>
      </c>
      <c r="E696" s="37" t="inlineStr">
        <is>
          <t>Gullwing</t>
        </is>
      </c>
      <c r="F696" s="37" t="n">
        <v>37</v>
      </c>
      <c r="G696" s="37" t="n">
        <v>1</v>
      </c>
      <c r="H696" s="37" t="n">
        <v>37</v>
      </c>
      <c r="I696" s="37" t="n">
        <v>7.55</v>
      </c>
      <c r="J696" s="37" t="n">
        <v>279.35</v>
      </c>
    </row>
    <row r="697">
      <c r="A697" s="37" t="inlineStr">
        <is>
          <t>TXN-202608-042493</t>
        </is>
      </c>
      <c r="B697" s="37" t="inlineStr">
        <is>
          <t>AC-GW-0115</t>
        </is>
      </c>
      <c r="C697" s="37" t="inlineStr">
        <is>
          <t>WL-01610</t>
        </is>
      </c>
      <c r="D697" s="37" t="inlineStr">
        <is>
          <t>GW-0115</t>
        </is>
      </c>
      <c r="E697" s="37" t="inlineStr">
        <is>
          <t>Gullwing</t>
        </is>
      </c>
      <c r="F697" s="37" t="n">
        <v>50</v>
      </c>
      <c r="G697" s="37" t="n">
        <v>1</v>
      </c>
      <c r="H697" s="37" t="n">
        <v>50</v>
      </c>
      <c r="I697" s="37" t="n">
        <v>7.55</v>
      </c>
      <c r="J697" s="37" t="n">
        <v>377.5</v>
      </c>
    </row>
    <row r="698">
      <c r="A698" s="37" t="inlineStr">
        <is>
          <t>TXN-202608-042568</t>
        </is>
      </c>
      <c r="B698" s="37" t="inlineStr">
        <is>
          <t>AC-GW-0116</t>
        </is>
      </c>
      <c r="C698" s="37" t="inlineStr">
        <is>
          <t>WL-02724</t>
        </is>
      </c>
      <c r="D698" s="37" t="inlineStr">
        <is>
          <t>GW-0116</t>
        </is>
      </c>
      <c r="E698" s="37" t="inlineStr">
        <is>
          <t>Gullwing</t>
        </is>
      </c>
      <c r="F698" s="37" t="n">
        <v>50</v>
      </c>
      <c r="G698" s="37" t="n">
        <v>1</v>
      </c>
      <c r="H698" s="37" t="n">
        <v>50</v>
      </c>
      <c r="I698" s="37" t="n">
        <v>7.55</v>
      </c>
      <c r="J698" s="37" t="n">
        <v>377.5</v>
      </c>
    </row>
    <row r="699">
      <c r="A699" s="37" t="inlineStr">
        <is>
          <t>TXN-202608-042617</t>
        </is>
      </c>
      <c r="B699" s="37" t="inlineStr">
        <is>
          <t>AC-GW-0117</t>
        </is>
      </c>
      <c r="C699" s="37" t="inlineStr">
        <is>
          <t>WL-02588</t>
        </is>
      </c>
      <c r="D699" s="37" t="inlineStr">
        <is>
          <t>GW-0117</t>
        </is>
      </c>
      <c r="E699" s="37" t="inlineStr">
        <is>
          <t>Gullwing</t>
        </is>
      </c>
      <c r="F699" s="37" t="n">
        <v>50</v>
      </c>
      <c r="G699" s="37" t="n">
        <v>1</v>
      </c>
      <c r="H699" s="37" t="n">
        <v>50</v>
      </c>
      <c r="I699" s="37" t="n">
        <v>7.55</v>
      </c>
      <c r="J699" s="37" t="n">
        <v>377.5</v>
      </c>
    </row>
    <row r="700">
      <c r="A700" s="37" t="inlineStr">
        <is>
          <t>TXN-202608-042670</t>
        </is>
      </c>
      <c r="B700" s="37" t="inlineStr">
        <is>
          <t>AC-GW-0118</t>
        </is>
      </c>
      <c r="C700" s="37" t="inlineStr">
        <is>
          <t>WL-02840</t>
        </is>
      </c>
      <c r="D700" s="37" t="inlineStr">
        <is>
          <t>GW-0118</t>
        </is>
      </c>
      <c r="E700" s="37" t="inlineStr">
        <is>
          <t>Gullwing</t>
        </is>
      </c>
      <c r="F700" s="37" t="n">
        <v>60</v>
      </c>
      <c r="G700" s="37" t="n">
        <v>1</v>
      </c>
      <c r="H700" s="37" t="n">
        <v>60</v>
      </c>
      <c r="I700" s="37" t="n">
        <v>7.55</v>
      </c>
      <c r="J700" s="37" t="n">
        <v>453</v>
      </c>
    </row>
    <row r="701">
      <c r="A701" s="37" t="inlineStr">
        <is>
          <t>TXN-202608-042750</t>
        </is>
      </c>
      <c r="B701" s="37" t="inlineStr">
        <is>
          <t>AC-GW-0119</t>
        </is>
      </c>
      <c r="C701" s="37" t="inlineStr">
        <is>
          <t>WL-01624</t>
        </is>
      </c>
      <c r="D701" s="37" t="inlineStr">
        <is>
          <t>GW-0119</t>
        </is>
      </c>
      <c r="E701" s="37" t="inlineStr">
        <is>
          <t>Gullwing</t>
        </is>
      </c>
      <c r="F701" s="37" t="n">
        <v>38</v>
      </c>
      <c r="G701" s="37" t="n">
        <v>1</v>
      </c>
      <c r="H701" s="37" t="n">
        <v>38</v>
      </c>
      <c r="I701" s="37" t="n">
        <v>7.55</v>
      </c>
      <c r="J701" s="37" t="n">
        <v>286.9</v>
      </c>
    </row>
    <row r="702">
      <c r="A702" s="37" t="inlineStr">
        <is>
          <t>TXN-202608-042798</t>
        </is>
      </c>
      <c r="B702" s="37" t="inlineStr">
        <is>
          <t>AC-GW-0120</t>
        </is>
      </c>
      <c r="C702" s="37" t="inlineStr">
        <is>
          <t>WL-01224</t>
        </is>
      </c>
      <c r="D702" s="37" t="inlineStr">
        <is>
          <t>GW-0120</t>
        </is>
      </c>
      <c r="E702" s="37" t="inlineStr">
        <is>
          <t>Gullwing</t>
        </is>
      </c>
      <c r="F702" s="37" t="n">
        <v>50</v>
      </c>
      <c r="G702" s="37" t="n">
        <v>1</v>
      </c>
      <c r="H702" s="37" t="n">
        <v>50</v>
      </c>
      <c r="I702" s="37" t="n">
        <v>7.55</v>
      </c>
      <c r="J702" s="37" t="n">
        <v>377.5</v>
      </c>
    </row>
    <row r="703">
      <c r="A703" s="37" t="inlineStr">
        <is>
          <t>TXN-202608-042875</t>
        </is>
      </c>
      <c r="B703" s="37" t="inlineStr">
        <is>
          <t>AC-GW-0121</t>
        </is>
      </c>
      <c r="C703" s="37" t="inlineStr">
        <is>
          <t>WL-01763</t>
        </is>
      </c>
      <c r="D703" s="37" t="inlineStr">
        <is>
          <t>GW-0121</t>
        </is>
      </c>
      <c r="E703" s="37" t="inlineStr">
        <is>
          <t>Gullwing</t>
        </is>
      </c>
      <c r="F703" s="37" t="n">
        <v>41</v>
      </c>
      <c r="G703" s="37" t="n">
        <v>1</v>
      </c>
      <c r="H703" s="37" t="n">
        <v>41</v>
      </c>
      <c r="I703" s="37" t="n">
        <v>7.55</v>
      </c>
      <c r="J703" s="37" t="n">
        <v>309.55</v>
      </c>
    </row>
    <row r="704">
      <c r="A704" s="37" t="inlineStr">
        <is>
          <t>TXN-202608-042943</t>
        </is>
      </c>
      <c r="B704" s="37" t="inlineStr">
        <is>
          <t>AC-GW-0122</t>
        </is>
      </c>
      <c r="C704" s="37" t="inlineStr">
        <is>
          <t>WL-01683</t>
        </is>
      </c>
      <c r="D704" s="37" t="inlineStr">
        <is>
          <t>GW-0122</t>
        </is>
      </c>
      <c r="E704" s="37" t="inlineStr">
        <is>
          <t>Gullwing</t>
        </is>
      </c>
      <c r="F704" s="37" t="n">
        <v>32</v>
      </c>
      <c r="G704" s="37" t="n">
        <v>1</v>
      </c>
      <c r="H704" s="37" t="n">
        <v>32</v>
      </c>
      <c r="I704" s="37" t="n">
        <v>7.55</v>
      </c>
      <c r="J704" s="37" t="n">
        <v>241.6</v>
      </c>
    </row>
    <row r="705">
      <c r="A705" s="37" t="inlineStr">
        <is>
          <t>TXN-202608-043005</t>
        </is>
      </c>
      <c r="B705" s="37" t="inlineStr">
        <is>
          <t>AC-GW-0123</t>
        </is>
      </c>
      <c r="C705" s="37" t="inlineStr">
        <is>
          <t>WL-03611</t>
        </is>
      </c>
      <c r="D705" s="37" t="inlineStr">
        <is>
          <t>GW-0123</t>
        </is>
      </c>
      <c r="E705" s="37" t="inlineStr">
        <is>
          <t>Gullwing</t>
        </is>
      </c>
      <c r="F705" s="37" t="n">
        <v>80</v>
      </c>
      <c r="G705" s="37" t="n">
        <v>1</v>
      </c>
      <c r="H705" s="37" t="n">
        <v>80</v>
      </c>
      <c r="I705" s="37" t="n">
        <v>7.55</v>
      </c>
      <c r="J705" s="37" t="n">
        <v>604</v>
      </c>
    </row>
    <row r="706">
      <c r="A706" s="37" t="inlineStr">
        <is>
          <t>TXN-202608-043082</t>
        </is>
      </c>
      <c r="B706" s="37" t="inlineStr">
        <is>
          <t>AC-GW-0201</t>
        </is>
      </c>
      <c r="C706" s="37" t="inlineStr">
        <is>
          <t>WL-01782</t>
        </is>
      </c>
      <c r="D706" s="37" t="inlineStr">
        <is>
          <t>GW-0201</t>
        </is>
      </c>
      <c r="E706" s="37" t="inlineStr">
        <is>
          <t>Gullwing</t>
        </is>
      </c>
      <c r="F706" s="37" t="n">
        <v>37</v>
      </c>
      <c r="G706" s="37" t="n">
        <v>1</v>
      </c>
      <c r="H706" s="37" t="n">
        <v>37</v>
      </c>
      <c r="I706" s="37" t="n">
        <v>7.55</v>
      </c>
      <c r="J706" s="37" t="n">
        <v>279.35</v>
      </c>
    </row>
    <row r="707">
      <c r="A707" s="37" t="inlineStr">
        <is>
          <t>TXN-202608-043120</t>
        </is>
      </c>
      <c r="B707" s="37" t="inlineStr">
        <is>
          <t>AC-GW-0202</t>
        </is>
      </c>
      <c r="C707" s="37" t="inlineStr">
        <is>
          <t>WL-03086</t>
        </is>
      </c>
      <c r="D707" s="37" t="inlineStr">
        <is>
          <t>GW-0202</t>
        </is>
      </c>
      <c r="E707" s="37" t="inlineStr">
        <is>
          <t>Gullwing</t>
        </is>
      </c>
      <c r="F707" s="37" t="n">
        <v>80</v>
      </c>
      <c r="G707" s="37" t="n">
        <v>1</v>
      </c>
      <c r="H707" s="37" t="n">
        <v>80</v>
      </c>
      <c r="I707" s="37" t="n">
        <v>7.55</v>
      </c>
      <c r="J707" s="37" t="n">
        <v>604</v>
      </c>
    </row>
    <row r="708">
      <c r="A708" s="37" t="inlineStr">
        <is>
          <t>TXN-202608-043165</t>
        </is>
      </c>
      <c r="B708" s="37" t="inlineStr">
        <is>
          <t>AC-GW-0204</t>
        </is>
      </c>
      <c r="C708" s="37" t="inlineStr">
        <is>
          <t>WL-02069</t>
        </is>
      </c>
      <c r="D708" s="37" t="inlineStr">
        <is>
          <t>GW-0204</t>
        </is>
      </c>
      <c r="E708" s="37" t="inlineStr">
        <is>
          <t>Gullwing</t>
        </is>
      </c>
      <c r="F708" s="37" t="n">
        <v>32</v>
      </c>
      <c r="G708" s="37" t="n">
        <v>1</v>
      </c>
      <c r="H708" s="37" t="n">
        <v>32</v>
      </c>
      <c r="I708" s="37" t="n">
        <v>7.55</v>
      </c>
      <c r="J708" s="37" t="n">
        <v>241.6</v>
      </c>
    </row>
    <row r="709">
      <c r="A709" s="37" t="inlineStr">
        <is>
          <t>TXN-202608-043218</t>
        </is>
      </c>
      <c r="B709" s="37" t="inlineStr">
        <is>
          <t>AC-GW-0205</t>
        </is>
      </c>
      <c r="C709" s="37" t="inlineStr">
        <is>
          <t>WL-01865</t>
        </is>
      </c>
      <c r="D709" s="37" t="inlineStr">
        <is>
          <t>GW-0205</t>
        </is>
      </c>
      <c r="E709" s="37" t="inlineStr">
        <is>
          <t>Gullwing</t>
        </is>
      </c>
      <c r="F709" s="37" t="n">
        <v>50</v>
      </c>
      <c r="G709" s="37" t="n">
        <v>1</v>
      </c>
      <c r="H709" s="37" t="n">
        <v>50</v>
      </c>
      <c r="I709" s="37" t="n">
        <v>7.55</v>
      </c>
      <c r="J709" s="37" t="n">
        <v>377.5</v>
      </c>
    </row>
    <row r="710">
      <c r="A710" s="37" t="inlineStr">
        <is>
          <t>TXN-202608-043290</t>
        </is>
      </c>
      <c r="B710" s="37" t="inlineStr">
        <is>
          <t>AC-GW-0206</t>
        </is>
      </c>
      <c r="C710" s="37" t="inlineStr">
        <is>
          <t>WL-03352</t>
        </is>
      </c>
      <c r="D710" s="37" t="inlineStr">
        <is>
          <t>GW-0206</t>
        </is>
      </c>
      <c r="E710" s="37" t="inlineStr">
        <is>
          <t>Gullwing</t>
        </is>
      </c>
      <c r="F710" s="37" t="n">
        <v>56</v>
      </c>
      <c r="G710" s="37" t="n">
        <v>1</v>
      </c>
      <c r="H710" s="37" t="n">
        <v>56</v>
      </c>
      <c r="I710" s="37" t="n">
        <v>7.55</v>
      </c>
      <c r="J710" s="37" t="n">
        <v>422.8</v>
      </c>
    </row>
    <row r="711">
      <c r="A711" s="37" t="inlineStr">
        <is>
          <t>TXN-202608-043364</t>
        </is>
      </c>
      <c r="B711" s="37" t="inlineStr">
        <is>
          <t>AC-GW-0207</t>
        </is>
      </c>
      <c r="C711" s="37" t="inlineStr">
        <is>
          <t>WL-01291</t>
        </is>
      </c>
      <c r="D711" s="37" t="inlineStr">
        <is>
          <t>GW-0207</t>
        </is>
      </c>
      <c r="E711" s="37" t="inlineStr">
        <is>
          <t>Gullwing</t>
        </is>
      </c>
      <c r="F711" s="37" t="n">
        <v>53</v>
      </c>
      <c r="G711" s="37" t="n">
        <v>1</v>
      </c>
      <c r="H711" s="37" t="n">
        <v>53</v>
      </c>
      <c r="I711" s="37" t="n">
        <v>7.55</v>
      </c>
      <c r="J711" s="37" t="n">
        <v>400.15</v>
      </c>
    </row>
    <row r="712">
      <c r="A712" s="37" t="inlineStr">
        <is>
          <t>TXN-202608-043433</t>
        </is>
      </c>
      <c r="B712" s="37" t="inlineStr">
        <is>
          <t>AC-GW-0208</t>
        </is>
      </c>
      <c r="C712" s="37" t="inlineStr">
        <is>
          <t>WL-02505</t>
        </is>
      </c>
      <c r="D712" s="37" t="inlineStr">
        <is>
          <t>GW-0208</t>
        </is>
      </c>
      <c r="E712" s="37" t="inlineStr">
        <is>
          <t>Gullwing</t>
        </is>
      </c>
      <c r="F712" s="37" t="n">
        <v>58</v>
      </c>
      <c r="G712" s="37" t="n">
        <v>1</v>
      </c>
      <c r="H712" s="37" t="n">
        <v>58</v>
      </c>
      <c r="I712" s="37" t="n">
        <v>7.55</v>
      </c>
      <c r="J712" s="37" t="n">
        <v>437.9</v>
      </c>
    </row>
    <row r="713">
      <c r="A713" s="37" t="inlineStr">
        <is>
          <t>TXN-202608-043504</t>
        </is>
      </c>
      <c r="B713" s="37" t="inlineStr">
        <is>
          <t>AC-GW-0209</t>
        </is>
      </c>
      <c r="C713" s="37" t="inlineStr">
        <is>
          <t>WL-01421</t>
        </is>
      </c>
      <c r="D713" s="37" t="inlineStr">
        <is>
          <t>GW-0209</t>
        </is>
      </c>
      <c r="E713" s="37" t="inlineStr">
        <is>
          <t>Gullwing</t>
        </is>
      </c>
      <c r="F713" s="37" t="n">
        <v>40</v>
      </c>
      <c r="G713" s="37" t="n">
        <v>1</v>
      </c>
      <c r="H713" s="37" t="n">
        <v>40</v>
      </c>
      <c r="I713" s="37" t="n">
        <v>7.55</v>
      </c>
      <c r="J713" s="37" t="n">
        <v>302</v>
      </c>
    </row>
    <row r="714">
      <c r="A714" s="37" t="inlineStr">
        <is>
          <t>TXN-202608-043553</t>
        </is>
      </c>
      <c r="B714" s="37" t="inlineStr">
        <is>
          <t>AC-GW-0210</t>
        </is>
      </c>
      <c r="C714" s="37" t="inlineStr">
        <is>
          <t>WL-03832</t>
        </is>
      </c>
      <c r="D714" s="37" t="inlineStr">
        <is>
          <t>GW-0210</t>
        </is>
      </c>
      <c r="E714" s="37" t="inlineStr">
        <is>
          <t>Gullwing</t>
        </is>
      </c>
      <c r="F714" s="37" t="n">
        <v>40</v>
      </c>
      <c r="G714" s="37" t="n">
        <v>1</v>
      </c>
      <c r="H714" s="37" t="n">
        <v>40</v>
      </c>
      <c r="I714" s="37" t="n">
        <v>7.55</v>
      </c>
      <c r="J714" s="37" t="n">
        <v>302</v>
      </c>
    </row>
    <row r="715">
      <c r="A715" s="37" t="inlineStr">
        <is>
          <t>TXN-202608-043601</t>
        </is>
      </c>
      <c r="B715" s="37" t="inlineStr">
        <is>
          <t>AC-GW-0211</t>
        </is>
      </c>
      <c r="C715" s="37" t="inlineStr">
        <is>
          <t>WL-03139</t>
        </is>
      </c>
      <c r="D715" s="37" t="inlineStr">
        <is>
          <t>GW-0211</t>
        </is>
      </c>
      <c r="E715" s="37" t="inlineStr">
        <is>
          <t>Gullwing</t>
        </is>
      </c>
      <c r="F715" s="37" t="n">
        <v>28</v>
      </c>
      <c r="G715" s="37" t="n">
        <v>1</v>
      </c>
      <c r="H715" s="37" t="n">
        <v>28</v>
      </c>
      <c r="I715" s="37" t="n">
        <v>7.55</v>
      </c>
      <c r="J715" s="37" t="n">
        <v>211.4</v>
      </c>
    </row>
    <row r="716">
      <c r="A716" s="37" t="inlineStr">
        <is>
          <t>TXN-202608-043650</t>
        </is>
      </c>
      <c r="B716" s="37" t="inlineStr">
        <is>
          <t>AC-GW-0212</t>
        </is>
      </c>
      <c r="C716" s="37" t="inlineStr">
        <is>
          <t>WL-02184</t>
        </is>
      </c>
      <c r="D716" s="37" t="inlineStr">
        <is>
          <t>GW-0212</t>
        </is>
      </c>
      <c r="E716" s="37" t="inlineStr">
        <is>
          <t>Gullwing</t>
        </is>
      </c>
      <c r="F716" s="37" t="n">
        <v>60</v>
      </c>
      <c r="G716" s="37" t="n">
        <v>1</v>
      </c>
      <c r="H716" s="37" t="n">
        <v>60</v>
      </c>
      <c r="I716" s="37" t="n">
        <v>7.55</v>
      </c>
      <c r="J716" s="37" t="n">
        <v>453</v>
      </c>
    </row>
    <row r="717">
      <c r="A717" s="37" t="inlineStr">
        <is>
          <t>TXN-202608-043708</t>
        </is>
      </c>
      <c r="B717" s="37" t="inlineStr">
        <is>
          <t>AC-GW-0213</t>
        </is>
      </c>
      <c r="C717" s="37" t="inlineStr">
        <is>
          <t>WL-02363</t>
        </is>
      </c>
      <c r="D717" s="37" t="inlineStr">
        <is>
          <t>GW-0213</t>
        </is>
      </c>
      <c r="E717" s="37" t="inlineStr">
        <is>
          <t>Gullwing</t>
        </is>
      </c>
      <c r="F717" s="37" t="n">
        <v>29</v>
      </c>
      <c r="G717" s="37" t="n">
        <v>1</v>
      </c>
      <c r="H717" s="37" t="n">
        <v>29</v>
      </c>
      <c r="I717" s="37" t="n">
        <v>7.55</v>
      </c>
      <c r="J717" s="37" t="n">
        <v>218.95</v>
      </c>
    </row>
    <row r="718">
      <c r="A718" s="37" t="inlineStr">
        <is>
          <t>TXN-202608-043776</t>
        </is>
      </c>
      <c r="B718" s="37" t="inlineStr">
        <is>
          <t>AC-GW-0214</t>
        </is>
      </c>
      <c r="C718" s="37" t="inlineStr">
        <is>
          <t>WL-03720</t>
        </is>
      </c>
      <c r="D718" s="37" t="inlineStr">
        <is>
          <t>GW-0214</t>
        </is>
      </c>
      <c r="E718" s="37" t="inlineStr">
        <is>
          <t>Gullwing</t>
        </is>
      </c>
      <c r="F718" s="37" t="n">
        <v>26</v>
      </c>
      <c r="G718" s="37" t="n">
        <v>1</v>
      </c>
      <c r="H718" s="37" t="n">
        <v>26</v>
      </c>
      <c r="I718" s="37" t="n">
        <v>7.55</v>
      </c>
      <c r="J718" s="37" t="n">
        <v>196.3</v>
      </c>
    </row>
    <row r="719">
      <c r="A719" s="37" t="inlineStr">
        <is>
          <t>TXN-202608-043820</t>
        </is>
      </c>
      <c r="B719" s="37" t="inlineStr">
        <is>
          <t>AC-GW-0215</t>
        </is>
      </c>
      <c r="C719" s="37" t="inlineStr">
        <is>
          <t>WL-01436</t>
        </is>
      </c>
      <c r="D719" s="37" t="inlineStr">
        <is>
          <t>GW-0215</t>
        </is>
      </c>
      <c r="E719" s="37" t="inlineStr">
        <is>
          <t>Gullwing</t>
        </is>
      </c>
      <c r="F719" s="37" t="n">
        <v>34</v>
      </c>
      <c r="G719" s="37" t="n">
        <v>1</v>
      </c>
      <c r="H719" s="37" t="n">
        <v>34</v>
      </c>
      <c r="I719" s="37" t="n">
        <v>7.55</v>
      </c>
      <c r="J719" s="37" t="n">
        <v>256.7</v>
      </c>
    </row>
    <row r="720">
      <c r="A720" s="37" t="inlineStr">
        <is>
          <t>TXN-202608-043872</t>
        </is>
      </c>
      <c r="B720" s="37" t="inlineStr">
        <is>
          <t>AC-GW-0216</t>
        </is>
      </c>
      <c r="C720" s="37" t="inlineStr">
        <is>
          <t>WL-03614</t>
        </is>
      </c>
      <c r="D720" s="37" t="inlineStr">
        <is>
          <t>GW-0216</t>
        </is>
      </c>
      <c r="E720" s="37" t="inlineStr">
        <is>
          <t>Gullwing</t>
        </is>
      </c>
      <c r="F720" s="37" t="n">
        <v>80</v>
      </c>
      <c r="G720" s="37" t="n">
        <v>1</v>
      </c>
      <c r="H720" s="37" t="n">
        <v>80</v>
      </c>
      <c r="I720" s="37" t="n">
        <v>7.55</v>
      </c>
      <c r="J720" s="37" t="n">
        <v>604</v>
      </c>
    </row>
    <row r="721">
      <c r="A721" s="37" t="inlineStr">
        <is>
          <t>TXN-202608-043913</t>
        </is>
      </c>
      <c r="B721" s="37" t="inlineStr">
        <is>
          <t>AC-GW-0217</t>
        </is>
      </c>
      <c r="C721" s="37" t="inlineStr">
        <is>
          <t>WL-02984</t>
        </is>
      </c>
      <c r="D721" s="37" t="inlineStr">
        <is>
          <t>GW-0217</t>
        </is>
      </c>
      <c r="E721" s="37" t="inlineStr">
        <is>
          <t>Gullwing</t>
        </is>
      </c>
      <c r="F721" s="37" t="n">
        <v>80</v>
      </c>
      <c r="G721" s="37" t="n">
        <v>1</v>
      </c>
      <c r="H721" s="37" t="n">
        <v>80</v>
      </c>
      <c r="I721" s="37" t="n">
        <v>7.55</v>
      </c>
      <c r="J721" s="37" t="n">
        <v>604</v>
      </c>
    </row>
    <row r="722">
      <c r="A722" s="37" t="inlineStr">
        <is>
          <t>TXN-202608-043987</t>
        </is>
      </c>
      <c r="B722" s="37" t="inlineStr">
        <is>
          <t>AC-GW-0218</t>
        </is>
      </c>
      <c r="C722" s="37" t="inlineStr">
        <is>
          <t>WL-01556</t>
        </is>
      </c>
      <c r="D722" s="37" t="inlineStr">
        <is>
          <t>GW-0218</t>
        </is>
      </c>
      <c r="E722" s="37" t="inlineStr">
        <is>
          <t>Gullwing</t>
        </is>
      </c>
      <c r="F722" s="37" t="n">
        <v>60</v>
      </c>
      <c r="G722" s="37" t="n">
        <v>1</v>
      </c>
      <c r="H722" s="37" t="n">
        <v>60</v>
      </c>
      <c r="I722" s="37" t="n">
        <v>7.55</v>
      </c>
      <c r="J722" s="37" t="n">
        <v>453</v>
      </c>
    </row>
    <row r="723">
      <c r="A723" s="37" t="inlineStr">
        <is>
          <t>TXN-202608-044062</t>
        </is>
      </c>
      <c r="B723" s="37" t="inlineStr">
        <is>
          <t>AC-GW-0220</t>
        </is>
      </c>
      <c r="C723" s="37" t="inlineStr">
        <is>
          <t>WL-02436</t>
        </is>
      </c>
      <c r="D723" s="37" t="inlineStr">
        <is>
          <t>GW-0220</t>
        </is>
      </c>
      <c r="E723" s="37" t="inlineStr">
        <is>
          <t>Gullwing</t>
        </is>
      </c>
      <c r="F723" s="37" t="n">
        <v>60</v>
      </c>
      <c r="G723" s="37" t="n">
        <v>1</v>
      </c>
      <c r="H723" s="37" t="n">
        <v>60</v>
      </c>
      <c r="I723" s="37" t="n">
        <v>7.55</v>
      </c>
      <c r="J723" s="37" t="n">
        <v>453</v>
      </c>
    </row>
    <row r="724">
      <c r="A724" s="37" t="inlineStr">
        <is>
          <t>TXN-202608-044102</t>
        </is>
      </c>
      <c r="B724" s="37" t="inlineStr">
        <is>
          <t>AC-GW-0221</t>
        </is>
      </c>
      <c r="C724" s="37" t="inlineStr">
        <is>
          <t>WL-02319</t>
        </is>
      </c>
      <c r="D724" s="37" t="inlineStr">
        <is>
          <t>GW-0221</t>
        </is>
      </c>
      <c r="E724" s="37" t="inlineStr">
        <is>
          <t>Gullwing</t>
        </is>
      </c>
      <c r="F724" s="37" t="n">
        <v>80</v>
      </c>
      <c r="G724" s="37" t="n">
        <v>1</v>
      </c>
      <c r="H724" s="37" t="n">
        <v>80</v>
      </c>
      <c r="I724" s="37" t="n">
        <v>7.55</v>
      </c>
      <c r="J724" s="37" t="n">
        <v>604</v>
      </c>
    </row>
    <row r="725">
      <c r="A725" s="37" t="inlineStr">
        <is>
          <t>TXN-202608-044147</t>
        </is>
      </c>
      <c r="B725" s="37" t="inlineStr">
        <is>
          <t>AC-GW-0222</t>
        </is>
      </c>
      <c r="C725" s="37" t="inlineStr">
        <is>
          <t>WL-01365</t>
        </is>
      </c>
      <c r="D725" s="37" t="inlineStr">
        <is>
          <t>GW-0222</t>
        </is>
      </c>
      <c r="E725" s="37" t="inlineStr">
        <is>
          <t>Gullwing</t>
        </is>
      </c>
      <c r="F725" s="37" t="n">
        <v>60</v>
      </c>
      <c r="G725" s="37" t="n">
        <v>1</v>
      </c>
      <c r="H725" s="37" t="n">
        <v>60</v>
      </c>
      <c r="I725" s="37" t="n">
        <v>7.55</v>
      </c>
      <c r="J725" s="37" t="n">
        <v>453</v>
      </c>
    </row>
    <row r="726">
      <c r="A726" s="37" t="inlineStr">
        <is>
          <t>TXN-202608-044223</t>
        </is>
      </c>
      <c r="B726" s="37" t="inlineStr">
        <is>
          <t>AC-GW-0223</t>
        </is>
      </c>
      <c r="C726" s="37" t="inlineStr">
        <is>
          <t>WL-01975</t>
        </is>
      </c>
      <c r="D726" s="37" t="inlineStr">
        <is>
          <t>GW-0223</t>
        </is>
      </c>
      <c r="E726" s="37" t="inlineStr">
        <is>
          <t>Gullwing</t>
        </is>
      </c>
      <c r="F726" s="37" t="n">
        <v>46</v>
      </c>
      <c r="G726" s="37" t="n">
        <v>1</v>
      </c>
      <c r="H726" s="37" t="n">
        <v>46</v>
      </c>
      <c r="I726" s="37" t="n">
        <v>7.55</v>
      </c>
      <c r="J726" s="37" t="n">
        <v>347.3</v>
      </c>
    </row>
    <row r="727">
      <c r="A727" s="37" t="inlineStr">
        <is>
          <t>TXN-202608-044266</t>
        </is>
      </c>
      <c r="B727" s="37" t="inlineStr">
        <is>
          <t>AC-GW-0301</t>
        </is>
      </c>
      <c r="C727" s="37" t="inlineStr">
        <is>
          <t>WL-01964</t>
        </is>
      </c>
      <c r="D727" s="37" t="inlineStr">
        <is>
          <t>GW-0301</t>
        </is>
      </c>
      <c r="E727" s="37" t="inlineStr">
        <is>
          <t>Gullwing</t>
        </is>
      </c>
      <c r="F727" s="37" t="n">
        <v>33</v>
      </c>
      <c r="G727" s="37" t="n">
        <v>1</v>
      </c>
      <c r="H727" s="37" t="n">
        <v>33</v>
      </c>
      <c r="I727" s="37" t="n">
        <v>7.55</v>
      </c>
      <c r="J727" s="37" t="n">
        <v>249.15</v>
      </c>
    </row>
    <row r="728">
      <c r="A728" s="37" t="inlineStr">
        <is>
          <t>TXN-202608-044320</t>
        </is>
      </c>
      <c r="B728" s="37" t="inlineStr">
        <is>
          <t>AC-GW-0302</t>
        </is>
      </c>
      <c r="C728" s="37" t="inlineStr">
        <is>
          <t>WL-01735</t>
        </is>
      </c>
      <c r="D728" s="37" t="inlineStr">
        <is>
          <t>GW-0302</t>
        </is>
      </c>
      <c r="E728" s="37" t="inlineStr">
        <is>
          <t>Gullwing</t>
        </is>
      </c>
      <c r="F728" s="37" t="n">
        <v>56</v>
      </c>
      <c r="G728" s="37" t="n">
        <v>1</v>
      </c>
      <c r="H728" s="37" t="n">
        <v>56</v>
      </c>
      <c r="I728" s="37" t="n">
        <v>7.55</v>
      </c>
      <c r="J728" s="37" t="n">
        <v>422.8</v>
      </c>
    </row>
    <row r="729">
      <c r="A729" s="37" t="inlineStr">
        <is>
          <t>TXN-202608-044396</t>
        </is>
      </c>
      <c r="B729" s="37" t="inlineStr">
        <is>
          <t>AC-GW-0303</t>
        </is>
      </c>
      <c r="C729" s="37" t="inlineStr">
        <is>
          <t>WL-02091</t>
        </is>
      </c>
      <c r="D729" s="37" t="inlineStr">
        <is>
          <t>GW-0303</t>
        </is>
      </c>
      <c r="E729" s="37" t="inlineStr">
        <is>
          <t>Gullwing</t>
        </is>
      </c>
      <c r="F729" s="37" t="n">
        <v>30</v>
      </c>
      <c r="G729" s="37" t="n">
        <v>1</v>
      </c>
      <c r="H729" s="37" t="n">
        <v>30</v>
      </c>
      <c r="I729" s="37" t="n">
        <v>7.55</v>
      </c>
      <c r="J729" s="37" t="n">
        <v>226.5</v>
      </c>
    </row>
    <row r="730">
      <c r="A730" s="37" t="inlineStr">
        <is>
          <t>TXN-202608-044473</t>
        </is>
      </c>
      <c r="B730" s="37" t="inlineStr">
        <is>
          <t>AC-GW-0304</t>
        </is>
      </c>
      <c r="C730" s="37" t="inlineStr">
        <is>
          <t>WL-01040</t>
        </is>
      </c>
      <c r="D730" s="37" t="inlineStr">
        <is>
          <t>GW-0304</t>
        </is>
      </c>
      <c r="E730" s="37" t="inlineStr">
        <is>
          <t>Gullwing</t>
        </is>
      </c>
      <c r="F730" s="37" t="n">
        <v>36</v>
      </c>
      <c r="G730" s="37" t="n">
        <v>1</v>
      </c>
      <c r="H730" s="37" t="n">
        <v>36</v>
      </c>
      <c r="I730" s="37" t="n">
        <v>7.55</v>
      </c>
      <c r="J730" s="37" t="n">
        <v>271.8</v>
      </c>
    </row>
    <row r="731">
      <c r="A731" s="37" t="inlineStr">
        <is>
          <t>TXN-202608-044521</t>
        </is>
      </c>
      <c r="B731" s="37" t="inlineStr">
        <is>
          <t>AC-GW-0305</t>
        </is>
      </c>
      <c r="C731" s="37" t="inlineStr">
        <is>
          <t>WL-02528</t>
        </is>
      </c>
      <c r="D731" s="37" t="inlineStr">
        <is>
          <t>GW-0305</t>
        </is>
      </c>
      <c r="E731" s="37" t="inlineStr">
        <is>
          <t>Gullwing</t>
        </is>
      </c>
      <c r="F731" s="37" t="n">
        <v>80</v>
      </c>
      <c r="G731" s="37" t="n">
        <v>1</v>
      </c>
      <c r="H731" s="37" t="n">
        <v>80</v>
      </c>
      <c r="I731" s="37" t="n">
        <v>7.55</v>
      </c>
      <c r="J731" s="37" t="n">
        <v>604</v>
      </c>
    </row>
    <row r="732">
      <c r="A732" s="37" t="inlineStr">
        <is>
          <t>TXN-202608-044594</t>
        </is>
      </c>
      <c r="B732" s="37" t="inlineStr">
        <is>
          <t>AC-GW-0306</t>
        </is>
      </c>
      <c r="C732" s="37" t="inlineStr">
        <is>
          <t>WL-02723</t>
        </is>
      </c>
      <c r="D732" s="37" t="inlineStr">
        <is>
          <t>GW-0306</t>
        </is>
      </c>
      <c r="E732" s="37" t="inlineStr">
        <is>
          <t>Gullwing</t>
        </is>
      </c>
      <c r="F732" s="37" t="n">
        <v>47</v>
      </c>
      <c r="G732" s="37" t="n">
        <v>1</v>
      </c>
      <c r="H732" s="37" t="n">
        <v>47</v>
      </c>
      <c r="I732" s="37" t="n">
        <v>7.55</v>
      </c>
      <c r="J732" s="37" t="n">
        <v>354.85</v>
      </c>
    </row>
    <row r="733">
      <c r="A733" s="37" t="inlineStr">
        <is>
          <t>TXN-202608-044671</t>
        </is>
      </c>
      <c r="B733" s="37" t="inlineStr">
        <is>
          <t>AC-GW-0307</t>
        </is>
      </c>
      <c r="C733" s="37" t="inlineStr">
        <is>
          <t>WL-02437</t>
        </is>
      </c>
      <c r="D733" s="37" t="inlineStr">
        <is>
          <t>GW-0307</t>
        </is>
      </c>
      <c r="E733" s="37" t="inlineStr">
        <is>
          <t>Gullwing</t>
        </is>
      </c>
      <c r="F733" s="37" t="n">
        <v>42</v>
      </c>
      <c r="G733" s="37" t="n">
        <v>1</v>
      </c>
      <c r="H733" s="37" t="n">
        <v>42</v>
      </c>
      <c r="I733" s="37" t="n">
        <v>7.55</v>
      </c>
      <c r="J733" s="37" t="n">
        <v>317.1</v>
      </c>
    </row>
    <row r="734">
      <c r="A734" s="37" t="inlineStr">
        <is>
          <t>TXN-202608-044734</t>
        </is>
      </c>
      <c r="B734" s="37" t="inlineStr">
        <is>
          <t>AC-GW-0308</t>
        </is>
      </c>
      <c r="C734" s="37" t="inlineStr">
        <is>
          <t>WL-01165</t>
        </is>
      </c>
      <c r="D734" s="37" t="inlineStr">
        <is>
          <t>GW-0308</t>
        </is>
      </c>
      <c r="E734" s="37" t="inlineStr">
        <is>
          <t>Gullwing</t>
        </is>
      </c>
      <c r="F734" s="37" t="n">
        <v>60</v>
      </c>
      <c r="G734" s="37" t="n">
        <v>1</v>
      </c>
      <c r="H734" s="37" t="n">
        <v>60</v>
      </c>
      <c r="I734" s="37" t="n">
        <v>7.55</v>
      </c>
      <c r="J734" s="37" t="n">
        <v>453</v>
      </c>
    </row>
    <row r="735">
      <c r="A735" s="37" t="inlineStr">
        <is>
          <t>TXN-202608-044781</t>
        </is>
      </c>
      <c r="B735" s="37" t="inlineStr">
        <is>
          <t>AC-GW-0309</t>
        </is>
      </c>
      <c r="C735" s="37" t="inlineStr">
        <is>
          <t>WL-03290</t>
        </is>
      </c>
      <c r="D735" s="37" t="inlineStr">
        <is>
          <t>GW-0309</t>
        </is>
      </c>
      <c r="E735" s="37" t="inlineStr">
        <is>
          <t>Gullwing</t>
        </is>
      </c>
      <c r="F735" s="37" t="n">
        <v>49</v>
      </c>
      <c r="G735" s="37" t="n">
        <v>1</v>
      </c>
      <c r="H735" s="37" t="n">
        <v>49</v>
      </c>
      <c r="I735" s="37" t="n">
        <v>7.55</v>
      </c>
      <c r="J735" s="37" t="n">
        <v>369.95</v>
      </c>
    </row>
    <row r="736">
      <c r="A736" s="37" t="inlineStr">
        <is>
          <t>TXN-202608-044859</t>
        </is>
      </c>
      <c r="B736" s="37" t="inlineStr">
        <is>
          <t>AC-GW-0310</t>
        </is>
      </c>
      <c r="C736" s="37" t="inlineStr">
        <is>
          <t>WL-03315</t>
        </is>
      </c>
      <c r="D736" s="37" t="inlineStr">
        <is>
          <t>GW-0310</t>
        </is>
      </c>
      <c r="E736" s="37" t="inlineStr">
        <is>
          <t>Gullwing</t>
        </is>
      </c>
      <c r="F736" s="37" t="n">
        <v>36</v>
      </c>
      <c r="G736" s="37" t="n">
        <v>1</v>
      </c>
      <c r="H736" s="37" t="n">
        <v>36</v>
      </c>
      <c r="I736" s="37" t="n">
        <v>7.55</v>
      </c>
      <c r="J736" s="37" t="n">
        <v>271.8</v>
      </c>
    </row>
    <row r="737">
      <c r="A737" s="37" t="inlineStr">
        <is>
          <t>TXN-202608-044897</t>
        </is>
      </c>
      <c r="B737" s="37" t="inlineStr">
        <is>
          <t>AC-GW-0312</t>
        </is>
      </c>
      <c r="C737" s="37" t="inlineStr">
        <is>
          <t>WL-01955</t>
        </is>
      </c>
      <c r="D737" s="37" t="inlineStr">
        <is>
          <t>GW-0312</t>
        </is>
      </c>
      <c r="E737" s="37" t="inlineStr">
        <is>
          <t>Gullwing</t>
        </is>
      </c>
      <c r="F737" s="37" t="n">
        <v>70</v>
      </c>
      <c r="G737" s="37" t="n">
        <v>1</v>
      </c>
      <c r="H737" s="37" t="n">
        <v>70</v>
      </c>
      <c r="I737" s="37" t="n">
        <v>7.55</v>
      </c>
      <c r="J737" s="37" t="n">
        <v>528.5</v>
      </c>
    </row>
    <row r="738">
      <c r="A738" s="37" t="inlineStr">
        <is>
          <t>TXN-202608-044957</t>
        </is>
      </c>
      <c r="B738" s="37" t="inlineStr">
        <is>
          <t>AC-GW-0313</t>
        </is>
      </c>
      <c r="C738" s="37" t="inlineStr">
        <is>
          <t>WL-03455</t>
        </is>
      </c>
      <c r="D738" s="37" t="inlineStr">
        <is>
          <t>GW-0313</t>
        </is>
      </c>
      <c r="E738" s="37" t="inlineStr">
        <is>
          <t>Gullwing</t>
        </is>
      </c>
      <c r="F738" s="37" t="n">
        <v>61</v>
      </c>
      <c r="G738" s="37" t="n">
        <v>1</v>
      </c>
      <c r="H738" s="37" t="n">
        <v>61</v>
      </c>
      <c r="I738" s="37" t="n">
        <v>7.55</v>
      </c>
      <c r="J738" s="37" t="n">
        <v>460.55</v>
      </c>
    </row>
    <row r="739">
      <c r="A739" s="37" t="inlineStr">
        <is>
          <t>TXN-202608-045025</t>
        </is>
      </c>
      <c r="B739" s="37" t="inlineStr">
        <is>
          <t>AC-GW-0315</t>
        </is>
      </c>
      <c r="C739" s="37" t="inlineStr">
        <is>
          <t>WL-03306</t>
        </is>
      </c>
      <c r="D739" s="37" t="inlineStr">
        <is>
          <t>GW-0315</t>
        </is>
      </c>
      <c r="E739" s="37" t="inlineStr">
        <is>
          <t>Gullwing</t>
        </is>
      </c>
      <c r="F739" s="37" t="n">
        <v>59</v>
      </c>
      <c r="G739" s="37" t="n">
        <v>1</v>
      </c>
      <c r="H739" s="37" t="n">
        <v>59</v>
      </c>
      <c r="I739" s="37" t="n">
        <v>7.55</v>
      </c>
      <c r="J739" s="37" t="n">
        <v>445.45</v>
      </c>
    </row>
    <row r="740">
      <c r="A740" s="37" t="inlineStr">
        <is>
          <t>TXN-202608-045074</t>
        </is>
      </c>
      <c r="B740" s="37" t="inlineStr">
        <is>
          <t>AC-GW-0316</t>
        </is>
      </c>
      <c r="C740" s="37" t="inlineStr">
        <is>
          <t>WL-01648</t>
        </is>
      </c>
      <c r="D740" s="37" t="inlineStr">
        <is>
          <t>GW-0316</t>
        </is>
      </c>
      <c r="E740" s="37" t="inlineStr">
        <is>
          <t>Gullwing</t>
        </is>
      </c>
      <c r="F740" s="37" t="n">
        <v>32</v>
      </c>
      <c r="G740" s="37" t="n">
        <v>1</v>
      </c>
      <c r="H740" s="37" t="n">
        <v>32</v>
      </c>
      <c r="I740" s="37" t="n">
        <v>7.55</v>
      </c>
      <c r="J740" s="37" t="n">
        <v>241.6</v>
      </c>
    </row>
    <row r="741">
      <c r="A741" s="37" t="inlineStr">
        <is>
          <t>TXN-202608-045115</t>
        </is>
      </c>
      <c r="B741" s="37" t="inlineStr">
        <is>
          <t>AC-GW-0317</t>
        </is>
      </c>
      <c r="C741" s="37" t="inlineStr">
        <is>
          <t>WL-02270</t>
        </is>
      </c>
      <c r="D741" s="37" t="inlineStr">
        <is>
          <t>GW-0317</t>
        </is>
      </c>
      <c r="E741" s="37" t="inlineStr">
        <is>
          <t>Gullwing</t>
        </is>
      </c>
      <c r="F741" s="37" t="n">
        <v>59</v>
      </c>
      <c r="G741" s="37" t="n">
        <v>1</v>
      </c>
      <c r="H741" s="37" t="n">
        <v>59</v>
      </c>
      <c r="I741" s="37" t="n">
        <v>7.55</v>
      </c>
      <c r="J741" s="37" t="n">
        <v>445.45</v>
      </c>
    </row>
    <row r="742">
      <c r="A742" s="37" t="inlineStr">
        <is>
          <t>TXN-202608-045187</t>
        </is>
      </c>
      <c r="B742" s="37" t="inlineStr">
        <is>
          <t>AC-GW-0318</t>
        </is>
      </c>
      <c r="C742" s="37" t="inlineStr">
        <is>
          <t>WL-01122</t>
        </is>
      </c>
      <c r="D742" s="37" t="inlineStr">
        <is>
          <t>GW-0318</t>
        </is>
      </c>
      <c r="E742" s="37" t="inlineStr">
        <is>
          <t>Gullwing</t>
        </is>
      </c>
      <c r="F742" s="37" t="n">
        <v>33</v>
      </c>
      <c r="G742" s="37" t="n">
        <v>1</v>
      </c>
      <c r="H742" s="37" t="n">
        <v>33</v>
      </c>
      <c r="I742" s="37" t="n">
        <v>7.55</v>
      </c>
      <c r="J742" s="37" t="n">
        <v>249.15</v>
      </c>
    </row>
    <row r="743">
      <c r="A743" s="37" t="inlineStr">
        <is>
          <t>TXN-202608-045258</t>
        </is>
      </c>
      <c r="B743" s="37" t="inlineStr">
        <is>
          <t>AC-GW-0320</t>
        </is>
      </c>
      <c r="C743" s="37" t="inlineStr">
        <is>
          <t>WL-01487</t>
        </is>
      </c>
      <c r="D743" s="37" t="inlineStr">
        <is>
          <t>GW-0320</t>
        </is>
      </c>
      <c r="E743" s="37" t="inlineStr">
        <is>
          <t>Gullwing</t>
        </is>
      </c>
      <c r="F743" s="37" t="n">
        <v>43</v>
      </c>
      <c r="G743" s="37" t="n">
        <v>1</v>
      </c>
      <c r="H743" s="37" t="n">
        <v>43</v>
      </c>
      <c r="I743" s="37" t="n">
        <v>7.55</v>
      </c>
      <c r="J743" s="37" t="n">
        <v>324.65</v>
      </c>
    </row>
    <row r="744">
      <c r="A744" s="37" t="inlineStr">
        <is>
          <t>TXN-202608-045303</t>
        </is>
      </c>
      <c r="B744" s="37" t="inlineStr">
        <is>
          <t>AC-GW-0321</t>
        </is>
      </c>
      <c r="C744" s="37" t="inlineStr">
        <is>
          <t>WL-02922</t>
        </is>
      </c>
      <c r="D744" s="37" t="inlineStr">
        <is>
          <t>GW-0321</t>
        </is>
      </c>
      <c r="E744" s="37" t="inlineStr">
        <is>
          <t>Gullwing</t>
        </is>
      </c>
      <c r="F744" s="37" t="n">
        <v>58</v>
      </c>
      <c r="G744" s="37" t="n">
        <v>1</v>
      </c>
      <c r="H744" s="37" t="n">
        <v>58</v>
      </c>
      <c r="I744" s="37" t="n">
        <v>7.55</v>
      </c>
      <c r="J744" s="37" t="n">
        <v>437.9</v>
      </c>
    </row>
    <row r="745">
      <c r="A745" s="37" t="inlineStr">
        <is>
          <t>TXN-202608-045363</t>
        </is>
      </c>
      <c r="B745" s="37" t="inlineStr">
        <is>
          <t>AC-GW-0322</t>
        </is>
      </c>
      <c r="C745" s="37" t="inlineStr">
        <is>
          <t>WL-01815</t>
        </is>
      </c>
      <c r="D745" s="37" t="inlineStr">
        <is>
          <t>GW-0322</t>
        </is>
      </c>
      <c r="E745" s="37" t="inlineStr">
        <is>
          <t>Gullwing</t>
        </is>
      </c>
      <c r="F745" s="37" t="n">
        <v>45</v>
      </c>
      <c r="G745" s="37" t="n">
        <v>1</v>
      </c>
      <c r="H745" s="37" t="n">
        <v>45</v>
      </c>
      <c r="I745" s="37" t="n">
        <v>7.55</v>
      </c>
      <c r="J745" s="37" t="n">
        <v>339.75</v>
      </c>
    </row>
    <row r="746">
      <c r="A746" s="37" t="inlineStr">
        <is>
          <t>TXN-202608-045444</t>
        </is>
      </c>
      <c r="B746" s="37" t="inlineStr">
        <is>
          <t>AC-GW-0323</t>
        </is>
      </c>
      <c r="C746" s="37" t="inlineStr">
        <is>
          <t>WL-02735</t>
        </is>
      </c>
      <c r="D746" s="37" t="inlineStr">
        <is>
          <t>GW-0323</t>
        </is>
      </c>
      <c r="E746" s="37" t="inlineStr">
        <is>
          <t>Gullwing</t>
        </is>
      </c>
      <c r="F746" s="37" t="n">
        <v>80</v>
      </c>
      <c r="G746" s="37" t="n">
        <v>1</v>
      </c>
      <c r="H746" s="37" t="n">
        <v>80</v>
      </c>
      <c r="I746" s="37" t="n">
        <v>7.55</v>
      </c>
      <c r="J746" s="37" t="n">
        <v>604</v>
      </c>
    </row>
    <row r="747">
      <c r="A747" s="37" t="inlineStr">
        <is>
          <t>TXN-202608-045500</t>
        </is>
      </c>
      <c r="B747" s="37" t="inlineStr">
        <is>
          <t>AC-GW-0401</t>
        </is>
      </c>
      <c r="C747" s="37" t="inlineStr">
        <is>
          <t>WL-03064</t>
        </is>
      </c>
      <c r="D747" s="37" t="inlineStr">
        <is>
          <t>GW-0401</t>
        </is>
      </c>
      <c r="E747" s="37" t="inlineStr">
        <is>
          <t>Gullwing</t>
        </is>
      </c>
      <c r="F747" s="37" t="n">
        <v>45</v>
      </c>
      <c r="G747" s="37" t="n">
        <v>1</v>
      </c>
      <c r="H747" s="37" t="n">
        <v>45</v>
      </c>
      <c r="I747" s="37" t="n">
        <v>7.55</v>
      </c>
      <c r="J747" s="37" t="n">
        <v>339.75</v>
      </c>
    </row>
    <row r="748">
      <c r="A748" s="37" t="inlineStr">
        <is>
          <t>TXN-202608-045547</t>
        </is>
      </c>
      <c r="B748" s="37" t="inlineStr">
        <is>
          <t>AC-GW-0402</t>
        </is>
      </c>
      <c r="C748" s="37" t="inlineStr">
        <is>
          <t>WL-02635</t>
        </is>
      </c>
      <c r="D748" s="37" t="inlineStr">
        <is>
          <t>GW-0402</t>
        </is>
      </c>
      <c r="E748" s="37" t="inlineStr">
        <is>
          <t>Gullwing</t>
        </is>
      </c>
      <c r="F748" s="37" t="n">
        <v>34</v>
      </c>
      <c r="G748" s="37" t="n">
        <v>1</v>
      </c>
      <c r="H748" s="37" t="n">
        <v>34</v>
      </c>
      <c r="I748" s="37" t="n">
        <v>7.55</v>
      </c>
      <c r="J748" s="37" t="n">
        <v>256.7</v>
      </c>
    </row>
    <row r="749">
      <c r="A749" s="37" t="inlineStr">
        <is>
          <t>TXN-202608-045595</t>
        </is>
      </c>
      <c r="B749" s="37" t="inlineStr">
        <is>
          <t>AC-GW-0403</t>
        </is>
      </c>
      <c r="C749" s="37" t="inlineStr">
        <is>
          <t>WL-02399</t>
        </is>
      </c>
      <c r="D749" s="37" t="inlineStr">
        <is>
          <t>GW-0403</t>
        </is>
      </c>
      <c r="E749" s="37" t="inlineStr">
        <is>
          <t>Gullwing</t>
        </is>
      </c>
      <c r="F749" s="37" t="n">
        <v>32</v>
      </c>
      <c r="G749" s="37" t="n">
        <v>1</v>
      </c>
      <c r="H749" s="37" t="n">
        <v>32</v>
      </c>
      <c r="I749" s="37" t="n">
        <v>7.55</v>
      </c>
      <c r="J749" s="37" t="n">
        <v>241.6</v>
      </c>
    </row>
    <row r="750">
      <c r="A750" s="37" t="inlineStr">
        <is>
          <t>TXN-202608-045645</t>
        </is>
      </c>
      <c r="B750" s="37" t="inlineStr">
        <is>
          <t>AC-GW-0404</t>
        </is>
      </c>
      <c r="C750" s="37" t="inlineStr">
        <is>
          <t>WL-03671</t>
        </is>
      </c>
      <c r="D750" s="37" t="inlineStr">
        <is>
          <t>GW-0404</t>
        </is>
      </c>
      <c r="E750" s="37" t="inlineStr">
        <is>
          <t>Gullwing</t>
        </is>
      </c>
      <c r="F750" s="37" t="n">
        <v>60</v>
      </c>
      <c r="G750" s="37" t="n">
        <v>1</v>
      </c>
      <c r="H750" s="37" t="n">
        <v>60</v>
      </c>
      <c r="I750" s="37" t="n">
        <v>7.55</v>
      </c>
      <c r="J750" s="37" t="n">
        <v>453</v>
      </c>
    </row>
    <row r="751">
      <c r="A751" s="37" t="inlineStr">
        <is>
          <t>TXN-202608-045697</t>
        </is>
      </c>
      <c r="B751" s="37" t="inlineStr">
        <is>
          <t>AC-GW-0405</t>
        </is>
      </c>
      <c r="C751" s="37" t="inlineStr">
        <is>
          <t>WL-01293</t>
        </is>
      </c>
      <c r="D751" s="37" t="inlineStr">
        <is>
          <t>GW-0405</t>
        </is>
      </c>
      <c r="E751" s="37" t="inlineStr">
        <is>
          <t>Gullwing</t>
        </is>
      </c>
      <c r="F751" s="37" t="n">
        <v>45</v>
      </c>
      <c r="G751" s="37" t="n">
        <v>1</v>
      </c>
      <c r="H751" s="37" t="n">
        <v>45</v>
      </c>
      <c r="I751" s="37" t="n">
        <v>7.55</v>
      </c>
      <c r="J751" s="37" t="n">
        <v>339.75</v>
      </c>
    </row>
    <row r="752">
      <c r="A752" s="37" t="inlineStr">
        <is>
          <t>TXN-202608-045761</t>
        </is>
      </c>
      <c r="B752" s="37" t="inlineStr">
        <is>
          <t>AC-GW-0406</t>
        </is>
      </c>
      <c r="C752" s="37" t="inlineStr">
        <is>
          <t>WL-02077</t>
        </is>
      </c>
      <c r="D752" s="37" t="inlineStr">
        <is>
          <t>GW-0406</t>
        </is>
      </c>
      <c r="E752" s="37" t="inlineStr">
        <is>
          <t>Gullwing</t>
        </is>
      </c>
      <c r="F752" s="37" t="n">
        <v>62</v>
      </c>
      <c r="G752" s="37" t="n">
        <v>1</v>
      </c>
      <c r="H752" s="37" t="n">
        <v>62</v>
      </c>
      <c r="I752" s="37" t="n">
        <v>7.55</v>
      </c>
      <c r="J752" s="37" t="n">
        <v>468.1</v>
      </c>
    </row>
    <row r="753">
      <c r="A753" s="37" t="inlineStr">
        <is>
          <t>TXN-202608-045805</t>
        </is>
      </c>
      <c r="B753" s="37" t="inlineStr">
        <is>
          <t>AC-GW-0407</t>
        </is>
      </c>
      <c r="C753" s="37" t="inlineStr">
        <is>
          <t>WL-03682</t>
        </is>
      </c>
      <c r="D753" s="37" t="inlineStr">
        <is>
          <t>GW-0407</t>
        </is>
      </c>
      <c r="E753" s="37" t="inlineStr">
        <is>
          <t>Gullwing</t>
        </is>
      </c>
      <c r="F753" s="37" t="n">
        <v>45</v>
      </c>
      <c r="G753" s="37" t="n">
        <v>1</v>
      </c>
      <c r="H753" s="37" t="n">
        <v>45</v>
      </c>
      <c r="I753" s="37" t="n">
        <v>7.55</v>
      </c>
      <c r="J753" s="37" t="n">
        <v>339.75</v>
      </c>
    </row>
    <row r="754">
      <c r="A754" s="37" t="inlineStr">
        <is>
          <t>TXN-202608-045872</t>
        </is>
      </c>
      <c r="B754" s="37" t="inlineStr">
        <is>
          <t>AC-GW-0408</t>
        </is>
      </c>
      <c r="C754" s="37" t="inlineStr">
        <is>
          <t>WL-01551</t>
        </is>
      </c>
      <c r="D754" s="37" t="inlineStr">
        <is>
          <t>GW-0408</t>
        </is>
      </c>
      <c r="E754" s="37" t="inlineStr">
        <is>
          <t>Gullwing</t>
        </is>
      </c>
      <c r="F754" s="37" t="n">
        <v>28</v>
      </c>
      <c r="G754" s="37" t="n">
        <v>1</v>
      </c>
      <c r="H754" s="37" t="n">
        <v>28</v>
      </c>
      <c r="I754" s="37" t="n">
        <v>7.55</v>
      </c>
      <c r="J754" s="37" t="n">
        <v>211.4</v>
      </c>
    </row>
    <row r="755">
      <c r="A755" s="37" t="inlineStr">
        <is>
          <t>TXN-202608-045915</t>
        </is>
      </c>
      <c r="B755" s="37" t="inlineStr">
        <is>
          <t>AC-GW-0409</t>
        </is>
      </c>
      <c r="C755" s="37" t="inlineStr">
        <is>
          <t>WL-02328</t>
        </is>
      </c>
      <c r="D755" s="37" t="inlineStr">
        <is>
          <t>GW-0409</t>
        </is>
      </c>
      <c r="E755" s="37" t="inlineStr">
        <is>
          <t>Gullwing</t>
        </is>
      </c>
      <c r="F755" s="37" t="n">
        <v>56</v>
      </c>
      <c r="G755" s="37" t="n">
        <v>1</v>
      </c>
      <c r="H755" s="37" t="n">
        <v>56</v>
      </c>
      <c r="I755" s="37" t="n">
        <v>7.55</v>
      </c>
      <c r="J755" s="37" t="n">
        <v>422.8</v>
      </c>
    </row>
    <row r="756">
      <c r="A756" s="37" t="inlineStr">
        <is>
          <t>TXN-202608-045954</t>
        </is>
      </c>
      <c r="B756" s="37" t="inlineStr">
        <is>
          <t>AC-GW-0410</t>
        </is>
      </c>
      <c r="C756" s="37" t="inlineStr">
        <is>
          <t>WL-02074</t>
        </is>
      </c>
      <c r="D756" s="37" t="inlineStr">
        <is>
          <t>GW-0410</t>
        </is>
      </c>
      <c r="E756" s="37" t="inlineStr">
        <is>
          <t>Gullwing</t>
        </is>
      </c>
      <c r="F756" s="37" t="n">
        <v>70</v>
      </c>
      <c r="G756" s="37" t="n">
        <v>1</v>
      </c>
      <c r="H756" s="37" t="n">
        <v>70</v>
      </c>
      <c r="I756" s="37" t="n">
        <v>7.55</v>
      </c>
      <c r="J756" s="37" t="n">
        <v>528.5</v>
      </c>
    </row>
    <row r="757">
      <c r="A757" s="37" t="inlineStr">
        <is>
          <t>TXN-202608-046031</t>
        </is>
      </c>
      <c r="B757" s="37" t="inlineStr">
        <is>
          <t>AC-GW-0411</t>
        </is>
      </c>
      <c r="C757" s="37" t="inlineStr">
        <is>
          <t>WL-01859</t>
        </is>
      </c>
      <c r="D757" s="37" t="inlineStr">
        <is>
          <t>GW-0411</t>
        </is>
      </c>
      <c r="E757" s="37" t="inlineStr">
        <is>
          <t>Gullwing</t>
        </is>
      </c>
      <c r="F757" s="37" t="n">
        <v>49</v>
      </c>
      <c r="G757" s="37" t="n">
        <v>1</v>
      </c>
      <c r="H757" s="37" t="n">
        <v>49</v>
      </c>
      <c r="I757" s="37" t="n">
        <v>7.55</v>
      </c>
      <c r="J757" s="37" t="n">
        <v>369.95</v>
      </c>
    </row>
    <row r="758">
      <c r="A758" s="37" t="inlineStr">
        <is>
          <t>TXN-202608-046104</t>
        </is>
      </c>
      <c r="B758" s="37" t="inlineStr">
        <is>
          <t>AC-GW-0412</t>
        </is>
      </c>
      <c r="C758" s="37" t="inlineStr">
        <is>
          <t>WL-01282</t>
        </is>
      </c>
      <c r="D758" s="37" t="inlineStr">
        <is>
          <t>GW-0412</t>
        </is>
      </c>
      <c r="E758" s="37" t="inlineStr">
        <is>
          <t>Gullwing</t>
        </is>
      </c>
      <c r="F758" s="37" t="n">
        <v>36</v>
      </c>
      <c r="G758" s="37" t="n">
        <v>1</v>
      </c>
      <c r="H758" s="37" t="n">
        <v>36</v>
      </c>
      <c r="I758" s="37" t="n">
        <v>7.55</v>
      </c>
      <c r="J758" s="37" t="n">
        <v>271.8</v>
      </c>
    </row>
    <row r="759">
      <c r="A759" s="37" t="inlineStr">
        <is>
          <t>TXN-202608-046165</t>
        </is>
      </c>
      <c r="B759" s="37" t="inlineStr">
        <is>
          <t>AC-GW-0413</t>
        </is>
      </c>
      <c r="C759" s="37" t="inlineStr">
        <is>
          <t>WL-03767</t>
        </is>
      </c>
      <c r="D759" s="37" t="inlineStr">
        <is>
          <t>GW-0413</t>
        </is>
      </c>
      <c r="E759" s="37" t="inlineStr">
        <is>
          <t>Gullwing</t>
        </is>
      </c>
      <c r="F759" s="37" t="n">
        <v>60</v>
      </c>
      <c r="G759" s="37" t="n">
        <v>1</v>
      </c>
      <c r="H759" s="37" t="n">
        <v>60</v>
      </c>
      <c r="I759" s="37" t="n">
        <v>7.55</v>
      </c>
      <c r="J759" s="37" t="n">
        <v>453</v>
      </c>
    </row>
    <row r="760">
      <c r="A760" s="37" t="inlineStr">
        <is>
          <t>TXN-202608-046241</t>
        </is>
      </c>
      <c r="B760" s="37" t="inlineStr">
        <is>
          <t>AC-GW-0414</t>
        </is>
      </c>
      <c r="C760" s="37" t="inlineStr">
        <is>
          <t>WL-01875</t>
        </is>
      </c>
      <c r="D760" s="37" t="inlineStr">
        <is>
          <t>GW-0414</t>
        </is>
      </c>
      <c r="E760" s="37" t="inlineStr">
        <is>
          <t>Gullwing</t>
        </is>
      </c>
      <c r="F760" s="37" t="n">
        <v>45</v>
      </c>
      <c r="G760" s="37" t="n">
        <v>1</v>
      </c>
      <c r="H760" s="37" t="n">
        <v>45</v>
      </c>
      <c r="I760" s="37" t="n">
        <v>7.55</v>
      </c>
      <c r="J760" s="37" t="n">
        <v>339.75</v>
      </c>
    </row>
    <row r="761">
      <c r="A761" s="37" t="inlineStr">
        <is>
          <t>TXN-202608-046288</t>
        </is>
      </c>
      <c r="B761" s="37" t="inlineStr">
        <is>
          <t>AC-GW-0415</t>
        </is>
      </c>
      <c r="C761" s="37" t="inlineStr">
        <is>
          <t>WL-02969</t>
        </is>
      </c>
      <c r="D761" s="37" t="inlineStr">
        <is>
          <t>GW-0415</t>
        </is>
      </c>
      <c r="E761" s="37" t="inlineStr">
        <is>
          <t>Gullwing</t>
        </is>
      </c>
      <c r="F761" s="37" t="n">
        <v>48</v>
      </c>
      <c r="G761" s="37" t="n">
        <v>1</v>
      </c>
      <c r="H761" s="37" t="n">
        <v>48</v>
      </c>
      <c r="I761" s="37" t="n">
        <v>7.55</v>
      </c>
      <c r="J761" s="37" t="n">
        <v>362.4</v>
      </c>
    </row>
    <row r="762">
      <c r="A762" s="37" t="inlineStr">
        <is>
          <t>TXN-202608-046332</t>
        </is>
      </c>
      <c r="B762" s="37" t="inlineStr">
        <is>
          <t>AC-GW-0416</t>
        </is>
      </c>
      <c r="C762" s="37" t="inlineStr">
        <is>
          <t>WL-01714</t>
        </is>
      </c>
      <c r="D762" s="37" t="inlineStr">
        <is>
          <t>GW-0416</t>
        </is>
      </c>
      <c r="E762" s="37" t="inlineStr">
        <is>
          <t>Gullwing</t>
        </is>
      </c>
      <c r="F762" s="37" t="n">
        <v>32</v>
      </c>
      <c r="G762" s="37" t="n">
        <v>1</v>
      </c>
      <c r="H762" s="37" t="n">
        <v>32</v>
      </c>
      <c r="I762" s="37" t="n">
        <v>7.55</v>
      </c>
      <c r="J762" s="37" t="n">
        <v>241.6</v>
      </c>
    </row>
    <row r="763">
      <c r="A763" s="37" t="inlineStr">
        <is>
          <t>TXN-202608-046408</t>
        </is>
      </c>
      <c r="B763" s="37" t="inlineStr">
        <is>
          <t>AC-GW-0417</t>
        </is>
      </c>
      <c r="C763" s="37" t="inlineStr">
        <is>
          <t>WL-02423</t>
        </is>
      </c>
      <c r="D763" s="37" t="inlineStr">
        <is>
          <t>GW-0417</t>
        </is>
      </c>
      <c r="E763" s="37" t="inlineStr">
        <is>
          <t>Gullwing</t>
        </is>
      </c>
      <c r="F763" s="37" t="n">
        <v>53</v>
      </c>
      <c r="G763" s="37" t="n">
        <v>1</v>
      </c>
      <c r="H763" s="37" t="n">
        <v>53</v>
      </c>
      <c r="I763" s="37" t="n">
        <v>7.55</v>
      </c>
      <c r="J763" s="37" t="n">
        <v>400.15</v>
      </c>
    </row>
    <row r="764">
      <c r="A764" s="37" t="inlineStr">
        <is>
          <t>TXN-202608-046457</t>
        </is>
      </c>
      <c r="B764" s="37" t="inlineStr">
        <is>
          <t>AC-GW-0418</t>
        </is>
      </c>
      <c r="C764" s="37" t="inlineStr">
        <is>
          <t>WL-03144</t>
        </is>
      </c>
      <c r="D764" s="37" t="inlineStr">
        <is>
          <t>GW-0418</t>
        </is>
      </c>
      <c r="E764" s="37" t="inlineStr">
        <is>
          <t>Gullwing</t>
        </is>
      </c>
      <c r="F764" s="37" t="n">
        <v>29</v>
      </c>
      <c r="G764" s="37" t="n">
        <v>1</v>
      </c>
      <c r="H764" s="37" t="n">
        <v>29</v>
      </c>
      <c r="I764" s="37" t="n">
        <v>7.55</v>
      </c>
      <c r="J764" s="37" t="n">
        <v>218.95</v>
      </c>
    </row>
    <row r="765">
      <c r="A765" s="37" t="inlineStr">
        <is>
          <t>TXN-202608-046510</t>
        </is>
      </c>
      <c r="B765" s="37" t="inlineStr">
        <is>
          <t>AC-GW-0419</t>
        </is>
      </c>
      <c r="C765" s="37" t="inlineStr">
        <is>
          <t>WL-03795</t>
        </is>
      </c>
      <c r="D765" s="37" t="inlineStr">
        <is>
          <t>GW-0419</t>
        </is>
      </c>
      <c r="E765" s="37" t="inlineStr">
        <is>
          <t>Gullwing</t>
        </is>
      </c>
      <c r="F765" s="37" t="n">
        <v>32</v>
      </c>
      <c r="G765" s="37" t="n">
        <v>1</v>
      </c>
      <c r="H765" s="37" t="n">
        <v>32</v>
      </c>
      <c r="I765" s="37" t="n">
        <v>7.55</v>
      </c>
      <c r="J765" s="37" t="n">
        <v>241.6</v>
      </c>
    </row>
    <row r="766">
      <c r="A766" s="37" t="inlineStr">
        <is>
          <t>TXN-202608-046577</t>
        </is>
      </c>
      <c r="B766" s="37" t="inlineStr">
        <is>
          <t>AC-GW-0420</t>
        </is>
      </c>
      <c r="C766" s="37" t="inlineStr">
        <is>
          <t>WL-01133</t>
        </is>
      </c>
      <c r="D766" s="37" t="inlineStr">
        <is>
          <t>GW-0420</t>
        </is>
      </c>
      <c r="E766" s="37" t="inlineStr">
        <is>
          <t>Gullwing</t>
        </is>
      </c>
      <c r="F766" s="37" t="n">
        <v>28</v>
      </c>
      <c r="G766" s="37" t="n">
        <v>1</v>
      </c>
      <c r="H766" s="37" t="n">
        <v>28</v>
      </c>
      <c r="I766" s="37" t="n">
        <v>7.55</v>
      </c>
      <c r="J766" s="37" t="n">
        <v>211.4</v>
      </c>
    </row>
    <row r="767">
      <c r="A767" s="37" t="inlineStr">
        <is>
          <t>TXN-202608-046621</t>
        </is>
      </c>
      <c r="B767" s="37" t="inlineStr">
        <is>
          <t>AC-GW-0421</t>
        </is>
      </c>
      <c r="C767" s="37" t="inlineStr">
        <is>
          <t>WL-01204</t>
        </is>
      </c>
      <c r="D767" s="37" t="inlineStr">
        <is>
          <t>GW-0421</t>
        </is>
      </c>
      <c r="E767" s="37" t="inlineStr">
        <is>
          <t>Gullwing</t>
        </is>
      </c>
      <c r="F767" s="37" t="n">
        <v>80</v>
      </c>
      <c r="G767" s="37" t="n">
        <v>1</v>
      </c>
      <c r="H767" s="37" t="n">
        <v>80</v>
      </c>
      <c r="I767" s="37" t="n">
        <v>7.55</v>
      </c>
      <c r="J767" s="37" t="n">
        <v>604</v>
      </c>
    </row>
    <row r="768">
      <c r="A768" s="37" t="inlineStr">
        <is>
          <t>TXN-202608-046675</t>
        </is>
      </c>
      <c r="B768" s="37" t="inlineStr">
        <is>
          <t>AC-GW-0422</t>
        </is>
      </c>
      <c r="C768" s="37" t="inlineStr">
        <is>
          <t>WL-03799</t>
        </is>
      </c>
      <c r="D768" s="37" t="inlineStr">
        <is>
          <t>GW-0422</t>
        </is>
      </c>
      <c r="E768" s="37" t="inlineStr">
        <is>
          <t>Gullwing</t>
        </is>
      </c>
      <c r="F768" s="37" t="n">
        <v>80</v>
      </c>
      <c r="G768" s="37" t="n">
        <v>1</v>
      </c>
      <c r="H768" s="37" t="n">
        <v>80</v>
      </c>
      <c r="I768" s="37" t="n">
        <v>7.55</v>
      </c>
      <c r="J768" s="37" t="n">
        <v>604</v>
      </c>
    </row>
    <row r="769">
      <c r="A769" s="37" t="inlineStr">
        <is>
          <t>TXN-202608-046721</t>
        </is>
      </c>
      <c r="B769" s="37" t="inlineStr">
        <is>
          <t>AC-GW-0423</t>
        </is>
      </c>
      <c r="C769" s="37" t="inlineStr">
        <is>
          <t>WL-02053</t>
        </is>
      </c>
      <c r="D769" s="37" t="inlineStr">
        <is>
          <t>GW-0423</t>
        </is>
      </c>
      <c r="E769" s="37" t="inlineStr">
        <is>
          <t>Gullwing</t>
        </is>
      </c>
      <c r="F769" s="37" t="n">
        <v>42</v>
      </c>
      <c r="G769" s="37" t="n">
        <v>1</v>
      </c>
      <c r="H769" s="37" t="n">
        <v>42</v>
      </c>
      <c r="I769" s="37" t="n">
        <v>7.55</v>
      </c>
      <c r="J769" s="37" t="n">
        <v>317.1</v>
      </c>
    </row>
    <row r="770">
      <c r="A770" s="37" t="inlineStr">
        <is>
          <t>TXN-202608-046797</t>
        </is>
      </c>
      <c r="B770" s="37" t="inlineStr">
        <is>
          <t>AC-GW-0501</t>
        </is>
      </c>
      <c r="C770" s="37" t="inlineStr">
        <is>
          <t>WL-01450</t>
        </is>
      </c>
      <c r="D770" s="37" t="inlineStr">
        <is>
          <t>GW-0501</t>
        </is>
      </c>
      <c r="E770" s="37" t="inlineStr">
        <is>
          <t>Gullwing</t>
        </is>
      </c>
      <c r="F770" s="37" t="n">
        <v>40</v>
      </c>
      <c r="G770" s="37" t="n">
        <v>1</v>
      </c>
      <c r="H770" s="37" t="n">
        <v>40</v>
      </c>
      <c r="I770" s="37" t="n">
        <v>7.55</v>
      </c>
      <c r="J770" s="37" t="n">
        <v>302</v>
      </c>
    </row>
  </sheetData>
  <autoFilter ref="A1:J7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36" t="inlineStr">
        <is>
          <t>applicant_id</t>
        </is>
      </c>
      <c r="B1" s="36" t="inlineStr">
        <is>
          <t>filename</t>
        </is>
      </c>
      <c r="C1" s="36" t="inlineStr">
        <is>
          <t>pdf_work_date</t>
        </is>
      </c>
      <c r="D1" s="36" t="inlineStr">
        <is>
          <t>pdf_slip_id</t>
        </is>
      </c>
      <c r="E1" s="36" t="inlineStr">
        <is>
          <t>pdf_reason_code</t>
        </is>
      </c>
      <c r="F1" s="36" t="inlineStr">
        <is>
          <t>pages</t>
        </is>
      </c>
      <c r="G1" s="36" t="inlineStr">
        <is>
          <t>contains_support</t>
        </is>
      </c>
      <c r="H1" s="36" t="inlineStr">
        <is>
          <t>content_note</t>
        </is>
      </c>
    </row>
    <row r="2">
      <c r="A2" s="37" t="inlineStr">
        <is>
          <t>WL-02211</t>
        </is>
      </c>
      <c r="B2" s="37" t="inlineStr">
        <is>
          <t>WL-02211_skip_justification.pdf</t>
        </is>
      </c>
      <c r="C2" s="43" t="n">
        <v>44818</v>
      </c>
      <c r="D2" s="37" t="inlineStr">
        <is>
          <t>LP-0307</t>
        </is>
      </c>
      <c r="E2" s="37" t="inlineStr">
        <is>
          <t>not-current</t>
        </is>
      </c>
      <c r="F2" s="37" t="n">
        <v>1</v>
      </c>
      <c r="G2" s="37" t="inlineStr">
        <is>
          <t>NO</t>
        </is>
      </c>
      <c r="H2" s="37" t="inlineStr">
        <is>
          <t>Cover sheet only; supporting record expressly not attached.</t>
        </is>
      </c>
    </row>
    <row r="3">
      <c r="A3" s="37" t="inlineStr">
        <is>
          <t>WL-02618</t>
        </is>
      </c>
      <c r="B3" s="37" t="inlineStr">
        <is>
          <t>WL-02618_skip_justification.pdf</t>
        </is>
      </c>
      <c r="C3" s="43" t="n">
        <v>45048</v>
      </c>
      <c r="D3" s="37" t="inlineStr">
        <is>
          <t>EW-0414</t>
        </is>
      </c>
      <c r="E3" s="37" t="inlineStr">
        <is>
          <t>vessel-fit</t>
        </is>
      </c>
      <c r="F3" s="37" t="n">
        <v>1</v>
      </c>
      <c r="G3" s="37" t="inlineStr">
        <is>
          <t>NO</t>
        </is>
      </c>
      <c r="H3" s="37" t="inlineStr">
        <is>
          <t>Cover sheet only; supporting record expressly not attached.</t>
        </is>
      </c>
    </row>
    <row r="4">
      <c r="A4" s="37" t="inlineStr">
        <is>
          <t>WL-02877</t>
        </is>
      </c>
      <c r="B4" s="37" t="inlineStr">
        <is>
          <t>WL-02877_skip_justification.pdf</t>
        </is>
      </c>
      <c r="C4" s="43" t="n">
        <v>45370</v>
      </c>
      <c r="D4" s="37" t="inlineStr">
        <is>
          <t>GW-0702</t>
        </is>
      </c>
      <c r="E4" s="37" t="inlineStr">
        <is>
          <t>vessel-fit</t>
        </is>
      </c>
      <c r="F4" s="37" t="n">
        <v>3</v>
      </c>
      <c r="G4" s="37" t="inlineStr">
        <is>
          <t>YES</t>
        </is>
      </c>
      <c r="H4" s="37" t="inlineStr">
        <is>
          <t>Contains particulars printout and correspondence.</t>
        </is>
      </c>
    </row>
    <row r="5">
      <c r="A5" s="37" t="inlineStr">
        <is>
          <t>WL-03044</t>
        </is>
      </c>
      <c r="B5" s="37" t="inlineStr">
        <is>
          <t>WL-03044_skip_justification.pdf</t>
        </is>
      </c>
      <c r="C5" s="43" t="n">
        <v>45342</v>
      </c>
      <c r="D5" s="37" t="inlineStr">
        <is>
          <t>EW-0603</t>
        </is>
      </c>
      <c r="E5" s="37" t="inlineStr">
        <is>
          <t>preference-mismatch</t>
        </is>
      </c>
      <c r="F5" s="37" t="n">
        <v>1</v>
      </c>
      <c r="G5" s="37" t="inlineStr">
        <is>
          <t>NO</t>
        </is>
      </c>
      <c r="H5" s="37" t="inlineStr">
        <is>
          <t>Cover sheet only; supporting record expressly not attached.</t>
        </is>
      </c>
    </row>
    <row r="6">
      <c r="A6" s="37" t="inlineStr">
        <is>
          <t>WL-03102</t>
        </is>
      </c>
      <c r="B6" s="37" t="inlineStr">
        <is>
          <t>WL-03102_skip_justification.pdf</t>
        </is>
      </c>
      <c r="C6" s="43" t="n">
        <v>45909</v>
      </c>
      <c r="D6" s="37" t="inlineStr">
        <is>
          <t>EW-0620</t>
        </is>
      </c>
      <c r="E6" s="37" t="inlineStr">
        <is>
          <t>preference-mismatch</t>
        </is>
      </c>
      <c r="F6" s="37" t="n">
        <v>3</v>
      </c>
      <c r="G6" s="37" t="inlineStr">
        <is>
          <t>YES</t>
        </is>
      </c>
      <c r="H6" s="37" t="inlineStr">
        <is>
          <t>Contains preference sheet and correspondence.</t>
        </is>
      </c>
    </row>
    <row r="7">
      <c r="A7" s="37" t="inlineStr">
        <is>
          <t>WL-03390</t>
        </is>
      </c>
      <c r="B7" s="37" t="inlineStr">
        <is>
          <t>WL-03390_skip_justification.pdf</t>
        </is>
      </c>
      <c r="C7" s="43" t="n">
        <v>45601</v>
      </c>
      <c r="D7" s="37" t="inlineStr">
        <is>
          <t>VB-0144</t>
        </is>
      </c>
      <c r="E7" s="37" t="inlineStr">
        <is>
          <t>declined-prior-offer</t>
        </is>
      </c>
      <c r="F7" s="37" t="n">
        <v>1</v>
      </c>
      <c r="G7" s="37" t="inlineStr">
        <is>
          <t>NO</t>
        </is>
      </c>
      <c r="H7" s="37" t="inlineStr">
        <is>
          <t>Cover sheet only; supporting record expressly not attached.</t>
        </is>
      </c>
    </row>
  </sheetData>
  <autoFilter ref="A1:H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36" t="inlineStr">
        <is>
          <t>applicant_id</t>
        </is>
      </c>
      <c r="B1" s="36" t="inlineStr">
        <is>
          <t>filename</t>
        </is>
      </c>
      <c r="C1" s="36" t="inlineStr">
        <is>
          <t>certificate_no</t>
        </is>
      </c>
      <c r="D1" s="36" t="inlineStr">
        <is>
          <t>certificate_date</t>
        </is>
      </c>
      <c r="E1" s="36" t="inlineStr">
        <is>
          <t>measured_loa</t>
        </is>
      </c>
      <c r="F1" s="36" t="inlineStr">
        <is>
          <t>measured_beam</t>
        </is>
      </c>
      <c r="G1" s="36" t="inlineStr">
        <is>
          <t>draft</t>
        </is>
      </c>
      <c r="H1" s="36" t="inlineStr">
        <is>
          <t>signed</t>
        </is>
      </c>
      <c r="I1" s="36" t="inlineStr">
        <is>
          <t>certificate_slip_id</t>
        </is>
      </c>
      <c r="J1" s="36" t="inlineStr">
        <is>
          <t>purpose</t>
        </is>
      </c>
    </row>
    <row r="2">
      <c r="A2" s="37" t="inlineStr">
        <is>
          <t>WL-01893</t>
        </is>
      </c>
      <c r="B2" s="37" t="inlineStr">
        <is>
          <t>2024-06-03_measurement_certificate_WL-01893.pdf</t>
        </is>
      </c>
      <c r="C2" s="37" t="inlineStr">
        <is>
          <t>MC-2024-0062</t>
        </is>
      </c>
      <c r="D2" s="43" t="n">
        <v>45446</v>
      </c>
      <c r="E2" s="37" t="n">
        <v>31.4</v>
      </c>
      <c r="F2" s="37" t="n">
        <v>10.2</v>
      </c>
      <c r="G2" s="37" t="n">
        <v>5.4</v>
      </c>
      <c r="H2" s="37" t="inlineStr">
        <is>
          <t>YES</t>
        </is>
      </c>
      <c r="I2" s="37" t="inlineStr">
        <is>
          <t>VB-0208</t>
        </is>
      </c>
      <c r="J2" s="37" t="inlineStr">
        <is>
          <t>Check-in measurement; not identified as support for the 2022 LOA amendment.</t>
        </is>
      </c>
    </row>
    <row r="3">
      <c r="A3" s="37" t="inlineStr">
        <is>
          <t>WL-02401</t>
        </is>
      </c>
      <c r="B3" s="37" t="inlineStr">
        <is>
          <t>2024-09-03_measurement_certificate_WL-02401.pdf</t>
        </is>
      </c>
      <c r="C3" s="37" t="inlineStr">
        <is>
          <t>MC-2024-0091</t>
        </is>
      </c>
      <c r="D3" s="43" t="n">
        <v>45538</v>
      </c>
      <c r="E3" s="37" t="n">
        <v>31.7</v>
      </c>
      <c r="F3" s="37" t="n">
        <v>10.8</v>
      </c>
      <c r="G3" s="37" t="n">
        <v>3.1</v>
      </c>
      <c r="H3" s="37" t="inlineStr">
        <is>
          <t>YES</t>
        </is>
      </c>
      <c r="J3" s="37" t="inlineStr">
        <is>
          <t>States that it supports the LOA and beam amendments entered 2024-09-05.</t>
        </is>
      </c>
    </row>
  </sheetData>
  <autoFilter ref="A1:J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Chaldale Harbor Marina - Moorage Counter</dc:creator>
  <dc:title xmlns:dc="http://purl.org/dc/elements/1.1/">Chaldale Harbor Moorage Audit - August 2026</dc:title>
  <dc:description xmlns:dc="http://purl.org/dc/elements/1.1/">Formula-driven audit prepared for Board scrutiny on August 7, 2026.</dc:description>
  <dc:subject xmlns:dc="http://purl.org/dc/elements/1.1/">Queue exceptions, billing reconciliation, and aging audit</dc:subject>
  <dcterms:created xmlns:dcterms="http://purl.org/dc/terms/" xmlns:xsi="http://www.w3.org/2001/XMLSchema-instance" xsi:type="dcterms:W3CDTF">2026-09-14T13:07:12Z</dcterms:created>
  <dcterms:modified xmlns:dcterms="http://purl.org/dc/terms/" xmlns:xsi="http://www.w3.org/2001/XMLSchema-instance" xsi:type="dcterms:W3CDTF">2026-09-14T13:07:12Z</dcterms:modified>
</cp:coreProperties>
</file>